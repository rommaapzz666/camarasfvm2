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8_{10EC953D-5348-497F-A123-77EA5D0E839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5" l="1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G4" i="25"/>
  <c r="AH4" i="25"/>
  <c r="AI4" i="25"/>
  <c r="AJ4" i="25"/>
  <c r="U3" i="25"/>
  <c r="V6" i="25"/>
  <c r="W6" i="25"/>
  <c r="X6" i="25"/>
  <c r="Y6" i="25"/>
  <c r="Z6" i="25"/>
  <c r="AA6" i="25"/>
  <c r="AB6" i="25"/>
  <c r="AC6" i="25"/>
  <c r="AD6" i="25"/>
  <c r="AG6" i="25"/>
  <c r="AH6" i="25"/>
  <c r="AI6" i="25"/>
  <c r="AJ6" i="25"/>
  <c r="W5" i="25"/>
  <c r="M6" i="25"/>
  <c r="N6" i="25"/>
  <c r="O6" i="25"/>
  <c r="P6" i="25"/>
  <c r="Q6" i="25"/>
  <c r="R6" i="25"/>
  <c r="S6" i="25"/>
  <c r="T6" i="25"/>
  <c r="U6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F6" i="25" s="1"/>
  <c r="AE5" i="25"/>
  <c r="AE6" i="25" s="1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F4" i="25" s="1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<sst xmlns="http://schemas.openxmlformats.org/spreadsheetml/2006/main" count="6031" uniqueCount="1561">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</sst>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0.13973799126637554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0.13973799126637554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39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32</c:v>
                </c:pt>
                <c:pt idx="24">
                  <c:v>29</c:v>
                </c:pt>
                <c:pt idx="25">
                  <c:v>0</c:v>
                </c:pt>
                <c:pt idx="26">
                  <c:v>25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34</c:v>
                </c:pt>
                <c:pt idx="25">
                  <c:v>34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0.10332103321033211</c:v>
                      </c:pt>
                      <c:pt idx="11">
                        <c:v>9.9630996309963096E-2</c:v>
                      </c:pt>
                      <c:pt idx="12">
                        <c:v>0.11439114391143912</c:v>
                      </c:pt>
                      <c:pt idx="13">
                        <c:v>8.4870848708487087E-2</c:v>
                      </c:pt>
                      <c:pt idx="14">
                        <c:v>9.9630996309963096E-2</c:v>
                      </c:pt>
                      <c:pt idx="15">
                        <c:v>0.14391143911439114</c:v>
                      </c:pt>
                      <c:pt idx="16">
                        <c:v>0.1918819188191882</c:v>
                      </c:pt>
                      <c:pt idx="17">
                        <c:v>7.3800738007380073E-2</c:v>
                      </c:pt>
                      <c:pt idx="18">
                        <c:v>8.1180811808118078E-2</c:v>
                      </c:pt>
                      <c:pt idx="19">
                        <c:v>9.2250922509225092E-2</c:v>
                      </c:pt>
                      <c:pt idx="20">
                        <c:v>7.7490774907749083E-2</c:v>
                      </c:pt>
                      <c:pt idx="21">
                        <c:v>9.5940959409594101E-2</c:v>
                      </c:pt>
                      <c:pt idx="22">
                        <c:v>9.5940959409594101E-2</c:v>
                      </c:pt>
                      <c:pt idx="23">
                        <c:v>0.11808118081180811</c:v>
                      </c:pt>
                      <c:pt idx="24">
                        <c:v>0.1070110701107011</c:v>
                      </c:pt>
                      <c:pt idx="25">
                        <c:v>0</c:v>
                      </c:pt>
                      <c:pt idx="26">
                        <c:v>9.2250922509225092E-2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0.21397379912663755</c:v>
                      </c:pt>
                      <c:pt idx="11">
                        <c:v>0.15720524017467249</c:v>
                      </c:pt>
                      <c:pt idx="12">
                        <c:v>0.16157205240174671</c:v>
                      </c:pt>
                      <c:pt idx="13">
                        <c:v>0.14410480349344978</c:v>
                      </c:pt>
                      <c:pt idx="14">
                        <c:v>0.15283842794759825</c:v>
                      </c:pt>
                      <c:pt idx="15">
                        <c:v>0.13100436681222707</c:v>
                      </c:pt>
                      <c:pt idx="16">
                        <c:v>0.18340611353711792</c:v>
                      </c:pt>
                      <c:pt idx="17">
                        <c:v>0.18340611353711792</c:v>
                      </c:pt>
                      <c:pt idx="18">
                        <c:v>0.14847161572052403</c:v>
                      </c:pt>
                      <c:pt idx="19">
                        <c:v>0.1965065502183406</c:v>
                      </c:pt>
                      <c:pt idx="20">
                        <c:v>0.13100436681222707</c:v>
                      </c:pt>
                      <c:pt idx="21">
                        <c:v>0.11790393013100436</c:v>
                      </c:pt>
                      <c:pt idx="22">
                        <c:v>0.12663755458515283</c:v>
                      </c:pt>
                      <c:pt idx="23">
                        <c:v>0.11353711790393013</c:v>
                      </c:pt>
                      <c:pt idx="24">
                        <c:v>0.14847161572052403</c:v>
                      </c:pt>
                      <c:pt idx="25">
                        <c:v>0.14847161572052403</c:v>
                      </c:pt>
                      <c:pt idx="26">
                        <c:v>0.13973799126637554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0.10332103321033211</c:v>
                </c:pt>
                <c:pt idx="11">
                  <c:v>9.9630996309963096E-2</c:v>
                </c:pt>
                <c:pt idx="12">
                  <c:v>0.11439114391143912</c:v>
                </c:pt>
                <c:pt idx="13">
                  <c:v>8.4870848708487087E-2</c:v>
                </c:pt>
                <c:pt idx="14">
                  <c:v>9.9630996309963096E-2</c:v>
                </c:pt>
                <c:pt idx="15">
                  <c:v>0.14391143911439114</c:v>
                </c:pt>
                <c:pt idx="16">
                  <c:v>0.1918819188191882</c:v>
                </c:pt>
                <c:pt idx="17">
                  <c:v>7.3800738007380073E-2</c:v>
                </c:pt>
                <c:pt idx="18">
                  <c:v>8.1180811808118078E-2</c:v>
                </c:pt>
                <c:pt idx="19">
                  <c:v>9.2250922509225092E-2</c:v>
                </c:pt>
                <c:pt idx="20">
                  <c:v>7.7490774907749083E-2</c:v>
                </c:pt>
                <c:pt idx="21">
                  <c:v>9.5940959409594101E-2</c:v>
                </c:pt>
                <c:pt idx="22">
                  <c:v>9.5940959409594101E-2</c:v>
                </c:pt>
                <c:pt idx="23">
                  <c:v>0.11808118081180811</c:v>
                </c:pt>
                <c:pt idx="24">
                  <c:v>0.1070110701107011</c:v>
                </c:pt>
                <c:pt idx="25">
                  <c:v>0</c:v>
                </c:pt>
                <c:pt idx="26">
                  <c:v>9.2250922509225092E-2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0.21397379912663755</c:v>
                </c:pt>
                <c:pt idx="11">
                  <c:v>0.15720524017467249</c:v>
                </c:pt>
                <c:pt idx="12">
                  <c:v>0.16157205240174671</c:v>
                </c:pt>
                <c:pt idx="13">
                  <c:v>0.14410480349344978</c:v>
                </c:pt>
                <c:pt idx="14">
                  <c:v>0.15283842794759825</c:v>
                </c:pt>
                <c:pt idx="15">
                  <c:v>0.13100436681222707</c:v>
                </c:pt>
                <c:pt idx="16">
                  <c:v>0.18340611353711792</c:v>
                </c:pt>
                <c:pt idx="17">
                  <c:v>0.18340611353711792</c:v>
                </c:pt>
                <c:pt idx="18">
                  <c:v>0.14847161572052403</c:v>
                </c:pt>
                <c:pt idx="19">
                  <c:v>0.1965065502183406</c:v>
                </c:pt>
                <c:pt idx="20">
                  <c:v>0.13100436681222707</c:v>
                </c:pt>
                <c:pt idx="21">
                  <c:v>0.11790393013100436</c:v>
                </c:pt>
                <c:pt idx="22">
                  <c:v>0.12663755458515283</c:v>
                </c:pt>
                <c:pt idx="23">
                  <c:v>0.11353711790393013</c:v>
                </c:pt>
                <c:pt idx="24">
                  <c:v>0.14847161572052403</c:v>
                </c:pt>
                <c:pt idx="25">
                  <c:v>0.14847161572052403</c:v>
                </c:pt>
                <c:pt idx="26">
                  <c:v>0.13973799126637554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39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32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26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tabSelected="1" zoomScale="55" zoomScaleNormal="55" workbookViewId="0">
      <pane xSplit="11" ySplit="7" topLeftCell="AK254" activePane="bottomRight" state="frozen"/>
      <selection pane="topRight" activeCell="M1" sqref="M1"/>
      <selection pane="bottomLeft" activeCell="A5" sqref="A5"/>
      <selection pane="bottomRight" activeCell="AL283" sqref="AL28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COUNTA(B8:B661)</f>
        <v>500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9.90990990990991E-2</v>
      </c>
      <c r="AI1" s="3">
        <f t="shared" si="1"/>
        <v>0.1039426523297491</v>
      </c>
      <c r="AJ1" s="3">
        <f t="shared" si="1"/>
        <v>0.11190053285968028</v>
      </c>
      <c r="AK1" s="3">
        <f t="shared" si="1"/>
        <v>0.11971830985915492</v>
      </c>
      <c r="AL1" s="3">
        <f t="shared" si="1"/>
        <v>0.10233393177737882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3">CANTIDAD_DE_CAMARAS</f>
        <v>500</v>
      </c>
      <c r="M2" s="7">
        <f t="shared" si="3"/>
        <v>500</v>
      </c>
      <c r="N2" s="7">
        <f t="shared" si="3"/>
        <v>500</v>
      </c>
      <c r="O2" s="7">
        <f t="shared" si="3"/>
        <v>500</v>
      </c>
      <c r="P2" s="7">
        <f t="shared" si="3"/>
        <v>500</v>
      </c>
      <c r="Q2" s="7">
        <f t="shared" si="3"/>
        <v>500</v>
      </c>
      <c r="R2" s="7">
        <f t="shared" si="3"/>
        <v>500</v>
      </c>
      <c r="S2" s="7">
        <f t="shared" si="3"/>
        <v>500</v>
      </c>
      <c r="T2" s="7">
        <f t="shared" si="3"/>
        <v>500</v>
      </c>
      <c r="U2" s="7">
        <f t="shared" si="3"/>
        <v>500</v>
      </c>
      <c r="V2" s="7">
        <f t="shared" si="3"/>
        <v>500</v>
      </c>
      <c r="W2" s="7">
        <f t="shared" si="3"/>
        <v>500</v>
      </c>
      <c r="X2" s="7">
        <f t="shared" si="3"/>
        <v>500</v>
      </c>
      <c r="Y2" s="7">
        <f t="shared" si="3"/>
        <v>500</v>
      </c>
      <c r="Z2" s="7">
        <f t="shared" si="3"/>
        <v>500</v>
      </c>
      <c r="AA2" s="7">
        <f t="shared" si="3"/>
        <v>500</v>
      </c>
      <c r="AB2" s="7">
        <f t="shared" si="3"/>
        <v>500</v>
      </c>
      <c r="AC2" s="7">
        <f t="shared" si="3"/>
        <v>500</v>
      </c>
      <c r="AD2" s="7">
        <f t="shared" si="3"/>
        <v>500</v>
      </c>
      <c r="AE2" s="7">
        <f t="shared" si="3"/>
        <v>500</v>
      </c>
      <c r="AF2" s="7">
        <f t="shared" si="3"/>
        <v>500</v>
      </c>
      <c r="AG2" s="7">
        <f t="shared" si="3"/>
        <v>500</v>
      </c>
      <c r="AH2" s="7">
        <f t="shared" si="3"/>
        <v>500</v>
      </c>
      <c r="AI2" s="7">
        <f t="shared" si="3"/>
        <v>500</v>
      </c>
      <c r="AJ2" s="7">
        <f t="shared" si="3"/>
        <v>500</v>
      </c>
      <c r="AK2" s="7">
        <f t="shared" si="3"/>
        <v>500</v>
      </c>
      <c r="AL2" s="7">
        <f t="shared" si="3"/>
        <v>500</v>
      </c>
      <c r="AM2" s="7">
        <f t="shared" si="3"/>
        <v>500</v>
      </c>
      <c r="AN2" s="7">
        <f t="shared" si="3"/>
        <v>500</v>
      </c>
      <c r="AO2" s="7">
        <f t="shared" si="3"/>
        <v>500</v>
      </c>
      <c r="AP2" s="7">
        <f t="shared" si="3"/>
        <v>500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4">COUNTIF(L7:L661, "apagado")</f>
        <v>69</v>
      </c>
      <c r="M3" s="130">
        <f t="shared" si="4"/>
        <v>85</v>
      </c>
      <c r="N3" s="130">
        <f t="shared" si="4"/>
        <v>85</v>
      </c>
      <c r="O3" s="130">
        <f t="shared" si="4"/>
        <v>102</v>
      </c>
      <c r="P3" s="130">
        <f t="shared" si="4"/>
        <v>114</v>
      </c>
      <c r="Q3" s="130">
        <f t="shared" si="4"/>
        <v>101</v>
      </c>
      <c r="R3" s="130">
        <f t="shared" si="4"/>
        <v>122</v>
      </c>
      <c r="S3" s="130">
        <f t="shared" si="4"/>
        <v>98</v>
      </c>
      <c r="T3" s="130">
        <f t="shared" si="4"/>
        <v>80</v>
      </c>
      <c r="U3" s="130">
        <f t="shared" si="4"/>
        <v>78</v>
      </c>
      <c r="V3" s="130">
        <f t="shared" si="4"/>
        <v>77</v>
      </c>
      <c r="W3" s="130">
        <f t="shared" si="4"/>
        <v>63</v>
      </c>
      <c r="X3" s="130">
        <f t="shared" si="4"/>
        <v>68</v>
      </c>
      <c r="Y3" s="130">
        <f t="shared" si="4"/>
        <v>56</v>
      </c>
      <c r="Z3" s="130">
        <f t="shared" si="4"/>
        <v>62</v>
      </c>
      <c r="AA3" s="130">
        <f t="shared" si="4"/>
        <v>69</v>
      </c>
      <c r="AB3" s="130">
        <f t="shared" si="4"/>
        <v>94</v>
      </c>
      <c r="AC3" s="130">
        <f t="shared" si="4"/>
        <v>62</v>
      </c>
      <c r="AD3" s="130">
        <f t="shared" si="4"/>
        <v>56</v>
      </c>
      <c r="AE3" s="130">
        <f t="shared" si="4"/>
        <v>70</v>
      </c>
      <c r="AF3" s="130">
        <f t="shared" si="4"/>
        <v>51</v>
      </c>
      <c r="AG3" s="130">
        <f t="shared" si="4"/>
        <v>53</v>
      </c>
      <c r="AH3" s="130">
        <f t="shared" si="4"/>
        <v>55</v>
      </c>
      <c r="AI3" s="130">
        <f t="shared" si="4"/>
        <v>58</v>
      </c>
      <c r="AJ3" s="130">
        <f t="shared" si="4"/>
        <v>63</v>
      </c>
      <c r="AK3" s="130">
        <f t="shared" si="4"/>
        <v>68</v>
      </c>
      <c r="AL3" s="130">
        <f t="shared" si="4"/>
        <v>57</v>
      </c>
      <c r="AM3" s="130">
        <f t="shared" si="4"/>
        <v>0</v>
      </c>
      <c r="AN3" s="130">
        <f t="shared" si="4"/>
        <v>0</v>
      </c>
      <c r="AO3" s="130">
        <f t="shared" si="4"/>
        <v>0</v>
      </c>
      <c r="AP3" s="130">
        <f t="shared" si="4"/>
        <v>0</v>
      </c>
    </row>
    <row r="4" spans="1:42" s="8" customFormat="1" ht="15.75" thickTop="1" x14ac:dyDescent="0.25">
      <c r="A4" s="120"/>
      <c r="B4" s="58"/>
      <c r="C4" s="58"/>
      <c r="D4" s="21" t="s">
        <v>1476</v>
      </c>
      <c r="E4" s="64"/>
      <c r="F4" s="64"/>
      <c r="G4" s="64"/>
      <c r="H4" s="64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32</v>
      </c>
      <c r="AI4" s="10">
        <f>COUNTIFS(AI8:AI615, "=APAGADO",F8:F615,"=Fibra Optica")</f>
        <v>34</v>
      </c>
      <c r="AJ4" s="10">
        <f>COUNTIFS(AJ8:AJ615, "=APAGADO",F8:F615,"=Fibra Optica")</f>
        <v>37</v>
      </c>
      <c r="AK4" s="10">
        <f>COUNTIFS(AK8:AK615, "=APAGADO",F8:F615,"=Fibra Optica")</f>
        <v>43</v>
      </c>
      <c r="AL4" s="10">
        <f>COUNTIFS(AL8:AL615, "=APAGADO",F8:F615,"=Fibra Optica")</f>
        <v>35</v>
      </c>
      <c r="AM4" s="10">
        <f>COUNTIFS(AM8:AM615, "=APAGADO",F8:F615,"=Fibra Optica")</f>
        <v>0</v>
      </c>
      <c r="AN4" s="10">
        <f>COUNTIFS(AN8:AN615, "=APAGADO",F8:F615,"=Fibra Optica")</f>
        <v>0</v>
      </c>
      <c r="AO4" s="10">
        <f>COUNTIFS(AO8:AO615, "=APAGADO",F8:F615,"=Fibra Optica")</f>
        <v>0</v>
      </c>
      <c r="AP4" s="10">
        <f>COUNTIFS(AP8:AP615, "=APAGADO",G8:G615,"=Fibra Optica")</f>
        <v>0</v>
      </c>
    </row>
    <row r="5" spans="1:42" s="8" customFormat="1" x14ac:dyDescent="0.25">
      <c r="A5" s="120"/>
      <c r="B5" s="58"/>
      <c r="C5" s="58"/>
      <c r="D5" s="131" t="s">
        <v>1477</v>
      </c>
      <c r="E5" s="132"/>
      <c r="F5" s="132"/>
      <c r="G5" s="64"/>
      <c r="H5" s="132"/>
      <c r="I5" s="131"/>
      <c r="J5" s="131"/>
      <c r="K5" s="133"/>
      <c r="L5" s="134">
        <f>COUNTIFS(L8:L615, "=APAGADO",F8:F615,"=RADIO")</f>
        <v>13</v>
      </c>
      <c r="M5" s="134">
        <f>COUNTIFS(M8:M615, "=APAGADO",F8:F615,"=RADIO")</f>
        <v>15</v>
      </c>
      <c r="N5" s="134">
        <f>COUNTIFS(N8:N615, "=APAGADO",F8:F615,"=RADIO")</f>
        <v>15</v>
      </c>
      <c r="O5" s="134">
        <f>COUNTIFS(O8:O615, "=APAGADO",F8:F615,"=RADIO")</f>
        <v>22</v>
      </c>
      <c r="P5" s="134">
        <f>COUNTIFS(P8:P615, "=APAGADO",F8:F615,"=RADIO")</f>
        <v>17</v>
      </c>
      <c r="Q5" s="134">
        <f>COUNTIFS(Q8:Q615, "=APAGADO",F8:F615,"=RADIO")</f>
        <v>21</v>
      </c>
      <c r="R5" s="134">
        <f>COUNTIFS(R8:R615, "=APAGADO",F8:F615,"=RADIO")</f>
        <v>21</v>
      </c>
      <c r="S5" s="134">
        <f>COUNTIFS(S8:S615, "=APAGADO",F8:F615,"=RADIO")</f>
        <v>17</v>
      </c>
      <c r="T5" s="134">
        <f>COUNTIFS(T8:T615, "=APAGADO",F8:F615,"=RADIO")</f>
        <v>25</v>
      </c>
      <c r="U5" s="134">
        <f>COUNTIFS(U8:U615, "=APAGADO",F8:F615,"=RADIO")</f>
        <v>17</v>
      </c>
      <c r="V5" s="134">
        <f>COUNTIFS(V8:V615, "=APAGADO",F8:F615,"=RADIO")</f>
        <v>17</v>
      </c>
      <c r="W5" s="134">
        <f>COUNTIFS(W8:W615, "=APAGADO",F8:F615,"=RADIO")</f>
        <v>13</v>
      </c>
      <c r="X5" s="134">
        <f>COUNTIFS(X8:X615, "=APAGADO",F8:F615,"=RADIO")</f>
        <v>13</v>
      </c>
      <c r="Y5" s="134">
        <f>COUNTIFS(Y8:Y615, "=APAGADO",F8:F615,"=RADIO")</f>
        <v>13</v>
      </c>
      <c r="Z5" s="134">
        <f>COUNTIFS(Z8:Z615, "=APAGADO",F8:F615,"=RADIO")</f>
        <v>11</v>
      </c>
      <c r="AA5" s="134">
        <f>COUNTIFS(AA8:AA615, "=APAGADO",F8:F615,"=RADIO")</f>
        <v>12</v>
      </c>
      <c r="AB5" s="134">
        <f>COUNTIFS(AB8:AB615, "=APAGADO",F8:F615,"=RADIO")</f>
        <v>15</v>
      </c>
      <c r="AC5" s="134">
        <f>COUNTIFS(AC8:AC615, "=APAGADO",F8:F615,"=RADIO")</f>
        <v>14</v>
      </c>
      <c r="AD5" s="134">
        <f>COUNTIFS(AD8:AD615, "=APAGADO",F8:F615,"=RADIO")</f>
        <v>14</v>
      </c>
      <c r="AE5" s="134">
        <f>COUNTIFS(AE8:AE615, "=APAGADO",F8:F615,"=RADIO")</f>
        <v>14</v>
      </c>
      <c r="AF5" s="134">
        <f>COUNTIFS(AF8:AF615, "=APAGADO",F8:F615,"=RADIO")</f>
        <v>10</v>
      </c>
      <c r="AG5" s="134">
        <f>COUNTIFS(AG8:AG615, "=APAGADO",F8:F615,"=RADIO")</f>
        <v>12</v>
      </c>
      <c r="AH5" s="134">
        <f>COUNTIFS(AH8:AH615, "=APAGADO",F8:F615,"=RADIO")</f>
        <v>12</v>
      </c>
      <c r="AI5" s="134">
        <f>COUNTIFS(AI8:AI615, "=APAGADO",F8:F615,"=RADIO")</f>
        <v>15</v>
      </c>
      <c r="AJ5" s="134">
        <f>COUNTIFS(AJ8:AJ615, "=APAGADO",F8:F615,"=RADIO")</f>
        <v>14</v>
      </c>
      <c r="AK5" s="134">
        <f>COUNTIFS(AK8:AK615, "=APAGADO",F8:F615,"=RADIO")</f>
        <v>11</v>
      </c>
      <c r="AL5" s="134">
        <f>COUNTIFS(AL8:AL615, "=APAGADO",F8:F615,"=RADIO")</f>
        <v>9</v>
      </c>
      <c r="AM5" s="134">
        <f>COUNTIFS(AM8:AM615, "=APAGADO",F8:F615,"=RADIO")</f>
        <v>0</v>
      </c>
      <c r="AN5" s="134">
        <f>COUNTIFS(AN8:AN615, "=APAGADO",F8:F615,"=RADIO")</f>
        <v>0</v>
      </c>
      <c r="AO5" s="134">
        <f>COUNTIFS(AO8:AO615, "=APAGADO",F8:F615,"=RADIO")</f>
        <v>0</v>
      </c>
      <c r="AP5" s="134">
        <f>COUNTIFS(AP8:AP615, "=APAGADO",G8:G615,"=RADIO")</f>
        <v>0</v>
      </c>
    </row>
    <row r="6" spans="1:42" s="8" customFormat="1" ht="15.75" thickBot="1" x14ac:dyDescent="0.3">
      <c r="A6" s="120"/>
      <c r="B6" s="58"/>
      <c r="C6" s="58"/>
      <c r="D6" s="21" t="s">
        <v>1478</v>
      </c>
      <c r="E6" s="64"/>
      <c r="F6" s="64"/>
      <c r="G6" s="64"/>
      <c r="H6" s="64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7</v>
      </c>
      <c r="AI6" s="10">
        <f>COUNTIFS(AI8:AI615, "=APAGADO",F8:F615,"=PTO A FO")</f>
        <v>5</v>
      </c>
      <c r="AJ6" s="10">
        <f>COUNTIFS(AJ8:AJ615, "=APAGADO",F8:F615,"=PTO A FO")</f>
        <v>7</v>
      </c>
      <c r="AK6" s="10">
        <f>COUNTIFS(AK8:AK615, "=APAGADO",F8:F615,"=PTO A FO")</f>
        <v>8</v>
      </c>
      <c r="AL6" s="10">
        <f>COUNTIFS(AL8:AL615, "=APAGADO",F8:F615,"=PTO A FO")</f>
        <v>8</v>
      </c>
      <c r="AM6" s="10">
        <f>COUNTIFS(AM8:AM615, "=APAGADO",F8:F615,"=PTO A FO")</f>
        <v>0</v>
      </c>
      <c r="AN6" s="10">
        <f>COUNTIFS(AN8:AN615, "=APAGADO",F8:F615,"=PTO A FO")</f>
        <v>0</v>
      </c>
      <c r="AO6" s="10">
        <f>COUNTIFS(AO8:AO615, "=APAGADO",F8:F615,"=PTO A FO")</f>
        <v>0</v>
      </c>
      <c r="AP6" s="10">
        <f>COUNTIFS(AP8:AP615, "=APAGADO",G8:G615,"=PTO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45839</v>
      </c>
      <c r="M7" s="123">
        <v>45840</v>
      </c>
      <c r="N7" s="123">
        <v>45841</v>
      </c>
      <c r="O7" s="123">
        <v>45842</v>
      </c>
      <c r="P7" s="123">
        <v>45843</v>
      </c>
      <c r="Q7" s="123">
        <v>45844</v>
      </c>
      <c r="R7" s="123">
        <v>45845</v>
      </c>
      <c r="S7" s="123">
        <v>45846</v>
      </c>
      <c r="T7" s="123">
        <v>45847</v>
      </c>
      <c r="U7" s="123">
        <v>45848</v>
      </c>
      <c r="V7" s="123">
        <v>45849</v>
      </c>
      <c r="W7" s="123">
        <v>45850</v>
      </c>
      <c r="X7" s="123">
        <v>45851</v>
      </c>
      <c r="Y7" s="123">
        <v>45852</v>
      </c>
      <c r="Z7" s="123">
        <v>45853</v>
      </c>
      <c r="AA7" s="123">
        <v>45854</v>
      </c>
      <c r="AB7" s="123">
        <v>45855</v>
      </c>
      <c r="AC7" s="123">
        <v>45856</v>
      </c>
      <c r="AD7" s="123">
        <v>45857</v>
      </c>
      <c r="AE7" s="123">
        <v>45858</v>
      </c>
      <c r="AF7" s="123">
        <v>45859</v>
      </c>
      <c r="AG7" s="123">
        <v>45860</v>
      </c>
      <c r="AH7" s="123">
        <v>45861</v>
      </c>
      <c r="AI7" s="123">
        <v>45862</v>
      </c>
      <c r="AJ7" s="123">
        <v>45863</v>
      </c>
      <c r="AK7" s="123">
        <v>45864</v>
      </c>
      <c r="AL7" s="123">
        <v>45865</v>
      </c>
      <c r="AM7" s="123">
        <v>45866</v>
      </c>
      <c r="AN7" s="123">
        <v>45867</v>
      </c>
      <c r="AO7" s="123">
        <v>45868</v>
      </c>
      <c r="AP7" s="123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5">COUNTIF(L8:AM8,"")</f>
        <v>28</v>
      </c>
      <c r="J8" s="31">
        <f t="shared" ref="J8:J74" si="6">COUNTIF(L8:AM8,"APAGADO")</f>
        <v>0</v>
      </c>
      <c r="K8" s="32">
        <f t="shared" ref="K8:K74" si="7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0"/>
      <c r="M10" s="70" t="s">
        <v>1532</v>
      </c>
      <c r="N10" s="70" t="s">
        <v>1532</v>
      </c>
      <c r="O10" s="70" t="s">
        <v>1532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5"/>
        <v>18</v>
      </c>
      <c r="J11" s="31">
        <f t="shared" si="6"/>
        <v>10</v>
      </c>
      <c r="K11" s="32">
        <f t="shared" si="7"/>
        <v>0.6428571428571429</v>
      </c>
      <c r="L11" s="70"/>
      <c r="M11" s="70"/>
      <c r="N11" s="70"/>
      <c r="O11" s="70" t="s">
        <v>1532</v>
      </c>
      <c r="P11" s="70" t="s">
        <v>1532</v>
      </c>
      <c r="Q11" s="70"/>
      <c r="R11" s="70" t="s">
        <v>1532</v>
      </c>
      <c r="S11" s="70" t="s">
        <v>1532</v>
      </c>
      <c r="T11" s="70"/>
      <c r="U11" s="70" t="s">
        <v>1532</v>
      </c>
      <c r="V11" s="70" t="s">
        <v>1532</v>
      </c>
      <c r="W11" s="70"/>
      <c r="X11" s="70"/>
      <c r="Y11" s="70"/>
      <c r="Z11" s="70" t="s">
        <v>1532</v>
      </c>
      <c r="AA11" s="70"/>
      <c r="AB11" s="70" t="s">
        <v>1532</v>
      </c>
      <c r="AC11" s="70"/>
      <c r="AD11" s="70"/>
      <c r="AE11" s="70"/>
      <c r="AF11" s="70"/>
      <c r="AG11" s="70"/>
      <c r="AH11" s="70"/>
      <c r="AI11" s="70"/>
      <c r="AJ11" s="70" t="s">
        <v>1532</v>
      </c>
      <c r="AK11" s="70" t="s">
        <v>1532</v>
      </c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13</v>
      </c>
      <c r="J12" s="31">
        <f t="shared" si="6"/>
        <v>15</v>
      </c>
      <c r="K12" s="32">
        <f t="shared" si="7"/>
        <v>0.4642857142857143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 t="s">
        <v>1532</v>
      </c>
      <c r="X12" s="70" t="s">
        <v>1532</v>
      </c>
      <c r="Y12" s="70" t="s">
        <v>1532</v>
      </c>
      <c r="Z12" s="70" t="s">
        <v>1532</v>
      </c>
      <c r="AA12" s="70" t="s">
        <v>1532</v>
      </c>
      <c r="AB12" s="70" t="s">
        <v>1532</v>
      </c>
      <c r="AC12" s="70" t="s">
        <v>1532</v>
      </c>
      <c r="AD12" s="70" t="s">
        <v>1532</v>
      </c>
      <c r="AE12" s="70" t="s">
        <v>1532</v>
      </c>
      <c r="AF12" s="70" t="s">
        <v>1532</v>
      </c>
      <c r="AG12" s="70" t="s">
        <v>1532</v>
      </c>
      <c r="AH12" s="70" t="s">
        <v>1532</v>
      </c>
      <c r="AI12" s="70" t="s">
        <v>1532</v>
      </c>
      <c r="AJ12" s="70" t="s">
        <v>1532</v>
      </c>
      <c r="AK12" s="70" t="s">
        <v>1532</v>
      </c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9</v>
      </c>
      <c r="J17" s="31">
        <f t="shared" si="6"/>
        <v>19</v>
      </c>
      <c r="K17" s="32">
        <f t="shared" si="7"/>
        <v>0.32142857142857145</v>
      </c>
      <c r="L17" s="70"/>
      <c r="M17" s="70"/>
      <c r="N17" s="70"/>
      <c r="O17" s="70"/>
      <c r="P17" s="70"/>
      <c r="Q17" s="70"/>
      <c r="R17" s="70"/>
      <c r="S17" s="70"/>
      <c r="T17" s="70" t="s">
        <v>1532</v>
      </c>
      <c r="U17" s="70" t="s">
        <v>1532</v>
      </c>
      <c r="V17" s="70" t="s">
        <v>1532</v>
      </c>
      <c r="W17" s="70" t="s">
        <v>1532</v>
      </c>
      <c r="X17" s="70" t="s">
        <v>1532</v>
      </c>
      <c r="Y17" s="70" t="s">
        <v>1532</v>
      </c>
      <c r="Z17" s="70" t="s">
        <v>1532</v>
      </c>
      <c r="AA17" s="70" t="s">
        <v>1532</v>
      </c>
      <c r="AB17" s="70" t="s">
        <v>1532</v>
      </c>
      <c r="AC17" s="70" t="s">
        <v>1532</v>
      </c>
      <c r="AD17" s="70" t="s">
        <v>1532</v>
      </c>
      <c r="AE17" s="70" t="s">
        <v>1532</v>
      </c>
      <c r="AF17" s="70" t="s">
        <v>1532</v>
      </c>
      <c r="AG17" s="70" t="s">
        <v>1532</v>
      </c>
      <c r="AH17" s="70" t="s">
        <v>1532</v>
      </c>
      <c r="AI17" s="70" t="s">
        <v>1532</v>
      </c>
      <c r="AJ17" s="70" t="s">
        <v>1532</v>
      </c>
      <c r="AK17" s="70" t="s">
        <v>1532</v>
      </c>
      <c r="AL17" s="70" t="s">
        <v>1532</v>
      </c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1543</v>
      </c>
      <c r="C18" t="s">
        <v>1069</v>
      </c>
      <c r="D18" s="68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13</v>
      </c>
      <c r="J18" s="31">
        <f t="shared" si="6"/>
        <v>15</v>
      </c>
      <c r="K18" s="32">
        <f t="shared" si="7"/>
        <v>0.4642857142857143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 t="s">
        <v>1532</v>
      </c>
      <c r="X18" s="70" t="s">
        <v>1532</v>
      </c>
      <c r="Y18" s="71" t="s">
        <v>1532</v>
      </c>
      <c r="Z18" s="70" t="s">
        <v>1532</v>
      </c>
      <c r="AA18" s="70" t="s">
        <v>1532</v>
      </c>
      <c r="AB18" s="70" t="s">
        <v>1532</v>
      </c>
      <c r="AC18" s="70" t="s">
        <v>1532</v>
      </c>
      <c r="AD18" s="70" t="s">
        <v>1532</v>
      </c>
      <c r="AE18" s="70" t="s">
        <v>1532</v>
      </c>
      <c r="AF18" s="70" t="s">
        <v>1532</v>
      </c>
      <c r="AG18" s="70" t="s">
        <v>1532</v>
      </c>
      <c r="AH18" s="70" t="s">
        <v>1532</v>
      </c>
      <c r="AI18" s="70" t="s">
        <v>1532</v>
      </c>
      <c r="AJ18" s="70" t="s">
        <v>1532</v>
      </c>
      <c r="AK18" s="70" t="s">
        <v>1532</v>
      </c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25</v>
      </c>
      <c r="J19" s="31">
        <f t="shared" si="6"/>
        <v>3</v>
      </c>
      <c r="K19" s="32">
        <f t="shared" si="7"/>
        <v>0.8928571428571429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 t="s">
        <v>1532</v>
      </c>
      <c r="X19" s="70" t="s">
        <v>1532</v>
      </c>
      <c r="Y19" s="71"/>
      <c r="Z19" s="70"/>
      <c r="AA19" s="70"/>
      <c r="AB19" s="70"/>
      <c r="AC19" s="70"/>
      <c r="AD19" s="70"/>
      <c r="AE19" s="70"/>
      <c r="AF19" s="70"/>
      <c r="AG19" s="70" t="s">
        <v>1532</v>
      </c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1558</v>
      </c>
      <c r="C20" t="s">
        <v>1069</v>
      </c>
      <c r="D20" t="s">
        <v>1559</v>
      </c>
      <c r="E20" s="30" t="s">
        <v>73</v>
      </c>
      <c r="F20" s="30" t="s">
        <v>1309</v>
      </c>
      <c r="G20" s="30"/>
      <c r="H20" s="30" t="s">
        <v>1560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0" t="s">
        <v>1532</v>
      </c>
      <c r="M23" s="70" t="s">
        <v>1532</v>
      </c>
      <c r="N23" s="70" t="s">
        <v>1532</v>
      </c>
      <c r="O23" s="70" t="s">
        <v>1532</v>
      </c>
      <c r="P23" s="70" t="s">
        <v>1532</v>
      </c>
      <c r="Q23" s="70" t="s">
        <v>1532</v>
      </c>
      <c r="R23" s="70" t="s">
        <v>1532</v>
      </c>
      <c r="S23" s="70" t="s">
        <v>1532</v>
      </c>
      <c r="T23" s="70" t="s">
        <v>1532</v>
      </c>
      <c r="U23" s="70" t="s">
        <v>1532</v>
      </c>
      <c r="V23" s="70" t="s">
        <v>1532</v>
      </c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0" t="s">
        <v>1532</v>
      </c>
      <c r="M24" s="70" t="s">
        <v>1532</v>
      </c>
      <c r="N24" s="70" t="s">
        <v>1532</v>
      </c>
      <c r="O24" s="70" t="s">
        <v>1532</v>
      </c>
      <c r="P24" s="70" t="s">
        <v>1532</v>
      </c>
      <c r="Q24" s="70" t="s">
        <v>1532</v>
      </c>
      <c r="R24" s="70" t="s">
        <v>1532</v>
      </c>
      <c r="S24" s="70" t="s">
        <v>1532</v>
      </c>
      <c r="T24" s="70" t="s">
        <v>1532</v>
      </c>
      <c r="U24" s="70" t="s">
        <v>1532</v>
      </c>
      <c r="V24" s="70" t="s">
        <v>1532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5"/>
        <v>16</v>
      </c>
      <c r="J25" s="31">
        <f t="shared" si="6"/>
        <v>12</v>
      </c>
      <c r="K25" s="32">
        <f t="shared" si="7"/>
        <v>0.5714285714285714</v>
      </c>
      <c r="L25" s="70" t="s">
        <v>1532</v>
      </c>
      <c r="M25" s="70" t="s">
        <v>1532</v>
      </c>
      <c r="N25" s="70" t="s">
        <v>1532</v>
      </c>
      <c r="O25" s="70" t="s">
        <v>1532</v>
      </c>
      <c r="P25" s="70" t="s">
        <v>1532</v>
      </c>
      <c r="Q25" s="70" t="s">
        <v>1532</v>
      </c>
      <c r="R25" s="70" t="s">
        <v>1532</v>
      </c>
      <c r="S25" s="70" t="s">
        <v>1532</v>
      </c>
      <c r="T25" s="70" t="s">
        <v>1532</v>
      </c>
      <c r="U25" s="70" t="s">
        <v>1532</v>
      </c>
      <c r="V25" s="70" t="s">
        <v>1532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 t="s">
        <v>1532</v>
      </c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5"/>
        <v>16</v>
      </c>
      <c r="J26" s="31">
        <f t="shared" si="6"/>
        <v>12</v>
      </c>
      <c r="K26" s="32">
        <f t="shared" si="7"/>
        <v>0.5714285714285714</v>
      </c>
      <c r="L26" s="70" t="s">
        <v>1532</v>
      </c>
      <c r="M26" s="70" t="s">
        <v>1532</v>
      </c>
      <c r="N26" s="70" t="s">
        <v>1532</v>
      </c>
      <c r="O26" s="70" t="s">
        <v>1532</v>
      </c>
      <c r="P26" s="70" t="s">
        <v>1532</v>
      </c>
      <c r="Q26" s="70" t="s">
        <v>1532</v>
      </c>
      <c r="R26" s="70" t="s">
        <v>1532</v>
      </c>
      <c r="S26" s="70" t="s">
        <v>1532</v>
      </c>
      <c r="T26" s="70" t="s">
        <v>1532</v>
      </c>
      <c r="U26" s="70" t="s">
        <v>1532</v>
      </c>
      <c r="V26" s="70" t="s">
        <v>1532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 t="s">
        <v>1532</v>
      </c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0"/>
      <c r="M27" s="70"/>
      <c r="N27" s="70"/>
      <c r="O27" s="70" t="s">
        <v>1532</v>
      </c>
      <c r="P27" s="70" t="s">
        <v>1532</v>
      </c>
      <c r="Q27" s="70" t="s">
        <v>1532</v>
      </c>
      <c r="R27" s="70" t="s">
        <v>1532</v>
      </c>
      <c r="S27" s="70" t="s">
        <v>1532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5"/>
        <v>23</v>
      </c>
      <c r="J28" s="31">
        <f t="shared" si="6"/>
        <v>5</v>
      </c>
      <c r="K28" s="32">
        <f t="shared" si="7"/>
        <v>0.8214285714285714</v>
      </c>
      <c r="L28" s="70"/>
      <c r="M28" s="70"/>
      <c r="N28" s="70"/>
      <c r="O28" s="70" t="s">
        <v>1532</v>
      </c>
      <c r="P28" s="70" t="s">
        <v>1532</v>
      </c>
      <c r="Q28" s="70" t="s">
        <v>1532</v>
      </c>
      <c r="R28" s="70" t="s">
        <v>1532</v>
      </c>
      <c r="S28" s="70" t="s">
        <v>1532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5"/>
        <v>28</v>
      </c>
      <c r="J29" s="31">
        <f t="shared" si="6"/>
        <v>0</v>
      </c>
      <c r="K29" s="32">
        <f t="shared" si="7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5"/>
        <v>2</v>
      </c>
      <c r="J30" s="138">
        <f t="shared" si="6"/>
        <v>26</v>
      </c>
      <c r="K30" s="139">
        <f t="shared" si="7"/>
        <v>7.1428571428571425E-2</v>
      </c>
      <c r="L30" s="140" t="s">
        <v>1532</v>
      </c>
      <c r="M30" s="140" t="s">
        <v>1532</v>
      </c>
      <c r="N30" s="140" t="s">
        <v>1532</v>
      </c>
      <c r="O30" s="140" t="s">
        <v>1532</v>
      </c>
      <c r="P30" s="140" t="s">
        <v>1532</v>
      </c>
      <c r="Q30" s="140" t="s">
        <v>1532</v>
      </c>
      <c r="R30" s="140" t="s">
        <v>1532</v>
      </c>
      <c r="S30" s="140" t="s">
        <v>1532</v>
      </c>
      <c r="T30" s="140" t="s">
        <v>1532</v>
      </c>
      <c r="U30" s="140" t="s">
        <v>1532</v>
      </c>
      <c r="V30" s="140" t="s">
        <v>1532</v>
      </c>
      <c r="W30" s="140" t="s">
        <v>1532</v>
      </c>
      <c r="X30" s="140" t="s">
        <v>1532</v>
      </c>
      <c r="Y30" s="140"/>
      <c r="Z30" s="140" t="s">
        <v>1532</v>
      </c>
      <c r="AA30" s="140" t="s">
        <v>1532</v>
      </c>
      <c r="AB30" s="140" t="s">
        <v>1532</v>
      </c>
      <c r="AC30" s="140" t="s">
        <v>1532</v>
      </c>
      <c r="AD30" s="140" t="s">
        <v>1532</v>
      </c>
      <c r="AE30" s="140" t="s">
        <v>1532</v>
      </c>
      <c r="AF30" s="140" t="s">
        <v>1532</v>
      </c>
      <c r="AG30" s="140" t="s">
        <v>1532</v>
      </c>
      <c r="AH30" s="140" t="s">
        <v>1532</v>
      </c>
      <c r="AI30" s="140" t="s">
        <v>1532</v>
      </c>
      <c r="AJ30" s="140" t="s">
        <v>1532</v>
      </c>
      <c r="AK30" s="140" t="s">
        <v>1532</v>
      </c>
      <c r="AL30" s="140" t="s">
        <v>1532</v>
      </c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5"/>
        <v>12</v>
      </c>
      <c r="J31" s="31">
        <f t="shared" si="6"/>
        <v>16</v>
      </c>
      <c r="K31" s="32">
        <f t="shared" si="7"/>
        <v>0.42857142857142855</v>
      </c>
      <c r="L31" s="70" t="s">
        <v>1532</v>
      </c>
      <c r="M31" s="70" t="s">
        <v>1532</v>
      </c>
      <c r="N31" s="70" t="s">
        <v>1532</v>
      </c>
      <c r="O31" s="70" t="s">
        <v>1532</v>
      </c>
      <c r="P31" s="70" t="s">
        <v>1532</v>
      </c>
      <c r="Q31" s="70" t="s">
        <v>1532</v>
      </c>
      <c r="R31" s="70" t="s">
        <v>1532</v>
      </c>
      <c r="S31" s="70" t="s">
        <v>1532</v>
      </c>
      <c r="T31" s="70" t="s">
        <v>1532</v>
      </c>
      <c r="U31" s="70" t="s">
        <v>1532</v>
      </c>
      <c r="V31" s="70" t="s">
        <v>1532</v>
      </c>
      <c r="W31" s="70" t="s">
        <v>1532</v>
      </c>
      <c r="X31" s="70" t="s">
        <v>1532</v>
      </c>
      <c r="Y31" s="70"/>
      <c r="Z31" s="70" t="s">
        <v>1532</v>
      </c>
      <c r="AA31" s="70" t="s">
        <v>1532</v>
      </c>
      <c r="AB31" s="70" t="s">
        <v>1532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1524</v>
      </c>
      <c r="C32" t="s">
        <v>1070</v>
      </c>
      <c r="D32" t="s">
        <v>1525</v>
      </c>
      <c r="E32" s="65"/>
      <c r="F32" s="30" t="s">
        <v>28</v>
      </c>
      <c r="G32" s="30"/>
      <c r="H32" s="87" t="s">
        <v>1526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 t="s">
        <v>1532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5"/>
        <v>1</v>
      </c>
      <c r="J40" s="31">
        <f t="shared" si="6"/>
        <v>27</v>
      </c>
      <c r="K40" s="32">
        <f t="shared" si="7"/>
        <v>3.5714285714285712E-2</v>
      </c>
      <c r="L40" s="70" t="s">
        <v>1532</v>
      </c>
      <c r="M40" s="70" t="s">
        <v>1532</v>
      </c>
      <c r="N40" s="70" t="s">
        <v>1532</v>
      </c>
      <c r="O40" s="70" t="s">
        <v>1532</v>
      </c>
      <c r="P40" s="70" t="s">
        <v>1532</v>
      </c>
      <c r="Q40" s="70" t="s">
        <v>1532</v>
      </c>
      <c r="R40" s="70" t="s">
        <v>1532</v>
      </c>
      <c r="S40" s="70" t="s">
        <v>1532</v>
      </c>
      <c r="T40" s="70" t="s">
        <v>1532</v>
      </c>
      <c r="U40" s="70" t="s">
        <v>1532</v>
      </c>
      <c r="V40" s="70" t="s">
        <v>1532</v>
      </c>
      <c r="W40" s="70" t="s">
        <v>1532</v>
      </c>
      <c r="X40" s="70" t="s">
        <v>1532</v>
      </c>
      <c r="Y40" s="70" t="s">
        <v>1532</v>
      </c>
      <c r="Z40" s="70" t="s">
        <v>1532</v>
      </c>
      <c r="AA40" s="70" t="s">
        <v>1532</v>
      </c>
      <c r="AB40" s="70" t="s">
        <v>1532</v>
      </c>
      <c r="AC40" s="70" t="s">
        <v>1532</v>
      </c>
      <c r="AD40" s="70" t="s">
        <v>1532</v>
      </c>
      <c r="AE40" s="70" t="s">
        <v>1532</v>
      </c>
      <c r="AF40" s="70" t="s">
        <v>1532</v>
      </c>
      <c r="AG40" s="70" t="s">
        <v>1532</v>
      </c>
      <c r="AH40" s="70" t="s">
        <v>1532</v>
      </c>
      <c r="AI40" s="70" t="s">
        <v>1532</v>
      </c>
      <c r="AJ40" s="70" t="s">
        <v>1532</v>
      </c>
      <c r="AK40" s="70" t="s">
        <v>1532</v>
      </c>
      <c r="AL40" s="70" t="s">
        <v>1532</v>
      </c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5"/>
        <v>26</v>
      </c>
      <c r="J46" s="31">
        <f t="shared" si="6"/>
        <v>2</v>
      </c>
      <c r="K46" s="32">
        <f t="shared" si="7"/>
        <v>0.9285714285714286</v>
      </c>
      <c r="L46" s="70"/>
      <c r="M46" s="70"/>
      <c r="N46" s="70"/>
      <c r="O46" s="70"/>
      <c r="P46" s="70" t="s">
        <v>1532</v>
      </c>
      <c r="Q46" s="70"/>
      <c r="R46" s="70" t="s">
        <v>1532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5"/>
        <v>26</v>
      </c>
      <c r="J52" s="31">
        <f t="shared" si="6"/>
        <v>2</v>
      </c>
      <c r="K52" s="32">
        <f t="shared" si="7"/>
        <v>0.9285714285714286</v>
      </c>
      <c r="L52" s="70"/>
      <c r="M52" s="70"/>
      <c r="N52" s="70"/>
      <c r="O52" s="70"/>
      <c r="P52" s="70" t="s">
        <v>1532</v>
      </c>
      <c r="Q52" s="70"/>
      <c r="R52" s="70" t="s">
        <v>1532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5"/>
        <v>27</v>
      </c>
      <c r="J54" s="31">
        <f t="shared" si="6"/>
        <v>1</v>
      </c>
      <c r="K54" s="32">
        <f t="shared" si="7"/>
        <v>0.9642857142857143</v>
      </c>
      <c r="L54" s="70"/>
      <c r="M54" s="70"/>
      <c r="N54" s="70"/>
      <c r="O54" s="70"/>
      <c r="P54" s="70"/>
      <c r="Q54" s="70"/>
      <c r="R54" s="70"/>
      <c r="S54" s="70"/>
      <c r="T54" s="70" t="s">
        <v>1532</v>
      </c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5"/>
        <v>1</v>
      </c>
      <c r="J55" s="31">
        <f t="shared" si="6"/>
        <v>27</v>
      </c>
      <c r="K55" s="32">
        <f t="shared" si="7"/>
        <v>3.5714285714285712E-2</v>
      </c>
      <c r="L55" s="70" t="s">
        <v>1532</v>
      </c>
      <c r="M55" s="70" t="s">
        <v>1532</v>
      </c>
      <c r="N55" s="70" t="s">
        <v>1532</v>
      </c>
      <c r="O55" s="70" t="s">
        <v>1532</v>
      </c>
      <c r="P55" s="70" t="s">
        <v>1532</v>
      </c>
      <c r="Q55" s="70" t="s">
        <v>1532</v>
      </c>
      <c r="R55" s="70" t="s">
        <v>1532</v>
      </c>
      <c r="S55" s="70" t="s">
        <v>1532</v>
      </c>
      <c r="T55" s="70" t="s">
        <v>1532</v>
      </c>
      <c r="U55" s="70" t="s">
        <v>1532</v>
      </c>
      <c r="V55" s="70" t="s">
        <v>1532</v>
      </c>
      <c r="W55" s="70" t="s">
        <v>1532</v>
      </c>
      <c r="X55" s="70" t="s">
        <v>1532</v>
      </c>
      <c r="Y55" s="70" t="s">
        <v>1532</v>
      </c>
      <c r="Z55" s="70" t="s">
        <v>1532</v>
      </c>
      <c r="AA55" s="70" t="s">
        <v>1532</v>
      </c>
      <c r="AB55" s="70" t="s">
        <v>1532</v>
      </c>
      <c r="AC55" s="70" t="s">
        <v>1532</v>
      </c>
      <c r="AD55" s="97" t="s">
        <v>1532</v>
      </c>
      <c r="AE55" s="97" t="s">
        <v>1532</v>
      </c>
      <c r="AF55" s="97" t="s">
        <v>1532</v>
      </c>
      <c r="AG55" s="97" t="s">
        <v>1532</v>
      </c>
      <c r="AH55" s="97" t="s">
        <v>1532</v>
      </c>
      <c r="AI55" s="97" t="s">
        <v>1532</v>
      </c>
      <c r="AJ55" s="97" t="s">
        <v>1532</v>
      </c>
      <c r="AK55" s="97" t="s">
        <v>1532</v>
      </c>
      <c r="AL55" s="97" t="s">
        <v>1532</v>
      </c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0" t="s">
        <v>1532</v>
      </c>
      <c r="M56" s="70"/>
      <c r="N56" s="70"/>
      <c r="O56" s="70"/>
      <c r="P56" s="70"/>
      <c r="Q56" s="70"/>
      <c r="R56" s="70"/>
      <c r="S56" s="70"/>
      <c r="T56" s="70" t="s">
        <v>1532</v>
      </c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5"/>
        <v>27</v>
      </c>
      <c r="J57" s="31">
        <f t="shared" si="6"/>
        <v>1</v>
      </c>
      <c r="K57" s="32">
        <f t="shared" si="7"/>
        <v>0.9642857142857143</v>
      </c>
      <c r="L57" s="70"/>
      <c r="M57" s="70"/>
      <c r="N57" s="70"/>
      <c r="O57" s="70"/>
      <c r="P57" s="70"/>
      <c r="Q57" s="70"/>
      <c r="R57" s="70" t="s">
        <v>1532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5"/>
        <v>11</v>
      </c>
      <c r="J58" s="31">
        <f t="shared" si="6"/>
        <v>17</v>
      </c>
      <c r="K58" s="32">
        <f t="shared" si="7"/>
        <v>0.39285714285714285</v>
      </c>
      <c r="L58" s="70"/>
      <c r="M58" s="70"/>
      <c r="N58" s="70"/>
      <c r="O58" s="70"/>
      <c r="P58" s="70" t="s">
        <v>1532</v>
      </c>
      <c r="Q58" s="70"/>
      <c r="R58" s="70" t="s">
        <v>1532</v>
      </c>
      <c r="S58" s="70"/>
      <c r="T58" s="70"/>
      <c r="U58" s="70"/>
      <c r="V58" s="70" t="s">
        <v>1532</v>
      </c>
      <c r="W58" s="70" t="s">
        <v>1532</v>
      </c>
      <c r="X58" s="70" t="s">
        <v>1532</v>
      </c>
      <c r="Y58" s="70" t="s">
        <v>1532</v>
      </c>
      <c r="Z58" s="70" t="s">
        <v>1532</v>
      </c>
      <c r="AA58" s="70" t="s">
        <v>1532</v>
      </c>
      <c r="AB58" s="70" t="s">
        <v>1532</v>
      </c>
      <c r="AC58" s="70" t="s">
        <v>1532</v>
      </c>
      <c r="AD58" s="70" t="s">
        <v>1532</v>
      </c>
      <c r="AE58" s="70" t="s">
        <v>1532</v>
      </c>
      <c r="AF58" s="70" t="s">
        <v>1532</v>
      </c>
      <c r="AG58" s="70" t="s">
        <v>1532</v>
      </c>
      <c r="AH58" s="70" t="s">
        <v>1532</v>
      </c>
      <c r="AI58" s="70" t="s">
        <v>1532</v>
      </c>
      <c r="AJ58" s="70" t="s">
        <v>1532</v>
      </c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5"/>
        <v>11</v>
      </c>
      <c r="J59" s="31">
        <f t="shared" si="6"/>
        <v>17</v>
      </c>
      <c r="K59" s="32">
        <f t="shared" si="7"/>
        <v>0.39285714285714285</v>
      </c>
      <c r="L59" s="70" t="s">
        <v>1532</v>
      </c>
      <c r="M59" s="70" t="s">
        <v>1532</v>
      </c>
      <c r="N59" s="70" t="s">
        <v>1532</v>
      </c>
      <c r="O59" s="70" t="s">
        <v>1532</v>
      </c>
      <c r="P59" s="70" t="s">
        <v>1532</v>
      </c>
      <c r="Q59" s="70" t="s">
        <v>1532</v>
      </c>
      <c r="R59" s="70" t="s">
        <v>1532</v>
      </c>
      <c r="S59" s="70" t="s">
        <v>1532</v>
      </c>
      <c r="T59" s="70" t="s">
        <v>1532</v>
      </c>
      <c r="U59" s="70" t="s">
        <v>1532</v>
      </c>
      <c r="V59" s="70" t="s">
        <v>1532</v>
      </c>
      <c r="W59" s="70" t="s">
        <v>1532</v>
      </c>
      <c r="X59" s="70" t="s">
        <v>1532</v>
      </c>
      <c r="Y59" s="70" t="s">
        <v>1532</v>
      </c>
      <c r="Z59" s="70" t="s">
        <v>1532</v>
      </c>
      <c r="AA59" s="70" t="s">
        <v>1532</v>
      </c>
      <c r="AB59" s="70" t="s">
        <v>1532</v>
      </c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0"/>
      <c r="M60" s="70"/>
      <c r="N60" s="70"/>
      <c r="O60" s="70"/>
      <c r="P60" s="70" t="s">
        <v>1532</v>
      </c>
      <c r="Q60" s="70"/>
      <c r="R60" s="70" t="s">
        <v>1532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1491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0"/>
      <c r="M61" s="70"/>
      <c r="N61" s="70"/>
      <c r="O61" s="70"/>
      <c r="P61" s="70" t="s">
        <v>1532</v>
      </c>
      <c r="Q61" s="70"/>
      <c r="R61" s="70" t="s">
        <v>1532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0"/>
      <c r="M62" s="70"/>
      <c r="N62" s="70"/>
      <c r="O62" s="70"/>
      <c r="P62" s="70" t="s">
        <v>1532</v>
      </c>
      <c r="Q62" s="70"/>
      <c r="R62" s="70" t="s">
        <v>1532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0"/>
      <c r="M63" s="70"/>
      <c r="N63" s="70"/>
      <c r="O63" s="70"/>
      <c r="P63" s="70" t="s">
        <v>1532</v>
      </c>
      <c r="Q63" s="70"/>
      <c r="R63" s="70" t="s">
        <v>1532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0"/>
      <c r="M64" s="70"/>
      <c r="N64" s="70"/>
      <c r="O64" s="70"/>
      <c r="P64" s="70" t="s">
        <v>1532</v>
      </c>
      <c r="Q64" s="70"/>
      <c r="R64" s="70" t="s">
        <v>1532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0"/>
      <c r="M65" s="70"/>
      <c r="N65" s="70"/>
      <c r="O65" s="70"/>
      <c r="P65" s="70" t="s">
        <v>1532</v>
      </c>
      <c r="Q65" s="70"/>
      <c r="R65" s="70" t="s">
        <v>1532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5"/>
        <v>26</v>
      </c>
      <c r="J66" s="31">
        <f t="shared" si="6"/>
        <v>2</v>
      </c>
      <c r="K66" s="32">
        <f t="shared" si="7"/>
        <v>0.9285714285714286</v>
      </c>
      <c r="L66" s="70"/>
      <c r="M66" s="70"/>
      <c r="N66" s="70"/>
      <c r="O66" s="70"/>
      <c r="P66" s="70" t="s">
        <v>1532</v>
      </c>
      <c r="Q66" s="70"/>
      <c r="R66" s="70" t="s">
        <v>1532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5"/>
        <v>24</v>
      </c>
      <c r="J72" s="31">
        <f t="shared" si="6"/>
        <v>4</v>
      </c>
      <c r="K72" s="32">
        <f t="shared" si="7"/>
        <v>0.8571428571428571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 t="s">
        <v>1532</v>
      </c>
      <c r="AB72" s="70" t="s">
        <v>1532</v>
      </c>
      <c r="AC72" s="70"/>
      <c r="AD72" s="70"/>
      <c r="AE72" s="70"/>
      <c r="AF72" s="70"/>
      <c r="AG72" s="70"/>
      <c r="AH72" s="70"/>
      <c r="AI72" s="70" t="s">
        <v>1532</v>
      </c>
      <c r="AJ72" s="70"/>
      <c r="AK72" s="70" t="s">
        <v>1532</v>
      </c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5"/>
        <v>28</v>
      </c>
      <c r="J74" s="31">
        <f t="shared" si="6"/>
        <v>0</v>
      </c>
      <c r="K74" s="32">
        <f t="shared" si="7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8">COUNTIF(L75:AM75,"")</f>
        <v>27</v>
      </c>
      <c r="J75" s="31">
        <f t="shared" ref="J75:J143" si="9">COUNTIF(L75:AM75,"APAGADO")</f>
        <v>1</v>
      </c>
      <c r="K75" s="32">
        <f t="shared" ref="K75:K143" si="10">(I75)/(J75+I75)</f>
        <v>0.9642857142857143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 t="s">
        <v>1532</v>
      </c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1536</v>
      </c>
      <c r="E76" s="30" t="s">
        <v>19</v>
      </c>
      <c r="F76" s="30" t="s">
        <v>1309</v>
      </c>
      <c r="G76" s="30"/>
      <c r="H76" s="30" t="s">
        <v>659</v>
      </c>
      <c r="I76" s="31">
        <f t="shared" si="8"/>
        <v>22</v>
      </c>
      <c r="J76" s="31">
        <f t="shared" si="9"/>
        <v>6</v>
      </c>
      <c r="K76" s="32">
        <f t="shared" si="10"/>
        <v>0.7857142857142857</v>
      </c>
      <c r="L76" s="70" t="s">
        <v>1532</v>
      </c>
      <c r="M76" s="70" t="s">
        <v>1532</v>
      </c>
      <c r="N76" s="70" t="s">
        <v>1532</v>
      </c>
      <c r="O76" s="70"/>
      <c r="P76" s="70" t="s">
        <v>1532</v>
      </c>
      <c r="Q76" s="70" t="s">
        <v>1532</v>
      </c>
      <c r="R76" s="70" t="s">
        <v>1532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8"/>
        <v>22</v>
      </c>
      <c r="J77" s="31">
        <f t="shared" si="9"/>
        <v>6</v>
      </c>
      <c r="K77" s="32">
        <f t="shared" si="10"/>
        <v>0.7857142857142857</v>
      </c>
      <c r="L77" s="70"/>
      <c r="M77" s="70"/>
      <c r="N77" s="70"/>
      <c r="O77" s="70"/>
      <c r="P77" s="70" t="s">
        <v>1532</v>
      </c>
      <c r="Q77" s="70"/>
      <c r="R77" s="70" t="s">
        <v>1532</v>
      </c>
      <c r="S77" s="70"/>
      <c r="T77" s="70"/>
      <c r="U77" s="70" t="s">
        <v>1532</v>
      </c>
      <c r="V77" s="70" t="s">
        <v>1532</v>
      </c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 t="s">
        <v>1532</v>
      </c>
      <c r="AH77" s="70"/>
      <c r="AI77" s="70"/>
      <c r="AJ77" s="70"/>
      <c r="AK77" s="70" t="s">
        <v>1532</v>
      </c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8"/>
        <v>24</v>
      </c>
      <c r="J78" s="31">
        <f t="shared" si="9"/>
        <v>4</v>
      </c>
      <c r="K78" s="32">
        <f t="shared" si="10"/>
        <v>0.8571428571428571</v>
      </c>
      <c r="L78" s="70"/>
      <c r="M78" s="70"/>
      <c r="N78" s="70"/>
      <c r="O78" s="70"/>
      <c r="P78" s="70" t="s">
        <v>1532</v>
      </c>
      <c r="Q78" s="70"/>
      <c r="R78" s="70" t="s">
        <v>1532</v>
      </c>
      <c r="S78" s="70"/>
      <c r="T78" s="70"/>
      <c r="U78" s="70" t="s">
        <v>1532</v>
      </c>
      <c r="V78" s="70" t="s">
        <v>1532</v>
      </c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1492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1493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8"/>
        <v>25</v>
      </c>
      <c r="J81" s="31">
        <f t="shared" si="9"/>
        <v>3</v>
      </c>
      <c r="K81" s="32">
        <f t="shared" si="10"/>
        <v>0.8928571428571429</v>
      </c>
      <c r="L81" s="70"/>
      <c r="M81" s="70"/>
      <c r="N81" s="70"/>
      <c r="O81" s="70"/>
      <c r="P81" s="70"/>
      <c r="Q81" s="70"/>
      <c r="R81" s="70" t="s">
        <v>1532</v>
      </c>
      <c r="S81" s="70"/>
      <c r="T81" s="70"/>
      <c r="U81" s="70" t="s">
        <v>1532</v>
      </c>
      <c r="V81" s="70" t="s">
        <v>1532</v>
      </c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8"/>
        <v>23</v>
      </c>
      <c r="J82" s="31">
        <f t="shared" si="9"/>
        <v>5</v>
      </c>
      <c r="K82" s="32">
        <f t="shared" si="10"/>
        <v>0.8214285714285714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 t="s">
        <v>1532</v>
      </c>
      <c r="AI82" s="70" t="s">
        <v>1532</v>
      </c>
      <c r="AJ82" s="70" t="s">
        <v>1532</v>
      </c>
      <c r="AK82" s="70" t="s">
        <v>1532</v>
      </c>
      <c r="AL82" s="70" t="s">
        <v>1532</v>
      </c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8"/>
        <v>20</v>
      </c>
      <c r="J87" s="31">
        <f t="shared" si="9"/>
        <v>8</v>
      </c>
      <c r="K87" s="32">
        <f t="shared" si="10"/>
        <v>0.7142857142857143</v>
      </c>
      <c r="L87" s="70" t="s">
        <v>1532</v>
      </c>
      <c r="M87" s="70" t="s">
        <v>1532</v>
      </c>
      <c r="N87" s="70" t="s">
        <v>1532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 t="s">
        <v>1532</v>
      </c>
      <c r="AI87" s="70" t="s">
        <v>1532</v>
      </c>
      <c r="AJ87" s="70" t="s">
        <v>1532</v>
      </c>
      <c r="AK87" s="70" t="s">
        <v>1532</v>
      </c>
      <c r="AL87" s="70" t="s">
        <v>1532</v>
      </c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8"/>
        <v>21</v>
      </c>
      <c r="J88" s="31">
        <f t="shared" si="9"/>
        <v>7</v>
      </c>
      <c r="K88" s="32">
        <f t="shared" si="10"/>
        <v>0.75</v>
      </c>
      <c r="L88" s="70"/>
      <c r="M88" s="70" t="s">
        <v>1532</v>
      </c>
      <c r="N88" s="70" t="s">
        <v>1532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 t="s">
        <v>1532</v>
      </c>
      <c r="AI88" s="70" t="s">
        <v>1532</v>
      </c>
      <c r="AJ88" s="70" t="s">
        <v>1532</v>
      </c>
      <c r="AK88" s="70" t="s">
        <v>1532</v>
      </c>
      <c r="AL88" s="70" t="s">
        <v>1532</v>
      </c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8"/>
        <v>26</v>
      </c>
      <c r="J94" s="31">
        <f t="shared" si="9"/>
        <v>2</v>
      </c>
      <c r="K94" s="32">
        <f t="shared" si="10"/>
        <v>0.9285714285714286</v>
      </c>
      <c r="L94" s="70"/>
      <c r="M94" s="70"/>
      <c r="N94" s="70"/>
      <c r="O94" s="70" t="s">
        <v>1532</v>
      </c>
      <c r="P94" s="70" t="s">
        <v>1532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0" t="s">
        <v>1532</v>
      </c>
      <c r="M101" s="70" t="s">
        <v>1532</v>
      </c>
      <c r="N101" s="70" t="s">
        <v>1532</v>
      </c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8"/>
        <v>25</v>
      </c>
      <c r="J102" s="31">
        <f t="shared" si="9"/>
        <v>3</v>
      </c>
      <c r="K102" s="32">
        <f t="shared" si="10"/>
        <v>0.8928571428571429</v>
      </c>
      <c r="L102" s="70" t="s">
        <v>1532</v>
      </c>
      <c r="M102" s="70" t="s">
        <v>1532</v>
      </c>
      <c r="N102" s="70" t="s">
        <v>1532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8"/>
        <v>27</v>
      </c>
      <c r="J105" s="31">
        <f t="shared" si="9"/>
        <v>1</v>
      </c>
      <c r="K105" s="32">
        <f t="shared" si="10"/>
        <v>0.9642857142857143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1532</v>
      </c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8"/>
        <v>27</v>
      </c>
      <c r="J106" s="31">
        <f t="shared" si="9"/>
        <v>1</v>
      </c>
      <c r="K106" s="32">
        <f t="shared" si="10"/>
        <v>0.9642857142857143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 t="s">
        <v>1532</v>
      </c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8"/>
        <v>19</v>
      </c>
      <c r="J107" s="31">
        <f t="shared" si="9"/>
        <v>9</v>
      </c>
      <c r="K107" s="32">
        <f t="shared" si="10"/>
        <v>0.6785714285714286</v>
      </c>
      <c r="L107" s="70"/>
      <c r="M107" s="70" t="s">
        <v>1532</v>
      </c>
      <c r="N107" s="70" t="s">
        <v>1532</v>
      </c>
      <c r="O107" s="70" t="s">
        <v>1532</v>
      </c>
      <c r="P107" s="70" t="s">
        <v>1532</v>
      </c>
      <c r="Q107" s="70" t="s">
        <v>1532</v>
      </c>
      <c r="R107" s="70" t="s">
        <v>1532</v>
      </c>
      <c r="S107" s="70" t="s">
        <v>1532</v>
      </c>
      <c r="T107" s="70" t="s">
        <v>1532</v>
      </c>
      <c r="U107" s="70" t="s">
        <v>1532</v>
      </c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8"/>
        <v>28</v>
      </c>
      <c r="J108" s="31">
        <f t="shared" si="9"/>
        <v>0</v>
      </c>
      <c r="K108" s="32">
        <f t="shared" si="10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8"/>
        <v>25</v>
      </c>
      <c r="J109" s="31">
        <f t="shared" si="9"/>
        <v>3</v>
      </c>
      <c r="K109" s="32">
        <f t="shared" si="10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 t="s">
        <v>1532</v>
      </c>
      <c r="Y109" s="70"/>
      <c r="Z109" s="70" t="s">
        <v>1532</v>
      </c>
      <c r="AA109" s="70"/>
      <c r="AB109" s="70"/>
      <c r="AC109" s="70"/>
      <c r="AD109" s="70"/>
      <c r="AE109" s="70" t="s">
        <v>1532</v>
      </c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1510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0"/>
      <c r="M110" s="70"/>
      <c r="N110" s="70"/>
      <c r="O110" s="70"/>
      <c r="P110" s="70" t="s">
        <v>1532</v>
      </c>
      <c r="Q110" s="70"/>
      <c r="R110" s="70" t="s">
        <v>1532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0"/>
      <c r="M111" s="70"/>
      <c r="N111" s="70"/>
      <c r="O111" s="70"/>
      <c r="P111" s="70" t="s">
        <v>1532</v>
      </c>
      <c r="Q111" s="70"/>
      <c r="R111" s="70" t="s">
        <v>1532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8"/>
        <v>26</v>
      </c>
      <c r="J112" s="31">
        <f t="shared" si="9"/>
        <v>2</v>
      </c>
      <c r="K112" s="32">
        <f t="shared" si="10"/>
        <v>0.9285714285714286</v>
      </c>
      <c r="L112" s="70"/>
      <c r="M112" s="70"/>
      <c r="N112" s="70"/>
      <c r="O112" s="70"/>
      <c r="P112" s="70" t="s">
        <v>1532</v>
      </c>
      <c r="Q112" s="70"/>
      <c r="R112" s="70" t="s">
        <v>1532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8"/>
        <v>21</v>
      </c>
      <c r="J113" s="31">
        <f t="shared" si="9"/>
        <v>7</v>
      </c>
      <c r="K113" s="32">
        <f t="shared" si="10"/>
        <v>0.75</v>
      </c>
      <c r="L113" s="70" t="s">
        <v>1532</v>
      </c>
      <c r="M113" s="70" t="s">
        <v>1532</v>
      </c>
      <c r="N113" s="70" t="s">
        <v>1532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 t="s">
        <v>1532</v>
      </c>
      <c r="AB113" s="70" t="s">
        <v>1532</v>
      </c>
      <c r="AC113" s="70"/>
      <c r="AD113" s="70"/>
      <c r="AE113" s="70"/>
      <c r="AF113" s="70"/>
      <c r="AG113" s="70"/>
      <c r="AH113" s="70"/>
      <c r="AI113" s="70" t="s">
        <v>1532</v>
      </c>
      <c r="AJ113" s="70"/>
      <c r="AK113" s="70" t="s">
        <v>1532</v>
      </c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8"/>
        <v>21</v>
      </c>
      <c r="J114" s="31">
        <f t="shared" si="9"/>
        <v>7</v>
      </c>
      <c r="K114" s="32">
        <f t="shared" si="10"/>
        <v>0.75</v>
      </c>
      <c r="L114" s="70" t="s">
        <v>1532</v>
      </c>
      <c r="M114" s="70" t="s">
        <v>1532</v>
      </c>
      <c r="N114" s="70" t="s">
        <v>1532</v>
      </c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1532</v>
      </c>
      <c r="AB114" s="70" t="s">
        <v>1532</v>
      </c>
      <c r="AC114" s="70"/>
      <c r="AD114" s="70"/>
      <c r="AE114" s="70"/>
      <c r="AF114" s="70"/>
      <c r="AG114" s="70"/>
      <c r="AH114" s="70"/>
      <c r="AI114" s="70" t="s">
        <v>1532</v>
      </c>
      <c r="AJ114" s="70"/>
      <c r="AK114" s="70" t="s">
        <v>1532</v>
      </c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8"/>
        <v>23</v>
      </c>
      <c r="J116" s="31">
        <f t="shared" si="9"/>
        <v>5</v>
      </c>
      <c r="K116" s="32">
        <f t="shared" si="10"/>
        <v>0.8214285714285714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 t="s">
        <v>1532</v>
      </c>
      <c r="AA116" s="70" t="s">
        <v>1532</v>
      </c>
      <c r="AB116" s="70" t="s">
        <v>1532</v>
      </c>
      <c r="AC116" s="70"/>
      <c r="AD116" s="70"/>
      <c r="AE116" s="70"/>
      <c r="AF116" s="70"/>
      <c r="AG116" s="70"/>
      <c r="AH116" s="70"/>
      <c r="AI116" s="70"/>
      <c r="AJ116" s="70"/>
      <c r="AK116" s="70" t="s">
        <v>1532</v>
      </c>
      <c r="AL116" s="70" t="s">
        <v>1532</v>
      </c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8"/>
        <v>27</v>
      </c>
      <c r="J118" s="31">
        <f t="shared" si="9"/>
        <v>1</v>
      </c>
      <c r="K118" s="32">
        <f t="shared" si="10"/>
        <v>0.9642857142857143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 t="s">
        <v>1532</v>
      </c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1546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1522</v>
      </c>
      <c r="C123" s="30" t="s">
        <v>1069</v>
      </c>
      <c r="D123" t="s">
        <v>1523</v>
      </c>
      <c r="E123" s="87"/>
      <c r="F123" s="87" t="s">
        <v>28</v>
      </c>
      <c r="G123" s="87"/>
      <c r="H123" s="87" t="s">
        <v>1527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1501</v>
      </c>
      <c r="C124" s="30" t="s">
        <v>1069</v>
      </c>
      <c r="D124" t="s">
        <v>1500</v>
      </c>
      <c r="E124" s="87" t="s">
        <v>73</v>
      </c>
      <c r="F124" s="87" t="s">
        <v>28</v>
      </c>
      <c r="G124" s="87"/>
      <c r="H124" s="87" t="s">
        <v>1502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1504</v>
      </c>
      <c r="C125" s="30" t="s">
        <v>1069</v>
      </c>
      <c r="D125" t="s">
        <v>1503</v>
      </c>
      <c r="E125" s="87" t="s">
        <v>19</v>
      </c>
      <c r="F125" s="87" t="s">
        <v>28</v>
      </c>
      <c r="G125" s="87"/>
      <c r="H125" s="87" t="s">
        <v>1505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1537</v>
      </c>
      <c r="C126" s="30" t="s">
        <v>1069</v>
      </c>
      <c r="D126" t="s">
        <v>1538</v>
      </c>
      <c r="E126" s="87" t="s">
        <v>19</v>
      </c>
      <c r="F126" s="87" t="s">
        <v>28</v>
      </c>
      <c r="G126" s="87"/>
      <c r="H126" s="87" t="s">
        <v>1539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1540</v>
      </c>
      <c r="C127" s="30" t="s">
        <v>1069</v>
      </c>
      <c r="D127" t="s">
        <v>1541</v>
      </c>
      <c r="E127" s="87" t="s">
        <v>19</v>
      </c>
      <c r="F127" s="87" t="s">
        <v>28</v>
      </c>
      <c r="G127" s="87"/>
      <c r="H127" s="87" t="s">
        <v>1542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8"/>
        <v>26</v>
      </c>
      <c r="J128" s="31">
        <f t="shared" si="9"/>
        <v>2</v>
      </c>
      <c r="K128" s="32">
        <f t="shared" si="10"/>
        <v>0.9285714285714286</v>
      </c>
      <c r="L128" s="70"/>
      <c r="M128" s="70"/>
      <c r="N128" s="70"/>
      <c r="O128" s="70"/>
      <c r="P128" s="70"/>
      <c r="Q128" s="70"/>
      <c r="R128" s="70"/>
      <c r="S128" s="70"/>
      <c r="T128" s="70" t="s">
        <v>1532</v>
      </c>
      <c r="U128" s="70" t="s">
        <v>1532</v>
      </c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8"/>
        <v>2</v>
      </c>
      <c r="J129" s="31">
        <f t="shared" si="9"/>
        <v>26</v>
      </c>
      <c r="K129" s="32">
        <f t="shared" si="10"/>
        <v>7.1428571428571425E-2</v>
      </c>
      <c r="L129" s="70" t="s">
        <v>1532</v>
      </c>
      <c r="M129" s="70" t="s">
        <v>1532</v>
      </c>
      <c r="N129" s="70" t="s">
        <v>1532</v>
      </c>
      <c r="O129" s="70" t="s">
        <v>1532</v>
      </c>
      <c r="P129" s="70" t="s">
        <v>1532</v>
      </c>
      <c r="Q129" s="70" t="s">
        <v>1532</v>
      </c>
      <c r="R129" s="70" t="s">
        <v>1532</v>
      </c>
      <c r="S129" s="70" t="s">
        <v>1532</v>
      </c>
      <c r="T129" s="70" t="s">
        <v>1532</v>
      </c>
      <c r="U129" s="70"/>
      <c r="V129" s="70" t="s">
        <v>1532</v>
      </c>
      <c r="W129" s="70" t="s">
        <v>1532</v>
      </c>
      <c r="X129" s="70" t="s">
        <v>1532</v>
      </c>
      <c r="Y129" s="70" t="s">
        <v>1532</v>
      </c>
      <c r="Z129" s="70" t="s">
        <v>1532</v>
      </c>
      <c r="AA129" s="70" t="s">
        <v>1532</v>
      </c>
      <c r="AB129" s="70" t="s">
        <v>1532</v>
      </c>
      <c r="AC129" s="70" t="s">
        <v>1532</v>
      </c>
      <c r="AD129" s="70" t="s">
        <v>1532</v>
      </c>
      <c r="AE129" s="70" t="s">
        <v>1532</v>
      </c>
      <c r="AF129" s="70" t="s">
        <v>1532</v>
      </c>
      <c r="AG129" s="70" t="s">
        <v>1532</v>
      </c>
      <c r="AH129" s="70" t="s">
        <v>1532</v>
      </c>
      <c r="AI129" s="70" t="s">
        <v>1532</v>
      </c>
      <c r="AJ129" s="70" t="s">
        <v>1532</v>
      </c>
      <c r="AK129" s="70" t="s">
        <v>1532</v>
      </c>
      <c r="AL129" s="70" t="s">
        <v>1532</v>
      </c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8"/>
        <v>26</v>
      </c>
      <c r="J134" s="31">
        <f t="shared" si="9"/>
        <v>2</v>
      </c>
      <c r="K134" s="32">
        <f t="shared" si="10"/>
        <v>0.9285714285714286</v>
      </c>
      <c r="L134" s="70"/>
      <c r="M134" s="70" t="s">
        <v>1532</v>
      </c>
      <c r="N134" s="70" t="s">
        <v>1532</v>
      </c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8"/>
        <v>2</v>
      </c>
      <c r="J136" s="145">
        <f t="shared" si="9"/>
        <v>26</v>
      </c>
      <c r="K136" s="146">
        <f t="shared" si="10"/>
        <v>7.1428571428571425E-2</v>
      </c>
      <c r="L136" s="97" t="s">
        <v>1532</v>
      </c>
      <c r="M136" s="97" t="s">
        <v>1532</v>
      </c>
      <c r="N136" s="97" t="s">
        <v>1532</v>
      </c>
      <c r="O136" s="97" t="s">
        <v>1532</v>
      </c>
      <c r="P136" s="97" t="s">
        <v>1532</v>
      </c>
      <c r="Q136" s="97" t="s">
        <v>1532</v>
      </c>
      <c r="R136" s="97" t="s">
        <v>1532</v>
      </c>
      <c r="S136" s="97" t="s">
        <v>1532</v>
      </c>
      <c r="T136" s="97" t="s">
        <v>1532</v>
      </c>
      <c r="U136" s="97" t="s">
        <v>1532</v>
      </c>
      <c r="V136" s="97" t="s">
        <v>1532</v>
      </c>
      <c r="W136" s="97" t="s">
        <v>1532</v>
      </c>
      <c r="X136" s="97" t="s">
        <v>1532</v>
      </c>
      <c r="Y136" s="97" t="s">
        <v>1532</v>
      </c>
      <c r="Z136" s="97" t="s">
        <v>1532</v>
      </c>
      <c r="AA136" s="97" t="s">
        <v>1532</v>
      </c>
      <c r="AB136" s="97" t="s">
        <v>1532</v>
      </c>
      <c r="AC136" s="97" t="s">
        <v>1532</v>
      </c>
      <c r="AD136" s="97" t="s">
        <v>1532</v>
      </c>
      <c r="AE136" s="97" t="s">
        <v>1532</v>
      </c>
      <c r="AF136" s="97" t="s">
        <v>1532</v>
      </c>
      <c r="AG136" s="97" t="s">
        <v>1532</v>
      </c>
      <c r="AH136" s="97" t="s">
        <v>1532</v>
      </c>
      <c r="AI136" s="97" t="s">
        <v>1532</v>
      </c>
      <c r="AJ136" s="97" t="s">
        <v>1532</v>
      </c>
      <c r="AK136" s="97" t="s">
        <v>1532</v>
      </c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 t="s">
        <v>1532</v>
      </c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8"/>
        <v>27</v>
      </c>
      <c r="J138" s="31">
        <f t="shared" si="9"/>
        <v>1</v>
      </c>
      <c r="K138" s="32">
        <f t="shared" si="10"/>
        <v>0.9642857142857143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 t="s">
        <v>1532</v>
      </c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8"/>
        <v>1</v>
      </c>
      <c r="J139" s="31">
        <f t="shared" si="9"/>
        <v>27</v>
      </c>
      <c r="K139" s="32">
        <f t="shared" si="10"/>
        <v>3.5714285714285712E-2</v>
      </c>
      <c r="L139" s="70" t="s">
        <v>1532</v>
      </c>
      <c r="M139" s="70" t="s">
        <v>1532</v>
      </c>
      <c r="N139" s="70" t="s">
        <v>1532</v>
      </c>
      <c r="O139" s="70" t="s">
        <v>1532</v>
      </c>
      <c r="P139" s="70" t="s">
        <v>1532</v>
      </c>
      <c r="Q139" s="70" t="s">
        <v>1532</v>
      </c>
      <c r="R139" s="70" t="s">
        <v>1532</v>
      </c>
      <c r="S139" s="70" t="s">
        <v>1532</v>
      </c>
      <c r="T139" s="70" t="s">
        <v>1532</v>
      </c>
      <c r="U139" s="70" t="s">
        <v>1532</v>
      </c>
      <c r="V139" s="70" t="s">
        <v>1532</v>
      </c>
      <c r="W139" s="70" t="s">
        <v>1532</v>
      </c>
      <c r="X139" s="70" t="s">
        <v>1532</v>
      </c>
      <c r="Y139" s="70" t="s">
        <v>1532</v>
      </c>
      <c r="Z139" s="70" t="s">
        <v>1532</v>
      </c>
      <c r="AA139" s="70" t="s">
        <v>1532</v>
      </c>
      <c r="AB139" s="70" t="s">
        <v>1532</v>
      </c>
      <c r="AC139" s="70" t="s">
        <v>1532</v>
      </c>
      <c r="AD139" s="97" t="s">
        <v>1532</v>
      </c>
      <c r="AE139" s="97" t="s">
        <v>1532</v>
      </c>
      <c r="AF139" s="97" t="s">
        <v>1532</v>
      </c>
      <c r="AG139" s="97" t="s">
        <v>1532</v>
      </c>
      <c r="AH139" s="97" t="s">
        <v>1532</v>
      </c>
      <c r="AI139" s="97" t="s">
        <v>1532</v>
      </c>
      <c r="AJ139" s="97" t="s">
        <v>1532</v>
      </c>
      <c r="AK139" s="97" t="s">
        <v>1532</v>
      </c>
      <c r="AL139" s="97" t="s">
        <v>1532</v>
      </c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8"/>
        <v>1</v>
      </c>
      <c r="J140" s="31">
        <f t="shared" si="9"/>
        <v>27</v>
      </c>
      <c r="K140" s="32">
        <f t="shared" si="10"/>
        <v>3.5714285714285712E-2</v>
      </c>
      <c r="L140" s="70" t="s">
        <v>1532</v>
      </c>
      <c r="M140" s="70" t="s">
        <v>1532</v>
      </c>
      <c r="N140" s="70" t="s">
        <v>1532</v>
      </c>
      <c r="O140" s="70" t="s">
        <v>1532</v>
      </c>
      <c r="P140" s="70" t="s">
        <v>1532</v>
      </c>
      <c r="Q140" s="70" t="s">
        <v>1532</v>
      </c>
      <c r="R140" s="70" t="s">
        <v>1532</v>
      </c>
      <c r="S140" s="70" t="s">
        <v>1532</v>
      </c>
      <c r="T140" s="70" t="s">
        <v>1532</v>
      </c>
      <c r="U140" s="70" t="s">
        <v>1532</v>
      </c>
      <c r="V140" s="70" t="s">
        <v>1532</v>
      </c>
      <c r="W140" s="70" t="s">
        <v>1532</v>
      </c>
      <c r="X140" s="70" t="s">
        <v>1532</v>
      </c>
      <c r="Y140" s="70" t="s">
        <v>1532</v>
      </c>
      <c r="Z140" s="70" t="s">
        <v>1532</v>
      </c>
      <c r="AA140" s="70" t="s">
        <v>1532</v>
      </c>
      <c r="AB140" s="70" t="s">
        <v>1532</v>
      </c>
      <c r="AC140" s="70" t="s">
        <v>1532</v>
      </c>
      <c r="AD140" s="97" t="s">
        <v>1532</v>
      </c>
      <c r="AE140" s="97" t="s">
        <v>1532</v>
      </c>
      <c r="AF140" s="97" t="s">
        <v>1532</v>
      </c>
      <c r="AG140" s="97" t="s">
        <v>1532</v>
      </c>
      <c r="AH140" s="97" t="s">
        <v>1532</v>
      </c>
      <c r="AI140" s="97" t="s">
        <v>1532</v>
      </c>
      <c r="AJ140" s="97" t="s">
        <v>1532</v>
      </c>
      <c r="AK140" s="97" t="s">
        <v>1532</v>
      </c>
      <c r="AL140" s="97" t="s">
        <v>1532</v>
      </c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 t="s">
        <v>1532</v>
      </c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 t="s">
        <v>1532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8"/>
        <v>27</v>
      </c>
      <c r="J143" s="31">
        <f t="shared" si="9"/>
        <v>1</v>
      </c>
      <c r="K143" s="32">
        <f t="shared" si="10"/>
        <v>0.9642857142857143</v>
      </c>
      <c r="L143" s="70" t="s">
        <v>1532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1511</v>
      </c>
      <c r="I144" s="31">
        <f t="shared" ref="I144:I210" si="11">COUNTIF(L144:AM144,"")</f>
        <v>27</v>
      </c>
      <c r="J144" s="31">
        <f t="shared" ref="J144:J210" si="12">COUNTIF(L144:AM144,"APAGADO")</f>
        <v>1</v>
      </c>
      <c r="K144" s="32">
        <f t="shared" ref="K144:K210" si="13">(I144)/(J144+I144)</f>
        <v>0.9642857142857143</v>
      </c>
      <c r="L144" s="70" t="s">
        <v>1532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0"/>
      <c r="M145" s="70"/>
      <c r="N145" s="70"/>
      <c r="O145" s="70"/>
      <c r="P145" s="70" t="s">
        <v>1532</v>
      </c>
      <c r="Q145" s="70" t="s">
        <v>1532</v>
      </c>
      <c r="R145" s="70" t="s">
        <v>1532</v>
      </c>
      <c r="S145" s="70" t="s">
        <v>1532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0"/>
      <c r="M146" s="70"/>
      <c r="N146" s="70"/>
      <c r="O146" s="70"/>
      <c r="P146" s="70" t="s">
        <v>1532</v>
      </c>
      <c r="Q146" s="70" t="s">
        <v>1532</v>
      </c>
      <c r="R146" s="70" t="s">
        <v>1532</v>
      </c>
      <c r="S146" s="70" t="s">
        <v>1532</v>
      </c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0"/>
      <c r="M147" s="70"/>
      <c r="N147" s="70"/>
      <c r="O147" s="70"/>
      <c r="P147" s="70" t="s">
        <v>1532</v>
      </c>
      <c r="Q147" s="70" t="s">
        <v>1532</v>
      </c>
      <c r="R147" s="70" t="s">
        <v>1532</v>
      </c>
      <c r="S147" s="70" t="s">
        <v>1532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1"/>
        <v>24</v>
      </c>
      <c r="J148" s="31">
        <f t="shared" si="12"/>
        <v>4</v>
      </c>
      <c r="K148" s="32">
        <f t="shared" si="13"/>
        <v>0.8571428571428571</v>
      </c>
      <c r="L148" s="70"/>
      <c r="M148" s="70"/>
      <c r="N148" s="70"/>
      <c r="O148" s="70"/>
      <c r="P148" s="70" t="s">
        <v>1532</v>
      </c>
      <c r="Q148" s="70" t="s">
        <v>1532</v>
      </c>
      <c r="R148" s="70" t="s">
        <v>1532</v>
      </c>
      <c r="S148" s="70" t="s">
        <v>1532</v>
      </c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1"/>
        <v>23</v>
      </c>
      <c r="J150" s="31">
        <f t="shared" si="12"/>
        <v>5</v>
      </c>
      <c r="K150" s="32">
        <f t="shared" si="13"/>
        <v>0.8214285714285714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1532</v>
      </c>
      <c r="AD150" s="70"/>
      <c r="AE150" s="70" t="s">
        <v>1532</v>
      </c>
      <c r="AF150" s="70"/>
      <c r="AG150" s="70"/>
      <c r="AH150" s="70"/>
      <c r="AI150" s="70"/>
      <c r="AJ150" s="70" t="s">
        <v>1532</v>
      </c>
      <c r="AK150" s="70" t="s">
        <v>1532</v>
      </c>
      <c r="AL150" s="70" t="s">
        <v>1532</v>
      </c>
      <c r="AM150" s="70"/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1"/>
        <v>23</v>
      </c>
      <c r="J151" s="31">
        <f t="shared" si="12"/>
        <v>5</v>
      </c>
      <c r="K151" s="32">
        <f t="shared" si="13"/>
        <v>0.8214285714285714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1532</v>
      </c>
      <c r="AD151" s="70"/>
      <c r="AE151" s="70" t="s">
        <v>1532</v>
      </c>
      <c r="AF151" s="70"/>
      <c r="AG151" s="70"/>
      <c r="AH151" s="70"/>
      <c r="AI151" s="70"/>
      <c r="AJ151" s="70" t="s">
        <v>1532</v>
      </c>
      <c r="AK151" s="70" t="s">
        <v>1532</v>
      </c>
      <c r="AL151" s="70" t="s">
        <v>1532</v>
      </c>
      <c r="AM151" s="70"/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1"/>
        <v>24</v>
      </c>
      <c r="J155" s="31">
        <f t="shared" si="12"/>
        <v>4</v>
      </c>
      <c r="K155" s="32">
        <f t="shared" si="13"/>
        <v>0.8571428571428571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 t="s">
        <v>1532</v>
      </c>
      <c r="AD155" s="70"/>
      <c r="AE155" s="70"/>
      <c r="AF155" s="70"/>
      <c r="AG155" s="70"/>
      <c r="AH155" s="70"/>
      <c r="AI155" s="70"/>
      <c r="AJ155" s="70" t="s">
        <v>1532</v>
      </c>
      <c r="AK155" s="70" t="s">
        <v>1532</v>
      </c>
      <c r="AL155" s="70" t="s">
        <v>1532</v>
      </c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1"/>
        <v>23</v>
      </c>
      <c r="J159" s="31">
        <f t="shared" si="12"/>
        <v>5</v>
      </c>
      <c r="K159" s="32">
        <f t="shared" si="13"/>
        <v>0.8214285714285714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 t="s">
        <v>1532</v>
      </c>
      <c r="AD159" s="70"/>
      <c r="AE159" s="70" t="s">
        <v>1532</v>
      </c>
      <c r="AF159" s="70"/>
      <c r="AG159" s="70"/>
      <c r="AH159" s="70"/>
      <c r="AI159" s="70"/>
      <c r="AJ159" s="70" t="s">
        <v>1532</v>
      </c>
      <c r="AK159" s="70" t="s">
        <v>1532</v>
      </c>
      <c r="AL159" s="70" t="s">
        <v>1532</v>
      </c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1"/>
        <v>23</v>
      </c>
      <c r="J160" s="31">
        <f t="shared" si="12"/>
        <v>5</v>
      </c>
      <c r="K160" s="32">
        <f t="shared" si="13"/>
        <v>0.8214285714285714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 t="s">
        <v>1532</v>
      </c>
      <c r="AD160" s="70"/>
      <c r="AE160" s="70" t="s">
        <v>1532</v>
      </c>
      <c r="AF160" s="70"/>
      <c r="AG160" s="70"/>
      <c r="AH160" s="70"/>
      <c r="AI160" s="70"/>
      <c r="AJ160" s="70" t="s">
        <v>1532</v>
      </c>
      <c r="AK160" s="70" t="s">
        <v>1532</v>
      </c>
      <c r="AL160" s="70" t="s">
        <v>1532</v>
      </c>
      <c r="AM160" s="70"/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1"/>
        <v>23</v>
      </c>
      <c r="J161" s="31">
        <f t="shared" si="12"/>
        <v>5</v>
      </c>
      <c r="K161" s="32">
        <f t="shared" si="13"/>
        <v>0.8214285714285714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 t="s">
        <v>1532</v>
      </c>
      <c r="AD161" s="70"/>
      <c r="AE161" s="70" t="s">
        <v>1532</v>
      </c>
      <c r="AF161" s="70"/>
      <c r="AG161" s="70"/>
      <c r="AH161" s="70"/>
      <c r="AI161" s="70"/>
      <c r="AJ161" s="70" t="s">
        <v>1532</v>
      </c>
      <c r="AK161" s="70" t="s">
        <v>1532</v>
      </c>
      <c r="AL161" s="70" t="s">
        <v>1532</v>
      </c>
      <c r="AM161" s="70"/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1"/>
        <v>23</v>
      </c>
      <c r="J162" s="31">
        <f t="shared" si="12"/>
        <v>5</v>
      </c>
      <c r="K162" s="32">
        <f t="shared" si="13"/>
        <v>0.8214285714285714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1532</v>
      </c>
      <c r="AD162" s="70"/>
      <c r="AE162" s="70" t="s">
        <v>1532</v>
      </c>
      <c r="AF162" s="70"/>
      <c r="AG162" s="70"/>
      <c r="AH162" s="70"/>
      <c r="AI162" s="70"/>
      <c r="AJ162" s="70" t="s">
        <v>1532</v>
      </c>
      <c r="AK162" s="70" t="s">
        <v>1532</v>
      </c>
      <c r="AL162" s="70" t="s">
        <v>1532</v>
      </c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1528</v>
      </c>
      <c r="C165" s="30" t="s">
        <v>1070</v>
      </c>
      <c r="D165" t="s">
        <v>1529</v>
      </c>
      <c r="E165" s="30" t="s">
        <v>19</v>
      </c>
      <c r="F165" s="30" t="s">
        <v>28</v>
      </c>
      <c r="G165" s="30"/>
      <c r="H165" s="30" t="s">
        <v>1530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1532</v>
      </c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1550</v>
      </c>
      <c r="C166" s="30" t="s">
        <v>1070</v>
      </c>
      <c r="D166" t="s">
        <v>1551</v>
      </c>
      <c r="E166" s="30" t="s">
        <v>1121</v>
      </c>
      <c r="F166" s="30" t="s">
        <v>1552</v>
      </c>
      <c r="G166" s="30"/>
      <c r="H166" s="30" t="s">
        <v>1553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0"/>
      <c r="M167" s="70"/>
      <c r="N167" s="70"/>
      <c r="O167" s="70"/>
      <c r="P167" s="70" t="s">
        <v>1532</v>
      </c>
      <c r="Q167" s="70" t="s">
        <v>1532</v>
      </c>
      <c r="R167" s="70" t="s">
        <v>1532</v>
      </c>
      <c r="S167" s="70" t="s">
        <v>1532</v>
      </c>
      <c r="T167" s="70" t="s">
        <v>1532</v>
      </c>
      <c r="U167" s="70" t="s">
        <v>1532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1"/>
        <v>22</v>
      </c>
      <c r="J168" s="31">
        <f t="shared" si="12"/>
        <v>6</v>
      </c>
      <c r="K168" s="32">
        <f t="shared" si="13"/>
        <v>0.7857142857142857</v>
      </c>
      <c r="L168" s="70"/>
      <c r="M168" s="70"/>
      <c r="N168" s="70"/>
      <c r="O168" s="70"/>
      <c r="P168" s="70" t="s">
        <v>1532</v>
      </c>
      <c r="Q168" s="70" t="s">
        <v>1532</v>
      </c>
      <c r="R168" s="70" t="s">
        <v>1532</v>
      </c>
      <c r="S168" s="70" t="s">
        <v>1532</v>
      </c>
      <c r="T168" s="70" t="s">
        <v>1532</v>
      </c>
      <c r="U168" s="70" t="s">
        <v>1532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1"/>
        <v>2</v>
      </c>
      <c r="J169" s="142">
        <f t="shared" si="12"/>
        <v>26</v>
      </c>
      <c r="K169" s="143">
        <f t="shared" si="13"/>
        <v>7.1428571428571425E-2</v>
      </c>
      <c r="L169" s="144" t="s">
        <v>1532</v>
      </c>
      <c r="M169" s="144" t="s">
        <v>1532</v>
      </c>
      <c r="N169" s="144" t="s">
        <v>1532</v>
      </c>
      <c r="O169" s="144" t="s">
        <v>1532</v>
      </c>
      <c r="P169" s="144" t="s">
        <v>1532</v>
      </c>
      <c r="Q169" s="144" t="s">
        <v>1532</v>
      </c>
      <c r="R169" s="144" t="s">
        <v>1532</v>
      </c>
      <c r="S169" s="144" t="s">
        <v>1532</v>
      </c>
      <c r="T169" s="144" t="s">
        <v>1532</v>
      </c>
      <c r="U169" s="144" t="s">
        <v>1532</v>
      </c>
      <c r="V169" s="144" t="s">
        <v>1532</v>
      </c>
      <c r="W169" s="144" t="s">
        <v>1532</v>
      </c>
      <c r="X169" s="144" t="s">
        <v>1532</v>
      </c>
      <c r="Y169" s="144" t="s">
        <v>1532</v>
      </c>
      <c r="Z169" s="144" t="s">
        <v>1532</v>
      </c>
      <c r="AA169" s="144" t="s">
        <v>1532</v>
      </c>
      <c r="AB169" s="144" t="s">
        <v>1532</v>
      </c>
      <c r="AC169" s="144" t="s">
        <v>1532</v>
      </c>
      <c r="AD169" s="144" t="s">
        <v>1532</v>
      </c>
      <c r="AE169" s="144" t="s">
        <v>1532</v>
      </c>
      <c r="AF169" s="144"/>
      <c r="AG169" s="144" t="s">
        <v>1532</v>
      </c>
      <c r="AH169" s="144" t="s">
        <v>1532</v>
      </c>
      <c r="AI169" s="144" t="s">
        <v>1532</v>
      </c>
      <c r="AJ169" s="144" t="s">
        <v>1532</v>
      </c>
      <c r="AK169" s="144" t="s">
        <v>1532</v>
      </c>
      <c r="AL169" s="144" t="s">
        <v>1532</v>
      </c>
      <c r="AM169" s="144"/>
      <c r="AN169" s="144"/>
      <c r="AO169" s="144"/>
      <c r="AP169" s="144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0"/>
      <c r="M172" s="70"/>
      <c r="N172" s="70"/>
      <c r="O172" s="70"/>
      <c r="P172" s="70"/>
      <c r="Q172" s="70"/>
      <c r="R172" s="70"/>
      <c r="S172" s="70"/>
      <c r="T172" s="70" t="s">
        <v>1532</v>
      </c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1"/>
        <v>25</v>
      </c>
      <c r="J173" s="31">
        <f t="shared" si="12"/>
        <v>3</v>
      </c>
      <c r="K173" s="32">
        <f t="shared" si="13"/>
        <v>0.8928571428571429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 t="s">
        <v>1532</v>
      </c>
      <c r="AC173" s="70"/>
      <c r="AD173" s="70"/>
      <c r="AE173" s="70" t="s">
        <v>1532</v>
      </c>
      <c r="AF173" s="70"/>
      <c r="AG173" s="70"/>
      <c r="AH173" s="70" t="s">
        <v>1532</v>
      </c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1"/>
        <v>24</v>
      </c>
      <c r="J174" s="31">
        <f t="shared" si="12"/>
        <v>4</v>
      </c>
      <c r="K174" s="32">
        <f t="shared" si="13"/>
        <v>0.8571428571428571</v>
      </c>
      <c r="L174" s="70"/>
      <c r="M174" s="70"/>
      <c r="N174" s="70"/>
      <c r="O174" s="70"/>
      <c r="P174" s="70"/>
      <c r="Q174" s="70"/>
      <c r="R174" s="70"/>
      <c r="S174" s="70"/>
      <c r="T174" s="70" t="s">
        <v>1532</v>
      </c>
      <c r="U174" s="70"/>
      <c r="V174" s="70"/>
      <c r="W174" s="70"/>
      <c r="X174" s="70"/>
      <c r="Y174" s="70"/>
      <c r="Z174" s="70"/>
      <c r="AA174" s="70"/>
      <c r="AB174" s="70" t="s">
        <v>1532</v>
      </c>
      <c r="AC174" s="70"/>
      <c r="AD174" s="70"/>
      <c r="AE174" s="70" t="s">
        <v>1532</v>
      </c>
      <c r="AF174" s="70"/>
      <c r="AG174" s="70"/>
      <c r="AH174" s="70" t="s">
        <v>1532</v>
      </c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1"/>
        <v>1</v>
      </c>
      <c r="J175" s="31">
        <f t="shared" si="12"/>
        <v>27</v>
      </c>
      <c r="K175" s="32">
        <f t="shared" si="13"/>
        <v>3.5714285714285712E-2</v>
      </c>
      <c r="L175" s="70" t="s">
        <v>1532</v>
      </c>
      <c r="M175" s="70" t="s">
        <v>1532</v>
      </c>
      <c r="N175" s="70" t="s">
        <v>1532</v>
      </c>
      <c r="O175" s="70" t="s">
        <v>1532</v>
      </c>
      <c r="P175" s="70" t="s">
        <v>1532</v>
      </c>
      <c r="Q175" s="70" t="s">
        <v>1532</v>
      </c>
      <c r="R175" s="70" t="s">
        <v>1532</v>
      </c>
      <c r="S175" s="70" t="s">
        <v>1532</v>
      </c>
      <c r="T175" s="70" t="s">
        <v>1532</v>
      </c>
      <c r="U175" s="70" t="s">
        <v>1532</v>
      </c>
      <c r="V175" s="70" t="s">
        <v>1532</v>
      </c>
      <c r="W175" s="70" t="s">
        <v>1532</v>
      </c>
      <c r="X175" s="70" t="s">
        <v>1532</v>
      </c>
      <c r="Y175" s="70" t="s">
        <v>1532</v>
      </c>
      <c r="Z175" s="70" t="s">
        <v>1532</v>
      </c>
      <c r="AA175" s="70" t="s">
        <v>1532</v>
      </c>
      <c r="AB175" s="70" t="s">
        <v>1532</v>
      </c>
      <c r="AC175" s="70" t="s">
        <v>1532</v>
      </c>
      <c r="AD175" s="97" t="s">
        <v>1532</v>
      </c>
      <c r="AE175" s="97" t="s">
        <v>1532</v>
      </c>
      <c r="AF175" s="97" t="s">
        <v>1532</v>
      </c>
      <c r="AG175" s="97" t="s">
        <v>1532</v>
      </c>
      <c r="AH175" s="97" t="s">
        <v>1532</v>
      </c>
      <c r="AI175" s="97" t="s">
        <v>1532</v>
      </c>
      <c r="AJ175" s="97" t="s">
        <v>1532</v>
      </c>
      <c r="AK175" s="97" t="s">
        <v>1532</v>
      </c>
      <c r="AL175" s="97" t="s">
        <v>1532</v>
      </c>
      <c r="AM175" s="97"/>
      <c r="AN175" s="97"/>
      <c r="AO175" s="97"/>
      <c r="AP175" s="97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1"/>
        <v>25</v>
      </c>
      <c r="J176" s="31">
        <f t="shared" si="12"/>
        <v>3</v>
      </c>
      <c r="K176" s="32">
        <f t="shared" si="13"/>
        <v>0.8928571428571429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1532</v>
      </c>
      <c r="AC176" s="70" t="s">
        <v>1532</v>
      </c>
      <c r="AD176" s="70" t="s">
        <v>1532</v>
      </c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0"/>
      <c r="M177" s="70"/>
      <c r="N177" s="70"/>
      <c r="O177" s="70"/>
      <c r="P177" s="70"/>
      <c r="Q177" s="70"/>
      <c r="R177" s="70"/>
      <c r="S177" s="70"/>
      <c r="T177" s="70" t="s">
        <v>1532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1"/>
        <v>26</v>
      </c>
      <c r="J178" s="31">
        <f t="shared" si="12"/>
        <v>1</v>
      </c>
      <c r="K178" s="32">
        <f t="shared" si="13"/>
        <v>0.96296296296296291</v>
      </c>
      <c r="L178" s="70"/>
      <c r="M178" s="70"/>
      <c r="N178" s="70"/>
      <c r="O178" s="70"/>
      <c r="P178" s="70"/>
      <c r="Q178" s="70"/>
      <c r="R178" s="70"/>
      <c r="S178" s="70"/>
      <c r="T178" s="70" t="s">
        <v>1532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0"/>
      <c r="M180" s="70"/>
      <c r="N180" s="70"/>
      <c r="O180" s="70"/>
      <c r="P180" s="70"/>
      <c r="Q180" s="70"/>
      <c r="R180" s="70"/>
      <c r="S180" s="70"/>
      <c r="T180" s="70" t="s">
        <v>1532</v>
      </c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 t="s">
        <v>1532</v>
      </c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 t="s">
        <v>1532</v>
      </c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 t="s">
        <v>1532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 t="s">
        <v>1532</v>
      </c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 t="s">
        <v>1532</v>
      </c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1"/>
        <v>27</v>
      </c>
      <c r="J186" s="31">
        <f t="shared" si="12"/>
        <v>1</v>
      </c>
      <c r="K186" s="32">
        <f t="shared" si="13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 t="s">
        <v>1532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0"/>
      <c r="M188" s="70"/>
      <c r="N188" s="70"/>
      <c r="O188" s="70" t="s">
        <v>1532</v>
      </c>
      <c r="P188" s="70" t="s">
        <v>1532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0" t="s">
        <v>1532</v>
      </c>
      <c r="M190" s="70" t="s">
        <v>1532</v>
      </c>
      <c r="N190" s="70" t="s">
        <v>1532</v>
      </c>
      <c r="O190" s="70" t="s">
        <v>1532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1533</v>
      </c>
      <c r="C191" t="s">
        <v>1069</v>
      </c>
      <c r="D191" t="s">
        <v>1534</v>
      </c>
      <c r="E191" s="30" t="s">
        <v>15</v>
      </c>
      <c r="F191" s="30" t="s">
        <v>28</v>
      </c>
      <c r="G191" s="30"/>
      <c r="H191" s="30" t="s">
        <v>1535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1"/>
        <v>16</v>
      </c>
      <c r="J192" s="31">
        <f t="shared" si="12"/>
        <v>12</v>
      </c>
      <c r="K192" s="32">
        <f t="shared" si="13"/>
        <v>0.5714285714285714</v>
      </c>
      <c r="L192" s="70"/>
      <c r="M192" s="70"/>
      <c r="N192" s="70"/>
      <c r="O192" s="70" t="s">
        <v>1532</v>
      </c>
      <c r="P192" s="70"/>
      <c r="Q192" s="70" t="s">
        <v>1532</v>
      </c>
      <c r="R192" s="70" t="s">
        <v>1532</v>
      </c>
      <c r="S192" s="70" t="s">
        <v>1532</v>
      </c>
      <c r="T192" s="70" t="s">
        <v>1532</v>
      </c>
      <c r="U192" s="70" t="s">
        <v>1532</v>
      </c>
      <c r="V192" s="70" t="s">
        <v>1532</v>
      </c>
      <c r="W192" s="70" t="s">
        <v>1532</v>
      </c>
      <c r="X192" s="70" t="s">
        <v>1532</v>
      </c>
      <c r="Y192" s="70" t="s">
        <v>1532</v>
      </c>
      <c r="Z192" s="70"/>
      <c r="AA192" s="70"/>
      <c r="AB192" s="70"/>
      <c r="AC192" s="70"/>
      <c r="AD192" s="70"/>
      <c r="AE192" s="70"/>
      <c r="AF192" s="70"/>
      <c r="AG192" s="70" t="s">
        <v>1532</v>
      </c>
      <c r="AH192" s="70"/>
      <c r="AI192" s="70"/>
      <c r="AJ192" s="70" t="s">
        <v>1532</v>
      </c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1"/>
        <v>16</v>
      </c>
      <c r="J193" s="31">
        <f t="shared" si="12"/>
        <v>12</v>
      </c>
      <c r="K193" s="32">
        <f t="shared" si="13"/>
        <v>0.5714285714285714</v>
      </c>
      <c r="L193" s="70"/>
      <c r="M193" s="70"/>
      <c r="N193" s="70"/>
      <c r="O193" s="70" t="s">
        <v>1532</v>
      </c>
      <c r="P193" s="70"/>
      <c r="Q193" s="70" t="s">
        <v>1532</v>
      </c>
      <c r="R193" s="70" t="s">
        <v>1532</v>
      </c>
      <c r="S193" s="70" t="s">
        <v>1532</v>
      </c>
      <c r="T193" s="70" t="s">
        <v>1532</v>
      </c>
      <c r="U193" s="70" t="s">
        <v>1532</v>
      </c>
      <c r="V193" s="70" t="s">
        <v>1532</v>
      </c>
      <c r="W193" s="70" t="s">
        <v>1532</v>
      </c>
      <c r="X193" s="70" t="s">
        <v>1532</v>
      </c>
      <c r="Y193" s="70" t="s">
        <v>1532</v>
      </c>
      <c r="Z193" s="70"/>
      <c r="AA193" s="70"/>
      <c r="AB193" s="70"/>
      <c r="AC193" s="70"/>
      <c r="AD193" s="70"/>
      <c r="AE193" s="70"/>
      <c r="AF193" s="70"/>
      <c r="AG193" s="70" t="s">
        <v>1532</v>
      </c>
      <c r="AH193" s="70"/>
      <c r="AI193" s="70"/>
      <c r="AJ193" s="70" t="s">
        <v>1532</v>
      </c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1"/>
        <v>26</v>
      </c>
      <c r="J194" s="31">
        <f t="shared" si="12"/>
        <v>2</v>
      </c>
      <c r="K194" s="32">
        <f t="shared" si="13"/>
        <v>0.9285714285714286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 t="s">
        <v>1532</v>
      </c>
      <c r="AJ194" s="70" t="s">
        <v>1532</v>
      </c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1"/>
        <v>26</v>
      </c>
      <c r="J196" s="31">
        <f t="shared" si="12"/>
        <v>2</v>
      </c>
      <c r="K196" s="32">
        <f t="shared" si="13"/>
        <v>0.9285714285714286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 t="s">
        <v>1532</v>
      </c>
      <c r="AJ196" s="70" t="s">
        <v>1532</v>
      </c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1"/>
        <v>26</v>
      </c>
      <c r="J197" s="31">
        <f t="shared" si="12"/>
        <v>2</v>
      </c>
      <c r="K197" s="32">
        <f t="shared" si="13"/>
        <v>0.9285714285714286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 t="s">
        <v>1532</v>
      </c>
      <c r="AJ197" s="70" t="s">
        <v>1532</v>
      </c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1"/>
        <v>2</v>
      </c>
      <c r="J198" s="31">
        <f t="shared" si="12"/>
        <v>26</v>
      </c>
      <c r="K198" s="32">
        <f t="shared" si="13"/>
        <v>7.1428571428571425E-2</v>
      </c>
      <c r="L198" s="70"/>
      <c r="M198" s="70" t="s">
        <v>1532</v>
      </c>
      <c r="N198" s="70" t="s">
        <v>1532</v>
      </c>
      <c r="O198" s="70" t="s">
        <v>1532</v>
      </c>
      <c r="P198" s="70" t="s">
        <v>1532</v>
      </c>
      <c r="Q198" s="70" t="s">
        <v>1532</v>
      </c>
      <c r="R198" s="70" t="s">
        <v>1532</v>
      </c>
      <c r="S198" s="70" t="s">
        <v>1532</v>
      </c>
      <c r="T198" s="70" t="s">
        <v>1532</v>
      </c>
      <c r="U198" s="70" t="s">
        <v>1532</v>
      </c>
      <c r="V198" s="70" t="s">
        <v>1532</v>
      </c>
      <c r="W198" s="70" t="s">
        <v>1532</v>
      </c>
      <c r="X198" s="70" t="s">
        <v>1532</v>
      </c>
      <c r="Y198" s="70" t="s">
        <v>1532</v>
      </c>
      <c r="Z198" s="70" t="s">
        <v>1532</v>
      </c>
      <c r="AA198" s="70" t="s">
        <v>1532</v>
      </c>
      <c r="AB198" s="70" t="s">
        <v>1532</v>
      </c>
      <c r="AC198" s="70" t="s">
        <v>1532</v>
      </c>
      <c r="AD198" s="70" t="s">
        <v>1532</v>
      </c>
      <c r="AE198" s="70" t="s">
        <v>1532</v>
      </c>
      <c r="AF198" s="70" t="s">
        <v>1532</v>
      </c>
      <c r="AG198" s="70" t="s">
        <v>1532</v>
      </c>
      <c r="AH198" s="70" t="s">
        <v>1532</v>
      </c>
      <c r="AI198" s="70" t="s">
        <v>1532</v>
      </c>
      <c r="AJ198" s="70" t="s">
        <v>1532</v>
      </c>
      <c r="AK198" s="70" t="s">
        <v>1532</v>
      </c>
      <c r="AL198" s="70" t="s">
        <v>1532</v>
      </c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1494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1"/>
        <v>28</v>
      </c>
      <c r="J210" s="31">
        <f t="shared" si="12"/>
        <v>0</v>
      </c>
      <c r="K210" s="32">
        <f t="shared" si="13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4">COUNTIF(L211:AM211,"")</f>
        <v>28</v>
      </c>
      <c r="J211" s="31">
        <f t="shared" ref="J211:J277" si="15">COUNTIF(L211:AM211,"APAGADO")</f>
        <v>0</v>
      </c>
      <c r="K211" s="32">
        <f t="shared" ref="K211:K277" si="16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4"/>
        <v>1</v>
      </c>
      <c r="J218" s="31">
        <f t="shared" si="15"/>
        <v>27</v>
      </c>
      <c r="K218" s="32">
        <f t="shared" si="16"/>
        <v>3.5714285714285712E-2</v>
      </c>
      <c r="L218" s="70" t="s">
        <v>1532</v>
      </c>
      <c r="M218" s="70" t="s">
        <v>1532</v>
      </c>
      <c r="N218" s="70" t="s">
        <v>1532</v>
      </c>
      <c r="O218" s="70" t="s">
        <v>1532</v>
      </c>
      <c r="P218" s="70" t="s">
        <v>1532</v>
      </c>
      <c r="Q218" s="70" t="s">
        <v>1532</v>
      </c>
      <c r="R218" s="70" t="s">
        <v>1532</v>
      </c>
      <c r="S218" s="70" t="s">
        <v>1532</v>
      </c>
      <c r="T218" s="70" t="s">
        <v>1532</v>
      </c>
      <c r="U218" s="70" t="s">
        <v>1532</v>
      </c>
      <c r="V218" s="70" t="s">
        <v>1532</v>
      </c>
      <c r="W218" s="70" t="s">
        <v>1532</v>
      </c>
      <c r="X218" s="70" t="s">
        <v>1532</v>
      </c>
      <c r="Y218" s="70" t="s">
        <v>1532</v>
      </c>
      <c r="Z218" s="70" t="s">
        <v>1532</v>
      </c>
      <c r="AA218" s="70" t="s">
        <v>1532</v>
      </c>
      <c r="AB218" s="70" t="s">
        <v>1532</v>
      </c>
      <c r="AC218" s="70" t="s">
        <v>1532</v>
      </c>
      <c r="AD218" s="97" t="s">
        <v>1532</v>
      </c>
      <c r="AE218" s="97" t="s">
        <v>1532</v>
      </c>
      <c r="AF218" s="97" t="s">
        <v>1532</v>
      </c>
      <c r="AG218" s="97" t="s">
        <v>1532</v>
      </c>
      <c r="AH218" s="97" t="s">
        <v>1532</v>
      </c>
      <c r="AI218" s="97" t="s">
        <v>1532</v>
      </c>
      <c r="AJ218" s="97" t="s">
        <v>1532</v>
      </c>
      <c r="AK218" s="97" t="s">
        <v>1532</v>
      </c>
      <c r="AL218" s="97" t="s">
        <v>1532</v>
      </c>
      <c r="AM218" s="97"/>
      <c r="AN218" s="97"/>
      <c r="AO218" s="97"/>
      <c r="AP218" s="97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4"/>
        <v>24</v>
      </c>
      <c r="J219" s="31">
        <f t="shared" si="15"/>
        <v>4</v>
      </c>
      <c r="K219" s="32">
        <f t="shared" si="16"/>
        <v>0.8571428571428571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 t="s">
        <v>1532</v>
      </c>
      <c r="AC219" s="70" t="s">
        <v>1532</v>
      </c>
      <c r="AD219" s="70"/>
      <c r="AE219" s="70" t="s">
        <v>1532</v>
      </c>
      <c r="AF219" s="70"/>
      <c r="AG219" s="70"/>
      <c r="AH219" s="70" t="s">
        <v>1532</v>
      </c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4"/>
        <v>26</v>
      </c>
      <c r="J220" s="31">
        <f t="shared" si="15"/>
        <v>2</v>
      </c>
      <c r="K220" s="32">
        <f t="shared" si="16"/>
        <v>0.9285714285714286</v>
      </c>
      <c r="L220" s="70"/>
      <c r="M220" s="70"/>
      <c r="N220" s="70"/>
      <c r="O220" s="70"/>
      <c r="P220" s="70" t="s">
        <v>1532</v>
      </c>
      <c r="Q220" s="70" t="s">
        <v>1532</v>
      </c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4"/>
        <v>7</v>
      </c>
      <c r="J221" s="31">
        <f t="shared" si="15"/>
        <v>21</v>
      </c>
      <c r="K221" s="32">
        <f t="shared" si="16"/>
        <v>0.25</v>
      </c>
      <c r="L221" s="70" t="s">
        <v>1532</v>
      </c>
      <c r="M221" s="70" t="s">
        <v>1532</v>
      </c>
      <c r="N221" s="70" t="s">
        <v>1532</v>
      </c>
      <c r="O221" s="70" t="s">
        <v>1532</v>
      </c>
      <c r="P221" s="70" t="s">
        <v>1532</v>
      </c>
      <c r="Q221" s="70" t="s">
        <v>1532</v>
      </c>
      <c r="R221" s="70" t="s">
        <v>1532</v>
      </c>
      <c r="S221" s="70" t="s">
        <v>1532</v>
      </c>
      <c r="T221" s="70" t="s">
        <v>1532</v>
      </c>
      <c r="U221" s="70" t="s">
        <v>1532</v>
      </c>
      <c r="V221" s="70" t="s">
        <v>1532</v>
      </c>
      <c r="W221" s="70" t="s">
        <v>1532</v>
      </c>
      <c r="X221" s="70" t="s">
        <v>1532</v>
      </c>
      <c r="Y221" s="70" t="s">
        <v>1532</v>
      </c>
      <c r="Z221" s="70" t="s">
        <v>1532</v>
      </c>
      <c r="AA221" s="70" t="s">
        <v>1532</v>
      </c>
      <c r="AB221" s="70" t="s">
        <v>1532</v>
      </c>
      <c r="AC221" s="70" t="s">
        <v>1532</v>
      </c>
      <c r="AD221" s="70" t="s">
        <v>1532</v>
      </c>
      <c r="AE221" s="70" t="s">
        <v>1532</v>
      </c>
      <c r="AF221" s="70" t="s">
        <v>1532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0"/>
      <c r="M222" s="70"/>
      <c r="N222" s="70"/>
      <c r="O222" s="70" t="s">
        <v>1532</v>
      </c>
      <c r="P222" s="70" t="s">
        <v>1532</v>
      </c>
      <c r="Q222" s="70" t="s">
        <v>1532</v>
      </c>
      <c r="R222" s="70" t="s">
        <v>1532</v>
      </c>
      <c r="S222" s="70" t="s">
        <v>1532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4"/>
        <v>23</v>
      </c>
      <c r="J223" s="31">
        <f t="shared" si="15"/>
        <v>5</v>
      </c>
      <c r="K223" s="32">
        <f t="shared" si="16"/>
        <v>0.8214285714285714</v>
      </c>
      <c r="L223" s="70"/>
      <c r="M223" s="70"/>
      <c r="N223" s="70"/>
      <c r="O223" s="70" t="s">
        <v>1532</v>
      </c>
      <c r="P223" s="70" t="s">
        <v>1532</v>
      </c>
      <c r="Q223" s="70" t="s">
        <v>1532</v>
      </c>
      <c r="R223" s="70" t="s">
        <v>1532</v>
      </c>
      <c r="S223" s="70" t="s">
        <v>1532</v>
      </c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4"/>
        <v>13</v>
      </c>
      <c r="J226" s="31">
        <f t="shared" si="15"/>
        <v>15</v>
      </c>
      <c r="K226" s="32">
        <f t="shared" si="16"/>
        <v>0.4642857142857143</v>
      </c>
      <c r="L226" s="70" t="s">
        <v>1532</v>
      </c>
      <c r="M226" s="70" t="s">
        <v>1532</v>
      </c>
      <c r="N226" s="70" t="s">
        <v>1532</v>
      </c>
      <c r="O226" s="70" t="s">
        <v>1532</v>
      </c>
      <c r="P226" s="70" t="s">
        <v>1532</v>
      </c>
      <c r="Q226" s="70" t="s">
        <v>1532</v>
      </c>
      <c r="R226" s="70" t="s">
        <v>1532</v>
      </c>
      <c r="S226" s="70" t="s">
        <v>1532</v>
      </c>
      <c r="T226" s="70" t="s">
        <v>1532</v>
      </c>
      <c r="U226" s="70"/>
      <c r="V226" s="70" t="s">
        <v>1532</v>
      </c>
      <c r="W226" s="70"/>
      <c r="X226" s="70"/>
      <c r="Y226" s="70"/>
      <c r="Z226" s="70"/>
      <c r="AA226" s="70"/>
      <c r="AB226" s="70"/>
      <c r="AC226" s="70" t="s">
        <v>1532</v>
      </c>
      <c r="AD226" s="70" t="s">
        <v>1532</v>
      </c>
      <c r="AE226" s="70" t="s">
        <v>1532</v>
      </c>
      <c r="AF226" s="70" t="s">
        <v>1532</v>
      </c>
      <c r="AG226" s="70"/>
      <c r="AH226" s="70" t="s">
        <v>1532</v>
      </c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4"/>
        <v>24</v>
      </c>
      <c r="J228" s="31">
        <f t="shared" si="15"/>
        <v>4</v>
      </c>
      <c r="K228" s="32">
        <f t="shared" si="16"/>
        <v>0.8571428571428571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1532</v>
      </c>
      <c r="AB228" s="70" t="s">
        <v>1532</v>
      </c>
      <c r="AC228" s="70"/>
      <c r="AD228" s="70"/>
      <c r="AE228" s="70"/>
      <c r="AF228" s="70"/>
      <c r="AG228" s="70"/>
      <c r="AH228" s="70"/>
      <c r="AI228" s="70" t="s">
        <v>1532</v>
      </c>
      <c r="AJ228" s="70"/>
      <c r="AK228" s="70" t="s">
        <v>1532</v>
      </c>
      <c r="AL228" s="70"/>
      <c r="AM228" s="70"/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4"/>
        <v>1</v>
      </c>
      <c r="J229" s="31">
        <f t="shared" si="15"/>
        <v>27</v>
      </c>
      <c r="K229" s="32">
        <f t="shared" si="16"/>
        <v>3.5714285714285712E-2</v>
      </c>
      <c r="L229" s="70" t="s">
        <v>1532</v>
      </c>
      <c r="M229" s="70" t="s">
        <v>1532</v>
      </c>
      <c r="N229" s="70" t="s">
        <v>1532</v>
      </c>
      <c r="O229" s="70" t="s">
        <v>1532</v>
      </c>
      <c r="P229" s="70" t="s">
        <v>1532</v>
      </c>
      <c r="Q229" s="70" t="s">
        <v>1532</v>
      </c>
      <c r="R229" s="70" t="s">
        <v>1532</v>
      </c>
      <c r="S229" s="70" t="s">
        <v>1532</v>
      </c>
      <c r="T229" s="70" t="s">
        <v>1532</v>
      </c>
      <c r="U229" s="70" t="s">
        <v>1532</v>
      </c>
      <c r="V229" s="70" t="s">
        <v>1532</v>
      </c>
      <c r="W229" s="70" t="s">
        <v>1532</v>
      </c>
      <c r="X229" s="70" t="s">
        <v>1532</v>
      </c>
      <c r="Y229" s="70" t="s">
        <v>1532</v>
      </c>
      <c r="Z229" s="70" t="s">
        <v>1532</v>
      </c>
      <c r="AA229" s="70" t="s">
        <v>1532</v>
      </c>
      <c r="AB229" s="70" t="s">
        <v>1532</v>
      </c>
      <c r="AC229" s="70" t="s">
        <v>1532</v>
      </c>
      <c r="AD229" s="70" t="s">
        <v>1532</v>
      </c>
      <c r="AE229" s="70" t="s">
        <v>1532</v>
      </c>
      <c r="AF229" s="70" t="s">
        <v>1532</v>
      </c>
      <c r="AG229" s="70" t="s">
        <v>1532</v>
      </c>
      <c r="AH229" s="70" t="s">
        <v>1532</v>
      </c>
      <c r="AI229" s="70" t="s">
        <v>1532</v>
      </c>
      <c r="AJ229" s="70" t="s">
        <v>1532</v>
      </c>
      <c r="AK229" s="70" t="s">
        <v>1532</v>
      </c>
      <c r="AL229" s="70" t="s">
        <v>1532</v>
      </c>
      <c r="AM229" s="70"/>
      <c r="AN229" s="70"/>
      <c r="AO229" s="70"/>
      <c r="AP229" s="70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4"/>
        <v>11</v>
      </c>
      <c r="J230" s="31">
        <f t="shared" si="15"/>
        <v>17</v>
      </c>
      <c r="K230" s="32">
        <f t="shared" si="16"/>
        <v>0.39285714285714285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 t="s">
        <v>1532</v>
      </c>
      <c r="V230" s="70" t="s">
        <v>1532</v>
      </c>
      <c r="W230" s="70" t="s">
        <v>1532</v>
      </c>
      <c r="X230" s="70" t="s">
        <v>1532</v>
      </c>
      <c r="Y230" s="70"/>
      <c r="Z230" s="70" t="s">
        <v>1532</v>
      </c>
      <c r="AA230" s="70" t="s">
        <v>1532</v>
      </c>
      <c r="AB230" s="70" t="s">
        <v>1532</v>
      </c>
      <c r="AC230" s="70" t="s">
        <v>1532</v>
      </c>
      <c r="AD230" s="70" t="s">
        <v>1532</v>
      </c>
      <c r="AE230" s="70" t="s">
        <v>1532</v>
      </c>
      <c r="AF230" s="70" t="s">
        <v>1532</v>
      </c>
      <c r="AG230" s="70" t="s">
        <v>1532</v>
      </c>
      <c r="AH230" s="70" t="s">
        <v>1532</v>
      </c>
      <c r="AI230" s="70" t="s">
        <v>1532</v>
      </c>
      <c r="AJ230" s="70" t="s">
        <v>1532</v>
      </c>
      <c r="AK230" s="70" t="s">
        <v>1532</v>
      </c>
      <c r="AL230" s="70" t="s">
        <v>1532</v>
      </c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4"/>
        <v>24</v>
      </c>
      <c r="J239" s="31">
        <f t="shared" si="15"/>
        <v>4</v>
      </c>
      <c r="K239" s="32">
        <f t="shared" si="16"/>
        <v>0.8571428571428571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1532</v>
      </c>
      <c r="AB239" s="70" t="s">
        <v>1532</v>
      </c>
      <c r="AC239" s="70"/>
      <c r="AD239" s="70"/>
      <c r="AE239" s="70"/>
      <c r="AF239" s="70"/>
      <c r="AG239" s="70"/>
      <c r="AH239" s="70"/>
      <c r="AI239" s="70" t="s">
        <v>1532</v>
      </c>
      <c r="AJ239" s="70"/>
      <c r="AK239" s="70" t="s">
        <v>1532</v>
      </c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1512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1513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1507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1508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1509</v>
      </c>
      <c r="C243" t="s">
        <v>1069</v>
      </c>
      <c r="D243" t="s">
        <v>1506</v>
      </c>
      <c r="E243" s="30" t="s">
        <v>73</v>
      </c>
      <c r="F243" s="30" t="s">
        <v>28</v>
      </c>
      <c r="G243" s="30"/>
      <c r="H243" s="30" t="s">
        <v>1514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4"/>
        <v>24</v>
      </c>
      <c r="J244" s="31">
        <f t="shared" si="15"/>
        <v>4</v>
      </c>
      <c r="K244" s="32">
        <f t="shared" si="16"/>
        <v>0.8571428571428571</v>
      </c>
      <c r="L244" s="70"/>
      <c r="M244" s="70"/>
      <c r="N244" s="70"/>
      <c r="O244" s="70" t="s">
        <v>1532</v>
      </c>
      <c r="P244" s="70"/>
      <c r="Q244" s="70"/>
      <c r="R244" s="70" t="s">
        <v>1532</v>
      </c>
      <c r="S244" s="70"/>
      <c r="T244" s="70"/>
      <c r="U244" s="70" t="s">
        <v>1532</v>
      </c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 t="s">
        <v>1532</v>
      </c>
      <c r="AM244" s="70"/>
      <c r="AN244" s="70"/>
      <c r="AO244" s="70"/>
      <c r="AP244" s="70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4"/>
        <v>24</v>
      </c>
      <c r="J246" s="31">
        <f t="shared" si="15"/>
        <v>4</v>
      </c>
      <c r="K246" s="32">
        <f t="shared" si="16"/>
        <v>0.8571428571428571</v>
      </c>
      <c r="L246" s="70"/>
      <c r="M246" s="70"/>
      <c r="N246" s="70"/>
      <c r="O246" s="70"/>
      <c r="P246" s="70"/>
      <c r="Q246" s="70"/>
      <c r="R246" s="70" t="s">
        <v>1532</v>
      </c>
      <c r="S246" s="70"/>
      <c r="T246" s="70"/>
      <c r="U246" s="70" t="s">
        <v>1532</v>
      </c>
      <c r="V246" s="70"/>
      <c r="W246" s="70"/>
      <c r="X246" s="70"/>
      <c r="Y246" s="70"/>
      <c r="Z246" s="70" t="s">
        <v>1532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 t="s">
        <v>1532</v>
      </c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4"/>
        <v>24</v>
      </c>
      <c r="J249" s="31">
        <f t="shared" si="15"/>
        <v>4</v>
      </c>
      <c r="K249" s="32">
        <f t="shared" si="16"/>
        <v>0.8571428571428571</v>
      </c>
      <c r="L249" s="70"/>
      <c r="M249" s="70"/>
      <c r="N249" s="70"/>
      <c r="O249" s="70" t="s">
        <v>1532</v>
      </c>
      <c r="P249" s="70"/>
      <c r="Q249" s="70"/>
      <c r="R249" s="70" t="s">
        <v>1532</v>
      </c>
      <c r="S249" s="70"/>
      <c r="T249" s="70"/>
      <c r="U249" s="70" t="s">
        <v>1532</v>
      </c>
      <c r="V249" s="70"/>
      <c r="W249" s="70"/>
      <c r="X249" s="70"/>
      <c r="Y249" s="70"/>
      <c r="Z249" s="70" t="s">
        <v>1532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4"/>
        <v>14</v>
      </c>
      <c r="J250" s="31">
        <f t="shared" si="15"/>
        <v>14</v>
      </c>
      <c r="K250" s="32">
        <f t="shared" si="16"/>
        <v>0.5</v>
      </c>
      <c r="L250" s="70" t="s">
        <v>1532</v>
      </c>
      <c r="M250" s="70" t="s">
        <v>1532</v>
      </c>
      <c r="N250" s="70" t="s">
        <v>1532</v>
      </c>
      <c r="O250" s="70" t="s">
        <v>1532</v>
      </c>
      <c r="P250" s="70" t="s">
        <v>1532</v>
      </c>
      <c r="Q250" s="70" t="s">
        <v>1532</v>
      </c>
      <c r="R250" s="70" t="s">
        <v>1532</v>
      </c>
      <c r="S250" s="70" t="s">
        <v>1532</v>
      </c>
      <c r="T250" s="70" t="s">
        <v>1532</v>
      </c>
      <c r="U250" s="70" t="s">
        <v>1532</v>
      </c>
      <c r="V250" s="70" t="s">
        <v>1532</v>
      </c>
      <c r="W250" s="70" t="s">
        <v>1532</v>
      </c>
      <c r="X250" s="70" t="s">
        <v>1532</v>
      </c>
      <c r="Y250" s="70" t="s">
        <v>1532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0"/>
      <c r="M251" s="70" t="s">
        <v>1532</v>
      </c>
      <c r="N251" s="70" t="s">
        <v>1532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1555</v>
      </c>
      <c r="B254" t="s">
        <v>1554</v>
      </c>
      <c r="C254" t="s">
        <v>1069</v>
      </c>
      <c r="D254" t="s">
        <v>1556</v>
      </c>
      <c r="E254" s="30" t="s">
        <v>19</v>
      </c>
      <c r="F254" s="30" t="s">
        <v>1309</v>
      </c>
      <c r="G254" s="30"/>
      <c r="H254" s="30" t="s">
        <v>1557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0"/>
      <c r="M258" s="70"/>
      <c r="N258" s="70"/>
      <c r="O258" s="70" t="s">
        <v>1532</v>
      </c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0"/>
      <c r="M259" s="70"/>
      <c r="N259" s="70"/>
      <c r="O259" s="70" t="s">
        <v>1532</v>
      </c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4"/>
        <v>23</v>
      </c>
      <c r="J260" s="31">
        <f t="shared" si="15"/>
        <v>5</v>
      </c>
      <c r="K260" s="32">
        <f t="shared" si="16"/>
        <v>0.8214285714285714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 t="s">
        <v>1532</v>
      </c>
      <c r="Y260" s="70"/>
      <c r="Z260" s="70"/>
      <c r="AA260" s="70"/>
      <c r="AB260" s="70"/>
      <c r="AC260" s="70"/>
      <c r="AD260" s="70"/>
      <c r="AE260" s="70"/>
      <c r="AF260" s="70"/>
      <c r="AG260" s="70" t="s">
        <v>1532</v>
      </c>
      <c r="AH260" s="70"/>
      <c r="AI260" s="70"/>
      <c r="AJ260" s="70" t="s">
        <v>1532</v>
      </c>
      <c r="AK260" s="70" t="s">
        <v>1532</v>
      </c>
      <c r="AL260" s="70" t="s">
        <v>1532</v>
      </c>
      <c r="AM260" s="70"/>
      <c r="AN260" s="70"/>
      <c r="AO260" s="70"/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4"/>
        <v>24</v>
      </c>
      <c r="J261" s="31">
        <f t="shared" si="15"/>
        <v>4</v>
      </c>
      <c r="K261" s="32">
        <f t="shared" si="16"/>
        <v>0.8571428571428571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 t="s">
        <v>1532</v>
      </c>
      <c r="Y261" s="70"/>
      <c r="Z261" s="70"/>
      <c r="AA261" s="70"/>
      <c r="AB261" s="70"/>
      <c r="AC261" s="70"/>
      <c r="AD261" s="70"/>
      <c r="AE261" s="70"/>
      <c r="AF261" s="70"/>
      <c r="AG261" s="70" t="s">
        <v>1532</v>
      </c>
      <c r="AH261" s="70"/>
      <c r="AI261" s="70"/>
      <c r="AJ261" s="70" t="s">
        <v>1532</v>
      </c>
      <c r="AK261" s="70" t="s">
        <v>1532</v>
      </c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4"/>
        <v>23</v>
      </c>
      <c r="J262" s="31">
        <f t="shared" si="15"/>
        <v>5</v>
      </c>
      <c r="K262" s="32">
        <f t="shared" si="16"/>
        <v>0.8214285714285714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 t="s">
        <v>1532</v>
      </c>
      <c r="Y262" s="70"/>
      <c r="Z262" s="70"/>
      <c r="AA262" s="70"/>
      <c r="AB262" s="70"/>
      <c r="AC262" s="70"/>
      <c r="AD262" s="70"/>
      <c r="AE262" s="70"/>
      <c r="AF262" s="70"/>
      <c r="AG262" s="70" t="s">
        <v>1532</v>
      </c>
      <c r="AH262" s="70"/>
      <c r="AI262" s="70"/>
      <c r="AJ262" s="70" t="s">
        <v>1532</v>
      </c>
      <c r="AK262" s="70" t="s">
        <v>1532</v>
      </c>
      <c r="AL262" s="70" t="s">
        <v>1532</v>
      </c>
      <c r="AM262" s="70"/>
      <c r="AN262" s="70"/>
      <c r="AO262" s="70"/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4"/>
        <v>7</v>
      </c>
      <c r="J263" s="31">
        <f t="shared" si="15"/>
        <v>21</v>
      </c>
      <c r="K263" s="32">
        <f t="shared" si="16"/>
        <v>0.25</v>
      </c>
      <c r="L263" s="70"/>
      <c r="M263" s="70" t="s">
        <v>1532</v>
      </c>
      <c r="N263" s="70" t="s">
        <v>1532</v>
      </c>
      <c r="O263" s="70" t="s">
        <v>1532</v>
      </c>
      <c r="P263" s="70"/>
      <c r="Q263" s="70" t="s">
        <v>1532</v>
      </c>
      <c r="R263" s="70" t="s">
        <v>1532</v>
      </c>
      <c r="S263" s="70" t="s">
        <v>1532</v>
      </c>
      <c r="T263" s="70" t="s">
        <v>1532</v>
      </c>
      <c r="U263" s="70" t="s">
        <v>1532</v>
      </c>
      <c r="V263" s="70" t="s">
        <v>1532</v>
      </c>
      <c r="W263" s="70" t="s">
        <v>1532</v>
      </c>
      <c r="X263" s="70" t="s">
        <v>1532</v>
      </c>
      <c r="Y263" s="70"/>
      <c r="Z263" s="70" t="s">
        <v>1532</v>
      </c>
      <c r="AA263" s="70" t="s">
        <v>1532</v>
      </c>
      <c r="AB263" s="70" t="s">
        <v>1532</v>
      </c>
      <c r="AC263" s="70" t="s">
        <v>1532</v>
      </c>
      <c r="AD263" s="70" t="s">
        <v>1532</v>
      </c>
      <c r="AE263" s="70" t="s">
        <v>1532</v>
      </c>
      <c r="AF263" s="70" t="s">
        <v>1532</v>
      </c>
      <c r="AG263" s="70" t="s">
        <v>1532</v>
      </c>
      <c r="AH263" s="70" t="s">
        <v>1532</v>
      </c>
      <c r="AI263" s="70" t="s">
        <v>1532</v>
      </c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4"/>
        <v>4</v>
      </c>
      <c r="J264" s="31">
        <f t="shared" si="15"/>
        <v>24</v>
      </c>
      <c r="K264" s="32">
        <f t="shared" si="16"/>
        <v>0.14285714285714285</v>
      </c>
      <c r="L264" s="70"/>
      <c r="M264" s="70" t="s">
        <v>1532</v>
      </c>
      <c r="N264" s="70" t="s">
        <v>1532</v>
      </c>
      <c r="O264" s="70" t="s">
        <v>1532</v>
      </c>
      <c r="P264" s="70" t="s">
        <v>1532</v>
      </c>
      <c r="Q264" s="70" t="s">
        <v>1532</v>
      </c>
      <c r="R264" s="70" t="s">
        <v>1532</v>
      </c>
      <c r="S264" s="70" t="s">
        <v>1532</v>
      </c>
      <c r="T264" s="70"/>
      <c r="U264" s="70"/>
      <c r="V264" s="70" t="s">
        <v>1532</v>
      </c>
      <c r="W264" s="70" t="s">
        <v>1532</v>
      </c>
      <c r="X264" s="70" t="s">
        <v>1532</v>
      </c>
      <c r="Y264" s="70" t="s">
        <v>1532</v>
      </c>
      <c r="Z264" s="70" t="s">
        <v>1532</v>
      </c>
      <c r="AA264" s="70" t="s">
        <v>1532</v>
      </c>
      <c r="AB264" s="70" t="s">
        <v>1532</v>
      </c>
      <c r="AC264" s="70" t="s">
        <v>1532</v>
      </c>
      <c r="AD264" s="70" t="s">
        <v>1532</v>
      </c>
      <c r="AE264" s="70" t="s">
        <v>1532</v>
      </c>
      <c r="AF264" s="70" t="s">
        <v>1532</v>
      </c>
      <c r="AG264" s="70" t="s">
        <v>1532</v>
      </c>
      <c r="AH264" s="70" t="s">
        <v>1532</v>
      </c>
      <c r="AI264" s="70" t="s">
        <v>1532</v>
      </c>
      <c r="AJ264" s="70" t="s">
        <v>1532</v>
      </c>
      <c r="AK264" s="70" t="s">
        <v>1532</v>
      </c>
      <c r="AL264" s="70" t="s">
        <v>1532</v>
      </c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4"/>
        <v>22</v>
      </c>
      <c r="J265" s="31">
        <f t="shared" si="15"/>
        <v>6</v>
      </c>
      <c r="K265" s="32">
        <f t="shared" si="16"/>
        <v>0.7857142857142857</v>
      </c>
      <c r="L265" s="70"/>
      <c r="M265" s="70" t="s">
        <v>1532</v>
      </c>
      <c r="N265" s="70" t="s">
        <v>1532</v>
      </c>
      <c r="O265" s="70"/>
      <c r="P265" s="70" t="s">
        <v>1532</v>
      </c>
      <c r="Q265" s="70" t="s">
        <v>1532</v>
      </c>
      <c r="R265" s="70" t="s">
        <v>1532</v>
      </c>
      <c r="S265" s="70" t="s">
        <v>1532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4"/>
        <v>2</v>
      </c>
      <c r="J266" s="31">
        <f t="shared" si="15"/>
        <v>26</v>
      </c>
      <c r="K266" s="32">
        <f t="shared" si="16"/>
        <v>7.1428571428571425E-2</v>
      </c>
      <c r="L266" s="70" t="s">
        <v>1532</v>
      </c>
      <c r="M266" s="70" t="s">
        <v>1532</v>
      </c>
      <c r="N266" s="70" t="s">
        <v>1532</v>
      </c>
      <c r="O266" s="70" t="s">
        <v>1532</v>
      </c>
      <c r="P266" s="70" t="s">
        <v>1532</v>
      </c>
      <c r="Q266" s="70" t="s">
        <v>1532</v>
      </c>
      <c r="R266" s="70" t="s">
        <v>1532</v>
      </c>
      <c r="S266" s="70" t="s">
        <v>1532</v>
      </c>
      <c r="T266" s="70" t="s">
        <v>1532</v>
      </c>
      <c r="U266" s="70" t="s">
        <v>1532</v>
      </c>
      <c r="V266" s="70" t="s">
        <v>1532</v>
      </c>
      <c r="W266" s="70" t="s">
        <v>1532</v>
      </c>
      <c r="X266" s="70" t="s">
        <v>1532</v>
      </c>
      <c r="Y266" s="70" t="s">
        <v>1532</v>
      </c>
      <c r="Z266" s="70" t="s">
        <v>1532</v>
      </c>
      <c r="AA266" s="70" t="s">
        <v>1532</v>
      </c>
      <c r="AB266" s="70" t="s">
        <v>1532</v>
      </c>
      <c r="AC266" s="70" t="s">
        <v>1532</v>
      </c>
      <c r="AD266" s="70" t="s">
        <v>1532</v>
      </c>
      <c r="AE266" s="70" t="s">
        <v>1532</v>
      </c>
      <c r="AF266" s="70" t="s">
        <v>1532</v>
      </c>
      <c r="AG266" s="70" t="s">
        <v>1532</v>
      </c>
      <c r="AH266" s="70"/>
      <c r="AI266" s="70" t="s">
        <v>1532</v>
      </c>
      <c r="AJ266" s="70" t="s">
        <v>1532</v>
      </c>
      <c r="AK266" s="70" t="s">
        <v>1532</v>
      </c>
      <c r="AL266" s="70" t="s">
        <v>1532</v>
      </c>
      <c r="AM266" s="70"/>
      <c r="AN266" s="70"/>
      <c r="AO266" s="70"/>
      <c r="AP266" s="70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4"/>
        <v>25</v>
      </c>
      <c r="J267" s="31">
        <f t="shared" si="15"/>
        <v>3</v>
      </c>
      <c r="K267" s="32">
        <f t="shared" si="16"/>
        <v>0.8928571428571429</v>
      </c>
      <c r="L267" s="70"/>
      <c r="M267" s="70"/>
      <c r="N267" s="70"/>
      <c r="O267" s="70"/>
      <c r="P267" s="70"/>
      <c r="Q267" s="70" t="s">
        <v>1532</v>
      </c>
      <c r="R267" s="70" t="s">
        <v>1532</v>
      </c>
      <c r="S267" s="70" t="s">
        <v>1532</v>
      </c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4"/>
        <v>24</v>
      </c>
      <c r="J268" s="31">
        <f t="shared" si="15"/>
        <v>4</v>
      </c>
      <c r="K268" s="32">
        <f t="shared" si="16"/>
        <v>0.8571428571428571</v>
      </c>
      <c r="L268" s="70"/>
      <c r="M268" s="70"/>
      <c r="N268" s="70"/>
      <c r="O268" s="70"/>
      <c r="P268" s="70" t="s">
        <v>1532</v>
      </c>
      <c r="Q268" s="70" t="s">
        <v>1532</v>
      </c>
      <c r="R268" s="70" t="s">
        <v>1532</v>
      </c>
      <c r="S268" s="70" t="s">
        <v>1532</v>
      </c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4"/>
        <v>27</v>
      </c>
      <c r="J272" s="31">
        <f t="shared" si="15"/>
        <v>1</v>
      </c>
      <c r="K272" s="32">
        <f t="shared" si="16"/>
        <v>0.9642857142857143</v>
      </c>
      <c r="L272" s="70"/>
      <c r="M272" s="70"/>
      <c r="N272" s="70"/>
      <c r="O272" s="70"/>
      <c r="P272" s="70"/>
      <c r="Q272" s="70"/>
      <c r="R272" s="70" t="s">
        <v>1532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4"/>
        <v>28</v>
      </c>
      <c r="J276" s="31">
        <f t="shared" si="15"/>
        <v>0</v>
      </c>
      <c r="K276" s="32">
        <f t="shared" si="16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4"/>
        <v>1</v>
      </c>
      <c r="J277" s="142">
        <f t="shared" si="15"/>
        <v>27</v>
      </c>
      <c r="K277" s="143">
        <f t="shared" si="16"/>
        <v>3.5714285714285712E-2</v>
      </c>
      <c r="L277" s="144" t="s">
        <v>1532</v>
      </c>
      <c r="M277" s="144" t="s">
        <v>1532</v>
      </c>
      <c r="N277" s="144" t="s">
        <v>1532</v>
      </c>
      <c r="O277" s="144" t="s">
        <v>1532</v>
      </c>
      <c r="P277" s="144" t="s">
        <v>1532</v>
      </c>
      <c r="Q277" s="144" t="s">
        <v>1532</v>
      </c>
      <c r="R277" s="144" t="s">
        <v>1532</v>
      </c>
      <c r="S277" s="144" t="s">
        <v>1532</v>
      </c>
      <c r="T277" s="144" t="s">
        <v>1532</v>
      </c>
      <c r="U277" s="144" t="s">
        <v>1532</v>
      </c>
      <c r="V277" s="144" t="s">
        <v>1532</v>
      </c>
      <c r="W277" s="144" t="s">
        <v>1532</v>
      </c>
      <c r="X277" s="144" t="s">
        <v>1532</v>
      </c>
      <c r="Y277" s="144" t="s">
        <v>1532</v>
      </c>
      <c r="Z277" s="144" t="s">
        <v>1532</v>
      </c>
      <c r="AA277" s="144" t="s">
        <v>1532</v>
      </c>
      <c r="AB277" s="144" t="s">
        <v>1532</v>
      </c>
      <c r="AC277" s="144" t="s">
        <v>1532</v>
      </c>
      <c r="AD277" s="144" t="s">
        <v>1532</v>
      </c>
      <c r="AE277" s="144" t="s">
        <v>1532</v>
      </c>
      <c r="AF277" s="144" t="s">
        <v>1532</v>
      </c>
      <c r="AG277" s="144" t="s">
        <v>1532</v>
      </c>
      <c r="AH277" s="144" t="s">
        <v>1532</v>
      </c>
      <c r="AI277" s="144" t="s">
        <v>1532</v>
      </c>
      <c r="AJ277" s="144" t="s">
        <v>1532</v>
      </c>
      <c r="AK277" s="144" t="s">
        <v>1532</v>
      </c>
      <c r="AL277" s="144" t="s">
        <v>1532</v>
      </c>
      <c r="AM277" s="144"/>
      <c r="AN277" s="144"/>
      <c r="AO277" s="144"/>
      <c r="AP277" s="144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7">COUNTIF(L278:AM278,"")</f>
        <v>28</v>
      </c>
      <c r="J278" s="31">
        <f t="shared" ref="J278:J341" si="18">COUNTIF(L278:AM278,"APAGADO")</f>
        <v>0</v>
      </c>
      <c r="K278" s="32">
        <f t="shared" ref="K278:K341" si="19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7"/>
        <v>27</v>
      </c>
      <c r="J280" s="31">
        <f t="shared" si="18"/>
        <v>1</v>
      </c>
      <c r="K280" s="32">
        <f t="shared" si="19"/>
        <v>0.9642857142857143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 t="s">
        <v>1532</v>
      </c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7"/>
        <v>1</v>
      </c>
      <c r="J282" s="31">
        <f t="shared" si="18"/>
        <v>27</v>
      </c>
      <c r="K282" s="32">
        <f t="shared" si="19"/>
        <v>3.5714285714285712E-2</v>
      </c>
      <c r="L282" s="70" t="s">
        <v>1532</v>
      </c>
      <c r="M282" s="70" t="s">
        <v>1532</v>
      </c>
      <c r="N282" s="70" t="s">
        <v>1532</v>
      </c>
      <c r="O282" s="70" t="s">
        <v>1532</v>
      </c>
      <c r="P282" s="70" t="s">
        <v>1532</v>
      </c>
      <c r="Q282" s="70" t="s">
        <v>1532</v>
      </c>
      <c r="R282" s="70" t="s">
        <v>1532</v>
      </c>
      <c r="S282" s="70" t="s">
        <v>1532</v>
      </c>
      <c r="T282" s="70" t="s">
        <v>1532</v>
      </c>
      <c r="U282" s="70" t="s">
        <v>1532</v>
      </c>
      <c r="V282" s="70" t="s">
        <v>1532</v>
      </c>
      <c r="W282" s="70" t="s">
        <v>1532</v>
      </c>
      <c r="X282" s="70" t="s">
        <v>1532</v>
      </c>
      <c r="Y282" s="70" t="s">
        <v>1532</v>
      </c>
      <c r="Z282" s="70" t="s">
        <v>1532</v>
      </c>
      <c r="AA282" s="70" t="s">
        <v>1532</v>
      </c>
      <c r="AB282" s="70" t="s">
        <v>1532</v>
      </c>
      <c r="AC282" s="70" t="s">
        <v>1532</v>
      </c>
      <c r="AD282" s="70" t="s">
        <v>1532</v>
      </c>
      <c r="AE282" s="70" t="s">
        <v>1532</v>
      </c>
      <c r="AF282" s="70" t="s">
        <v>1532</v>
      </c>
      <c r="AG282" s="70" t="s">
        <v>1532</v>
      </c>
      <c r="AH282" s="70" t="s">
        <v>1532</v>
      </c>
      <c r="AI282" s="70" t="s">
        <v>1532</v>
      </c>
      <c r="AJ282" s="70" t="s">
        <v>1532</v>
      </c>
      <c r="AK282" s="70" t="s">
        <v>1532</v>
      </c>
      <c r="AL282" s="70" t="s">
        <v>1532</v>
      </c>
      <c r="AM282" s="70"/>
      <c r="AN282" s="70"/>
      <c r="AO282" s="70"/>
      <c r="AP282" s="70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7"/>
        <v>26</v>
      </c>
      <c r="J285" s="31">
        <f t="shared" si="18"/>
        <v>2</v>
      </c>
      <c r="K285" s="32">
        <f t="shared" si="19"/>
        <v>0.9285714285714286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1532</v>
      </c>
      <c r="AC285" s="70"/>
      <c r="AD285" s="70"/>
      <c r="AE285" s="70"/>
      <c r="AF285" s="70"/>
      <c r="AG285" s="70"/>
      <c r="AH285" s="70" t="s">
        <v>1532</v>
      </c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7"/>
        <v>26</v>
      </c>
      <c r="J286" s="31">
        <f t="shared" si="18"/>
        <v>2</v>
      </c>
      <c r="K286" s="32">
        <f t="shared" si="19"/>
        <v>0.9285714285714286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 t="s">
        <v>1532</v>
      </c>
      <c r="AC286" s="70"/>
      <c r="AD286" s="70"/>
      <c r="AE286" s="70"/>
      <c r="AF286" s="70"/>
      <c r="AG286" s="70"/>
      <c r="AH286" s="70" t="s">
        <v>1532</v>
      </c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0"/>
      <c r="M287" s="70"/>
      <c r="N287" s="70"/>
      <c r="O287" s="70"/>
      <c r="P287" s="70" t="s">
        <v>1532</v>
      </c>
      <c r="Q287" s="70" t="s">
        <v>1532</v>
      </c>
      <c r="R287" s="70" t="s">
        <v>1532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 t="s">
        <v>1532</v>
      </c>
      <c r="AC287" s="70"/>
      <c r="AD287" s="70"/>
      <c r="AE287" s="70"/>
      <c r="AF287" s="70"/>
      <c r="AG287" s="70"/>
      <c r="AH287" s="70" t="s">
        <v>1532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7"/>
        <v>20</v>
      </c>
      <c r="J288" s="31">
        <f t="shared" si="18"/>
        <v>8</v>
      </c>
      <c r="K288" s="32">
        <f t="shared" si="19"/>
        <v>0.7142857142857143</v>
      </c>
      <c r="L288" s="70" t="s">
        <v>1532</v>
      </c>
      <c r="M288" s="70" t="s">
        <v>1532</v>
      </c>
      <c r="N288" s="70" t="s">
        <v>1532</v>
      </c>
      <c r="O288" s="70" t="s">
        <v>1532</v>
      </c>
      <c r="P288" s="70" t="s">
        <v>1532</v>
      </c>
      <c r="Q288" s="70" t="s">
        <v>1532</v>
      </c>
      <c r="R288" s="70" t="s">
        <v>1532</v>
      </c>
      <c r="S288" s="70" t="s">
        <v>1532</v>
      </c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0"/>
      <c r="M289" s="70"/>
      <c r="N289" s="70"/>
      <c r="O289" s="70" t="s">
        <v>1532</v>
      </c>
      <c r="P289" s="70" t="s">
        <v>1532</v>
      </c>
      <c r="Q289" s="70" t="s">
        <v>1532</v>
      </c>
      <c r="R289" s="70" t="s">
        <v>1532</v>
      </c>
      <c r="S289" s="70" t="s">
        <v>1532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0"/>
      <c r="M290" s="70"/>
      <c r="N290" s="70"/>
      <c r="O290" s="70" t="s">
        <v>1532</v>
      </c>
      <c r="P290" s="70" t="s">
        <v>1532</v>
      </c>
      <c r="Q290" s="70" t="s">
        <v>1532</v>
      </c>
      <c r="R290" s="70" t="s">
        <v>1532</v>
      </c>
      <c r="S290" s="70" t="s">
        <v>1532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7"/>
        <v>23</v>
      </c>
      <c r="J291" s="31">
        <f t="shared" si="18"/>
        <v>5</v>
      </c>
      <c r="K291" s="32">
        <f t="shared" si="19"/>
        <v>0.8214285714285714</v>
      </c>
      <c r="L291" s="70"/>
      <c r="M291" s="70"/>
      <c r="N291" s="70"/>
      <c r="O291" s="70" t="s">
        <v>1532</v>
      </c>
      <c r="P291" s="70" t="s">
        <v>1532</v>
      </c>
      <c r="Q291" s="70" t="s">
        <v>1532</v>
      </c>
      <c r="R291" s="70" t="s">
        <v>1532</v>
      </c>
      <c r="S291" s="70" t="s">
        <v>1532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0" t="s">
        <v>1532</v>
      </c>
      <c r="M292" s="70" t="s">
        <v>1532</v>
      </c>
      <c r="N292" s="70" t="s">
        <v>1532</v>
      </c>
      <c r="O292" s="70" t="s">
        <v>1532</v>
      </c>
      <c r="P292" s="70" t="s">
        <v>1532</v>
      </c>
      <c r="Q292" s="70" t="s">
        <v>1532</v>
      </c>
      <c r="R292" s="70" t="s">
        <v>1532</v>
      </c>
      <c r="S292" s="70" t="s">
        <v>1532</v>
      </c>
      <c r="T292" s="70" t="s">
        <v>1532</v>
      </c>
      <c r="U292" s="70" t="s">
        <v>1532</v>
      </c>
      <c r="V292" s="70" t="s">
        <v>1532</v>
      </c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7"/>
        <v>17</v>
      </c>
      <c r="J293" s="31">
        <f t="shared" si="18"/>
        <v>11</v>
      </c>
      <c r="K293" s="32">
        <f t="shared" si="19"/>
        <v>0.6071428571428571</v>
      </c>
      <c r="L293" s="70" t="s">
        <v>1532</v>
      </c>
      <c r="M293" s="70" t="s">
        <v>1532</v>
      </c>
      <c r="N293" s="70" t="s">
        <v>1532</v>
      </c>
      <c r="O293" s="70" t="s">
        <v>1532</v>
      </c>
      <c r="P293" s="70" t="s">
        <v>1532</v>
      </c>
      <c r="Q293" s="70" t="s">
        <v>1532</v>
      </c>
      <c r="R293" s="70" t="s">
        <v>1532</v>
      </c>
      <c r="S293" s="70" t="s">
        <v>1532</v>
      </c>
      <c r="T293" s="70" t="s">
        <v>1532</v>
      </c>
      <c r="U293" s="70" t="s">
        <v>1532</v>
      </c>
      <c r="V293" s="70" t="s">
        <v>1532</v>
      </c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7"/>
        <v>26</v>
      </c>
      <c r="J294" s="31">
        <f t="shared" si="18"/>
        <v>2</v>
      </c>
      <c r="K294" s="32">
        <f t="shared" si="19"/>
        <v>0.9285714285714286</v>
      </c>
      <c r="L294" s="70"/>
      <c r="M294" s="70"/>
      <c r="N294" s="70"/>
      <c r="O294" s="70"/>
      <c r="P294" s="70" t="s">
        <v>1532</v>
      </c>
      <c r="Q294" s="70" t="s">
        <v>1532</v>
      </c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7"/>
        <v>16</v>
      </c>
      <c r="J295" s="31">
        <f t="shared" si="18"/>
        <v>12</v>
      </c>
      <c r="K295" s="32">
        <f t="shared" si="19"/>
        <v>0.5714285714285714</v>
      </c>
      <c r="L295" s="70" t="s">
        <v>1532</v>
      </c>
      <c r="M295" s="70"/>
      <c r="N295" s="70"/>
      <c r="O295" s="70" t="s">
        <v>1532</v>
      </c>
      <c r="P295" s="70" t="s">
        <v>1532</v>
      </c>
      <c r="Q295" s="70" t="s">
        <v>1532</v>
      </c>
      <c r="R295" s="70" t="s">
        <v>1532</v>
      </c>
      <c r="S295" s="70" t="s">
        <v>1532</v>
      </c>
      <c r="T295" s="70" t="s">
        <v>1532</v>
      </c>
      <c r="U295" s="70" t="s">
        <v>1532</v>
      </c>
      <c r="V295" s="70" t="s">
        <v>1532</v>
      </c>
      <c r="W295" s="70" t="s">
        <v>1532</v>
      </c>
      <c r="X295" s="70" t="s">
        <v>1532</v>
      </c>
      <c r="Y295" s="70"/>
      <c r="Z295" s="70" t="s">
        <v>1532</v>
      </c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0" t="s">
        <v>1532</v>
      </c>
      <c r="M296" s="70" t="s">
        <v>1532</v>
      </c>
      <c r="N296" s="70" t="s">
        <v>1532</v>
      </c>
      <c r="O296" s="70" t="s">
        <v>1532</v>
      </c>
      <c r="P296" s="70" t="s">
        <v>1532</v>
      </c>
      <c r="Q296" s="70" t="s">
        <v>1532</v>
      </c>
      <c r="R296" s="70" t="s">
        <v>1532</v>
      </c>
      <c r="S296" s="70" t="s">
        <v>1532</v>
      </c>
      <c r="T296" s="70" t="s">
        <v>1532</v>
      </c>
      <c r="U296" s="70" t="s">
        <v>1532</v>
      </c>
      <c r="V296" s="70" t="s">
        <v>1532</v>
      </c>
      <c r="W296" s="70" t="s">
        <v>1532</v>
      </c>
      <c r="X296" s="70" t="s">
        <v>1532</v>
      </c>
      <c r="Y296" s="70" t="s">
        <v>1532</v>
      </c>
      <c r="Z296" s="70" t="s">
        <v>1532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0" t="s">
        <v>1532</v>
      </c>
      <c r="M297" s="70" t="s">
        <v>1532</v>
      </c>
      <c r="N297" s="70" t="s">
        <v>1532</v>
      </c>
      <c r="O297" s="70" t="s">
        <v>1532</v>
      </c>
      <c r="P297" s="70" t="s">
        <v>1532</v>
      </c>
      <c r="Q297" s="70" t="s">
        <v>1532</v>
      </c>
      <c r="R297" s="70" t="s">
        <v>1532</v>
      </c>
      <c r="S297" s="70" t="s">
        <v>1532</v>
      </c>
      <c r="T297" s="70" t="s">
        <v>1532</v>
      </c>
      <c r="U297" s="70" t="s">
        <v>1532</v>
      </c>
      <c r="V297" s="70" t="s">
        <v>1532</v>
      </c>
      <c r="W297" s="70" t="s">
        <v>1532</v>
      </c>
      <c r="X297" s="70" t="s">
        <v>1532</v>
      </c>
      <c r="Y297" s="70" t="s">
        <v>1532</v>
      </c>
      <c r="Z297" s="70" t="s">
        <v>1532</v>
      </c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7"/>
        <v>23</v>
      </c>
      <c r="J298" s="91">
        <f t="shared" si="18"/>
        <v>5</v>
      </c>
      <c r="K298" s="92">
        <f t="shared" si="19"/>
        <v>0.8214285714285714</v>
      </c>
      <c r="L298" s="93"/>
      <c r="M298" s="93"/>
      <c r="N298" s="93"/>
      <c r="O298" s="93" t="s">
        <v>1532</v>
      </c>
      <c r="P298" s="93" t="s">
        <v>1532</v>
      </c>
      <c r="Q298" s="93" t="s">
        <v>1532</v>
      </c>
      <c r="R298" s="93" t="s">
        <v>1532</v>
      </c>
      <c r="S298" s="93" t="s">
        <v>1532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7"/>
        <v>4</v>
      </c>
      <c r="J299" s="31">
        <f t="shared" si="18"/>
        <v>24</v>
      </c>
      <c r="K299" s="32">
        <f t="shared" si="19"/>
        <v>0.14285714285714285</v>
      </c>
      <c r="L299" s="70"/>
      <c r="M299" s="70"/>
      <c r="N299" s="70"/>
      <c r="O299" s="70" t="s">
        <v>1532</v>
      </c>
      <c r="P299" s="70" t="s">
        <v>1532</v>
      </c>
      <c r="Q299" s="70" t="s">
        <v>1532</v>
      </c>
      <c r="R299" s="70" t="s">
        <v>1532</v>
      </c>
      <c r="S299" s="70" t="s">
        <v>1532</v>
      </c>
      <c r="T299" s="70" t="s">
        <v>1532</v>
      </c>
      <c r="U299" s="70" t="s">
        <v>1532</v>
      </c>
      <c r="V299" s="70" t="s">
        <v>1532</v>
      </c>
      <c r="W299" s="70" t="s">
        <v>1532</v>
      </c>
      <c r="X299" s="70" t="s">
        <v>1532</v>
      </c>
      <c r="Y299" s="70" t="s">
        <v>1532</v>
      </c>
      <c r="Z299" s="70" t="s">
        <v>1532</v>
      </c>
      <c r="AA299" s="70" t="s">
        <v>1532</v>
      </c>
      <c r="AB299" s="70" t="s">
        <v>1532</v>
      </c>
      <c r="AC299" s="70" t="s">
        <v>1532</v>
      </c>
      <c r="AD299" s="70" t="s">
        <v>1532</v>
      </c>
      <c r="AE299" s="70" t="s">
        <v>1532</v>
      </c>
      <c r="AF299" s="70" t="s">
        <v>1532</v>
      </c>
      <c r="AG299" s="70" t="s">
        <v>1532</v>
      </c>
      <c r="AH299" s="70" t="s">
        <v>1532</v>
      </c>
      <c r="AI299" s="70" t="s">
        <v>1532</v>
      </c>
      <c r="AJ299" s="70" t="s">
        <v>1532</v>
      </c>
      <c r="AK299" s="70" t="s">
        <v>1532</v>
      </c>
      <c r="AL299" s="70" t="s">
        <v>1532</v>
      </c>
      <c r="AM299" s="70"/>
      <c r="AN299" s="70"/>
      <c r="AO299" s="70"/>
      <c r="AP299" s="70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0"/>
      <c r="M300" s="70"/>
      <c r="N300" s="70"/>
      <c r="O300" s="70" t="s">
        <v>1532</v>
      </c>
      <c r="P300" s="70" t="s">
        <v>1532</v>
      </c>
      <c r="Q300" s="70" t="s">
        <v>1532</v>
      </c>
      <c r="R300" s="70" t="s">
        <v>1532</v>
      </c>
      <c r="S300" s="70" t="s">
        <v>1532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0"/>
      <c r="M301" s="70"/>
      <c r="N301" s="70"/>
      <c r="O301" s="70" t="s">
        <v>1532</v>
      </c>
      <c r="P301" s="70" t="s">
        <v>1532</v>
      </c>
      <c r="Q301" s="70" t="s">
        <v>1532</v>
      </c>
      <c r="R301" s="70" t="s">
        <v>1532</v>
      </c>
      <c r="S301" s="70" t="s">
        <v>1532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0"/>
      <c r="M302" s="70"/>
      <c r="N302" s="70"/>
      <c r="O302" s="70" t="s">
        <v>1532</v>
      </c>
      <c r="P302" s="70" t="s">
        <v>1532</v>
      </c>
      <c r="Q302" s="70" t="s">
        <v>1532</v>
      </c>
      <c r="R302" s="70" t="s">
        <v>1532</v>
      </c>
      <c r="S302" s="70" t="s">
        <v>1532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0"/>
      <c r="M303" s="70"/>
      <c r="N303" s="70"/>
      <c r="O303" s="70" t="s">
        <v>1532</v>
      </c>
      <c r="P303" s="70" t="s">
        <v>1532</v>
      </c>
      <c r="Q303" s="70" t="s">
        <v>1532</v>
      </c>
      <c r="R303" s="70" t="s">
        <v>1532</v>
      </c>
      <c r="S303" s="70" t="s">
        <v>1532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0"/>
      <c r="M304" s="70"/>
      <c r="N304" s="70"/>
      <c r="O304" s="70" t="s">
        <v>1532</v>
      </c>
      <c r="P304" s="70" t="s">
        <v>1532</v>
      </c>
      <c r="Q304" s="70" t="s">
        <v>1532</v>
      </c>
      <c r="R304" s="70" t="s">
        <v>1532</v>
      </c>
      <c r="S304" s="70" t="s">
        <v>1532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7"/>
        <v>7</v>
      </c>
      <c r="J305" s="31">
        <f t="shared" si="18"/>
        <v>21</v>
      </c>
      <c r="K305" s="32">
        <f t="shared" si="19"/>
        <v>0.25</v>
      </c>
      <c r="L305" s="70" t="s">
        <v>1532</v>
      </c>
      <c r="M305" s="70" t="s">
        <v>1532</v>
      </c>
      <c r="N305" s="70" t="s">
        <v>1532</v>
      </c>
      <c r="O305" s="70" t="s">
        <v>1532</v>
      </c>
      <c r="P305" s="70" t="s">
        <v>1532</v>
      </c>
      <c r="Q305" s="70" t="s">
        <v>1532</v>
      </c>
      <c r="R305" s="70" t="s">
        <v>1532</v>
      </c>
      <c r="S305" s="70" t="s">
        <v>1532</v>
      </c>
      <c r="T305" s="70" t="s">
        <v>1532</v>
      </c>
      <c r="U305" s="70" t="s">
        <v>1532</v>
      </c>
      <c r="V305" s="70" t="s">
        <v>1532</v>
      </c>
      <c r="W305" s="70" t="s">
        <v>1532</v>
      </c>
      <c r="X305" s="70"/>
      <c r="Y305" s="70"/>
      <c r="Z305" s="70"/>
      <c r="AA305" s="70"/>
      <c r="AC305" s="70"/>
      <c r="AD305" s="70" t="s">
        <v>1532</v>
      </c>
      <c r="AE305" s="70" t="s">
        <v>1532</v>
      </c>
      <c r="AF305" s="70" t="s">
        <v>1532</v>
      </c>
      <c r="AG305" s="70" t="s">
        <v>1532</v>
      </c>
      <c r="AH305" s="70" t="s">
        <v>1532</v>
      </c>
      <c r="AI305" s="70" t="s">
        <v>1532</v>
      </c>
      <c r="AJ305" s="70" t="s">
        <v>1532</v>
      </c>
      <c r="AK305" s="70" t="s">
        <v>1532</v>
      </c>
      <c r="AL305" s="70" t="s">
        <v>1532</v>
      </c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0"/>
      <c r="M306" s="70"/>
      <c r="N306" s="70"/>
      <c r="O306" s="70" t="s">
        <v>1532</v>
      </c>
      <c r="P306" s="70" t="s">
        <v>1532</v>
      </c>
      <c r="Q306" s="70" t="s">
        <v>1532</v>
      </c>
      <c r="R306" s="70" t="s">
        <v>1532</v>
      </c>
      <c r="S306" s="70" t="s">
        <v>1532</v>
      </c>
      <c r="T306" s="70" t="s">
        <v>1532</v>
      </c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0"/>
      <c r="M307" s="70"/>
      <c r="N307" s="70"/>
      <c r="O307" s="70" t="s">
        <v>1532</v>
      </c>
      <c r="P307" s="70" t="s">
        <v>1532</v>
      </c>
      <c r="Q307" s="70" t="s">
        <v>1532</v>
      </c>
      <c r="R307" s="70" t="s">
        <v>1532</v>
      </c>
      <c r="S307" s="70" t="s">
        <v>1532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7"/>
        <v>23</v>
      </c>
      <c r="J308" s="31">
        <f t="shared" si="18"/>
        <v>5</v>
      </c>
      <c r="K308" s="32">
        <f t="shared" si="19"/>
        <v>0.8214285714285714</v>
      </c>
      <c r="L308" s="70"/>
      <c r="M308" s="70"/>
      <c r="N308" s="70"/>
      <c r="O308" s="70" t="s">
        <v>1532</v>
      </c>
      <c r="P308" s="70" t="s">
        <v>1532</v>
      </c>
      <c r="Q308" s="70" t="s">
        <v>1532</v>
      </c>
      <c r="R308" s="70" t="s">
        <v>1532</v>
      </c>
      <c r="S308" s="70" t="s">
        <v>1532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7"/>
        <v>21</v>
      </c>
      <c r="J309" s="31">
        <f t="shared" si="18"/>
        <v>7</v>
      </c>
      <c r="K309" s="32">
        <f t="shared" si="19"/>
        <v>0.75</v>
      </c>
      <c r="L309" s="70"/>
      <c r="M309" s="70" t="s">
        <v>1532</v>
      </c>
      <c r="N309" s="70" t="s">
        <v>1532</v>
      </c>
      <c r="O309" s="70" t="s">
        <v>1532</v>
      </c>
      <c r="P309" s="70" t="s">
        <v>1532</v>
      </c>
      <c r="Q309" s="70" t="s">
        <v>1532</v>
      </c>
      <c r="R309" s="70" t="s">
        <v>1532</v>
      </c>
      <c r="S309" s="70" t="s">
        <v>1532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1499</v>
      </c>
      <c r="I310" s="31">
        <f t="shared" si="17"/>
        <v>23</v>
      </c>
      <c r="J310" s="31">
        <f t="shared" si="18"/>
        <v>5</v>
      </c>
      <c r="K310" s="32">
        <f t="shared" si="19"/>
        <v>0.8214285714285714</v>
      </c>
      <c r="L310" s="70"/>
      <c r="M310" s="70"/>
      <c r="N310" s="70"/>
      <c r="O310" s="70" t="s">
        <v>1532</v>
      </c>
      <c r="P310" s="70" t="s">
        <v>1532</v>
      </c>
      <c r="Q310" s="70" t="s">
        <v>1532</v>
      </c>
      <c r="R310" s="70" t="s">
        <v>1532</v>
      </c>
      <c r="S310" s="70" t="s">
        <v>1532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7"/>
        <v>1</v>
      </c>
      <c r="J311" s="31">
        <f t="shared" si="18"/>
        <v>27</v>
      </c>
      <c r="K311" s="32">
        <f t="shared" si="19"/>
        <v>3.5714285714285712E-2</v>
      </c>
      <c r="L311" s="70" t="s">
        <v>1532</v>
      </c>
      <c r="M311" s="70" t="s">
        <v>1532</v>
      </c>
      <c r="N311" s="70" t="s">
        <v>1532</v>
      </c>
      <c r="O311" s="70" t="s">
        <v>1532</v>
      </c>
      <c r="P311" s="70" t="s">
        <v>1532</v>
      </c>
      <c r="Q311" s="70" t="s">
        <v>1532</v>
      </c>
      <c r="R311" s="70" t="s">
        <v>1532</v>
      </c>
      <c r="S311" s="70" t="s">
        <v>1532</v>
      </c>
      <c r="T311" s="70" t="s">
        <v>1532</v>
      </c>
      <c r="U311" s="70" t="s">
        <v>1532</v>
      </c>
      <c r="V311" s="70" t="s">
        <v>1532</v>
      </c>
      <c r="W311" s="70" t="s">
        <v>1532</v>
      </c>
      <c r="X311" s="70" t="s">
        <v>1532</v>
      </c>
      <c r="Y311" s="70" t="s">
        <v>1532</v>
      </c>
      <c r="Z311" s="70" t="s">
        <v>1532</v>
      </c>
      <c r="AA311" s="70" t="s">
        <v>1532</v>
      </c>
      <c r="AB311" s="70" t="s">
        <v>1532</v>
      </c>
      <c r="AC311" s="70" t="s">
        <v>1532</v>
      </c>
      <c r="AD311" s="70" t="s">
        <v>1532</v>
      </c>
      <c r="AE311" s="70" t="s">
        <v>1532</v>
      </c>
      <c r="AF311" s="70" t="s">
        <v>1532</v>
      </c>
      <c r="AG311" s="70" t="s">
        <v>1532</v>
      </c>
      <c r="AH311" s="70" t="s">
        <v>1532</v>
      </c>
      <c r="AI311" s="70" t="s">
        <v>1532</v>
      </c>
      <c r="AJ311" s="70" t="s">
        <v>1532</v>
      </c>
      <c r="AK311" s="70" t="s">
        <v>1532</v>
      </c>
      <c r="AL311" s="70" t="s">
        <v>1532</v>
      </c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7"/>
        <v>2</v>
      </c>
      <c r="J312" s="31">
        <f t="shared" si="18"/>
        <v>26</v>
      </c>
      <c r="K312" s="32">
        <f t="shared" si="19"/>
        <v>7.1428571428571425E-2</v>
      </c>
      <c r="L312" s="70" t="s">
        <v>1532</v>
      </c>
      <c r="M312" s="70" t="s">
        <v>1532</v>
      </c>
      <c r="N312" s="70" t="s">
        <v>1532</v>
      </c>
      <c r="O312" s="70" t="s">
        <v>1532</v>
      </c>
      <c r="P312" s="70" t="s">
        <v>1532</v>
      </c>
      <c r="Q312" s="70" t="s">
        <v>1532</v>
      </c>
      <c r="R312" s="70" t="s">
        <v>1532</v>
      </c>
      <c r="S312" s="70" t="s">
        <v>1532</v>
      </c>
      <c r="T312" s="70" t="s">
        <v>1532</v>
      </c>
      <c r="U312" s="70" t="s">
        <v>1532</v>
      </c>
      <c r="V312" s="70" t="s">
        <v>1532</v>
      </c>
      <c r="W312" s="70" t="s">
        <v>1532</v>
      </c>
      <c r="X312" s="70" t="s">
        <v>1532</v>
      </c>
      <c r="Y312" s="70" t="s">
        <v>1532</v>
      </c>
      <c r="Z312" s="70" t="s">
        <v>1532</v>
      </c>
      <c r="AA312" s="70" t="s">
        <v>1532</v>
      </c>
      <c r="AB312" s="70" t="s">
        <v>1532</v>
      </c>
      <c r="AC312" s="70" t="s">
        <v>1532</v>
      </c>
      <c r="AD312" s="70" t="s">
        <v>1532</v>
      </c>
      <c r="AE312" s="70" t="s">
        <v>1532</v>
      </c>
      <c r="AF312" s="70" t="s">
        <v>1532</v>
      </c>
      <c r="AG312" s="70" t="s">
        <v>1532</v>
      </c>
      <c r="AH312" s="70" t="s">
        <v>1532</v>
      </c>
      <c r="AI312" s="70" t="s">
        <v>1532</v>
      </c>
      <c r="AJ312" s="70"/>
      <c r="AK312" s="70" t="s">
        <v>1532</v>
      </c>
      <c r="AL312" s="70" t="s">
        <v>1532</v>
      </c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1516</v>
      </c>
      <c r="I313" s="31">
        <f t="shared" si="17"/>
        <v>1</v>
      </c>
      <c r="J313" s="31">
        <f t="shared" si="18"/>
        <v>27</v>
      </c>
      <c r="K313" s="32">
        <f t="shared" si="19"/>
        <v>3.5714285714285712E-2</v>
      </c>
      <c r="L313" s="70" t="s">
        <v>1532</v>
      </c>
      <c r="M313" s="70" t="s">
        <v>1532</v>
      </c>
      <c r="N313" s="70" t="s">
        <v>1532</v>
      </c>
      <c r="O313" s="70" t="s">
        <v>1532</v>
      </c>
      <c r="P313" s="70" t="s">
        <v>1532</v>
      </c>
      <c r="Q313" s="70" t="s">
        <v>1532</v>
      </c>
      <c r="R313" s="70" t="s">
        <v>1532</v>
      </c>
      <c r="S313" s="70" t="s">
        <v>1532</v>
      </c>
      <c r="T313" s="70" t="s">
        <v>1532</v>
      </c>
      <c r="U313" s="70" t="s">
        <v>1532</v>
      </c>
      <c r="V313" s="70" t="s">
        <v>1532</v>
      </c>
      <c r="W313" s="70" t="s">
        <v>1532</v>
      </c>
      <c r="X313" s="70" t="s">
        <v>1532</v>
      </c>
      <c r="Y313" s="70" t="s">
        <v>1532</v>
      </c>
      <c r="Z313" s="70" t="s">
        <v>1532</v>
      </c>
      <c r="AA313" s="70" t="s">
        <v>1532</v>
      </c>
      <c r="AB313" s="70" t="s">
        <v>1532</v>
      </c>
      <c r="AC313" s="70" t="s">
        <v>1532</v>
      </c>
      <c r="AD313" s="70" t="s">
        <v>1532</v>
      </c>
      <c r="AE313" s="70" t="s">
        <v>1532</v>
      </c>
      <c r="AF313" s="70" t="s">
        <v>1532</v>
      </c>
      <c r="AG313" s="70" t="s">
        <v>1532</v>
      </c>
      <c r="AH313" s="70" t="s">
        <v>1532</v>
      </c>
      <c r="AI313" s="70" t="s">
        <v>1532</v>
      </c>
      <c r="AJ313" s="70" t="s">
        <v>1532</v>
      </c>
      <c r="AK313" s="70" t="s">
        <v>1532</v>
      </c>
      <c r="AL313" s="70" t="s">
        <v>1532</v>
      </c>
      <c r="AM313" s="70"/>
      <c r="AN313" s="70"/>
      <c r="AO313" s="70"/>
      <c r="AP313" s="70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0" t="s">
        <v>1532</v>
      </c>
      <c r="M314" s="70" t="s">
        <v>1532</v>
      </c>
      <c r="N314" s="70" t="s">
        <v>1532</v>
      </c>
      <c r="O314" s="70" t="s">
        <v>1532</v>
      </c>
      <c r="P314" s="70" t="s">
        <v>1532</v>
      </c>
      <c r="Q314" s="70" t="s">
        <v>1532</v>
      </c>
      <c r="R314" s="70" t="s">
        <v>1532</v>
      </c>
      <c r="S314" s="70" t="s">
        <v>1532</v>
      </c>
      <c r="T314" s="70" t="s">
        <v>1532</v>
      </c>
      <c r="U314" s="70" t="s">
        <v>1532</v>
      </c>
      <c r="V314" s="70" t="s">
        <v>1532</v>
      </c>
      <c r="W314" s="70" t="s">
        <v>1532</v>
      </c>
      <c r="X314" s="70" t="s">
        <v>1532</v>
      </c>
      <c r="Y314" s="70" t="s">
        <v>1532</v>
      </c>
      <c r="Z314" s="70" t="s">
        <v>1532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7"/>
        <v>13</v>
      </c>
      <c r="J315" s="31">
        <f t="shared" si="18"/>
        <v>15</v>
      </c>
      <c r="K315" s="32">
        <f t="shared" si="19"/>
        <v>0.4642857142857143</v>
      </c>
      <c r="L315" s="70" t="s">
        <v>1532</v>
      </c>
      <c r="M315" s="70" t="s">
        <v>1532</v>
      </c>
      <c r="N315" s="70" t="s">
        <v>1532</v>
      </c>
      <c r="O315" s="70" t="s">
        <v>1532</v>
      </c>
      <c r="P315" s="70" t="s">
        <v>1532</v>
      </c>
      <c r="Q315" s="70" t="s">
        <v>1532</v>
      </c>
      <c r="R315" s="70" t="s">
        <v>1532</v>
      </c>
      <c r="S315" s="70" t="s">
        <v>1532</v>
      </c>
      <c r="T315" s="70" t="s">
        <v>1532</v>
      </c>
      <c r="U315" s="70" t="s">
        <v>1532</v>
      </c>
      <c r="V315" s="70" t="s">
        <v>1532</v>
      </c>
      <c r="W315" s="70" t="s">
        <v>1532</v>
      </c>
      <c r="X315" s="70" t="s">
        <v>1532</v>
      </c>
      <c r="Y315" s="70" t="s">
        <v>1532</v>
      </c>
      <c r="Z315" s="70" t="s">
        <v>1532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0" t="s">
        <v>1532</v>
      </c>
      <c r="M317" s="70"/>
      <c r="N317" s="70"/>
      <c r="O317" s="70"/>
      <c r="P317" s="70"/>
      <c r="Q317" s="70"/>
      <c r="R317" s="70"/>
      <c r="S317" s="70"/>
      <c r="T317" s="70"/>
      <c r="U317" s="70" t="s">
        <v>1532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7"/>
        <v>26</v>
      </c>
      <c r="J318" s="31">
        <f t="shared" si="18"/>
        <v>2</v>
      </c>
      <c r="K318" s="32">
        <f t="shared" si="19"/>
        <v>0.9285714285714286</v>
      </c>
      <c r="L318" s="70" t="s">
        <v>1532</v>
      </c>
      <c r="M318" s="70"/>
      <c r="N318" s="70"/>
      <c r="O318" s="70"/>
      <c r="P318" s="70"/>
      <c r="Q318" s="70"/>
      <c r="R318" s="70"/>
      <c r="S318" s="70"/>
      <c r="T318" s="70"/>
      <c r="U318" s="70" t="s">
        <v>1532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7"/>
        <v>16</v>
      </c>
      <c r="J320" s="31">
        <f t="shared" si="18"/>
        <v>12</v>
      </c>
      <c r="K320" s="32">
        <f t="shared" si="19"/>
        <v>0.5714285714285714</v>
      </c>
      <c r="L320" s="70"/>
      <c r="M320" s="70"/>
      <c r="N320" s="70"/>
      <c r="O320" s="70"/>
      <c r="P320" s="70"/>
      <c r="Q320" s="70"/>
      <c r="R320" s="70"/>
      <c r="S320" s="70" t="s">
        <v>1532</v>
      </c>
      <c r="T320" s="70"/>
      <c r="U320" s="70" t="s">
        <v>1532</v>
      </c>
      <c r="V320" s="70" t="s">
        <v>1532</v>
      </c>
      <c r="W320" s="70" t="s">
        <v>1532</v>
      </c>
      <c r="X320" s="70" t="s">
        <v>1532</v>
      </c>
      <c r="Y320" s="70" t="s">
        <v>1532</v>
      </c>
      <c r="Z320" s="70"/>
      <c r="AA320" s="70" t="s">
        <v>1532</v>
      </c>
      <c r="AB320" s="70" t="s">
        <v>1532</v>
      </c>
      <c r="AC320" s="70"/>
      <c r="AD320" s="70" t="s">
        <v>1532</v>
      </c>
      <c r="AE320" s="70" t="s">
        <v>1532</v>
      </c>
      <c r="AF320" s="70" t="s">
        <v>1532</v>
      </c>
      <c r="AG320" s="70" t="s">
        <v>1532</v>
      </c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7"/>
        <v>27</v>
      </c>
      <c r="J324" s="31">
        <f t="shared" si="18"/>
        <v>1</v>
      </c>
      <c r="K324" s="32">
        <f t="shared" si="19"/>
        <v>0.9642857142857143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 t="s">
        <v>1532</v>
      </c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7"/>
        <v>24</v>
      </c>
      <c r="J325" s="31">
        <f t="shared" si="18"/>
        <v>4</v>
      </c>
      <c r="K325" s="32">
        <f t="shared" si="19"/>
        <v>0.8571428571428571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 t="s">
        <v>1532</v>
      </c>
      <c r="AB325" s="70" t="s">
        <v>1532</v>
      </c>
      <c r="AC325" s="70"/>
      <c r="AD325" s="70"/>
      <c r="AE325" s="70"/>
      <c r="AF325" s="70"/>
      <c r="AG325" s="70"/>
      <c r="AH325" s="70"/>
      <c r="AI325" s="70" t="s">
        <v>1532</v>
      </c>
      <c r="AJ325" s="70"/>
      <c r="AK325" s="70" t="s">
        <v>1532</v>
      </c>
      <c r="AL325" s="70"/>
      <c r="AM325" s="70"/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7"/>
        <v>24</v>
      </c>
      <c r="J326" s="31">
        <f t="shared" si="18"/>
        <v>4</v>
      </c>
      <c r="K326" s="32">
        <f t="shared" si="19"/>
        <v>0.8571428571428571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 t="s">
        <v>1532</v>
      </c>
      <c r="AB326" s="70" t="s">
        <v>1532</v>
      </c>
      <c r="AC326" s="70"/>
      <c r="AD326" s="70"/>
      <c r="AE326" s="70"/>
      <c r="AF326" s="70"/>
      <c r="AG326" s="70"/>
      <c r="AH326" s="70"/>
      <c r="AI326" s="70" t="s">
        <v>1532</v>
      </c>
      <c r="AJ326" s="70"/>
      <c r="AK326" s="70" t="s">
        <v>1532</v>
      </c>
      <c r="AL326" s="70"/>
      <c r="AM326" s="70"/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1496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7"/>
        <v>7</v>
      </c>
      <c r="J331" s="31">
        <f t="shared" si="18"/>
        <v>21</v>
      </c>
      <c r="K331" s="32">
        <f t="shared" si="19"/>
        <v>0.25</v>
      </c>
      <c r="L331" s="70" t="s">
        <v>1532</v>
      </c>
      <c r="M331" s="70" t="s">
        <v>1532</v>
      </c>
      <c r="N331" s="70" t="s">
        <v>1532</v>
      </c>
      <c r="O331" s="70" t="s">
        <v>1532</v>
      </c>
      <c r="P331" s="70" t="s">
        <v>1532</v>
      </c>
      <c r="Q331" s="70" t="s">
        <v>1532</v>
      </c>
      <c r="R331" s="70" t="s">
        <v>1532</v>
      </c>
      <c r="S331" s="70" t="s">
        <v>1532</v>
      </c>
      <c r="T331" s="70" t="s">
        <v>1532</v>
      </c>
      <c r="U331" s="70" t="s">
        <v>1532</v>
      </c>
      <c r="V331" s="70" t="s">
        <v>1532</v>
      </c>
      <c r="W331" s="70" t="s">
        <v>1532</v>
      </c>
      <c r="X331" s="70" t="s">
        <v>1532</v>
      </c>
      <c r="Y331" s="70" t="s">
        <v>1532</v>
      </c>
      <c r="Z331" s="70" t="s">
        <v>1532</v>
      </c>
      <c r="AA331" s="70" t="s">
        <v>1532</v>
      </c>
      <c r="AB331" s="70" t="s">
        <v>1532</v>
      </c>
      <c r="AC331" s="70"/>
      <c r="AD331" s="70" t="s">
        <v>1532</v>
      </c>
      <c r="AE331" s="70" t="s">
        <v>1532</v>
      </c>
      <c r="AF331" s="70" t="s">
        <v>1532</v>
      </c>
      <c r="AG331" s="70"/>
      <c r="AH331" s="70" t="s">
        <v>1532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7"/>
        <v>28</v>
      </c>
      <c r="J334" s="31">
        <f t="shared" si="18"/>
        <v>0</v>
      </c>
      <c r="K334" s="32">
        <f t="shared" si="19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7"/>
        <v>27</v>
      </c>
      <c r="J335" s="31">
        <f t="shared" si="18"/>
        <v>1</v>
      </c>
      <c r="K335" s="32">
        <f t="shared" si="19"/>
        <v>0.9642857142857143</v>
      </c>
      <c r="L335" s="70" t="s">
        <v>1532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7"/>
        <v>1</v>
      </c>
      <c r="J336" s="31">
        <f t="shared" si="18"/>
        <v>27</v>
      </c>
      <c r="K336" s="32">
        <f t="shared" si="19"/>
        <v>3.5714285714285712E-2</v>
      </c>
      <c r="L336" s="70" t="s">
        <v>1532</v>
      </c>
      <c r="M336" s="70" t="s">
        <v>1532</v>
      </c>
      <c r="N336" s="70" t="s">
        <v>1532</v>
      </c>
      <c r="O336" s="70" t="s">
        <v>1532</v>
      </c>
      <c r="P336" s="70" t="s">
        <v>1532</v>
      </c>
      <c r="Q336" s="70" t="s">
        <v>1532</v>
      </c>
      <c r="R336" s="70" t="s">
        <v>1532</v>
      </c>
      <c r="S336" s="70" t="s">
        <v>1532</v>
      </c>
      <c r="T336" s="70" t="s">
        <v>1532</v>
      </c>
      <c r="U336" s="70" t="s">
        <v>1532</v>
      </c>
      <c r="V336" s="70" t="s">
        <v>1532</v>
      </c>
      <c r="W336" s="70" t="s">
        <v>1532</v>
      </c>
      <c r="X336" s="70" t="s">
        <v>1532</v>
      </c>
      <c r="Y336" s="70" t="s">
        <v>1532</v>
      </c>
      <c r="Z336" s="70" t="s">
        <v>1532</v>
      </c>
      <c r="AA336" s="70" t="s">
        <v>1532</v>
      </c>
      <c r="AB336" s="70" t="s">
        <v>1532</v>
      </c>
      <c r="AC336" s="70" t="s">
        <v>1532</v>
      </c>
      <c r="AD336" s="97" t="s">
        <v>1532</v>
      </c>
      <c r="AE336" s="97" t="s">
        <v>1532</v>
      </c>
      <c r="AF336" s="97" t="s">
        <v>1532</v>
      </c>
      <c r="AG336" s="97" t="s">
        <v>1532</v>
      </c>
      <c r="AH336" s="97" t="s">
        <v>1532</v>
      </c>
      <c r="AI336" s="97" t="s">
        <v>1532</v>
      </c>
      <c r="AJ336" s="97" t="s">
        <v>1532</v>
      </c>
      <c r="AK336" s="97" t="s">
        <v>1532</v>
      </c>
      <c r="AL336" s="97" t="s">
        <v>1532</v>
      </c>
      <c r="AM336" s="97"/>
      <c r="AN336" s="97"/>
      <c r="AO336" s="97"/>
      <c r="AP336" s="97"/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1497</v>
      </c>
      <c r="G337" s="89"/>
      <c r="H337" s="89" t="s">
        <v>1297</v>
      </c>
      <c r="I337" s="142">
        <f t="shared" si="17"/>
        <v>1</v>
      </c>
      <c r="J337" s="142">
        <f t="shared" si="18"/>
        <v>27</v>
      </c>
      <c r="K337" s="143">
        <f t="shared" si="19"/>
        <v>3.5714285714285712E-2</v>
      </c>
      <c r="L337" s="144" t="s">
        <v>1532</v>
      </c>
      <c r="M337" s="144" t="s">
        <v>1532</v>
      </c>
      <c r="N337" s="144" t="s">
        <v>1532</v>
      </c>
      <c r="O337" s="144" t="s">
        <v>1532</v>
      </c>
      <c r="P337" s="144" t="s">
        <v>1532</v>
      </c>
      <c r="Q337" s="144" t="s">
        <v>1532</v>
      </c>
      <c r="R337" s="144" t="s">
        <v>1532</v>
      </c>
      <c r="S337" s="144" t="s">
        <v>1532</v>
      </c>
      <c r="T337" s="144" t="s">
        <v>1532</v>
      </c>
      <c r="U337" s="144" t="s">
        <v>1532</v>
      </c>
      <c r="V337" s="144" t="s">
        <v>1532</v>
      </c>
      <c r="W337" s="144" t="s">
        <v>1532</v>
      </c>
      <c r="X337" s="144" t="s">
        <v>1532</v>
      </c>
      <c r="Y337" s="144" t="s">
        <v>1532</v>
      </c>
      <c r="Z337" s="144" t="s">
        <v>1532</v>
      </c>
      <c r="AA337" s="144" t="s">
        <v>1532</v>
      </c>
      <c r="AB337" s="144" t="s">
        <v>1532</v>
      </c>
      <c r="AC337" s="144" t="s">
        <v>1532</v>
      </c>
      <c r="AD337" s="144" t="s">
        <v>1532</v>
      </c>
      <c r="AE337" s="144" t="s">
        <v>1532</v>
      </c>
      <c r="AF337" s="144" t="s">
        <v>1532</v>
      </c>
      <c r="AG337" s="144" t="s">
        <v>1532</v>
      </c>
      <c r="AH337" s="144" t="s">
        <v>1532</v>
      </c>
      <c r="AI337" s="144" t="s">
        <v>1532</v>
      </c>
      <c r="AJ337" s="144" t="s">
        <v>1532</v>
      </c>
      <c r="AK337" s="144" t="s">
        <v>1532</v>
      </c>
      <c r="AL337" s="144" t="s">
        <v>1532</v>
      </c>
      <c r="AM337" s="144"/>
      <c r="AN337" s="144"/>
      <c r="AO337" s="144"/>
      <c r="AP337" s="144"/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1531</v>
      </c>
      <c r="I338" s="91">
        <f t="shared" si="17"/>
        <v>27</v>
      </c>
      <c r="J338" s="91">
        <f t="shared" si="18"/>
        <v>1</v>
      </c>
      <c r="K338" s="92">
        <f t="shared" si="19"/>
        <v>0.9642857142857143</v>
      </c>
      <c r="L338" s="93"/>
      <c r="M338" s="93"/>
      <c r="N338" s="93"/>
      <c r="O338" s="93"/>
      <c r="P338" s="93" t="s">
        <v>1532</v>
      </c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7"/>
        <v>23</v>
      </c>
      <c r="J339" s="31">
        <f t="shared" si="18"/>
        <v>5</v>
      </c>
      <c r="K339" s="32">
        <f t="shared" si="19"/>
        <v>0.8214285714285714</v>
      </c>
      <c r="L339" s="70"/>
      <c r="M339" s="70" t="s">
        <v>1532</v>
      </c>
      <c r="N339" s="70" t="s">
        <v>1532</v>
      </c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1532</v>
      </c>
      <c r="AB339" s="70" t="s">
        <v>1532</v>
      </c>
      <c r="AC339" s="70"/>
      <c r="AD339" s="70"/>
      <c r="AE339" s="70" t="s">
        <v>1532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0"/>
      <c r="M340" s="70" t="s">
        <v>1532</v>
      </c>
      <c r="N340" s="70" t="s">
        <v>1532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 t="s">
        <v>1532</v>
      </c>
      <c r="AB340" s="70" t="s">
        <v>1532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7"/>
        <v>24</v>
      </c>
      <c r="J341" s="31">
        <f t="shared" si="18"/>
        <v>4</v>
      </c>
      <c r="K341" s="32">
        <f t="shared" si="19"/>
        <v>0.8571428571428571</v>
      </c>
      <c r="L341" s="70"/>
      <c r="M341" s="70" t="s">
        <v>1532</v>
      </c>
      <c r="N341" s="70" t="s">
        <v>1532</v>
      </c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 t="s">
        <v>1532</v>
      </c>
      <c r="AB341" s="70" t="s">
        <v>1532</v>
      </c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20">COUNTIF(L342:AM342,"")</f>
        <v>28</v>
      </c>
      <c r="J342" s="31">
        <f t="shared" ref="J342:J405" si="21">COUNTIF(L342:AM342,"APAGADO")</f>
        <v>0</v>
      </c>
      <c r="K342" s="32">
        <f t="shared" ref="K342:K405" si="22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0"/>
      <c r="M344" s="70" t="s">
        <v>1532</v>
      </c>
      <c r="N344" s="70" t="s">
        <v>1532</v>
      </c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1532</v>
      </c>
      <c r="AB344" s="70" t="s">
        <v>1532</v>
      </c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0"/>
      <c r="M345" s="70" t="s">
        <v>1532</v>
      </c>
      <c r="N345" s="70" t="s">
        <v>1532</v>
      </c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1532</v>
      </c>
      <c r="AB345" s="70" t="s">
        <v>1532</v>
      </c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0"/>
      <c r="M346" s="70" t="s">
        <v>1532</v>
      </c>
      <c r="N346" s="70" t="s">
        <v>1532</v>
      </c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1532</v>
      </c>
      <c r="AB346" s="70" t="s">
        <v>1532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20"/>
        <v>24</v>
      </c>
      <c r="J347" s="31">
        <f t="shared" si="21"/>
        <v>4</v>
      </c>
      <c r="K347" s="32">
        <f t="shared" si="22"/>
        <v>0.8571428571428571</v>
      </c>
      <c r="L347" s="70"/>
      <c r="M347" s="70" t="s">
        <v>1532</v>
      </c>
      <c r="N347" s="70" t="s">
        <v>1532</v>
      </c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1532</v>
      </c>
      <c r="AB347" s="70" t="s">
        <v>1532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20"/>
        <v>27</v>
      </c>
      <c r="J348" s="31">
        <f t="shared" si="21"/>
        <v>1</v>
      </c>
      <c r="K348" s="32">
        <f t="shared" si="22"/>
        <v>0.9642857142857143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 t="s">
        <v>1532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20"/>
        <v>24</v>
      </c>
      <c r="J349" s="31">
        <f t="shared" si="21"/>
        <v>4</v>
      </c>
      <c r="K349" s="32">
        <f t="shared" si="22"/>
        <v>0.8571428571428571</v>
      </c>
      <c r="L349" s="70"/>
      <c r="M349" s="70" t="s">
        <v>1532</v>
      </c>
      <c r="N349" s="70" t="s">
        <v>1532</v>
      </c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 t="s">
        <v>1532</v>
      </c>
      <c r="AB349" s="70" t="s">
        <v>1532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0"/>
      <c r="M350" s="70" t="s">
        <v>1532</v>
      </c>
      <c r="N350" s="70" t="s">
        <v>1532</v>
      </c>
      <c r="O350" s="70"/>
      <c r="P350" s="70" t="s">
        <v>1532</v>
      </c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1517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1515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20"/>
        <v>11</v>
      </c>
      <c r="J354" s="31">
        <f t="shared" si="21"/>
        <v>17</v>
      </c>
      <c r="K354" s="32">
        <f t="shared" si="22"/>
        <v>0.39285714285714285</v>
      </c>
      <c r="L354" s="70"/>
      <c r="M354" s="70"/>
      <c r="N354" s="70"/>
      <c r="O354" s="70" t="s">
        <v>1532</v>
      </c>
      <c r="P354" s="70"/>
      <c r="Q354" s="70" t="s">
        <v>1532</v>
      </c>
      <c r="R354" s="70" t="s">
        <v>1532</v>
      </c>
      <c r="S354" s="70" t="s">
        <v>1532</v>
      </c>
      <c r="T354" s="70" t="s">
        <v>1532</v>
      </c>
      <c r="U354" s="70" t="s">
        <v>1532</v>
      </c>
      <c r="V354" s="70" t="s">
        <v>1532</v>
      </c>
      <c r="W354" s="70" t="s">
        <v>1532</v>
      </c>
      <c r="X354" s="70" t="s">
        <v>1532</v>
      </c>
      <c r="Y354" s="70" t="s">
        <v>1532</v>
      </c>
      <c r="Z354" s="70"/>
      <c r="AA354" s="70"/>
      <c r="AB354" s="70"/>
      <c r="AC354" s="70" t="s">
        <v>1532</v>
      </c>
      <c r="AD354" s="70" t="s">
        <v>1532</v>
      </c>
      <c r="AE354" s="70" t="s">
        <v>1532</v>
      </c>
      <c r="AF354" s="70" t="s">
        <v>1532</v>
      </c>
      <c r="AG354" s="70" t="s">
        <v>1532</v>
      </c>
      <c r="AH354" s="70"/>
      <c r="AI354" s="70" t="s">
        <v>1532</v>
      </c>
      <c r="AJ354" s="70" t="s">
        <v>1532</v>
      </c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 t="s">
        <v>1532</v>
      </c>
      <c r="Y360" s="70" t="s">
        <v>1532</v>
      </c>
      <c r="Z360" s="70" t="s">
        <v>1532</v>
      </c>
      <c r="AA360" s="70" t="s">
        <v>1532</v>
      </c>
      <c r="AB360" s="70" t="s">
        <v>1532</v>
      </c>
      <c r="AC360" s="70" t="s">
        <v>1532</v>
      </c>
      <c r="AD360" s="70" t="s">
        <v>1532</v>
      </c>
      <c r="AE360" s="70" t="s">
        <v>1532</v>
      </c>
      <c r="AF360" s="70" t="s">
        <v>1532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20"/>
        <v>19</v>
      </c>
      <c r="J361" s="31">
        <f t="shared" si="21"/>
        <v>9</v>
      </c>
      <c r="K361" s="32">
        <f t="shared" si="22"/>
        <v>0.6785714285714286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 t="s">
        <v>1532</v>
      </c>
      <c r="Y361" s="70" t="s">
        <v>1532</v>
      </c>
      <c r="Z361" s="70" t="s">
        <v>1532</v>
      </c>
      <c r="AA361" s="70" t="s">
        <v>1532</v>
      </c>
      <c r="AB361" s="70" t="s">
        <v>1532</v>
      </c>
      <c r="AC361" s="70" t="s">
        <v>1532</v>
      </c>
      <c r="AD361" s="70" t="s">
        <v>1532</v>
      </c>
      <c r="AE361" s="70" t="s">
        <v>1532</v>
      </c>
      <c r="AF361" s="70" t="s">
        <v>1532</v>
      </c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95" customFormat="1" ht="15.75" thickBot="1" x14ac:dyDescent="0.3">
      <c r="A364" s="95" t="s">
        <v>433</v>
      </c>
      <c r="B364" s="95" t="s">
        <v>434</v>
      </c>
      <c r="C364" s="95" t="s">
        <v>1070</v>
      </c>
      <c r="D364" s="95" t="s">
        <v>435</v>
      </c>
      <c r="E364" s="96" t="s">
        <v>19</v>
      </c>
      <c r="F364" s="96" t="s">
        <v>20</v>
      </c>
      <c r="G364" s="96"/>
      <c r="H364" s="96" t="s">
        <v>811</v>
      </c>
      <c r="I364" s="31">
        <f t="shared" si="20"/>
        <v>2</v>
      </c>
      <c r="J364" s="31">
        <f t="shared" si="21"/>
        <v>26</v>
      </c>
      <c r="K364" s="32">
        <f t="shared" si="22"/>
        <v>7.1428571428571425E-2</v>
      </c>
      <c r="L364" s="70" t="s">
        <v>1532</v>
      </c>
      <c r="M364" s="70" t="s">
        <v>1532</v>
      </c>
      <c r="N364" s="70" t="s">
        <v>1532</v>
      </c>
      <c r="O364" s="70" t="s">
        <v>1532</v>
      </c>
      <c r="P364" s="70"/>
      <c r="Q364" s="70" t="s">
        <v>1532</v>
      </c>
      <c r="R364" s="70" t="s">
        <v>1532</v>
      </c>
      <c r="S364" s="70" t="s">
        <v>1532</v>
      </c>
      <c r="T364" s="70" t="s">
        <v>1532</v>
      </c>
      <c r="U364" s="70" t="s">
        <v>1532</v>
      </c>
      <c r="V364" s="70" t="s">
        <v>1532</v>
      </c>
      <c r="W364" s="70" t="s">
        <v>1532</v>
      </c>
      <c r="X364" s="70" t="s">
        <v>1532</v>
      </c>
      <c r="Y364" s="70" t="s">
        <v>1532</v>
      </c>
      <c r="Z364" s="70" t="s">
        <v>1532</v>
      </c>
      <c r="AA364" s="70" t="s">
        <v>1532</v>
      </c>
      <c r="AB364" s="70" t="s">
        <v>1532</v>
      </c>
      <c r="AC364" s="70" t="s">
        <v>1532</v>
      </c>
      <c r="AD364" s="97" t="s">
        <v>1532</v>
      </c>
      <c r="AE364" s="97" t="s">
        <v>1532</v>
      </c>
      <c r="AF364" s="97" t="s">
        <v>1532</v>
      </c>
      <c r="AG364" s="97" t="s">
        <v>1532</v>
      </c>
      <c r="AH364" s="97" t="s">
        <v>1532</v>
      </c>
      <c r="AI364" s="97" t="s">
        <v>1532</v>
      </c>
      <c r="AJ364" s="97" t="s">
        <v>1532</v>
      </c>
      <c r="AK364" s="97" t="s">
        <v>1532</v>
      </c>
      <c r="AL364" s="97" t="s">
        <v>1532</v>
      </c>
      <c r="AM364" s="97"/>
      <c r="AN364" s="97"/>
      <c r="AO364" s="97"/>
      <c r="AP364" s="97"/>
    </row>
    <row r="365" spans="1:42" ht="15.75" thickBot="1" x14ac:dyDescent="0.3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20"/>
        <v>26</v>
      </c>
      <c r="J365" s="31">
        <f t="shared" si="21"/>
        <v>2</v>
      </c>
      <c r="K365" s="32">
        <f t="shared" si="22"/>
        <v>0.9285714285714286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 t="s">
        <v>1532</v>
      </c>
      <c r="AL365" s="70" t="s">
        <v>1532</v>
      </c>
      <c r="AM365" s="70"/>
      <c r="AN365" s="70"/>
      <c r="AO365" s="70"/>
      <c r="AP365" s="70"/>
    </row>
    <row r="366" spans="1:42" ht="15.75" thickBot="1" x14ac:dyDescent="0.3">
      <c r="A366" t="s">
        <v>433</v>
      </c>
      <c r="B366" t="s">
        <v>1412</v>
      </c>
      <c r="C366" t="s">
        <v>1070</v>
      </c>
      <c r="D366" t="s">
        <v>1413</v>
      </c>
      <c r="E366" s="88"/>
      <c r="F366" s="89" t="s">
        <v>28</v>
      </c>
      <c r="G366" s="89"/>
      <c r="H366" s="89" t="s">
        <v>1414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0"/>
      <c r="M366" s="70"/>
    </row>
    <row r="367" spans="1:42" ht="15.75" thickBot="1" x14ac:dyDescent="0.3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0"/>
      <c r="M367" s="70"/>
      <c r="N367" s="70"/>
      <c r="O367" s="70"/>
      <c r="P367" s="70"/>
      <c r="Q367" s="70"/>
      <c r="R367" s="70"/>
      <c r="S367" s="70" t="s">
        <v>1532</v>
      </c>
      <c r="T367" s="70" t="s">
        <v>1532</v>
      </c>
      <c r="U367" s="70" t="s">
        <v>1532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s="95" customFormat="1" ht="15.75" thickBot="1" x14ac:dyDescent="0.3">
      <c r="A369" s="95" t="s">
        <v>438</v>
      </c>
      <c r="B369" s="95" t="s">
        <v>436</v>
      </c>
      <c r="C369" s="95" t="s">
        <v>1070</v>
      </c>
      <c r="D369" s="95" t="s">
        <v>437</v>
      </c>
      <c r="E369" s="96" t="s">
        <v>19</v>
      </c>
      <c r="F369" s="96" t="s">
        <v>20</v>
      </c>
      <c r="G369" s="96"/>
      <c r="H369" s="96" t="s">
        <v>812</v>
      </c>
      <c r="I369" s="31">
        <f t="shared" si="20"/>
        <v>1</v>
      </c>
      <c r="J369" s="31">
        <f t="shared" si="21"/>
        <v>27</v>
      </c>
      <c r="K369" s="32">
        <f t="shared" si="22"/>
        <v>3.5714285714285712E-2</v>
      </c>
      <c r="L369" s="70" t="s">
        <v>1532</v>
      </c>
      <c r="M369" s="70" t="s">
        <v>1532</v>
      </c>
      <c r="N369" s="70" t="s">
        <v>1532</v>
      </c>
      <c r="O369" s="70" t="s">
        <v>1532</v>
      </c>
      <c r="P369" s="70" t="s">
        <v>1532</v>
      </c>
      <c r="Q369" s="70" t="s">
        <v>1532</v>
      </c>
      <c r="R369" s="70" t="s">
        <v>1532</v>
      </c>
      <c r="S369" s="70" t="s">
        <v>1532</v>
      </c>
      <c r="T369" s="70" t="s">
        <v>1532</v>
      </c>
      <c r="U369" s="70" t="s">
        <v>1532</v>
      </c>
      <c r="V369" s="70" t="s">
        <v>1532</v>
      </c>
      <c r="W369" s="70" t="s">
        <v>1532</v>
      </c>
      <c r="X369" s="70" t="s">
        <v>1532</v>
      </c>
      <c r="Y369" s="70" t="s">
        <v>1532</v>
      </c>
      <c r="Z369" s="70" t="s">
        <v>1532</v>
      </c>
      <c r="AA369" s="70" t="s">
        <v>1532</v>
      </c>
      <c r="AB369" s="70" t="s">
        <v>1532</v>
      </c>
      <c r="AC369" s="70" t="s">
        <v>1532</v>
      </c>
      <c r="AD369" s="97" t="s">
        <v>1532</v>
      </c>
      <c r="AE369" s="97" t="s">
        <v>1532</v>
      </c>
      <c r="AF369" s="97" t="s">
        <v>1532</v>
      </c>
      <c r="AG369" s="97" t="s">
        <v>1532</v>
      </c>
      <c r="AH369" s="97" t="s">
        <v>1532</v>
      </c>
      <c r="AI369" s="97" t="s">
        <v>1532</v>
      </c>
      <c r="AJ369" s="97" t="s">
        <v>1532</v>
      </c>
      <c r="AK369" s="97" t="s">
        <v>1532</v>
      </c>
      <c r="AL369" s="97" t="s">
        <v>1532</v>
      </c>
      <c r="AM369" s="97"/>
      <c r="AN369" s="97"/>
      <c r="AO369" s="97"/>
      <c r="AP369" s="97"/>
    </row>
    <row r="370" spans="1:42" ht="15.75" thickBot="1" x14ac:dyDescent="0.3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20"/>
        <v>25</v>
      </c>
      <c r="J370" s="31">
        <f t="shared" si="21"/>
        <v>3</v>
      </c>
      <c r="K370" s="32">
        <f t="shared" si="22"/>
        <v>0.8928571428571429</v>
      </c>
      <c r="L370" s="70"/>
      <c r="M370" s="70"/>
      <c r="N370" s="70"/>
      <c r="O370" s="70"/>
      <c r="P370" s="70"/>
      <c r="Q370" s="70"/>
      <c r="R370" s="70"/>
      <c r="S370" s="70" t="s">
        <v>1532</v>
      </c>
      <c r="T370" s="70" t="s">
        <v>1532</v>
      </c>
      <c r="U370" s="70" t="s">
        <v>1532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 t="s">
        <v>1473</v>
      </c>
      <c r="AP370" s="70"/>
    </row>
    <row r="371" spans="1:42" ht="15.75" thickBot="1" x14ac:dyDescent="0.3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20"/>
        <v>1</v>
      </c>
      <c r="J372" s="31">
        <f t="shared" si="21"/>
        <v>27</v>
      </c>
      <c r="K372" s="32">
        <f t="shared" si="22"/>
        <v>3.5714285714285712E-2</v>
      </c>
      <c r="L372" s="70" t="s">
        <v>1532</v>
      </c>
      <c r="M372" s="70" t="s">
        <v>1532</v>
      </c>
      <c r="N372" s="70" t="s">
        <v>1532</v>
      </c>
      <c r="O372" s="70" t="s">
        <v>1532</v>
      </c>
      <c r="P372" s="70" t="s">
        <v>1532</v>
      </c>
      <c r="Q372" s="70" t="s">
        <v>1532</v>
      </c>
      <c r="R372" s="70" t="s">
        <v>1532</v>
      </c>
      <c r="S372" s="70" t="s">
        <v>1532</v>
      </c>
      <c r="T372" s="70" t="s">
        <v>1532</v>
      </c>
      <c r="U372" s="70" t="s">
        <v>1532</v>
      </c>
      <c r="V372" s="70" t="s">
        <v>1532</v>
      </c>
      <c r="W372" s="70" t="s">
        <v>1532</v>
      </c>
      <c r="X372" s="70" t="s">
        <v>1532</v>
      </c>
      <c r="Y372" s="70" t="s">
        <v>1532</v>
      </c>
      <c r="Z372" s="70" t="s">
        <v>1532</v>
      </c>
      <c r="AA372" s="70" t="s">
        <v>1532</v>
      </c>
      <c r="AB372" s="70" t="s">
        <v>1532</v>
      </c>
      <c r="AC372" s="70" t="s">
        <v>1532</v>
      </c>
      <c r="AD372" s="70" t="s">
        <v>1532</v>
      </c>
      <c r="AE372" s="70" t="s">
        <v>1532</v>
      </c>
      <c r="AF372" s="70" t="s">
        <v>1532</v>
      </c>
      <c r="AG372" s="70" t="s">
        <v>1532</v>
      </c>
      <c r="AH372" s="70" t="s">
        <v>1532</v>
      </c>
      <c r="AI372" s="70" t="s">
        <v>1532</v>
      </c>
      <c r="AJ372" s="70" t="s">
        <v>1532</v>
      </c>
      <c r="AK372" s="70" t="s">
        <v>1532</v>
      </c>
      <c r="AL372" s="70" t="s">
        <v>1532</v>
      </c>
      <c r="AM372" s="70"/>
      <c r="AN372" s="70"/>
      <c r="AO372" s="70"/>
      <c r="AP372" s="70"/>
    </row>
    <row r="373" spans="1:42" ht="15.75" thickBot="1" x14ac:dyDescent="0.3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20"/>
        <v>11</v>
      </c>
      <c r="J373" s="31">
        <f t="shared" si="21"/>
        <v>17</v>
      </c>
      <c r="K373" s="32">
        <f t="shared" si="22"/>
        <v>0.39285714285714285</v>
      </c>
      <c r="L373" s="70" t="s">
        <v>1532</v>
      </c>
      <c r="M373" s="70" t="s">
        <v>1532</v>
      </c>
      <c r="N373" s="70" t="s">
        <v>1532</v>
      </c>
      <c r="O373" s="70" t="s">
        <v>1532</v>
      </c>
      <c r="P373" s="70" t="s">
        <v>1532</v>
      </c>
      <c r="Q373" s="70" t="s">
        <v>1532</v>
      </c>
      <c r="R373" s="70" t="s">
        <v>1532</v>
      </c>
      <c r="S373" s="70" t="s">
        <v>1532</v>
      </c>
      <c r="T373" s="70" t="s">
        <v>1532</v>
      </c>
      <c r="U373" s="70" t="s">
        <v>1532</v>
      </c>
      <c r="V373" s="70" t="s">
        <v>1532</v>
      </c>
      <c r="W373" s="70" t="s">
        <v>1532</v>
      </c>
      <c r="X373" s="70" t="s">
        <v>1532</v>
      </c>
      <c r="Y373" s="70" t="s">
        <v>1532</v>
      </c>
      <c r="Z373" s="70" t="s">
        <v>1532</v>
      </c>
      <c r="AA373" s="70" t="s">
        <v>1532</v>
      </c>
      <c r="AB373" s="70" t="s">
        <v>1532</v>
      </c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6.899999999999999" customHeight="1" thickBot="1" x14ac:dyDescent="0.3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 t="s">
        <v>1532</v>
      </c>
      <c r="AD383" s="70" t="s">
        <v>1532</v>
      </c>
      <c r="AE383" s="70" t="s">
        <v>1532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20"/>
        <v>23</v>
      </c>
      <c r="J385" s="31">
        <f t="shared" si="21"/>
        <v>5</v>
      </c>
      <c r="K385" s="32">
        <f t="shared" si="22"/>
        <v>0.8214285714285714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 t="s">
        <v>1532</v>
      </c>
      <c r="AD385" s="70"/>
      <c r="AE385" s="70" t="s">
        <v>1532</v>
      </c>
      <c r="AF385" s="70"/>
      <c r="AG385" s="70"/>
      <c r="AH385" s="70"/>
      <c r="AI385" s="70"/>
      <c r="AJ385" s="70" t="s">
        <v>1532</v>
      </c>
      <c r="AK385" s="70" t="s">
        <v>1532</v>
      </c>
      <c r="AL385" s="70" t="s">
        <v>1532</v>
      </c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20"/>
        <v>24</v>
      </c>
      <c r="J386" s="31">
        <f t="shared" si="21"/>
        <v>4</v>
      </c>
      <c r="K386" s="32">
        <f t="shared" si="22"/>
        <v>0.8571428571428571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 t="s">
        <v>1532</v>
      </c>
      <c r="AD386" s="70"/>
      <c r="AE386" s="70" t="s">
        <v>1532</v>
      </c>
      <c r="AF386" s="70"/>
      <c r="AG386" s="70"/>
      <c r="AH386" s="70"/>
      <c r="AI386" s="70"/>
      <c r="AJ386" s="70" t="s">
        <v>1532</v>
      </c>
      <c r="AK386" s="70" t="s">
        <v>1532</v>
      </c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20"/>
        <v>23</v>
      </c>
      <c r="J387" s="31">
        <f t="shared" si="21"/>
        <v>5</v>
      </c>
      <c r="K387" s="32">
        <f t="shared" si="22"/>
        <v>0.8214285714285714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 t="s">
        <v>1532</v>
      </c>
      <c r="AD387" s="70"/>
      <c r="AE387" s="70" t="s">
        <v>1532</v>
      </c>
      <c r="AF387" s="70"/>
      <c r="AG387" s="70"/>
      <c r="AH387" s="70"/>
      <c r="AI387" s="70"/>
      <c r="AJ387" s="70" t="s">
        <v>1532</v>
      </c>
      <c r="AK387" s="70" t="s">
        <v>1532</v>
      </c>
      <c r="AL387" s="70" t="s">
        <v>1532</v>
      </c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20"/>
        <v>12</v>
      </c>
      <c r="J388" s="31">
        <f t="shared" si="21"/>
        <v>16</v>
      </c>
      <c r="K388" s="32">
        <f t="shared" si="22"/>
        <v>0.42857142857142855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 t="s">
        <v>1532</v>
      </c>
      <c r="V388" s="70" t="s">
        <v>1532</v>
      </c>
      <c r="W388" s="70" t="s">
        <v>1532</v>
      </c>
      <c r="X388" s="70" t="s">
        <v>1532</v>
      </c>
      <c r="Y388" s="70" t="s">
        <v>1532</v>
      </c>
      <c r="Z388" s="70" t="s">
        <v>1532</v>
      </c>
      <c r="AA388" s="70" t="s">
        <v>1532</v>
      </c>
      <c r="AB388" s="70" t="s">
        <v>1532</v>
      </c>
      <c r="AC388" s="70" t="s">
        <v>1532</v>
      </c>
      <c r="AD388" s="70" t="s">
        <v>1532</v>
      </c>
      <c r="AE388" s="70" t="s">
        <v>1532</v>
      </c>
      <c r="AF388" s="70"/>
      <c r="AG388" s="70"/>
      <c r="AH388" s="70" t="s">
        <v>1532</v>
      </c>
      <c r="AI388" s="70" t="s">
        <v>1532</v>
      </c>
      <c r="AJ388" s="70" t="s">
        <v>1532</v>
      </c>
      <c r="AK388" s="70" t="s">
        <v>1532</v>
      </c>
      <c r="AL388" s="70" t="s">
        <v>1532</v>
      </c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20"/>
        <v>26</v>
      </c>
      <c r="J389" s="31">
        <f t="shared" si="21"/>
        <v>2</v>
      </c>
      <c r="K389" s="32">
        <f t="shared" si="22"/>
        <v>0.9285714285714286</v>
      </c>
      <c r="L389" s="70"/>
      <c r="M389" s="70" t="s">
        <v>1532</v>
      </c>
      <c r="N389" s="70" t="s">
        <v>1532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20"/>
        <v>25</v>
      </c>
      <c r="J390" s="31">
        <f t="shared" si="21"/>
        <v>3</v>
      </c>
      <c r="K390" s="32">
        <f t="shared" si="22"/>
        <v>0.8928571428571429</v>
      </c>
      <c r="L390" s="70" t="s">
        <v>1532</v>
      </c>
      <c r="M390" s="70" t="s">
        <v>1532</v>
      </c>
      <c r="N390" s="70" t="s">
        <v>1532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20"/>
        <v>22</v>
      </c>
      <c r="J393" s="31">
        <f t="shared" si="21"/>
        <v>6</v>
      </c>
      <c r="K393" s="32">
        <f t="shared" si="22"/>
        <v>0.7857142857142857</v>
      </c>
      <c r="L393" s="70"/>
      <c r="M393" s="70"/>
      <c r="N393" s="70"/>
      <c r="O393" s="70" t="s">
        <v>1532</v>
      </c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 t="s">
        <v>1532</v>
      </c>
      <c r="AA393" s="70" t="s">
        <v>1532</v>
      </c>
      <c r="AB393" s="70" t="s">
        <v>1532</v>
      </c>
      <c r="AC393" s="70" t="s">
        <v>1532</v>
      </c>
      <c r="AD393" s="70" t="s">
        <v>1532</v>
      </c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20"/>
        <v>5</v>
      </c>
      <c r="J394" s="31">
        <f t="shared" si="21"/>
        <v>23</v>
      </c>
      <c r="K394" s="32">
        <f t="shared" si="22"/>
        <v>0.17857142857142858</v>
      </c>
      <c r="L394" s="70"/>
      <c r="M394" s="70"/>
      <c r="N394" s="70"/>
      <c r="O394" s="70"/>
      <c r="P394" s="70" t="s">
        <v>1532</v>
      </c>
      <c r="Q394" s="70" t="s">
        <v>1532</v>
      </c>
      <c r="R394" s="70" t="s">
        <v>1532</v>
      </c>
      <c r="S394" s="70" t="s">
        <v>1532</v>
      </c>
      <c r="T394" s="70" t="s">
        <v>1532</v>
      </c>
      <c r="U394" s="70" t="s">
        <v>1532</v>
      </c>
      <c r="V394" s="70" t="s">
        <v>1532</v>
      </c>
      <c r="W394" s="70" t="s">
        <v>1532</v>
      </c>
      <c r="X394" s="70" t="s">
        <v>1532</v>
      </c>
      <c r="Y394" s="70" t="s">
        <v>1532</v>
      </c>
      <c r="Z394" s="70" t="s">
        <v>1532</v>
      </c>
      <c r="AA394" s="70" t="s">
        <v>1532</v>
      </c>
      <c r="AB394" s="70" t="s">
        <v>1532</v>
      </c>
      <c r="AC394" s="70" t="s">
        <v>1532</v>
      </c>
      <c r="AD394" s="70" t="s">
        <v>1532</v>
      </c>
      <c r="AE394" s="70" t="s">
        <v>1532</v>
      </c>
      <c r="AF394" s="70" t="s">
        <v>1532</v>
      </c>
      <c r="AG394" s="70" t="s">
        <v>1532</v>
      </c>
      <c r="AH394" s="70" t="s">
        <v>1532</v>
      </c>
      <c r="AI394" s="70" t="s">
        <v>1532</v>
      </c>
      <c r="AJ394" s="70" t="s">
        <v>1532</v>
      </c>
      <c r="AK394" s="70" t="s">
        <v>1532</v>
      </c>
      <c r="AL394" s="70" t="s">
        <v>1532</v>
      </c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20"/>
        <v>6</v>
      </c>
      <c r="J395" s="31">
        <f t="shared" si="21"/>
        <v>22</v>
      </c>
      <c r="K395" s="32">
        <f t="shared" si="22"/>
        <v>0.21428571428571427</v>
      </c>
      <c r="L395" s="70" t="s">
        <v>1532</v>
      </c>
      <c r="M395" s="70" t="s">
        <v>1532</v>
      </c>
      <c r="N395" s="70" t="s">
        <v>1532</v>
      </c>
      <c r="O395" s="70" t="s">
        <v>1532</v>
      </c>
      <c r="P395" s="70" t="s">
        <v>1532</v>
      </c>
      <c r="Q395" s="70" t="s">
        <v>1532</v>
      </c>
      <c r="R395" s="70" t="s">
        <v>1532</v>
      </c>
      <c r="S395" s="70" t="s">
        <v>1532</v>
      </c>
      <c r="T395" s="70" t="s">
        <v>1532</v>
      </c>
      <c r="U395" s="70" t="s">
        <v>1532</v>
      </c>
      <c r="V395" s="70" t="s">
        <v>1532</v>
      </c>
      <c r="W395" s="70" t="s">
        <v>1532</v>
      </c>
      <c r="X395" s="70" t="s">
        <v>1532</v>
      </c>
      <c r="Y395" s="70" t="s">
        <v>1532</v>
      </c>
      <c r="Z395" s="70" t="s">
        <v>1532</v>
      </c>
      <c r="AA395" s="70" t="s">
        <v>1532</v>
      </c>
      <c r="AB395" s="70" t="s">
        <v>1532</v>
      </c>
      <c r="AC395" s="70" t="s">
        <v>1532</v>
      </c>
      <c r="AD395" s="70" t="s">
        <v>1532</v>
      </c>
      <c r="AE395" s="70" t="s">
        <v>1532</v>
      </c>
      <c r="AF395" s="70" t="s">
        <v>1532</v>
      </c>
      <c r="AG395" s="70" t="s">
        <v>1532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20"/>
        <v>6</v>
      </c>
      <c r="J396" s="31">
        <f t="shared" si="21"/>
        <v>22</v>
      </c>
      <c r="K396" s="32">
        <f t="shared" si="22"/>
        <v>0.21428571428571427</v>
      </c>
      <c r="L396" s="70" t="s">
        <v>1532</v>
      </c>
      <c r="M396" s="70" t="s">
        <v>1532</v>
      </c>
      <c r="N396" s="70" t="s">
        <v>1532</v>
      </c>
      <c r="O396" s="70" t="s">
        <v>1532</v>
      </c>
      <c r="P396" s="70" t="s">
        <v>1532</v>
      </c>
      <c r="Q396" s="70" t="s">
        <v>1532</v>
      </c>
      <c r="R396" s="70" t="s">
        <v>1532</v>
      </c>
      <c r="S396" s="70" t="s">
        <v>1532</v>
      </c>
      <c r="T396" s="70" t="s">
        <v>1532</v>
      </c>
      <c r="U396" s="70" t="s">
        <v>1532</v>
      </c>
      <c r="V396" s="70" t="s">
        <v>1532</v>
      </c>
      <c r="W396" s="70" t="s">
        <v>1532</v>
      </c>
      <c r="X396" s="70" t="s">
        <v>1532</v>
      </c>
      <c r="Y396" s="70" t="s">
        <v>1532</v>
      </c>
      <c r="Z396" s="70" t="s">
        <v>1532</v>
      </c>
      <c r="AA396" s="70" t="s">
        <v>1532</v>
      </c>
      <c r="AB396" s="70" t="s">
        <v>1532</v>
      </c>
      <c r="AC396" s="70" t="s">
        <v>1532</v>
      </c>
      <c r="AD396" s="70" t="s">
        <v>1532</v>
      </c>
      <c r="AE396" s="70" t="s">
        <v>1532</v>
      </c>
      <c r="AF396" s="70" t="s">
        <v>1532</v>
      </c>
      <c r="AG396" s="70" t="s">
        <v>1532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s="30" t="s">
        <v>1296</v>
      </c>
      <c r="C399" t="s">
        <v>1070</v>
      </c>
      <c r="D399" s="68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20"/>
        <v>1</v>
      </c>
      <c r="J399" s="31">
        <f t="shared" si="21"/>
        <v>27</v>
      </c>
      <c r="K399" s="32">
        <f t="shared" si="22"/>
        <v>3.5714285714285712E-2</v>
      </c>
      <c r="L399" s="70" t="s">
        <v>1532</v>
      </c>
      <c r="M399" s="70" t="s">
        <v>1532</v>
      </c>
      <c r="N399" s="70" t="s">
        <v>1532</v>
      </c>
      <c r="O399" s="70" t="s">
        <v>1532</v>
      </c>
      <c r="P399" s="70" t="s">
        <v>1532</v>
      </c>
      <c r="Q399" s="70" t="s">
        <v>1532</v>
      </c>
      <c r="R399" s="70" t="s">
        <v>1532</v>
      </c>
      <c r="S399" s="70" t="s">
        <v>1532</v>
      </c>
      <c r="T399" s="70" t="s">
        <v>1532</v>
      </c>
      <c r="U399" s="70" t="s">
        <v>1532</v>
      </c>
      <c r="V399" s="70" t="s">
        <v>1532</v>
      </c>
      <c r="W399" s="70" t="s">
        <v>1532</v>
      </c>
      <c r="X399" s="70" t="s">
        <v>1532</v>
      </c>
      <c r="Y399" s="70" t="s">
        <v>1532</v>
      </c>
      <c r="Z399" s="70" t="s">
        <v>1532</v>
      </c>
      <c r="AA399" s="70" t="s">
        <v>1532</v>
      </c>
      <c r="AB399" s="70" t="s">
        <v>1532</v>
      </c>
      <c r="AC399" s="70" t="s">
        <v>1532</v>
      </c>
      <c r="AD399" s="70" t="s">
        <v>1532</v>
      </c>
      <c r="AE399" s="70" t="s">
        <v>1532</v>
      </c>
      <c r="AF399" s="70" t="s">
        <v>1532</v>
      </c>
      <c r="AG399" s="70" t="s">
        <v>1532</v>
      </c>
      <c r="AH399" s="70" t="s">
        <v>1532</v>
      </c>
      <c r="AI399" s="70" t="s">
        <v>1532</v>
      </c>
      <c r="AJ399" s="70" t="s">
        <v>1532</v>
      </c>
      <c r="AK399" s="70" t="s">
        <v>1532</v>
      </c>
      <c r="AL399" s="70" t="s">
        <v>1532</v>
      </c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1294</v>
      </c>
      <c r="C400" t="s">
        <v>1070</v>
      </c>
      <c r="D400" s="68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20"/>
        <v>4</v>
      </c>
      <c r="J400" s="31">
        <f t="shared" si="21"/>
        <v>24</v>
      </c>
      <c r="K400" s="32">
        <f t="shared" si="22"/>
        <v>0.14285714285714285</v>
      </c>
      <c r="L400" s="70"/>
      <c r="M400" s="70"/>
      <c r="N400" s="70"/>
      <c r="O400" s="70" t="s">
        <v>1532</v>
      </c>
      <c r="P400" s="70" t="s">
        <v>1532</v>
      </c>
      <c r="Q400" s="70" t="s">
        <v>1532</v>
      </c>
      <c r="R400" s="70" t="s">
        <v>1532</v>
      </c>
      <c r="S400" s="70" t="s">
        <v>1532</v>
      </c>
      <c r="T400" s="70" t="s">
        <v>1532</v>
      </c>
      <c r="U400" s="70" t="s">
        <v>1532</v>
      </c>
      <c r="V400" s="70" t="s">
        <v>1532</v>
      </c>
      <c r="W400" s="70" t="s">
        <v>1532</v>
      </c>
      <c r="X400" s="70" t="s">
        <v>1532</v>
      </c>
      <c r="Y400" s="70" t="s">
        <v>1532</v>
      </c>
      <c r="Z400" s="70" t="s">
        <v>1532</v>
      </c>
      <c r="AA400" s="70" t="s">
        <v>1532</v>
      </c>
      <c r="AB400" s="70" t="s">
        <v>1532</v>
      </c>
      <c r="AC400" s="70" t="s">
        <v>1532</v>
      </c>
      <c r="AD400" s="70" t="s">
        <v>1532</v>
      </c>
      <c r="AE400" s="70" t="s">
        <v>1532</v>
      </c>
      <c r="AF400" s="70" t="s">
        <v>1532</v>
      </c>
      <c r="AG400" s="70" t="s">
        <v>1532</v>
      </c>
      <c r="AH400" s="70" t="s">
        <v>1532</v>
      </c>
      <c r="AI400" s="70" t="s">
        <v>1532</v>
      </c>
      <c r="AJ400" s="70" t="s">
        <v>1532</v>
      </c>
      <c r="AK400" s="70" t="s">
        <v>1532</v>
      </c>
      <c r="AL400" s="70" t="s">
        <v>1532</v>
      </c>
      <c r="AM400" s="70"/>
      <c r="AN400" s="70"/>
      <c r="AO400" s="70"/>
      <c r="AP400" s="70"/>
    </row>
    <row r="401" spans="1:42" ht="15.75" thickBot="1" x14ac:dyDescent="0.3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20"/>
        <v>3</v>
      </c>
      <c r="J403" s="31">
        <f t="shared" si="21"/>
        <v>25</v>
      </c>
      <c r="K403" s="32">
        <f t="shared" si="22"/>
        <v>0.10714285714285714</v>
      </c>
      <c r="L403" s="70" t="s">
        <v>1532</v>
      </c>
      <c r="M403" s="70" t="s">
        <v>1532</v>
      </c>
      <c r="N403" s="70" t="s">
        <v>1532</v>
      </c>
      <c r="O403" s="70" t="s">
        <v>1532</v>
      </c>
      <c r="P403" s="70"/>
      <c r="Q403" s="70"/>
      <c r="R403" s="70" t="s">
        <v>1532</v>
      </c>
      <c r="S403" s="70" t="s">
        <v>1532</v>
      </c>
      <c r="T403" s="70" t="s">
        <v>1532</v>
      </c>
      <c r="U403" s="70" t="s">
        <v>1532</v>
      </c>
      <c r="V403" s="70" t="s">
        <v>1532</v>
      </c>
      <c r="W403" s="70" t="s">
        <v>1532</v>
      </c>
      <c r="X403" s="70" t="s">
        <v>1532</v>
      </c>
      <c r="Y403" s="70" t="s">
        <v>1532</v>
      </c>
      <c r="Z403" s="70" t="s">
        <v>1532</v>
      </c>
      <c r="AA403" s="70" t="s">
        <v>1532</v>
      </c>
      <c r="AB403" s="70" t="s">
        <v>1532</v>
      </c>
      <c r="AC403" s="70" t="s">
        <v>1532</v>
      </c>
      <c r="AD403" s="70" t="s">
        <v>1532</v>
      </c>
      <c r="AE403" s="70" t="s">
        <v>1532</v>
      </c>
      <c r="AF403" s="70" t="s">
        <v>1532</v>
      </c>
      <c r="AG403" s="70" t="s">
        <v>1532</v>
      </c>
      <c r="AH403" s="70" t="s">
        <v>1532</v>
      </c>
      <c r="AI403" s="70" t="s">
        <v>1532</v>
      </c>
      <c r="AJ403" s="70" t="s">
        <v>1532</v>
      </c>
      <c r="AK403" s="70" t="s">
        <v>1532</v>
      </c>
      <c r="AL403" s="70" t="s">
        <v>1532</v>
      </c>
      <c r="AM403" s="70"/>
      <c r="AN403" s="70"/>
      <c r="AO403" s="70"/>
      <c r="AP403" s="70"/>
    </row>
    <row r="404" spans="1:42" ht="15.75" thickBot="1" x14ac:dyDescent="0.3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20"/>
        <v>28</v>
      </c>
      <c r="J405" s="31">
        <f t="shared" si="21"/>
        <v>0</v>
      </c>
      <c r="K405" s="32">
        <f t="shared" si="22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3">COUNTIF(L406:AM406,"")</f>
        <v>28</v>
      </c>
      <c r="J406" s="31">
        <f t="shared" ref="J406:J470" si="24">COUNTIF(L406:AM406,"APAGADO")</f>
        <v>0</v>
      </c>
      <c r="K406" s="32">
        <f t="shared" ref="K406:K470" si="25">(I406)/(J406+I406)</f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0"/>
      <c r="M409" s="70" t="s">
        <v>1532</v>
      </c>
      <c r="N409" s="70" t="s">
        <v>1532</v>
      </c>
      <c r="O409" s="70" t="s">
        <v>1532</v>
      </c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3"/>
        <v>25</v>
      </c>
      <c r="J410" s="31">
        <f t="shared" si="24"/>
        <v>3</v>
      </c>
      <c r="K410" s="32">
        <f t="shared" si="25"/>
        <v>0.8928571428571429</v>
      </c>
      <c r="L410" s="70"/>
      <c r="M410" s="70" t="s">
        <v>1532</v>
      </c>
      <c r="N410" s="70" t="s">
        <v>1532</v>
      </c>
      <c r="O410" s="70" t="s">
        <v>1532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3"/>
        <v>25</v>
      </c>
      <c r="J412" s="31">
        <f t="shared" si="24"/>
        <v>3</v>
      </c>
      <c r="K412" s="32">
        <f t="shared" si="25"/>
        <v>0.8928571428571429</v>
      </c>
      <c r="L412" s="70"/>
      <c r="M412" s="70" t="s">
        <v>1532</v>
      </c>
      <c r="N412" s="70" t="s">
        <v>1532</v>
      </c>
      <c r="O412" s="70" t="s">
        <v>1532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3"/>
        <v>1</v>
      </c>
      <c r="J413" s="31">
        <f t="shared" si="24"/>
        <v>27</v>
      </c>
      <c r="K413" s="32">
        <f t="shared" si="25"/>
        <v>3.5714285714285712E-2</v>
      </c>
      <c r="L413" s="70" t="s">
        <v>1532</v>
      </c>
      <c r="M413" s="70" t="s">
        <v>1532</v>
      </c>
      <c r="N413" s="70" t="s">
        <v>1532</v>
      </c>
      <c r="O413" s="70" t="s">
        <v>1532</v>
      </c>
      <c r="P413" s="70" t="s">
        <v>1532</v>
      </c>
      <c r="Q413" s="70" t="s">
        <v>1532</v>
      </c>
      <c r="R413" s="70" t="s">
        <v>1532</v>
      </c>
      <c r="S413" s="70" t="s">
        <v>1532</v>
      </c>
      <c r="T413" s="70" t="s">
        <v>1532</v>
      </c>
      <c r="U413" s="70" t="s">
        <v>1532</v>
      </c>
      <c r="V413" s="70" t="s">
        <v>1532</v>
      </c>
      <c r="W413" s="70" t="s">
        <v>1532</v>
      </c>
      <c r="X413" s="70" t="s">
        <v>1532</v>
      </c>
      <c r="Y413" s="70" t="s">
        <v>1532</v>
      </c>
      <c r="Z413" s="70" t="s">
        <v>1532</v>
      </c>
      <c r="AA413" s="70" t="s">
        <v>1532</v>
      </c>
      <c r="AB413" s="70" t="s">
        <v>1532</v>
      </c>
      <c r="AC413" s="70" t="s">
        <v>1532</v>
      </c>
      <c r="AD413" s="70" t="s">
        <v>1532</v>
      </c>
      <c r="AE413" s="70" t="s">
        <v>1532</v>
      </c>
      <c r="AF413" s="70" t="s">
        <v>1532</v>
      </c>
      <c r="AG413" s="70" t="s">
        <v>1532</v>
      </c>
      <c r="AH413" s="70" t="s">
        <v>1532</v>
      </c>
      <c r="AI413" s="70" t="s">
        <v>1532</v>
      </c>
      <c r="AJ413" s="70" t="s">
        <v>1532</v>
      </c>
      <c r="AK413" s="70" t="s">
        <v>1532</v>
      </c>
      <c r="AL413" s="70" t="s">
        <v>1532</v>
      </c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3"/>
        <v>1</v>
      </c>
      <c r="J414" s="31">
        <f t="shared" si="24"/>
        <v>27</v>
      </c>
      <c r="K414" s="32">
        <f t="shared" si="25"/>
        <v>3.5714285714285712E-2</v>
      </c>
      <c r="L414" s="70" t="s">
        <v>1532</v>
      </c>
      <c r="M414" s="70" t="s">
        <v>1532</v>
      </c>
      <c r="N414" s="70" t="s">
        <v>1532</v>
      </c>
      <c r="O414" s="70" t="s">
        <v>1532</v>
      </c>
      <c r="P414" s="70" t="s">
        <v>1532</v>
      </c>
      <c r="Q414" s="70" t="s">
        <v>1532</v>
      </c>
      <c r="R414" s="70" t="s">
        <v>1532</v>
      </c>
      <c r="S414" s="70" t="s">
        <v>1532</v>
      </c>
      <c r="T414" s="70" t="s">
        <v>1532</v>
      </c>
      <c r="U414" s="70" t="s">
        <v>1532</v>
      </c>
      <c r="V414" s="70" t="s">
        <v>1532</v>
      </c>
      <c r="W414" s="70" t="s">
        <v>1532</v>
      </c>
      <c r="X414" s="70" t="s">
        <v>1532</v>
      </c>
      <c r="Y414" s="70" t="s">
        <v>1532</v>
      </c>
      <c r="Z414" s="70" t="s">
        <v>1532</v>
      </c>
      <c r="AA414" s="70" t="s">
        <v>1532</v>
      </c>
      <c r="AB414" s="70" t="s">
        <v>1532</v>
      </c>
      <c r="AC414" s="70" t="s">
        <v>1532</v>
      </c>
      <c r="AD414" s="70" t="s">
        <v>1532</v>
      </c>
      <c r="AE414" s="70" t="s">
        <v>1532</v>
      </c>
      <c r="AF414" s="70" t="s">
        <v>1532</v>
      </c>
      <c r="AG414" s="70" t="s">
        <v>1532</v>
      </c>
      <c r="AH414" s="70" t="s">
        <v>1532</v>
      </c>
      <c r="AI414" s="70" t="s">
        <v>1532</v>
      </c>
      <c r="AJ414" s="70" t="s">
        <v>1532</v>
      </c>
      <c r="AK414" s="70" t="s">
        <v>1532</v>
      </c>
      <c r="AL414" s="70" t="s">
        <v>1532</v>
      </c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1349</v>
      </c>
      <c r="C417" t="s">
        <v>1069</v>
      </c>
      <c r="D417" s="68" t="s">
        <v>1350</v>
      </c>
      <c r="E417"/>
      <c r="F417"/>
      <c r="G417"/>
      <c r="H417" s="30" t="s">
        <v>1173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B418" t="s">
        <v>1361</v>
      </c>
      <c r="C418" t="s">
        <v>1069</v>
      </c>
      <c r="D418" s="68" t="s">
        <v>1368</v>
      </c>
      <c r="E418"/>
      <c r="F418"/>
      <c r="G418"/>
      <c r="H418" s="30" t="s">
        <v>1431</v>
      </c>
      <c r="I418" s="31">
        <f t="shared" si="23"/>
        <v>4</v>
      </c>
      <c r="J418" s="31">
        <f t="shared" si="24"/>
        <v>24</v>
      </c>
      <c r="K418" s="32">
        <f t="shared" si="25"/>
        <v>0.14285714285714285</v>
      </c>
      <c r="L418" s="70"/>
      <c r="M418" s="70"/>
      <c r="N418" s="70"/>
      <c r="O418" s="70" t="s">
        <v>1532</v>
      </c>
      <c r="P418" s="70" t="s">
        <v>1532</v>
      </c>
      <c r="Q418" s="70" t="s">
        <v>1532</v>
      </c>
      <c r="R418" s="70" t="s">
        <v>1532</v>
      </c>
      <c r="S418" s="70" t="s">
        <v>1532</v>
      </c>
      <c r="T418" s="70" t="s">
        <v>1532</v>
      </c>
      <c r="U418" s="70" t="s">
        <v>1532</v>
      </c>
      <c r="V418" s="70" t="s">
        <v>1532</v>
      </c>
      <c r="W418" s="70" t="s">
        <v>1532</v>
      </c>
      <c r="X418" s="70" t="s">
        <v>1532</v>
      </c>
      <c r="Y418" s="70" t="s">
        <v>1532</v>
      </c>
      <c r="Z418" s="70" t="s">
        <v>1532</v>
      </c>
      <c r="AA418" s="70" t="s">
        <v>1532</v>
      </c>
      <c r="AB418" s="70" t="s">
        <v>1532</v>
      </c>
      <c r="AC418" s="70" t="s">
        <v>1532</v>
      </c>
      <c r="AD418" s="70" t="s">
        <v>1532</v>
      </c>
      <c r="AE418" s="70" t="s">
        <v>1532</v>
      </c>
      <c r="AF418" s="70" t="s">
        <v>1532</v>
      </c>
      <c r="AG418" s="70" t="s">
        <v>1532</v>
      </c>
      <c r="AH418" s="70" t="s">
        <v>1532</v>
      </c>
      <c r="AI418" s="70" t="s">
        <v>1532</v>
      </c>
      <c r="AJ418" s="70" t="s">
        <v>1532</v>
      </c>
      <c r="AK418" s="70" t="s">
        <v>1532</v>
      </c>
      <c r="AL418" s="70" t="s">
        <v>1532</v>
      </c>
      <c r="AM418" s="70"/>
      <c r="AN418" s="70"/>
      <c r="AO418" s="70"/>
      <c r="AP418" s="70"/>
    </row>
    <row r="419" spans="1:42" ht="15.75" thickBot="1" x14ac:dyDescent="0.3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0"/>
      <c r="M421" s="70"/>
      <c r="N421" s="70"/>
      <c r="O421" s="70" t="s">
        <v>1532</v>
      </c>
      <c r="P421" s="70" t="s">
        <v>1532</v>
      </c>
      <c r="Q421" s="70" t="s">
        <v>1532</v>
      </c>
      <c r="R421" s="70" t="s">
        <v>1532</v>
      </c>
      <c r="S421" s="70"/>
      <c r="T421" s="70" t="s">
        <v>1532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0"/>
      <c r="M422" s="70"/>
      <c r="N422" s="70"/>
      <c r="O422" s="70" t="s">
        <v>1532</v>
      </c>
      <c r="P422" s="70" t="s">
        <v>1532</v>
      </c>
      <c r="Q422" s="70" t="s">
        <v>1532</v>
      </c>
      <c r="R422" s="70" t="s">
        <v>1532</v>
      </c>
      <c r="S422" s="70"/>
      <c r="T422" s="70" t="s">
        <v>1532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0"/>
      <c r="M423" s="70"/>
      <c r="N423" s="70"/>
      <c r="O423" s="70" t="s">
        <v>1532</v>
      </c>
      <c r="P423" s="70" t="s">
        <v>1532</v>
      </c>
      <c r="Q423" s="70" t="s">
        <v>1532</v>
      </c>
      <c r="R423" s="70" t="s">
        <v>1532</v>
      </c>
      <c r="S423" s="70"/>
      <c r="T423" s="70" t="s">
        <v>1532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3"/>
        <v>23</v>
      </c>
      <c r="J424" s="31">
        <f t="shared" si="24"/>
        <v>5</v>
      </c>
      <c r="K424" s="32">
        <f t="shared" si="25"/>
        <v>0.8214285714285714</v>
      </c>
      <c r="L424" s="70"/>
      <c r="M424" s="70"/>
      <c r="N424" s="70"/>
      <c r="O424" s="70" t="s">
        <v>1532</v>
      </c>
      <c r="P424" s="70" t="s">
        <v>1532</v>
      </c>
      <c r="Q424" s="70" t="s">
        <v>1532</v>
      </c>
      <c r="R424" s="70" t="s">
        <v>1532</v>
      </c>
      <c r="S424" s="70"/>
      <c r="T424" s="70" t="s">
        <v>1532</v>
      </c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3"/>
        <v>25</v>
      </c>
      <c r="J425" s="31">
        <f t="shared" si="24"/>
        <v>3</v>
      </c>
      <c r="K425" s="32">
        <f t="shared" si="25"/>
        <v>0.8928571428571429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 t="s">
        <v>1532</v>
      </c>
      <c r="AC425" s="70"/>
      <c r="AD425" s="70"/>
      <c r="AE425" s="70" t="s">
        <v>1532</v>
      </c>
      <c r="AF425" s="70"/>
      <c r="AG425" s="70"/>
      <c r="AH425" s="70" t="s">
        <v>1532</v>
      </c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1532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 t="s">
        <v>1532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 t="s">
        <v>1532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 t="s">
        <v>1532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 t="s">
        <v>1532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 t="s">
        <v>1532</v>
      </c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3"/>
        <v>26</v>
      </c>
      <c r="J432" s="31">
        <f t="shared" si="24"/>
        <v>2</v>
      </c>
      <c r="K432" s="32">
        <f t="shared" si="25"/>
        <v>0.9285714285714286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 t="s">
        <v>1532</v>
      </c>
      <c r="AC432" s="70"/>
      <c r="AD432" s="70"/>
      <c r="AE432" s="70"/>
      <c r="AF432" s="70"/>
      <c r="AG432" s="70"/>
      <c r="AH432" s="70" t="s">
        <v>1532</v>
      </c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3"/>
        <v>27</v>
      </c>
      <c r="J433" s="31">
        <f t="shared" si="24"/>
        <v>1</v>
      </c>
      <c r="K433" s="32">
        <f t="shared" si="25"/>
        <v>0.9642857142857143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 t="s">
        <v>1532</v>
      </c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s="73" t="s">
        <v>515</v>
      </c>
      <c r="B436" s="73" t="s">
        <v>531</v>
      </c>
      <c r="C436" s="73" t="s">
        <v>1070</v>
      </c>
      <c r="D436" s="73" t="s">
        <v>532</v>
      </c>
      <c r="E436" s="87" t="s">
        <v>19</v>
      </c>
      <c r="F436" s="87" t="s">
        <v>28</v>
      </c>
      <c r="G436" s="87"/>
      <c r="H436" s="87" t="s">
        <v>857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 t="s">
        <v>1532</v>
      </c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 t="s">
        <v>1532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3"/>
        <v>27</v>
      </c>
      <c r="J449" s="31">
        <f t="shared" si="24"/>
        <v>1</v>
      </c>
      <c r="K449" s="32">
        <f t="shared" si="25"/>
        <v>0.9642857142857143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 t="s">
        <v>1532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2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 t="s">
        <v>1532</v>
      </c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3"/>
        <v>27</v>
      </c>
      <c r="J458" s="31">
        <f t="shared" si="24"/>
        <v>1</v>
      </c>
      <c r="K458" s="32">
        <f t="shared" si="25"/>
        <v>0.9642857142857143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 t="s">
        <v>1532</v>
      </c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519</v>
      </c>
      <c r="B460" s="30" t="s">
        <v>1547</v>
      </c>
      <c r="C460" s="30" t="s">
        <v>1070</v>
      </c>
      <c r="D460" t="s">
        <v>1548</v>
      </c>
      <c r="E460" s="30" t="s">
        <v>1121</v>
      </c>
      <c r="F460" s="30" t="s">
        <v>28</v>
      </c>
      <c r="G460" s="30"/>
      <c r="H460" s="30" t="s">
        <v>1549</v>
      </c>
      <c r="I460" s="31"/>
      <c r="J460" s="31"/>
      <c r="K460" s="32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 t="s">
        <v>1532</v>
      </c>
      <c r="W463" s="70" t="s">
        <v>1532</v>
      </c>
      <c r="X463" s="70" t="s">
        <v>1532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3"/>
        <v>25</v>
      </c>
      <c r="J464" s="31">
        <f t="shared" si="24"/>
        <v>3</v>
      </c>
      <c r="K464" s="32">
        <f t="shared" si="25"/>
        <v>0.8928571428571429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 t="s">
        <v>1532</v>
      </c>
      <c r="W464" s="70" t="s">
        <v>1532</v>
      </c>
      <c r="X464" s="70" t="s">
        <v>1532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s="95" customFormat="1" ht="15.75" thickBot="1" x14ac:dyDescent="0.3">
      <c r="A467" s="73" t="s">
        <v>409</v>
      </c>
      <c r="B467" s="73" t="s">
        <v>549</v>
      </c>
      <c r="C467" s="95" t="s">
        <v>1069</v>
      </c>
      <c r="D467" s="73" t="s">
        <v>550</v>
      </c>
      <c r="E467" s="96" t="s">
        <v>19</v>
      </c>
      <c r="F467" s="87" t="s">
        <v>28</v>
      </c>
      <c r="G467" s="87"/>
      <c r="H467" s="87" t="s">
        <v>881</v>
      </c>
      <c r="I467" s="31">
        <f t="shared" si="23"/>
        <v>15</v>
      </c>
      <c r="J467" s="31">
        <f t="shared" si="24"/>
        <v>13</v>
      </c>
      <c r="K467" s="32">
        <f t="shared" si="25"/>
        <v>0.5357142857142857</v>
      </c>
      <c r="L467" s="70" t="s">
        <v>1532</v>
      </c>
      <c r="M467" s="70" t="s">
        <v>1532</v>
      </c>
      <c r="N467" s="70" t="s">
        <v>1532</v>
      </c>
      <c r="O467" s="70" t="s">
        <v>1532</v>
      </c>
      <c r="P467" s="70"/>
      <c r="Q467" s="70" t="s">
        <v>1532</v>
      </c>
      <c r="R467" s="70" t="s">
        <v>1532</v>
      </c>
      <c r="S467" s="70" t="s">
        <v>1532</v>
      </c>
      <c r="T467" s="70" t="s">
        <v>1532</v>
      </c>
      <c r="U467" s="70" t="s">
        <v>1532</v>
      </c>
      <c r="V467" s="70" t="s">
        <v>1532</v>
      </c>
      <c r="W467" s="70" t="s">
        <v>1532</v>
      </c>
      <c r="X467" s="70" t="s">
        <v>1532</v>
      </c>
      <c r="Y467" s="70" t="s">
        <v>1532</v>
      </c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s="95" customFormat="1" ht="15.75" thickBot="1" x14ac:dyDescent="0.3">
      <c r="A468" s="73" t="s">
        <v>409</v>
      </c>
      <c r="B468" s="73" t="s">
        <v>559</v>
      </c>
      <c r="C468" s="95" t="s">
        <v>1069</v>
      </c>
      <c r="D468" s="73" t="s">
        <v>560</v>
      </c>
      <c r="E468" s="96" t="s">
        <v>15</v>
      </c>
      <c r="F468" s="87" t="s">
        <v>28</v>
      </c>
      <c r="G468" s="87"/>
      <c r="H468" s="87" t="s">
        <v>1520</v>
      </c>
      <c r="I468" s="31">
        <f t="shared" si="23"/>
        <v>27</v>
      </c>
      <c r="J468" s="31">
        <f t="shared" si="24"/>
        <v>1</v>
      </c>
      <c r="K468" s="32">
        <f t="shared" si="25"/>
        <v>0.9642857142857143</v>
      </c>
      <c r="L468" s="70"/>
      <c r="M468" s="70"/>
      <c r="N468" s="70"/>
      <c r="O468" s="70" t="s">
        <v>1532</v>
      </c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3"/>
        <v>28</v>
      </c>
      <c r="J470" s="31">
        <f t="shared" si="24"/>
        <v>0</v>
      </c>
      <c r="K470" s="32">
        <f t="shared" si="25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73" customFormat="1" ht="15.75" thickBot="1" x14ac:dyDescent="0.3">
      <c r="A471" s="73" t="s">
        <v>484</v>
      </c>
      <c r="B471" s="73" t="s">
        <v>563</v>
      </c>
      <c r="C471" s="73" t="s">
        <v>1069</v>
      </c>
      <c r="D471" s="73" t="s">
        <v>564</v>
      </c>
      <c r="E471" s="87" t="s">
        <v>19</v>
      </c>
      <c r="F471" s="87" t="s">
        <v>28</v>
      </c>
      <c r="G471" s="87"/>
      <c r="H471" s="87" t="s">
        <v>1379</v>
      </c>
      <c r="I471" s="91">
        <f t="shared" ref="I471:I507" si="26">COUNTIF(L471:AM471,"")</f>
        <v>28</v>
      </c>
      <c r="J471" s="91">
        <f t="shared" ref="J471:J507" si="27">COUNTIF(L471:AM471,"APAGADO")</f>
        <v>0</v>
      </c>
      <c r="K471" s="92">
        <f t="shared" ref="K471:K507" si="28">(I471)/(J471+I471)</f>
        <v>1</v>
      </c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</row>
    <row r="472" spans="1:42" ht="15.75" thickBot="1" x14ac:dyDescent="0.3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6"/>
        <v>27</v>
      </c>
      <c r="J473" s="31">
        <f t="shared" si="27"/>
        <v>0</v>
      </c>
      <c r="K473" s="32">
        <f t="shared" si="28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 t="s">
        <v>1370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6"/>
        <v>20</v>
      </c>
      <c r="J476" s="31">
        <f t="shared" si="27"/>
        <v>8</v>
      </c>
      <c r="K476" s="32">
        <f t="shared" si="28"/>
        <v>0.7142857142857143</v>
      </c>
      <c r="L476" s="70" t="s">
        <v>1532</v>
      </c>
      <c r="M476" s="70" t="s">
        <v>1532</v>
      </c>
      <c r="N476" s="70" t="s">
        <v>1532</v>
      </c>
      <c r="O476" s="70" t="s">
        <v>1532</v>
      </c>
      <c r="P476" s="70" t="s">
        <v>1532</v>
      </c>
      <c r="Q476" s="70" t="s">
        <v>1532</v>
      </c>
      <c r="R476" s="70" t="s">
        <v>1532</v>
      </c>
      <c r="S476" s="70" t="s">
        <v>1532</v>
      </c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6"/>
        <v>23</v>
      </c>
      <c r="J477" s="31">
        <f t="shared" si="27"/>
        <v>5</v>
      </c>
      <c r="K477" s="32">
        <f t="shared" si="28"/>
        <v>0.8214285714285714</v>
      </c>
      <c r="L477" s="70"/>
      <c r="M477" s="70"/>
      <c r="N477" s="70"/>
      <c r="O477" s="70" t="s">
        <v>1532</v>
      </c>
      <c r="P477" s="70" t="s">
        <v>1532</v>
      </c>
      <c r="Q477" s="70" t="s">
        <v>1532</v>
      </c>
      <c r="R477" s="70" t="s">
        <v>1532</v>
      </c>
      <c r="S477" s="70" t="s">
        <v>1532</v>
      </c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6"/>
        <v>18</v>
      </c>
      <c r="J478" s="31">
        <f t="shared" si="27"/>
        <v>10</v>
      </c>
      <c r="K478" s="32">
        <f t="shared" si="28"/>
        <v>0.6428571428571429</v>
      </c>
      <c r="L478" s="70" t="s">
        <v>1532</v>
      </c>
      <c r="M478" s="70" t="s">
        <v>1532</v>
      </c>
      <c r="N478" s="70" t="s">
        <v>1532</v>
      </c>
      <c r="O478" s="70" t="s">
        <v>1532</v>
      </c>
      <c r="P478" s="70" t="s">
        <v>1532</v>
      </c>
      <c r="Q478" s="70" t="s">
        <v>1532</v>
      </c>
      <c r="R478" s="70" t="s">
        <v>1532</v>
      </c>
      <c r="S478" s="70" t="s">
        <v>1532</v>
      </c>
      <c r="T478" s="70" t="s">
        <v>1532</v>
      </c>
      <c r="U478" s="70" t="s">
        <v>1532</v>
      </c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6"/>
        <v>15</v>
      </c>
      <c r="J479" s="31">
        <f t="shared" si="27"/>
        <v>13</v>
      </c>
      <c r="K479" s="32">
        <f t="shared" si="28"/>
        <v>0.5357142857142857</v>
      </c>
      <c r="L479" s="70" t="s">
        <v>1532</v>
      </c>
      <c r="M479" s="70" t="s">
        <v>1532</v>
      </c>
      <c r="N479" s="70" t="s">
        <v>1532</v>
      </c>
      <c r="O479" s="70" t="s">
        <v>1532</v>
      </c>
      <c r="P479" s="70" t="s">
        <v>1532</v>
      </c>
      <c r="Q479" s="70" t="s">
        <v>1532</v>
      </c>
      <c r="R479" s="70" t="s">
        <v>1532</v>
      </c>
      <c r="S479" s="70" t="s">
        <v>1532</v>
      </c>
      <c r="T479" s="70" t="s">
        <v>1532</v>
      </c>
      <c r="U479" s="70" t="s">
        <v>1532</v>
      </c>
      <c r="V479" s="70"/>
      <c r="W479" s="70"/>
      <c r="X479" s="70"/>
      <c r="Y479" s="70"/>
      <c r="Z479" s="70"/>
      <c r="AA479" s="70"/>
      <c r="AB479" s="70"/>
      <c r="AC479" s="70"/>
      <c r="AD479" s="70" t="s">
        <v>1532</v>
      </c>
      <c r="AE479" s="70" t="s">
        <v>1532</v>
      </c>
      <c r="AF479" s="70" t="s">
        <v>1532</v>
      </c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6"/>
        <v>1</v>
      </c>
      <c r="J480" s="31">
        <f t="shared" si="27"/>
        <v>27</v>
      </c>
      <c r="K480" s="32">
        <f t="shared" si="28"/>
        <v>3.5714285714285712E-2</v>
      </c>
      <c r="L480" s="70" t="s">
        <v>1532</v>
      </c>
      <c r="M480" s="70" t="s">
        <v>1532</v>
      </c>
      <c r="N480" s="70" t="s">
        <v>1532</v>
      </c>
      <c r="O480" s="70" t="s">
        <v>1532</v>
      </c>
      <c r="P480" s="70" t="s">
        <v>1532</v>
      </c>
      <c r="Q480" s="70" t="s">
        <v>1532</v>
      </c>
      <c r="R480" s="70" t="s">
        <v>1532</v>
      </c>
      <c r="S480" s="70" t="s">
        <v>1532</v>
      </c>
      <c r="T480" s="70" t="s">
        <v>1532</v>
      </c>
      <c r="U480" s="70" t="s">
        <v>1532</v>
      </c>
      <c r="V480" s="70" t="s">
        <v>1532</v>
      </c>
      <c r="W480" s="70" t="s">
        <v>1532</v>
      </c>
      <c r="X480" s="70" t="s">
        <v>1532</v>
      </c>
      <c r="Y480" s="70" t="s">
        <v>1532</v>
      </c>
      <c r="Z480" s="70" t="s">
        <v>1532</v>
      </c>
      <c r="AA480" s="70" t="s">
        <v>1532</v>
      </c>
      <c r="AB480" s="70" t="s">
        <v>1532</v>
      </c>
      <c r="AC480" s="70" t="s">
        <v>1532</v>
      </c>
      <c r="AD480" s="70" t="s">
        <v>1532</v>
      </c>
      <c r="AE480" s="70" t="s">
        <v>1532</v>
      </c>
      <c r="AF480" s="70" t="s">
        <v>1532</v>
      </c>
      <c r="AG480" s="70" t="s">
        <v>1532</v>
      </c>
      <c r="AH480" s="70" t="s">
        <v>1532</v>
      </c>
      <c r="AI480" s="70" t="s">
        <v>1532</v>
      </c>
      <c r="AJ480" s="70" t="s">
        <v>1532</v>
      </c>
      <c r="AK480" s="70" t="s">
        <v>1532</v>
      </c>
      <c r="AL480" s="70" t="s">
        <v>1532</v>
      </c>
      <c r="AM480" s="70"/>
      <c r="AN480" s="70"/>
      <c r="AO480" s="70"/>
      <c r="AP480" s="70"/>
    </row>
    <row r="481" spans="1:42" ht="15.75" thickBot="1" x14ac:dyDescent="0.3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6"/>
        <v>1</v>
      </c>
      <c r="J482" s="31">
        <f t="shared" si="27"/>
        <v>27</v>
      </c>
      <c r="K482" s="32">
        <f t="shared" si="28"/>
        <v>3.5714285714285712E-2</v>
      </c>
      <c r="L482" s="70" t="s">
        <v>1532</v>
      </c>
      <c r="M482" s="70" t="s">
        <v>1532</v>
      </c>
      <c r="N482" s="70" t="s">
        <v>1532</v>
      </c>
      <c r="O482" s="70" t="s">
        <v>1532</v>
      </c>
      <c r="P482" s="70" t="s">
        <v>1532</v>
      </c>
      <c r="Q482" s="70" t="s">
        <v>1532</v>
      </c>
      <c r="R482" s="70" t="s">
        <v>1532</v>
      </c>
      <c r="S482" s="70" t="s">
        <v>1532</v>
      </c>
      <c r="T482" s="70" t="s">
        <v>1532</v>
      </c>
      <c r="U482" s="70" t="s">
        <v>1532</v>
      </c>
      <c r="V482" s="70" t="s">
        <v>1532</v>
      </c>
      <c r="W482" s="70" t="s">
        <v>1532</v>
      </c>
      <c r="X482" s="70" t="s">
        <v>1532</v>
      </c>
      <c r="Y482" s="70" t="s">
        <v>1532</v>
      </c>
      <c r="Z482" s="70" t="s">
        <v>1532</v>
      </c>
      <c r="AA482" s="70" t="s">
        <v>1532</v>
      </c>
      <c r="AB482" s="70" t="s">
        <v>1532</v>
      </c>
      <c r="AC482" s="70" t="s">
        <v>1532</v>
      </c>
      <c r="AD482" s="70" t="s">
        <v>1532</v>
      </c>
      <c r="AE482" s="70" t="s">
        <v>1532</v>
      </c>
      <c r="AF482" s="70" t="s">
        <v>1532</v>
      </c>
      <c r="AG482" s="70" t="s">
        <v>1532</v>
      </c>
      <c r="AH482" s="70" t="s">
        <v>1532</v>
      </c>
      <c r="AI482" s="70" t="s">
        <v>1532</v>
      </c>
      <c r="AJ482" s="70" t="s">
        <v>1532</v>
      </c>
      <c r="AK482" s="70" t="s">
        <v>1532</v>
      </c>
      <c r="AL482" s="70" t="s">
        <v>1532</v>
      </c>
      <c r="AM482" s="70"/>
      <c r="AN482" s="70"/>
      <c r="AO482" s="70"/>
      <c r="AP482" s="70"/>
    </row>
    <row r="483" spans="1:42" ht="15.75" thickBot="1" x14ac:dyDescent="0.3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6"/>
        <v>18</v>
      </c>
      <c r="J494" s="31">
        <f t="shared" si="27"/>
        <v>10</v>
      </c>
      <c r="K494" s="32">
        <f t="shared" si="28"/>
        <v>0.6428571428571429</v>
      </c>
      <c r="L494" s="70" t="s">
        <v>1532</v>
      </c>
      <c r="M494" s="70" t="s">
        <v>1532</v>
      </c>
      <c r="N494" s="70" t="s">
        <v>1532</v>
      </c>
      <c r="O494" s="70" t="s">
        <v>1532</v>
      </c>
      <c r="P494" s="70" t="s">
        <v>1532</v>
      </c>
      <c r="Q494" s="70" t="s">
        <v>1532</v>
      </c>
      <c r="R494" s="70" t="s">
        <v>1532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1532</v>
      </c>
      <c r="AE494" s="70" t="s">
        <v>1532</v>
      </c>
      <c r="AF494" s="70" t="s">
        <v>1532</v>
      </c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1521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6"/>
        <v>28</v>
      </c>
      <c r="J507" s="31">
        <f t="shared" si="27"/>
        <v>0</v>
      </c>
      <c r="K507" s="32">
        <f t="shared" si="28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90" spans="5:40" x14ac:dyDescent="0.25">
      <c r="E590" s="30"/>
      <c r="F590" s="30"/>
      <c r="G590" s="30"/>
      <c r="H590" s="30"/>
      <c r="K590" s="13"/>
      <c r="L590" s="72"/>
      <c r="M590" s="72"/>
      <c r="N590" s="70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</row>
    <row r="591" spans="5:40" x14ac:dyDescent="0.25">
      <c r="E591" s="30"/>
      <c r="F591" s="30"/>
      <c r="G591" s="30"/>
      <c r="H591" s="30"/>
      <c r="K591" s="13"/>
      <c r="L591" s="72"/>
      <c r="M591" s="72"/>
      <c r="N591" s="70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0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0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</row>
    <row r="754" spans="5:20" x14ac:dyDescent="0.25">
      <c r="E754" s="30"/>
      <c r="F754" s="30"/>
      <c r="G754" s="30"/>
      <c r="H754" s="30"/>
      <c r="K754" s="13"/>
      <c r="N754" s="70"/>
    </row>
    <row r="755" spans="5:20" x14ac:dyDescent="0.25">
      <c r="E755" s="30"/>
      <c r="F755" s="30"/>
      <c r="G755" s="30"/>
      <c r="H755" s="30"/>
      <c r="K755" s="13"/>
      <c r="N755" s="70"/>
    </row>
    <row r="756" spans="5:20" x14ac:dyDescent="0.25">
      <c r="E756" s="30"/>
      <c r="F756" s="30"/>
      <c r="G756" s="30"/>
      <c r="H756" s="30"/>
      <c r="K756" s="13"/>
      <c r="N756" s="70"/>
    </row>
    <row r="757" spans="5:20" x14ac:dyDescent="0.25">
      <c r="K757" s="13"/>
      <c r="N757" s="70"/>
    </row>
    <row r="758" spans="5:20" x14ac:dyDescent="0.25">
      <c r="N758" s="70"/>
    </row>
    <row r="759" spans="5:20" x14ac:dyDescent="0.25">
      <c r="N759" s="70"/>
    </row>
    <row r="760" spans="5:20" x14ac:dyDescent="0.25">
      <c r="N760" s="70"/>
    </row>
    <row r="761" spans="5:20" x14ac:dyDescent="0.25">
      <c r="N761" s="70"/>
    </row>
    <row r="762" spans="5:20" x14ac:dyDescent="0.25">
      <c r="N762" s="70"/>
    </row>
    <row r="763" spans="5:20" x14ac:dyDescent="0.25">
      <c r="N763" s="70"/>
    </row>
    <row r="764" spans="5:20" x14ac:dyDescent="0.25">
      <c r="N764" s="70"/>
    </row>
    <row r="765" spans="5:20" x14ac:dyDescent="0.25">
      <c r="N765" s="70"/>
    </row>
    <row r="766" spans="5:20" x14ac:dyDescent="0.25">
      <c r="N766" s="70"/>
    </row>
    <row r="767" spans="5:20" x14ac:dyDescent="0.25">
      <c r="N767" s="70"/>
    </row>
    <row r="768" spans="5:2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C1:C236 D20 D118:D127 D135 D187 D191:D193 D198:D199 D228:D229 D236 C237:D237 C238:C507 D242:D243 D253:D254 D325:D326 D334 C335:D335 D351:D353 D366 D413:D416 D475 C590:C1048576">
    <cfRule type="cellIs" dxfId="53" priority="458" operator="equal">
      <formula>$C$239</formula>
    </cfRule>
  </conditionalFormatting>
  <conditionalFormatting sqref="C1:C236 D20 D191:D193 C237:D237 C238:C507 D242:D243 D253:D254 C335:D335 D351:D353 D366 C590:C1048576 D118:D127 D135 D187 D198:D199 D228:D229 D236 D325:D326 D334 D413:D416 D475">
    <cfRule type="cellIs" dxfId="52" priority="457" operator="equal">
      <formula>$C$255</formula>
    </cfRule>
  </conditionalFormatting>
  <conditionalFormatting sqref="C1:C507 D20 D191 D242:D243 D253:D254 D351:D353 D366 C590:C1048576">
    <cfRule type="cellIs" dxfId="51" priority="3" operator="equal">
      <formula>"IPCOMS"</formula>
    </cfRule>
  </conditionalFormatting>
  <conditionalFormatting sqref="E1:E30 E33:E198 E200:E350 E354:E365 E367:E484 E497:E507 E590:E1048576">
    <cfRule type="containsText" dxfId="50" priority="463" operator="containsText" text="fija">
      <formula>NOT(ISERROR(SEARCH("fija",E1)))</formula>
    </cfRule>
    <cfRule type="containsText" dxfId="49" priority="464" operator="containsText" text="domo">
      <formula>NOT(ISERROR(SEARCH("domo",E1)))</formula>
    </cfRule>
  </conditionalFormatting>
  <conditionalFormatting sqref="E33:E34">
    <cfRule type="containsText" dxfId="48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47" priority="459" operator="equal">
      <formula>$E$10</formula>
    </cfRule>
  </conditionalFormatting>
  <conditionalFormatting sqref="E486">
    <cfRule type="containsText" dxfId="46" priority="406" operator="containsText" text="Radio">
      <formula>NOT(ISERROR(SEARCH("Radio",E486)))</formula>
    </cfRule>
    <cfRule type="containsText" dxfId="45" priority="405" operator="containsText" text="domo">
      <formula>NOT(ISERROR(SEARCH("domo",E486)))</formula>
    </cfRule>
    <cfRule type="containsText" dxfId="44" priority="404" operator="containsText" text="fija">
      <formula>NOT(ISERROR(SEARCH("fija",E486)))</formula>
    </cfRule>
  </conditionalFormatting>
  <conditionalFormatting sqref="E486:E487">
    <cfRule type="containsText" dxfId="43" priority="400" operator="containsText" text="domo">
      <formula>NOT(ISERROR(SEARCH("domo",E486)))</formula>
    </cfRule>
    <cfRule type="containsText" dxfId="42" priority="399" operator="containsText" text="fija">
      <formula>NOT(ISERROR(SEARCH("fija",E486)))</formula>
    </cfRule>
  </conditionalFormatting>
  <conditionalFormatting sqref="E487">
    <cfRule type="containsText" dxfId="41" priority="398" operator="containsText" text="domo">
      <formula>NOT(ISERROR(SEARCH("domo",E487)))</formula>
    </cfRule>
    <cfRule type="containsText" dxfId="40" priority="397" operator="containsText" text="fija">
      <formula>NOT(ISERROR(SEARCH("fija",E487)))</formula>
    </cfRule>
    <cfRule type="containsText" dxfId="39" priority="401" operator="containsText" text="Radio">
      <formula>NOT(ISERROR(SEARCH("Radio",E487)))</formula>
    </cfRule>
  </conditionalFormatting>
  <conditionalFormatting sqref="E490">
    <cfRule type="containsText" dxfId="38" priority="395" operator="containsText" text="domo">
      <formula>NOT(ISERROR(SEARCH("domo",E490)))</formula>
    </cfRule>
    <cfRule type="containsText" dxfId="37" priority="396" operator="containsText" text="Radio">
      <formula>NOT(ISERROR(SEARCH("Radio",E490)))</formula>
    </cfRule>
    <cfRule type="containsText" dxfId="36" priority="394" operator="containsText" text="fija">
      <formula>NOT(ISERROR(SEARCH("fija",E490)))</formula>
    </cfRule>
  </conditionalFormatting>
  <conditionalFormatting sqref="E490:E491">
    <cfRule type="containsText" dxfId="35" priority="389" operator="containsText" text="fija">
      <formula>NOT(ISERROR(SEARCH("fija",E490)))</formula>
    </cfRule>
    <cfRule type="containsText" dxfId="34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33" priority="391" operator="containsText" text="Radio">
      <formula>NOT(ISERROR(SEARCH("Radio",E1)))</formula>
    </cfRule>
  </conditionalFormatting>
  <conditionalFormatting sqref="E491:E492">
    <cfRule type="containsText" dxfId="32" priority="385" operator="containsText" text="domo">
      <formula>NOT(ISERROR(SEARCH("domo",E491)))</formula>
    </cfRule>
    <cfRule type="containsText" dxfId="31" priority="384" operator="containsText" text="fija">
      <formula>NOT(ISERROR(SEARCH("fija",E491)))</formula>
    </cfRule>
  </conditionalFormatting>
  <conditionalFormatting sqref="E492">
    <cfRule type="containsText" dxfId="30" priority="386" operator="containsText" text="Radio">
      <formula>NOT(ISERROR(SEARCH("Radio",E492)))</formula>
    </cfRule>
  </conditionalFormatting>
  <conditionalFormatting sqref="E492:E493">
    <cfRule type="containsText" dxfId="29" priority="380" operator="containsText" text="domo">
      <formula>NOT(ISERROR(SEARCH("domo",E492)))</formula>
    </cfRule>
    <cfRule type="containsText" dxfId="28" priority="379" operator="containsText" text="fija">
      <formula>NOT(ISERROR(SEARCH("fija",E492)))</formula>
    </cfRule>
  </conditionalFormatting>
  <conditionalFormatting sqref="E493">
    <cfRule type="containsText" dxfId="27" priority="381" operator="containsText" text="Radio">
      <formula>NOT(ISERROR(SEARCH("Radio",E493)))</formula>
    </cfRule>
    <cfRule type="containsText" dxfId="26" priority="377" operator="containsText" text="fija">
      <formula>NOT(ISERROR(SEARCH("fija",E493)))</formula>
    </cfRule>
    <cfRule type="containsText" dxfId="25" priority="378" operator="containsText" text="domo">
      <formula>NOT(ISERROR(SEARCH("domo",E493)))</formula>
    </cfRule>
  </conditionalFormatting>
  <conditionalFormatting sqref="E495">
    <cfRule type="containsText" dxfId="24" priority="675" operator="containsText" text="fija">
      <formula>NOT(ISERROR(SEARCH("fija",E495)))</formula>
    </cfRule>
    <cfRule type="containsText" dxfId="23" priority="676" operator="containsText" text="domo">
      <formula>NOT(ISERROR(SEARCH("domo",E495)))</formula>
    </cfRule>
  </conditionalFormatting>
  <conditionalFormatting sqref="E498:E500">
    <cfRule type="containsText" dxfId="22" priority="407" operator="containsText" text="fija">
      <formula>NOT(ISERROR(SEARCH("fija",E498)))</formula>
    </cfRule>
    <cfRule type="containsText" dxfId="21" priority="408" operator="containsText" text="domo">
      <formula>NOT(ISERROR(SEARCH("domo",E498)))</formula>
    </cfRule>
  </conditionalFormatting>
  <conditionalFormatting sqref="E495:H495">
    <cfRule type="containsText" dxfId="20" priority="932" operator="containsText" text="Radio">
      <formula>NOT(ISERROR(SEARCH("Radio",E495)))</formula>
    </cfRule>
  </conditionalFormatting>
  <conditionalFormatting sqref="F1:F121 F128:F198 F200:F365 F367:F507 F590:F1048576">
    <cfRule type="cellIs" dxfId="19" priority="5" operator="equal">
      <formula>"GPON"</formula>
    </cfRule>
    <cfRule type="cellIs" dxfId="18" priority="4" operator="equal">
      <formula>"GPON"</formula>
    </cfRule>
  </conditionalFormatting>
  <conditionalFormatting sqref="F485">
    <cfRule type="cellIs" dxfId="17" priority="55" operator="equal">
      <formula>"PTP A FO"</formula>
    </cfRule>
    <cfRule type="containsText" dxfId="16" priority="54" operator="containsText" text="Radio">
      <formula>NOT(ISERROR(SEARCH("Radio",F485)))</formula>
    </cfRule>
  </conditionalFormatting>
  <conditionalFormatting sqref="F1:G121 F128:G198 F200:G365 F367:G484 F495:G495 F497:G507 F590:G1048576">
    <cfRule type="cellIs" dxfId="15" priority="656" operator="equal">
      <formula>"PTP A FO"</formula>
    </cfRule>
  </conditionalFormatting>
  <conditionalFormatting sqref="F1:G121 F128:G198 F200:G365 F367:G507 F590:G1048576">
    <cfRule type="cellIs" dxfId="14" priority="460" operator="equal">
      <formula>$F$13</formula>
    </cfRule>
    <cfRule type="cellIs" dxfId="13" priority="461" operator="equal">
      <formula>"PTP A FO"</formula>
    </cfRule>
  </conditionalFormatting>
  <conditionalFormatting sqref="K7:K507">
    <cfRule type="cellIs" dxfId="12" priority="891" operator="lessThan">
      <formula>0.8</formula>
    </cfRule>
    <cfRule type="cellIs" dxfId="11" priority="892" operator="greaterThan">
      <formula>0.8</formula>
    </cfRule>
  </conditionalFormatting>
  <conditionalFormatting sqref="L590:AN666 V590:AG1048576">
    <cfRule type="cellIs" dxfId="10" priority="38" operator="equal">
      <formula>"apagado"</formula>
    </cfRule>
  </conditionalFormatting>
  <conditionalFormatting sqref="L590:AN1048576">
    <cfRule type="containsText" dxfId="9" priority="588" operator="containsText" text="Caida">
      <formula>NOT(ISERROR(SEARCH("Caida",L590)))</formula>
    </cfRule>
    <cfRule type="notContainsText" dxfId="8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7" priority="37" operator="equal">
      <formula>"APAGADO"</formula>
    </cfRule>
  </conditionalFormatting>
  <conditionalFormatting sqref="N590:N1109">
    <cfRule type="notContainsText" dxfId="6" priority="217" operator="notContains" text="Caida">
      <formula>ISERROR(SEARCH("Caida",N590))</formula>
    </cfRule>
    <cfRule type="cellIs" dxfId="5" priority="347" operator="equal">
      <formula>"APAGADO"</formula>
    </cfRule>
    <cfRule type="cellIs" dxfId="4" priority="243" operator="greaterThan">
      <formula>0.8</formula>
    </cfRule>
    <cfRule type="cellIs" dxfId="3" priority="220" operator="greaterThan">
      <formula>0.8</formula>
    </cfRule>
    <cfRule type="cellIs" dxfId="2" priority="219" operator="lessThan">
      <formula>0.8</formula>
    </cfRule>
    <cfRule type="containsText" dxfId="1" priority="218" operator="containsText" text="Caida">
      <formula>NOT(ISERROR(SEARCH("Caida",N590)))</formula>
    </cfRule>
  </conditionalFormatting>
  <conditionalFormatting sqref="N590:N1048576">
    <cfRule type="cellIs" dxfId="0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57" zoomScale="90" zoomScaleNormal="90" workbookViewId="0">
      <selection activeCell="F270" sqref="F270:F27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1475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500</v>
      </c>
      <c r="D2" s="105"/>
      <c r="E2" s="110"/>
      <c r="F2" s="147">
        <v>45839</v>
      </c>
    </row>
    <row r="3" spans="1:6" ht="15" customHeight="1" x14ac:dyDescent="0.25">
      <c r="A3" s="76" t="s">
        <v>1487</v>
      </c>
      <c r="B3" s="53" t="s">
        <v>6</v>
      </c>
      <c r="C3" s="66">
        <f>'RESUMEN TOTAL'!L3</f>
        <v>69</v>
      </c>
      <c r="D3" s="54"/>
      <c r="E3" s="55">
        <f>C3/C2</f>
        <v>0.13800000000000001</v>
      </c>
      <c r="F3" s="148"/>
    </row>
    <row r="4" spans="1:6" x14ac:dyDescent="0.25">
      <c r="A4" s="76"/>
      <c r="B4" s="53" t="s">
        <v>1251</v>
      </c>
      <c r="C4" s="67">
        <v>2</v>
      </c>
      <c r="D4" s="107">
        <f>C3-C4</f>
        <v>67</v>
      </c>
      <c r="E4" s="55">
        <f>D4/C2</f>
        <v>0.13400000000000001</v>
      </c>
      <c r="F4" s="148"/>
    </row>
    <row r="5" spans="1:6" x14ac:dyDescent="0.25">
      <c r="A5" s="76"/>
      <c r="B5" s="53" t="s">
        <v>1252</v>
      </c>
      <c r="C5" s="67">
        <v>6</v>
      </c>
      <c r="D5" s="107">
        <f>D4-C5</f>
        <v>61</v>
      </c>
      <c r="E5" s="55">
        <f>D5/C2</f>
        <v>0.122</v>
      </c>
      <c r="F5" s="148"/>
    </row>
    <row r="6" spans="1:6" x14ac:dyDescent="0.25">
      <c r="A6" s="101" t="s">
        <v>1487</v>
      </c>
      <c r="B6" s="53" t="s">
        <v>16</v>
      </c>
      <c r="C6" s="98">
        <f>'RESUMEN TOTAL'!L5</f>
        <v>13</v>
      </c>
      <c r="D6" s="107">
        <f>D5-C6</f>
        <v>48</v>
      </c>
      <c r="E6" s="55">
        <f>D6/C2</f>
        <v>9.6000000000000002E-2</v>
      </c>
      <c r="F6" s="148"/>
    </row>
    <row r="7" spans="1:6" ht="15.75" thickBot="1" x14ac:dyDescent="0.3">
      <c r="A7" s="99"/>
      <c r="B7" s="56" t="s">
        <v>1474</v>
      </c>
      <c r="C7" s="135">
        <v>10</v>
      </c>
      <c r="D7" s="108">
        <f>D6-C7</f>
        <v>38</v>
      </c>
      <c r="E7" s="74">
        <f>D7/C2</f>
        <v>7.5999999999999998E-2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1475</v>
      </c>
      <c r="E8" s="106" t="s">
        <v>919</v>
      </c>
      <c r="F8" s="148"/>
    </row>
    <row r="9" spans="1:6" ht="15" customHeight="1" thickTop="1" thickBot="1" x14ac:dyDescent="0.3">
      <c r="A9" s="35" t="s">
        <v>1489</v>
      </c>
      <c r="B9" s="102" t="s">
        <v>1069</v>
      </c>
      <c r="C9" s="103">
        <f>BONOMOcam</f>
        <v>271</v>
      </c>
      <c r="D9" s="119">
        <f>Hoja1!F3</f>
        <v>26</v>
      </c>
      <c r="E9" s="109">
        <f>D9/C9</f>
        <v>9.5940959409594101E-2</v>
      </c>
      <c r="F9" s="148"/>
    </row>
    <row r="10" spans="1:6" ht="15.75" thickBot="1" x14ac:dyDescent="0.3">
      <c r="A10" t="s">
        <v>1489</v>
      </c>
      <c r="B10" s="116" t="s">
        <v>1070</v>
      </c>
      <c r="C10" s="117">
        <f>COSEIDIcam</f>
        <v>229</v>
      </c>
      <c r="D10" s="117">
        <f>Hoja1!F5</f>
        <v>43</v>
      </c>
      <c r="E10" s="118">
        <f>D10/C10</f>
        <v>0.18777292576419213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1475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500</v>
      </c>
      <c r="D13" s="105"/>
      <c r="E13" s="110"/>
      <c r="F13" s="147">
        <v>45840</v>
      </c>
    </row>
    <row r="14" spans="1:6" x14ac:dyDescent="0.25">
      <c r="A14" t="s">
        <v>1488</v>
      </c>
      <c r="B14" s="53" t="s">
        <v>6</v>
      </c>
      <c r="C14" s="66">
        <f>'RESUMEN TOTAL'!M3</f>
        <v>85</v>
      </c>
      <c r="D14" s="54"/>
      <c r="E14" s="55">
        <f>C14/C13</f>
        <v>0.17</v>
      </c>
      <c r="F14" s="148"/>
    </row>
    <row r="15" spans="1:6" x14ac:dyDescent="0.25">
      <c r="B15" s="53" t="s">
        <v>1251</v>
      </c>
      <c r="C15" s="67">
        <v>2</v>
      </c>
      <c r="D15" s="107">
        <f>C14-C15</f>
        <v>83</v>
      </c>
      <c r="E15" s="55">
        <f>D15/C13</f>
        <v>0.16600000000000001</v>
      </c>
      <c r="F15" s="148"/>
    </row>
    <row r="16" spans="1:6" x14ac:dyDescent="0.25">
      <c r="B16" s="53" t="s">
        <v>1252</v>
      </c>
      <c r="C16" s="67">
        <v>6</v>
      </c>
      <c r="D16" s="107">
        <f>D15-C16</f>
        <v>77</v>
      </c>
      <c r="E16" s="55">
        <f>D16/C13</f>
        <v>0.154</v>
      </c>
      <c r="F16" s="148"/>
    </row>
    <row r="17" spans="1:6" x14ac:dyDescent="0.25">
      <c r="A17" t="s">
        <v>1488</v>
      </c>
      <c r="B17" s="53" t="s">
        <v>16</v>
      </c>
      <c r="C17" s="98">
        <f>'RESUMEN TOTAL'!M5</f>
        <v>15</v>
      </c>
      <c r="D17" s="107">
        <f>D16-C17</f>
        <v>62</v>
      </c>
      <c r="E17" s="55">
        <f>D17/C13</f>
        <v>0.124</v>
      </c>
      <c r="F17" s="148"/>
    </row>
    <row r="18" spans="1:6" ht="15.75" thickBot="1" x14ac:dyDescent="0.3">
      <c r="B18" s="56" t="s">
        <v>1474</v>
      </c>
      <c r="C18" s="135">
        <v>10</v>
      </c>
      <c r="D18" s="108">
        <f>D17-C18</f>
        <v>52</v>
      </c>
      <c r="E18" s="74">
        <f>D18/C13</f>
        <v>0.104</v>
      </c>
      <c r="F18" s="148"/>
    </row>
    <row r="19" spans="1:6" ht="16.5" thickTop="1" thickBot="1" x14ac:dyDescent="0.3">
      <c r="B19" s="115"/>
      <c r="C19" s="114" t="s">
        <v>918</v>
      </c>
      <c r="D19" s="100" t="s">
        <v>1475</v>
      </c>
      <c r="E19" s="106" t="s">
        <v>919</v>
      </c>
      <c r="F19" s="148"/>
    </row>
    <row r="20" spans="1:6" ht="16.5" thickTop="1" thickBot="1" x14ac:dyDescent="0.3">
      <c r="A20" t="s">
        <v>1490</v>
      </c>
      <c r="B20" s="102" t="s">
        <v>1069</v>
      </c>
      <c r="C20" s="103">
        <f>BONOMOcam</f>
        <v>271</v>
      </c>
      <c r="D20" s="119">
        <f>Hoja1!G3</f>
        <v>40</v>
      </c>
      <c r="E20" s="109">
        <f>D20/C20</f>
        <v>0.14760147601476015</v>
      </c>
      <c r="F20" s="148"/>
    </row>
    <row r="21" spans="1:6" ht="15.75" thickBot="1" x14ac:dyDescent="0.3">
      <c r="A21" t="s">
        <v>1490</v>
      </c>
      <c r="B21" s="116" t="s">
        <v>1070</v>
      </c>
      <c r="C21" s="117">
        <f>COSEIDIcam</f>
        <v>229</v>
      </c>
      <c r="D21" s="117">
        <f>Hoja1!G5</f>
        <v>45</v>
      </c>
      <c r="E21" s="118">
        <f>D21/C21</f>
        <v>0.1965065502183406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1475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500</v>
      </c>
      <c r="D24" s="105"/>
      <c r="E24" s="110"/>
      <c r="F24" s="147">
        <v>45841</v>
      </c>
    </row>
    <row r="25" spans="1:6" x14ac:dyDescent="0.25">
      <c r="A25" t="s">
        <v>1481</v>
      </c>
      <c r="B25" s="53" t="s">
        <v>6</v>
      </c>
      <c r="C25" s="66">
        <f>'RESUMEN TOTAL'!N3</f>
        <v>85</v>
      </c>
      <c r="D25" s="54"/>
      <c r="E25" s="55">
        <f>C25/C24</f>
        <v>0.17</v>
      </c>
      <c r="F25" s="148"/>
    </row>
    <row r="26" spans="1:6" x14ac:dyDescent="0.25">
      <c r="B26" s="53" t="s">
        <v>1251</v>
      </c>
      <c r="C26" s="67">
        <v>25</v>
      </c>
      <c r="D26" s="107">
        <f>C25-C26</f>
        <v>60</v>
      </c>
      <c r="E26" s="55">
        <f>D26/C24</f>
        <v>0.12</v>
      </c>
      <c r="F26" s="148"/>
    </row>
    <row r="27" spans="1:6" x14ac:dyDescent="0.25">
      <c r="B27" s="53" t="s">
        <v>1252</v>
      </c>
      <c r="C27" s="67">
        <v>6</v>
      </c>
      <c r="D27" s="107">
        <f>D26-C27</f>
        <v>54</v>
      </c>
      <c r="E27" s="55">
        <f>D27/C24</f>
        <v>0.108</v>
      </c>
      <c r="F27" s="148"/>
    </row>
    <row r="28" spans="1:6" x14ac:dyDescent="0.25">
      <c r="A28" t="s">
        <v>1481</v>
      </c>
      <c r="B28" s="53" t="s">
        <v>16</v>
      </c>
      <c r="C28" s="98">
        <f>'RESUMEN TOTAL'!N5</f>
        <v>15</v>
      </c>
      <c r="D28" s="107">
        <f>D27-C28</f>
        <v>39</v>
      </c>
      <c r="E28" s="55">
        <f>D28/C24</f>
        <v>7.8E-2</v>
      </c>
      <c r="F28" s="148"/>
    </row>
    <row r="29" spans="1:6" ht="15.75" thickBot="1" x14ac:dyDescent="0.3">
      <c r="B29" s="56" t="s">
        <v>1474</v>
      </c>
      <c r="C29" s="135">
        <v>10</v>
      </c>
      <c r="D29" s="108">
        <f>D28-C29</f>
        <v>29</v>
      </c>
      <c r="E29" s="74">
        <f>D29/C24</f>
        <v>5.8000000000000003E-2</v>
      </c>
      <c r="F29" s="148"/>
    </row>
    <row r="30" spans="1:6" ht="16.5" thickTop="1" thickBot="1" x14ac:dyDescent="0.3">
      <c r="B30" s="115"/>
      <c r="C30" s="114" t="s">
        <v>918</v>
      </c>
      <c r="D30" s="100" t="s">
        <v>1475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40</v>
      </c>
      <c r="E31" s="109">
        <f>D31/C31</f>
        <v>0.14760147601476015</v>
      </c>
      <c r="F31" s="148"/>
    </row>
    <row r="32" spans="1:6" ht="15.75" thickBot="1" x14ac:dyDescent="0.3">
      <c r="B32" s="116" t="s">
        <v>1070</v>
      </c>
      <c r="C32" s="117">
        <f>COSEIDIcam</f>
        <v>229</v>
      </c>
      <c r="D32" s="117">
        <f>Hoja1!H5</f>
        <v>45</v>
      </c>
      <c r="E32" s="118">
        <f>D32/C32</f>
        <v>0.1965065502183406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1475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500</v>
      </c>
      <c r="D35" s="105"/>
      <c r="E35" s="110"/>
      <c r="F35" s="147">
        <v>45842</v>
      </c>
    </row>
    <row r="36" spans="1:6" x14ac:dyDescent="0.25">
      <c r="A36" t="s">
        <v>1480</v>
      </c>
      <c r="B36" s="53" t="s">
        <v>6</v>
      </c>
      <c r="C36" s="66">
        <f>'RESUMEN TOTAL'!O3</f>
        <v>102</v>
      </c>
      <c r="D36" s="54"/>
      <c r="E36" s="55">
        <f>C36/C35</f>
        <v>0.20399999999999999</v>
      </c>
      <c r="F36" s="148"/>
    </row>
    <row r="37" spans="1:6" x14ac:dyDescent="0.25">
      <c r="B37" s="53" t="s">
        <v>1251</v>
      </c>
      <c r="C37" s="67">
        <v>8</v>
      </c>
      <c r="D37" s="107">
        <f>C36-C37</f>
        <v>94</v>
      </c>
      <c r="E37" s="55">
        <f>D37/C35</f>
        <v>0.188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88</v>
      </c>
      <c r="E38" s="55">
        <f>D38/C35</f>
        <v>0.17599999999999999</v>
      </c>
      <c r="F38" s="148"/>
    </row>
    <row r="39" spans="1:6" x14ac:dyDescent="0.25">
      <c r="A39" t="s">
        <v>1480</v>
      </c>
      <c r="B39" s="53" t="s">
        <v>16</v>
      </c>
      <c r="C39" s="98">
        <f>'RESUMEN TOTAL'!O5</f>
        <v>22</v>
      </c>
      <c r="D39" s="107">
        <f>D38-C39</f>
        <v>66</v>
      </c>
      <c r="E39" s="55">
        <f>D39/C35</f>
        <v>0.13200000000000001</v>
      </c>
      <c r="F39" s="148"/>
    </row>
    <row r="40" spans="1:6" ht="15.75" thickBot="1" x14ac:dyDescent="0.3">
      <c r="B40" s="56" t="s">
        <v>1474</v>
      </c>
      <c r="C40" s="135">
        <v>10</v>
      </c>
      <c r="D40" s="108">
        <f>D39-C40</f>
        <v>56</v>
      </c>
      <c r="E40" s="74">
        <f>D40/C35</f>
        <v>0.112</v>
      </c>
      <c r="F40" s="148"/>
    </row>
    <row r="41" spans="1:6" ht="16.5" thickTop="1" thickBot="1" x14ac:dyDescent="0.3">
      <c r="B41" s="115"/>
      <c r="C41" s="114" t="s">
        <v>918</v>
      </c>
      <c r="D41" s="100" t="s">
        <v>1475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30</v>
      </c>
      <c r="E42" s="109">
        <f>D42/C42</f>
        <v>0.11070110701107011</v>
      </c>
      <c r="F42" s="148"/>
    </row>
    <row r="43" spans="1:6" ht="15.75" thickBot="1" x14ac:dyDescent="0.3">
      <c r="B43" s="116" t="s">
        <v>1070</v>
      </c>
      <c r="C43" s="117">
        <f>COSEIDIcam</f>
        <v>229</v>
      </c>
      <c r="D43" s="117">
        <f>Hoja1!I5</f>
        <v>72</v>
      </c>
      <c r="E43" s="118">
        <f>D43/C43</f>
        <v>0.31441048034934499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1475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500</v>
      </c>
      <c r="D46" s="105"/>
      <c r="E46" s="110"/>
      <c r="F46" s="147">
        <v>45843</v>
      </c>
    </row>
    <row r="47" spans="1:6" x14ac:dyDescent="0.25">
      <c r="A47" t="s">
        <v>1482</v>
      </c>
      <c r="B47" s="53" t="s">
        <v>6</v>
      </c>
      <c r="C47" s="66">
        <f>'RESUMEN TOTAL'!P3</f>
        <v>114</v>
      </c>
      <c r="D47" s="54"/>
      <c r="E47" s="55">
        <f>C47/C46</f>
        <v>0.22800000000000001</v>
      </c>
      <c r="F47" s="148"/>
    </row>
    <row r="48" spans="1:6" x14ac:dyDescent="0.25">
      <c r="B48" s="53" t="s">
        <v>1251</v>
      </c>
      <c r="C48" s="67">
        <v>8</v>
      </c>
      <c r="D48" s="107">
        <f>C47-C48</f>
        <v>106</v>
      </c>
      <c r="E48" s="55">
        <f>D48/C46</f>
        <v>0.21199999999999999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100</v>
      </c>
      <c r="E49" s="55">
        <f>D49/C46</f>
        <v>0.2</v>
      </c>
      <c r="F49" s="148"/>
    </row>
    <row r="50" spans="1:6" x14ac:dyDescent="0.25">
      <c r="A50" t="s">
        <v>1482</v>
      </c>
      <c r="B50" s="53" t="s">
        <v>16</v>
      </c>
      <c r="C50" s="98">
        <f>'RESUMEN TOTAL'!P5</f>
        <v>17</v>
      </c>
      <c r="D50" s="107">
        <f>D49-C50</f>
        <v>83</v>
      </c>
      <c r="E50" s="55">
        <f>D50/C46</f>
        <v>0.16600000000000001</v>
      </c>
      <c r="F50" s="148"/>
    </row>
    <row r="51" spans="1:6" ht="15.75" thickBot="1" x14ac:dyDescent="0.3">
      <c r="B51" s="56" t="s">
        <v>1474</v>
      </c>
      <c r="C51" s="135">
        <v>10</v>
      </c>
      <c r="D51" s="108">
        <f>D50-C51</f>
        <v>73</v>
      </c>
      <c r="E51" s="74">
        <f>D51/C46</f>
        <v>0.14599999999999999</v>
      </c>
      <c r="F51" s="148"/>
    </row>
    <row r="52" spans="1:6" ht="16.5" thickTop="1" thickBot="1" x14ac:dyDescent="0.3">
      <c r="B52" s="115"/>
      <c r="C52" s="114" t="s">
        <v>918</v>
      </c>
      <c r="D52" s="100" t="s">
        <v>1475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40</v>
      </c>
      <c r="E53" s="109">
        <f>D53/C53</f>
        <v>0.14760147601476015</v>
      </c>
      <c r="F53" s="148"/>
    </row>
    <row r="54" spans="1:6" ht="15.75" thickBot="1" x14ac:dyDescent="0.3">
      <c r="B54" s="116" t="s">
        <v>1070</v>
      </c>
      <c r="C54" s="117">
        <f>COSEIDIcam</f>
        <v>229</v>
      </c>
      <c r="D54" s="117">
        <f>Hoja1!J5</f>
        <v>74</v>
      </c>
      <c r="E54" s="118">
        <f>D54/C54</f>
        <v>0.32314410480349343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1475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500</v>
      </c>
      <c r="D57" s="105"/>
      <c r="E57" s="110"/>
      <c r="F57" s="147">
        <v>45844</v>
      </c>
    </row>
    <row r="58" spans="1:6" x14ac:dyDescent="0.25">
      <c r="A58" t="s">
        <v>1483</v>
      </c>
      <c r="B58" s="53" t="s">
        <v>6</v>
      </c>
      <c r="C58" s="66">
        <f>'RESUMEN TOTAL'!Q3</f>
        <v>101</v>
      </c>
      <c r="D58" s="54"/>
      <c r="E58" s="55">
        <f>C58/C57</f>
        <v>0.20200000000000001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1483</v>
      </c>
      <c r="B61" s="53" t="s">
        <v>16</v>
      </c>
      <c r="C61" s="98">
        <f>'RESUMEN TOTAL'!Q5</f>
        <v>21</v>
      </c>
      <c r="D61" s="107">
        <f>D60-C61</f>
        <v>-21</v>
      </c>
      <c r="E61" s="55">
        <f>D61/C57</f>
        <v>-4.2000000000000003E-2</v>
      </c>
      <c r="F61" s="148"/>
    </row>
    <row r="62" spans="1:6" ht="15.75" thickBot="1" x14ac:dyDescent="0.3">
      <c r="B62" s="56" t="s">
        <v>1474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1475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21</v>
      </c>
      <c r="E64" s="109">
        <f>D64/C64</f>
        <v>7.7490774907749083E-2</v>
      </c>
      <c r="F64" s="148"/>
    </row>
    <row r="65" spans="1:6" ht="15.75" thickBot="1" x14ac:dyDescent="0.3">
      <c r="B65" s="116" t="s">
        <v>1070</v>
      </c>
      <c r="C65" s="117">
        <f>COSEIDIcam</f>
        <v>229</v>
      </c>
      <c r="D65" s="117">
        <f>Hoja1!K5</f>
        <v>80</v>
      </c>
      <c r="E65" s="118">
        <f>D65/C65</f>
        <v>0.34934497816593885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1475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500</v>
      </c>
      <c r="D68" s="105"/>
      <c r="E68" s="110"/>
      <c r="F68" s="147">
        <v>45845</v>
      </c>
    </row>
    <row r="69" spans="1:6" x14ac:dyDescent="0.25">
      <c r="A69" t="s">
        <v>1484</v>
      </c>
      <c r="B69" s="53" t="s">
        <v>6</v>
      </c>
      <c r="C69" s="66">
        <f>'RESUMEN TOTAL'!R3</f>
        <v>122</v>
      </c>
      <c r="D69" s="54"/>
      <c r="E69" s="55">
        <f>C69/C68</f>
        <v>0.24399999999999999</v>
      </c>
      <c r="F69" s="148"/>
    </row>
    <row r="70" spans="1:6" x14ac:dyDescent="0.25">
      <c r="B70" s="53" t="s">
        <v>1251</v>
      </c>
      <c r="C70" s="67">
        <v>19</v>
      </c>
      <c r="D70" s="107">
        <f>C69-C70</f>
        <v>103</v>
      </c>
      <c r="E70" s="55">
        <f>D70/C68</f>
        <v>0.20599999999999999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97</v>
      </c>
      <c r="E71" s="55">
        <f>D71/C68</f>
        <v>0.19400000000000001</v>
      </c>
      <c r="F71" s="148"/>
    </row>
    <row r="72" spans="1:6" x14ac:dyDescent="0.25">
      <c r="A72" t="s">
        <v>1484</v>
      </c>
      <c r="B72" s="53" t="s">
        <v>16</v>
      </c>
      <c r="C72" s="98">
        <f>'RESUMEN TOTAL'!R5</f>
        <v>21</v>
      </c>
      <c r="D72" s="107">
        <f>D71-C72</f>
        <v>76</v>
      </c>
      <c r="E72" s="55">
        <f>D72/C68</f>
        <v>0.152</v>
      </c>
      <c r="F72" s="148"/>
    </row>
    <row r="73" spans="1:6" ht="15.75" thickBot="1" x14ac:dyDescent="0.3">
      <c r="B73" s="56" t="s">
        <v>1474</v>
      </c>
      <c r="C73" s="135">
        <v>10</v>
      </c>
      <c r="D73" s="108">
        <f>D72-C73</f>
        <v>66</v>
      </c>
      <c r="E73" s="74">
        <f>D73/C68</f>
        <v>0.13200000000000001</v>
      </c>
      <c r="F73" s="148"/>
    </row>
    <row r="74" spans="1:6" ht="16.5" thickTop="1" thickBot="1" x14ac:dyDescent="0.3">
      <c r="B74" s="115"/>
      <c r="C74" s="114" t="s">
        <v>918</v>
      </c>
      <c r="D74" s="100" t="s">
        <v>1475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41</v>
      </c>
      <c r="E75" s="109">
        <f>D75/C75</f>
        <v>0.15129151291512916</v>
      </c>
      <c r="F75" s="148"/>
    </row>
    <row r="76" spans="1:6" ht="15.75" thickBot="1" x14ac:dyDescent="0.3">
      <c r="B76" s="116" t="s">
        <v>1070</v>
      </c>
      <c r="C76" s="117">
        <f>COSEIDIcam</f>
        <v>229</v>
      </c>
      <c r="D76" s="117">
        <f>Hoja1!L5</f>
        <v>81</v>
      </c>
      <c r="E76" s="118">
        <f>D76/C76</f>
        <v>0.35371179039301309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1475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500</v>
      </c>
      <c r="D79" s="105"/>
      <c r="E79" s="110"/>
      <c r="F79" s="147">
        <v>45846</v>
      </c>
    </row>
    <row r="80" spans="1:6" x14ac:dyDescent="0.25">
      <c r="A80" t="s">
        <v>1479</v>
      </c>
      <c r="B80" s="53" t="s">
        <v>6</v>
      </c>
      <c r="C80" s="66">
        <f>'RESUMEN TOTAL'!S3</f>
        <v>98</v>
      </c>
      <c r="D80" s="54"/>
      <c r="E80" s="55">
        <f>C80/C79</f>
        <v>0.19600000000000001</v>
      </c>
      <c r="F80" s="148"/>
    </row>
    <row r="81" spans="1:6" x14ac:dyDescent="0.25">
      <c r="B81" s="53" t="s">
        <v>1251</v>
      </c>
      <c r="C81" s="67">
        <v>4</v>
      </c>
      <c r="D81" s="107">
        <f>C80-C81</f>
        <v>94</v>
      </c>
      <c r="E81" s="55">
        <f>D81/C79</f>
        <v>0.188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88</v>
      </c>
      <c r="E82" s="55">
        <f>D82/C79</f>
        <v>0.17599999999999999</v>
      </c>
      <c r="F82" s="148"/>
    </row>
    <row r="83" spans="1:6" x14ac:dyDescent="0.25">
      <c r="A83" t="s">
        <v>1479</v>
      </c>
      <c r="B83" s="53" t="s">
        <v>16</v>
      </c>
      <c r="C83" s="98">
        <f>'RESUMEN TOTAL'!S5</f>
        <v>17</v>
      </c>
      <c r="D83" s="107">
        <f>D82-C83</f>
        <v>71</v>
      </c>
      <c r="E83" s="55">
        <f>D83/C79</f>
        <v>0.14199999999999999</v>
      </c>
      <c r="F83" s="148"/>
    </row>
    <row r="84" spans="1:6" ht="15.75" thickBot="1" x14ac:dyDescent="0.3">
      <c r="B84" s="56" t="s">
        <v>1474</v>
      </c>
      <c r="C84" s="135">
        <v>10</v>
      </c>
      <c r="D84" s="108">
        <f>D83-C84</f>
        <v>61</v>
      </c>
      <c r="E84" s="74">
        <f>D84/C79</f>
        <v>0.122</v>
      </c>
      <c r="F84" s="148"/>
    </row>
    <row r="85" spans="1:6" ht="16.5" thickTop="1" thickBot="1" x14ac:dyDescent="0.3">
      <c r="B85" s="115"/>
      <c r="C85" s="114" t="s">
        <v>918</v>
      </c>
      <c r="D85" s="100" t="s">
        <v>1475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21</v>
      </c>
      <c r="E86" s="109">
        <f>D86/C86</f>
        <v>7.7490774907749083E-2</v>
      </c>
      <c r="F86" s="148"/>
    </row>
    <row r="87" spans="1:6" ht="15.75" thickBot="1" x14ac:dyDescent="0.3">
      <c r="B87" s="116" t="s">
        <v>1070</v>
      </c>
      <c r="C87" s="117">
        <f>COSEIDIcam</f>
        <v>229</v>
      </c>
      <c r="D87" s="117">
        <f>Hoja1!M5</f>
        <v>77</v>
      </c>
      <c r="E87" s="118">
        <f>D87/C87</f>
        <v>0.33624454148471616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1475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500</v>
      </c>
      <c r="D90" s="105"/>
      <c r="E90" s="110"/>
      <c r="F90" s="147">
        <v>45847</v>
      </c>
    </row>
    <row r="91" spans="1:6" x14ac:dyDescent="0.25">
      <c r="A91" t="s">
        <v>1485</v>
      </c>
      <c r="B91" s="53" t="s">
        <v>6</v>
      </c>
      <c r="C91" s="66">
        <f>'RESUMEN TOTAL'!T3</f>
        <v>80</v>
      </c>
      <c r="D91" s="54"/>
      <c r="E91" s="55">
        <f>C91/C90</f>
        <v>0.16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1485</v>
      </c>
      <c r="B94" s="53" t="s">
        <v>16</v>
      </c>
      <c r="C94" s="98">
        <f>'RESUMEN TOTAL'!T5</f>
        <v>25</v>
      </c>
      <c r="D94" s="107">
        <f>D93-C94</f>
        <v>-25</v>
      </c>
      <c r="E94" s="55">
        <f>D94/C90</f>
        <v>-0.05</v>
      </c>
      <c r="F94" s="148"/>
    </row>
    <row r="95" spans="1:6" ht="15.75" thickBot="1" x14ac:dyDescent="0.3">
      <c r="B95" s="56" t="s">
        <v>1474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1475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28</v>
      </c>
      <c r="E97" s="109">
        <f>D97/C97</f>
        <v>0.10332103321033211</v>
      </c>
      <c r="F97" s="148"/>
    </row>
    <row r="98" spans="1:6" ht="15.75" thickBot="1" x14ac:dyDescent="0.3">
      <c r="B98" s="116" t="s">
        <v>1070</v>
      </c>
      <c r="C98" s="117">
        <f>COSEIDIcam</f>
        <v>229</v>
      </c>
      <c r="D98" s="117">
        <f>Hoja1!N5</f>
        <v>52</v>
      </c>
      <c r="E98" s="118">
        <f>D98/C98</f>
        <v>0.22707423580786026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1475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500</v>
      </c>
      <c r="D101" s="105"/>
      <c r="E101" s="110"/>
      <c r="F101" s="147">
        <v>45848</v>
      </c>
    </row>
    <row r="102" spans="1:6" x14ac:dyDescent="0.25">
      <c r="A102" t="s">
        <v>1486</v>
      </c>
      <c r="B102" s="53" t="s">
        <v>6</v>
      </c>
      <c r="C102" s="66">
        <f>'RESUMEN TOTAL'!U3</f>
        <v>78</v>
      </c>
      <c r="D102" s="54"/>
      <c r="E102" s="55">
        <f>C102/C101</f>
        <v>0.156</v>
      </c>
      <c r="F102" s="148"/>
    </row>
    <row r="103" spans="1:6" x14ac:dyDescent="0.25">
      <c r="B103" s="53" t="s">
        <v>1251</v>
      </c>
      <c r="C103" s="67">
        <v>9</v>
      </c>
      <c r="D103" s="107">
        <f>C102-C103</f>
        <v>69</v>
      </c>
      <c r="E103" s="55">
        <f>D103/C101</f>
        <v>0.13800000000000001</v>
      </c>
      <c r="F103" s="148"/>
    </row>
    <row r="104" spans="1:6" x14ac:dyDescent="0.25">
      <c r="B104" s="53" t="s">
        <v>1252</v>
      </c>
      <c r="C104" s="67">
        <v>6</v>
      </c>
      <c r="D104" s="107">
        <f>D103-C104</f>
        <v>63</v>
      </c>
      <c r="E104" s="55">
        <f>D104/C101</f>
        <v>0.126</v>
      </c>
      <c r="F104" s="148"/>
    </row>
    <row r="105" spans="1:6" x14ac:dyDescent="0.25">
      <c r="A105" t="s">
        <v>1486</v>
      </c>
      <c r="B105" s="53" t="s">
        <v>16</v>
      </c>
      <c r="C105" s="98">
        <f>'RESUMEN TOTAL'!U5</f>
        <v>17</v>
      </c>
      <c r="D105" s="107">
        <f>D104-C105</f>
        <v>46</v>
      </c>
      <c r="E105" s="55">
        <f>D105/C101</f>
        <v>9.1999999999999998E-2</v>
      </c>
      <c r="F105" s="148"/>
    </row>
    <row r="106" spans="1:6" ht="15.75" thickBot="1" x14ac:dyDescent="0.3">
      <c r="B106" s="56" t="s">
        <v>1474</v>
      </c>
      <c r="C106" s="135">
        <v>10</v>
      </c>
      <c r="D106" s="108">
        <f>D105-C106</f>
        <v>36</v>
      </c>
      <c r="E106" s="74">
        <f>D106/C101</f>
        <v>7.1999999999999995E-2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1475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31</v>
      </c>
      <c r="E108" s="109">
        <f>D108/C108</f>
        <v>0.11439114391143912</v>
      </c>
      <c r="F108" s="148"/>
    </row>
    <row r="109" spans="1:6" ht="15.75" thickBot="1" x14ac:dyDescent="0.3">
      <c r="B109" s="116" t="s">
        <v>1070</v>
      </c>
      <c r="C109" s="117">
        <f>COSEIDIcam</f>
        <v>229</v>
      </c>
      <c r="D109" s="117">
        <f>Hoja1!O5</f>
        <v>47</v>
      </c>
      <c r="E109" s="118">
        <f>D109/C109</f>
        <v>0.20524017467248909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1475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500</v>
      </c>
      <c r="D112" s="105"/>
      <c r="E112" s="110"/>
      <c r="F112" s="147">
        <v>45849</v>
      </c>
    </row>
    <row r="113" spans="2:6" x14ac:dyDescent="0.25">
      <c r="B113" s="53" t="s">
        <v>6</v>
      </c>
      <c r="C113" s="66">
        <f>'RESUMEN TOTAL'!V3</f>
        <v>77</v>
      </c>
      <c r="D113" s="54"/>
      <c r="E113" s="55">
        <f>C113/C112</f>
        <v>0.154</v>
      </c>
      <c r="F113" s="148"/>
    </row>
    <row r="114" spans="2:6" x14ac:dyDescent="0.25">
      <c r="B114" s="53" t="s">
        <v>1251</v>
      </c>
      <c r="C114" s="67">
        <v>4</v>
      </c>
      <c r="D114" s="107">
        <f>C113-C114</f>
        <v>73</v>
      </c>
      <c r="E114" s="55">
        <f>D114/C112</f>
        <v>0.14599999999999999</v>
      </c>
      <c r="F114" s="148"/>
    </row>
    <row r="115" spans="2:6" x14ac:dyDescent="0.25">
      <c r="B115" s="53" t="s">
        <v>1252</v>
      </c>
      <c r="C115" s="67">
        <v>6</v>
      </c>
      <c r="D115" s="107">
        <v>67</v>
      </c>
      <c r="E115" s="55">
        <f>D115/C112</f>
        <v>0.13400000000000001</v>
      </c>
      <c r="F115" s="148"/>
    </row>
    <row r="116" spans="2:6" x14ac:dyDescent="0.25">
      <c r="B116" s="53" t="s">
        <v>16</v>
      </c>
      <c r="C116" s="98">
        <f>'RESUMEN TOTAL'!V5</f>
        <v>17</v>
      </c>
      <c r="D116" s="107">
        <v>50</v>
      </c>
      <c r="E116" s="55">
        <f>D116/C112</f>
        <v>0.1</v>
      </c>
      <c r="F116" s="148"/>
    </row>
    <row r="117" spans="2:6" ht="15.75" thickBot="1" x14ac:dyDescent="0.3">
      <c r="B117" s="56" t="s">
        <v>1474</v>
      </c>
      <c r="C117" s="135">
        <v>10</v>
      </c>
      <c r="D117" s="108">
        <v>40</v>
      </c>
      <c r="E117" s="74">
        <f>D117/C112</f>
        <v>0.08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1475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28</v>
      </c>
      <c r="E119" s="109">
        <f>D119/C119</f>
        <v>0.10332103321033211</v>
      </c>
      <c r="F119" s="148"/>
    </row>
    <row r="120" spans="2:6" ht="15.75" thickBot="1" x14ac:dyDescent="0.3">
      <c r="B120" s="116" t="s">
        <v>1070</v>
      </c>
      <c r="C120" s="117">
        <f>COSEIDIcam</f>
        <v>229</v>
      </c>
      <c r="D120" s="117">
        <f>Hoja1!P5</f>
        <v>49</v>
      </c>
      <c r="E120" s="118">
        <f>D120/C120</f>
        <v>0.21397379912663755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1475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500</v>
      </c>
      <c r="D123" s="105"/>
      <c r="E123" s="110"/>
      <c r="F123" s="147">
        <v>45850</v>
      </c>
    </row>
    <row r="124" spans="2:6" x14ac:dyDescent="0.25">
      <c r="B124" s="53" t="s">
        <v>6</v>
      </c>
      <c r="C124" s="66">
        <f>'RESUMEN TOTAL'!W3</f>
        <v>63</v>
      </c>
      <c r="D124" s="54"/>
      <c r="E124" s="55">
        <f>C124/C123</f>
        <v>0.126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63</v>
      </c>
      <c r="E125" s="55">
        <f>D125/C123</f>
        <v>0.126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63</v>
      </c>
      <c r="E126" s="55">
        <f>D126/C123</f>
        <v>0.126</v>
      </c>
      <c r="F126" s="148"/>
    </row>
    <row r="127" spans="2:6" x14ac:dyDescent="0.25">
      <c r="B127" s="53" t="s">
        <v>16</v>
      </c>
      <c r="C127" s="98">
        <f>'RESUMEN TOTAL'!W5</f>
        <v>13</v>
      </c>
      <c r="D127" s="107">
        <f>D126-C127</f>
        <v>50</v>
      </c>
      <c r="E127" s="55">
        <f>D127/C123</f>
        <v>0.1</v>
      </c>
      <c r="F127" s="148"/>
    </row>
    <row r="128" spans="2:6" ht="15.75" thickBot="1" x14ac:dyDescent="0.3">
      <c r="B128" s="56" t="s">
        <v>1474</v>
      </c>
      <c r="C128" s="135"/>
      <c r="D128" s="108">
        <f>D127-C128</f>
        <v>50</v>
      </c>
      <c r="E128" s="74">
        <f>D128/C123</f>
        <v>0.1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1475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27</v>
      </c>
      <c r="E130" s="109">
        <f>D130/C130</f>
        <v>9.9630996309963096E-2</v>
      </c>
      <c r="F130" s="148"/>
    </row>
    <row r="131" spans="2:6" ht="15.75" thickBot="1" x14ac:dyDescent="0.3">
      <c r="B131" s="116" t="s">
        <v>1070</v>
      </c>
      <c r="C131" s="117">
        <f>COSEIDIcam</f>
        <v>229</v>
      </c>
      <c r="D131" s="117">
        <f>Hoja1!Q5</f>
        <v>36</v>
      </c>
      <c r="E131" s="118">
        <f>D131/C131</f>
        <v>0.15720524017467249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1475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500</v>
      </c>
      <c r="D134" s="105"/>
      <c r="E134" s="110"/>
      <c r="F134" s="147">
        <v>45851</v>
      </c>
    </row>
    <row r="135" spans="2:6" x14ac:dyDescent="0.25">
      <c r="B135" s="53" t="s">
        <v>6</v>
      </c>
      <c r="C135" s="66">
        <f>'RESUMEN TOTAL'!X3</f>
        <v>68</v>
      </c>
      <c r="D135" s="54"/>
      <c r="E135" s="55">
        <f>C135/C134</f>
        <v>0.13600000000000001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68</v>
      </c>
      <c r="E136" s="55">
        <f>D136/C134</f>
        <v>0.13600000000000001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68</v>
      </c>
      <c r="E137" s="55">
        <f>D137/C134</f>
        <v>0.13600000000000001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68</v>
      </c>
      <c r="E138" s="55">
        <f>D138/C134</f>
        <v>0.13600000000000001</v>
      </c>
      <c r="F138" s="148"/>
    </row>
    <row r="139" spans="2:6" ht="15.75" thickBot="1" x14ac:dyDescent="0.3">
      <c r="B139" s="56" t="s">
        <v>1474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1475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229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1475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500</v>
      </c>
      <c r="D145" s="105"/>
      <c r="E145" s="110"/>
      <c r="F145" s="147">
        <v>45852</v>
      </c>
    </row>
    <row r="146" spans="2:6" x14ac:dyDescent="0.25">
      <c r="B146" s="53" t="s">
        <v>6</v>
      </c>
      <c r="C146" s="66">
        <f>'RESUMEN TOTAL'!Y3</f>
        <v>56</v>
      </c>
      <c r="D146" s="54"/>
      <c r="E146" s="55">
        <f>C146/C145</f>
        <v>0.112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56</v>
      </c>
      <c r="E147" s="55">
        <f>D147/C145</f>
        <v>0.112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56</v>
      </c>
      <c r="E148" s="55">
        <f>D148/C145</f>
        <v>0.112</v>
      </c>
      <c r="F148" s="148"/>
    </row>
    <row r="149" spans="2:6" x14ac:dyDescent="0.25">
      <c r="B149" s="53" t="s">
        <v>16</v>
      </c>
      <c r="C149" s="98">
        <f>'RESUMEN TOTAL'!Y5</f>
        <v>13</v>
      </c>
      <c r="D149" s="107">
        <f>D148-C149</f>
        <v>43</v>
      </c>
      <c r="E149" s="55">
        <f>D149/C145</f>
        <v>8.5999999999999993E-2</v>
      </c>
      <c r="F149" s="148"/>
    </row>
    <row r="150" spans="2:6" ht="15.75" thickBot="1" x14ac:dyDescent="0.3">
      <c r="B150" s="56" t="s">
        <v>1474</v>
      </c>
      <c r="C150" s="135"/>
      <c r="D150" s="108">
        <f>D149-C150</f>
        <v>43</v>
      </c>
      <c r="E150" s="74">
        <f>D150/C145</f>
        <v>8.5999999999999993E-2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1475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229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1475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500</v>
      </c>
      <c r="D156" s="105"/>
      <c r="E156" s="110"/>
      <c r="F156" s="147">
        <v>45853</v>
      </c>
    </row>
    <row r="157" spans="2:6" x14ac:dyDescent="0.25">
      <c r="B157" s="53" t="s">
        <v>6</v>
      </c>
      <c r="C157" s="66">
        <f>'RESUMEN TOTAL'!Z3</f>
        <v>62</v>
      </c>
      <c r="D157" s="54"/>
      <c r="E157" s="55">
        <f>C157/C156</f>
        <v>0.124</v>
      </c>
      <c r="F157" s="148"/>
    </row>
    <row r="158" spans="2:6" x14ac:dyDescent="0.25">
      <c r="B158" s="53" t="s">
        <v>1251</v>
      </c>
      <c r="C158" s="67">
        <v>7</v>
      </c>
      <c r="D158" s="107">
        <f>C157-C158</f>
        <v>55</v>
      </c>
      <c r="E158" s="55">
        <f>D158/C156</f>
        <v>0.11</v>
      </c>
      <c r="F158" s="148"/>
    </row>
    <row r="159" spans="2:6" x14ac:dyDescent="0.25">
      <c r="B159" s="53" t="s">
        <v>1252</v>
      </c>
      <c r="C159" s="67">
        <v>6</v>
      </c>
      <c r="D159" s="107">
        <f>D158-C159</f>
        <v>49</v>
      </c>
      <c r="E159" s="55">
        <f>D159/C156</f>
        <v>9.8000000000000004E-2</v>
      </c>
      <c r="F159" s="148"/>
    </row>
    <row r="160" spans="2:6" x14ac:dyDescent="0.25">
      <c r="B160" s="53" t="s">
        <v>16</v>
      </c>
      <c r="C160" s="98">
        <f>'RESUMEN TOTAL'!Z5</f>
        <v>11</v>
      </c>
      <c r="D160" s="107">
        <f>D159-C160</f>
        <v>38</v>
      </c>
      <c r="E160" s="55">
        <f>D160/C156</f>
        <v>7.5999999999999998E-2</v>
      </c>
      <c r="F160" s="148"/>
    </row>
    <row r="161" spans="2:6" ht="15.75" thickBot="1" x14ac:dyDescent="0.3">
      <c r="B161" s="56" t="s">
        <v>1474</v>
      </c>
      <c r="C161" s="135">
        <v>10</v>
      </c>
      <c r="D161" s="108">
        <f>D160-C161</f>
        <v>28</v>
      </c>
      <c r="E161" s="74">
        <f>D161/C156</f>
        <v>5.6000000000000001E-2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1475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27</v>
      </c>
      <c r="E163" s="109">
        <f>D163/C163</f>
        <v>9.9630996309963096E-2</v>
      </c>
      <c r="F163" s="148"/>
    </row>
    <row r="164" spans="2:6" ht="15.75" thickBot="1" x14ac:dyDescent="0.3">
      <c r="B164" s="116" t="s">
        <v>1070</v>
      </c>
      <c r="C164" s="117">
        <f>COSEIDIcam</f>
        <v>229</v>
      </c>
      <c r="D164" s="117">
        <f>Hoja1!T5</f>
        <v>35</v>
      </c>
      <c r="E164" s="118">
        <f>D164/C164</f>
        <v>0.15283842794759825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1475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500</v>
      </c>
      <c r="D167" s="105"/>
      <c r="E167" s="110"/>
      <c r="F167" s="147">
        <v>45854</v>
      </c>
    </row>
    <row r="168" spans="2:6" x14ac:dyDescent="0.25">
      <c r="B168" s="53" t="s">
        <v>6</v>
      </c>
      <c r="C168" s="66">
        <f>'RESUMEN TOTAL'!AA3</f>
        <v>69</v>
      </c>
      <c r="D168" s="54"/>
      <c r="E168" s="55">
        <f>C168/C167</f>
        <v>0.13800000000000001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69</v>
      </c>
      <c r="E169" s="55">
        <f>D169/C167</f>
        <v>0.13800000000000001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69</v>
      </c>
      <c r="E170" s="55">
        <f>D170/C167</f>
        <v>0.13800000000000001</v>
      </c>
      <c r="F170" s="148"/>
    </row>
    <row r="171" spans="2:6" x14ac:dyDescent="0.25">
      <c r="B171" s="53" t="s">
        <v>16</v>
      </c>
      <c r="C171" s="98">
        <f>'RESUMEN TOTAL'!AA5</f>
        <v>12</v>
      </c>
      <c r="D171" s="107">
        <f>D170-C171</f>
        <v>57</v>
      </c>
      <c r="E171" s="55">
        <f>D171/C167</f>
        <v>0.114</v>
      </c>
      <c r="F171" s="148"/>
    </row>
    <row r="172" spans="2:6" ht="15.75" thickBot="1" x14ac:dyDescent="0.3">
      <c r="B172" s="56" t="s">
        <v>1474</v>
      </c>
      <c r="C172" s="135"/>
      <c r="D172" s="108">
        <f>D171-C172</f>
        <v>57</v>
      </c>
      <c r="E172" s="74">
        <f>D172/C167</f>
        <v>0.114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1475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229</v>
      </c>
      <c r="D175" s="117">
        <f>Hoja1!U5</f>
        <v>30</v>
      </c>
      <c r="E175" s="118">
        <f>D175/C175</f>
        <v>0.13100436681222707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1475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500</v>
      </c>
      <c r="D178" s="105"/>
      <c r="E178" s="110"/>
      <c r="F178" s="147">
        <v>45855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0.188</v>
      </c>
      <c r="F179" s="148"/>
    </row>
    <row r="180" spans="2:6" x14ac:dyDescent="0.25">
      <c r="B180" s="53" t="s">
        <v>1251</v>
      </c>
      <c r="C180" s="67">
        <v>7</v>
      </c>
      <c r="D180" s="107">
        <f>C179-C180</f>
        <v>87</v>
      </c>
      <c r="E180" s="55">
        <f>D180/C178</f>
        <v>0.17399999999999999</v>
      </c>
      <c r="F180" s="148"/>
    </row>
    <row r="181" spans="2:6" x14ac:dyDescent="0.25">
      <c r="B181" s="53" t="s">
        <v>1252</v>
      </c>
      <c r="C181" s="67">
        <v>6</v>
      </c>
      <c r="D181" s="107">
        <f>D180-C181</f>
        <v>81</v>
      </c>
      <c r="E181" s="55">
        <f>D181/C178</f>
        <v>0.16200000000000001</v>
      </c>
      <c r="F181" s="148"/>
    </row>
    <row r="182" spans="2:6" x14ac:dyDescent="0.25">
      <c r="B182" s="53" t="s">
        <v>16</v>
      </c>
      <c r="C182" s="98">
        <f>'RESUMEN TOTAL'!AB5</f>
        <v>15</v>
      </c>
      <c r="D182" s="107">
        <f>D181-C182</f>
        <v>66</v>
      </c>
      <c r="E182" s="55">
        <f>D182/C178</f>
        <v>0.13200000000000001</v>
      </c>
      <c r="F182" s="148"/>
    </row>
    <row r="183" spans="2:6" ht="15.75" thickBot="1" x14ac:dyDescent="0.3">
      <c r="B183" s="56" t="s">
        <v>1474</v>
      </c>
      <c r="C183" s="135">
        <v>10</v>
      </c>
      <c r="D183" s="108">
        <f>D182-C183</f>
        <v>56</v>
      </c>
      <c r="E183" s="74">
        <f>D183/C178</f>
        <v>0.112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1475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52</v>
      </c>
      <c r="E185" s="109">
        <v>0.23</v>
      </c>
      <c r="F185" s="148"/>
    </row>
    <row r="186" spans="2:6" ht="15.75" thickBot="1" x14ac:dyDescent="0.3">
      <c r="B186" s="116" t="s">
        <v>1070</v>
      </c>
      <c r="C186" s="117">
        <f>COSEIDIcam</f>
        <v>229</v>
      </c>
      <c r="D186" s="117">
        <f>Hoja1!V5</f>
        <v>42</v>
      </c>
      <c r="E186" s="118">
        <v>0.16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1475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500</v>
      </c>
      <c r="D189" s="105"/>
      <c r="E189" s="110"/>
      <c r="F189" s="147">
        <v>45856</v>
      </c>
    </row>
    <row r="190" spans="2:6" x14ac:dyDescent="0.25">
      <c r="B190" s="53" t="s">
        <v>6</v>
      </c>
      <c r="C190" s="66">
        <v>62</v>
      </c>
      <c r="D190" s="54"/>
      <c r="E190" s="55">
        <f>C190/C189</f>
        <v>0.124</v>
      </c>
      <c r="F190" s="148"/>
    </row>
    <row r="191" spans="2:6" x14ac:dyDescent="0.25">
      <c r="B191" s="53" t="s">
        <v>1251</v>
      </c>
      <c r="C191" s="67">
        <v>3</v>
      </c>
      <c r="D191" s="107">
        <f>C190-C191</f>
        <v>59</v>
      </c>
      <c r="E191" s="55">
        <f>D191/C189</f>
        <v>0.11799999999999999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53</v>
      </c>
      <c r="E192" s="55">
        <f>D192/C189</f>
        <v>0.106</v>
      </c>
      <c r="F192" s="148"/>
    </row>
    <row r="193" spans="2:6" x14ac:dyDescent="0.25">
      <c r="B193" s="53" t="s">
        <v>16</v>
      </c>
      <c r="C193" s="98">
        <v>14</v>
      </c>
      <c r="D193" s="107">
        <f>D192-C193</f>
        <v>39</v>
      </c>
      <c r="E193" s="55">
        <f>D193/C189</f>
        <v>7.8E-2</v>
      </c>
      <c r="F193" s="148"/>
    </row>
    <row r="194" spans="2:6" ht="15.75" thickBot="1" x14ac:dyDescent="0.3">
      <c r="B194" s="56" t="s">
        <v>1474</v>
      </c>
      <c r="C194" s="135">
        <v>10</v>
      </c>
      <c r="D194" s="108">
        <f>D193-C194</f>
        <v>29</v>
      </c>
      <c r="E194" s="74">
        <f>D194/C189</f>
        <v>5.8000000000000003E-2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1475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20</v>
      </c>
      <c r="E196" s="109">
        <f>D196/C196</f>
        <v>7.3800738007380073E-2</v>
      </c>
      <c r="F196" s="148"/>
    </row>
    <row r="197" spans="2:6" ht="15.75" thickBot="1" x14ac:dyDescent="0.3">
      <c r="B197" s="116" t="s">
        <v>1070</v>
      </c>
      <c r="C197" s="117">
        <f>COSEIDIcam</f>
        <v>229</v>
      </c>
      <c r="D197" s="117">
        <v>42</v>
      </c>
      <c r="E197" s="118">
        <f>D197/C197</f>
        <v>0.18340611353711792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1475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500</v>
      </c>
      <c r="D200" s="105"/>
      <c r="E200" s="110"/>
      <c r="F200" s="147">
        <v>45857</v>
      </c>
    </row>
    <row r="201" spans="2:6" x14ac:dyDescent="0.25">
      <c r="B201" s="53" t="s">
        <v>6</v>
      </c>
      <c r="C201" s="66">
        <f>'RESUMEN TOTAL'!AD3</f>
        <v>56</v>
      </c>
      <c r="D201" s="54"/>
      <c r="E201" s="55">
        <f>C201/C200</f>
        <v>0.112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56</v>
      </c>
      <c r="E202" s="55">
        <f>D202/C200</f>
        <v>0.112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56</v>
      </c>
      <c r="E203" s="55">
        <f>D203/C200</f>
        <v>0.112</v>
      </c>
      <c r="F203" s="148"/>
    </row>
    <row r="204" spans="2:6" x14ac:dyDescent="0.25">
      <c r="B204" s="53" t="s">
        <v>16</v>
      </c>
      <c r="C204" s="98">
        <f>'RESUMEN TOTAL'!AC5</f>
        <v>14</v>
      </c>
      <c r="D204" s="107">
        <f>D203-C204</f>
        <v>42</v>
      </c>
      <c r="E204" s="55">
        <f>D204/C200</f>
        <v>8.4000000000000005E-2</v>
      </c>
      <c r="F204" s="148"/>
    </row>
    <row r="205" spans="2:6" ht="15.75" thickBot="1" x14ac:dyDescent="0.3">
      <c r="B205" s="56" t="s">
        <v>1474</v>
      </c>
      <c r="C205" s="135">
        <v>0</v>
      </c>
      <c r="D205" s="108">
        <f>D204-C205</f>
        <v>42</v>
      </c>
      <c r="E205" s="74">
        <f>D205/C200</f>
        <v>8.4000000000000005E-2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1475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229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1475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500</v>
      </c>
      <c r="D211" s="105"/>
      <c r="E211" s="110"/>
      <c r="F211" s="147">
        <v>45858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1474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1475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229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1475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500</v>
      </c>
      <c r="D223" s="105"/>
      <c r="E223" s="110"/>
      <c r="F223" s="147">
        <v>45859</v>
      </c>
    </row>
    <row r="224" spans="2:6" x14ac:dyDescent="0.25">
      <c r="B224" s="53" t="s">
        <v>6</v>
      </c>
      <c r="C224" s="66">
        <v>51</v>
      </c>
      <c r="D224" s="54"/>
      <c r="E224" s="55">
        <f>C224/C223</f>
        <v>0.10199999999999999</v>
      </c>
      <c r="F224" s="148"/>
    </row>
    <row r="225" spans="2:6" x14ac:dyDescent="0.25">
      <c r="B225" s="53" t="s">
        <v>1251</v>
      </c>
      <c r="C225" s="67">
        <v>5</v>
      </c>
      <c r="D225" s="107">
        <f>C224-C225</f>
        <v>46</v>
      </c>
      <c r="E225" s="55">
        <f>D225/C223</f>
        <v>9.1999999999999998E-2</v>
      </c>
      <c r="F225" s="148"/>
    </row>
    <row r="226" spans="2:6" x14ac:dyDescent="0.25">
      <c r="B226" s="53" t="s">
        <v>1252</v>
      </c>
      <c r="C226" s="67">
        <v>6</v>
      </c>
      <c r="D226" s="107">
        <v>40</v>
      </c>
      <c r="E226" s="55">
        <f>D226/C223</f>
        <v>0.08</v>
      </c>
      <c r="F226" s="148"/>
    </row>
    <row r="227" spans="2:6" x14ac:dyDescent="0.25">
      <c r="B227" s="53" t="s">
        <v>16</v>
      </c>
      <c r="C227" s="98">
        <v>10</v>
      </c>
      <c r="D227" s="107">
        <v>30</v>
      </c>
      <c r="E227" s="55">
        <f>D227/C223</f>
        <v>0.06</v>
      </c>
      <c r="F227" s="148"/>
    </row>
    <row r="228" spans="2:6" ht="15.75" thickBot="1" x14ac:dyDescent="0.3">
      <c r="B228" s="56" t="s">
        <v>1474</v>
      </c>
      <c r="C228" s="135">
        <v>9</v>
      </c>
      <c r="D228" s="108">
        <v>21</v>
      </c>
      <c r="E228" s="74" t="s">
        <v>1498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1475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21</v>
      </c>
      <c r="E230" s="109">
        <f>D230/C230</f>
        <v>7.7490774907749083E-2</v>
      </c>
      <c r="F230" s="148"/>
    </row>
    <row r="231" spans="2:6" ht="15.75" thickBot="1" x14ac:dyDescent="0.3">
      <c r="B231" s="116" t="s">
        <v>1070</v>
      </c>
      <c r="C231" s="117">
        <f>COSEIDIcam</f>
        <v>229</v>
      </c>
      <c r="D231" s="117">
        <v>30</v>
      </c>
      <c r="E231" s="118">
        <f>D231/C231</f>
        <v>0.13100436681222707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1475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500</v>
      </c>
      <c r="D235" s="105"/>
      <c r="E235" s="110"/>
      <c r="F235" s="147">
        <v>45860</v>
      </c>
    </row>
    <row r="236" spans="2:6" x14ac:dyDescent="0.25">
      <c r="B236" s="53" t="s">
        <v>6</v>
      </c>
      <c r="C236" s="66">
        <v>53</v>
      </c>
      <c r="D236" s="54"/>
      <c r="E236" s="55">
        <f>C236/C235</f>
        <v>0.106</v>
      </c>
      <c r="F236" s="148"/>
    </row>
    <row r="237" spans="2:6" x14ac:dyDescent="0.25">
      <c r="B237" s="53" t="s">
        <v>1251</v>
      </c>
      <c r="C237" s="67">
        <v>5</v>
      </c>
      <c r="D237" s="107">
        <v>48</v>
      </c>
      <c r="E237" s="55">
        <f>D237/C235</f>
        <v>9.6000000000000002E-2</v>
      </c>
      <c r="F237" s="148"/>
    </row>
    <row r="238" spans="2:6" x14ac:dyDescent="0.25">
      <c r="B238" s="53" t="s">
        <v>1252</v>
      </c>
      <c r="C238" s="67">
        <v>6</v>
      </c>
      <c r="D238" s="107">
        <v>42</v>
      </c>
      <c r="E238" s="55">
        <f>D238/C235</f>
        <v>8.4000000000000005E-2</v>
      </c>
      <c r="F238" s="148"/>
    </row>
    <row r="239" spans="2:6" x14ac:dyDescent="0.25">
      <c r="B239" s="53" t="s">
        <v>16</v>
      </c>
      <c r="C239" s="98">
        <v>12</v>
      </c>
      <c r="D239" s="107">
        <v>30</v>
      </c>
      <c r="E239" s="55">
        <f>D239/C235</f>
        <v>0.06</v>
      </c>
      <c r="F239" s="148"/>
    </row>
    <row r="240" spans="2:6" ht="15.75" thickBot="1" x14ac:dyDescent="0.3">
      <c r="B240" s="56" t="s">
        <v>1474</v>
      </c>
      <c r="C240" s="135">
        <v>9</v>
      </c>
      <c r="D240" s="108">
        <v>21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1475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26</v>
      </c>
      <c r="E242" s="109">
        <f>D242/C242</f>
        <v>9.5940959409594101E-2</v>
      </c>
      <c r="F242" s="148"/>
    </row>
    <row r="243" spans="2:6" ht="15.75" thickBot="1" x14ac:dyDescent="0.3">
      <c r="B243" s="116" t="s">
        <v>1070</v>
      </c>
      <c r="C243" s="117">
        <f>COSEIDIcam</f>
        <v>229</v>
      </c>
      <c r="D243" s="117">
        <v>27</v>
      </c>
      <c r="E243" s="118">
        <f>D243/C243</f>
        <v>0.11790393013100436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1475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500</v>
      </c>
      <c r="D247" s="105"/>
      <c r="E247" s="110"/>
      <c r="F247" s="147">
        <v>45831</v>
      </c>
    </row>
    <row r="248" spans="2:6" x14ac:dyDescent="0.25">
      <c r="B248" s="53" t="s">
        <v>6</v>
      </c>
      <c r="C248" s="66">
        <v>55</v>
      </c>
      <c r="D248" s="54"/>
      <c r="E248" s="55">
        <f>C248/C247</f>
        <v>0.11</v>
      </c>
      <c r="F248" s="148"/>
    </row>
    <row r="249" spans="2:6" x14ac:dyDescent="0.25">
      <c r="B249" s="53" t="s">
        <v>1251</v>
      </c>
      <c r="C249" s="67">
        <v>3</v>
      </c>
      <c r="D249" s="107">
        <v>52</v>
      </c>
      <c r="E249" s="55">
        <f>D249/C247</f>
        <v>0.104</v>
      </c>
      <c r="F249" s="148"/>
    </row>
    <row r="250" spans="2:6" x14ac:dyDescent="0.25">
      <c r="B250" s="53" t="s">
        <v>1252</v>
      </c>
      <c r="C250" s="67">
        <v>6</v>
      </c>
      <c r="D250" s="107">
        <v>46</v>
      </c>
      <c r="E250" s="55">
        <f>D250/C247</f>
        <v>9.1999999999999998E-2</v>
      </c>
      <c r="F250" s="148"/>
    </row>
    <row r="251" spans="2:6" x14ac:dyDescent="0.25">
      <c r="B251" s="53" t="s">
        <v>16</v>
      </c>
      <c r="C251" s="98">
        <v>12</v>
      </c>
      <c r="D251" s="107">
        <v>34</v>
      </c>
      <c r="E251" s="55">
        <f>D251/C247</f>
        <v>6.8000000000000005E-2</v>
      </c>
      <c r="F251" s="148"/>
    </row>
    <row r="252" spans="2:6" ht="15.75" thickBot="1" x14ac:dyDescent="0.3">
      <c r="B252" s="56" t="s">
        <v>1474</v>
      </c>
      <c r="C252" s="135">
        <v>9</v>
      </c>
      <c r="D252" s="108">
        <v>25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 t="s">
        <v>1475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26</v>
      </c>
      <c r="E254" s="109">
        <f>D254/C254</f>
        <v>9.5940959409594101E-2</v>
      </c>
      <c r="F254" s="148"/>
    </row>
    <row r="255" spans="2:6" ht="15.75" thickBot="1" x14ac:dyDescent="0.3">
      <c r="B255" s="116" t="s">
        <v>1070</v>
      </c>
      <c r="C255" s="117">
        <f>COSEIDIcam</f>
        <v>229</v>
      </c>
      <c r="D255" s="117">
        <v>29</v>
      </c>
      <c r="E255" s="118">
        <f>D255/C255</f>
        <v>0.12663755458515283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1475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500</v>
      </c>
      <c r="D259" s="105"/>
      <c r="E259" s="110"/>
      <c r="F259" s="147">
        <v>45862</v>
      </c>
    </row>
    <row r="260" spans="2:6" x14ac:dyDescent="0.25">
      <c r="B260" s="53" t="s">
        <v>6</v>
      </c>
      <c r="C260" s="66">
        <v>58</v>
      </c>
      <c r="D260" s="54"/>
      <c r="E260" s="55">
        <f>C260/C259</f>
        <v>0.11600000000000001</v>
      </c>
      <c r="F260" s="148"/>
    </row>
    <row r="261" spans="2:6" x14ac:dyDescent="0.25">
      <c r="B261" s="53" t="s">
        <v>1251</v>
      </c>
      <c r="C261" s="67">
        <v>2</v>
      </c>
      <c r="D261" s="107">
        <v>56</v>
      </c>
      <c r="E261" s="55">
        <f>D261/C259</f>
        <v>0.112</v>
      </c>
      <c r="F261" s="148"/>
    </row>
    <row r="262" spans="2:6" x14ac:dyDescent="0.25">
      <c r="B262" s="53" t="s">
        <v>1252</v>
      </c>
      <c r="C262" s="67">
        <v>6</v>
      </c>
      <c r="D262" s="107">
        <v>50</v>
      </c>
      <c r="E262" s="55">
        <f>D262/C259</f>
        <v>0.1</v>
      </c>
      <c r="F262" s="148"/>
    </row>
    <row r="263" spans="2:6" x14ac:dyDescent="0.25">
      <c r="B263" s="53" t="s">
        <v>16</v>
      </c>
      <c r="C263" s="98">
        <v>15</v>
      </c>
      <c r="D263" s="107">
        <v>35</v>
      </c>
      <c r="E263" s="55">
        <f>D263/C259</f>
        <v>7.0000000000000007E-2</v>
      </c>
      <c r="F263" s="148"/>
    </row>
    <row r="264" spans="2:6" ht="15.75" thickBot="1" x14ac:dyDescent="0.3">
      <c r="B264" s="56" t="s">
        <v>1474</v>
      </c>
      <c r="C264" s="135">
        <v>9</v>
      </c>
      <c r="D264" s="108">
        <v>26</v>
      </c>
      <c r="E264" s="74">
        <v>5.1999999999999998E-2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1475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32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229</v>
      </c>
      <c r="D267" s="117">
        <v>26</v>
      </c>
      <c r="E267" s="118">
        <f>D267/C267</f>
        <v>0.11353711790393013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1475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500</v>
      </c>
      <c r="D270" s="105"/>
      <c r="E270" s="110"/>
      <c r="F270" s="147">
        <v>45863</v>
      </c>
    </row>
    <row r="271" spans="2:6" x14ac:dyDescent="0.25">
      <c r="B271" s="53" t="s">
        <v>6</v>
      </c>
      <c r="C271" s="66">
        <v>63</v>
      </c>
      <c r="D271" s="54"/>
      <c r="E271" s="55">
        <f>C271/C270</f>
        <v>0.126</v>
      </c>
      <c r="F271" s="148"/>
    </row>
    <row r="272" spans="2:6" x14ac:dyDescent="0.25">
      <c r="B272" s="53" t="s">
        <v>1251</v>
      </c>
      <c r="C272" s="67">
        <v>2</v>
      </c>
      <c r="D272" s="107">
        <v>61</v>
      </c>
      <c r="E272" s="55">
        <f>D272/C270</f>
        <v>0.122</v>
      </c>
      <c r="F272" s="148"/>
    </row>
    <row r="273" spans="2:6" x14ac:dyDescent="0.25">
      <c r="B273" s="53" t="s">
        <v>1252</v>
      </c>
      <c r="C273" s="67">
        <v>6</v>
      </c>
      <c r="D273" s="107">
        <v>55</v>
      </c>
      <c r="E273" s="55">
        <f>D273/C270</f>
        <v>0.11</v>
      </c>
      <c r="F273" s="148"/>
    </row>
    <row r="274" spans="2:6" x14ac:dyDescent="0.25">
      <c r="B274" s="53" t="s">
        <v>16</v>
      </c>
      <c r="C274" s="98">
        <v>14</v>
      </c>
      <c r="D274" s="107">
        <v>41</v>
      </c>
      <c r="E274" s="55">
        <f>D274/C270</f>
        <v>8.2000000000000003E-2</v>
      </c>
      <c r="F274" s="148"/>
    </row>
    <row r="275" spans="2:6" ht="15.75" thickBot="1" x14ac:dyDescent="0.3">
      <c r="B275" s="56" t="s">
        <v>1474</v>
      </c>
      <c r="C275" s="135">
        <v>9</v>
      </c>
      <c r="D275" s="108">
        <v>32</v>
      </c>
      <c r="E275" s="74">
        <v>6.4000000000000001E-2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1475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29</v>
      </c>
      <c r="E277" s="109">
        <f>D277/C277</f>
        <v>0.1070110701107011</v>
      </c>
      <c r="F277" s="148"/>
    </row>
    <row r="278" spans="2:6" ht="15.75" thickBot="1" x14ac:dyDescent="0.3">
      <c r="B278" s="116" t="s">
        <v>1070</v>
      </c>
      <c r="C278" s="117">
        <f>COSEIDIcam</f>
        <v>229</v>
      </c>
      <c r="D278" s="117">
        <v>34</v>
      </c>
      <c r="E278" s="118">
        <f>D278/C278</f>
        <v>0.14847161572052403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1475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500</v>
      </c>
      <c r="D281" s="105"/>
      <c r="E281" s="110"/>
      <c r="F281" s="147">
        <v>45864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1474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1475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229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1475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500</v>
      </c>
      <c r="D292" s="105"/>
      <c r="E292" s="110"/>
      <c r="F292" s="147">
        <v>45865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1474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1475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229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1475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500</v>
      </c>
      <c r="D303" s="105"/>
      <c r="E303" s="110"/>
      <c r="F303" s="147">
        <v>45866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1474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1475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f>D310/C310</f>
        <v>0</v>
      </c>
      <c r="F310" s="148"/>
    </row>
    <row r="311" spans="2:6" ht="15.75" thickBot="1" x14ac:dyDescent="0.3">
      <c r="B311" s="116" t="s">
        <v>1070</v>
      </c>
      <c r="C311" s="117">
        <f>COSEIDIcam</f>
        <v>229</v>
      </c>
      <c r="D311" s="117">
        <v>0</v>
      </c>
      <c r="E311" s="118">
        <f>D311/C311</f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1475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500</v>
      </c>
      <c r="D314" s="105"/>
      <c r="E314" s="110"/>
      <c r="F314" s="147">
        <v>45867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1474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1475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f>D321/C321</f>
        <v>0</v>
      </c>
      <c r="F321" s="148"/>
    </row>
    <row r="322" spans="2:6" ht="15.75" thickBot="1" x14ac:dyDescent="0.3">
      <c r="B322" s="116" t="s">
        <v>1070</v>
      </c>
      <c r="C322" s="117">
        <f>COSEIDIcam</f>
        <v>229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1475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500</v>
      </c>
      <c r="D325" s="105"/>
      <c r="E325" s="110"/>
      <c r="F325" s="147">
        <v>45868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1474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1475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f>D332/C332</f>
        <v>0</v>
      </c>
      <c r="F332" s="148"/>
    </row>
    <row r="333" spans="2:6" ht="15.75" thickBot="1" x14ac:dyDescent="0.3">
      <c r="B333" s="116" t="s">
        <v>1070</v>
      </c>
      <c r="C333" s="117">
        <f>COSEIDIcam</f>
        <v>229</v>
      </c>
      <c r="D333" s="117">
        <v>0</v>
      </c>
      <c r="E333" s="118">
        <f>D333/C333</f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1475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500</v>
      </c>
      <c r="D336" s="105"/>
      <c r="E336" s="110"/>
      <c r="F336" s="147">
        <v>45869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1474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1475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229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 t="str">
        <f>'RESUMEN TOTAL'!M10</f>
        <v>APAGADO</v>
      </c>
      <c r="H7" s="70" t="str">
        <f>'RESUMEN TOTAL'!N10</f>
        <v>APAGADO</v>
      </c>
      <c r="I7" s="70" t="str">
        <f>'RESUMEN TOTAL'!O10</f>
        <v>APAGADO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 t="str">
        <f>'RESUMEN TOTAL'!O11</f>
        <v>APAGADO</v>
      </c>
      <c r="J8" s="70" t="str">
        <f>'RESUMEN TOTAL'!P11</f>
        <v>APAGADO</v>
      </c>
      <c r="K8" s="70">
        <f>'RESUMEN TOTAL'!Q11</f>
        <v>0</v>
      </c>
      <c r="L8" s="70" t="str">
        <f>'RESUMEN TOTAL'!R11</f>
        <v>APAGADO</v>
      </c>
      <c r="M8" s="70" t="str">
        <f>'RESUMEN TOTAL'!S11</f>
        <v>APAGADO</v>
      </c>
      <c r="N8" s="70">
        <f>'RESUMEN TOTAL'!T11</f>
        <v>0</v>
      </c>
      <c r="O8" s="70" t="str">
        <f>'RESUMEN TOTAL'!U11</f>
        <v>APAGADO</v>
      </c>
      <c r="P8" s="70" t="str">
        <f>'RESUMEN TOTAL'!V11</f>
        <v>APAGADO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 t="str">
        <f>'RESUMEN TOTAL'!Z11</f>
        <v>APAGADO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 t="str">
        <f>'RESUMEN TOTAL'!AJ11</f>
        <v>APAGADO</v>
      </c>
      <c r="AE8" s="70" t="str">
        <f>'RESUMEN TOTAL'!AK11</f>
        <v>APAGADO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>
        <f>'RESUMEN TOTAL'!L17</f>
        <v>0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1544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 t="str">
        <f>'RESUMEN TOTAL'!W19</f>
        <v>APAGADO</v>
      </c>
      <c r="R16" s="70" t="str">
        <f>'RESUMEN TOTAL'!X19</f>
        <v>APAGADO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 t="str">
        <f>'RESUMEN TOTAL'!AG19</f>
        <v>APAGADO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 t="str">
        <f>'RESUMEN TOTAL'!L23</f>
        <v>APAGADO</v>
      </c>
      <c r="G19" s="70" t="str">
        <f>'RESUMEN TOTAL'!M23</f>
        <v>APAGADO</v>
      </c>
      <c r="H19" s="70" t="str">
        <f>'RESUMEN TOTAL'!N23</f>
        <v>APAGADO</v>
      </c>
      <c r="I19" s="70" t="str">
        <f>'RESUMEN TOTAL'!O23</f>
        <v>APAGADO</v>
      </c>
      <c r="J19" s="70" t="str">
        <f>'RESUMEN TOTAL'!P23</f>
        <v>APAGADO</v>
      </c>
      <c r="K19" s="70" t="str">
        <f>'RESUMEN TOTAL'!Q23</f>
        <v>APAGADO</v>
      </c>
      <c r="L19" s="70" t="str">
        <f>'RESUMEN TOTAL'!R23</f>
        <v>APAGADO</v>
      </c>
      <c r="M19" s="70" t="str">
        <f>'RESUMEN TOTAL'!S23</f>
        <v>APAGADO</v>
      </c>
      <c r="N19" s="70" t="str">
        <f>'RESUMEN TOTAL'!T23</f>
        <v>APAGADO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 t="str">
        <f>'RESUMEN TOTAL'!L24</f>
        <v>APAGADO</v>
      </c>
      <c r="G20" s="70" t="str">
        <f>'RESUMEN TOTAL'!M24</f>
        <v>APAGADO</v>
      </c>
      <c r="H20" s="70" t="str">
        <f>'RESUMEN TOTAL'!N24</f>
        <v>APAGADO</v>
      </c>
      <c r="I20" s="70" t="str">
        <f>'RESUMEN TOTAL'!O24</f>
        <v>APAGADO</v>
      </c>
      <c r="J20" s="70" t="str">
        <f>'RESUMEN TOTAL'!P24</f>
        <v>APAGADO</v>
      </c>
      <c r="K20" s="70" t="str">
        <f>'RESUMEN TOTAL'!Q24</f>
        <v>APAGADO</v>
      </c>
      <c r="L20" s="70" t="str">
        <f>'RESUMEN TOTAL'!R24</f>
        <v>APAGADO</v>
      </c>
      <c r="M20" s="70" t="str">
        <f>'RESUMEN TOTAL'!S24</f>
        <v>APAGADO</v>
      </c>
      <c r="N20" s="70" t="str">
        <f>'RESUMEN TOTAL'!T24</f>
        <v>APAGADO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 t="str">
        <f>'RESUMEN TOTAL'!L25</f>
        <v>APAGADO</v>
      </c>
      <c r="G21" s="70" t="str">
        <f>'RESUMEN TOTAL'!M25</f>
        <v>APAGADO</v>
      </c>
      <c r="H21" s="70" t="str">
        <f>'RESUMEN TOTAL'!N25</f>
        <v>APAGADO</v>
      </c>
      <c r="I21" s="70" t="str">
        <f>'RESUMEN TOTAL'!O25</f>
        <v>APAGADO</v>
      </c>
      <c r="J21" s="70" t="str">
        <f>'RESUMEN TOTAL'!P25</f>
        <v>APAGADO</v>
      </c>
      <c r="K21" s="70" t="str">
        <f>'RESUMEN TOTAL'!Q25</f>
        <v>APAGADO</v>
      </c>
      <c r="L21" s="70" t="str">
        <f>'RESUMEN TOTAL'!R25</f>
        <v>APAGADO</v>
      </c>
      <c r="M21" s="70" t="str">
        <f>'RESUMEN TOTAL'!S25</f>
        <v>APAGADO</v>
      </c>
      <c r="N21" s="70" t="str">
        <f>'RESUMEN TOTAL'!T25</f>
        <v>APAGADO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 t="str">
        <f>'RESUMEN TOTAL'!AI25</f>
        <v>APAGADO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 t="str">
        <f>'RESUMEN TOTAL'!L26</f>
        <v>APAGADO</v>
      </c>
      <c r="G22" s="70" t="str">
        <f>'RESUMEN TOTAL'!M26</f>
        <v>APAGADO</v>
      </c>
      <c r="H22" s="70" t="str">
        <f>'RESUMEN TOTAL'!N26</f>
        <v>APAGADO</v>
      </c>
      <c r="I22" s="70" t="str">
        <f>'RESUMEN TOTAL'!O26</f>
        <v>APAGADO</v>
      </c>
      <c r="J22" s="70" t="str">
        <f>'RESUMEN TOTAL'!P26</f>
        <v>APAGADO</v>
      </c>
      <c r="K22" s="70" t="str">
        <f>'RESUMEN TOTAL'!Q26</f>
        <v>APAGADO</v>
      </c>
      <c r="L22" s="70" t="str">
        <f>'RESUMEN TOTAL'!R26</f>
        <v>APAGADO</v>
      </c>
      <c r="M22" s="70" t="str">
        <f>'RESUMEN TOTAL'!S26</f>
        <v>APAGADO</v>
      </c>
      <c r="N22" s="70" t="str">
        <f>'RESUMEN TOTAL'!T26</f>
        <v>APAGADO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 t="str">
        <f>'RESUMEN TOTAL'!AI26</f>
        <v>APAGADO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 t="str">
        <f>'RESUMEN TOTAL'!O27</f>
        <v>APAGADO</v>
      </c>
      <c r="J23" s="70" t="str">
        <f>'RESUMEN TOTAL'!P27</f>
        <v>APAGADO</v>
      </c>
      <c r="K23" s="70" t="str">
        <f>'RESUMEN TOTAL'!Q27</f>
        <v>APAGADO</v>
      </c>
      <c r="L23" s="70" t="str">
        <f>'RESUMEN TOTAL'!R27</f>
        <v>APAGADO</v>
      </c>
      <c r="M23" s="70" t="str">
        <f>'RESUMEN TOTAL'!S27</f>
        <v>APAGADO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 t="str">
        <f>'RESUMEN TOTAL'!O28</f>
        <v>APAGADO</v>
      </c>
      <c r="J24" s="70" t="str">
        <f>'RESUMEN TOTAL'!P28</f>
        <v>APAGADO</v>
      </c>
      <c r="K24" s="70" t="str">
        <f>'RESUMEN TOTAL'!Q28</f>
        <v>APAGADO</v>
      </c>
      <c r="L24" s="70" t="str">
        <f>'RESUMEN TOTAL'!R28</f>
        <v>APAGADO</v>
      </c>
      <c r="M24" s="70" t="str">
        <f>'RESUMEN TOTAL'!S28</f>
        <v>APAGADO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>
        <f>'RESUMEN TOTAL'!L39</f>
        <v>0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 t="str">
        <f>'RESUMEN TOTAL'!M40</f>
        <v>APAGADO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 t="str">
        <f>'RESUMEN TOTAL'!AF40</f>
        <v>APAGADO</v>
      </c>
      <c r="AA30" s="70" t="str">
        <f>'RESUMEN TOTAL'!AG40</f>
        <v>APAGADO</v>
      </c>
      <c r="AB30" s="70" t="str">
        <f>'RESUMEN TOTAL'!AH40</f>
        <v>APAGADO</v>
      </c>
      <c r="AC30" s="70" t="str">
        <f>'RESUMEN TOTAL'!AI40</f>
        <v>APAGADO</v>
      </c>
      <c r="AD30" s="70" t="str">
        <f>'RESUMEN TOTAL'!AJ40</f>
        <v>APAGADO</v>
      </c>
      <c r="AE30" s="70" t="str">
        <f>'RESUMEN TOTAL'!AK40</f>
        <v>APAGADO</v>
      </c>
      <c r="AF30" s="70" t="str">
        <f>'RESUMEN TOTAL'!AL40</f>
        <v>APAGADO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 t="str">
        <f>'RESUMEN TOTAL'!P46</f>
        <v>APAGADO</v>
      </c>
      <c r="K36" s="70">
        <f>'RESUMEN TOTAL'!Q46</f>
        <v>0</v>
      </c>
      <c r="L36" s="70" t="str">
        <f>'RESUMEN TOTAL'!R46</f>
        <v>APAGADO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 t="str">
        <f>'RESUMEN TOTAL'!P52</f>
        <v>APAGADO</v>
      </c>
      <c r="K42" s="70">
        <f>'RESUMEN TOTAL'!Q52</f>
        <v>0</v>
      </c>
      <c r="L42" s="70" t="str">
        <f>'RESUMEN TOTAL'!R52</f>
        <v>APAGADO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>
        <f>'RESUMEN TOTAL'!L54</f>
        <v>0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 t="str">
        <f>'RESUMEN TOTAL'!T54</f>
        <v>APAGADO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 t="str">
        <f>'RESUMEN TOTAL'!M55</f>
        <v>APAGADO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 t="str">
        <f>'RESUMEN TOTAL'!AF55</f>
        <v>APAGADO</v>
      </c>
      <c r="AA45" s="70" t="str">
        <f>'RESUMEN TOTAL'!AG55</f>
        <v>APAGADO</v>
      </c>
      <c r="AB45" s="70" t="str">
        <f>'RESUMEN TOTAL'!AH55</f>
        <v>APAGADO</v>
      </c>
      <c r="AC45" s="70" t="str">
        <f>'RESUMEN TOTAL'!AI55</f>
        <v>APAGADO</v>
      </c>
      <c r="AD45" s="70" t="str">
        <f>'RESUMEN TOTAL'!AJ55</f>
        <v>APAGADO</v>
      </c>
      <c r="AE45" s="70" t="str">
        <f>'RESUMEN TOTAL'!AK55</f>
        <v>APAGADO</v>
      </c>
      <c r="AF45" s="70" t="str">
        <f>'RESUMEN TOTAL'!AL55</f>
        <v>APAGADO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 t="str">
        <f>'RESUMEN TOTAL'!L56</f>
        <v>APAGADO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 t="str">
        <f>'RESUMEN TOTAL'!T56</f>
        <v>APAGADO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 t="str">
        <f>'RESUMEN TOTAL'!R57</f>
        <v>APAGADO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>
        <f>'RESUMEN TOTAL'!L58</f>
        <v>0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 t="str">
        <f>'RESUMEN TOTAL'!P58</f>
        <v>APAGADO</v>
      </c>
      <c r="K48" s="70">
        <f>'RESUMEN TOTAL'!Q58</f>
        <v>0</v>
      </c>
      <c r="L48" s="70" t="str">
        <f>'RESUMEN TOTAL'!R58</f>
        <v>APAGADO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 t="str">
        <f>'RESUMEN TOTAL'!AF58</f>
        <v>APAGADO</v>
      </c>
      <c r="AA48" s="70" t="str">
        <f>'RESUMEN TOTAL'!AG58</f>
        <v>APAGADO</v>
      </c>
      <c r="AB48" s="70" t="str">
        <f>'RESUMEN TOTAL'!AH58</f>
        <v>APAGADO</v>
      </c>
      <c r="AC48" s="70" t="str">
        <f>'RESUMEN TOTAL'!AI58</f>
        <v>APAGADO</v>
      </c>
      <c r="AD48" s="70" t="str">
        <f>'RESUMEN TOTAL'!AJ58</f>
        <v>APAGADO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 t="str">
        <f>'RESUMEN TOTAL'!L59</f>
        <v>APAGADO</v>
      </c>
      <c r="G49" s="70" t="str">
        <f>'RESUMEN TOTAL'!M59</f>
        <v>APAGADO</v>
      </c>
      <c r="H49" s="70" t="str">
        <f>'RESUMEN TOTAL'!N59</f>
        <v>APAGADO</v>
      </c>
      <c r="I49" s="70" t="str">
        <f>'RESUMEN TOTAL'!O59</f>
        <v>APAGADO</v>
      </c>
      <c r="J49" s="70" t="str">
        <f>'RESUMEN TOTAL'!P59</f>
        <v>APAGADO</v>
      </c>
      <c r="K49" s="70" t="str">
        <f>'RESUMEN TOTAL'!Q59</f>
        <v>APAGADO</v>
      </c>
      <c r="L49" s="70" t="str">
        <f>'RESUMEN TOTAL'!R59</f>
        <v>APAGADO</v>
      </c>
      <c r="M49" s="70" t="str">
        <f>'RESUMEN TOTAL'!S59</f>
        <v>APAGADO</v>
      </c>
      <c r="N49" s="70" t="str">
        <f>'RESUMEN TOTAL'!T59</f>
        <v>APAGADO</v>
      </c>
      <c r="O49" s="70" t="str">
        <f>'RESUMEN TOTAL'!U59</f>
        <v>APAGADO</v>
      </c>
      <c r="P49" s="70" t="str">
        <f>'RESUMEN TOTAL'!V59</f>
        <v>APAGADO</v>
      </c>
      <c r="Q49" s="70" t="str">
        <f>'RESUMEN TOTAL'!W59</f>
        <v>APAGADO</v>
      </c>
      <c r="R49" s="70" t="str">
        <f>'RESUMEN TOTAL'!X59</f>
        <v>APAGADO</v>
      </c>
      <c r="S49" s="70" t="str">
        <f>'RESUMEN TOTAL'!Y59</f>
        <v>APAGADO</v>
      </c>
      <c r="T49" s="70" t="str">
        <f>'RESUMEN TOTAL'!Z59</f>
        <v>APAGADO</v>
      </c>
      <c r="U49" s="70" t="str">
        <f>'RESUMEN TOTAL'!AA59</f>
        <v>APAGADO</v>
      </c>
      <c r="V49" s="70" t="str">
        <f>'RESUMEN TOTAL'!AB59</f>
        <v>APAGADO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 t="str">
        <f>'RESUMEN TOTAL'!P60</f>
        <v>APAGADO</v>
      </c>
      <c r="K50" s="70">
        <f>'RESUMEN TOTAL'!Q60</f>
        <v>0</v>
      </c>
      <c r="L50" s="70" t="str">
        <f>'RESUMEN TOTAL'!R60</f>
        <v>APAGADO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 t="str">
        <f>'RESUMEN TOTAL'!P61</f>
        <v>APAGADO</v>
      </c>
      <c r="K51" s="70">
        <f>'RESUMEN TOTAL'!Q61</f>
        <v>0</v>
      </c>
      <c r="L51" s="70" t="str">
        <f>'RESUMEN TOTAL'!R61</f>
        <v>APAGADO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 t="str">
        <f>'RESUMEN TOTAL'!P62</f>
        <v>APAGADO</v>
      </c>
      <c r="K52" s="70">
        <f>'RESUMEN TOTAL'!Q62</f>
        <v>0</v>
      </c>
      <c r="L52" s="70" t="str">
        <f>'RESUMEN TOTAL'!R62</f>
        <v>APAGADO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 t="str">
        <f>'RESUMEN TOTAL'!P63</f>
        <v>APAGADO</v>
      </c>
      <c r="K53" s="70">
        <f>'RESUMEN TOTAL'!Q63</f>
        <v>0</v>
      </c>
      <c r="L53" s="70" t="str">
        <f>'RESUMEN TOTAL'!R63</f>
        <v>APAGADO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 t="str">
        <f>'RESUMEN TOTAL'!P64</f>
        <v>APAGADO</v>
      </c>
      <c r="K54" s="70">
        <f>'RESUMEN TOTAL'!Q64</f>
        <v>0</v>
      </c>
      <c r="L54" s="70" t="str">
        <f>'RESUMEN TOTAL'!R64</f>
        <v>APAGADO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 t="str">
        <f>'RESUMEN TOTAL'!P65</f>
        <v>APAGADO</v>
      </c>
      <c r="K55" s="70">
        <f>'RESUMEN TOTAL'!Q65</f>
        <v>0</v>
      </c>
      <c r="L55" s="70" t="str">
        <f>'RESUMEN TOTAL'!R65</f>
        <v>APAGADO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 t="str">
        <f>'RESUMEN TOTAL'!P66</f>
        <v>APAGADO</v>
      </c>
      <c r="K56" s="70">
        <f>'RESUMEN TOTAL'!Q66</f>
        <v>0</v>
      </c>
      <c r="L56" s="70" t="str">
        <f>'RESUMEN TOTAL'!R66</f>
        <v>APAGADO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>
        <f>'RESUMEN TOTAL'!L70</f>
        <v>0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>
        <f>'RESUMEN TOTAL'!L72</f>
        <v>0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 t="str">
        <f>'RESUMEN TOTAL'!AA72</f>
        <v>APAGADO</v>
      </c>
      <c r="V62" s="70" t="str">
        <f>'RESUMEN TOTAL'!AB72</f>
        <v>APAGADO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 t="str">
        <f>'RESUMEN TOTAL'!AI72</f>
        <v>APAGADO</v>
      </c>
      <c r="AD62" s="70">
        <f>'RESUMEN TOTAL'!AJ72</f>
        <v>0</v>
      </c>
      <c r="AE62" s="70" t="str">
        <f>'RESUMEN TOTAL'!AK72</f>
        <v>APAGADO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 t="str">
        <f>'RESUMEN TOTAL'!Z75</f>
        <v>APAGADO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 t="str">
        <f>'RESUMEN TOTAL'!L76</f>
        <v>APAGADO</v>
      </c>
      <c r="G66" s="70" t="str">
        <f>'RESUMEN TOTAL'!M76</f>
        <v>APAGADO</v>
      </c>
      <c r="H66" s="70" t="str">
        <f>'RESUMEN TOTAL'!N76</f>
        <v>APAGADO</v>
      </c>
      <c r="I66" s="70">
        <f>'RESUMEN TOTAL'!O76</f>
        <v>0</v>
      </c>
      <c r="J66" s="70" t="str">
        <f>'RESUMEN TOTAL'!P76</f>
        <v>APAGADO</v>
      </c>
      <c r="K66" s="70" t="str">
        <f>'RESUMEN TOTAL'!Q76</f>
        <v>APAGADO</v>
      </c>
      <c r="L66" s="70" t="str">
        <f>'RESUMEN TOTAL'!R76</f>
        <v>APAGADO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 t="str">
        <f>'RESUMEN TOTAL'!P77</f>
        <v>APAGADO</v>
      </c>
      <c r="K67" s="70">
        <f>'RESUMEN TOTAL'!Q77</f>
        <v>0</v>
      </c>
      <c r="L67" s="70" t="str">
        <f>'RESUMEN TOTAL'!R77</f>
        <v>APAGADO</v>
      </c>
      <c r="M67" s="70">
        <f>'RESUMEN TOTAL'!S77</f>
        <v>0</v>
      </c>
      <c r="N67" s="70">
        <f>'RESUMEN TOTAL'!T77</f>
        <v>0</v>
      </c>
      <c r="O67" s="70" t="str">
        <f>'RESUMEN TOTAL'!U77</f>
        <v>APAGADO</v>
      </c>
      <c r="P67" s="70" t="str">
        <f>'RESUMEN TOTAL'!V77</f>
        <v>APAGADO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 t="str">
        <f>'RESUMEN TOTAL'!AG77</f>
        <v>APAGADO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 t="str">
        <f>'RESUMEN TOTAL'!AK77</f>
        <v>APAGADO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 t="str">
        <f>'RESUMEN TOTAL'!P78</f>
        <v>APAGADO</v>
      </c>
      <c r="K68" s="70">
        <f>'RESUMEN TOTAL'!Q78</f>
        <v>0</v>
      </c>
      <c r="L68" s="70" t="str">
        <f>'RESUMEN TOTAL'!R78</f>
        <v>APAGADO</v>
      </c>
      <c r="M68" s="70">
        <f>'RESUMEN TOTAL'!S78</f>
        <v>0</v>
      </c>
      <c r="N68" s="70">
        <f>'RESUMEN TOTAL'!T78</f>
        <v>0</v>
      </c>
      <c r="O68" s="70" t="str">
        <f>'RESUMEN TOTAL'!U78</f>
        <v>APAGADO</v>
      </c>
      <c r="P68" s="70" t="str">
        <f>'RESUMEN TOTAL'!V78</f>
        <v>APAGADO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 t="str">
        <f>'RESUMEN TOTAL'!R81</f>
        <v>APAGADO</v>
      </c>
      <c r="M71" s="70">
        <f>'RESUMEN TOTAL'!S81</f>
        <v>0</v>
      </c>
      <c r="N71" s="70">
        <f>'RESUMEN TOTAL'!T81</f>
        <v>0</v>
      </c>
      <c r="O71" s="70" t="str">
        <f>'RESUMEN TOTAL'!U81</f>
        <v>APAGADO</v>
      </c>
      <c r="P71" s="70" t="str">
        <f>'RESUMEN TOTAL'!V81</f>
        <v>APAGADO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 t="str">
        <f>'RESUMEN TOTAL'!AH82</f>
        <v>APAGADO</v>
      </c>
      <c r="AC72" s="70" t="str">
        <f>'RESUMEN TOTAL'!AI82</f>
        <v>APAGADO</v>
      </c>
      <c r="AD72" s="70" t="str">
        <f>'RESUMEN TOTAL'!AJ82</f>
        <v>APAGADO</v>
      </c>
      <c r="AE72" s="70" t="str">
        <f>'RESUMEN TOTAL'!AK82</f>
        <v>APAGADO</v>
      </c>
      <c r="AF72" s="70" t="str">
        <f>'RESUMEN TOTAL'!AL82</f>
        <v>APAGADO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>
        <f>'RESUMEN TOTAL'!L85</f>
        <v>0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 t="str">
        <f>'RESUMEN TOTAL'!L87</f>
        <v>APAGADO</v>
      </c>
      <c r="G77" s="70" t="str">
        <f>'RESUMEN TOTAL'!M87</f>
        <v>APAGADO</v>
      </c>
      <c r="H77" s="70" t="str">
        <f>'RESUMEN TOTAL'!N87</f>
        <v>APAGADO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 t="str">
        <f>'RESUMEN TOTAL'!AH87</f>
        <v>APAGADO</v>
      </c>
      <c r="AC77" s="70" t="str">
        <f>'RESUMEN TOTAL'!AI87</f>
        <v>APAGADO</v>
      </c>
      <c r="AD77" s="70" t="str">
        <f>'RESUMEN TOTAL'!AJ87</f>
        <v>APAGADO</v>
      </c>
      <c r="AE77" s="70" t="str">
        <f>'RESUMEN TOTAL'!AK87</f>
        <v>APAGADO</v>
      </c>
      <c r="AF77" s="70" t="str">
        <f>'RESUMEN TOTAL'!AL87</f>
        <v>APAGADO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>
        <f>'RESUMEN TOTAL'!L88</f>
        <v>0</v>
      </c>
      <c r="G78" s="70" t="str">
        <f>'RESUMEN TOTAL'!M88</f>
        <v>APAGADO</v>
      </c>
      <c r="H78" s="70" t="str">
        <f>'RESUMEN TOTAL'!N88</f>
        <v>APAGADO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 t="str">
        <f>'RESUMEN TOTAL'!AH88</f>
        <v>APAGADO</v>
      </c>
      <c r="AC78" s="70" t="str">
        <f>'RESUMEN TOTAL'!AI88</f>
        <v>APAGADO</v>
      </c>
      <c r="AD78" s="70" t="str">
        <f>'RESUMEN TOTAL'!AJ88</f>
        <v>APAGADO</v>
      </c>
      <c r="AE78" s="70" t="str">
        <f>'RESUMEN TOTAL'!AK88</f>
        <v>APAGADO</v>
      </c>
      <c r="AF78" s="70" t="str">
        <f>'RESUMEN TOTAL'!AL88</f>
        <v>APAGADO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>
        <f>'RESUMEN TOTAL'!L94</f>
        <v>0</v>
      </c>
      <c r="G84" s="70">
        <f>'RESUMEN TOTAL'!M94</f>
        <v>0</v>
      </c>
      <c r="H84" s="70">
        <f>'RESUMEN TOTAL'!N94</f>
        <v>0</v>
      </c>
      <c r="I84" s="70" t="str">
        <f>'RESUMEN TOTAL'!O94</f>
        <v>APAGADO</v>
      </c>
      <c r="J84" s="70" t="str">
        <f>'RESUMEN TOTAL'!P94</f>
        <v>APAGADO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>
        <f>'RESUMEN TOTAL'!L95</f>
        <v>0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 t="str">
        <f>'RESUMEN TOTAL'!L101</f>
        <v>APAGADO</v>
      </c>
      <c r="G91" s="70" t="str">
        <f>'RESUMEN TOTAL'!M101</f>
        <v>APAGADO</v>
      </c>
      <c r="H91" s="70" t="str">
        <f>'RESUMEN TOTAL'!N101</f>
        <v>APAGADO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 t="str">
        <f>'RESUMEN TOTAL'!L102</f>
        <v>APAGADO</v>
      </c>
      <c r="G92" s="70" t="str">
        <f>'RESUMEN TOTAL'!M102</f>
        <v>APAGADO</v>
      </c>
      <c r="H92" s="70" t="str">
        <f>'RESUMEN TOTAL'!N102</f>
        <v>APAGADO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>
        <f>'RESUMEN TOTAL'!L105</f>
        <v>0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 t="str">
        <f>'RESUMEN TOTAL'!AL105</f>
        <v>APAGADO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>
        <f>'RESUMEN TOTAL'!L106</f>
        <v>0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 t="str">
        <f>'RESUMEN TOTAL'!AL106</f>
        <v>APAGADO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>
        <f>'RESUMEN TOTAL'!L107</f>
        <v>0</v>
      </c>
      <c r="G97" s="70" t="str">
        <f>'RESUMEN TOTAL'!M107</f>
        <v>APAGADO</v>
      </c>
      <c r="H97" s="70" t="str">
        <f>'RESUMEN TOTAL'!N107</f>
        <v>APAGADO</v>
      </c>
      <c r="I97" s="70" t="str">
        <f>'RESUMEN TOTAL'!O107</f>
        <v>APAGADO</v>
      </c>
      <c r="J97" s="70" t="str">
        <f>'RESUMEN TOTAL'!P107</f>
        <v>APAGADO</v>
      </c>
      <c r="K97" s="70" t="str">
        <f>'RESUMEN TOTAL'!Q107</f>
        <v>APAGADO</v>
      </c>
      <c r="L97" s="70" t="str">
        <f>'RESUMEN TOTAL'!R107</f>
        <v>APAGADO</v>
      </c>
      <c r="M97" s="70" t="str">
        <f>'RESUMEN TOTAL'!S107</f>
        <v>APAGADO</v>
      </c>
      <c r="N97" s="70" t="str">
        <f>'RESUMEN TOTAL'!T107</f>
        <v>APAGADO</v>
      </c>
      <c r="O97" s="70" t="str">
        <f>'RESUMEN TOTAL'!U107</f>
        <v>APAGADO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>
        <f>'RESUMEN TOTAL'!L108</f>
        <v>0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 t="str">
        <f>'RESUMEN TOTAL'!X109</f>
        <v>APAGADO</v>
      </c>
      <c r="S99" s="70">
        <f>'RESUMEN TOTAL'!Y109</f>
        <v>0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 t="str">
        <f>'RESUMEN TOTAL'!AE109</f>
        <v>APAGADO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 t="str">
        <f>'RESUMEN TOTAL'!P110</f>
        <v>APAGADO</v>
      </c>
      <c r="K100" s="70">
        <f>'RESUMEN TOTAL'!Q110</f>
        <v>0</v>
      </c>
      <c r="L100" s="70" t="str">
        <f>'RESUMEN TOTAL'!R110</f>
        <v>APAGADO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 t="str">
        <f>'RESUMEN TOTAL'!P111</f>
        <v>APAGADO</v>
      </c>
      <c r="K101" s="70">
        <f>'RESUMEN TOTAL'!Q111</f>
        <v>0</v>
      </c>
      <c r="L101" s="70" t="str">
        <f>'RESUMEN TOTAL'!R111</f>
        <v>APAGADO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 t="str">
        <f>'RESUMEN TOTAL'!P112</f>
        <v>APAGADO</v>
      </c>
      <c r="K102" s="70">
        <f>'RESUMEN TOTAL'!Q112</f>
        <v>0</v>
      </c>
      <c r="L102" s="70" t="str">
        <f>'RESUMEN TOTAL'!R112</f>
        <v>APAGADO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 t="str">
        <f>'RESUMEN TOTAL'!M113</f>
        <v>APAGADO</v>
      </c>
      <c r="H103" s="70" t="str">
        <f>'RESUMEN TOTAL'!N113</f>
        <v>APAGADO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 t="str">
        <f>'RESUMEN TOTAL'!AA113</f>
        <v>APAGADO</v>
      </c>
      <c r="V103" s="70" t="str">
        <f>'RESUMEN TOTAL'!AB113</f>
        <v>APAGADO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 t="str">
        <f>'RESUMEN TOTAL'!AI113</f>
        <v>APAGADO</v>
      </c>
      <c r="AD103" s="70">
        <f>'RESUMEN TOTAL'!AJ113</f>
        <v>0</v>
      </c>
      <c r="AE103" s="70" t="str">
        <f>'RESUMEN TOTAL'!AK113</f>
        <v>APAGADO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 t="str">
        <f>'RESUMEN TOTAL'!M114</f>
        <v>APAGADO</v>
      </c>
      <c r="H104" s="70" t="str">
        <f>'RESUMEN TOTAL'!N114</f>
        <v>APAGADO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 t="str">
        <f>'RESUMEN TOTAL'!AA114</f>
        <v>APAGADO</v>
      </c>
      <c r="V104" s="70" t="str">
        <f>'RESUMEN TOTAL'!AB114</f>
        <v>APAGADO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 t="str">
        <f>'RESUMEN TOTAL'!AI114</f>
        <v>APAGADO</v>
      </c>
      <c r="AD104" s="70">
        <f>'RESUMEN TOTAL'!AJ114</f>
        <v>0</v>
      </c>
      <c r="AE104" s="70" t="str">
        <f>'RESUMEN TOTAL'!AK114</f>
        <v>APAGADO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 t="str">
        <f>'RESUMEN TOTAL'!Z116</f>
        <v>APAGADO</v>
      </c>
      <c r="U106" s="70" t="str">
        <f>'RESUMEN TOTAL'!AA116</f>
        <v>APAGADO</v>
      </c>
      <c r="V106" s="70" t="str">
        <f>'RESUMEN TOTAL'!AB116</f>
        <v>APAGADO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 t="str">
        <f>'RESUMEN TOTAL'!AK116</f>
        <v>APAGADO</v>
      </c>
      <c r="AF106" s="70" t="str">
        <f>'RESUMEN TOTAL'!AL116</f>
        <v>APAGADO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 t="str">
        <f>'RESUMEN TOTAL'!AH118</f>
        <v>APAGADO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>
        <f>'RESUMEN TOTAL'!L119</f>
        <v>0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 t="str">
        <f>'RESUMEN TOTAL'!T128</f>
        <v>APAGADO</v>
      </c>
      <c r="O111" s="70" t="str">
        <f>'RESUMEN TOTAL'!U128</f>
        <v>APAGADO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 t="str">
        <f>'RESUMEN TOTAL'!M129</f>
        <v>APAGADO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>
        <f>'RESUMEN TOTAL'!U129</f>
        <v>0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 t="str">
        <f>'RESUMEN TOTAL'!AF129</f>
        <v>APAGADO</v>
      </c>
      <c r="AA112" s="70" t="str">
        <f>'RESUMEN TOTAL'!AG129</f>
        <v>APAGADO</v>
      </c>
      <c r="AB112" s="70" t="str">
        <f>'RESUMEN TOTAL'!AH129</f>
        <v>APAGADO</v>
      </c>
      <c r="AC112" s="70" t="str">
        <f>'RESUMEN TOTAL'!AI129</f>
        <v>APAGADO</v>
      </c>
      <c r="AD112" s="70" t="str">
        <f>'RESUMEN TOTAL'!AJ129</f>
        <v>APAGADO</v>
      </c>
      <c r="AE112" s="70" t="str">
        <f>'RESUMEN TOTAL'!AK129</f>
        <v>APAGADO</v>
      </c>
      <c r="AF112" s="70" t="str">
        <f>'RESUMEN TOTAL'!AL129</f>
        <v>APAGADO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>
        <f>'RESUMEN TOTAL'!L130</f>
        <v>0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>
        <f>'RESUMEN TOTAL'!L131</f>
        <v>0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 t="str">
        <f>'RESUMEN TOTAL'!M134</f>
        <v>APAGADO</v>
      </c>
      <c r="H117" s="70" t="str">
        <f>'RESUMEN TOTAL'!N134</f>
        <v>APAGADO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 t="str">
        <f>'RESUMEN TOTAL'!M136</f>
        <v>APAGADO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 t="str">
        <f>'RESUMEN TOTAL'!AF136</f>
        <v>APAGADO</v>
      </c>
      <c r="AA119" s="70" t="str">
        <f>'RESUMEN TOTAL'!AG136</f>
        <v>APAGADO</v>
      </c>
      <c r="AB119" s="70" t="str">
        <f>'RESUMEN TOTAL'!AH136</f>
        <v>APAGADO</v>
      </c>
      <c r="AC119" s="70" t="str">
        <f>'RESUMEN TOTAL'!AI136</f>
        <v>APAGADO</v>
      </c>
      <c r="AD119" s="70" t="str">
        <f>'RESUMEN TOTAL'!AJ136</f>
        <v>APAGADO</v>
      </c>
      <c r="AE119" s="70" t="str">
        <f>'RESUMEN TOTAL'!AK136</f>
        <v>APAGADO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 t="str">
        <f>'RESUMEN TOTAL'!AB137</f>
        <v>APAGADO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 t="str">
        <f>'RESUMEN TOTAL'!AB138</f>
        <v>APAGADO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 t="str">
        <f>'RESUMEN TOTAL'!M139</f>
        <v>APAGADO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 t="str">
        <f>'RESUMEN TOTAL'!AF139</f>
        <v>APAGADO</v>
      </c>
      <c r="AA122" s="70" t="str">
        <f>'RESUMEN TOTAL'!AG139</f>
        <v>APAGADO</v>
      </c>
      <c r="AB122" s="70" t="str">
        <f>'RESUMEN TOTAL'!AH139</f>
        <v>APAGADO</v>
      </c>
      <c r="AC122" s="70" t="str">
        <f>'RESUMEN TOTAL'!AI139</f>
        <v>APAGADO</v>
      </c>
      <c r="AD122" s="70" t="str">
        <f>'RESUMEN TOTAL'!AJ139</f>
        <v>APAGADO</v>
      </c>
      <c r="AE122" s="70" t="str">
        <f>'RESUMEN TOTAL'!AK139</f>
        <v>APAGADO</v>
      </c>
      <c r="AF122" s="70" t="str">
        <f>'RESUMEN TOTAL'!AL139</f>
        <v>APAGADO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 t="str">
        <f>'RESUMEN TOTAL'!M140</f>
        <v>APAGADO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 t="str">
        <f>'RESUMEN TOTAL'!AF140</f>
        <v>APAGADO</v>
      </c>
      <c r="AA123" s="70" t="str">
        <f>'RESUMEN TOTAL'!AG140</f>
        <v>APAGADO</v>
      </c>
      <c r="AB123" s="70" t="str">
        <f>'RESUMEN TOTAL'!AH140</f>
        <v>APAGADO</v>
      </c>
      <c r="AC123" s="70" t="str">
        <f>'RESUMEN TOTAL'!AI140</f>
        <v>APAGADO</v>
      </c>
      <c r="AD123" s="70" t="str">
        <f>'RESUMEN TOTAL'!AJ140</f>
        <v>APAGADO</v>
      </c>
      <c r="AE123" s="70" t="str">
        <f>'RESUMEN TOTAL'!AK140</f>
        <v>APAGADO</v>
      </c>
      <c r="AF123" s="70" t="str">
        <f>'RESUMEN TOTAL'!AL140</f>
        <v>APAGADO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 t="str">
        <f>'RESUMEN TOTAL'!AB141</f>
        <v>APAGADO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 t="str">
        <f>'RESUMEN TOTAL'!AB142</f>
        <v>APAGADO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 t="str">
        <f>'RESUMEN TOTAL'!P145</f>
        <v>APAGADO</v>
      </c>
      <c r="K126" s="70" t="str">
        <f>'RESUMEN TOTAL'!Q145</f>
        <v>APAGADO</v>
      </c>
      <c r="L126" s="70" t="str">
        <f>'RESUMEN TOTAL'!R145</f>
        <v>APAGADO</v>
      </c>
      <c r="M126" s="70" t="str">
        <f>'RESUMEN TOTAL'!S145</f>
        <v>APAGADO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 t="str">
        <f>'RESUMEN TOTAL'!P146</f>
        <v>APAGADO</v>
      </c>
      <c r="K127" s="70" t="str">
        <f>'RESUMEN TOTAL'!Q146</f>
        <v>APAGADO</v>
      </c>
      <c r="L127" s="70" t="str">
        <f>'RESUMEN TOTAL'!R146</f>
        <v>APAGADO</v>
      </c>
      <c r="M127" s="70" t="str">
        <f>'RESUMEN TOTAL'!S146</f>
        <v>APAGADO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 t="str">
        <f>'RESUMEN TOTAL'!P147</f>
        <v>APAGADO</v>
      </c>
      <c r="K128" s="70" t="str">
        <f>'RESUMEN TOTAL'!Q147</f>
        <v>APAGADO</v>
      </c>
      <c r="L128" s="70" t="str">
        <f>'RESUMEN TOTAL'!R147</f>
        <v>APAGADO</v>
      </c>
      <c r="M128" s="70" t="str">
        <f>'RESUMEN TOTAL'!S147</f>
        <v>APAGADO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 t="str">
        <f>'RESUMEN TOTAL'!P148</f>
        <v>APAGADO</v>
      </c>
      <c r="K129" s="70" t="str">
        <f>'RESUMEN TOTAL'!Q148</f>
        <v>APAGADO</v>
      </c>
      <c r="L129" s="70" t="str">
        <f>'RESUMEN TOTAL'!R148</f>
        <v>APAGADO</v>
      </c>
      <c r="M129" s="70" t="str">
        <f>'RESUMEN TOTAL'!S148</f>
        <v>APAGADO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 t="str">
        <f>'RESUMEN TOTAL'!AC150</f>
        <v>APAGADO</v>
      </c>
      <c r="X131" s="70">
        <f>'RESUMEN TOTAL'!AD150</f>
        <v>0</v>
      </c>
      <c r="Y131" s="70" t="str">
        <f>'RESUMEN TOTAL'!AE150</f>
        <v>APAGADO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 t="str">
        <f>'RESUMEN TOTAL'!AJ150</f>
        <v>APAGADO</v>
      </c>
      <c r="AE131" s="70" t="str">
        <f>'RESUMEN TOTAL'!AK150</f>
        <v>APAGADO</v>
      </c>
      <c r="AF131" s="70" t="str">
        <f>'RESUMEN TOTAL'!AL150</f>
        <v>APAGADO</v>
      </c>
      <c r="AG131" s="70">
        <f>'RESUMEN TOTAL'!AM150</f>
        <v>0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 t="str">
        <f>'RESUMEN TOTAL'!AC151</f>
        <v>APAGADO</v>
      </c>
      <c r="X132" s="70">
        <f>'RESUMEN TOTAL'!AD151</f>
        <v>0</v>
      </c>
      <c r="Y132" s="70" t="str">
        <f>'RESUMEN TOTAL'!AE151</f>
        <v>APAGADO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 t="str">
        <f>'RESUMEN TOTAL'!AJ151</f>
        <v>APAGADO</v>
      </c>
      <c r="AE132" s="70" t="str">
        <f>'RESUMEN TOTAL'!AK151</f>
        <v>APAGADO</v>
      </c>
      <c r="AF132" s="70" t="str">
        <f>'RESUMEN TOTAL'!AL151</f>
        <v>APAGADO</v>
      </c>
      <c r="AG132" s="70">
        <f>'RESUMEN TOTAL'!AM151</f>
        <v>0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 t="str">
        <f>'RESUMEN TOTAL'!AC155</f>
        <v>APAGADO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 t="str">
        <f>'RESUMEN TOTAL'!AJ155</f>
        <v>APAGADO</v>
      </c>
      <c r="AE136" s="70" t="str">
        <f>'RESUMEN TOTAL'!AK155</f>
        <v>APAGADO</v>
      </c>
      <c r="AF136" s="70" t="str">
        <f>'RESUMEN TOTAL'!AL155</f>
        <v>APAGADO</v>
      </c>
      <c r="AG136" s="70">
        <f>'RESUMEN TOTAL'!AM155</f>
        <v>0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 t="str">
        <f>'RESUMEN TOTAL'!AC159</f>
        <v>APAGADO</v>
      </c>
      <c r="X140" s="70">
        <f>'RESUMEN TOTAL'!AD159</f>
        <v>0</v>
      </c>
      <c r="Y140" s="70" t="str">
        <f>'RESUMEN TOTAL'!AE159</f>
        <v>APAGADO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 t="str">
        <f>'RESUMEN TOTAL'!AJ159</f>
        <v>APAGADO</v>
      </c>
      <c r="AE140" s="70" t="str">
        <f>'RESUMEN TOTAL'!AK159</f>
        <v>APAGADO</v>
      </c>
      <c r="AF140" s="70" t="str">
        <f>'RESUMEN TOTAL'!AL159</f>
        <v>APAGADO</v>
      </c>
      <c r="AG140" s="70">
        <f>'RESUMEN TOTAL'!AM159</f>
        <v>0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 t="str">
        <f>'RESUMEN TOTAL'!AC160</f>
        <v>APAGADO</v>
      </c>
      <c r="X141" s="70">
        <f>'RESUMEN TOTAL'!AD160</f>
        <v>0</v>
      </c>
      <c r="Y141" s="70" t="str">
        <f>'RESUMEN TOTAL'!AE160</f>
        <v>APAGADO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 t="str">
        <f>'RESUMEN TOTAL'!AJ160</f>
        <v>APAGADO</v>
      </c>
      <c r="AE141" s="70" t="str">
        <f>'RESUMEN TOTAL'!AK160</f>
        <v>APAGADO</v>
      </c>
      <c r="AF141" s="70" t="str">
        <f>'RESUMEN TOTAL'!AL160</f>
        <v>APAGADO</v>
      </c>
      <c r="AG141" s="70">
        <f>'RESUMEN TOTAL'!AM160</f>
        <v>0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 t="str">
        <f>'RESUMEN TOTAL'!AC161</f>
        <v>APAGADO</v>
      </c>
      <c r="X142" s="70">
        <f>'RESUMEN TOTAL'!AD161</f>
        <v>0</v>
      </c>
      <c r="Y142" s="70" t="str">
        <f>'RESUMEN TOTAL'!AE161</f>
        <v>APAGADO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 t="str">
        <f>'RESUMEN TOTAL'!AJ161</f>
        <v>APAGADO</v>
      </c>
      <c r="AE142" s="70" t="str">
        <f>'RESUMEN TOTAL'!AK161</f>
        <v>APAGADO</v>
      </c>
      <c r="AF142" s="70" t="str">
        <f>'RESUMEN TOTAL'!AL161</f>
        <v>APAGADO</v>
      </c>
      <c r="AG142" s="70">
        <f>'RESUMEN TOTAL'!AM161</f>
        <v>0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 t="str">
        <f>'RESUMEN TOTAL'!AC162</f>
        <v>APAGADO</v>
      </c>
      <c r="X143" s="70">
        <f>'RESUMEN TOTAL'!AD162</f>
        <v>0</v>
      </c>
      <c r="Y143" s="70" t="str">
        <f>'RESUMEN TOTAL'!AE162</f>
        <v>APAGADO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 t="str">
        <f>'RESUMEN TOTAL'!AJ162</f>
        <v>APAGADO</v>
      </c>
      <c r="AE143" s="70" t="str">
        <f>'RESUMEN TOTAL'!AK162</f>
        <v>APAGADO</v>
      </c>
      <c r="AF143" s="70" t="str">
        <f>'RESUMEN TOTAL'!AL162</f>
        <v>APAGADO</v>
      </c>
      <c r="AG143" s="70">
        <f>'RESUMEN TOTAL'!AM162</f>
        <v>0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>
        <f>'RESUMEN TOTAL'!L163</f>
        <v>0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>
        <f>'RESUMEN TOTAL'!L164</f>
        <v>0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 t="str">
        <f>'RESUMEN TOTAL'!P167</f>
        <v>APAGADO</v>
      </c>
      <c r="K146" s="70" t="str">
        <f>'RESUMEN TOTAL'!Q167</f>
        <v>APAGADO</v>
      </c>
      <c r="L146" s="70" t="str">
        <f>'RESUMEN TOTAL'!R167</f>
        <v>APAGADO</v>
      </c>
      <c r="M146" s="70" t="str">
        <f>'RESUMEN TOTAL'!S167</f>
        <v>APAGADO</v>
      </c>
      <c r="N146" s="70" t="str">
        <f>'RESUMEN TOTAL'!T167</f>
        <v>APAGADO</v>
      </c>
      <c r="O146" s="70" t="str">
        <f>'RESUMEN TOTAL'!U167</f>
        <v>APAGADO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 t="str">
        <f>'RESUMEN TOTAL'!P168</f>
        <v>APAGADO</v>
      </c>
      <c r="K147" s="70" t="str">
        <f>'RESUMEN TOTAL'!Q168</f>
        <v>APAGADO</v>
      </c>
      <c r="L147" s="70" t="str">
        <f>'RESUMEN TOTAL'!R168</f>
        <v>APAGADO</v>
      </c>
      <c r="M147" s="70" t="str">
        <f>'RESUMEN TOTAL'!S168</f>
        <v>APAGADO</v>
      </c>
      <c r="N147" s="70" t="str">
        <f>'RESUMEN TOTAL'!T168</f>
        <v>APAGADO</v>
      </c>
      <c r="O147" s="70" t="str">
        <f>'RESUMEN TOTAL'!U168</f>
        <v>APAGADO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 t="str">
        <f>'RESUMEN TOTAL'!M169</f>
        <v>APAGADO</v>
      </c>
      <c r="H148" s="70" t="str">
        <f>'RESUMEN TOTAL'!N169</f>
        <v>APAGADO</v>
      </c>
      <c r="I148" s="70" t="str">
        <f>'RESUMEN TOTAL'!O169</f>
        <v>APAGADO</v>
      </c>
      <c r="J148" s="70" t="str">
        <f>'RESUMEN TOTAL'!P169</f>
        <v>APAGADO</v>
      </c>
      <c r="K148" s="70" t="str">
        <f>'RESUMEN TOTAL'!Q169</f>
        <v>APAGADO</v>
      </c>
      <c r="L148" s="70" t="str">
        <f>'RESUMEN TOTAL'!R169</f>
        <v>APAGADO</v>
      </c>
      <c r="M148" s="70" t="str">
        <f>'RESUMEN TOTAL'!S169</f>
        <v>APAGADO</v>
      </c>
      <c r="N148" s="70" t="str">
        <f>'RESUMEN TOTAL'!T169</f>
        <v>APAGADO</v>
      </c>
      <c r="O148" s="70" t="str">
        <f>'RESUMEN TOTAL'!U169</f>
        <v>APAGADO</v>
      </c>
      <c r="P148" s="70" t="str">
        <f>'RESUMEN TOTAL'!V169</f>
        <v>APAGADO</v>
      </c>
      <c r="Q148" s="70" t="str">
        <f>'RESUMEN TOTAL'!W169</f>
        <v>APAGADO</v>
      </c>
      <c r="R148" s="70" t="str">
        <f>'RESUMEN TOTAL'!X169</f>
        <v>APAGADO</v>
      </c>
      <c r="S148" s="70" t="str">
        <f>'RESUMEN TOTAL'!Y169</f>
        <v>APAGADO</v>
      </c>
      <c r="T148" s="70" t="str">
        <f>'RESUMEN TOTAL'!Z169</f>
        <v>APAGADO</v>
      </c>
      <c r="U148" s="70" t="str">
        <f>'RESUMEN TOTAL'!AA169</f>
        <v>APAGADO</v>
      </c>
      <c r="V148" s="70" t="str">
        <f>'RESUMEN TOTAL'!AB169</f>
        <v>APAGADO</v>
      </c>
      <c r="W148" s="70" t="str">
        <f>'RESUMEN TOTAL'!AC169</f>
        <v>APAGADO</v>
      </c>
      <c r="X148" s="70" t="str">
        <f>'RESUMEN TOTAL'!AD169</f>
        <v>APAGADO</v>
      </c>
      <c r="Y148" s="70" t="str">
        <f>'RESUMEN TOTAL'!AE169</f>
        <v>APAGADO</v>
      </c>
      <c r="Z148" s="70">
        <f>'RESUMEN TOTAL'!AF169</f>
        <v>0</v>
      </c>
      <c r="AA148" s="70" t="str">
        <f>'RESUMEN TOTAL'!AG169</f>
        <v>APAGADO</v>
      </c>
      <c r="AB148" s="70" t="str">
        <f>'RESUMEN TOTAL'!AH169</f>
        <v>APAGADO</v>
      </c>
      <c r="AC148" s="70" t="str">
        <f>'RESUMEN TOTAL'!AI169</f>
        <v>APAGADO</v>
      </c>
      <c r="AD148" s="70" t="str">
        <f>'RESUMEN TOTAL'!AJ169</f>
        <v>APAGADO</v>
      </c>
      <c r="AE148" s="70" t="str">
        <f>'RESUMEN TOTAL'!AK169</f>
        <v>APAGADO</v>
      </c>
      <c r="AF148" s="70" t="str">
        <f>'RESUMEN TOTAL'!AL169</f>
        <v>APAGADO</v>
      </c>
      <c r="AG148" s="70">
        <f>'RESUMEN TOTAL'!AM169</f>
        <v>0</v>
      </c>
      <c r="AH148" s="70">
        <f>'RESUMEN TOTAL'!AN169</f>
        <v>0</v>
      </c>
      <c r="AI148" s="70">
        <f>'RESUMEN TOTAL'!AO169</f>
        <v>0</v>
      </c>
      <c r="AJ148" s="70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>
        <f>'RESUMEN TOTAL'!L171</f>
        <v>0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 t="str">
        <f>'RESUMEN TOTAL'!T172</f>
        <v>APAGADO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 t="str">
        <f>'RESUMEN TOTAL'!AB173</f>
        <v>APAGADO</v>
      </c>
      <c r="W152" s="70">
        <f>'RESUMEN TOTAL'!AC173</f>
        <v>0</v>
      </c>
      <c r="X152" s="70">
        <f>'RESUMEN TOTAL'!AD173</f>
        <v>0</v>
      </c>
      <c r="Y152" s="70" t="str">
        <f>'RESUMEN TOTAL'!AE173</f>
        <v>APAGADO</v>
      </c>
      <c r="Z152" s="70">
        <f>'RESUMEN TOTAL'!AF173</f>
        <v>0</v>
      </c>
      <c r="AA152" s="70">
        <f>'RESUMEN TOTAL'!AG173</f>
        <v>0</v>
      </c>
      <c r="AB152" s="70" t="str">
        <f>'RESUMEN TOTAL'!AH173</f>
        <v>APAGADO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 t="str">
        <f>'RESUMEN TOTAL'!T174</f>
        <v>APAGADO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 t="str">
        <f>'RESUMEN TOTAL'!AB174</f>
        <v>APAGADO</v>
      </c>
      <c r="W153" s="70">
        <f>'RESUMEN TOTAL'!AC174</f>
        <v>0</v>
      </c>
      <c r="X153" s="70">
        <f>'RESUMEN TOTAL'!AD174</f>
        <v>0</v>
      </c>
      <c r="Y153" s="70" t="str">
        <f>'RESUMEN TOTAL'!AE174</f>
        <v>APAGADO</v>
      </c>
      <c r="Z153" s="70">
        <f>'RESUMEN TOTAL'!AF174</f>
        <v>0</v>
      </c>
      <c r="AA153" s="70">
        <f>'RESUMEN TOTAL'!AG174</f>
        <v>0</v>
      </c>
      <c r="AB153" s="70" t="str">
        <f>'RESUMEN TOTAL'!AH174</f>
        <v>APAGADO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 t="str">
        <f>'RESUMEN TOTAL'!M175</f>
        <v>APAGADO</v>
      </c>
      <c r="H154" s="70" t="str">
        <f>'RESUMEN TOTAL'!N175</f>
        <v>APAGADO</v>
      </c>
      <c r="I154" s="70" t="str">
        <f>'RESUMEN TOTAL'!O175</f>
        <v>APAGADO</v>
      </c>
      <c r="J154" s="70" t="str">
        <f>'RESUMEN TOTAL'!P175</f>
        <v>APAGADO</v>
      </c>
      <c r="K154" s="70" t="str">
        <f>'RESUMEN TOTAL'!Q175</f>
        <v>APAGADO</v>
      </c>
      <c r="L154" s="70" t="str">
        <f>'RESUMEN TOTAL'!R175</f>
        <v>APAGADO</v>
      </c>
      <c r="M154" s="70" t="str">
        <f>'RESUMEN TOTAL'!S175</f>
        <v>APAGADO</v>
      </c>
      <c r="N154" s="70" t="str">
        <f>'RESUMEN TOTAL'!T175</f>
        <v>APAGADO</v>
      </c>
      <c r="O154" s="70" t="str">
        <f>'RESUMEN TOTAL'!U175</f>
        <v>APAGADO</v>
      </c>
      <c r="P154" s="70" t="str">
        <f>'RESUMEN TOTAL'!V175</f>
        <v>APAGADO</v>
      </c>
      <c r="Q154" s="70" t="str">
        <f>'RESUMEN TOTAL'!W175</f>
        <v>APAGADO</v>
      </c>
      <c r="R154" s="70" t="str">
        <f>'RESUMEN TOTAL'!X175</f>
        <v>APAGADO</v>
      </c>
      <c r="S154" s="70" t="str">
        <f>'RESUMEN TOTAL'!Y175</f>
        <v>APAGADO</v>
      </c>
      <c r="T154" s="70" t="str">
        <f>'RESUMEN TOTAL'!Z175</f>
        <v>APAGADO</v>
      </c>
      <c r="U154" s="70" t="str">
        <f>'RESUMEN TOTAL'!AA175</f>
        <v>APAGADO</v>
      </c>
      <c r="V154" s="70" t="str">
        <f>'RESUMEN TOTAL'!AB175</f>
        <v>APAGADO</v>
      </c>
      <c r="W154" s="70" t="str">
        <f>'RESUMEN TOTAL'!AC175</f>
        <v>APAGADO</v>
      </c>
      <c r="X154" s="70" t="str">
        <f>'RESUMEN TOTAL'!AD175</f>
        <v>APAGADO</v>
      </c>
      <c r="Y154" s="70" t="str">
        <f>'RESUMEN TOTAL'!AE175</f>
        <v>APAGADO</v>
      </c>
      <c r="Z154" s="70" t="str">
        <f>'RESUMEN TOTAL'!AF175</f>
        <v>APAGADO</v>
      </c>
      <c r="AA154" s="70" t="str">
        <f>'RESUMEN TOTAL'!AG175</f>
        <v>APAGADO</v>
      </c>
      <c r="AB154" s="70" t="str">
        <f>'RESUMEN TOTAL'!AH175</f>
        <v>APAGADO</v>
      </c>
      <c r="AC154" s="70" t="str">
        <f>'RESUMEN TOTAL'!AI175</f>
        <v>APAGADO</v>
      </c>
      <c r="AD154" s="70" t="str">
        <f>'RESUMEN TOTAL'!AJ175</f>
        <v>APAGADO</v>
      </c>
      <c r="AE154" s="70" t="str">
        <f>'RESUMEN TOTAL'!AK175</f>
        <v>APAGADO</v>
      </c>
      <c r="AF154" s="70" t="str">
        <f>'RESUMEN TOTAL'!AL175</f>
        <v>APAGADO</v>
      </c>
      <c r="AG154" s="70">
        <f>'RESUMEN TOTAL'!AM175</f>
        <v>0</v>
      </c>
      <c r="AH154" s="70">
        <f>'RESUMEN TOTAL'!AN175</f>
        <v>0</v>
      </c>
      <c r="AI154" s="70">
        <f>'RESUMEN TOTAL'!AO175</f>
        <v>0</v>
      </c>
      <c r="AJ154" s="70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>
        <f>'RESUMEN TOTAL'!L176</f>
        <v>0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 t="str">
        <f>'RESUMEN TOTAL'!AB176</f>
        <v>APAGADO</v>
      </c>
      <c r="W155" s="70" t="str">
        <f>'RESUMEN TOTAL'!AC176</f>
        <v>APAGADO</v>
      </c>
      <c r="X155" s="70" t="str">
        <f>'RESUMEN TOTAL'!AD176</f>
        <v>APAGADO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 t="str">
        <f>'RESUMEN TOTAL'!T177</f>
        <v>APAGADO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 t="str">
        <f>'RESUMEN TOTAL'!T178</f>
        <v>APAGADO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 t="str">
        <f>'RESUMEN TOTAL'!T180</f>
        <v>APAGADO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 t="str">
        <f>'RESUMEN TOTAL'!AB181</f>
        <v>APAGADO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 t="str">
        <f>'RESUMEN TOTAL'!AB182</f>
        <v>APAGADO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 t="str">
        <f>'RESUMEN TOTAL'!AB183</f>
        <v>APAGADO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 t="str">
        <f>'RESUMEN TOTAL'!AB184</f>
        <v>APAGADO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 t="str">
        <f>'RESUMEN TOTAL'!AB185</f>
        <v>APAGADO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 t="str">
        <f>'RESUMEN TOTAL'!AB186</f>
        <v>APAGADO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>
        <f>'RESUMEN TOTAL'!L188</f>
        <v>0</v>
      </c>
      <c r="G167" s="70">
        <f>'RESUMEN TOTAL'!M188</f>
        <v>0</v>
      </c>
      <c r="H167" s="70">
        <f>'RESUMEN TOTAL'!N188</f>
        <v>0</v>
      </c>
      <c r="I167" s="70" t="str">
        <f>'RESUMEN TOTAL'!O188</f>
        <v>APAGADO</v>
      </c>
      <c r="J167" s="70" t="str">
        <f>'RESUMEN TOTAL'!P188</f>
        <v>APAGADO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 t="str">
        <f>'RESUMEN TOTAL'!L190</f>
        <v>APAGADO</v>
      </c>
      <c r="G169" s="70" t="str">
        <f>'RESUMEN TOTAL'!M190</f>
        <v>APAGADO</v>
      </c>
      <c r="H169" s="70" t="str">
        <f>'RESUMEN TOTAL'!N190</f>
        <v>APAGADO</v>
      </c>
      <c r="I169" s="70" t="str">
        <f>'RESUMEN TOTAL'!O190</f>
        <v>APAGADO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>
        <f>'RESUMEN TOTAL'!L192</f>
        <v>0</v>
      </c>
      <c r="G170" s="70">
        <f>'RESUMEN TOTAL'!M192</f>
        <v>0</v>
      </c>
      <c r="H170" s="70">
        <f>'RESUMEN TOTAL'!N192</f>
        <v>0</v>
      </c>
      <c r="I170" s="70" t="str">
        <f>'RESUMEN TOTAL'!O192</f>
        <v>APAGADO</v>
      </c>
      <c r="J170" s="70">
        <f>'RESUMEN TOTAL'!P192</f>
        <v>0</v>
      </c>
      <c r="K170" s="70" t="str">
        <f>'RESUMEN TOTAL'!Q192</f>
        <v>APAGADO</v>
      </c>
      <c r="L170" s="70" t="str">
        <f>'RESUMEN TOTAL'!R192</f>
        <v>APAGADO</v>
      </c>
      <c r="M170" s="70" t="str">
        <f>'RESUMEN TOTAL'!S192</f>
        <v>APAGADO</v>
      </c>
      <c r="N170" s="70" t="str">
        <f>'RESUMEN TOTAL'!T192</f>
        <v>APAGADO</v>
      </c>
      <c r="O170" s="70" t="str">
        <f>'RESUMEN TOTAL'!U192</f>
        <v>APAGADO</v>
      </c>
      <c r="P170" s="70" t="str">
        <f>'RESUMEN TOTAL'!V192</f>
        <v>APAGADO</v>
      </c>
      <c r="Q170" s="70" t="str">
        <f>'RESUMEN TOTAL'!W192</f>
        <v>APAGADO</v>
      </c>
      <c r="R170" s="70" t="str">
        <f>'RESUMEN TOTAL'!X192</f>
        <v>APAGADO</v>
      </c>
      <c r="S170" s="70" t="str">
        <f>'RESUMEN TOTAL'!Y192</f>
        <v>APAGADO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 t="str">
        <f>'RESUMEN TOTAL'!AG192</f>
        <v>APAGADO</v>
      </c>
      <c r="AB170" s="70">
        <f>'RESUMEN TOTAL'!AH192</f>
        <v>0</v>
      </c>
      <c r="AC170" s="70">
        <f>'RESUMEN TOTAL'!AI192</f>
        <v>0</v>
      </c>
      <c r="AD170" s="70" t="str">
        <f>'RESUMEN TOTAL'!AJ192</f>
        <v>APAGADO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>
        <f>'RESUMEN TOTAL'!AO192</f>
        <v>0</v>
      </c>
      <c r="AJ170" s="70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>
        <f>'RESUMEN TOTAL'!L193</f>
        <v>0</v>
      </c>
      <c r="G171" s="70">
        <f>'RESUMEN TOTAL'!M193</f>
        <v>0</v>
      </c>
      <c r="H171" s="70">
        <f>'RESUMEN TOTAL'!N193</f>
        <v>0</v>
      </c>
      <c r="I171" s="70" t="str">
        <f>'RESUMEN TOTAL'!O193</f>
        <v>APAGADO</v>
      </c>
      <c r="J171" s="70">
        <f>'RESUMEN TOTAL'!P193</f>
        <v>0</v>
      </c>
      <c r="K171" s="70" t="str">
        <f>'RESUMEN TOTAL'!Q193</f>
        <v>APAGADO</v>
      </c>
      <c r="L171" s="70" t="str">
        <f>'RESUMEN TOTAL'!R193</f>
        <v>APAGADO</v>
      </c>
      <c r="M171" s="70" t="str">
        <f>'RESUMEN TOTAL'!S193</f>
        <v>APAGADO</v>
      </c>
      <c r="N171" s="70" t="str">
        <f>'RESUMEN TOTAL'!T193</f>
        <v>APAGADO</v>
      </c>
      <c r="O171" s="70" t="str">
        <f>'RESUMEN TOTAL'!U193</f>
        <v>APAGADO</v>
      </c>
      <c r="P171" s="70" t="str">
        <f>'RESUMEN TOTAL'!V193</f>
        <v>APAGADO</v>
      </c>
      <c r="Q171" s="70" t="str">
        <f>'RESUMEN TOTAL'!W193</f>
        <v>APAGADO</v>
      </c>
      <c r="R171" s="70" t="str">
        <f>'RESUMEN TOTAL'!X193</f>
        <v>APAGADO</v>
      </c>
      <c r="S171" s="70" t="str">
        <f>'RESUMEN TOTAL'!Y193</f>
        <v>APAGADO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 t="str">
        <f>'RESUMEN TOTAL'!AG193</f>
        <v>APAGADO</v>
      </c>
      <c r="AB171" s="70">
        <f>'RESUMEN TOTAL'!AH193</f>
        <v>0</v>
      </c>
      <c r="AC171" s="70">
        <f>'RESUMEN TOTAL'!AI193</f>
        <v>0</v>
      </c>
      <c r="AD171" s="70" t="str">
        <f>'RESUMEN TOTAL'!AJ193</f>
        <v>APAGADO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>
        <f>'RESUMEN TOTAL'!AO193</f>
        <v>0</v>
      </c>
      <c r="AJ171" s="70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 t="str">
        <f>'RESUMEN TOTAL'!AI194</f>
        <v>APAGADO</v>
      </c>
      <c r="AD172" s="70" t="str">
        <f>'RESUMEN TOTAL'!AJ194</f>
        <v>APAGADO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 t="str">
        <f>'RESUMEN TOTAL'!AI196</f>
        <v>APAGADO</v>
      </c>
      <c r="AD174" s="70" t="str">
        <f>'RESUMEN TOTAL'!AJ196</f>
        <v>APAGADO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 t="str">
        <f>'RESUMEN TOTAL'!AI197</f>
        <v>APAGADO</v>
      </c>
      <c r="AD175" s="70" t="str">
        <f>'RESUMEN TOTAL'!AJ197</f>
        <v>APAGADO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 t="str">
        <f>'RESUMEN TOTAL'!M218</f>
        <v>APAGADO</v>
      </c>
      <c r="H194" s="70" t="str">
        <f>'RESUMEN TOTAL'!N218</f>
        <v>APAGADO</v>
      </c>
      <c r="I194" s="70" t="str">
        <f>'RESUMEN TOTAL'!O218</f>
        <v>APAGADO</v>
      </c>
      <c r="J194" s="70" t="str">
        <f>'RESUMEN TOTAL'!P218</f>
        <v>APAGADO</v>
      </c>
      <c r="K194" s="70" t="str">
        <f>'RESUMEN TOTAL'!Q218</f>
        <v>APAGADO</v>
      </c>
      <c r="L194" s="70" t="str">
        <f>'RESUMEN TOTAL'!R218</f>
        <v>APAGADO</v>
      </c>
      <c r="M194" s="70" t="str">
        <f>'RESUMEN TOTAL'!S218</f>
        <v>APAGADO</v>
      </c>
      <c r="N194" s="70" t="str">
        <f>'RESUMEN TOTAL'!T218</f>
        <v>APAGADO</v>
      </c>
      <c r="O194" s="70" t="str">
        <f>'RESUMEN TOTAL'!U218</f>
        <v>APAGADO</v>
      </c>
      <c r="P194" s="70" t="str">
        <f>'RESUMEN TOTAL'!V218</f>
        <v>APAGADO</v>
      </c>
      <c r="Q194" s="70" t="str">
        <f>'RESUMEN TOTAL'!W218</f>
        <v>APAGADO</v>
      </c>
      <c r="R194" s="70" t="str">
        <f>'RESUMEN TOTAL'!X218</f>
        <v>APAGADO</v>
      </c>
      <c r="S194" s="70" t="str">
        <f>'RESUMEN TOTAL'!Y218</f>
        <v>APAGADO</v>
      </c>
      <c r="T194" s="70" t="str">
        <f>'RESUMEN TOTAL'!Z218</f>
        <v>APAGADO</v>
      </c>
      <c r="U194" s="70" t="str">
        <f>'RESUMEN TOTAL'!AA218</f>
        <v>APAGADO</v>
      </c>
      <c r="V194" s="70" t="str">
        <f>'RESUMEN TOTAL'!AB218</f>
        <v>APAGADO</v>
      </c>
      <c r="W194" s="70" t="str">
        <f>'RESUMEN TOTAL'!AC218</f>
        <v>APAGADO</v>
      </c>
      <c r="X194" s="70" t="str">
        <f>'RESUMEN TOTAL'!AD218</f>
        <v>APAGADO</v>
      </c>
      <c r="Y194" s="70" t="str">
        <f>'RESUMEN TOTAL'!AE218</f>
        <v>APAGADO</v>
      </c>
      <c r="Z194" s="70" t="str">
        <f>'RESUMEN TOTAL'!AF218</f>
        <v>APAGADO</v>
      </c>
      <c r="AA194" s="70" t="str">
        <f>'RESUMEN TOTAL'!AG218</f>
        <v>APAGADO</v>
      </c>
      <c r="AB194" s="70" t="str">
        <f>'RESUMEN TOTAL'!AH218</f>
        <v>APAGADO</v>
      </c>
      <c r="AC194" s="70" t="str">
        <f>'RESUMEN TOTAL'!AI218</f>
        <v>APAGADO</v>
      </c>
      <c r="AD194" s="70" t="str">
        <f>'RESUMEN TOTAL'!AJ218</f>
        <v>APAGADO</v>
      </c>
      <c r="AE194" s="70" t="str">
        <f>'RESUMEN TOTAL'!AK218</f>
        <v>APAGADO</v>
      </c>
      <c r="AF194" s="70" t="str">
        <f>'RESUMEN TOTAL'!AL218</f>
        <v>APAGADO</v>
      </c>
      <c r="AG194" s="70">
        <f>'RESUMEN TOTAL'!AM218</f>
        <v>0</v>
      </c>
      <c r="AH194" s="70">
        <f>'RESUMEN TOTAL'!AN218</f>
        <v>0</v>
      </c>
      <c r="AI194" s="70">
        <f>'RESUMEN TOTAL'!AO218</f>
        <v>0</v>
      </c>
      <c r="AJ194" s="70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 t="str">
        <f>'RESUMEN TOTAL'!AB219</f>
        <v>APAGADO</v>
      </c>
      <c r="W195" s="70" t="str">
        <f>'RESUMEN TOTAL'!AC219</f>
        <v>APAGADO</v>
      </c>
      <c r="X195" s="70">
        <f>'RESUMEN TOTAL'!AD219</f>
        <v>0</v>
      </c>
      <c r="Y195" s="70" t="str">
        <f>'RESUMEN TOTAL'!AE219</f>
        <v>APAGADO</v>
      </c>
      <c r="Z195" s="70">
        <f>'RESUMEN TOTAL'!AF219</f>
        <v>0</v>
      </c>
      <c r="AA195" s="70">
        <f>'RESUMEN TOTAL'!AG219</f>
        <v>0</v>
      </c>
      <c r="AB195" s="70" t="str">
        <f>'RESUMEN TOTAL'!AH219</f>
        <v>APAGADO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 t="str">
        <f>'RESUMEN TOTAL'!P220</f>
        <v>APAGADO</v>
      </c>
      <c r="K196" s="70" t="str">
        <f>'RESUMEN TOTAL'!Q220</f>
        <v>APAGADO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 t="str">
        <f>'RESUMEN TOTAL'!L221</f>
        <v>APAGADO</v>
      </c>
      <c r="G197" s="70" t="str">
        <f>'RESUMEN TOTAL'!M221</f>
        <v>APAGADO</v>
      </c>
      <c r="H197" s="70" t="str">
        <f>'RESUMEN TOTAL'!N221</f>
        <v>APAGADO</v>
      </c>
      <c r="I197" s="70" t="str">
        <f>'RESUMEN TOTAL'!O221</f>
        <v>APAGADO</v>
      </c>
      <c r="J197" s="70" t="str">
        <f>'RESUMEN TOTAL'!P221</f>
        <v>APAGADO</v>
      </c>
      <c r="K197" s="70" t="str">
        <f>'RESUMEN TOTAL'!Q221</f>
        <v>APAGADO</v>
      </c>
      <c r="L197" s="70" t="str">
        <f>'RESUMEN TOTAL'!R221</f>
        <v>APAGADO</v>
      </c>
      <c r="M197" s="70" t="str">
        <f>'RESUMEN TOTAL'!S221</f>
        <v>APAGADO</v>
      </c>
      <c r="N197" s="70" t="str">
        <f>'RESUMEN TOTAL'!T221</f>
        <v>APAGADO</v>
      </c>
      <c r="O197" s="70" t="str">
        <f>'RESUMEN TOTAL'!U221</f>
        <v>APAGADO</v>
      </c>
      <c r="P197" s="70" t="str">
        <f>'RESUMEN TOTAL'!V221</f>
        <v>APAGADO</v>
      </c>
      <c r="Q197" s="70" t="str">
        <f>'RESUMEN TOTAL'!W221</f>
        <v>APAGADO</v>
      </c>
      <c r="R197" s="70" t="str">
        <f>'RESUMEN TOTAL'!X221</f>
        <v>APAGADO</v>
      </c>
      <c r="S197" s="70" t="str">
        <f>'RESUMEN TOTAL'!Y221</f>
        <v>APAGADO</v>
      </c>
      <c r="T197" s="70" t="str">
        <f>'RESUMEN TOTAL'!Z221</f>
        <v>APAGADO</v>
      </c>
      <c r="U197" s="70" t="str">
        <f>'RESUMEN TOTAL'!AA221</f>
        <v>APAGADO</v>
      </c>
      <c r="V197" s="70" t="str">
        <f>'RESUMEN TOTAL'!AB221</f>
        <v>APAGADO</v>
      </c>
      <c r="W197" s="70" t="str">
        <f>'RESUMEN TOTAL'!AC221</f>
        <v>APAGADO</v>
      </c>
      <c r="X197" s="70" t="str">
        <f>'RESUMEN TOTAL'!AD221</f>
        <v>APAGADO</v>
      </c>
      <c r="Y197" s="70" t="str">
        <f>'RESUMEN TOTAL'!AE221</f>
        <v>APAGADO</v>
      </c>
      <c r="Z197" s="70" t="str">
        <f>'RESUMEN TOTAL'!AF221</f>
        <v>APAGADO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 t="str">
        <f>'RESUMEN TOTAL'!O222</f>
        <v>APAGADO</v>
      </c>
      <c r="J198" s="70" t="str">
        <f>'RESUMEN TOTAL'!P222</f>
        <v>APAGADO</v>
      </c>
      <c r="K198" s="70" t="str">
        <f>'RESUMEN TOTAL'!Q222</f>
        <v>APAGADO</v>
      </c>
      <c r="L198" s="70" t="str">
        <f>'RESUMEN TOTAL'!R222</f>
        <v>APAGADO</v>
      </c>
      <c r="M198" s="70" t="str">
        <f>'RESUMEN TOTAL'!S222</f>
        <v>APAGADO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 t="str">
        <f>'RESUMEN TOTAL'!O223</f>
        <v>APAGADO</v>
      </c>
      <c r="J199" s="70" t="str">
        <f>'RESUMEN TOTAL'!P223</f>
        <v>APAGADO</v>
      </c>
      <c r="K199" s="70" t="str">
        <f>'RESUMEN TOTAL'!Q223</f>
        <v>APAGADO</v>
      </c>
      <c r="L199" s="70" t="str">
        <f>'RESUMEN TOTAL'!R223</f>
        <v>APAGADO</v>
      </c>
      <c r="M199" s="70" t="str">
        <f>'RESUMEN TOTAL'!S223</f>
        <v>APAGADO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 t="str">
        <f>'RESUMEN TOTAL'!M226</f>
        <v>APAGADO</v>
      </c>
      <c r="H202" s="70" t="str">
        <f>'RESUMEN TOTAL'!N226</f>
        <v>APAGADO</v>
      </c>
      <c r="I202" s="70" t="str">
        <f>'RESUMEN TOTAL'!O226</f>
        <v>APAGADO</v>
      </c>
      <c r="J202" s="70" t="str">
        <f>'RESUMEN TOTAL'!P226</f>
        <v>APAGADO</v>
      </c>
      <c r="K202" s="70" t="str">
        <f>'RESUMEN TOTAL'!Q226</f>
        <v>APAGADO</v>
      </c>
      <c r="L202" s="70" t="str">
        <f>'RESUMEN TOTAL'!R226</f>
        <v>APAGADO</v>
      </c>
      <c r="M202" s="70" t="str">
        <f>'RESUMEN TOTAL'!S226</f>
        <v>APAGADO</v>
      </c>
      <c r="N202" s="70" t="str">
        <f>'RESUMEN TOTAL'!T226</f>
        <v>APAGADO</v>
      </c>
      <c r="O202" s="70">
        <f>'RESUMEN TOTAL'!U226</f>
        <v>0</v>
      </c>
      <c r="P202" s="70" t="str">
        <f>'RESUMEN TOTAL'!V226</f>
        <v>APAGADO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 t="str">
        <f>'RESUMEN TOTAL'!AC226</f>
        <v>APAGADO</v>
      </c>
      <c r="X202" s="70" t="str">
        <f>'RESUMEN TOTAL'!AD226</f>
        <v>APAGADO</v>
      </c>
      <c r="Y202" s="70" t="str">
        <f>'RESUMEN TOTAL'!AE226</f>
        <v>APAGADO</v>
      </c>
      <c r="Z202" s="70" t="str">
        <f>'RESUMEN TOTAL'!AF226</f>
        <v>APAGADO</v>
      </c>
      <c r="AA202" s="70">
        <f>'RESUMEN TOTAL'!AG226</f>
        <v>0</v>
      </c>
      <c r="AB202" s="70" t="str">
        <f>'RESUMEN TOTAL'!AH226</f>
        <v>APAGADO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>
        <f>'RESUMEN TOTAL'!L228</f>
        <v>0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 t="str">
        <f>'RESUMEN TOTAL'!AA228</f>
        <v>APAGADO</v>
      </c>
      <c r="V204" s="70" t="str">
        <f>'RESUMEN TOTAL'!AB228</f>
        <v>APAGADO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 t="str">
        <f>'RESUMEN TOTAL'!AI228</f>
        <v>APAGADO</v>
      </c>
      <c r="AD204" s="70">
        <f>'RESUMEN TOTAL'!AJ228</f>
        <v>0</v>
      </c>
      <c r="AE204" s="70" t="str">
        <f>'RESUMEN TOTAL'!AK228</f>
        <v>APAGADO</v>
      </c>
      <c r="AF204" s="70">
        <f>'RESUMEN TOTAL'!AL228</f>
        <v>0</v>
      </c>
      <c r="AG204" s="70">
        <f>'RESUMEN TOTAL'!AM228</f>
        <v>0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 t="str">
        <f>'RESUMEN TOTAL'!M229</f>
        <v>APAGADO</v>
      </c>
      <c r="H205" s="70" t="str">
        <f>'RESUMEN TOTAL'!N229</f>
        <v>APAGADO</v>
      </c>
      <c r="I205" s="70" t="str">
        <f>'RESUMEN TOTAL'!O229</f>
        <v>APAGADO</v>
      </c>
      <c r="J205" s="70" t="str">
        <f>'RESUMEN TOTAL'!P229</f>
        <v>APAGADO</v>
      </c>
      <c r="K205" s="70" t="str">
        <f>'RESUMEN TOTAL'!Q229</f>
        <v>APAGADO</v>
      </c>
      <c r="L205" s="70" t="str">
        <f>'RESUMEN TOTAL'!R229</f>
        <v>APAGADO</v>
      </c>
      <c r="M205" s="70" t="str">
        <f>'RESUMEN TOTAL'!S229</f>
        <v>APAGADO</v>
      </c>
      <c r="N205" s="70" t="str">
        <f>'RESUMEN TOTAL'!T229</f>
        <v>APAGADO</v>
      </c>
      <c r="O205" s="70" t="str">
        <f>'RESUMEN TOTAL'!U229</f>
        <v>APAGADO</v>
      </c>
      <c r="P205" s="70" t="str">
        <f>'RESUMEN TOTAL'!V229</f>
        <v>APAGADO</v>
      </c>
      <c r="Q205" s="70" t="str">
        <f>'RESUMEN TOTAL'!W229</f>
        <v>APAGADO</v>
      </c>
      <c r="R205" s="70" t="str">
        <f>'RESUMEN TOTAL'!X229</f>
        <v>APAGADO</v>
      </c>
      <c r="S205" s="70" t="str">
        <f>'RESUMEN TOTAL'!Y229</f>
        <v>APAGADO</v>
      </c>
      <c r="T205" s="70" t="str">
        <f>'RESUMEN TOTAL'!Z229</f>
        <v>APAGADO</v>
      </c>
      <c r="U205" s="70" t="str">
        <f>'RESUMEN TOTAL'!AA229</f>
        <v>APAGADO</v>
      </c>
      <c r="V205" s="70" t="str">
        <f>'RESUMEN TOTAL'!AB229</f>
        <v>APAGADO</v>
      </c>
      <c r="W205" s="70" t="str">
        <f>'RESUMEN TOTAL'!AC229</f>
        <v>APAGADO</v>
      </c>
      <c r="X205" s="70" t="str">
        <f>'RESUMEN TOTAL'!AD229</f>
        <v>APAGADO</v>
      </c>
      <c r="Y205" s="70" t="str">
        <f>'RESUMEN TOTAL'!AE229</f>
        <v>APAGADO</v>
      </c>
      <c r="Z205" s="70" t="str">
        <f>'RESUMEN TOTAL'!AF229</f>
        <v>APAGADO</v>
      </c>
      <c r="AA205" s="70" t="str">
        <f>'RESUMEN TOTAL'!AG229</f>
        <v>APAGADO</v>
      </c>
      <c r="AB205" s="70" t="str">
        <f>'RESUMEN TOTAL'!AH229</f>
        <v>APAGADO</v>
      </c>
      <c r="AC205" s="70" t="str">
        <f>'RESUMEN TOTAL'!AI229</f>
        <v>APAGADO</v>
      </c>
      <c r="AD205" s="70" t="str">
        <f>'RESUMEN TOTAL'!AJ229</f>
        <v>APAGADO</v>
      </c>
      <c r="AE205" s="70" t="str">
        <f>'RESUMEN TOTAL'!AK229</f>
        <v>APAGADO</v>
      </c>
      <c r="AF205" s="70" t="str">
        <f>'RESUMEN TOTAL'!AL229</f>
        <v>APAGADO</v>
      </c>
      <c r="AG205" s="70">
        <f>'RESUMEN TOTAL'!AM229</f>
        <v>0</v>
      </c>
      <c r="AH205" s="70">
        <f>'RESUMEN TOTAL'!AN229</f>
        <v>0</v>
      </c>
      <c r="AI205" s="70">
        <f>'RESUMEN TOTAL'!AO229</f>
        <v>0</v>
      </c>
      <c r="AJ205" s="70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>
        <f>'RESUMEN TOTAL'!L230</f>
        <v>0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 t="str">
        <f>'RESUMEN TOTAL'!U230</f>
        <v>APAGADO</v>
      </c>
      <c r="P206" s="70" t="str">
        <f>'RESUMEN TOTAL'!V230</f>
        <v>APAGADO</v>
      </c>
      <c r="Q206" s="70" t="str">
        <f>'RESUMEN TOTAL'!W230</f>
        <v>APAGADO</v>
      </c>
      <c r="R206" s="70" t="str">
        <f>'RESUMEN TOTAL'!X230</f>
        <v>APAGADO</v>
      </c>
      <c r="S206" s="70">
        <f>'RESUMEN TOTAL'!Y230</f>
        <v>0</v>
      </c>
      <c r="T206" s="70" t="str">
        <f>'RESUMEN TOTAL'!Z230</f>
        <v>APAGADO</v>
      </c>
      <c r="U206" s="70" t="str">
        <f>'RESUMEN TOTAL'!AA230</f>
        <v>APAGADO</v>
      </c>
      <c r="V206" s="70" t="str">
        <f>'RESUMEN TOTAL'!AB230</f>
        <v>APAGADO</v>
      </c>
      <c r="W206" s="70" t="str">
        <f>'RESUMEN TOTAL'!AC230</f>
        <v>APAGADO</v>
      </c>
      <c r="X206" s="70" t="str">
        <f>'RESUMEN TOTAL'!AD230</f>
        <v>APAGADO</v>
      </c>
      <c r="Y206" s="70" t="str">
        <f>'RESUMEN TOTAL'!AE230</f>
        <v>APAGADO</v>
      </c>
      <c r="Z206" s="70" t="str">
        <f>'RESUMEN TOTAL'!AF230</f>
        <v>APAGADO</v>
      </c>
      <c r="AA206" s="70" t="str">
        <f>'RESUMEN TOTAL'!AG230</f>
        <v>APAGADO</v>
      </c>
      <c r="AB206" s="70" t="str">
        <f>'RESUMEN TOTAL'!AH230</f>
        <v>APAGADO</v>
      </c>
      <c r="AC206" s="70" t="str">
        <f>'RESUMEN TOTAL'!AI230</f>
        <v>APAGADO</v>
      </c>
      <c r="AD206" s="70" t="str">
        <f>'RESUMEN TOTAL'!AJ230</f>
        <v>APAGADO</v>
      </c>
      <c r="AE206" s="70" t="str">
        <f>'RESUMEN TOTAL'!AK230</f>
        <v>APAGADO</v>
      </c>
      <c r="AF206" s="70" t="str">
        <f>'RESUMEN TOTAL'!AL230</f>
        <v>APAGADO</v>
      </c>
      <c r="AG206" s="70">
        <f>'RESUMEN TOTAL'!AM230</f>
        <v>0</v>
      </c>
      <c r="AH206" s="70">
        <f>'RESUMEN TOTAL'!AN230</f>
        <v>0</v>
      </c>
      <c r="AI206" s="70">
        <f>'RESUMEN TOTAL'!AO230</f>
        <v>0</v>
      </c>
      <c r="AJ206" s="70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>
        <f>'RESUMEN TOTAL'!L239</f>
        <v>0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 t="str">
        <f>'RESUMEN TOTAL'!AA239</f>
        <v>APAGADO</v>
      </c>
      <c r="V215" s="70" t="str">
        <f>'RESUMEN TOTAL'!AB239</f>
        <v>APAGADO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 t="str">
        <f>'RESUMEN TOTAL'!AI239</f>
        <v>APAGADO</v>
      </c>
      <c r="AD215" s="70">
        <f>'RESUMEN TOTAL'!AJ239</f>
        <v>0</v>
      </c>
      <c r="AE215" s="70" t="str">
        <f>'RESUMEN TOTAL'!AK239</f>
        <v>APAGADO</v>
      </c>
      <c r="AF215" s="70">
        <f>'RESUMEN TOTAL'!AL239</f>
        <v>0</v>
      </c>
      <c r="AG215" s="70">
        <f>'RESUMEN TOTAL'!AM239</f>
        <v>0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 t="str">
        <f>'RESUMEN TOTAL'!O244</f>
        <v>APAGADO</v>
      </c>
      <c r="J218" s="70">
        <f>'RESUMEN TOTAL'!P244</f>
        <v>0</v>
      </c>
      <c r="K218" s="70">
        <f>'RESUMEN TOTAL'!Q244</f>
        <v>0</v>
      </c>
      <c r="L218" s="70" t="str">
        <f>'RESUMEN TOTAL'!R244</f>
        <v>APAGADO</v>
      </c>
      <c r="M218" s="70">
        <f>'RESUMEN TOTAL'!S244</f>
        <v>0</v>
      </c>
      <c r="N218" s="70">
        <f>'RESUMEN TOTAL'!T244</f>
        <v>0</v>
      </c>
      <c r="O218" s="70" t="str">
        <f>'RESUMEN TOTAL'!U244</f>
        <v>APAGADO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 t="str">
        <f>'RESUMEN TOTAL'!AL244</f>
        <v>APAGADO</v>
      </c>
      <c r="AG218" s="70">
        <f>'RESUMEN TOTAL'!AM244</f>
        <v>0</v>
      </c>
      <c r="AH218" s="70">
        <f>'RESUMEN TOTAL'!AN244</f>
        <v>0</v>
      </c>
      <c r="AI218" s="70">
        <f>'RESUMEN TOTAL'!AO244</f>
        <v>0</v>
      </c>
      <c r="AJ218" s="70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 t="str">
        <f>'RESUMEN TOTAL'!R246</f>
        <v>APAGADO</v>
      </c>
      <c r="M220" s="70">
        <f>'RESUMEN TOTAL'!S246</f>
        <v>0</v>
      </c>
      <c r="N220" s="70">
        <f>'RESUMEN TOTAL'!T246</f>
        <v>0</v>
      </c>
      <c r="O220" s="70" t="str">
        <f>'RESUMEN TOTAL'!U246</f>
        <v>APAGADO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 t="str">
        <f>'RESUMEN TOTAL'!Z246</f>
        <v>APAGADO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 t="str">
        <f>'RESUMEN TOTAL'!AL246</f>
        <v>APAGADO</v>
      </c>
      <c r="AG220" s="70">
        <f>'RESUMEN TOTAL'!AM246</f>
        <v>0</v>
      </c>
      <c r="AH220" s="70">
        <f>'RESUMEN TOTAL'!AN246</f>
        <v>0</v>
      </c>
      <c r="AI220" s="70">
        <f>'RESUMEN TOTAL'!AO246</f>
        <v>0</v>
      </c>
      <c r="AJ220" s="70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 t="str">
        <f>'RESUMEN TOTAL'!O249</f>
        <v>APAGADO</v>
      </c>
      <c r="J223" s="70">
        <f>'RESUMEN TOTAL'!P249</f>
        <v>0</v>
      </c>
      <c r="K223" s="70">
        <f>'RESUMEN TOTAL'!Q249</f>
        <v>0</v>
      </c>
      <c r="L223" s="70" t="str">
        <f>'RESUMEN TOTAL'!R249</f>
        <v>APAGADO</v>
      </c>
      <c r="M223" s="70">
        <f>'RESUMEN TOTAL'!S249</f>
        <v>0</v>
      </c>
      <c r="N223" s="70">
        <f>'RESUMEN TOTAL'!T249</f>
        <v>0</v>
      </c>
      <c r="O223" s="70" t="str">
        <f>'RESUMEN TOTAL'!U249</f>
        <v>APAGADO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 t="str">
        <f>'RESUMEN TOTAL'!Z249</f>
        <v>APAGADO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>
        <f>'RESUMEN TOTAL'!AN249</f>
        <v>0</v>
      </c>
      <c r="AI223" s="70">
        <f>'RESUMEN TOTAL'!AO249</f>
        <v>0</v>
      </c>
      <c r="AJ223" s="70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 t="str">
        <f>'RESUMEN TOTAL'!L250</f>
        <v>APAGADO</v>
      </c>
      <c r="G224" s="70" t="str">
        <f>'RESUMEN TOTAL'!M250</f>
        <v>APAGADO</v>
      </c>
      <c r="H224" s="70" t="str">
        <f>'RESUMEN TOTAL'!N250</f>
        <v>APAGADO</v>
      </c>
      <c r="I224" s="70" t="str">
        <f>'RESUMEN TOTAL'!O250</f>
        <v>APAGADO</v>
      </c>
      <c r="J224" s="70" t="str">
        <f>'RESUMEN TOTAL'!P250</f>
        <v>APAGADO</v>
      </c>
      <c r="K224" s="70" t="str">
        <f>'RESUMEN TOTAL'!Q250</f>
        <v>APAGADO</v>
      </c>
      <c r="L224" s="70" t="str">
        <f>'RESUMEN TOTAL'!R250</f>
        <v>APAGADO</v>
      </c>
      <c r="M224" s="70" t="str">
        <f>'RESUMEN TOTAL'!S250</f>
        <v>APAGADO</v>
      </c>
      <c r="N224" s="70" t="str">
        <f>'RESUMEN TOTAL'!T250</f>
        <v>APAGADO</v>
      </c>
      <c r="O224" s="70" t="str">
        <f>'RESUMEN TOTAL'!U250</f>
        <v>APAGADO</v>
      </c>
      <c r="P224" s="70" t="str">
        <f>'RESUMEN TOTAL'!V250</f>
        <v>APAGADO</v>
      </c>
      <c r="Q224" s="70" t="str">
        <f>'RESUMEN TOTAL'!W250</f>
        <v>APAGADO</v>
      </c>
      <c r="R224" s="70" t="str">
        <f>'RESUMEN TOTAL'!X250</f>
        <v>APAGADO</v>
      </c>
      <c r="S224" s="70" t="str">
        <f>'RESUMEN TOTAL'!Y250</f>
        <v>APAGADO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 t="str">
        <f>'RESUMEN TOTAL'!M251</f>
        <v>APAGADO</v>
      </c>
      <c r="H225" s="70" t="str">
        <f>'RESUMEN TOTAL'!N251</f>
        <v>APAGADO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 t="str">
        <f>'RESUMEN TOTAL'!O258</f>
        <v>APAGADO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 t="str">
        <f>'RESUMEN TOTAL'!O259</f>
        <v>APAGADO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 t="str">
        <f>'RESUMEN TOTAL'!X260</f>
        <v>APAGADO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 t="str">
        <f>'RESUMEN TOTAL'!AG260</f>
        <v>APAGADO</v>
      </c>
      <c r="AB232" s="70">
        <f>'RESUMEN TOTAL'!AH260</f>
        <v>0</v>
      </c>
      <c r="AC232" s="70">
        <f>'RESUMEN TOTAL'!AI260</f>
        <v>0</v>
      </c>
      <c r="AD232" s="70" t="str">
        <f>'RESUMEN TOTAL'!AJ260</f>
        <v>APAGADO</v>
      </c>
      <c r="AE232" s="70" t="str">
        <f>'RESUMEN TOTAL'!AK260</f>
        <v>APAGADO</v>
      </c>
      <c r="AF232" s="70" t="str">
        <f>'RESUMEN TOTAL'!AL260</f>
        <v>APAGADO</v>
      </c>
      <c r="AG232" s="70">
        <f>'RESUMEN TOTAL'!AM260</f>
        <v>0</v>
      </c>
      <c r="AH232" s="70">
        <f>'RESUMEN TOTAL'!AN260</f>
        <v>0</v>
      </c>
      <c r="AI232" s="70">
        <f>'RESUMEN TOTAL'!AO260</f>
        <v>0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 t="str">
        <f>'RESUMEN TOTAL'!X261</f>
        <v>APAGADO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 t="str">
        <f>'RESUMEN TOTAL'!AG261</f>
        <v>APAGADO</v>
      </c>
      <c r="AB233" s="70">
        <f>'RESUMEN TOTAL'!AH261</f>
        <v>0</v>
      </c>
      <c r="AC233" s="70">
        <f>'RESUMEN TOTAL'!AI261</f>
        <v>0</v>
      </c>
      <c r="AD233" s="70" t="str">
        <f>'RESUMEN TOTAL'!AJ261</f>
        <v>APAGADO</v>
      </c>
      <c r="AE233" s="70" t="str">
        <f>'RESUMEN TOTAL'!AK261</f>
        <v>APAGADO</v>
      </c>
      <c r="AF233" s="70">
        <f>'RESUMEN TOTAL'!AL261</f>
        <v>0</v>
      </c>
      <c r="AG233" s="70">
        <f>'RESUMEN TOTAL'!AM261</f>
        <v>0</v>
      </c>
      <c r="AH233" s="70">
        <f>'RESUMEN TOTAL'!AN261</f>
        <v>0</v>
      </c>
      <c r="AI233" s="70">
        <f>'RESUMEN TOTAL'!AO261</f>
        <v>0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 t="str">
        <f>'RESUMEN TOTAL'!X262</f>
        <v>APAGADO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 t="str">
        <f>'RESUMEN TOTAL'!AG262</f>
        <v>APAGADO</v>
      </c>
      <c r="AB234" s="70">
        <f>'RESUMEN TOTAL'!AH262</f>
        <v>0</v>
      </c>
      <c r="AC234" s="70">
        <f>'RESUMEN TOTAL'!AI262</f>
        <v>0</v>
      </c>
      <c r="AD234" s="70" t="str">
        <f>'RESUMEN TOTAL'!AJ262</f>
        <v>APAGADO</v>
      </c>
      <c r="AE234" s="70" t="str">
        <f>'RESUMEN TOTAL'!AK262</f>
        <v>APAGADO</v>
      </c>
      <c r="AF234" s="70" t="str">
        <f>'RESUMEN TOTAL'!AL262</f>
        <v>APAGADO</v>
      </c>
      <c r="AG234" s="70">
        <f>'RESUMEN TOTAL'!AM262</f>
        <v>0</v>
      </c>
      <c r="AH234" s="70">
        <f>'RESUMEN TOTAL'!AN262</f>
        <v>0</v>
      </c>
      <c r="AI234" s="70">
        <f>'RESUMEN TOTAL'!AO262</f>
        <v>0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>
        <f>'RESUMEN TOTAL'!L263</f>
        <v>0</v>
      </c>
      <c r="G235" s="70" t="str">
        <f>'RESUMEN TOTAL'!M263</f>
        <v>APAGADO</v>
      </c>
      <c r="H235" s="70" t="str">
        <f>'RESUMEN TOTAL'!N263</f>
        <v>APAGADO</v>
      </c>
      <c r="I235" s="70" t="str">
        <f>'RESUMEN TOTAL'!O263</f>
        <v>APAGADO</v>
      </c>
      <c r="J235" s="70">
        <f>'RESUMEN TOTAL'!P263</f>
        <v>0</v>
      </c>
      <c r="K235" s="70" t="str">
        <f>'RESUMEN TOTAL'!Q263</f>
        <v>APAGADO</v>
      </c>
      <c r="L235" s="70" t="str">
        <f>'RESUMEN TOTAL'!R263</f>
        <v>APAGADO</v>
      </c>
      <c r="M235" s="70" t="str">
        <f>'RESUMEN TOTAL'!S263</f>
        <v>APAGADO</v>
      </c>
      <c r="N235" s="70" t="str">
        <f>'RESUMEN TOTAL'!T263</f>
        <v>APAGADO</v>
      </c>
      <c r="O235" s="70" t="str">
        <f>'RESUMEN TOTAL'!U263</f>
        <v>APAGADO</v>
      </c>
      <c r="P235" s="70" t="str">
        <f>'RESUMEN TOTAL'!V263</f>
        <v>APAGADO</v>
      </c>
      <c r="Q235" s="70" t="str">
        <f>'RESUMEN TOTAL'!W263</f>
        <v>APAGADO</v>
      </c>
      <c r="R235" s="70" t="str">
        <f>'RESUMEN TOTAL'!X263</f>
        <v>APAGADO</v>
      </c>
      <c r="S235" s="70">
        <f>'RESUMEN TOTAL'!Y263</f>
        <v>0</v>
      </c>
      <c r="T235" s="70" t="str">
        <f>'RESUMEN TOTAL'!Z263</f>
        <v>APAGADO</v>
      </c>
      <c r="U235" s="70" t="str">
        <f>'RESUMEN TOTAL'!AA263</f>
        <v>APAGADO</v>
      </c>
      <c r="V235" s="70" t="str">
        <f>'RESUMEN TOTAL'!AB263</f>
        <v>APAGADO</v>
      </c>
      <c r="W235" s="70" t="str">
        <f>'RESUMEN TOTAL'!AC263</f>
        <v>APAGADO</v>
      </c>
      <c r="X235" s="70" t="str">
        <f>'RESUMEN TOTAL'!AD263</f>
        <v>APAGADO</v>
      </c>
      <c r="Y235" s="70" t="str">
        <f>'RESUMEN TOTAL'!AE263</f>
        <v>APAGADO</v>
      </c>
      <c r="Z235" s="70" t="str">
        <f>'RESUMEN TOTAL'!AF263</f>
        <v>APAGADO</v>
      </c>
      <c r="AA235" s="70" t="str">
        <f>'RESUMEN TOTAL'!AG263</f>
        <v>APAGADO</v>
      </c>
      <c r="AB235" s="70" t="str">
        <f>'RESUMEN TOTAL'!AH263</f>
        <v>APAGADO</v>
      </c>
      <c r="AC235" s="70" t="str">
        <f>'RESUMEN TOTAL'!AI263</f>
        <v>APAGADO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>
        <f>'RESUMEN TOTAL'!AM263</f>
        <v>0</v>
      </c>
      <c r="AH235" s="70">
        <f>'RESUMEN TOTAL'!AN263</f>
        <v>0</v>
      </c>
      <c r="AI235" s="70">
        <f>'RESUMEN TOTAL'!AO263</f>
        <v>0</v>
      </c>
      <c r="AJ235" s="70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 t="str">
        <f>'RESUMEN TOTAL'!M264</f>
        <v>APAGADO</v>
      </c>
      <c r="H236" s="70" t="str">
        <f>'RESUMEN TOTAL'!N264</f>
        <v>APAGADO</v>
      </c>
      <c r="I236" s="70" t="str">
        <f>'RESUMEN TOTAL'!O264</f>
        <v>APAGADO</v>
      </c>
      <c r="J236" s="70" t="str">
        <f>'RESUMEN TOTAL'!P264</f>
        <v>APAGADO</v>
      </c>
      <c r="K236" s="70" t="str">
        <f>'RESUMEN TOTAL'!Q264</f>
        <v>APAGADO</v>
      </c>
      <c r="L236" s="70" t="str">
        <f>'RESUMEN TOTAL'!R264</f>
        <v>APAGADO</v>
      </c>
      <c r="M236" s="70" t="str">
        <f>'RESUMEN TOTAL'!S264</f>
        <v>APAGADO</v>
      </c>
      <c r="N236" s="70">
        <f>'RESUMEN TOTAL'!T264</f>
        <v>0</v>
      </c>
      <c r="O236" s="70">
        <f>'RESUMEN TOTAL'!U264</f>
        <v>0</v>
      </c>
      <c r="P236" s="70" t="str">
        <f>'RESUMEN TOTAL'!V264</f>
        <v>APAGADO</v>
      </c>
      <c r="Q236" s="70" t="str">
        <f>'RESUMEN TOTAL'!W264</f>
        <v>APAGADO</v>
      </c>
      <c r="R236" s="70" t="str">
        <f>'RESUMEN TOTAL'!X264</f>
        <v>APAGADO</v>
      </c>
      <c r="S236" s="70" t="str">
        <f>'RESUMEN TOTAL'!Y264</f>
        <v>APAGADO</v>
      </c>
      <c r="T236" s="70" t="str">
        <f>'RESUMEN TOTAL'!Z264</f>
        <v>APAGADO</v>
      </c>
      <c r="U236" s="70" t="str">
        <f>'RESUMEN TOTAL'!AA264</f>
        <v>APAGADO</v>
      </c>
      <c r="V236" s="70" t="str">
        <f>'RESUMEN TOTAL'!AB264</f>
        <v>APAGADO</v>
      </c>
      <c r="W236" s="70" t="str">
        <f>'RESUMEN TOTAL'!AC264</f>
        <v>APAGADO</v>
      </c>
      <c r="X236" s="70" t="str">
        <f>'RESUMEN TOTAL'!AD264</f>
        <v>APAGADO</v>
      </c>
      <c r="Y236" s="70" t="str">
        <f>'RESUMEN TOTAL'!AE264</f>
        <v>APAGADO</v>
      </c>
      <c r="Z236" s="70" t="str">
        <f>'RESUMEN TOTAL'!AF264</f>
        <v>APAGADO</v>
      </c>
      <c r="AA236" s="70" t="str">
        <f>'RESUMEN TOTAL'!AG264</f>
        <v>APAGADO</v>
      </c>
      <c r="AB236" s="70" t="str">
        <f>'RESUMEN TOTAL'!AH264</f>
        <v>APAGADO</v>
      </c>
      <c r="AC236" s="70" t="str">
        <f>'RESUMEN TOTAL'!AI264</f>
        <v>APAGADO</v>
      </c>
      <c r="AD236" s="70" t="str">
        <f>'RESUMEN TOTAL'!AJ264</f>
        <v>APAGADO</v>
      </c>
      <c r="AE236" s="70" t="str">
        <f>'RESUMEN TOTAL'!AK264</f>
        <v>APAGADO</v>
      </c>
      <c r="AF236" s="70" t="str">
        <f>'RESUMEN TOTAL'!AL264</f>
        <v>APAGADO</v>
      </c>
      <c r="AG236" s="70">
        <f>'RESUMEN TOTAL'!AM264</f>
        <v>0</v>
      </c>
      <c r="AH236" s="70">
        <f>'RESUMEN TOTAL'!AN264</f>
        <v>0</v>
      </c>
      <c r="AI236" s="70">
        <f>'RESUMEN TOTAL'!AO264</f>
        <v>0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 t="str">
        <f>'RESUMEN TOTAL'!M265</f>
        <v>APAGADO</v>
      </c>
      <c r="H237" s="70" t="str">
        <f>'RESUMEN TOTAL'!N265</f>
        <v>APAGADO</v>
      </c>
      <c r="I237" s="70">
        <f>'RESUMEN TOTAL'!O265</f>
        <v>0</v>
      </c>
      <c r="J237" s="70" t="str">
        <f>'RESUMEN TOTAL'!P265</f>
        <v>APAGADO</v>
      </c>
      <c r="K237" s="70" t="str">
        <f>'RESUMEN TOTAL'!Q265</f>
        <v>APAGADO</v>
      </c>
      <c r="L237" s="70" t="str">
        <f>'RESUMEN TOTAL'!R265</f>
        <v>APAGADO</v>
      </c>
      <c r="M237" s="70" t="str">
        <f>'RESUMEN TOTAL'!S265</f>
        <v>APAGADO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 t="str">
        <f>'RESUMEN TOTAL'!M266</f>
        <v>APAGADO</v>
      </c>
      <c r="H238" s="70" t="str">
        <f>'RESUMEN TOTAL'!N266</f>
        <v>APAGADO</v>
      </c>
      <c r="I238" s="70" t="str">
        <f>'RESUMEN TOTAL'!O266</f>
        <v>APAGADO</v>
      </c>
      <c r="J238" s="70" t="str">
        <f>'RESUMEN TOTAL'!P266</f>
        <v>APAGADO</v>
      </c>
      <c r="K238" s="70" t="str">
        <f>'RESUMEN TOTAL'!Q266</f>
        <v>APAGADO</v>
      </c>
      <c r="L238" s="70" t="str">
        <f>'RESUMEN TOTAL'!R266</f>
        <v>APAGADO</v>
      </c>
      <c r="M238" s="70" t="str">
        <f>'RESUMEN TOTAL'!S266</f>
        <v>APAGADO</v>
      </c>
      <c r="N238" s="70" t="str">
        <f>'RESUMEN TOTAL'!T266</f>
        <v>APAGADO</v>
      </c>
      <c r="O238" s="70" t="str">
        <f>'RESUMEN TOTAL'!U266</f>
        <v>APAGADO</v>
      </c>
      <c r="P238" s="70" t="str">
        <f>'RESUMEN TOTAL'!V266</f>
        <v>APAGADO</v>
      </c>
      <c r="Q238" s="70" t="str">
        <f>'RESUMEN TOTAL'!W266</f>
        <v>APAGADO</v>
      </c>
      <c r="R238" s="70" t="str">
        <f>'RESUMEN TOTAL'!X266</f>
        <v>APAGADO</v>
      </c>
      <c r="S238" s="70" t="str">
        <f>'RESUMEN TOTAL'!Y266</f>
        <v>APAGADO</v>
      </c>
      <c r="T238" s="70" t="str">
        <f>'RESUMEN TOTAL'!Z266</f>
        <v>APAGADO</v>
      </c>
      <c r="U238" s="70" t="str">
        <f>'RESUMEN TOTAL'!AA266</f>
        <v>APAGADO</v>
      </c>
      <c r="V238" s="70" t="str">
        <f>'RESUMEN TOTAL'!AB266</f>
        <v>APAGADO</v>
      </c>
      <c r="W238" s="70" t="str">
        <f>'RESUMEN TOTAL'!AC266</f>
        <v>APAGADO</v>
      </c>
      <c r="X238" s="70" t="str">
        <f>'RESUMEN TOTAL'!AD266</f>
        <v>APAGADO</v>
      </c>
      <c r="Y238" s="70" t="str">
        <f>'RESUMEN TOTAL'!AE266</f>
        <v>APAGADO</v>
      </c>
      <c r="Z238" s="70" t="str">
        <f>'RESUMEN TOTAL'!AF266</f>
        <v>APAGADO</v>
      </c>
      <c r="AA238" s="70" t="str">
        <f>'RESUMEN TOTAL'!AG266</f>
        <v>APAGADO</v>
      </c>
      <c r="AB238" s="70">
        <f>'RESUMEN TOTAL'!AH266</f>
        <v>0</v>
      </c>
      <c r="AC238" s="70" t="str">
        <f>'RESUMEN TOTAL'!AI266</f>
        <v>APAGADO</v>
      </c>
      <c r="AD238" s="70" t="str">
        <f>'RESUMEN TOTAL'!AJ266</f>
        <v>APAGADO</v>
      </c>
      <c r="AE238" s="70" t="str">
        <f>'RESUMEN TOTAL'!AK266</f>
        <v>APAGADO</v>
      </c>
      <c r="AF238" s="70" t="str">
        <f>'RESUMEN TOTAL'!AL266</f>
        <v>APAGADO</v>
      </c>
      <c r="AG238" s="70">
        <f>'RESUMEN TOTAL'!AM266</f>
        <v>0</v>
      </c>
      <c r="AH238" s="70">
        <f>'RESUMEN TOTAL'!AN266</f>
        <v>0</v>
      </c>
      <c r="AI238" s="70">
        <f>'RESUMEN TOTAL'!AO266</f>
        <v>0</v>
      </c>
      <c r="AJ238" s="70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 t="str">
        <f>'RESUMEN TOTAL'!Q267</f>
        <v>APAGADO</v>
      </c>
      <c r="L239" s="70" t="str">
        <f>'RESUMEN TOTAL'!R267</f>
        <v>APAGADO</v>
      </c>
      <c r="M239" s="70" t="str">
        <f>'RESUMEN TOTAL'!S267</f>
        <v>APAGADO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 t="str">
        <f>'RESUMEN TOTAL'!P268</f>
        <v>APAGADO</v>
      </c>
      <c r="K240" s="70" t="str">
        <f>'RESUMEN TOTAL'!Q268</f>
        <v>APAGADO</v>
      </c>
      <c r="L240" s="70" t="str">
        <f>'RESUMEN TOTAL'!R268</f>
        <v>APAGADO</v>
      </c>
      <c r="M240" s="70" t="str">
        <f>'RESUMEN TOTAL'!S268</f>
        <v>APAGADO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 t="str">
        <f>'RESUMEN TOTAL'!R272</f>
        <v>APAGADO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 t="str">
        <f>'RESUMEN TOTAL'!M277</f>
        <v>APAGADO</v>
      </c>
      <c r="H249" s="70" t="str">
        <f>'RESUMEN TOTAL'!N277</f>
        <v>APAGADO</v>
      </c>
      <c r="I249" s="70" t="str">
        <f>'RESUMEN TOTAL'!O277</f>
        <v>APAGADO</v>
      </c>
      <c r="J249" s="70" t="str">
        <f>'RESUMEN TOTAL'!P277</f>
        <v>APAGADO</v>
      </c>
      <c r="K249" s="70" t="str">
        <f>'RESUMEN TOTAL'!Q277</f>
        <v>APAGADO</v>
      </c>
      <c r="L249" s="70" t="str">
        <f>'RESUMEN TOTAL'!R277</f>
        <v>APAGADO</v>
      </c>
      <c r="M249" s="70" t="str">
        <f>'RESUMEN TOTAL'!S277</f>
        <v>APAGADO</v>
      </c>
      <c r="N249" s="70" t="str">
        <f>'RESUMEN TOTAL'!T277</f>
        <v>APAGADO</v>
      </c>
      <c r="O249" s="70" t="str">
        <f>'RESUMEN TOTAL'!U277</f>
        <v>APAGADO</v>
      </c>
      <c r="P249" s="70" t="str">
        <f>'RESUMEN TOTAL'!V277</f>
        <v>APAGADO</v>
      </c>
      <c r="Q249" s="70" t="str">
        <f>'RESUMEN TOTAL'!W277</f>
        <v>APAGADO</v>
      </c>
      <c r="R249" s="70" t="str">
        <f>'RESUMEN TOTAL'!X277</f>
        <v>APAGADO</v>
      </c>
      <c r="S249" s="70" t="str">
        <f>'RESUMEN TOTAL'!Y277</f>
        <v>APAGADO</v>
      </c>
      <c r="T249" s="70" t="str">
        <f>'RESUMEN TOTAL'!Z277</f>
        <v>APAGADO</v>
      </c>
      <c r="U249" s="70" t="str">
        <f>'RESUMEN TOTAL'!AA277</f>
        <v>APAGADO</v>
      </c>
      <c r="V249" s="70" t="str">
        <f>'RESUMEN TOTAL'!AB277</f>
        <v>APAGADO</v>
      </c>
      <c r="W249" s="70" t="str">
        <f>'RESUMEN TOTAL'!AC277</f>
        <v>APAGADO</v>
      </c>
      <c r="X249" s="70" t="str">
        <f>'RESUMEN TOTAL'!AD277</f>
        <v>APAGADO</v>
      </c>
      <c r="Y249" s="70" t="str">
        <f>'RESUMEN TOTAL'!AE277</f>
        <v>APAGADO</v>
      </c>
      <c r="Z249" s="70" t="str">
        <f>'RESUMEN TOTAL'!AF277</f>
        <v>APAGADO</v>
      </c>
      <c r="AA249" s="70" t="str">
        <f>'RESUMEN TOTAL'!AG277</f>
        <v>APAGADO</v>
      </c>
      <c r="AB249" s="70" t="str">
        <f>'RESUMEN TOTAL'!AH277</f>
        <v>APAGADO</v>
      </c>
      <c r="AC249" s="70" t="str">
        <f>'RESUMEN TOTAL'!AI277</f>
        <v>APAGADO</v>
      </c>
      <c r="AD249" s="70" t="str">
        <f>'RESUMEN TOTAL'!AJ277</f>
        <v>APAGADO</v>
      </c>
      <c r="AE249" s="70" t="str">
        <f>'RESUMEN TOTAL'!AK277</f>
        <v>APAGADO</v>
      </c>
      <c r="AF249" s="70" t="str">
        <f>'RESUMEN TOTAL'!AL277</f>
        <v>APAGADO</v>
      </c>
      <c r="AG249" s="70">
        <f>'RESUMEN TOTAL'!AM277</f>
        <v>0</v>
      </c>
      <c r="AH249" s="70">
        <f>'RESUMEN TOTAL'!AN277</f>
        <v>0</v>
      </c>
      <c r="AI249" s="70">
        <f>'RESUMEN TOTAL'!AO277</f>
        <v>0</v>
      </c>
      <c r="AJ249" s="70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>
        <f>'RESUMEN TOTAL'!L280</f>
        <v>0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 t="str">
        <f>'RESUMEN TOTAL'!AK280</f>
        <v>APAGADO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 t="str">
        <f>'RESUMEN TOTAL'!M282</f>
        <v>APAGADO</v>
      </c>
      <c r="H254" s="70" t="str">
        <f>'RESUMEN TOTAL'!N282</f>
        <v>APAGADO</v>
      </c>
      <c r="I254" s="70" t="str">
        <f>'RESUMEN TOTAL'!O282</f>
        <v>APAGADO</v>
      </c>
      <c r="J254" s="70" t="str">
        <f>'RESUMEN TOTAL'!P282</f>
        <v>APAGADO</v>
      </c>
      <c r="K254" s="70" t="str">
        <f>'RESUMEN TOTAL'!Q282</f>
        <v>APAGADO</v>
      </c>
      <c r="L254" s="70" t="str">
        <f>'RESUMEN TOTAL'!R282</f>
        <v>APAGADO</v>
      </c>
      <c r="M254" s="70" t="str">
        <f>'RESUMEN TOTAL'!S282</f>
        <v>APAGADO</v>
      </c>
      <c r="N254" s="70" t="str">
        <f>'RESUMEN TOTAL'!T282</f>
        <v>APAGADO</v>
      </c>
      <c r="O254" s="70" t="str">
        <f>'RESUMEN TOTAL'!U282</f>
        <v>APAGADO</v>
      </c>
      <c r="P254" s="70" t="str">
        <f>'RESUMEN TOTAL'!V282</f>
        <v>APAGADO</v>
      </c>
      <c r="Q254" s="70" t="str">
        <f>'RESUMEN TOTAL'!W282</f>
        <v>APAGADO</v>
      </c>
      <c r="R254" s="70" t="str">
        <f>'RESUMEN TOTAL'!X282</f>
        <v>APAGADO</v>
      </c>
      <c r="S254" s="70" t="str">
        <f>'RESUMEN TOTAL'!Y282</f>
        <v>APAGADO</v>
      </c>
      <c r="T254" s="70" t="str">
        <f>'RESUMEN TOTAL'!Z282</f>
        <v>APAGADO</v>
      </c>
      <c r="U254" s="70" t="str">
        <f>'RESUMEN TOTAL'!AA282</f>
        <v>APAGADO</v>
      </c>
      <c r="V254" s="70" t="str">
        <f>'RESUMEN TOTAL'!AB282</f>
        <v>APAGADO</v>
      </c>
      <c r="W254" s="70" t="str">
        <f>'RESUMEN TOTAL'!AC282</f>
        <v>APAGADO</v>
      </c>
      <c r="X254" s="70" t="str">
        <f>'RESUMEN TOTAL'!AD282</f>
        <v>APAGADO</v>
      </c>
      <c r="Y254" s="70" t="str">
        <f>'RESUMEN TOTAL'!AE282</f>
        <v>APAGADO</v>
      </c>
      <c r="Z254" s="70" t="str">
        <f>'RESUMEN TOTAL'!AF282</f>
        <v>APAGADO</v>
      </c>
      <c r="AA254" s="70" t="str">
        <f>'RESUMEN TOTAL'!AG282</f>
        <v>APAGADO</v>
      </c>
      <c r="AB254" s="70" t="str">
        <f>'RESUMEN TOTAL'!AH282</f>
        <v>APAGADO</v>
      </c>
      <c r="AC254" s="70" t="str">
        <f>'RESUMEN TOTAL'!AI282</f>
        <v>APAGADO</v>
      </c>
      <c r="AD254" s="70" t="str">
        <f>'RESUMEN TOTAL'!AJ282</f>
        <v>APAGADO</v>
      </c>
      <c r="AE254" s="70" t="str">
        <f>'RESUMEN TOTAL'!AK282</f>
        <v>APAGADO</v>
      </c>
      <c r="AF254" s="70" t="str">
        <f>'RESUMEN TOTAL'!AL282</f>
        <v>APAGADO</v>
      </c>
      <c r="AG254" s="70">
        <f>'RESUMEN TOTAL'!AM282</f>
        <v>0</v>
      </c>
      <c r="AH254" s="70">
        <f>'RESUMEN TOTAL'!AN282</f>
        <v>0</v>
      </c>
      <c r="AI254" s="70">
        <f>'RESUMEN TOTAL'!AO282</f>
        <v>0</v>
      </c>
      <c r="AJ254" s="70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 t="str">
        <f>'RESUMEN TOTAL'!AB285</f>
        <v>APAGADO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 t="str">
        <f>'RESUMEN TOTAL'!AH285</f>
        <v>APAGADO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 t="str">
        <f>'RESUMEN TOTAL'!AB286</f>
        <v>APAGADO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 t="str">
        <f>'RESUMEN TOTAL'!AH286</f>
        <v>APAGADO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 t="str">
        <f>'RESUMEN TOTAL'!P287</f>
        <v>APAGADO</v>
      </c>
      <c r="K259" s="70" t="str">
        <f>'RESUMEN TOTAL'!Q287</f>
        <v>APAGADO</v>
      </c>
      <c r="L259" s="70" t="str">
        <f>'RESUMEN TOTAL'!R287</f>
        <v>APAGADO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 t="str">
        <f>'RESUMEN TOTAL'!AB287</f>
        <v>APAGADO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 t="str">
        <f>'RESUMEN TOTAL'!AH287</f>
        <v>APAGADO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 t="str">
        <f>'RESUMEN TOTAL'!L288</f>
        <v>APAGADO</v>
      </c>
      <c r="G260" s="70" t="str">
        <f>'RESUMEN TOTAL'!M288</f>
        <v>APAGADO</v>
      </c>
      <c r="H260" s="70" t="str">
        <f>'RESUMEN TOTAL'!N288</f>
        <v>APAGADO</v>
      </c>
      <c r="I260" s="70" t="str">
        <f>'RESUMEN TOTAL'!O288</f>
        <v>APAGADO</v>
      </c>
      <c r="J260" s="70" t="str">
        <f>'RESUMEN TOTAL'!P288</f>
        <v>APAGADO</v>
      </c>
      <c r="K260" s="70" t="str">
        <f>'RESUMEN TOTAL'!Q288</f>
        <v>APAGADO</v>
      </c>
      <c r="L260" s="70" t="str">
        <f>'RESUMEN TOTAL'!R288</f>
        <v>APAGADO</v>
      </c>
      <c r="M260" s="70" t="str">
        <f>'RESUMEN TOTAL'!S288</f>
        <v>APAGADO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 t="str">
        <f>'RESUMEN TOTAL'!O289</f>
        <v>APAGADO</v>
      </c>
      <c r="J261" s="70" t="str">
        <f>'RESUMEN TOTAL'!P289</f>
        <v>APAGADO</v>
      </c>
      <c r="K261" s="70" t="str">
        <f>'RESUMEN TOTAL'!Q289</f>
        <v>APAGADO</v>
      </c>
      <c r="L261" s="70" t="str">
        <f>'RESUMEN TOTAL'!R289</f>
        <v>APAGADO</v>
      </c>
      <c r="M261" s="70" t="str">
        <f>'RESUMEN TOTAL'!S289</f>
        <v>APAGADO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 t="str">
        <f>'RESUMEN TOTAL'!O290</f>
        <v>APAGADO</v>
      </c>
      <c r="J262" s="70" t="str">
        <f>'RESUMEN TOTAL'!P290</f>
        <v>APAGADO</v>
      </c>
      <c r="K262" s="70" t="str">
        <f>'RESUMEN TOTAL'!Q290</f>
        <v>APAGADO</v>
      </c>
      <c r="L262" s="70" t="str">
        <f>'RESUMEN TOTAL'!R290</f>
        <v>APAGADO</v>
      </c>
      <c r="M262" s="70" t="str">
        <f>'RESUMEN TOTAL'!S290</f>
        <v>APAGADO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 t="str">
        <f>'RESUMEN TOTAL'!O291</f>
        <v>APAGADO</v>
      </c>
      <c r="J263" s="70" t="str">
        <f>'RESUMEN TOTAL'!P291</f>
        <v>APAGADO</v>
      </c>
      <c r="K263" s="70" t="str">
        <f>'RESUMEN TOTAL'!Q291</f>
        <v>APAGADO</v>
      </c>
      <c r="L263" s="70" t="str">
        <f>'RESUMEN TOTAL'!R291</f>
        <v>APAGADO</v>
      </c>
      <c r="M263" s="70" t="str">
        <f>'RESUMEN TOTAL'!S291</f>
        <v>APAGADO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 t="str">
        <f>'RESUMEN TOTAL'!L292</f>
        <v>APAGADO</v>
      </c>
      <c r="G264" s="70" t="str">
        <f>'RESUMEN TOTAL'!M292</f>
        <v>APAGADO</v>
      </c>
      <c r="H264" s="70" t="str">
        <f>'RESUMEN TOTAL'!N292</f>
        <v>APAGADO</v>
      </c>
      <c r="I264" s="70" t="str">
        <f>'RESUMEN TOTAL'!O292</f>
        <v>APAGADO</v>
      </c>
      <c r="J264" s="70" t="str">
        <f>'RESUMEN TOTAL'!P292</f>
        <v>APAGADO</v>
      </c>
      <c r="K264" s="70" t="str">
        <f>'RESUMEN TOTAL'!Q292</f>
        <v>APAGADO</v>
      </c>
      <c r="L264" s="70" t="str">
        <f>'RESUMEN TOTAL'!R292</f>
        <v>APAGADO</v>
      </c>
      <c r="M264" s="70" t="str">
        <f>'RESUMEN TOTAL'!S292</f>
        <v>APAGADO</v>
      </c>
      <c r="N264" s="70" t="str">
        <f>'RESUMEN TOTAL'!T292</f>
        <v>APAGADO</v>
      </c>
      <c r="O264" s="70" t="str">
        <f>'RESUMEN TOTAL'!U292</f>
        <v>APAGADO</v>
      </c>
      <c r="P264" s="70" t="str">
        <f>'RESUMEN TOTAL'!V292</f>
        <v>APAGADO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 t="str">
        <f>'RESUMEN TOTAL'!L293</f>
        <v>APAGADO</v>
      </c>
      <c r="G265" s="70" t="str">
        <f>'RESUMEN TOTAL'!M293</f>
        <v>APAGADO</v>
      </c>
      <c r="H265" s="70" t="str">
        <f>'RESUMEN TOTAL'!N293</f>
        <v>APAGADO</v>
      </c>
      <c r="I265" s="70" t="str">
        <f>'RESUMEN TOTAL'!O293</f>
        <v>APAGADO</v>
      </c>
      <c r="J265" s="70" t="str">
        <f>'RESUMEN TOTAL'!P293</f>
        <v>APAGADO</v>
      </c>
      <c r="K265" s="70" t="str">
        <f>'RESUMEN TOTAL'!Q293</f>
        <v>APAGADO</v>
      </c>
      <c r="L265" s="70" t="str">
        <f>'RESUMEN TOTAL'!R293</f>
        <v>APAGADO</v>
      </c>
      <c r="M265" s="70" t="str">
        <f>'RESUMEN TOTAL'!S293</f>
        <v>APAGADO</v>
      </c>
      <c r="N265" s="70" t="str">
        <f>'RESUMEN TOTAL'!T293</f>
        <v>APAGADO</v>
      </c>
      <c r="O265" s="70" t="str">
        <f>'RESUMEN TOTAL'!U293</f>
        <v>APAGADO</v>
      </c>
      <c r="P265" s="70" t="str">
        <f>'RESUMEN TOTAL'!V293</f>
        <v>APAGADO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 t="str">
        <f>'RESUMEN TOTAL'!O298</f>
        <v>APAGADO</v>
      </c>
      <c r="J266" s="70" t="str">
        <f>'RESUMEN TOTAL'!P298</f>
        <v>APAGADO</v>
      </c>
      <c r="K266" s="70" t="str">
        <f>'RESUMEN TOTAL'!Q298</f>
        <v>APAGADO</v>
      </c>
      <c r="L266" s="70" t="str">
        <f>'RESUMEN TOTAL'!R298</f>
        <v>APAGADO</v>
      </c>
      <c r="M266" s="70" t="str">
        <f>'RESUMEN TOTAL'!S298</f>
        <v>APAGADO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>
        <f>'RESUMEN TOTAL'!L299</f>
        <v>0</v>
      </c>
      <c r="G267" s="70">
        <f>'RESUMEN TOTAL'!M299</f>
        <v>0</v>
      </c>
      <c r="H267" s="70">
        <f>'RESUMEN TOTAL'!N299</f>
        <v>0</v>
      </c>
      <c r="I267" s="70" t="str">
        <f>'RESUMEN TOTAL'!O299</f>
        <v>APAGADO</v>
      </c>
      <c r="J267" s="70" t="str">
        <f>'RESUMEN TOTAL'!P299</f>
        <v>APAGADO</v>
      </c>
      <c r="K267" s="70" t="str">
        <f>'RESUMEN TOTAL'!Q299</f>
        <v>APAGADO</v>
      </c>
      <c r="L267" s="70" t="str">
        <f>'RESUMEN TOTAL'!R299</f>
        <v>APAGADO</v>
      </c>
      <c r="M267" s="70" t="str">
        <f>'RESUMEN TOTAL'!S299</f>
        <v>APAGADO</v>
      </c>
      <c r="N267" s="70" t="str">
        <f>'RESUMEN TOTAL'!T299</f>
        <v>APAGADO</v>
      </c>
      <c r="O267" s="70" t="str">
        <f>'RESUMEN TOTAL'!U299</f>
        <v>APAGADO</v>
      </c>
      <c r="P267" s="70" t="str">
        <f>'RESUMEN TOTAL'!V299</f>
        <v>APAGADO</v>
      </c>
      <c r="Q267" s="70" t="str">
        <f>'RESUMEN TOTAL'!W299</f>
        <v>APAGADO</v>
      </c>
      <c r="R267" s="70" t="str">
        <f>'RESUMEN TOTAL'!X299</f>
        <v>APAGADO</v>
      </c>
      <c r="S267" s="70" t="str">
        <f>'RESUMEN TOTAL'!Y299</f>
        <v>APAGADO</v>
      </c>
      <c r="T267" s="70" t="str">
        <f>'RESUMEN TOTAL'!Z299</f>
        <v>APAGADO</v>
      </c>
      <c r="U267" s="70" t="str">
        <f>'RESUMEN TOTAL'!AA299</f>
        <v>APAGADO</v>
      </c>
      <c r="V267" s="70" t="str">
        <f>'RESUMEN TOTAL'!AB299</f>
        <v>APAGADO</v>
      </c>
      <c r="W267" s="70" t="str">
        <f>'RESUMEN TOTAL'!AC299</f>
        <v>APAGADO</v>
      </c>
      <c r="X267" s="70" t="str">
        <f>'RESUMEN TOTAL'!AD299</f>
        <v>APAGADO</v>
      </c>
      <c r="Y267" s="70" t="str">
        <f>'RESUMEN TOTAL'!AE299</f>
        <v>APAGADO</v>
      </c>
      <c r="Z267" s="70" t="str">
        <f>'RESUMEN TOTAL'!AF299</f>
        <v>APAGADO</v>
      </c>
      <c r="AA267" s="70" t="str">
        <f>'RESUMEN TOTAL'!AG299</f>
        <v>APAGADO</v>
      </c>
      <c r="AB267" s="70" t="str">
        <f>'RESUMEN TOTAL'!AH299</f>
        <v>APAGADO</v>
      </c>
      <c r="AC267" s="70" t="str">
        <f>'RESUMEN TOTAL'!AI299</f>
        <v>APAGADO</v>
      </c>
      <c r="AD267" s="70" t="str">
        <f>'RESUMEN TOTAL'!AJ299</f>
        <v>APAGADO</v>
      </c>
      <c r="AE267" s="70" t="str">
        <f>'RESUMEN TOTAL'!AK299</f>
        <v>APAGADO</v>
      </c>
      <c r="AF267" s="70" t="str">
        <f>'RESUMEN TOTAL'!AL299</f>
        <v>APAGADO</v>
      </c>
      <c r="AG267" s="70">
        <f>'RESUMEN TOTAL'!AM299</f>
        <v>0</v>
      </c>
      <c r="AH267" s="70">
        <f>'RESUMEN TOTAL'!AN299</f>
        <v>0</v>
      </c>
      <c r="AI267" s="70">
        <f>'RESUMEN TOTAL'!AO299</f>
        <v>0</v>
      </c>
      <c r="AJ267" s="70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 t="str">
        <f>'RESUMEN TOTAL'!O300</f>
        <v>APAGADO</v>
      </c>
      <c r="J268" s="70" t="str">
        <f>'RESUMEN TOTAL'!P300</f>
        <v>APAGADO</v>
      </c>
      <c r="K268" s="70" t="str">
        <f>'RESUMEN TOTAL'!Q300</f>
        <v>APAGADO</v>
      </c>
      <c r="L268" s="70" t="str">
        <f>'RESUMEN TOTAL'!R300</f>
        <v>APAGADO</v>
      </c>
      <c r="M268" s="70" t="str">
        <f>'RESUMEN TOTAL'!S300</f>
        <v>APAGADO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 t="str">
        <f>'RESUMEN TOTAL'!O301</f>
        <v>APAGADO</v>
      </c>
      <c r="J269" s="70" t="str">
        <f>'RESUMEN TOTAL'!P301</f>
        <v>APAGADO</v>
      </c>
      <c r="K269" s="70" t="str">
        <f>'RESUMEN TOTAL'!Q301</f>
        <v>APAGADO</v>
      </c>
      <c r="L269" s="70" t="str">
        <f>'RESUMEN TOTAL'!R301</f>
        <v>APAGADO</v>
      </c>
      <c r="M269" s="70" t="str">
        <f>'RESUMEN TOTAL'!S301</f>
        <v>APAGADO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 t="str">
        <f>'RESUMEN TOTAL'!O302</f>
        <v>APAGADO</v>
      </c>
      <c r="J270" s="70" t="str">
        <f>'RESUMEN TOTAL'!P302</f>
        <v>APAGADO</v>
      </c>
      <c r="K270" s="70" t="str">
        <f>'RESUMEN TOTAL'!Q302</f>
        <v>APAGADO</v>
      </c>
      <c r="L270" s="70" t="str">
        <f>'RESUMEN TOTAL'!R302</f>
        <v>APAGADO</v>
      </c>
      <c r="M270" s="70" t="str">
        <f>'RESUMEN TOTAL'!S302</f>
        <v>APAGADO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 t="str">
        <f>'RESUMEN TOTAL'!O303</f>
        <v>APAGADO</v>
      </c>
      <c r="J271" s="70" t="str">
        <f>'RESUMEN TOTAL'!P303</f>
        <v>APAGADO</v>
      </c>
      <c r="K271" s="70" t="str">
        <f>'RESUMEN TOTAL'!Q303</f>
        <v>APAGADO</v>
      </c>
      <c r="L271" s="70" t="str">
        <f>'RESUMEN TOTAL'!R303</f>
        <v>APAGADO</v>
      </c>
      <c r="M271" s="70" t="str">
        <f>'RESUMEN TOTAL'!S303</f>
        <v>APAGADO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 t="str">
        <f>'RESUMEN TOTAL'!O304</f>
        <v>APAGADO</v>
      </c>
      <c r="J272" s="70" t="str">
        <f>'RESUMEN TOTAL'!P304</f>
        <v>APAGADO</v>
      </c>
      <c r="K272" s="70" t="str">
        <f>'RESUMEN TOTAL'!Q304</f>
        <v>APAGADO</v>
      </c>
      <c r="L272" s="70" t="str">
        <f>'RESUMEN TOTAL'!R304</f>
        <v>APAGADO</v>
      </c>
      <c r="M272" s="70" t="str">
        <f>'RESUMEN TOTAL'!S304</f>
        <v>APAGADO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 t="str">
        <f>'RESUMEN TOTAL'!M305</f>
        <v>APAGADO</v>
      </c>
      <c r="H273" s="70" t="str">
        <f>'RESUMEN TOTAL'!N305</f>
        <v>APAGADO</v>
      </c>
      <c r="I273" s="70" t="str">
        <f>'RESUMEN TOTAL'!O305</f>
        <v>APAGADO</v>
      </c>
      <c r="J273" s="70" t="str">
        <f>'RESUMEN TOTAL'!P305</f>
        <v>APAGADO</v>
      </c>
      <c r="K273" s="70" t="str">
        <f>'RESUMEN TOTAL'!Q305</f>
        <v>APAGADO</v>
      </c>
      <c r="L273" s="70" t="str">
        <f>'RESUMEN TOTAL'!R305</f>
        <v>APAGADO</v>
      </c>
      <c r="M273" s="70" t="str">
        <f>'RESUMEN TOTAL'!S305</f>
        <v>APAGADO</v>
      </c>
      <c r="N273" s="70" t="str">
        <f>'RESUMEN TOTAL'!T305</f>
        <v>APAGADO</v>
      </c>
      <c r="O273" s="70" t="str">
        <f>'RESUMEN TOTAL'!U305</f>
        <v>APAGADO</v>
      </c>
      <c r="P273" s="70" t="str">
        <f>'RESUMEN TOTAL'!V305</f>
        <v>APAGADO</v>
      </c>
      <c r="Q273" s="70" t="str">
        <f>'RESUMEN TOTAL'!W305</f>
        <v>APAGADO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 t="str">
        <f>'RESUMEN TOTAL'!AD305</f>
        <v>APAGADO</v>
      </c>
      <c r="Y273" s="70" t="str">
        <f>'RESUMEN TOTAL'!AE305</f>
        <v>APAGADO</v>
      </c>
      <c r="Z273" s="70" t="str">
        <f>'RESUMEN TOTAL'!AF305</f>
        <v>APAGADO</v>
      </c>
      <c r="AA273" s="70" t="str">
        <f>'RESUMEN TOTAL'!AG305</f>
        <v>APAGADO</v>
      </c>
      <c r="AB273" s="70" t="str">
        <f>'RESUMEN TOTAL'!AH305</f>
        <v>APAGADO</v>
      </c>
      <c r="AC273" s="70" t="str">
        <f>'RESUMEN TOTAL'!AI305</f>
        <v>APAGADO</v>
      </c>
      <c r="AD273" s="70" t="str">
        <f>'RESUMEN TOTAL'!AJ305</f>
        <v>APAGADO</v>
      </c>
      <c r="AE273" s="70" t="str">
        <f>'RESUMEN TOTAL'!AK305</f>
        <v>APAGADO</v>
      </c>
      <c r="AF273" s="70" t="str">
        <f>'RESUMEN TOTAL'!AL305</f>
        <v>APAGADO</v>
      </c>
      <c r="AG273" s="70">
        <f>'RESUMEN TOTAL'!AM305</f>
        <v>0</v>
      </c>
      <c r="AH273" s="70">
        <f>'RESUMEN TOTAL'!AN305</f>
        <v>0</v>
      </c>
      <c r="AI273" s="70">
        <f>'RESUMEN TOTAL'!AO305</f>
        <v>0</v>
      </c>
      <c r="AJ273" s="70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 t="str">
        <f>'RESUMEN TOTAL'!O306</f>
        <v>APAGADO</v>
      </c>
      <c r="J274" s="70" t="str">
        <f>'RESUMEN TOTAL'!P306</f>
        <v>APAGADO</v>
      </c>
      <c r="K274" s="70" t="str">
        <f>'RESUMEN TOTAL'!Q306</f>
        <v>APAGADO</v>
      </c>
      <c r="L274" s="70" t="str">
        <f>'RESUMEN TOTAL'!R306</f>
        <v>APAGADO</v>
      </c>
      <c r="M274" s="70" t="str">
        <f>'RESUMEN TOTAL'!S306</f>
        <v>APAGADO</v>
      </c>
      <c r="N274" s="70" t="str">
        <f>'RESUMEN TOTAL'!T306</f>
        <v>APAGADO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 t="str">
        <f>'RESUMEN TOTAL'!O307</f>
        <v>APAGADO</v>
      </c>
      <c r="J275" s="70" t="str">
        <f>'RESUMEN TOTAL'!P307</f>
        <v>APAGADO</v>
      </c>
      <c r="K275" s="70" t="str">
        <f>'RESUMEN TOTAL'!Q307</f>
        <v>APAGADO</v>
      </c>
      <c r="L275" s="70" t="str">
        <f>'RESUMEN TOTAL'!R307</f>
        <v>APAGADO</v>
      </c>
      <c r="M275" s="70" t="str">
        <f>'RESUMEN TOTAL'!S307</f>
        <v>APAGADO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 t="str">
        <f>'RESUMEN TOTAL'!O308</f>
        <v>APAGADO</v>
      </c>
      <c r="J276" s="70" t="str">
        <f>'RESUMEN TOTAL'!P308</f>
        <v>APAGADO</v>
      </c>
      <c r="K276" s="70" t="str">
        <f>'RESUMEN TOTAL'!Q308</f>
        <v>APAGADO</v>
      </c>
      <c r="L276" s="70" t="str">
        <f>'RESUMEN TOTAL'!R308</f>
        <v>APAGADO</v>
      </c>
      <c r="M276" s="70" t="str">
        <f>'RESUMEN TOTAL'!S308</f>
        <v>APAGADO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 t="str">
        <f>'RESUMEN TOTAL'!M309</f>
        <v>APAGADO</v>
      </c>
      <c r="H277" s="70" t="str">
        <f>'RESUMEN TOTAL'!N309</f>
        <v>APAGADO</v>
      </c>
      <c r="I277" s="70" t="str">
        <f>'RESUMEN TOTAL'!O309</f>
        <v>APAGADO</v>
      </c>
      <c r="J277" s="70" t="str">
        <f>'RESUMEN TOTAL'!P309</f>
        <v>APAGADO</v>
      </c>
      <c r="K277" s="70" t="str">
        <f>'RESUMEN TOTAL'!Q309</f>
        <v>APAGADO</v>
      </c>
      <c r="L277" s="70" t="str">
        <f>'RESUMEN TOTAL'!R309</f>
        <v>APAGADO</v>
      </c>
      <c r="M277" s="70" t="str">
        <f>'RESUMEN TOTAL'!S309</f>
        <v>APAGADO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 t="str">
        <f>'RESUMEN TOTAL'!O310</f>
        <v>APAGADO</v>
      </c>
      <c r="J278" s="70" t="str">
        <f>'RESUMEN TOTAL'!P310</f>
        <v>APAGADO</v>
      </c>
      <c r="K278" s="70" t="str">
        <f>'RESUMEN TOTAL'!Q310</f>
        <v>APAGADO</v>
      </c>
      <c r="L278" s="70" t="str">
        <f>'RESUMEN TOTAL'!R310</f>
        <v>APAGADO</v>
      </c>
      <c r="M278" s="70" t="str">
        <f>'RESUMEN TOTAL'!S310</f>
        <v>APAGADO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 t="str">
        <f>'RESUMEN TOTAL'!L314</f>
        <v>APAGADO</v>
      </c>
      <c r="G279" s="70" t="str">
        <f>'RESUMEN TOTAL'!M314</f>
        <v>APAGADO</v>
      </c>
      <c r="H279" s="70" t="str">
        <f>'RESUMEN TOTAL'!N314</f>
        <v>APAGADO</v>
      </c>
      <c r="I279" s="70" t="str">
        <f>'RESUMEN TOTAL'!O314</f>
        <v>APAGADO</v>
      </c>
      <c r="J279" s="70" t="str">
        <f>'RESUMEN TOTAL'!P314</f>
        <v>APAGADO</v>
      </c>
      <c r="K279" s="70" t="str">
        <f>'RESUMEN TOTAL'!Q314</f>
        <v>APAGADO</v>
      </c>
      <c r="L279" s="70" t="str">
        <f>'RESUMEN TOTAL'!R314</f>
        <v>APAGADO</v>
      </c>
      <c r="M279" s="70" t="str">
        <f>'RESUMEN TOTAL'!S314</f>
        <v>APAGADO</v>
      </c>
      <c r="N279" s="70" t="str">
        <f>'RESUMEN TOTAL'!T314</f>
        <v>APAGADO</v>
      </c>
      <c r="O279" s="70" t="str">
        <f>'RESUMEN TOTAL'!U314</f>
        <v>APAGADO</v>
      </c>
      <c r="P279" s="70" t="str">
        <f>'RESUMEN TOTAL'!V314</f>
        <v>APAGADO</v>
      </c>
      <c r="Q279" s="70" t="str">
        <f>'RESUMEN TOTAL'!W314</f>
        <v>APAGADO</v>
      </c>
      <c r="R279" s="70" t="str">
        <f>'RESUMEN TOTAL'!X314</f>
        <v>APAGADO</v>
      </c>
      <c r="S279" s="70" t="str">
        <f>'RESUMEN TOTAL'!Y314</f>
        <v>APAGADO</v>
      </c>
      <c r="T279" s="70" t="str">
        <f>'RESUMEN TOTAL'!Z314</f>
        <v>APAGADO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 t="str">
        <f>'RESUMEN TOTAL'!L315</f>
        <v>APAGADO</v>
      </c>
      <c r="G280" s="70" t="str">
        <f>'RESUMEN TOTAL'!M315</f>
        <v>APAGADO</v>
      </c>
      <c r="H280" s="70" t="str">
        <f>'RESUMEN TOTAL'!N315</f>
        <v>APAGADO</v>
      </c>
      <c r="I280" s="70" t="str">
        <f>'RESUMEN TOTAL'!O315</f>
        <v>APAGADO</v>
      </c>
      <c r="J280" s="70" t="str">
        <f>'RESUMEN TOTAL'!P315</f>
        <v>APAGADO</v>
      </c>
      <c r="K280" s="70" t="str">
        <f>'RESUMEN TOTAL'!Q315</f>
        <v>APAGADO</v>
      </c>
      <c r="L280" s="70" t="str">
        <f>'RESUMEN TOTAL'!R315</f>
        <v>APAGADO</v>
      </c>
      <c r="M280" s="70" t="str">
        <f>'RESUMEN TOTAL'!S315</f>
        <v>APAGADO</v>
      </c>
      <c r="N280" s="70" t="str">
        <f>'RESUMEN TOTAL'!T315</f>
        <v>APAGADO</v>
      </c>
      <c r="O280" s="70" t="str">
        <f>'RESUMEN TOTAL'!U315</f>
        <v>APAGADO</v>
      </c>
      <c r="P280" s="70" t="str">
        <f>'RESUMEN TOTAL'!V315</f>
        <v>APAGADO</v>
      </c>
      <c r="Q280" s="70" t="str">
        <f>'RESUMEN TOTAL'!W315</f>
        <v>APAGADO</v>
      </c>
      <c r="R280" s="70" t="str">
        <f>'RESUMEN TOTAL'!X315</f>
        <v>APAGADO</v>
      </c>
      <c r="S280" s="70" t="str">
        <f>'RESUMEN TOTAL'!Y315</f>
        <v>APAGADO</v>
      </c>
      <c r="T280" s="70" t="str">
        <f>'RESUMEN TOTAL'!Z315</f>
        <v>APAGADO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 t="str">
        <f>'RESUMEN TOTAL'!L317</f>
        <v>APAGADO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 t="str">
        <f>'RESUMEN TOTAL'!U317</f>
        <v>APAGADO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 t="str">
        <f>'RESUMEN TOTAL'!L318</f>
        <v>APAGADO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 t="str">
        <f>'RESUMEN TOTAL'!U318</f>
        <v>APAGADO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>
        <f>'RESUMEN TOTAL'!L320</f>
        <v>0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 t="str">
        <f>'RESUMEN TOTAL'!S320</f>
        <v>APAGADO</v>
      </c>
      <c r="N285" s="70">
        <f>'RESUMEN TOTAL'!T320</f>
        <v>0</v>
      </c>
      <c r="O285" s="70" t="str">
        <f>'RESUMEN TOTAL'!U320</f>
        <v>APAGADO</v>
      </c>
      <c r="P285" s="70" t="str">
        <f>'RESUMEN TOTAL'!V320</f>
        <v>APAGADO</v>
      </c>
      <c r="Q285" s="70" t="str">
        <f>'RESUMEN TOTAL'!W320</f>
        <v>APAGADO</v>
      </c>
      <c r="R285" s="70" t="str">
        <f>'RESUMEN TOTAL'!X320</f>
        <v>APAGADO</v>
      </c>
      <c r="S285" s="70" t="str">
        <f>'RESUMEN TOTAL'!Y320</f>
        <v>APAGADO</v>
      </c>
      <c r="T285" s="70">
        <f>'RESUMEN TOTAL'!Z320</f>
        <v>0</v>
      </c>
      <c r="U285" s="70" t="str">
        <f>'RESUMEN TOTAL'!AA320</f>
        <v>APAGADO</v>
      </c>
      <c r="V285" s="70" t="str">
        <f>'RESUMEN TOTAL'!AB320</f>
        <v>APAGADO</v>
      </c>
      <c r="W285" s="70">
        <f>'RESUMEN TOTAL'!AC320</f>
        <v>0</v>
      </c>
      <c r="X285" s="70" t="str">
        <f>'RESUMEN TOTAL'!AD320</f>
        <v>APAGADO</v>
      </c>
      <c r="Y285" s="70" t="str">
        <f>'RESUMEN TOTAL'!AE320</f>
        <v>APAGADO</v>
      </c>
      <c r="Z285" s="70" t="str">
        <f>'RESUMEN TOTAL'!AF320</f>
        <v>APAGADO</v>
      </c>
      <c r="AA285" s="70" t="str">
        <f>'RESUMEN TOTAL'!AG320</f>
        <v>APAGADO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>
        <f>'RESUMEN TOTAL'!AN320</f>
        <v>0</v>
      </c>
      <c r="AI285" s="70">
        <f>'RESUMEN TOTAL'!AO320</f>
        <v>0</v>
      </c>
      <c r="AJ285" s="70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 t="str">
        <f>'RESUMEN TOTAL'!AG324</f>
        <v>APAGADO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>
        <f>'RESUMEN TOTAL'!L325</f>
        <v>0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 t="str">
        <f>'RESUMEN TOTAL'!AA325</f>
        <v>APAGADO</v>
      </c>
      <c r="V290" s="70" t="str">
        <f>'RESUMEN TOTAL'!AB325</f>
        <v>APAGADO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 t="str">
        <f>'RESUMEN TOTAL'!AI325</f>
        <v>APAGADO</v>
      </c>
      <c r="AD290" s="70">
        <f>'RESUMEN TOTAL'!AJ325</f>
        <v>0</v>
      </c>
      <c r="AE290" s="70" t="str">
        <f>'RESUMEN TOTAL'!AK325</f>
        <v>APAGADO</v>
      </c>
      <c r="AF290" s="70">
        <f>'RESUMEN TOTAL'!AL325</f>
        <v>0</v>
      </c>
      <c r="AG290" s="70">
        <f>'RESUMEN TOTAL'!AM325</f>
        <v>0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>
        <f>'RESUMEN TOTAL'!L326</f>
        <v>0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 t="str">
        <f>'RESUMEN TOTAL'!AA326</f>
        <v>APAGADO</v>
      </c>
      <c r="V291" s="70" t="str">
        <f>'RESUMEN TOTAL'!AB326</f>
        <v>APAGADO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 t="str">
        <f>'RESUMEN TOTAL'!AI326</f>
        <v>APAGADO</v>
      </c>
      <c r="AD291" s="70">
        <f>'RESUMEN TOTAL'!AJ326</f>
        <v>0</v>
      </c>
      <c r="AE291" s="70" t="str">
        <f>'RESUMEN TOTAL'!AK326</f>
        <v>APAGADO</v>
      </c>
      <c r="AF291" s="70">
        <f>'RESUMEN TOTAL'!AL326</f>
        <v>0</v>
      </c>
      <c r="AG291" s="70">
        <f>'RESUMEN TOTAL'!AM326</f>
        <v>0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 t="str">
        <f>'RESUMEN TOTAL'!L331</f>
        <v>APAGADO</v>
      </c>
      <c r="G296" s="70" t="str">
        <f>'RESUMEN TOTAL'!M331</f>
        <v>APAGADO</v>
      </c>
      <c r="H296" s="70" t="str">
        <f>'RESUMEN TOTAL'!N331</f>
        <v>APAGADO</v>
      </c>
      <c r="I296" s="70" t="str">
        <f>'RESUMEN TOTAL'!O331</f>
        <v>APAGADO</v>
      </c>
      <c r="J296" s="70" t="str">
        <f>'RESUMEN TOTAL'!P331</f>
        <v>APAGADO</v>
      </c>
      <c r="K296" s="70" t="str">
        <f>'RESUMEN TOTAL'!Q331</f>
        <v>APAGADO</v>
      </c>
      <c r="L296" s="70" t="str">
        <f>'RESUMEN TOTAL'!R331</f>
        <v>APAGADO</v>
      </c>
      <c r="M296" s="70" t="str">
        <f>'RESUMEN TOTAL'!S331</f>
        <v>APAGADO</v>
      </c>
      <c r="N296" s="70" t="str">
        <f>'RESUMEN TOTAL'!T331</f>
        <v>APAGADO</v>
      </c>
      <c r="O296" s="70" t="str">
        <f>'RESUMEN TOTAL'!U331</f>
        <v>APAGADO</v>
      </c>
      <c r="P296" s="70" t="str">
        <f>'RESUMEN TOTAL'!V331</f>
        <v>APAGADO</v>
      </c>
      <c r="Q296" s="70" t="str">
        <f>'RESUMEN TOTAL'!W331</f>
        <v>APAGADO</v>
      </c>
      <c r="R296" s="70" t="str">
        <f>'RESUMEN TOTAL'!X331</f>
        <v>APAGADO</v>
      </c>
      <c r="S296" s="70" t="str">
        <f>'RESUMEN TOTAL'!Y331</f>
        <v>APAGADO</v>
      </c>
      <c r="T296" s="70" t="str">
        <f>'RESUMEN TOTAL'!Z331</f>
        <v>APAGADO</v>
      </c>
      <c r="U296" s="70" t="str">
        <f>'RESUMEN TOTAL'!AA331</f>
        <v>APAGADO</v>
      </c>
      <c r="V296" s="70" t="str">
        <f>'RESUMEN TOTAL'!AB331</f>
        <v>APAGADO</v>
      </c>
      <c r="W296" s="70">
        <f>'RESUMEN TOTAL'!AC331</f>
        <v>0</v>
      </c>
      <c r="X296" s="70" t="str">
        <f>'RESUMEN TOTAL'!AD331</f>
        <v>APAGADO</v>
      </c>
      <c r="Y296" s="70" t="str">
        <f>'RESUMEN TOTAL'!AE331</f>
        <v>APAGADO</v>
      </c>
      <c r="Z296" s="70" t="str">
        <f>'RESUMEN TOTAL'!AF331</f>
        <v>APAGADO</v>
      </c>
      <c r="AA296" s="70">
        <f>'RESUMEN TOTAL'!AG331</f>
        <v>0</v>
      </c>
      <c r="AB296" s="70" t="str">
        <f>'RESUMEN TOTAL'!AH331</f>
        <v>APAGADO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>
        <f>'RESUMEN TOTAL'!AN331</f>
        <v>0</v>
      </c>
      <c r="AI296" s="70">
        <f>'RESUMEN TOTAL'!AO331</f>
        <v>0</v>
      </c>
      <c r="AJ296" s="70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 t="str">
        <f>'RESUMEN TOTAL'!L335</f>
        <v>APAGADO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 t="str">
        <f>'RESUMEN TOTAL'!M336</f>
        <v>APAGADO</v>
      </c>
      <c r="H301" s="70" t="str">
        <f>'RESUMEN TOTAL'!N336</f>
        <v>APAGADO</v>
      </c>
      <c r="I301" s="70" t="str">
        <f>'RESUMEN TOTAL'!O336</f>
        <v>APAGADO</v>
      </c>
      <c r="J301" s="70" t="str">
        <f>'RESUMEN TOTAL'!P336</f>
        <v>APAGADO</v>
      </c>
      <c r="K301" s="70" t="str">
        <f>'RESUMEN TOTAL'!Q336</f>
        <v>APAGADO</v>
      </c>
      <c r="L301" s="70" t="str">
        <f>'RESUMEN TOTAL'!R336</f>
        <v>APAGADO</v>
      </c>
      <c r="M301" s="70" t="str">
        <f>'RESUMEN TOTAL'!S336</f>
        <v>APAGADO</v>
      </c>
      <c r="N301" s="70" t="str">
        <f>'RESUMEN TOTAL'!T336</f>
        <v>APAGADO</v>
      </c>
      <c r="O301" s="70" t="str">
        <f>'RESUMEN TOTAL'!U336</f>
        <v>APAGADO</v>
      </c>
      <c r="P301" s="70" t="str">
        <f>'RESUMEN TOTAL'!V336</f>
        <v>APAGADO</v>
      </c>
      <c r="Q301" s="70" t="str">
        <f>'RESUMEN TOTAL'!W336</f>
        <v>APAGADO</v>
      </c>
      <c r="R301" s="70" t="str">
        <f>'RESUMEN TOTAL'!X336</f>
        <v>APAGADO</v>
      </c>
      <c r="S301" s="70" t="str">
        <f>'RESUMEN TOTAL'!Y336</f>
        <v>APAGADO</v>
      </c>
      <c r="T301" s="70" t="str">
        <f>'RESUMEN TOTAL'!Z336</f>
        <v>APAGADO</v>
      </c>
      <c r="U301" s="70" t="str">
        <f>'RESUMEN TOTAL'!AA336</f>
        <v>APAGADO</v>
      </c>
      <c r="V301" s="70" t="str">
        <f>'RESUMEN TOTAL'!AB336</f>
        <v>APAGADO</v>
      </c>
      <c r="W301" s="70" t="str">
        <f>'RESUMEN TOTAL'!AC336</f>
        <v>APAGADO</v>
      </c>
      <c r="X301" s="70" t="str">
        <f>'RESUMEN TOTAL'!AD336</f>
        <v>APAGADO</v>
      </c>
      <c r="Y301" s="70" t="str">
        <f>'RESUMEN TOTAL'!AE336</f>
        <v>APAGADO</v>
      </c>
      <c r="Z301" s="70" t="str">
        <f>'RESUMEN TOTAL'!AF336</f>
        <v>APAGADO</v>
      </c>
      <c r="AA301" s="70" t="str">
        <f>'RESUMEN TOTAL'!AG336</f>
        <v>APAGADO</v>
      </c>
      <c r="AB301" s="70" t="str">
        <f>'RESUMEN TOTAL'!AH336</f>
        <v>APAGADO</v>
      </c>
      <c r="AC301" s="70" t="str">
        <f>'RESUMEN TOTAL'!AI336</f>
        <v>APAGADO</v>
      </c>
      <c r="AD301" s="70" t="str">
        <f>'RESUMEN TOTAL'!AJ336</f>
        <v>APAGADO</v>
      </c>
      <c r="AE301" s="70" t="str">
        <f>'RESUMEN TOTAL'!AK336</f>
        <v>APAGADO</v>
      </c>
      <c r="AF301" s="70" t="str">
        <f>'RESUMEN TOTAL'!AL336</f>
        <v>APAGADO</v>
      </c>
      <c r="AG301" s="70">
        <f>'RESUMEN TOTAL'!AM336</f>
        <v>0</v>
      </c>
      <c r="AH301" s="70">
        <f>'RESUMEN TOTAL'!AN336</f>
        <v>0</v>
      </c>
      <c r="AI301" s="70">
        <f>'RESUMEN TOTAL'!AO336</f>
        <v>0</v>
      </c>
      <c r="AJ301" s="70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 t="str">
        <f>'RESUMEN TOTAL'!M337</f>
        <v>APAGADO</v>
      </c>
      <c r="H302" s="70" t="str">
        <f>'RESUMEN TOTAL'!N337</f>
        <v>APAGADO</v>
      </c>
      <c r="I302" s="70" t="str">
        <f>'RESUMEN TOTAL'!O337</f>
        <v>APAGADO</v>
      </c>
      <c r="J302" s="70" t="str">
        <f>'RESUMEN TOTAL'!P337</f>
        <v>APAGADO</v>
      </c>
      <c r="K302" s="70" t="str">
        <f>'RESUMEN TOTAL'!Q337</f>
        <v>APAGADO</v>
      </c>
      <c r="L302" s="70" t="str">
        <f>'RESUMEN TOTAL'!R337</f>
        <v>APAGADO</v>
      </c>
      <c r="M302" s="70" t="str">
        <f>'RESUMEN TOTAL'!S337</f>
        <v>APAGADO</v>
      </c>
      <c r="N302" s="70" t="str">
        <f>'RESUMEN TOTAL'!T337</f>
        <v>APAGADO</v>
      </c>
      <c r="O302" s="70" t="str">
        <f>'RESUMEN TOTAL'!U337</f>
        <v>APAGADO</v>
      </c>
      <c r="P302" s="70" t="str">
        <f>'RESUMEN TOTAL'!V337</f>
        <v>APAGADO</v>
      </c>
      <c r="Q302" s="70" t="str">
        <f>'RESUMEN TOTAL'!W337</f>
        <v>APAGADO</v>
      </c>
      <c r="R302" s="70" t="str">
        <f>'RESUMEN TOTAL'!X337</f>
        <v>APAGADO</v>
      </c>
      <c r="S302" s="70" t="str">
        <f>'RESUMEN TOTAL'!Y337</f>
        <v>APAGADO</v>
      </c>
      <c r="T302" s="70" t="str">
        <f>'RESUMEN TOTAL'!Z337</f>
        <v>APAGADO</v>
      </c>
      <c r="U302" s="70" t="str">
        <f>'RESUMEN TOTAL'!AA337</f>
        <v>APAGADO</v>
      </c>
      <c r="V302" s="70" t="str">
        <f>'RESUMEN TOTAL'!AB337</f>
        <v>APAGADO</v>
      </c>
      <c r="W302" s="70" t="str">
        <f>'RESUMEN TOTAL'!AC337</f>
        <v>APAGADO</v>
      </c>
      <c r="X302" s="70" t="str">
        <f>'RESUMEN TOTAL'!AD337</f>
        <v>APAGADO</v>
      </c>
      <c r="Y302" s="70" t="str">
        <f>'RESUMEN TOTAL'!AE337</f>
        <v>APAGADO</v>
      </c>
      <c r="Z302" s="70" t="str">
        <f>'RESUMEN TOTAL'!AF337</f>
        <v>APAGADO</v>
      </c>
      <c r="AA302" s="70" t="str">
        <f>'RESUMEN TOTAL'!AG337</f>
        <v>APAGADO</v>
      </c>
      <c r="AB302" s="70" t="str">
        <f>'RESUMEN TOTAL'!AH337</f>
        <v>APAGADO</v>
      </c>
      <c r="AC302" s="70" t="str">
        <f>'RESUMEN TOTAL'!AI337</f>
        <v>APAGADO</v>
      </c>
      <c r="AD302" s="70" t="str">
        <f>'RESUMEN TOTAL'!AJ337</f>
        <v>APAGADO</v>
      </c>
      <c r="AE302" s="70" t="str">
        <f>'RESUMEN TOTAL'!AK337</f>
        <v>APAGADO</v>
      </c>
      <c r="AF302" s="70" t="str">
        <f>'RESUMEN TOTAL'!AL337</f>
        <v>APAGADO</v>
      </c>
      <c r="AG302" s="70">
        <f>'RESUMEN TOTAL'!AM337</f>
        <v>0</v>
      </c>
      <c r="AH302" s="70">
        <f>'RESUMEN TOTAL'!AN337</f>
        <v>0</v>
      </c>
      <c r="AI302" s="70">
        <f>'RESUMEN TOTAL'!AO337</f>
        <v>0</v>
      </c>
      <c r="AJ302" s="70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 t="str">
        <f>'RESUMEN TOTAL'!P338</f>
        <v>APAGADO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 t="str">
        <f>'RESUMEN TOTAL'!M339</f>
        <v>APAGADO</v>
      </c>
      <c r="H304" s="70" t="str">
        <f>'RESUMEN TOTAL'!N339</f>
        <v>APAGADO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 t="str">
        <f>'RESUMEN TOTAL'!AA339</f>
        <v>APAGADO</v>
      </c>
      <c r="V304" s="70" t="str">
        <f>'RESUMEN TOTAL'!AB339</f>
        <v>APAGADO</v>
      </c>
      <c r="W304" s="70">
        <f>'RESUMEN TOTAL'!AC339</f>
        <v>0</v>
      </c>
      <c r="X304" s="70">
        <f>'RESUMEN TOTAL'!AD339</f>
        <v>0</v>
      </c>
      <c r="Y304" s="70" t="str">
        <f>'RESUMEN TOTAL'!AE339</f>
        <v>APAGADO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 t="str">
        <f>'RESUMEN TOTAL'!M340</f>
        <v>APAGADO</v>
      </c>
      <c r="H305" s="70" t="str">
        <f>'RESUMEN TOTAL'!N340</f>
        <v>APAGADO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 t="str">
        <f>'RESUMEN TOTAL'!AA340</f>
        <v>APAGADO</v>
      </c>
      <c r="V305" s="70" t="str">
        <f>'RESUMEN TOTAL'!AB340</f>
        <v>APAGADO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 t="str">
        <f>'RESUMEN TOTAL'!M341</f>
        <v>APAGADO</v>
      </c>
      <c r="H306" s="70" t="str">
        <f>'RESUMEN TOTAL'!N341</f>
        <v>APAGADO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 t="str">
        <f>'RESUMEN TOTAL'!AA341</f>
        <v>APAGADO</v>
      </c>
      <c r="V306" s="70" t="str">
        <f>'RESUMEN TOTAL'!AB341</f>
        <v>APAGADO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 t="str">
        <f>'RESUMEN TOTAL'!M344</f>
        <v>APAGADO</v>
      </c>
      <c r="H309" s="70" t="str">
        <f>'RESUMEN TOTAL'!N344</f>
        <v>APAGADO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 t="str">
        <f>'RESUMEN TOTAL'!AA344</f>
        <v>APAGADO</v>
      </c>
      <c r="V309" s="70" t="str">
        <f>'RESUMEN TOTAL'!AB344</f>
        <v>APAGADO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 t="str">
        <f>'RESUMEN TOTAL'!M345</f>
        <v>APAGADO</v>
      </c>
      <c r="H310" s="70" t="str">
        <f>'RESUMEN TOTAL'!N345</f>
        <v>APAGADO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 t="str">
        <f>'RESUMEN TOTAL'!AA345</f>
        <v>APAGADO</v>
      </c>
      <c r="V310" s="70" t="str">
        <f>'RESUMEN TOTAL'!AB345</f>
        <v>APAGADO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 t="str">
        <f>'RESUMEN TOTAL'!M346</f>
        <v>APAGADO</v>
      </c>
      <c r="H311" s="70" t="str">
        <f>'RESUMEN TOTAL'!N346</f>
        <v>APAGADO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 t="str">
        <f>'RESUMEN TOTAL'!AA346</f>
        <v>APAGADO</v>
      </c>
      <c r="V311" s="70" t="str">
        <f>'RESUMEN TOTAL'!AB346</f>
        <v>APAGADO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 t="str">
        <f>'RESUMEN TOTAL'!M347</f>
        <v>APAGADO</v>
      </c>
      <c r="H312" s="70" t="str">
        <f>'RESUMEN TOTAL'!N347</f>
        <v>APAGADO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 t="str">
        <f>'RESUMEN TOTAL'!AA347</f>
        <v>APAGADO</v>
      </c>
      <c r="V312" s="70" t="str">
        <f>'RESUMEN TOTAL'!AB347</f>
        <v>APAGADO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 t="str">
        <f>'RESUMEN TOTAL'!AA348</f>
        <v>APAGADO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 t="str">
        <f>'RESUMEN TOTAL'!M349</f>
        <v>APAGADO</v>
      </c>
      <c r="H314" s="70" t="str">
        <f>'RESUMEN TOTAL'!N349</f>
        <v>APAGADO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 t="str">
        <f>'RESUMEN TOTAL'!AA349</f>
        <v>APAGADO</v>
      </c>
      <c r="V314" s="70" t="str">
        <f>'RESUMEN TOTAL'!AB349</f>
        <v>APAGADO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 t="str">
        <f>'RESUMEN TOTAL'!M350</f>
        <v>APAGADO</v>
      </c>
      <c r="H315" s="70" t="str">
        <f>'RESUMEN TOTAL'!N350</f>
        <v>APAGADO</v>
      </c>
      <c r="I315" s="70">
        <f>'RESUMEN TOTAL'!O350</f>
        <v>0</v>
      </c>
      <c r="J315" s="70" t="str">
        <f>'RESUMEN TOTAL'!P350</f>
        <v>APAGADO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>
        <f>'RESUMEN TOTAL'!L354</f>
        <v>0</v>
      </c>
      <c r="G316" s="70">
        <f>'RESUMEN TOTAL'!M354</f>
        <v>0</v>
      </c>
      <c r="H316" s="70">
        <f>'RESUMEN TOTAL'!N354</f>
        <v>0</v>
      </c>
      <c r="I316" s="70" t="str">
        <f>'RESUMEN TOTAL'!O354</f>
        <v>APAGADO</v>
      </c>
      <c r="J316" s="70">
        <f>'RESUMEN TOTAL'!P354</f>
        <v>0</v>
      </c>
      <c r="K316" s="70" t="str">
        <f>'RESUMEN TOTAL'!Q354</f>
        <v>APAGADO</v>
      </c>
      <c r="L316" s="70" t="str">
        <f>'RESUMEN TOTAL'!R354</f>
        <v>APAGADO</v>
      </c>
      <c r="M316" s="70" t="str">
        <f>'RESUMEN TOTAL'!S354</f>
        <v>APAGADO</v>
      </c>
      <c r="N316" s="70" t="str">
        <f>'RESUMEN TOTAL'!T354</f>
        <v>APAGADO</v>
      </c>
      <c r="O316" s="70" t="str">
        <f>'RESUMEN TOTAL'!U354</f>
        <v>APAGADO</v>
      </c>
      <c r="P316" s="70" t="str">
        <f>'RESUMEN TOTAL'!V354</f>
        <v>APAGADO</v>
      </c>
      <c r="Q316" s="70" t="str">
        <f>'RESUMEN TOTAL'!W354</f>
        <v>APAGADO</v>
      </c>
      <c r="R316" s="70" t="str">
        <f>'RESUMEN TOTAL'!X354</f>
        <v>APAGADO</v>
      </c>
      <c r="S316" s="70" t="str">
        <f>'RESUMEN TOTAL'!Y354</f>
        <v>APAGADO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 t="str">
        <f>'RESUMEN TOTAL'!AC354</f>
        <v>APAGADO</v>
      </c>
      <c r="X316" s="70" t="str">
        <f>'RESUMEN TOTAL'!AD354</f>
        <v>APAGADO</v>
      </c>
      <c r="Y316" s="70" t="str">
        <f>'RESUMEN TOTAL'!AE354</f>
        <v>APAGADO</v>
      </c>
      <c r="Z316" s="70" t="str">
        <f>'RESUMEN TOTAL'!AF354</f>
        <v>APAGADO</v>
      </c>
      <c r="AA316" s="70" t="str">
        <f>'RESUMEN TOTAL'!AG354</f>
        <v>APAGADO</v>
      </c>
      <c r="AB316" s="70">
        <f>'RESUMEN TOTAL'!AH354</f>
        <v>0</v>
      </c>
      <c r="AC316" s="70" t="str">
        <f>'RESUMEN TOTAL'!AI354</f>
        <v>APAGADO</v>
      </c>
      <c r="AD316" s="70" t="str">
        <f>'RESUMEN TOTAL'!AJ354</f>
        <v>APAGADO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>
        <f>'RESUMEN TOTAL'!AO354</f>
        <v>0</v>
      </c>
      <c r="AJ316" s="70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 t="str">
        <f>'RESUMEN TOTAL'!X360</f>
        <v>APAGADO</v>
      </c>
      <c r="S322" s="70" t="str">
        <f>'RESUMEN TOTAL'!Y360</f>
        <v>APAGADO</v>
      </c>
      <c r="T322" s="70" t="str">
        <f>'RESUMEN TOTAL'!Z360</f>
        <v>APAGADO</v>
      </c>
      <c r="U322" s="70" t="str">
        <f>'RESUMEN TOTAL'!AA360</f>
        <v>APAGADO</v>
      </c>
      <c r="V322" s="70" t="str">
        <f>'RESUMEN TOTAL'!AB360</f>
        <v>APAGADO</v>
      </c>
      <c r="W322" s="70" t="str">
        <f>'RESUMEN TOTAL'!AC360</f>
        <v>APAGADO</v>
      </c>
      <c r="X322" s="70" t="str">
        <f>'RESUMEN TOTAL'!AD360</f>
        <v>APAGADO</v>
      </c>
      <c r="Y322" s="70" t="str">
        <f>'RESUMEN TOTAL'!AE360</f>
        <v>APAGADO</v>
      </c>
      <c r="Z322" s="70" t="str">
        <f>'RESUMEN TOTAL'!AF360</f>
        <v>APAGADO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 t="str">
        <f>'RESUMEN TOTAL'!X361</f>
        <v>APAGADO</v>
      </c>
      <c r="S323" s="70" t="str">
        <f>'RESUMEN TOTAL'!Y361</f>
        <v>APAGADO</v>
      </c>
      <c r="T323" s="70" t="str">
        <f>'RESUMEN TOTAL'!Z361</f>
        <v>APAGADO</v>
      </c>
      <c r="U323" s="70" t="str">
        <f>'RESUMEN TOTAL'!AA361</f>
        <v>APAGADO</v>
      </c>
      <c r="V323" s="70" t="str">
        <f>'RESUMEN TOTAL'!AB361</f>
        <v>APAGADO</v>
      </c>
      <c r="W323" s="70" t="str">
        <f>'RESUMEN TOTAL'!AC361</f>
        <v>APAGADO</v>
      </c>
      <c r="X323" s="70" t="str">
        <f>'RESUMEN TOTAL'!AD361</f>
        <v>APAGADO</v>
      </c>
      <c r="Y323" s="70" t="str">
        <f>'RESUMEN TOTAL'!AE361</f>
        <v>APAGADO</v>
      </c>
      <c r="Z323" s="70" t="str">
        <f>'RESUMEN TOTAL'!AF361</f>
        <v>APAGADO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0" t="str">
        <f>'RESUMEN TOTAL'!L364</f>
        <v>APAGADO</v>
      </c>
      <c r="G326" s="70" t="str">
        <f>'RESUMEN TOTAL'!M364</f>
        <v>APAGADO</v>
      </c>
      <c r="H326" s="70" t="str">
        <f>'RESUMEN TOTAL'!N364</f>
        <v>APAGADO</v>
      </c>
      <c r="I326" s="70" t="str">
        <f>'RESUMEN TOTAL'!O364</f>
        <v>APAGADO</v>
      </c>
      <c r="J326" s="70">
        <f>'RESUMEN TOTAL'!P364</f>
        <v>0</v>
      </c>
      <c r="K326" s="70" t="str">
        <f>'RESUMEN TOTAL'!Q364</f>
        <v>APAGADO</v>
      </c>
      <c r="L326" s="70" t="str">
        <f>'RESUMEN TOTAL'!R364</f>
        <v>APAGADO</v>
      </c>
      <c r="M326" s="70" t="str">
        <f>'RESUMEN TOTAL'!S364</f>
        <v>APAGADO</v>
      </c>
      <c r="N326" s="70" t="str">
        <f>'RESUMEN TOTAL'!T364</f>
        <v>APAGADO</v>
      </c>
      <c r="O326" s="70" t="str">
        <f>'RESUMEN TOTAL'!U364</f>
        <v>APAGADO</v>
      </c>
      <c r="P326" s="70" t="str">
        <f>'RESUMEN TOTAL'!V364</f>
        <v>APAGADO</v>
      </c>
      <c r="Q326" s="70" t="str">
        <f>'RESUMEN TOTAL'!W364</f>
        <v>APAGADO</v>
      </c>
      <c r="R326" s="70" t="str">
        <f>'RESUMEN TOTAL'!X364</f>
        <v>APAGADO</v>
      </c>
      <c r="S326" s="70" t="str">
        <f>'RESUMEN TOTAL'!Y364</f>
        <v>APAGADO</v>
      </c>
      <c r="T326" s="70" t="str">
        <f>'RESUMEN TOTAL'!Z364</f>
        <v>APAGADO</v>
      </c>
      <c r="U326" s="70" t="str">
        <f>'RESUMEN TOTAL'!AA364</f>
        <v>APAGADO</v>
      </c>
      <c r="V326" s="70" t="str">
        <f>'RESUMEN TOTAL'!AB364</f>
        <v>APAGADO</v>
      </c>
      <c r="W326" s="70" t="str">
        <f>'RESUMEN TOTAL'!AC364</f>
        <v>APAGADO</v>
      </c>
      <c r="X326" s="70" t="str">
        <f>'RESUMEN TOTAL'!AD364</f>
        <v>APAGADO</v>
      </c>
      <c r="Y326" s="70" t="str">
        <f>'RESUMEN TOTAL'!AE364</f>
        <v>APAGADO</v>
      </c>
      <c r="Z326" s="70" t="str">
        <f>'RESUMEN TOTAL'!AF364</f>
        <v>APAGADO</v>
      </c>
      <c r="AA326" s="70" t="str">
        <f>'RESUMEN TOTAL'!AG364</f>
        <v>APAGADO</v>
      </c>
      <c r="AB326" s="70" t="str">
        <f>'RESUMEN TOTAL'!AH364</f>
        <v>APAGADO</v>
      </c>
      <c r="AC326" s="70" t="str">
        <f>'RESUMEN TOTAL'!AI364</f>
        <v>APAGADO</v>
      </c>
      <c r="AD326" s="70" t="str">
        <f>'RESUMEN TOTAL'!AJ364</f>
        <v>APAGADO</v>
      </c>
      <c r="AE326" s="70" t="str">
        <f>'RESUMEN TOTAL'!AK364</f>
        <v>APAGADO</v>
      </c>
      <c r="AF326" s="70" t="str">
        <f>'RESUMEN TOTAL'!AL364</f>
        <v>APAGADO</v>
      </c>
      <c r="AG326" s="70">
        <f>'RESUMEN TOTAL'!AM364</f>
        <v>0</v>
      </c>
      <c r="AH326" s="70">
        <f>'RESUMEN TOTAL'!AN364</f>
        <v>0</v>
      </c>
      <c r="AI326" s="70">
        <f>'RESUMEN TOTAL'!AO364</f>
        <v>0</v>
      </c>
      <c r="AJ326" s="70">
        <f>'RESUMEN TOTAL'!AP364</f>
        <v>0</v>
      </c>
    </row>
    <row r="327" spans="1:36" x14ac:dyDescent="0.25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0">
        <f>'RESUMEN TOTAL'!L367</f>
        <v>0</v>
      </c>
      <c r="G327" s="70">
        <f>'RESUMEN TOTAL'!M367</f>
        <v>0</v>
      </c>
      <c r="H327" s="70">
        <f>'RESUMEN TOTAL'!N367</f>
        <v>0</v>
      </c>
      <c r="I327" s="70">
        <f>'RESUMEN TOTAL'!O367</f>
        <v>0</v>
      </c>
      <c r="J327" s="70">
        <f>'RESUMEN TOTAL'!P367</f>
        <v>0</v>
      </c>
      <c r="K327" s="70">
        <f>'RESUMEN TOTAL'!Q367</f>
        <v>0</v>
      </c>
      <c r="L327" s="70">
        <f>'RESUMEN TOTAL'!R367</f>
        <v>0</v>
      </c>
      <c r="M327" s="70" t="str">
        <f>'RESUMEN TOTAL'!S367</f>
        <v>APAGADO</v>
      </c>
      <c r="N327" s="70" t="str">
        <f>'RESUMEN TOTAL'!T367</f>
        <v>APAGADO</v>
      </c>
      <c r="O327" s="70" t="str">
        <f>'RESUMEN TOTAL'!U367</f>
        <v>APAGADO</v>
      </c>
      <c r="P327" s="70">
        <f>'RESUMEN TOTAL'!V367</f>
        <v>0</v>
      </c>
      <c r="Q327" s="70">
        <f>'RESUMEN TOTAL'!W367</f>
        <v>0</v>
      </c>
      <c r="R327" s="70">
        <f>'RESUMEN TOTAL'!X367</f>
        <v>0</v>
      </c>
      <c r="S327" s="70">
        <f>'RESUMEN TOTAL'!Y367</f>
        <v>0</v>
      </c>
      <c r="T327" s="70">
        <f>'RESUMEN TOTAL'!Z367</f>
        <v>0</v>
      </c>
      <c r="U327" s="70">
        <f>'RESUMEN TOTAL'!AA367</f>
        <v>0</v>
      </c>
      <c r="V327" s="70">
        <f>'RESUMEN TOTAL'!AB367</f>
        <v>0</v>
      </c>
      <c r="W327" s="70">
        <f>'RESUMEN TOTAL'!AC367</f>
        <v>0</v>
      </c>
      <c r="X327" s="70">
        <f>'RESUMEN TOTAL'!AD367</f>
        <v>0</v>
      </c>
      <c r="Y327" s="70">
        <f>'RESUMEN TOTAL'!AE367</f>
        <v>0</v>
      </c>
      <c r="Z327" s="70">
        <f>'RESUMEN TOTAL'!AF367</f>
        <v>0</v>
      </c>
      <c r="AA327" s="70">
        <f>'RESUMEN TOTAL'!AG367</f>
        <v>0</v>
      </c>
      <c r="AB327" s="70">
        <f>'RESUMEN TOTAL'!AH367</f>
        <v>0</v>
      </c>
      <c r="AC327" s="70">
        <f>'RESUMEN TOTAL'!AI367</f>
        <v>0</v>
      </c>
      <c r="AD327" s="70">
        <f>'RESUMEN TOTAL'!AJ367</f>
        <v>0</v>
      </c>
      <c r="AE327" s="70">
        <f>'RESUMEN TOTAL'!AK367</f>
        <v>0</v>
      </c>
      <c r="AF327" s="70">
        <f>'RESUMEN TOTAL'!AL367</f>
        <v>0</v>
      </c>
      <c r="AG327" s="70">
        <f>'RESUMEN TOTAL'!AM367</f>
        <v>0</v>
      </c>
      <c r="AH327" s="70">
        <f>'RESUMEN TOTAL'!AN367</f>
        <v>0</v>
      </c>
      <c r="AI327" s="70">
        <f>'RESUMEN TOTAL'!AO367</f>
        <v>0</v>
      </c>
      <c r="AJ327" s="70">
        <f>'RESUMEN TOTAL'!AP367</f>
        <v>0</v>
      </c>
    </row>
    <row r="328" spans="1:36" x14ac:dyDescent="0.25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0">
        <f>'RESUMEN TOTAL'!L368</f>
        <v>0</v>
      </c>
      <c r="G328" s="70">
        <f>'RESUMEN TOTAL'!M368</f>
        <v>0</v>
      </c>
      <c r="H328" s="70">
        <f>'RESUMEN TOTAL'!N368</f>
        <v>0</v>
      </c>
      <c r="I328" s="70">
        <f>'RESUMEN TOTAL'!O368</f>
        <v>0</v>
      </c>
      <c r="J328" s="70">
        <f>'RESUMEN TOTAL'!P368</f>
        <v>0</v>
      </c>
      <c r="K328" s="70">
        <f>'RESUMEN TOTAL'!Q368</f>
        <v>0</v>
      </c>
      <c r="L328" s="70">
        <f>'RESUMEN TOTAL'!R368</f>
        <v>0</v>
      </c>
      <c r="M328" s="70">
        <f>'RESUMEN TOTAL'!S368</f>
        <v>0</v>
      </c>
      <c r="N328" s="70">
        <f>'RESUMEN TOTAL'!T368</f>
        <v>0</v>
      </c>
      <c r="O328" s="70">
        <f>'RESUMEN TOTAL'!U368</f>
        <v>0</v>
      </c>
      <c r="P328" s="70">
        <f>'RESUMEN TOTAL'!V368</f>
        <v>0</v>
      </c>
      <c r="Q328" s="70">
        <f>'RESUMEN TOTAL'!W368</f>
        <v>0</v>
      </c>
      <c r="R328" s="70">
        <f>'RESUMEN TOTAL'!X368</f>
        <v>0</v>
      </c>
      <c r="S328" s="70">
        <f>'RESUMEN TOTAL'!Y368</f>
        <v>0</v>
      </c>
      <c r="T328" s="70">
        <f>'RESUMEN TOTAL'!Z368</f>
        <v>0</v>
      </c>
      <c r="U328" s="70">
        <f>'RESUMEN TOTAL'!AA368</f>
        <v>0</v>
      </c>
      <c r="V328" s="70">
        <f>'RESUMEN TOTAL'!AB368</f>
        <v>0</v>
      </c>
      <c r="W328" s="70">
        <f>'RESUMEN TOTAL'!AC368</f>
        <v>0</v>
      </c>
      <c r="X328" s="70">
        <f>'RESUMEN TOTAL'!AD368</f>
        <v>0</v>
      </c>
      <c r="Y328" s="70">
        <f>'RESUMEN TOTAL'!AE368</f>
        <v>0</v>
      </c>
      <c r="Z328" s="70">
        <f>'RESUMEN TOTAL'!AF368</f>
        <v>0</v>
      </c>
      <c r="AA328" s="70">
        <f>'RESUMEN TOTAL'!AG368</f>
        <v>0</v>
      </c>
      <c r="AB328" s="70">
        <f>'RESUMEN TOTAL'!AH368</f>
        <v>0</v>
      </c>
      <c r="AC328" s="70">
        <f>'RESUMEN TOTAL'!AI368</f>
        <v>0</v>
      </c>
      <c r="AD328" s="70">
        <f>'RESUMEN TOTAL'!AJ368</f>
        <v>0</v>
      </c>
      <c r="AE328" s="70">
        <f>'RESUMEN TOTAL'!AK368</f>
        <v>0</v>
      </c>
      <c r="AF328" s="70">
        <f>'RESUMEN TOTAL'!AL368</f>
        <v>0</v>
      </c>
      <c r="AG328" s="70">
        <f>'RESUMEN TOTAL'!AM368</f>
        <v>0</v>
      </c>
      <c r="AH328" s="70">
        <f>'RESUMEN TOTAL'!AN368</f>
        <v>0</v>
      </c>
      <c r="AI328" s="70">
        <f>'RESUMEN TOTAL'!AO368</f>
        <v>0</v>
      </c>
      <c r="AJ328" s="70">
        <f>'RESUMEN TOTAL'!AP368</f>
        <v>0</v>
      </c>
    </row>
    <row r="329" spans="1:36" x14ac:dyDescent="0.25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0" t="str">
        <f>'RESUMEN TOTAL'!L369</f>
        <v>APAGADO</v>
      </c>
      <c r="G329" s="70" t="str">
        <f>'RESUMEN TOTAL'!M369</f>
        <v>APAGADO</v>
      </c>
      <c r="H329" s="70" t="str">
        <f>'RESUMEN TOTAL'!N369</f>
        <v>APAGADO</v>
      </c>
      <c r="I329" s="70" t="str">
        <f>'RESUMEN TOTAL'!O369</f>
        <v>APAGADO</v>
      </c>
      <c r="J329" s="70" t="str">
        <f>'RESUMEN TOTAL'!P369</f>
        <v>APAGADO</v>
      </c>
      <c r="K329" s="70" t="str">
        <f>'RESUMEN TOTAL'!Q369</f>
        <v>APAGADO</v>
      </c>
      <c r="L329" s="70" t="str">
        <f>'RESUMEN TOTAL'!R369</f>
        <v>APAGADO</v>
      </c>
      <c r="M329" s="70" t="str">
        <f>'RESUMEN TOTAL'!S369</f>
        <v>APAGADO</v>
      </c>
      <c r="N329" s="70" t="str">
        <f>'RESUMEN TOTAL'!T369</f>
        <v>APAGADO</v>
      </c>
      <c r="O329" s="70" t="str">
        <f>'RESUMEN TOTAL'!U369</f>
        <v>APAGADO</v>
      </c>
      <c r="P329" s="70" t="str">
        <f>'RESUMEN TOTAL'!V369</f>
        <v>APAGADO</v>
      </c>
      <c r="Q329" s="70" t="str">
        <f>'RESUMEN TOTAL'!W369</f>
        <v>APAGADO</v>
      </c>
      <c r="R329" s="70" t="str">
        <f>'RESUMEN TOTAL'!X369</f>
        <v>APAGADO</v>
      </c>
      <c r="S329" s="70" t="str">
        <f>'RESUMEN TOTAL'!Y369</f>
        <v>APAGADO</v>
      </c>
      <c r="T329" s="70" t="str">
        <f>'RESUMEN TOTAL'!Z369</f>
        <v>APAGADO</v>
      </c>
      <c r="U329" s="70" t="str">
        <f>'RESUMEN TOTAL'!AA369</f>
        <v>APAGADO</v>
      </c>
      <c r="V329" s="70" t="str">
        <f>'RESUMEN TOTAL'!AB369</f>
        <v>APAGADO</v>
      </c>
      <c r="W329" s="70" t="str">
        <f>'RESUMEN TOTAL'!AC369</f>
        <v>APAGADO</v>
      </c>
      <c r="X329" s="70" t="str">
        <f>'RESUMEN TOTAL'!AD369</f>
        <v>APAGADO</v>
      </c>
      <c r="Y329" s="70" t="str">
        <f>'RESUMEN TOTAL'!AE369</f>
        <v>APAGADO</v>
      </c>
      <c r="Z329" s="70" t="str">
        <f>'RESUMEN TOTAL'!AF369</f>
        <v>APAGADO</v>
      </c>
      <c r="AA329" s="70" t="str">
        <f>'RESUMEN TOTAL'!AG369</f>
        <v>APAGADO</v>
      </c>
      <c r="AB329" s="70" t="str">
        <f>'RESUMEN TOTAL'!AH369</f>
        <v>APAGADO</v>
      </c>
      <c r="AC329" s="70" t="str">
        <f>'RESUMEN TOTAL'!AI369</f>
        <v>APAGADO</v>
      </c>
      <c r="AD329" s="70" t="str">
        <f>'RESUMEN TOTAL'!AJ369</f>
        <v>APAGADO</v>
      </c>
      <c r="AE329" s="70" t="str">
        <f>'RESUMEN TOTAL'!AK369</f>
        <v>APAGADO</v>
      </c>
      <c r="AF329" s="70" t="str">
        <f>'RESUMEN TOTAL'!AL369</f>
        <v>APAGADO</v>
      </c>
      <c r="AG329" s="70">
        <f>'RESUMEN TOTAL'!AM369</f>
        <v>0</v>
      </c>
      <c r="AH329" s="70">
        <f>'RESUMEN TOTAL'!AN369</f>
        <v>0</v>
      </c>
      <c r="AI329" s="70">
        <f>'RESUMEN TOTAL'!AO369</f>
        <v>0</v>
      </c>
      <c r="AJ329" s="70">
        <f>'RESUMEN TOTAL'!AP369</f>
        <v>0</v>
      </c>
    </row>
    <row r="330" spans="1:36" x14ac:dyDescent="0.25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0">
        <f>'RESUMEN TOTAL'!L370</f>
        <v>0</v>
      </c>
      <c r="G330" s="70">
        <f>'RESUMEN TOTAL'!M370</f>
        <v>0</v>
      </c>
      <c r="H330" s="70">
        <f>'RESUMEN TOTAL'!N370</f>
        <v>0</v>
      </c>
      <c r="I330" s="70">
        <f>'RESUMEN TOTAL'!O370</f>
        <v>0</v>
      </c>
      <c r="J330" s="70">
        <f>'RESUMEN TOTAL'!P370</f>
        <v>0</v>
      </c>
      <c r="K330" s="70">
        <f>'RESUMEN TOTAL'!Q370</f>
        <v>0</v>
      </c>
      <c r="L330" s="70">
        <f>'RESUMEN TOTAL'!R370</f>
        <v>0</v>
      </c>
      <c r="M330" s="70" t="str">
        <f>'RESUMEN TOTAL'!S370</f>
        <v>APAGADO</v>
      </c>
      <c r="N330" s="70" t="str">
        <f>'RESUMEN TOTAL'!T370</f>
        <v>APAGADO</v>
      </c>
      <c r="O330" s="70" t="str">
        <f>'RESUMEN TOTAL'!U370</f>
        <v>APAGADO</v>
      </c>
      <c r="P330" s="70">
        <f>'RESUMEN TOTAL'!V370</f>
        <v>0</v>
      </c>
      <c r="Q330" s="70">
        <f>'RESUMEN TOTAL'!W370</f>
        <v>0</v>
      </c>
      <c r="R330" s="70">
        <f>'RESUMEN TOTAL'!X370</f>
        <v>0</v>
      </c>
      <c r="S330" s="70">
        <f>'RESUMEN TOTAL'!Y370</f>
        <v>0</v>
      </c>
      <c r="T330" s="70">
        <f>'RESUMEN TOTAL'!Z370</f>
        <v>0</v>
      </c>
      <c r="U330" s="70">
        <f>'RESUMEN TOTAL'!AA370</f>
        <v>0</v>
      </c>
      <c r="V330" s="70">
        <f>'RESUMEN TOTAL'!AB370</f>
        <v>0</v>
      </c>
      <c r="W330" s="70">
        <f>'RESUMEN TOTAL'!AC370</f>
        <v>0</v>
      </c>
      <c r="X330" s="70">
        <f>'RESUMEN TOTAL'!AD370</f>
        <v>0</v>
      </c>
      <c r="Y330" s="70">
        <f>'RESUMEN TOTAL'!AE370</f>
        <v>0</v>
      </c>
      <c r="Z330" s="70">
        <f>'RESUMEN TOTAL'!AF370</f>
        <v>0</v>
      </c>
      <c r="AA330" s="70">
        <f>'RESUMEN TOTAL'!AG370</f>
        <v>0</v>
      </c>
      <c r="AB330" s="70">
        <f>'RESUMEN TOTAL'!AH370</f>
        <v>0</v>
      </c>
      <c r="AC330" s="70">
        <f>'RESUMEN TOTAL'!AI370</f>
        <v>0</v>
      </c>
      <c r="AD330" s="70">
        <f>'RESUMEN TOTAL'!AJ370</f>
        <v>0</v>
      </c>
      <c r="AE330" s="70">
        <f>'RESUMEN TOTAL'!AK370</f>
        <v>0</v>
      </c>
      <c r="AF330" s="70">
        <f>'RESUMEN TOTAL'!AL370</f>
        <v>0</v>
      </c>
      <c r="AG330" s="70">
        <f>'RESUMEN TOTAL'!AM370</f>
        <v>0</v>
      </c>
      <c r="AH330" s="70">
        <f>'RESUMEN TOTAL'!AN370</f>
        <v>0</v>
      </c>
      <c r="AI330" s="70" t="str">
        <f>'RESUMEN TOTAL'!AO370</f>
        <v>}</v>
      </c>
      <c r="AJ330" s="70">
        <f>'RESUMEN TOTAL'!AP370</f>
        <v>0</v>
      </c>
    </row>
    <row r="331" spans="1:36" x14ac:dyDescent="0.25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0">
        <f>'RESUMEN TOTAL'!L371</f>
        <v>0</v>
      </c>
      <c r="G331" s="70">
        <f>'RESUMEN TOTAL'!M371</f>
        <v>0</v>
      </c>
      <c r="H331" s="70">
        <f>'RESUMEN TOTAL'!N371</f>
        <v>0</v>
      </c>
      <c r="I331" s="70">
        <f>'RESUMEN TOTAL'!O371</f>
        <v>0</v>
      </c>
      <c r="J331" s="70">
        <f>'RESUMEN TOTAL'!P371</f>
        <v>0</v>
      </c>
      <c r="K331" s="70">
        <f>'RESUMEN TOTAL'!Q371</f>
        <v>0</v>
      </c>
      <c r="L331" s="70">
        <f>'RESUMEN TOTAL'!R371</f>
        <v>0</v>
      </c>
      <c r="M331" s="70">
        <f>'RESUMEN TOTAL'!S371</f>
        <v>0</v>
      </c>
      <c r="N331" s="70">
        <f>'RESUMEN TOTAL'!T371</f>
        <v>0</v>
      </c>
      <c r="O331" s="70">
        <f>'RESUMEN TOTAL'!U371</f>
        <v>0</v>
      </c>
      <c r="P331" s="70">
        <f>'RESUMEN TOTAL'!V371</f>
        <v>0</v>
      </c>
      <c r="Q331" s="70">
        <f>'RESUMEN TOTAL'!W371</f>
        <v>0</v>
      </c>
      <c r="R331" s="70">
        <f>'RESUMEN TOTAL'!X371</f>
        <v>0</v>
      </c>
      <c r="S331" s="70">
        <f>'RESUMEN TOTAL'!Y371</f>
        <v>0</v>
      </c>
      <c r="T331" s="70">
        <f>'RESUMEN TOTAL'!Z371</f>
        <v>0</v>
      </c>
      <c r="U331" s="70">
        <f>'RESUMEN TOTAL'!AA371</f>
        <v>0</v>
      </c>
      <c r="V331" s="70">
        <f>'RESUMEN TOTAL'!AB371</f>
        <v>0</v>
      </c>
      <c r="W331" s="70">
        <f>'RESUMEN TOTAL'!AC371</f>
        <v>0</v>
      </c>
      <c r="X331" s="70">
        <f>'RESUMEN TOTAL'!AD371</f>
        <v>0</v>
      </c>
      <c r="Y331" s="70">
        <f>'RESUMEN TOTAL'!AE371</f>
        <v>0</v>
      </c>
      <c r="Z331" s="70">
        <f>'RESUMEN TOTAL'!AF371</f>
        <v>0</v>
      </c>
      <c r="AA331" s="70">
        <f>'RESUMEN TOTAL'!AG371</f>
        <v>0</v>
      </c>
      <c r="AB331" s="70">
        <f>'RESUMEN TOTAL'!AH371</f>
        <v>0</v>
      </c>
      <c r="AC331" s="70">
        <f>'RESUMEN TOTAL'!AI371</f>
        <v>0</v>
      </c>
      <c r="AD331" s="70">
        <f>'RESUMEN TOTAL'!AJ371</f>
        <v>0</v>
      </c>
      <c r="AE331" s="70">
        <f>'RESUMEN TOTAL'!AK371</f>
        <v>0</v>
      </c>
      <c r="AF331" s="70">
        <f>'RESUMEN TOTAL'!AL371</f>
        <v>0</v>
      </c>
      <c r="AG331" s="70">
        <f>'RESUMEN TOTAL'!AM371</f>
        <v>0</v>
      </c>
      <c r="AH331" s="70">
        <f>'RESUMEN TOTAL'!AN371</f>
        <v>0</v>
      </c>
      <c r="AI331" s="70">
        <f>'RESUMEN TOTAL'!AO371</f>
        <v>0</v>
      </c>
      <c r="AJ331" s="70">
        <f>'RESUMEN TOTAL'!AP371</f>
        <v>0</v>
      </c>
    </row>
    <row r="332" spans="1:36" x14ac:dyDescent="0.25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0" t="str">
        <f>'RESUMEN TOTAL'!L372</f>
        <v>APAGADO</v>
      </c>
      <c r="G332" s="70" t="str">
        <f>'RESUMEN TOTAL'!M372</f>
        <v>APAGADO</v>
      </c>
      <c r="H332" s="70" t="str">
        <f>'RESUMEN TOTAL'!N372</f>
        <v>APAGADO</v>
      </c>
      <c r="I332" s="70" t="str">
        <f>'RESUMEN TOTAL'!O372</f>
        <v>APAGADO</v>
      </c>
      <c r="J332" s="70" t="str">
        <f>'RESUMEN TOTAL'!P372</f>
        <v>APAGADO</v>
      </c>
      <c r="K332" s="70" t="str">
        <f>'RESUMEN TOTAL'!Q372</f>
        <v>APAGADO</v>
      </c>
      <c r="L332" s="70" t="str">
        <f>'RESUMEN TOTAL'!R372</f>
        <v>APAGADO</v>
      </c>
      <c r="M332" s="70" t="str">
        <f>'RESUMEN TOTAL'!S372</f>
        <v>APAGADO</v>
      </c>
      <c r="N332" s="70" t="str">
        <f>'RESUMEN TOTAL'!T372</f>
        <v>APAGADO</v>
      </c>
      <c r="O332" s="70" t="str">
        <f>'RESUMEN TOTAL'!U372</f>
        <v>APAGADO</v>
      </c>
      <c r="P332" s="70" t="str">
        <f>'RESUMEN TOTAL'!V372</f>
        <v>APAGADO</v>
      </c>
      <c r="Q332" s="70" t="str">
        <f>'RESUMEN TOTAL'!W372</f>
        <v>APAGADO</v>
      </c>
      <c r="R332" s="70" t="str">
        <f>'RESUMEN TOTAL'!X372</f>
        <v>APAGADO</v>
      </c>
      <c r="S332" s="70" t="str">
        <f>'RESUMEN TOTAL'!Y372</f>
        <v>APAGADO</v>
      </c>
      <c r="T332" s="70" t="str">
        <f>'RESUMEN TOTAL'!Z372</f>
        <v>APAGADO</v>
      </c>
      <c r="U332" s="70" t="str">
        <f>'RESUMEN TOTAL'!AA372</f>
        <v>APAGADO</v>
      </c>
      <c r="V332" s="70" t="str">
        <f>'RESUMEN TOTAL'!AB372</f>
        <v>APAGADO</v>
      </c>
      <c r="W332" s="70" t="str">
        <f>'RESUMEN TOTAL'!AC372</f>
        <v>APAGADO</v>
      </c>
      <c r="X332" s="70" t="str">
        <f>'RESUMEN TOTAL'!AD372</f>
        <v>APAGADO</v>
      </c>
      <c r="Y332" s="70" t="str">
        <f>'RESUMEN TOTAL'!AE372</f>
        <v>APAGADO</v>
      </c>
      <c r="Z332" s="70" t="str">
        <f>'RESUMEN TOTAL'!AF372</f>
        <v>APAGADO</v>
      </c>
      <c r="AA332" s="70" t="str">
        <f>'RESUMEN TOTAL'!AG372</f>
        <v>APAGADO</v>
      </c>
      <c r="AB332" s="70" t="str">
        <f>'RESUMEN TOTAL'!AH372</f>
        <v>APAGADO</v>
      </c>
      <c r="AC332" s="70" t="str">
        <f>'RESUMEN TOTAL'!AI372</f>
        <v>APAGADO</v>
      </c>
      <c r="AD332" s="70" t="str">
        <f>'RESUMEN TOTAL'!AJ372</f>
        <v>APAGADO</v>
      </c>
      <c r="AE332" s="70" t="str">
        <f>'RESUMEN TOTAL'!AK372</f>
        <v>APAGADO</v>
      </c>
      <c r="AF332" s="70" t="str">
        <f>'RESUMEN TOTAL'!AL372</f>
        <v>APAGADO</v>
      </c>
      <c r="AG332" s="70">
        <f>'RESUMEN TOTAL'!AM372</f>
        <v>0</v>
      </c>
      <c r="AH332" s="70">
        <f>'RESUMEN TOTAL'!AN372</f>
        <v>0</v>
      </c>
      <c r="AI332" s="70">
        <f>'RESUMEN TOTAL'!AO372</f>
        <v>0</v>
      </c>
      <c r="AJ332" s="70">
        <f>'RESUMEN TOTAL'!AP372</f>
        <v>0</v>
      </c>
    </row>
    <row r="333" spans="1:36" x14ac:dyDescent="0.25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0" t="str">
        <f>'RESUMEN TOTAL'!L373</f>
        <v>APAGADO</v>
      </c>
      <c r="G333" s="70" t="str">
        <f>'RESUMEN TOTAL'!M373</f>
        <v>APAGADO</v>
      </c>
      <c r="H333" s="70" t="str">
        <f>'RESUMEN TOTAL'!N373</f>
        <v>APAGADO</v>
      </c>
      <c r="I333" s="70" t="str">
        <f>'RESUMEN TOTAL'!O373</f>
        <v>APAGADO</v>
      </c>
      <c r="J333" s="70" t="str">
        <f>'RESUMEN TOTAL'!P373</f>
        <v>APAGADO</v>
      </c>
      <c r="K333" s="70" t="str">
        <f>'RESUMEN TOTAL'!Q373</f>
        <v>APAGADO</v>
      </c>
      <c r="L333" s="70" t="str">
        <f>'RESUMEN TOTAL'!R373</f>
        <v>APAGADO</v>
      </c>
      <c r="M333" s="70" t="str">
        <f>'RESUMEN TOTAL'!S373</f>
        <v>APAGADO</v>
      </c>
      <c r="N333" s="70" t="str">
        <f>'RESUMEN TOTAL'!T373</f>
        <v>APAGADO</v>
      </c>
      <c r="O333" s="70" t="str">
        <f>'RESUMEN TOTAL'!U373</f>
        <v>APAGADO</v>
      </c>
      <c r="P333" s="70" t="str">
        <f>'RESUMEN TOTAL'!V373</f>
        <v>APAGADO</v>
      </c>
      <c r="Q333" s="70" t="str">
        <f>'RESUMEN TOTAL'!W373</f>
        <v>APAGADO</v>
      </c>
      <c r="R333" s="70" t="str">
        <f>'RESUMEN TOTAL'!X373</f>
        <v>APAGADO</v>
      </c>
      <c r="S333" s="70" t="str">
        <f>'RESUMEN TOTAL'!Y373</f>
        <v>APAGADO</v>
      </c>
      <c r="T333" s="70" t="str">
        <f>'RESUMEN TOTAL'!Z373</f>
        <v>APAGADO</v>
      </c>
      <c r="U333" s="70" t="str">
        <f>'RESUMEN TOTAL'!AA373</f>
        <v>APAGADO</v>
      </c>
      <c r="V333" s="70" t="str">
        <f>'RESUMEN TOTAL'!AB373</f>
        <v>APAGADO</v>
      </c>
      <c r="W333" s="70">
        <f>'RESUMEN TOTAL'!AC373</f>
        <v>0</v>
      </c>
      <c r="X333" s="70">
        <f>'RESUMEN TOTAL'!AD373</f>
        <v>0</v>
      </c>
      <c r="Y333" s="70">
        <f>'RESUMEN TOTAL'!AE373</f>
        <v>0</v>
      </c>
      <c r="Z333" s="70">
        <f>'RESUMEN TOTAL'!AF373</f>
        <v>0</v>
      </c>
      <c r="AA333" s="70">
        <f>'RESUMEN TOTAL'!AG373</f>
        <v>0</v>
      </c>
      <c r="AB333" s="70">
        <f>'RESUMEN TOTAL'!AH373</f>
        <v>0</v>
      </c>
      <c r="AC333" s="70">
        <f>'RESUMEN TOTAL'!AI373</f>
        <v>0</v>
      </c>
      <c r="AD333" s="70">
        <f>'RESUMEN TOTAL'!AJ373</f>
        <v>0</v>
      </c>
      <c r="AE333" s="70">
        <f>'RESUMEN TOTAL'!AK373</f>
        <v>0</v>
      </c>
      <c r="AF333" s="70">
        <f>'RESUMEN TOTAL'!AL373</f>
        <v>0</v>
      </c>
      <c r="AG333" s="70">
        <f>'RESUMEN TOTAL'!AM373</f>
        <v>0</v>
      </c>
      <c r="AH333" s="70">
        <f>'RESUMEN TOTAL'!AN373</f>
        <v>0</v>
      </c>
      <c r="AI333" s="70">
        <f>'RESUMEN TOTAL'!AO373</f>
        <v>0</v>
      </c>
      <c r="AJ333" s="70">
        <f>'RESUMEN TOTAL'!AP373</f>
        <v>0</v>
      </c>
    </row>
    <row r="334" spans="1:36" x14ac:dyDescent="0.25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0">
        <f>'RESUMEN TOTAL'!L374</f>
        <v>0</v>
      </c>
      <c r="G334" s="70">
        <f>'RESUMEN TOTAL'!M374</f>
        <v>0</v>
      </c>
      <c r="H334" s="70">
        <f>'RESUMEN TOTAL'!O374</f>
        <v>0</v>
      </c>
      <c r="I334" s="70" t="e">
        <f>'RESUMEN TOTAL'!#REF!</f>
        <v>#REF!</v>
      </c>
      <c r="J334" s="70">
        <f>'RESUMEN TOTAL'!P374</f>
        <v>0</v>
      </c>
      <c r="K334" s="70">
        <f>'RESUMEN TOTAL'!Q374</f>
        <v>0</v>
      </c>
      <c r="L334" s="70">
        <f>'RESUMEN TOTAL'!R374</f>
        <v>0</v>
      </c>
      <c r="M334" s="70">
        <f>'RESUMEN TOTAL'!S374</f>
        <v>0</v>
      </c>
      <c r="N334" s="70">
        <f>'RESUMEN TOTAL'!T374</f>
        <v>0</v>
      </c>
      <c r="O334" s="70">
        <f>'RESUMEN TOTAL'!U374</f>
        <v>0</v>
      </c>
      <c r="P334" s="70">
        <f>'RESUMEN TOTAL'!V374</f>
        <v>0</v>
      </c>
      <c r="Q334" s="70">
        <f>'RESUMEN TOTAL'!W374</f>
        <v>0</v>
      </c>
      <c r="R334" s="70">
        <f>'RESUMEN TOTAL'!X374</f>
        <v>0</v>
      </c>
      <c r="S334" s="70">
        <f>'RESUMEN TOTAL'!Y374</f>
        <v>0</v>
      </c>
      <c r="T334" s="70">
        <f>'RESUMEN TOTAL'!Z374</f>
        <v>0</v>
      </c>
      <c r="U334" s="70">
        <f>'RESUMEN TOTAL'!AA374</f>
        <v>0</v>
      </c>
      <c r="V334" s="70">
        <f>'RESUMEN TOTAL'!AB374</f>
        <v>0</v>
      </c>
      <c r="W334" s="70">
        <f>'RESUMEN TOTAL'!AC374</f>
        <v>0</v>
      </c>
      <c r="X334" s="70">
        <f>'RESUMEN TOTAL'!AD374</f>
        <v>0</v>
      </c>
      <c r="Y334" s="70">
        <f>'RESUMEN TOTAL'!AE374</f>
        <v>0</v>
      </c>
      <c r="Z334" s="70">
        <f>'RESUMEN TOTAL'!AF374</f>
        <v>0</v>
      </c>
      <c r="AA334" s="70">
        <f>'RESUMEN TOTAL'!AG374</f>
        <v>0</v>
      </c>
      <c r="AB334" s="70">
        <f>'RESUMEN TOTAL'!AH374</f>
        <v>0</v>
      </c>
      <c r="AC334" s="70">
        <f>'RESUMEN TOTAL'!AI374</f>
        <v>0</v>
      </c>
      <c r="AD334" s="70">
        <f>'RESUMEN TOTAL'!AJ374</f>
        <v>0</v>
      </c>
      <c r="AE334" s="70">
        <f>'RESUMEN TOTAL'!AK374</f>
        <v>0</v>
      </c>
      <c r="AF334" s="70">
        <f>'RESUMEN TOTAL'!AL374</f>
        <v>0</v>
      </c>
      <c r="AG334" s="70">
        <f>'RESUMEN TOTAL'!AM374</f>
        <v>0</v>
      </c>
      <c r="AH334" s="70">
        <f>'RESUMEN TOTAL'!AN374</f>
        <v>0</v>
      </c>
      <c r="AI334" s="70">
        <f>'RESUMEN TOTAL'!AO374</f>
        <v>0</v>
      </c>
      <c r="AJ334" s="70">
        <f>'RESUMEN TOTAL'!AP374</f>
        <v>0</v>
      </c>
    </row>
    <row r="335" spans="1:36" x14ac:dyDescent="0.25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0">
        <f>'RESUMEN TOTAL'!L375</f>
        <v>0</v>
      </c>
      <c r="G335" s="70">
        <f>'RESUMEN TOTAL'!M375</f>
        <v>0</v>
      </c>
      <c r="H335" s="70">
        <f>'RESUMEN TOTAL'!O375</f>
        <v>0</v>
      </c>
      <c r="I335" s="70" t="e">
        <f>'RESUMEN TOTAL'!#REF!</f>
        <v>#REF!</v>
      </c>
      <c r="J335" s="70">
        <f>'RESUMEN TOTAL'!P375</f>
        <v>0</v>
      </c>
      <c r="K335" s="70">
        <f>'RESUMEN TOTAL'!Q375</f>
        <v>0</v>
      </c>
      <c r="L335" s="70">
        <f>'RESUMEN TOTAL'!R375</f>
        <v>0</v>
      </c>
      <c r="M335" s="70">
        <f>'RESUMEN TOTAL'!S375</f>
        <v>0</v>
      </c>
      <c r="N335" s="70">
        <f>'RESUMEN TOTAL'!T375</f>
        <v>0</v>
      </c>
      <c r="O335" s="70">
        <f>'RESUMEN TOTAL'!U375</f>
        <v>0</v>
      </c>
      <c r="P335" s="70">
        <f>'RESUMEN TOTAL'!V375</f>
        <v>0</v>
      </c>
      <c r="Q335" s="70">
        <f>'RESUMEN TOTAL'!W375</f>
        <v>0</v>
      </c>
      <c r="R335" s="70">
        <f>'RESUMEN TOTAL'!X375</f>
        <v>0</v>
      </c>
      <c r="S335" s="70">
        <f>'RESUMEN TOTAL'!Y375</f>
        <v>0</v>
      </c>
      <c r="T335" s="70">
        <f>'RESUMEN TOTAL'!Z375</f>
        <v>0</v>
      </c>
      <c r="U335" s="70">
        <f>'RESUMEN TOTAL'!AA375</f>
        <v>0</v>
      </c>
      <c r="V335" s="70">
        <f>'RESUMEN TOTAL'!AB375</f>
        <v>0</v>
      </c>
      <c r="W335" s="70">
        <f>'RESUMEN TOTAL'!AC375</f>
        <v>0</v>
      </c>
      <c r="X335" s="70">
        <f>'RESUMEN TOTAL'!AD375</f>
        <v>0</v>
      </c>
      <c r="Y335" s="70">
        <f>'RESUMEN TOTAL'!AE375</f>
        <v>0</v>
      </c>
      <c r="Z335" s="70">
        <f>'RESUMEN TOTAL'!AF375</f>
        <v>0</v>
      </c>
      <c r="AA335" s="70">
        <f>'RESUMEN TOTAL'!AG375</f>
        <v>0</v>
      </c>
      <c r="AB335" s="70">
        <f>'RESUMEN TOTAL'!AH375</f>
        <v>0</v>
      </c>
      <c r="AC335" s="70">
        <f>'RESUMEN TOTAL'!AI375</f>
        <v>0</v>
      </c>
      <c r="AD335" s="70">
        <f>'RESUMEN TOTAL'!AJ375</f>
        <v>0</v>
      </c>
      <c r="AE335" s="70">
        <f>'RESUMEN TOTAL'!AK375</f>
        <v>0</v>
      </c>
      <c r="AF335" s="70">
        <f>'RESUMEN TOTAL'!AL375</f>
        <v>0</v>
      </c>
      <c r="AG335" s="70">
        <f>'RESUMEN TOTAL'!AM375</f>
        <v>0</v>
      </c>
      <c r="AH335" s="70">
        <f>'RESUMEN TOTAL'!AN375</f>
        <v>0</v>
      </c>
      <c r="AI335" s="70">
        <f>'RESUMEN TOTAL'!AO375</f>
        <v>0</v>
      </c>
      <c r="AJ335" s="70">
        <f>'RESUMEN TOTAL'!AP375</f>
        <v>0</v>
      </c>
    </row>
    <row r="336" spans="1:36" x14ac:dyDescent="0.25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0">
        <f>'RESUMEN TOTAL'!L376</f>
        <v>0</v>
      </c>
      <c r="G336" s="70">
        <f>'RESUMEN TOTAL'!M376</f>
        <v>0</v>
      </c>
      <c r="H336" s="70">
        <f>'RESUMEN TOTAL'!N376</f>
        <v>0</v>
      </c>
      <c r="I336" s="70">
        <f>'RESUMEN TOTAL'!O376</f>
        <v>0</v>
      </c>
      <c r="J336" s="70">
        <f>'RESUMEN TOTAL'!P376</f>
        <v>0</v>
      </c>
      <c r="K336" s="70">
        <f>'RESUMEN TOTAL'!Q376</f>
        <v>0</v>
      </c>
      <c r="L336" s="70">
        <f>'RESUMEN TOTAL'!R376</f>
        <v>0</v>
      </c>
      <c r="M336" s="70">
        <f>'RESUMEN TOTAL'!S376</f>
        <v>0</v>
      </c>
      <c r="N336" s="70">
        <f>'RESUMEN TOTAL'!T376</f>
        <v>0</v>
      </c>
      <c r="O336" s="70">
        <f>'RESUMEN TOTAL'!U376</f>
        <v>0</v>
      </c>
      <c r="P336" s="70">
        <f>'RESUMEN TOTAL'!V376</f>
        <v>0</v>
      </c>
      <c r="Q336" s="70">
        <f>'RESUMEN TOTAL'!W376</f>
        <v>0</v>
      </c>
      <c r="R336" s="70">
        <f>'RESUMEN TOTAL'!X376</f>
        <v>0</v>
      </c>
      <c r="S336" s="70">
        <f>'RESUMEN TOTAL'!Y376</f>
        <v>0</v>
      </c>
      <c r="T336" s="70">
        <f>'RESUMEN TOTAL'!Z376</f>
        <v>0</v>
      </c>
      <c r="U336" s="70">
        <f>'RESUMEN TOTAL'!AA376</f>
        <v>0</v>
      </c>
      <c r="V336" s="70">
        <f>'RESUMEN TOTAL'!AB376</f>
        <v>0</v>
      </c>
      <c r="W336" s="70">
        <f>'RESUMEN TOTAL'!AC376</f>
        <v>0</v>
      </c>
      <c r="X336" s="70">
        <f>'RESUMEN TOTAL'!AD376</f>
        <v>0</v>
      </c>
      <c r="Y336" s="70">
        <f>'RESUMEN TOTAL'!AE376</f>
        <v>0</v>
      </c>
      <c r="Z336" s="70">
        <f>'RESUMEN TOTAL'!AF376</f>
        <v>0</v>
      </c>
      <c r="AA336" s="70">
        <f>'RESUMEN TOTAL'!AG376</f>
        <v>0</v>
      </c>
      <c r="AB336" s="70">
        <f>'RESUMEN TOTAL'!AH376</f>
        <v>0</v>
      </c>
      <c r="AC336" s="70">
        <f>'RESUMEN TOTAL'!AI376</f>
        <v>0</v>
      </c>
      <c r="AD336" s="70">
        <f>'RESUMEN TOTAL'!AJ376</f>
        <v>0</v>
      </c>
      <c r="AE336" s="70">
        <f>'RESUMEN TOTAL'!AK376</f>
        <v>0</v>
      </c>
      <c r="AF336" s="70">
        <f>'RESUMEN TOTAL'!AL376</f>
        <v>0</v>
      </c>
      <c r="AG336" s="70">
        <f>'RESUMEN TOTAL'!AM376</f>
        <v>0</v>
      </c>
      <c r="AH336" s="70">
        <f>'RESUMEN TOTAL'!AN376</f>
        <v>0</v>
      </c>
      <c r="AI336" s="70">
        <f>'RESUMEN TOTAL'!AO376</f>
        <v>0</v>
      </c>
      <c r="AJ336" s="70">
        <f>'RESUMEN TOTAL'!AP376</f>
        <v>0</v>
      </c>
    </row>
    <row r="337" spans="1:36" x14ac:dyDescent="0.25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0">
        <f>'RESUMEN TOTAL'!L377</f>
        <v>0</v>
      </c>
      <c r="G337" s="70">
        <f>'RESUMEN TOTAL'!M377</f>
        <v>0</v>
      </c>
      <c r="H337" s="70">
        <f>'RESUMEN TOTAL'!N377</f>
        <v>0</v>
      </c>
      <c r="I337" s="70">
        <f>'RESUMEN TOTAL'!O377</f>
        <v>0</v>
      </c>
      <c r="J337" s="70">
        <f>'RESUMEN TOTAL'!P377</f>
        <v>0</v>
      </c>
      <c r="K337" s="70">
        <f>'RESUMEN TOTAL'!Q377</f>
        <v>0</v>
      </c>
      <c r="L337" s="70">
        <f>'RESUMEN TOTAL'!R377</f>
        <v>0</v>
      </c>
      <c r="M337" s="70">
        <f>'RESUMEN TOTAL'!S377</f>
        <v>0</v>
      </c>
      <c r="N337" s="70">
        <f>'RESUMEN TOTAL'!T377</f>
        <v>0</v>
      </c>
      <c r="O337" s="70">
        <f>'RESUMEN TOTAL'!U377</f>
        <v>0</v>
      </c>
      <c r="P337" s="70">
        <f>'RESUMEN TOTAL'!V377</f>
        <v>0</v>
      </c>
      <c r="Q337" s="70">
        <f>'RESUMEN TOTAL'!W377</f>
        <v>0</v>
      </c>
      <c r="R337" s="70">
        <f>'RESUMEN TOTAL'!X377</f>
        <v>0</v>
      </c>
      <c r="S337" s="70">
        <f>'RESUMEN TOTAL'!Y377</f>
        <v>0</v>
      </c>
      <c r="T337" s="70">
        <f>'RESUMEN TOTAL'!Z377</f>
        <v>0</v>
      </c>
      <c r="U337" s="70">
        <f>'RESUMEN TOTAL'!AA377</f>
        <v>0</v>
      </c>
      <c r="V337" s="70">
        <f>'RESUMEN TOTAL'!AB377</f>
        <v>0</v>
      </c>
      <c r="W337" s="70">
        <f>'RESUMEN TOTAL'!AC377</f>
        <v>0</v>
      </c>
      <c r="X337" s="70">
        <f>'RESUMEN TOTAL'!AD377</f>
        <v>0</v>
      </c>
      <c r="Y337" s="70">
        <f>'RESUMEN TOTAL'!AE377</f>
        <v>0</v>
      </c>
      <c r="Z337" s="70">
        <f>'RESUMEN TOTAL'!AF377</f>
        <v>0</v>
      </c>
      <c r="AA337" s="70">
        <f>'RESUMEN TOTAL'!AG377</f>
        <v>0</v>
      </c>
      <c r="AB337" s="70">
        <f>'RESUMEN TOTAL'!AH377</f>
        <v>0</v>
      </c>
      <c r="AC337" s="70">
        <f>'RESUMEN TOTAL'!AI377</f>
        <v>0</v>
      </c>
      <c r="AD337" s="70">
        <f>'RESUMEN TOTAL'!AJ377</f>
        <v>0</v>
      </c>
      <c r="AE337" s="70">
        <f>'RESUMEN TOTAL'!AK377</f>
        <v>0</v>
      </c>
      <c r="AF337" s="70">
        <f>'RESUMEN TOTAL'!AL377</f>
        <v>0</v>
      </c>
      <c r="AG337" s="70">
        <f>'RESUMEN TOTAL'!AM377</f>
        <v>0</v>
      </c>
      <c r="AH337" s="70">
        <f>'RESUMEN TOTAL'!AN377</f>
        <v>0</v>
      </c>
      <c r="AI337" s="70">
        <f>'RESUMEN TOTAL'!AO377</f>
        <v>0</v>
      </c>
      <c r="AJ337" s="70">
        <f>'RESUMEN TOTAL'!AP377</f>
        <v>0</v>
      </c>
    </row>
    <row r="338" spans="1:36" x14ac:dyDescent="0.25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0">
        <f>'RESUMEN TOTAL'!L378</f>
        <v>0</v>
      </c>
      <c r="G338" s="70">
        <f>'RESUMEN TOTAL'!M378</f>
        <v>0</v>
      </c>
      <c r="H338" s="70">
        <f>'RESUMEN TOTAL'!N378</f>
        <v>0</v>
      </c>
      <c r="I338" s="70">
        <f>'RESUMEN TOTAL'!O378</f>
        <v>0</v>
      </c>
      <c r="J338" s="70">
        <f>'RESUMEN TOTAL'!P378</f>
        <v>0</v>
      </c>
      <c r="K338" s="70">
        <f>'RESUMEN TOTAL'!Q378</f>
        <v>0</v>
      </c>
      <c r="L338" s="70">
        <f>'RESUMEN TOTAL'!R378</f>
        <v>0</v>
      </c>
      <c r="M338" s="70">
        <f>'RESUMEN TOTAL'!S378</f>
        <v>0</v>
      </c>
      <c r="N338" s="70">
        <f>'RESUMEN TOTAL'!T378</f>
        <v>0</v>
      </c>
      <c r="O338" s="70">
        <f>'RESUMEN TOTAL'!U378</f>
        <v>0</v>
      </c>
      <c r="P338" s="70">
        <f>'RESUMEN TOTAL'!V378</f>
        <v>0</v>
      </c>
      <c r="Q338" s="70">
        <f>'RESUMEN TOTAL'!W378</f>
        <v>0</v>
      </c>
      <c r="R338" s="70">
        <f>'RESUMEN TOTAL'!X378</f>
        <v>0</v>
      </c>
      <c r="S338" s="70">
        <f>'RESUMEN TOTAL'!Y378</f>
        <v>0</v>
      </c>
      <c r="T338" s="70">
        <f>'RESUMEN TOTAL'!Z378</f>
        <v>0</v>
      </c>
      <c r="U338" s="70">
        <f>'RESUMEN TOTAL'!AA378</f>
        <v>0</v>
      </c>
      <c r="V338" s="70">
        <f>'RESUMEN TOTAL'!AB378</f>
        <v>0</v>
      </c>
      <c r="W338" s="70">
        <f>'RESUMEN TOTAL'!AC378</f>
        <v>0</v>
      </c>
      <c r="X338" s="70">
        <f>'RESUMEN TOTAL'!AD378</f>
        <v>0</v>
      </c>
      <c r="Y338" s="70">
        <f>'RESUMEN TOTAL'!AE378</f>
        <v>0</v>
      </c>
      <c r="Z338" s="70">
        <f>'RESUMEN TOTAL'!AF378</f>
        <v>0</v>
      </c>
      <c r="AA338" s="70">
        <f>'RESUMEN TOTAL'!AG378</f>
        <v>0</v>
      </c>
      <c r="AB338" s="70">
        <f>'RESUMEN TOTAL'!AH378</f>
        <v>0</v>
      </c>
      <c r="AC338" s="70">
        <f>'RESUMEN TOTAL'!AI378</f>
        <v>0</v>
      </c>
      <c r="AD338" s="70">
        <f>'RESUMEN TOTAL'!AJ378</f>
        <v>0</v>
      </c>
      <c r="AE338" s="70">
        <f>'RESUMEN TOTAL'!AK378</f>
        <v>0</v>
      </c>
      <c r="AF338" s="70">
        <f>'RESUMEN TOTAL'!AL378</f>
        <v>0</v>
      </c>
      <c r="AG338" s="70">
        <f>'RESUMEN TOTAL'!AM378</f>
        <v>0</v>
      </c>
      <c r="AH338" s="70">
        <f>'RESUMEN TOTAL'!AN378</f>
        <v>0</v>
      </c>
      <c r="AI338" s="70">
        <f>'RESUMEN TOTAL'!AO378</f>
        <v>0</v>
      </c>
      <c r="AJ338" s="70">
        <f>'RESUMEN TOTAL'!AP378</f>
        <v>0</v>
      </c>
    </row>
    <row r="339" spans="1:36" x14ac:dyDescent="0.25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0">
        <f>'RESUMEN TOTAL'!L379</f>
        <v>0</v>
      </c>
      <c r="G339" s="70">
        <f>'RESUMEN TOTAL'!M379</f>
        <v>0</v>
      </c>
      <c r="H339" s="70">
        <f>'RESUMEN TOTAL'!N379</f>
        <v>0</v>
      </c>
      <c r="I339" s="70">
        <f>'RESUMEN TOTAL'!O379</f>
        <v>0</v>
      </c>
      <c r="J339" s="70">
        <f>'RESUMEN TOTAL'!P379</f>
        <v>0</v>
      </c>
      <c r="K339" s="70">
        <f>'RESUMEN TOTAL'!Q379</f>
        <v>0</v>
      </c>
      <c r="L339" s="70">
        <f>'RESUMEN TOTAL'!R379</f>
        <v>0</v>
      </c>
      <c r="M339" s="70">
        <f>'RESUMEN TOTAL'!S379</f>
        <v>0</v>
      </c>
      <c r="N339" s="70">
        <f>'RESUMEN TOTAL'!T379</f>
        <v>0</v>
      </c>
      <c r="O339" s="70">
        <f>'RESUMEN TOTAL'!U379</f>
        <v>0</v>
      </c>
      <c r="P339" s="70">
        <f>'RESUMEN TOTAL'!V379</f>
        <v>0</v>
      </c>
      <c r="Q339" s="70">
        <f>'RESUMEN TOTAL'!W379</f>
        <v>0</v>
      </c>
      <c r="R339" s="70">
        <f>'RESUMEN TOTAL'!X379</f>
        <v>0</v>
      </c>
      <c r="S339" s="70">
        <f>'RESUMEN TOTAL'!Y379</f>
        <v>0</v>
      </c>
      <c r="T339" s="70">
        <f>'RESUMEN TOTAL'!Z379</f>
        <v>0</v>
      </c>
      <c r="U339" s="70">
        <f>'RESUMEN TOTAL'!AA379</f>
        <v>0</v>
      </c>
      <c r="V339" s="70">
        <f>'RESUMEN TOTAL'!AB379</f>
        <v>0</v>
      </c>
      <c r="W339" s="70">
        <f>'RESUMEN TOTAL'!AC379</f>
        <v>0</v>
      </c>
      <c r="X339" s="70">
        <f>'RESUMEN TOTAL'!AD379</f>
        <v>0</v>
      </c>
      <c r="Y339" s="70">
        <f>'RESUMEN TOTAL'!AE379</f>
        <v>0</v>
      </c>
      <c r="Z339" s="70">
        <f>'RESUMEN TOTAL'!AF379</f>
        <v>0</v>
      </c>
      <c r="AA339" s="70">
        <f>'RESUMEN TOTAL'!AG379</f>
        <v>0</v>
      </c>
      <c r="AB339" s="70">
        <f>'RESUMEN TOTAL'!AH379</f>
        <v>0</v>
      </c>
      <c r="AC339" s="70">
        <f>'RESUMEN TOTAL'!AI379</f>
        <v>0</v>
      </c>
      <c r="AD339" s="70">
        <f>'RESUMEN TOTAL'!AJ379</f>
        <v>0</v>
      </c>
      <c r="AE339" s="70">
        <f>'RESUMEN TOTAL'!AK379</f>
        <v>0</v>
      </c>
      <c r="AF339" s="70">
        <f>'RESUMEN TOTAL'!AL379</f>
        <v>0</v>
      </c>
      <c r="AG339" s="70">
        <f>'RESUMEN TOTAL'!AM379</f>
        <v>0</v>
      </c>
      <c r="AH339" s="70">
        <f>'RESUMEN TOTAL'!AN379</f>
        <v>0</v>
      </c>
      <c r="AI339" s="70">
        <f>'RESUMEN TOTAL'!AO379</f>
        <v>0</v>
      </c>
      <c r="AJ339" s="70">
        <f>'RESUMEN TOTAL'!AP379</f>
        <v>0</v>
      </c>
    </row>
    <row r="340" spans="1:36" x14ac:dyDescent="0.25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0">
        <f>'RESUMEN TOTAL'!L380</f>
        <v>0</v>
      </c>
      <c r="G340" s="70">
        <f>'RESUMEN TOTAL'!M380</f>
        <v>0</v>
      </c>
      <c r="H340" s="70">
        <f>'RESUMEN TOTAL'!N380</f>
        <v>0</v>
      </c>
      <c r="I340" s="70">
        <f>'RESUMEN TOTAL'!O380</f>
        <v>0</v>
      </c>
      <c r="J340" s="70">
        <f>'RESUMEN TOTAL'!P380</f>
        <v>0</v>
      </c>
      <c r="K340" s="70">
        <f>'RESUMEN TOTAL'!Q380</f>
        <v>0</v>
      </c>
      <c r="L340" s="70">
        <f>'RESUMEN TOTAL'!R380</f>
        <v>0</v>
      </c>
      <c r="M340" s="70">
        <f>'RESUMEN TOTAL'!S380</f>
        <v>0</v>
      </c>
      <c r="N340" s="70">
        <f>'RESUMEN TOTAL'!T380</f>
        <v>0</v>
      </c>
      <c r="O340" s="70">
        <f>'RESUMEN TOTAL'!U380</f>
        <v>0</v>
      </c>
      <c r="P340" s="70">
        <f>'RESUMEN TOTAL'!V380</f>
        <v>0</v>
      </c>
      <c r="Q340" s="70">
        <f>'RESUMEN TOTAL'!W380</f>
        <v>0</v>
      </c>
      <c r="R340" s="70">
        <f>'RESUMEN TOTAL'!X380</f>
        <v>0</v>
      </c>
      <c r="S340" s="70">
        <f>'RESUMEN TOTAL'!Y380</f>
        <v>0</v>
      </c>
      <c r="T340" s="70">
        <f>'RESUMEN TOTAL'!Z380</f>
        <v>0</v>
      </c>
      <c r="U340" s="70">
        <f>'RESUMEN TOTAL'!AA380</f>
        <v>0</v>
      </c>
      <c r="V340" s="70">
        <f>'RESUMEN TOTAL'!AB380</f>
        <v>0</v>
      </c>
      <c r="W340" s="70">
        <f>'RESUMEN TOTAL'!AC380</f>
        <v>0</v>
      </c>
      <c r="X340" s="70">
        <f>'RESUMEN TOTAL'!AD380</f>
        <v>0</v>
      </c>
      <c r="Y340" s="70">
        <f>'RESUMEN TOTAL'!AE380</f>
        <v>0</v>
      </c>
      <c r="Z340" s="70">
        <f>'RESUMEN TOTAL'!AF380</f>
        <v>0</v>
      </c>
      <c r="AA340" s="70">
        <f>'RESUMEN TOTAL'!AG380</f>
        <v>0</v>
      </c>
      <c r="AB340" s="70">
        <f>'RESUMEN TOTAL'!AH380</f>
        <v>0</v>
      </c>
      <c r="AC340" s="70">
        <f>'RESUMEN TOTAL'!AI380</f>
        <v>0</v>
      </c>
      <c r="AD340" s="70">
        <f>'RESUMEN TOTAL'!AJ380</f>
        <v>0</v>
      </c>
      <c r="AE340" s="70">
        <f>'RESUMEN TOTAL'!AK380</f>
        <v>0</v>
      </c>
      <c r="AF340" s="70">
        <f>'RESUMEN TOTAL'!AL380</f>
        <v>0</v>
      </c>
      <c r="AG340" s="70">
        <f>'RESUMEN TOTAL'!AM380</f>
        <v>0</v>
      </c>
      <c r="AH340" s="70">
        <f>'RESUMEN TOTAL'!AN380</f>
        <v>0</v>
      </c>
      <c r="AI340" s="70">
        <f>'RESUMEN TOTAL'!AO380</f>
        <v>0</v>
      </c>
      <c r="AJ340" s="70">
        <f>'RESUMEN TOTAL'!AP380</f>
        <v>0</v>
      </c>
    </row>
    <row r="341" spans="1:36" x14ac:dyDescent="0.25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0">
        <f>'RESUMEN TOTAL'!L381</f>
        <v>0</v>
      </c>
      <c r="G341" s="70">
        <f>'RESUMEN TOTAL'!M381</f>
        <v>0</v>
      </c>
      <c r="H341" s="70">
        <f>'RESUMEN TOTAL'!N381</f>
        <v>0</v>
      </c>
      <c r="I341" s="70">
        <f>'RESUMEN TOTAL'!O381</f>
        <v>0</v>
      </c>
      <c r="J341" s="70">
        <f>'RESUMEN TOTAL'!P381</f>
        <v>0</v>
      </c>
      <c r="K341" s="70">
        <f>'RESUMEN TOTAL'!Q381</f>
        <v>0</v>
      </c>
      <c r="L341" s="70">
        <f>'RESUMEN TOTAL'!R381</f>
        <v>0</v>
      </c>
      <c r="M341" s="70">
        <f>'RESUMEN TOTAL'!S381</f>
        <v>0</v>
      </c>
      <c r="N341" s="70">
        <f>'RESUMEN TOTAL'!T381</f>
        <v>0</v>
      </c>
      <c r="O341" s="70">
        <f>'RESUMEN TOTAL'!U381</f>
        <v>0</v>
      </c>
      <c r="P341" s="70">
        <f>'RESUMEN TOTAL'!V381</f>
        <v>0</v>
      </c>
      <c r="Q341" s="70">
        <f>'RESUMEN TOTAL'!W381</f>
        <v>0</v>
      </c>
      <c r="R341" s="70">
        <f>'RESUMEN TOTAL'!X381</f>
        <v>0</v>
      </c>
      <c r="S341" s="70">
        <f>'RESUMEN TOTAL'!Y381</f>
        <v>0</v>
      </c>
      <c r="T341" s="70">
        <f>'RESUMEN TOTAL'!Z381</f>
        <v>0</v>
      </c>
      <c r="U341" s="70">
        <f>'RESUMEN TOTAL'!AA381</f>
        <v>0</v>
      </c>
      <c r="V341" s="70">
        <f>'RESUMEN TOTAL'!AB381</f>
        <v>0</v>
      </c>
      <c r="W341" s="70">
        <f>'RESUMEN TOTAL'!AC381</f>
        <v>0</v>
      </c>
      <c r="X341" s="70">
        <f>'RESUMEN TOTAL'!AD381</f>
        <v>0</v>
      </c>
      <c r="Y341" s="70">
        <f>'RESUMEN TOTAL'!AE381</f>
        <v>0</v>
      </c>
      <c r="Z341" s="70">
        <f>'RESUMEN TOTAL'!AF381</f>
        <v>0</v>
      </c>
      <c r="AA341" s="70">
        <f>'RESUMEN TOTAL'!AG381</f>
        <v>0</v>
      </c>
      <c r="AB341" s="70">
        <f>'RESUMEN TOTAL'!AH381</f>
        <v>0</v>
      </c>
      <c r="AC341" s="70">
        <f>'RESUMEN TOTAL'!AI381</f>
        <v>0</v>
      </c>
      <c r="AD341" s="70">
        <f>'RESUMEN TOTAL'!AJ381</f>
        <v>0</v>
      </c>
      <c r="AE341" s="70">
        <f>'RESUMEN TOTAL'!AK381</f>
        <v>0</v>
      </c>
      <c r="AF341" s="70">
        <f>'RESUMEN TOTAL'!AL381</f>
        <v>0</v>
      </c>
      <c r="AG341" s="70">
        <f>'RESUMEN TOTAL'!AM381</f>
        <v>0</v>
      </c>
      <c r="AH341" s="70">
        <f>'RESUMEN TOTAL'!AN381</f>
        <v>0</v>
      </c>
      <c r="AI341" s="70">
        <f>'RESUMEN TOTAL'!AO381</f>
        <v>0</v>
      </c>
      <c r="AJ341" s="70">
        <f>'RESUMEN TOTAL'!AP381</f>
        <v>0</v>
      </c>
    </row>
    <row r="342" spans="1:36" x14ac:dyDescent="0.25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0">
        <f>'RESUMEN TOTAL'!L382</f>
        <v>0</v>
      </c>
      <c r="G342" s="70">
        <f>'RESUMEN TOTAL'!M382</f>
        <v>0</v>
      </c>
      <c r="H342" s="70">
        <f>'RESUMEN TOTAL'!N382</f>
        <v>0</v>
      </c>
      <c r="I342" s="70">
        <f>'RESUMEN TOTAL'!O382</f>
        <v>0</v>
      </c>
      <c r="J342" s="70">
        <f>'RESUMEN TOTAL'!P382</f>
        <v>0</v>
      </c>
      <c r="K342" s="70">
        <f>'RESUMEN TOTAL'!Q382</f>
        <v>0</v>
      </c>
      <c r="L342" s="70">
        <f>'RESUMEN TOTAL'!R382</f>
        <v>0</v>
      </c>
      <c r="M342" s="70">
        <f>'RESUMEN TOTAL'!S382</f>
        <v>0</v>
      </c>
      <c r="N342" s="70">
        <f>'RESUMEN TOTAL'!T382</f>
        <v>0</v>
      </c>
      <c r="O342" s="70">
        <f>'RESUMEN TOTAL'!U382</f>
        <v>0</v>
      </c>
      <c r="P342" s="70">
        <f>'RESUMEN TOTAL'!V382</f>
        <v>0</v>
      </c>
      <c r="Q342" s="70">
        <f>'RESUMEN TOTAL'!W382</f>
        <v>0</v>
      </c>
      <c r="R342" s="70">
        <f>'RESUMEN TOTAL'!X382</f>
        <v>0</v>
      </c>
      <c r="S342" s="70">
        <f>'RESUMEN TOTAL'!Y382</f>
        <v>0</v>
      </c>
      <c r="T342" s="70">
        <f>'RESUMEN TOTAL'!Z382</f>
        <v>0</v>
      </c>
      <c r="U342" s="70">
        <f>'RESUMEN TOTAL'!AA382</f>
        <v>0</v>
      </c>
      <c r="V342" s="70">
        <f>'RESUMEN TOTAL'!AB382</f>
        <v>0</v>
      </c>
      <c r="W342" s="70">
        <f>'RESUMEN TOTAL'!AC382</f>
        <v>0</v>
      </c>
      <c r="X342" s="70">
        <f>'RESUMEN TOTAL'!AD382</f>
        <v>0</v>
      </c>
      <c r="Y342" s="70">
        <f>'RESUMEN TOTAL'!AE382</f>
        <v>0</v>
      </c>
      <c r="Z342" s="70">
        <f>'RESUMEN TOTAL'!AF382</f>
        <v>0</v>
      </c>
      <c r="AA342" s="70">
        <f>'RESUMEN TOTAL'!AG382</f>
        <v>0</v>
      </c>
      <c r="AB342" s="70">
        <f>'RESUMEN TOTAL'!AH382</f>
        <v>0</v>
      </c>
      <c r="AC342" s="70">
        <f>'RESUMEN TOTAL'!AI382</f>
        <v>0</v>
      </c>
      <c r="AD342" s="70">
        <f>'RESUMEN TOTAL'!AJ382</f>
        <v>0</v>
      </c>
      <c r="AE342" s="70">
        <f>'RESUMEN TOTAL'!AK382</f>
        <v>0</v>
      </c>
      <c r="AF342" s="70">
        <f>'RESUMEN TOTAL'!AL382</f>
        <v>0</v>
      </c>
      <c r="AG342" s="70">
        <f>'RESUMEN TOTAL'!AM382</f>
        <v>0</v>
      </c>
      <c r="AH342" s="70">
        <f>'RESUMEN TOTAL'!AN382</f>
        <v>0</v>
      </c>
      <c r="AI342" s="70">
        <f>'RESUMEN TOTAL'!AO382</f>
        <v>0</v>
      </c>
      <c r="AJ342" s="70">
        <f>'RESUMEN TOTAL'!AP382</f>
        <v>0</v>
      </c>
    </row>
    <row r="343" spans="1:36" x14ac:dyDescent="0.25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0">
        <f>'RESUMEN TOTAL'!L383</f>
        <v>0</v>
      </c>
      <c r="G343" s="70">
        <f>'RESUMEN TOTAL'!M383</f>
        <v>0</v>
      </c>
      <c r="H343" s="70">
        <f>'RESUMEN TOTAL'!N383</f>
        <v>0</v>
      </c>
      <c r="I343" s="70">
        <f>'RESUMEN TOTAL'!O383</f>
        <v>0</v>
      </c>
      <c r="J343" s="70">
        <f>'RESUMEN TOTAL'!P383</f>
        <v>0</v>
      </c>
      <c r="K343" s="70">
        <f>'RESUMEN TOTAL'!Q383</f>
        <v>0</v>
      </c>
      <c r="L343" s="70">
        <f>'RESUMEN TOTAL'!R383</f>
        <v>0</v>
      </c>
      <c r="M343" s="70">
        <f>'RESUMEN TOTAL'!S383</f>
        <v>0</v>
      </c>
      <c r="N343" s="70">
        <f>'RESUMEN TOTAL'!T383</f>
        <v>0</v>
      </c>
      <c r="O343" s="70">
        <f>'RESUMEN TOTAL'!U383</f>
        <v>0</v>
      </c>
      <c r="P343" s="70">
        <f>'RESUMEN TOTAL'!V383</f>
        <v>0</v>
      </c>
      <c r="Q343" s="70">
        <f>'RESUMEN TOTAL'!W383</f>
        <v>0</v>
      </c>
      <c r="R343" s="70">
        <f>'RESUMEN TOTAL'!X383</f>
        <v>0</v>
      </c>
      <c r="S343" s="70">
        <f>'RESUMEN TOTAL'!Y383</f>
        <v>0</v>
      </c>
      <c r="T343" s="70">
        <f>'RESUMEN TOTAL'!Z383</f>
        <v>0</v>
      </c>
      <c r="U343" s="70">
        <f>'RESUMEN TOTAL'!AA383</f>
        <v>0</v>
      </c>
      <c r="V343" s="70">
        <f>'RESUMEN TOTAL'!AB383</f>
        <v>0</v>
      </c>
      <c r="W343" s="70" t="str">
        <f>'RESUMEN TOTAL'!AC383</f>
        <v>APAGADO</v>
      </c>
      <c r="X343" s="70" t="str">
        <f>'RESUMEN TOTAL'!AD383</f>
        <v>APAGADO</v>
      </c>
      <c r="Y343" s="70" t="str">
        <f>'RESUMEN TOTAL'!AE383</f>
        <v>APAGADO</v>
      </c>
      <c r="Z343" s="70">
        <f>'RESUMEN TOTAL'!AF383</f>
        <v>0</v>
      </c>
      <c r="AA343" s="70">
        <f>'RESUMEN TOTAL'!AG383</f>
        <v>0</v>
      </c>
      <c r="AB343" s="70">
        <f>'RESUMEN TOTAL'!AH383</f>
        <v>0</v>
      </c>
      <c r="AC343" s="70">
        <f>'RESUMEN TOTAL'!AI383</f>
        <v>0</v>
      </c>
      <c r="AD343" s="70">
        <f>'RESUMEN TOTAL'!AJ383</f>
        <v>0</v>
      </c>
      <c r="AE343" s="70">
        <f>'RESUMEN TOTAL'!AK383</f>
        <v>0</v>
      </c>
      <c r="AF343" s="70">
        <f>'RESUMEN TOTAL'!AL383</f>
        <v>0</v>
      </c>
      <c r="AG343" s="70">
        <f>'RESUMEN TOTAL'!AM383</f>
        <v>0</v>
      </c>
      <c r="AH343" s="70">
        <f>'RESUMEN TOTAL'!AN383</f>
        <v>0</v>
      </c>
      <c r="AI343" s="70">
        <f>'RESUMEN TOTAL'!AO383</f>
        <v>0</v>
      </c>
      <c r="AJ343" s="70">
        <f>'RESUMEN TOTAL'!AP383</f>
        <v>0</v>
      </c>
    </row>
    <row r="344" spans="1:36" x14ac:dyDescent="0.25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0">
        <f>'RESUMEN TOTAL'!L384</f>
        <v>0</v>
      </c>
      <c r="G344" s="70">
        <f>'RESUMEN TOTAL'!M384</f>
        <v>0</v>
      </c>
      <c r="H344" s="70">
        <f>'RESUMEN TOTAL'!N384</f>
        <v>0</v>
      </c>
      <c r="I344" s="70">
        <f>'RESUMEN TOTAL'!O384</f>
        <v>0</v>
      </c>
      <c r="J344" s="70">
        <f>'RESUMEN TOTAL'!P384</f>
        <v>0</v>
      </c>
      <c r="K344" s="70">
        <f>'RESUMEN TOTAL'!Q384</f>
        <v>0</v>
      </c>
      <c r="L344" s="70">
        <f>'RESUMEN TOTAL'!R384</f>
        <v>0</v>
      </c>
      <c r="M344" s="70">
        <f>'RESUMEN TOTAL'!S384</f>
        <v>0</v>
      </c>
      <c r="N344" s="70">
        <f>'RESUMEN TOTAL'!T384</f>
        <v>0</v>
      </c>
      <c r="O344" s="70">
        <f>'RESUMEN TOTAL'!U384</f>
        <v>0</v>
      </c>
      <c r="P344" s="70">
        <f>'RESUMEN TOTAL'!V384</f>
        <v>0</v>
      </c>
      <c r="Q344" s="70">
        <f>'RESUMEN TOTAL'!W384</f>
        <v>0</v>
      </c>
      <c r="R344" s="70">
        <f>'RESUMEN TOTAL'!X384</f>
        <v>0</v>
      </c>
      <c r="S344" s="70">
        <f>'RESUMEN TOTAL'!Y384</f>
        <v>0</v>
      </c>
      <c r="T344" s="70">
        <f>'RESUMEN TOTAL'!Z384</f>
        <v>0</v>
      </c>
      <c r="U344" s="70">
        <f>'RESUMEN TOTAL'!AA384</f>
        <v>0</v>
      </c>
      <c r="V344" s="70">
        <f>'RESUMEN TOTAL'!AB384</f>
        <v>0</v>
      </c>
      <c r="W344" s="70">
        <f>'RESUMEN TOTAL'!AC384</f>
        <v>0</v>
      </c>
      <c r="X344" s="70">
        <f>'RESUMEN TOTAL'!AD384</f>
        <v>0</v>
      </c>
      <c r="Y344" s="70">
        <f>'RESUMEN TOTAL'!AE384</f>
        <v>0</v>
      </c>
      <c r="Z344" s="70">
        <f>'RESUMEN TOTAL'!AF384</f>
        <v>0</v>
      </c>
      <c r="AA344" s="70">
        <f>'RESUMEN TOTAL'!AG384</f>
        <v>0</v>
      </c>
      <c r="AB344" s="70">
        <f>'RESUMEN TOTAL'!AH384</f>
        <v>0</v>
      </c>
      <c r="AC344" s="70">
        <f>'RESUMEN TOTAL'!AI384</f>
        <v>0</v>
      </c>
      <c r="AD344" s="70">
        <f>'RESUMEN TOTAL'!AJ384</f>
        <v>0</v>
      </c>
      <c r="AE344" s="70">
        <f>'RESUMEN TOTAL'!AK384</f>
        <v>0</v>
      </c>
      <c r="AF344" s="70">
        <f>'RESUMEN TOTAL'!AL384</f>
        <v>0</v>
      </c>
      <c r="AG344" s="70">
        <f>'RESUMEN TOTAL'!AM384</f>
        <v>0</v>
      </c>
      <c r="AH344" s="70">
        <f>'RESUMEN TOTAL'!AN384</f>
        <v>0</v>
      </c>
      <c r="AI344" s="70">
        <f>'RESUMEN TOTAL'!AO384</f>
        <v>0</v>
      </c>
      <c r="AJ344" s="70">
        <f>'RESUMEN TOTAL'!AP384</f>
        <v>0</v>
      </c>
    </row>
    <row r="345" spans="1:36" x14ac:dyDescent="0.25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0">
        <f>'RESUMEN TOTAL'!L385</f>
        <v>0</v>
      </c>
      <c r="G345" s="70">
        <f>'RESUMEN TOTAL'!M385</f>
        <v>0</v>
      </c>
      <c r="H345" s="70">
        <f>'RESUMEN TOTAL'!N385</f>
        <v>0</v>
      </c>
      <c r="I345" s="70">
        <f>'RESUMEN TOTAL'!O385</f>
        <v>0</v>
      </c>
      <c r="J345" s="70">
        <f>'RESUMEN TOTAL'!P385</f>
        <v>0</v>
      </c>
      <c r="K345" s="70">
        <f>'RESUMEN TOTAL'!Q385</f>
        <v>0</v>
      </c>
      <c r="L345" s="70">
        <f>'RESUMEN TOTAL'!R385</f>
        <v>0</v>
      </c>
      <c r="M345" s="70">
        <f>'RESUMEN TOTAL'!S385</f>
        <v>0</v>
      </c>
      <c r="N345" s="70">
        <f>'RESUMEN TOTAL'!T385</f>
        <v>0</v>
      </c>
      <c r="O345" s="70">
        <f>'RESUMEN TOTAL'!U385</f>
        <v>0</v>
      </c>
      <c r="P345" s="70">
        <f>'RESUMEN TOTAL'!V385</f>
        <v>0</v>
      </c>
      <c r="Q345" s="70">
        <f>'RESUMEN TOTAL'!W385</f>
        <v>0</v>
      </c>
      <c r="R345" s="70">
        <f>'RESUMEN TOTAL'!X385</f>
        <v>0</v>
      </c>
      <c r="S345" s="70">
        <f>'RESUMEN TOTAL'!Y385</f>
        <v>0</v>
      </c>
      <c r="T345" s="70">
        <f>'RESUMEN TOTAL'!Z385</f>
        <v>0</v>
      </c>
      <c r="U345" s="70">
        <f>'RESUMEN TOTAL'!AA385</f>
        <v>0</v>
      </c>
      <c r="V345" s="70">
        <f>'RESUMEN TOTAL'!AB385</f>
        <v>0</v>
      </c>
      <c r="W345" s="70" t="str">
        <f>'RESUMEN TOTAL'!AC385</f>
        <v>APAGADO</v>
      </c>
      <c r="X345" s="70">
        <f>'RESUMEN TOTAL'!AD385</f>
        <v>0</v>
      </c>
      <c r="Y345" s="70" t="str">
        <f>'RESUMEN TOTAL'!AE385</f>
        <v>APAGADO</v>
      </c>
      <c r="Z345" s="70">
        <f>'RESUMEN TOTAL'!AF385</f>
        <v>0</v>
      </c>
      <c r="AA345" s="70">
        <f>'RESUMEN TOTAL'!AG385</f>
        <v>0</v>
      </c>
      <c r="AB345" s="70">
        <f>'RESUMEN TOTAL'!AH385</f>
        <v>0</v>
      </c>
      <c r="AC345" s="70">
        <f>'RESUMEN TOTAL'!AI385</f>
        <v>0</v>
      </c>
      <c r="AD345" s="70" t="str">
        <f>'RESUMEN TOTAL'!AJ385</f>
        <v>APAGADO</v>
      </c>
      <c r="AE345" s="70" t="str">
        <f>'RESUMEN TOTAL'!AK385</f>
        <v>APAGADO</v>
      </c>
      <c r="AF345" s="70" t="str">
        <f>'RESUMEN TOTAL'!AL385</f>
        <v>APAGADO</v>
      </c>
      <c r="AG345" s="70">
        <f>'RESUMEN TOTAL'!AM385</f>
        <v>0</v>
      </c>
      <c r="AH345" s="70">
        <f>'RESUMEN TOTAL'!AN385</f>
        <v>0</v>
      </c>
      <c r="AI345" s="70">
        <f>'RESUMEN TOTAL'!AO385</f>
        <v>0</v>
      </c>
      <c r="AJ345" s="70">
        <f>'RESUMEN TOTAL'!AP385</f>
        <v>0</v>
      </c>
    </row>
    <row r="346" spans="1:36" x14ac:dyDescent="0.25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0">
        <f>'RESUMEN TOTAL'!L386</f>
        <v>0</v>
      </c>
      <c r="G346" s="70">
        <f>'RESUMEN TOTAL'!M386</f>
        <v>0</v>
      </c>
      <c r="H346" s="70">
        <f>'RESUMEN TOTAL'!N386</f>
        <v>0</v>
      </c>
      <c r="I346" s="70">
        <f>'RESUMEN TOTAL'!O386</f>
        <v>0</v>
      </c>
      <c r="J346" s="70">
        <f>'RESUMEN TOTAL'!P386</f>
        <v>0</v>
      </c>
      <c r="K346" s="70">
        <f>'RESUMEN TOTAL'!Q386</f>
        <v>0</v>
      </c>
      <c r="L346" s="70">
        <f>'RESUMEN TOTAL'!R386</f>
        <v>0</v>
      </c>
      <c r="M346" s="70">
        <f>'RESUMEN TOTAL'!S386</f>
        <v>0</v>
      </c>
      <c r="N346" s="70">
        <f>'RESUMEN TOTAL'!T386</f>
        <v>0</v>
      </c>
      <c r="O346" s="70">
        <f>'RESUMEN TOTAL'!U386</f>
        <v>0</v>
      </c>
      <c r="P346" s="70">
        <f>'RESUMEN TOTAL'!V386</f>
        <v>0</v>
      </c>
      <c r="Q346" s="70">
        <f>'RESUMEN TOTAL'!W386</f>
        <v>0</v>
      </c>
      <c r="R346" s="70">
        <f>'RESUMEN TOTAL'!X386</f>
        <v>0</v>
      </c>
      <c r="S346" s="70">
        <f>'RESUMEN TOTAL'!Y386</f>
        <v>0</v>
      </c>
      <c r="T346" s="70">
        <f>'RESUMEN TOTAL'!Z386</f>
        <v>0</v>
      </c>
      <c r="U346" s="70">
        <f>'RESUMEN TOTAL'!AA386</f>
        <v>0</v>
      </c>
      <c r="V346" s="70">
        <f>'RESUMEN TOTAL'!AB386</f>
        <v>0</v>
      </c>
      <c r="W346" s="70" t="str">
        <f>'RESUMEN TOTAL'!AC386</f>
        <v>APAGADO</v>
      </c>
      <c r="X346" s="70">
        <f>'RESUMEN TOTAL'!AD386</f>
        <v>0</v>
      </c>
      <c r="Y346" s="70" t="str">
        <f>'RESUMEN TOTAL'!AE386</f>
        <v>APAGADO</v>
      </c>
      <c r="Z346" s="70">
        <f>'RESUMEN TOTAL'!AF386</f>
        <v>0</v>
      </c>
      <c r="AA346" s="70">
        <f>'RESUMEN TOTAL'!AG386</f>
        <v>0</v>
      </c>
      <c r="AB346" s="70">
        <f>'RESUMEN TOTAL'!AH386</f>
        <v>0</v>
      </c>
      <c r="AC346" s="70">
        <f>'RESUMEN TOTAL'!AI386</f>
        <v>0</v>
      </c>
      <c r="AD346" s="70" t="str">
        <f>'RESUMEN TOTAL'!AJ386</f>
        <v>APAGADO</v>
      </c>
      <c r="AE346" s="70" t="str">
        <f>'RESUMEN TOTAL'!AK386</f>
        <v>APAGADO</v>
      </c>
      <c r="AF346" s="70">
        <f>'RESUMEN TOTAL'!AL386</f>
        <v>0</v>
      </c>
      <c r="AG346" s="70">
        <f>'RESUMEN TOTAL'!AM386</f>
        <v>0</v>
      </c>
      <c r="AH346" s="70">
        <f>'RESUMEN TOTAL'!AN386</f>
        <v>0</v>
      </c>
      <c r="AI346" s="70">
        <f>'RESUMEN TOTAL'!AO386</f>
        <v>0</v>
      </c>
      <c r="AJ346" s="70">
        <f>'RESUMEN TOTAL'!AP386</f>
        <v>0</v>
      </c>
    </row>
    <row r="347" spans="1:36" x14ac:dyDescent="0.25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0">
        <f>'RESUMEN TOTAL'!L387</f>
        <v>0</v>
      </c>
      <c r="G347" s="70">
        <f>'RESUMEN TOTAL'!M387</f>
        <v>0</v>
      </c>
      <c r="H347" s="70">
        <f>'RESUMEN TOTAL'!N387</f>
        <v>0</v>
      </c>
      <c r="I347" s="70">
        <f>'RESUMEN TOTAL'!O387</f>
        <v>0</v>
      </c>
      <c r="J347" s="70">
        <f>'RESUMEN TOTAL'!P387</f>
        <v>0</v>
      </c>
      <c r="K347" s="70">
        <f>'RESUMEN TOTAL'!Q387</f>
        <v>0</v>
      </c>
      <c r="L347" s="70">
        <f>'RESUMEN TOTAL'!R387</f>
        <v>0</v>
      </c>
      <c r="M347" s="70">
        <f>'RESUMEN TOTAL'!S387</f>
        <v>0</v>
      </c>
      <c r="N347" s="70">
        <f>'RESUMEN TOTAL'!T387</f>
        <v>0</v>
      </c>
      <c r="O347" s="70">
        <f>'RESUMEN TOTAL'!U387</f>
        <v>0</v>
      </c>
      <c r="P347" s="70">
        <f>'RESUMEN TOTAL'!V387</f>
        <v>0</v>
      </c>
      <c r="Q347" s="70">
        <f>'RESUMEN TOTAL'!W387</f>
        <v>0</v>
      </c>
      <c r="R347" s="70">
        <f>'RESUMEN TOTAL'!X387</f>
        <v>0</v>
      </c>
      <c r="S347" s="70">
        <f>'RESUMEN TOTAL'!Y387</f>
        <v>0</v>
      </c>
      <c r="T347" s="70">
        <f>'RESUMEN TOTAL'!Z387</f>
        <v>0</v>
      </c>
      <c r="U347" s="70">
        <f>'RESUMEN TOTAL'!AA387</f>
        <v>0</v>
      </c>
      <c r="V347" s="70">
        <f>'RESUMEN TOTAL'!AB387</f>
        <v>0</v>
      </c>
      <c r="W347" s="70" t="str">
        <f>'RESUMEN TOTAL'!AC387</f>
        <v>APAGADO</v>
      </c>
      <c r="X347" s="70">
        <f>'RESUMEN TOTAL'!AD387</f>
        <v>0</v>
      </c>
      <c r="Y347" s="70" t="str">
        <f>'RESUMEN TOTAL'!AE387</f>
        <v>APAGADO</v>
      </c>
      <c r="Z347" s="70">
        <f>'RESUMEN TOTAL'!AF387</f>
        <v>0</v>
      </c>
      <c r="AA347" s="70">
        <f>'RESUMEN TOTAL'!AG387</f>
        <v>0</v>
      </c>
      <c r="AB347" s="70">
        <f>'RESUMEN TOTAL'!AH387</f>
        <v>0</v>
      </c>
      <c r="AC347" s="70">
        <f>'RESUMEN TOTAL'!AI387</f>
        <v>0</v>
      </c>
      <c r="AD347" s="70" t="str">
        <f>'RESUMEN TOTAL'!AJ387</f>
        <v>APAGADO</v>
      </c>
      <c r="AE347" s="70" t="str">
        <f>'RESUMEN TOTAL'!AK387</f>
        <v>APAGADO</v>
      </c>
      <c r="AF347" s="70" t="str">
        <f>'RESUMEN TOTAL'!AL387</f>
        <v>APAGADO</v>
      </c>
      <c r="AG347" s="70">
        <f>'RESUMEN TOTAL'!AM387</f>
        <v>0</v>
      </c>
      <c r="AH347" s="70">
        <f>'RESUMEN TOTAL'!AN387</f>
        <v>0</v>
      </c>
      <c r="AI347" s="70">
        <f>'RESUMEN TOTAL'!AO387</f>
        <v>0</v>
      </c>
      <c r="AJ347" s="70">
        <f>'RESUMEN TOTAL'!AP387</f>
        <v>0</v>
      </c>
    </row>
    <row r="348" spans="1:36" x14ac:dyDescent="0.25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0">
        <f>'RESUMEN TOTAL'!L388</f>
        <v>0</v>
      </c>
      <c r="G348" s="70">
        <f>'RESUMEN TOTAL'!M388</f>
        <v>0</v>
      </c>
      <c r="H348" s="70">
        <f>'RESUMEN TOTAL'!N388</f>
        <v>0</v>
      </c>
      <c r="I348" s="70">
        <f>'RESUMEN TOTAL'!O388</f>
        <v>0</v>
      </c>
      <c r="J348" s="70">
        <f>'RESUMEN TOTAL'!P388</f>
        <v>0</v>
      </c>
      <c r="K348" s="70">
        <f>'RESUMEN TOTAL'!Q388</f>
        <v>0</v>
      </c>
      <c r="L348" s="70">
        <f>'RESUMEN TOTAL'!R388</f>
        <v>0</v>
      </c>
      <c r="M348" s="70">
        <f>'RESUMEN TOTAL'!S388</f>
        <v>0</v>
      </c>
      <c r="N348" s="70">
        <f>'RESUMEN TOTAL'!T388</f>
        <v>0</v>
      </c>
      <c r="O348" s="70" t="str">
        <f>'RESUMEN TOTAL'!U388</f>
        <v>APAGADO</v>
      </c>
      <c r="P348" s="70" t="str">
        <f>'RESUMEN TOTAL'!V388</f>
        <v>APAGADO</v>
      </c>
      <c r="Q348" s="70" t="str">
        <f>'RESUMEN TOTAL'!W388</f>
        <v>APAGADO</v>
      </c>
      <c r="R348" s="70" t="str">
        <f>'RESUMEN TOTAL'!X388</f>
        <v>APAGADO</v>
      </c>
      <c r="S348" s="70" t="str">
        <f>'RESUMEN TOTAL'!Y388</f>
        <v>APAGADO</v>
      </c>
      <c r="T348" s="70" t="str">
        <f>'RESUMEN TOTAL'!Z388</f>
        <v>APAGADO</v>
      </c>
      <c r="U348" s="70" t="str">
        <f>'RESUMEN TOTAL'!AA388</f>
        <v>APAGADO</v>
      </c>
      <c r="V348" s="70" t="str">
        <f>'RESUMEN TOTAL'!AB388</f>
        <v>APAGADO</v>
      </c>
      <c r="W348" s="70" t="str">
        <f>'RESUMEN TOTAL'!AC388</f>
        <v>APAGADO</v>
      </c>
      <c r="X348" s="70" t="str">
        <f>'RESUMEN TOTAL'!AD388</f>
        <v>APAGADO</v>
      </c>
      <c r="Y348" s="70" t="str">
        <f>'RESUMEN TOTAL'!AE388</f>
        <v>APAGADO</v>
      </c>
      <c r="Z348" s="70">
        <f>'RESUMEN TOTAL'!AF388</f>
        <v>0</v>
      </c>
      <c r="AA348" s="70">
        <f>'RESUMEN TOTAL'!AG388</f>
        <v>0</v>
      </c>
      <c r="AB348" s="70" t="str">
        <f>'RESUMEN TOTAL'!AH388</f>
        <v>APAGADO</v>
      </c>
      <c r="AC348" s="70" t="str">
        <f>'RESUMEN TOTAL'!AI388</f>
        <v>APAGADO</v>
      </c>
      <c r="AD348" s="70" t="str">
        <f>'RESUMEN TOTAL'!AJ388</f>
        <v>APAGADO</v>
      </c>
      <c r="AE348" s="70" t="str">
        <f>'RESUMEN TOTAL'!AK388</f>
        <v>APAGADO</v>
      </c>
      <c r="AF348" s="70" t="str">
        <f>'RESUMEN TOTAL'!AL388</f>
        <v>APAGADO</v>
      </c>
      <c r="AG348" s="70">
        <f>'RESUMEN TOTAL'!AM388</f>
        <v>0</v>
      </c>
      <c r="AH348" s="70">
        <f>'RESUMEN TOTAL'!AN388</f>
        <v>0</v>
      </c>
      <c r="AI348" s="70">
        <f>'RESUMEN TOTAL'!AO388</f>
        <v>0</v>
      </c>
      <c r="AJ348" s="70">
        <f>'RESUMEN TOTAL'!AP388</f>
        <v>0</v>
      </c>
    </row>
    <row r="349" spans="1:36" x14ac:dyDescent="0.25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0">
        <f>'RESUMEN TOTAL'!L389</f>
        <v>0</v>
      </c>
      <c r="G349" s="70" t="str">
        <f>'RESUMEN TOTAL'!M389</f>
        <v>APAGADO</v>
      </c>
      <c r="H349" s="70" t="str">
        <f>'RESUMEN TOTAL'!N389</f>
        <v>APAGADO</v>
      </c>
      <c r="I349" s="70">
        <f>'RESUMEN TOTAL'!O389</f>
        <v>0</v>
      </c>
      <c r="J349" s="70">
        <f>'RESUMEN TOTAL'!P389</f>
        <v>0</v>
      </c>
      <c r="K349" s="70">
        <f>'RESUMEN TOTAL'!Q389</f>
        <v>0</v>
      </c>
      <c r="L349" s="70">
        <f>'RESUMEN TOTAL'!R389</f>
        <v>0</v>
      </c>
      <c r="M349" s="70">
        <f>'RESUMEN TOTAL'!S389</f>
        <v>0</v>
      </c>
      <c r="N349" s="70">
        <f>'RESUMEN TOTAL'!T389</f>
        <v>0</v>
      </c>
      <c r="O349" s="70">
        <f>'RESUMEN TOTAL'!U389</f>
        <v>0</v>
      </c>
      <c r="P349" s="70">
        <f>'RESUMEN TOTAL'!V389</f>
        <v>0</v>
      </c>
      <c r="Q349" s="70">
        <f>'RESUMEN TOTAL'!W389</f>
        <v>0</v>
      </c>
      <c r="R349" s="70">
        <f>'RESUMEN TOTAL'!X389</f>
        <v>0</v>
      </c>
      <c r="S349" s="70">
        <f>'RESUMEN TOTAL'!Y389</f>
        <v>0</v>
      </c>
      <c r="T349" s="70">
        <f>'RESUMEN TOTAL'!Z389</f>
        <v>0</v>
      </c>
      <c r="U349" s="70">
        <f>'RESUMEN TOTAL'!AA389</f>
        <v>0</v>
      </c>
      <c r="V349" s="70">
        <f>'RESUMEN TOTAL'!AB389</f>
        <v>0</v>
      </c>
      <c r="W349" s="70">
        <f>'RESUMEN TOTAL'!AC389</f>
        <v>0</v>
      </c>
      <c r="X349" s="70">
        <f>'RESUMEN TOTAL'!AD389</f>
        <v>0</v>
      </c>
      <c r="Y349" s="70">
        <f>'RESUMEN TOTAL'!AE389</f>
        <v>0</v>
      </c>
      <c r="Z349" s="70">
        <f>'RESUMEN TOTAL'!AF389</f>
        <v>0</v>
      </c>
      <c r="AA349" s="70">
        <f>'RESUMEN TOTAL'!AG389</f>
        <v>0</v>
      </c>
      <c r="AB349" s="70">
        <f>'RESUMEN TOTAL'!AH389</f>
        <v>0</v>
      </c>
      <c r="AC349" s="70">
        <f>'RESUMEN TOTAL'!AI389</f>
        <v>0</v>
      </c>
      <c r="AD349" s="70">
        <f>'RESUMEN TOTAL'!AJ389</f>
        <v>0</v>
      </c>
      <c r="AE349" s="70">
        <f>'RESUMEN TOTAL'!AK389</f>
        <v>0</v>
      </c>
      <c r="AF349" s="70">
        <f>'RESUMEN TOTAL'!AL389</f>
        <v>0</v>
      </c>
      <c r="AG349" s="70">
        <f>'RESUMEN TOTAL'!AM389</f>
        <v>0</v>
      </c>
      <c r="AH349" s="70">
        <f>'RESUMEN TOTAL'!AN389</f>
        <v>0</v>
      </c>
      <c r="AI349" s="70">
        <f>'RESUMEN TOTAL'!AO389</f>
        <v>0</v>
      </c>
      <c r="AJ349" s="70">
        <f>'RESUMEN TOTAL'!AP389</f>
        <v>0</v>
      </c>
    </row>
    <row r="350" spans="1:36" x14ac:dyDescent="0.25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0" t="str">
        <f>'RESUMEN TOTAL'!L390</f>
        <v>APAGADO</v>
      </c>
      <c r="G350" s="70" t="str">
        <f>'RESUMEN TOTAL'!M390</f>
        <v>APAGADO</v>
      </c>
      <c r="H350" s="70" t="str">
        <f>'RESUMEN TOTAL'!N390</f>
        <v>APAGADO</v>
      </c>
      <c r="I350" s="70">
        <f>'RESUMEN TOTAL'!O390</f>
        <v>0</v>
      </c>
      <c r="J350" s="70">
        <f>'RESUMEN TOTAL'!P390</f>
        <v>0</v>
      </c>
      <c r="K350" s="70">
        <f>'RESUMEN TOTAL'!Q390</f>
        <v>0</v>
      </c>
      <c r="L350" s="70">
        <f>'RESUMEN TOTAL'!R390</f>
        <v>0</v>
      </c>
      <c r="M350" s="70">
        <f>'RESUMEN TOTAL'!S390</f>
        <v>0</v>
      </c>
      <c r="N350" s="70">
        <f>'RESUMEN TOTAL'!T390</f>
        <v>0</v>
      </c>
      <c r="O350" s="70">
        <f>'RESUMEN TOTAL'!U390</f>
        <v>0</v>
      </c>
      <c r="P350" s="70">
        <f>'RESUMEN TOTAL'!V390</f>
        <v>0</v>
      </c>
      <c r="Q350" s="70">
        <f>'RESUMEN TOTAL'!W390</f>
        <v>0</v>
      </c>
      <c r="R350" s="70">
        <f>'RESUMEN TOTAL'!X390</f>
        <v>0</v>
      </c>
      <c r="S350" s="70">
        <f>'RESUMEN TOTAL'!Y390</f>
        <v>0</v>
      </c>
      <c r="T350" s="70">
        <f>'RESUMEN TOTAL'!Z390</f>
        <v>0</v>
      </c>
      <c r="U350" s="70">
        <f>'RESUMEN TOTAL'!AA390</f>
        <v>0</v>
      </c>
      <c r="V350" s="70">
        <f>'RESUMEN TOTAL'!AB390</f>
        <v>0</v>
      </c>
      <c r="W350" s="70">
        <f>'RESUMEN TOTAL'!AC390</f>
        <v>0</v>
      </c>
      <c r="X350" s="70">
        <f>'RESUMEN TOTAL'!AD390</f>
        <v>0</v>
      </c>
      <c r="Y350" s="70">
        <f>'RESUMEN TOTAL'!AE390</f>
        <v>0</v>
      </c>
      <c r="Z350" s="70">
        <f>'RESUMEN TOTAL'!AF390</f>
        <v>0</v>
      </c>
      <c r="AA350" s="70">
        <f>'RESUMEN TOTAL'!AG390</f>
        <v>0</v>
      </c>
      <c r="AB350" s="70">
        <f>'RESUMEN TOTAL'!AH390</f>
        <v>0</v>
      </c>
      <c r="AC350" s="70">
        <f>'RESUMEN TOTAL'!AI390</f>
        <v>0</v>
      </c>
      <c r="AD350" s="70">
        <f>'RESUMEN TOTAL'!AJ390</f>
        <v>0</v>
      </c>
      <c r="AE350" s="70">
        <f>'RESUMEN TOTAL'!AK390</f>
        <v>0</v>
      </c>
      <c r="AF350" s="70">
        <f>'RESUMEN TOTAL'!AL390</f>
        <v>0</v>
      </c>
      <c r="AG350" s="70">
        <f>'RESUMEN TOTAL'!AM390</f>
        <v>0</v>
      </c>
      <c r="AH350" s="70">
        <f>'RESUMEN TOTAL'!AN390</f>
        <v>0</v>
      </c>
      <c r="AI350" s="70">
        <f>'RESUMEN TOTAL'!AO390</f>
        <v>0</v>
      </c>
      <c r="AJ350" s="70">
        <f>'RESUMEN TOTAL'!AP390</f>
        <v>0</v>
      </c>
    </row>
    <row r="351" spans="1:36" x14ac:dyDescent="0.25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0">
        <f>'RESUMEN TOTAL'!L391</f>
        <v>0</v>
      </c>
      <c r="G351" s="70">
        <f>'RESUMEN TOTAL'!M391</f>
        <v>0</v>
      </c>
      <c r="H351" s="70">
        <f>'RESUMEN TOTAL'!N391</f>
        <v>0</v>
      </c>
      <c r="I351" s="70">
        <f>'RESUMEN TOTAL'!O391</f>
        <v>0</v>
      </c>
      <c r="J351" s="70">
        <f>'RESUMEN TOTAL'!P391</f>
        <v>0</v>
      </c>
      <c r="K351" s="70">
        <f>'RESUMEN TOTAL'!Q391</f>
        <v>0</v>
      </c>
      <c r="L351" s="70">
        <f>'RESUMEN TOTAL'!R391</f>
        <v>0</v>
      </c>
      <c r="M351" s="70">
        <f>'RESUMEN TOTAL'!S391</f>
        <v>0</v>
      </c>
      <c r="N351" s="70">
        <f>'RESUMEN TOTAL'!T391</f>
        <v>0</v>
      </c>
      <c r="O351" s="70">
        <f>'RESUMEN TOTAL'!U391</f>
        <v>0</v>
      </c>
      <c r="P351" s="70">
        <f>'RESUMEN TOTAL'!V391</f>
        <v>0</v>
      </c>
      <c r="Q351" s="70">
        <f>'RESUMEN TOTAL'!W391</f>
        <v>0</v>
      </c>
      <c r="R351" s="70">
        <f>'RESUMEN TOTAL'!X391</f>
        <v>0</v>
      </c>
      <c r="S351" s="70">
        <f>'RESUMEN TOTAL'!Y391</f>
        <v>0</v>
      </c>
      <c r="T351" s="70">
        <f>'RESUMEN TOTAL'!Z391</f>
        <v>0</v>
      </c>
      <c r="U351" s="70">
        <f>'RESUMEN TOTAL'!AA391</f>
        <v>0</v>
      </c>
      <c r="V351" s="70">
        <f>'RESUMEN TOTAL'!AB391</f>
        <v>0</v>
      </c>
      <c r="W351" s="70">
        <f>'RESUMEN TOTAL'!AC391</f>
        <v>0</v>
      </c>
      <c r="X351" s="70">
        <f>'RESUMEN TOTAL'!AD391</f>
        <v>0</v>
      </c>
      <c r="Y351" s="70">
        <f>'RESUMEN TOTAL'!AE391</f>
        <v>0</v>
      </c>
      <c r="Z351" s="70">
        <f>'RESUMEN TOTAL'!AF391</f>
        <v>0</v>
      </c>
      <c r="AA351" s="70">
        <f>'RESUMEN TOTAL'!AG391</f>
        <v>0</v>
      </c>
      <c r="AB351" s="70">
        <f>'RESUMEN TOTAL'!AH391</f>
        <v>0</v>
      </c>
      <c r="AC351" s="70">
        <f>'RESUMEN TOTAL'!AI391</f>
        <v>0</v>
      </c>
      <c r="AD351" s="70">
        <f>'RESUMEN TOTAL'!AJ391</f>
        <v>0</v>
      </c>
      <c r="AE351" s="70">
        <f>'RESUMEN TOTAL'!AK391</f>
        <v>0</v>
      </c>
      <c r="AF351" s="70">
        <f>'RESUMEN TOTAL'!AL391</f>
        <v>0</v>
      </c>
      <c r="AG351" s="70">
        <f>'RESUMEN TOTAL'!AM391</f>
        <v>0</v>
      </c>
      <c r="AH351" s="70">
        <f>'RESUMEN TOTAL'!AN391</f>
        <v>0</v>
      </c>
      <c r="AI351" s="70">
        <f>'RESUMEN TOTAL'!AO391</f>
        <v>0</v>
      </c>
      <c r="AJ351" s="70">
        <f>'RESUMEN TOTAL'!AP391</f>
        <v>0</v>
      </c>
    </row>
    <row r="352" spans="1:36" x14ac:dyDescent="0.25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0">
        <f>'RESUMEN TOTAL'!L392</f>
        <v>0</v>
      </c>
      <c r="G352" s="70">
        <f>'RESUMEN TOTAL'!M392</f>
        <v>0</v>
      </c>
      <c r="H352" s="70">
        <f>'RESUMEN TOTAL'!N392</f>
        <v>0</v>
      </c>
      <c r="I352" s="70">
        <f>'RESUMEN TOTAL'!O392</f>
        <v>0</v>
      </c>
      <c r="J352" s="70">
        <f>'RESUMEN TOTAL'!P392</f>
        <v>0</v>
      </c>
      <c r="K352" s="70">
        <f>'RESUMEN TOTAL'!Q392</f>
        <v>0</v>
      </c>
      <c r="L352" s="70">
        <f>'RESUMEN TOTAL'!R392</f>
        <v>0</v>
      </c>
      <c r="M352" s="70">
        <f>'RESUMEN TOTAL'!S392</f>
        <v>0</v>
      </c>
      <c r="N352" s="70">
        <f>'RESUMEN TOTAL'!T392</f>
        <v>0</v>
      </c>
      <c r="O352" s="70">
        <f>'RESUMEN TOTAL'!U392</f>
        <v>0</v>
      </c>
      <c r="P352" s="70">
        <f>'RESUMEN TOTAL'!V392</f>
        <v>0</v>
      </c>
      <c r="Q352" s="70">
        <f>'RESUMEN TOTAL'!W392</f>
        <v>0</v>
      </c>
      <c r="R352" s="70">
        <f>'RESUMEN TOTAL'!X392</f>
        <v>0</v>
      </c>
      <c r="S352" s="70">
        <f>'RESUMEN TOTAL'!Y392</f>
        <v>0</v>
      </c>
      <c r="T352" s="70">
        <f>'RESUMEN TOTAL'!Z392</f>
        <v>0</v>
      </c>
      <c r="U352" s="70">
        <f>'RESUMEN TOTAL'!AA392</f>
        <v>0</v>
      </c>
      <c r="V352" s="70">
        <f>'RESUMEN TOTAL'!AB392</f>
        <v>0</v>
      </c>
      <c r="W352" s="70">
        <f>'RESUMEN TOTAL'!AC392</f>
        <v>0</v>
      </c>
      <c r="X352" s="70">
        <f>'RESUMEN TOTAL'!AD392</f>
        <v>0</v>
      </c>
      <c r="Y352" s="70">
        <f>'RESUMEN TOTAL'!AE392</f>
        <v>0</v>
      </c>
      <c r="Z352" s="70">
        <f>'RESUMEN TOTAL'!AF392</f>
        <v>0</v>
      </c>
      <c r="AA352" s="70">
        <f>'RESUMEN TOTAL'!AG392</f>
        <v>0</v>
      </c>
      <c r="AB352" s="70">
        <f>'RESUMEN TOTAL'!AH392</f>
        <v>0</v>
      </c>
      <c r="AC352" s="70">
        <f>'RESUMEN TOTAL'!AI392</f>
        <v>0</v>
      </c>
      <c r="AD352" s="70">
        <f>'RESUMEN TOTAL'!AJ392</f>
        <v>0</v>
      </c>
      <c r="AE352" s="70">
        <f>'RESUMEN TOTAL'!AK392</f>
        <v>0</v>
      </c>
      <c r="AF352" s="70">
        <f>'RESUMEN TOTAL'!AL392</f>
        <v>0</v>
      </c>
      <c r="AG352" s="70">
        <f>'RESUMEN TOTAL'!AM392</f>
        <v>0</v>
      </c>
      <c r="AH352" s="70">
        <f>'RESUMEN TOTAL'!AN392</f>
        <v>0</v>
      </c>
      <c r="AI352" s="70">
        <f>'RESUMEN TOTAL'!AO392</f>
        <v>0</v>
      </c>
      <c r="AJ352" s="70">
        <f>'RESUMEN TOTAL'!AP392</f>
        <v>0</v>
      </c>
    </row>
    <row r="353" spans="1:36" x14ac:dyDescent="0.25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0">
        <f>'RESUMEN TOTAL'!L393</f>
        <v>0</v>
      </c>
      <c r="G353" s="70">
        <f>'RESUMEN TOTAL'!M393</f>
        <v>0</v>
      </c>
      <c r="H353" s="70">
        <f>'RESUMEN TOTAL'!N393</f>
        <v>0</v>
      </c>
      <c r="I353" s="70" t="str">
        <f>'RESUMEN TOTAL'!O393</f>
        <v>APAGADO</v>
      </c>
      <c r="J353" s="70">
        <f>'RESUMEN TOTAL'!P393</f>
        <v>0</v>
      </c>
      <c r="K353" s="70">
        <f>'RESUMEN TOTAL'!Q393</f>
        <v>0</v>
      </c>
      <c r="L353" s="70">
        <f>'RESUMEN TOTAL'!R393</f>
        <v>0</v>
      </c>
      <c r="M353" s="70">
        <f>'RESUMEN TOTAL'!S393</f>
        <v>0</v>
      </c>
      <c r="N353" s="70">
        <f>'RESUMEN TOTAL'!T393</f>
        <v>0</v>
      </c>
      <c r="O353" s="70">
        <f>'RESUMEN TOTAL'!U393</f>
        <v>0</v>
      </c>
      <c r="P353" s="70">
        <f>'RESUMEN TOTAL'!V393</f>
        <v>0</v>
      </c>
      <c r="Q353" s="70">
        <f>'RESUMEN TOTAL'!W393</f>
        <v>0</v>
      </c>
      <c r="R353" s="70">
        <f>'RESUMEN TOTAL'!X393</f>
        <v>0</v>
      </c>
      <c r="S353" s="70">
        <f>'RESUMEN TOTAL'!Y393</f>
        <v>0</v>
      </c>
      <c r="T353" s="70" t="str">
        <f>'RESUMEN TOTAL'!Z393</f>
        <v>APAGADO</v>
      </c>
      <c r="U353" s="70" t="str">
        <f>'RESUMEN TOTAL'!AA393</f>
        <v>APAGADO</v>
      </c>
      <c r="V353" s="70" t="str">
        <f>'RESUMEN TOTAL'!AB393</f>
        <v>APAGADO</v>
      </c>
      <c r="W353" s="70" t="str">
        <f>'RESUMEN TOTAL'!AC393</f>
        <v>APAGADO</v>
      </c>
      <c r="X353" s="70" t="str">
        <f>'RESUMEN TOTAL'!AD393</f>
        <v>APAGADO</v>
      </c>
      <c r="Y353" s="70">
        <f>'RESUMEN TOTAL'!AE393</f>
        <v>0</v>
      </c>
      <c r="Z353" s="70">
        <f>'RESUMEN TOTAL'!AF393</f>
        <v>0</v>
      </c>
      <c r="AA353" s="70">
        <f>'RESUMEN TOTAL'!AG393</f>
        <v>0</v>
      </c>
      <c r="AB353" s="70">
        <f>'RESUMEN TOTAL'!AH393</f>
        <v>0</v>
      </c>
      <c r="AC353" s="70">
        <f>'RESUMEN TOTAL'!AI393</f>
        <v>0</v>
      </c>
      <c r="AD353" s="70">
        <f>'RESUMEN TOTAL'!AJ393</f>
        <v>0</v>
      </c>
      <c r="AE353" s="70">
        <f>'RESUMEN TOTAL'!AK393</f>
        <v>0</v>
      </c>
      <c r="AF353" s="70">
        <f>'RESUMEN TOTAL'!AL393</f>
        <v>0</v>
      </c>
      <c r="AG353" s="70">
        <f>'RESUMEN TOTAL'!AM393</f>
        <v>0</v>
      </c>
      <c r="AH353" s="70">
        <f>'RESUMEN TOTAL'!AN393</f>
        <v>0</v>
      </c>
      <c r="AI353" s="70">
        <f>'RESUMEN TOTAL'!AO393</f>
        <v>0</v>
      </c>
      <c r="AJ353" s="70">
        <f>'RESUMEN TOTAL'!AP393</f>
        <v>0</v>
      </c>
    </row>
    <row r="354" spans="1:36" x14ac:dyDescent="0.25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0">
        <f>'RESUMEN TOTAL'!L394</f>
        <v>0</v>
      </c>
      <c r="G354" s="70">
        <f>'RESUMEN TOTAL'!M394</f>
        <v>0</v>
      </c>
      <c r="H354" s="70">
        <f>'RESUMEN TOTAL'!N394</f>
        <v>0</v>
      </c>
      <c r="I354" s="70">
        <f>'RESUMEN TOTAL'!O394</f>
        <v>0</v>
      </c>
      <c r="J354" s="70" t="str">
        <f>'RESUMEN TOTAL'!P394</f>
        <v>APAGADO</v>
      </c>
      <c r="K354" s="70" t="str">
        <f>'RESUMEN TOTAL'!Q394</f>
        <v>APAGADO</v>
      </c>
      <c r="L354" s="70" t="str">
        <f>'RESUMEN TOTAL'!R394</f>
        <v>APAGADO</v>
      </c>
      <c r="M354" s="70" t="str">
        <f>'RESUMEN TOTAL'!S394</f>
        <v>APAGADO</v>
      </c>
      <c r="N354" s="70" t="str">
        <f>'RESUMEN TOTAL'!T394</f>
        <v>APAGADO</v>
      </c>
      <c r="O354" s="70" t="str">
        <f>'RESUMEN TOTAL'!U394</f>
        <v>APAGADO</v>
      </c>
      <c r="P354" s="70" t="str">
        <f>'RESUMEN TOTAL'!V394</f>
        <v>APAGADO</v>
      </c>
      <c r="Q354" s="70" t="str">
        <f>'RESUMEN TOTAL'!W394</f>
        <v>APAGADO</v>
      </c>
      <c r="R354" s="70" t="str">
        <f>'RESUMEN TOTAL'!X394</f>
        <v>APAGADO</v>
      </c>
      <c r="S354" s="70" t="str">
        <f>'RESUMEN TOTAL'!Y394</f>
        <v>APAGADO</v>
      </c>
      <c r="T354" s="70" t="str">
        <f>'RESUMEN TOTAL'!Z394</f>
        <v>APAGADO</v>
      </c>
      <c r="U354" s="70" t="str">
        <f>'RESUMEN TOTAL'!AA394</f>
        <v>APAGADO</v>
      </c>
      <c r="V354" s="70" t="str">
        <f>'RESUMEN TOTAL'!AB394</f>
        <v>APAGADO</v>
      </c>
      <c r="W354" s="70" t="str">
        <f>'RESUMEN TOTAL'!AC394</f>
        <v>APAGADO</v>
      </c>
      <c r="X354" s="70" t="str">
        <f>'RESUMEN TOTAL'!AD394</f>
        <v>APAGADO</v>
      </c>
      <c r="Y354" s="70" t="str">
        <f>'RESUMEN TOTAL'!AE394</f>
        <v>APAGADO</v>
      </c>
      <c r="Z354" s="70" t="str">
        <f>'RESUMEN TOTAL'!AF394</f>
        <v>APAGADO</v>
      </c>
      <c r="AA354" s="70" t="str">
        <f>'RESUMEN TOTAL'!AG394</f>
        <v>APAGADO</v>
      </c>
      <c r="AB354" s="70" t="str">
        <f>'RESUMEN TOTAL'!AH394</f>
        <v>APAGADO</v>
      </c>
      <c r="AC354" s="70" t="str">
        <f>'RESUMEN TOTAL'!AI394</f>
        <v>APAGADO</v>
      </c>
      <c r="AD354" s="70" t="str">
        <f>'RESUMEN TOTAL'!AJ394</f>
        <v>APAGADO</v>
      </c>
      <c r="AE354" s="70" t="str">
        <f>'RESUMEN TOTAL'!AK394</f>
        <v>APAGADO</v>
      </c>
      <c r="AF354" s="70" t="str">
        <f>'RESUMEN TOTAL'!AL394</f>
        <v>APAGADO</v>
      </c>
      <c r="AG354" s="70">
        <f>'RESUMEN TOTAL'!AM394</f>
        <v>0</v>
      </c>
      <c r="AH354" s="70">
        <f>'RESUMEN TOTAL'!AN394</f>
        <v>0</v>
      </c>
      <c r="AI354" s="70">
        <f>'RESUMEN TOTAL'!AO394</f>
        <v>0</v>
      </c>
      <c r="AJ354" s="70">
        <f>'RESUMEN TOTAL'!AP394</f>
        <v>0</v>
      </c>
    </row>
    <row r="355" spans="1:36" x14ac:dyDescent="0.25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0" t="str">
        <f>'RESUMEN TOTAL'!L395</f>
        <v>APAGADO</v>
      </c>
      <c r="G355" s="70" t="str">
        <f>'RESUMEN TOTAL'!M395</f>
        <v>APAGADO</v>
      </c>
      <c r="H355" s="70" t="str">
        <f>'RESUMEN TOTAL'!N395</f>
        <v>APAGADO</v>
      </c>
      <c r="I355" s="70" t="str">
        <f>'RESUMEN TOTAL'!O395</f>
        <v>APAGADO</v>
      </c>
      <c r="J355" s="70" t="str">
        <f>'RESUMEN TOTAL'!P395</f>
        <v>APAGADO</v>
      </c>
      <c r="K355" s="70" t="str">
        <f>'RESUMEN TOTAL'!Q395</f>
        <v>APAGADO</v>
      </c>
      <c r="L355" s="70" t="str">
        <f>'RESUMEN TOTAL'!R395</f>
        <v>APAGADO</v>
      </c>
      <c r="M355" s="70" t="str">
        <f>'RESUMEN TOTAL'!S395</f>
        <v>APAGADO</v>
      </c>
      <c r="N355" s="70" t="str">
        <f>'RESUMEN TOTAL'!T395</f>
        <v>APAGADO</v>
      </c>
      <c r="O355" s="70" t="str">
        <f>'RESUMEN TOTAL'!U395</f>
        <v>APAGADO</v>
      </c>
      <c r="P355" s="70" t="str">
        <f>'RESUMEN TOTAL'!V395</f>
        <v>APAGADO</v>
      </c>
      <c r="Q355" s="70" t="str">
        <f>'RESUMEN TOTAL'!W395</f>
        <v>APAGADO</v>
      </c>
      <c r="R355" s="70" t="str">
        <f>'RESUMEN TOTAL'!X395</f>
        <v>APAGADO</v>
      </c>
      <c r="S355" s="70" t="str">
        <f>'RESUMEN TOTAL'!Y395</f>
        <v>APAGADO</v>
      </c>
      <c r="T355" s="70" t="str">
        <f>'RESUMEN TOTAL'!Z395</f>
        <v>APAGADO</v>
      </c>
      <c r="U355" s="70" t="str">
        <f>'RESUMEN TOTAL'!AA395</f>
        <v>APAGADO</v>
      </c>
      <c r="V355" s="70" t="str">
        <f>'RESUMEN TOTAL'!AB395</f>
        <v>APAGADO</v>
      </c>
      <c r="W355" s="70" t="str">
        <f>'RESUMEN TOTAL'!AC395</f>
        <v>APAGADO</v>
      </c>
      <c r="X355" s="70" t="str">
        <f>'RESUMEN TOTAL'!AD395</f>
        <v>APAGADO</v>
      </c>
      <c r="Y355" s="70" t="str">
        <f>'RESUMEN TOTAL'!AE395</f>
        <v>APAGADO</v>
      </c>
      <c r="Z355" s="70" t="str">
        <f>'RESUMEN TOTAL'!AF395</f>
        <v>APAGADO</v>
      </c>
      <c r="AA355" s="70" t="str">
        <f>'RESUMEN TOTAL'!AG395</f>
        <v>APAGADO</v>
      </c>
      <c r="AB355" s="70">
        <f>'RESUMEN TOTAL'!AH395</f>
        <v>0</v>
      </c>
      <c r="AC355" s="70">
        <f>'RESUMEN TOTAL'!AI395</f>
        <v>0</v>
      </c>
      <c r="AD355" s="70">
        <f>'RESUMEN TOTAL'!AJ395</f>
        <v>0</v>
      </c>
      <c r="AE355" s="70">
        <f>'RESUMEN TOTAL'!AK395</f>
        <v>0</v>
      </c>
      <c r="AF355" s="70">
        <f>'RESUMEN TOTAL'!AL395</f>
        <v>0</v>
      </c>
      <c r="AG355" s="70">
        <f>'RESUMEN TOTAL'!AM395</f>
        <v>0</v>
      </c>
      <c r="AH355" s="70">
        <f>'RESUMEN TOTAL'!AN395</f>
        <v>0</v>
      </c>
      <c r="AI355" s="70">
        <f>'RESUMEN TOTAL'!AO395</f>
        <v>0</v>
      </c>
      <c r="AJ355" s="70">
        <f>'RESUMEN TOTAL'!AP395</f>
        <v>0</v>
      </c>
    </row>
    <row r="356" spans="1:36" x14ac:dyDescent="0.25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0" t="str">
        <f>'RESUMEN TOTAL'!L396</f>
        <v>APAGADO</v>
      </c>
      <c r="G356" s="70" t="str">
        <f>'RESUMEN TOTAL'!M396</f>
        <v>APAGADO</v>
      </c>
      <c r="H356" s="70" t="str">
        <f>'RESUMEN TOTAL'!N396</f>
        <v>APAGADO</v>
      </c>
      <c r="I356" s="70" t="str">
        <f>'RESUMEN TOTAL'!O396</f>
        <v>APAGADO</v>
      </c>
      <c r="J356" s="70" t="str">
        <f>'RESUMEN TOTAL'!P396</f>
        <v>APAGADO</v>
      </c>
      <c r="K356" s="70" t="str">
        <f>'RESUMEN TOTAL'!Q396</f>
        <v>APAGADO</v>
      </c>
      <c r="L356" s="70" t="str">
        <f>'RESUMEN TOTAL'!R396</f>
        <v>APAGADO</v>
      </c>
      <c r="M356" s="70" t="str">
        <f>'RESUMEN TOTAL'!S396</f>
        <v>APAGADO</v>
      </c>
      <c r="N356" s="70" t="str">
        <f>'RESUMEN TOTAL'!T396</f>
        <v>APAGADO</v>
      </c>
      <c r="O356" s="70" t="str">
        <f>'RESUMEN TOTAL'!U396</f>
        <v>APAGADO</v>
      </c>
      <c r="P356" s="70" t="str">
        <f>'RESUMEN TOTAL'!V396</f>
        <v>APAGADO</v>
      </c>
      <c r="Q356" s="70" t="str">
        <f>'RESUMEN TOTAL'!W396</f>
        <v>APAGADO</v>
      </c>
      <c r="R356" s="70" t="str">
        <f>'RESUMEN TOTAL'!X396</f>
        <v>APAGADO</v>
      </c>
      <c r="S356" s="70" t="str">
        <f>'RESUMEN TOTAL'!Y396</f>
        <v>APAGADO</v>
      </c>
      <c r="T356" s="70" t="str">
        <f>'RESUMEN TOTAL'!Z396</f>
        <v>APAGADO</v>
      </c>
      <c r="U356" s="70" t="str">
        <f>'RESUMEN TOTAL'!AA396</f>
        <v>APAGADO</v>
      </c>
      <c r="V356" s="70" t="str">
        <f>'RESUMEN TOTAL'!AB396</f>
        <v>APAGADO</v>
      </c>
      <c r="W356" s="70" t="str">
        <f>'RESUMEN TOTAL'!AC396</f>
        <v>APAGADO</v>
      </c>
      <c r="X356" s="70" t="str">
        <f>'RESUMEN TOTAL'!AD396</f>
        <v>APAGADO</v>
      </c>
      <c r="Y356" s="70" t="str">
        <f>'RESUMEN TOTAL'!AE396</f>
        <v>APAGADO</v>
      </c>
      <c r="Z356" s="70" t="str">
        <f>'RESUMEN TOTAL'!AF396</f>
        <v>APAGADO</v>
      </c>
      <c r="AA356" s="70" t="str">
        <f>'RESUMEN TOTAL'!AG396</f>
        <v>APAGADO</v>
      </c>
      <c r="AB356" s="70">
        <f>'RESUMEN TOTAL'!AH396</f>
        <v>0</v>
      </c>
      <c r="AC356" s="70">
        <f>'RESUMEN TOTAL'!AI396</f>
        <v>0</v>
      </c>
      <c r="AD356" s="70">
        <f>'RESUMEN TOTAL'!AJ396</f>
        <v>0</v>
      </c>
      <c r="AE356" s="70">
        <f>'RESUMEN TOTAL'!AK396</f>
        <v>0</v>
      </c>
      <c r="AF356" s="70">
        <f>'RESUMEN TOTAL'!AL396</f>
        <v>0</v>
      </c>
      <c r="AG356" s="70">
        <f>'RESUMEN TOTAL'!AM396</f>
        <v>0</v>
      </c>
      <c r="AH356" s="70">
        <f>'RESUMEN TOTAL'!AN396</f>
        <v>0</v>
      </c>
      <c r="AI356" s="70">
        <f>'RESUMEN TOTAL'!AO396</f>
        <v>0</v>
      </c>
      <c r="AJ356" s="70">
        <f>'RESUMEN TOTAL'!AP396</f>
        <v>0</v>
      </c>
    </row>
    <row r="357" spans="1:36" x14ac:dyDescent="0.25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0">
        <f>'RESUMEN TOTAL'!L397</f>
        <v>0</v>
      </c>
      <c r="G357" s="70">
        <f>'RESUMEN TOTAL'!M397</f>
        <v>0</v>
      </c>
      <c r="H357" s="70">
        <f>'RESUMEN TOTAL'!N397</f>
        <v>0</v>
      </c>
      <c r="I357" s="70">
        <f>'RESUMEN TOTAL'!O397</f>
        <v>0</v>
      </c>
      <c r="J357" s="70">
        <f>'RESUMEN TOTAL'!P397</f>
        <v>0</v>
      </c>
      <c r="K357" s="70">
        <f>'RESUMEN TOTAL'!Q397</f>
        <v>0</v>
      </c>
      <c r="L357" s="70">
        <f>'RESUMEN TOTAL'!R397</f>
        <v>0</v>
      </c>
      <c r="M357" s="70">
        <f>'RESUMEN TOTAL'!S397</f>
        <v>0</v>
      </c>
      <c r="N357" s="70">
        <f>'RESUMEN TOTAL'!T397</f>
        <v>0</v>
      </c>
      <c r="O357" s="70">
        <f>'RESUMEN TOTAL'!U397</f>
        <v>0</v>
      </c>
      <c r="P357" s="70">
        <f>'RESUMEN TOTAL'!V397</f>
        <v>0</v>
      </c>
      <c r="Q357" s="70">
        <f>'RESUMEN TOTAL'!W397</f>
        <v>0</v>
      </c>
      <c r="R357" s="70">
        <f>'RESUMEN TOTAL'!X397</f>
        <v>0</v>
      </c>
      <c r="S357" s="70">
        <f>'RESUMEN TOTAL'!Y397</f>
        <v>0</v>
      </c>
      <c r="T357" s="70">
        <f>'RESUMEN TOTAL'!Z397</f>
        <v>0</v>
      </c>
      <c r="U357" s="70">
        <f>'RESUMEN TOTAL'!AA397</f>
        <v>0</v>
      </c>
      <c r="V357" s="70">
        <f>'RESUMEN TOTAL'!AB397</f>
        <v>0</v>
      </c>
      <c r="W357" s="70">
        <f>'RESUMEN TOTAL'!AC397</f>
        <v>0</v>
      </c>
      <c r="X357" s="70">
        <f>'RESUMEN TOTAL'!AD397</f>
        <v>0</v>
      </c>
      <c r="Y357" s="70">
        <f>'RESUMEN TOTAL'!AE397</f>
        <v>0</v>
      </c>
      <c r="Z357" s="70">
        <f>'RESUMEN TOTAL'!AF397</f>
        <v>0</v>
      </c>
      <c r="AA357" s="70">
        <f>'RESUMEN TOTAL'!AG397</f>
        <v>0</v>
      </c>
      <c r="AB357" s="70">
        <f>'RESUMEN TOTAL'!AH397</f>
        <v>0</v>
      </c>
      <c r="AC357" s="70">
        <f>'RESUMEN TOTAL'!AI397</f>
        <v>0</v>
      </c>
      <c r="AD357" s="70">
        <f>'RESUMEN TOTAL'!AJ397</f>
        <v>0</v>
      </c>
      <c r="AE357" s="70">
        <f>'RESUMEN TOTAL'!AK397</f>
        <v>0</v>
      </c>
      <c r="AF357" s="70">
        <f>'RESUMEN TOTAL'!AL397</f>
        <v>0</v>
      </c>
      <c r="AG357" s="70">
        <f>'RESUMEN TOTAL'!AM397</f>
        <v>0</v>
      </c>
      <c r="AH357" s="70">
        <f>'RESUMEN TOTAL'!AN397</f>
        <v>0</v>
      </c>
      <c r="AI357" s="70">
        <f>'RESUMEN TOTAL'!AO397</f>
        <v>0</v>
      </c>
      <c r="AJ357" s="70">
        <f>'RESUMEN TOTAL'!AP397</f>
        <v>0</v>
      </c>
    </row>
    <row r="358" spans="1:36" x14ac:dyDescent="0.25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0">
        <f>'RESUMEN TOTAL'!L398</f>
        <v>0</v>
      </c>
      <c r="G358" s="70">
        <f>'RESUMEN TOTAL'!M398</f>
        <v>0</v>
      </c>
      <c r="H358" s="70">
        <f>'RESUMEN TOTAL'!N398</f>
        <v>0</v>
      </c>
      <c r="I358" s="70">
        <f>'RESUMEN TOTAL'!O398</f>
        <v>0</v>
      </c>
      <c r="J358" s="70">
        <f>'RESUMEN TOTAL'!P398</f>
        <v>0</v>
      </c>
      <c r="K358" s="70">
        <f>'RESUMEN TOTAL'!Q398</f>
        <v>0</v>
      </c>
      <c r="L358" s="70">
        <f>'RESUMEN TOTAL'!R398</f>
        <v>0</v>
      </c>
      <c r="M358" s="70">
        <f>'RESUMEN TOTAL'!S398</f>
        <v>0</v>
      </c>
      <c r="N358" s="70">
        <f>'RESUMEN TOTAL'!T398</f>
        <v>0</v>
      </c>
      <c r="O358" s="70">
        <f>'RESUMEN TOTAL'!U398</f>
        <v>0</v>
      </c>
      <c r="P358" s="70">
        <f>'RESUMEN TOTAL'!V398</f>
        <v>0</v>
      </c>
      <c r="Q358" s="70">
        <f>'RESUMEN TOTAL'!W398</f>
        <v>0</v>
      </c>
      <c r="R358" s="70">
        <f>'RESUMEN TOTAL'!X398</f>
        <v>0</v>
      </c>
      <c r="S358" s="70">
        <f>'RESUMEN TOTAL'!Y398</f>
        <v>0</v>
      </c>
      <c r="T358" s="70">
        <f>'RESUMEN TOTAL'!Z398</f>
        <v>0</v>
      </c>
      <c r="U358" s="70">
        <f>'RESUMEN TOTAL'!AA398</f>
        <v>0</v>
      </c>
      <c r="V358" s="70">
        <f>'RESUMEN TOTAL'!AB398</f>
        <v>0</v>
      </c>
      <c r="W358" s="70">
        <f>'RESUMEN TOTAL'!AC398</f>
        <v>0</v>
      </c>
      <c r="X358" s="70">
        <f>'RESUMEN TOTAL'!AD398</f>
        <v>0</v>
      </c>
      <c r="Y358" s="70">
        <f>'RESUMEN TOTAL'!AE398</f>
        <v>0</v>
      </c>
      <c r="Z358" s="70">
        <f>'RESUMEN TOTAL'!AF398</f>
        <v>0</v>
      </c>
      <c r="AA358" s="70">
        <f>'RESUMEN TOTAL'!AG398</f>
        <v>0</v>
      </c>
      <c r="AB358" s="70">
        <f>'RESUMEN TOTAL'!AH398</f>
        <v>0</v>
      </c>
      <c r="AC358" s="70">
        <f>'RESUMEN TOTAL'!AI398</f>
        <v>0</v>
      </c>
      <c r="AD358" s="70">
        <f>'RESUMEN TOTAL'!AJ398</f>
        <v>0</v>
      </c>
      <c r="AE358" s="70">
        <f>'RESUMEN TOTAL'!AK398</f>
        <v>0</v>
      </c>
      <c r="AF358" s="70">
        <f>'RESUMEN TOTAL'!AL398</f>
        <v>0</v>
      </c>
      <c r="AG358" s="70">
        <f>'RESUMEN TOTAL'!AM398</f>
        <v>0</v>
      </c>
      <c r="AH358" s="70">
        <f>'RESUMEN TOTAL'!AN398</f>
        <v>0</v>
      </c>
      <c r="AI358" s="70">
        <f>'RESUMEN TOTAL'!AO398</f>
        <v>0</v>
      </c>
      <c r="AJ358" s="70">
        <f>'RESUMEN TOTAL'!AP398</f>
        <v>0</v>
      </c>
    </row>
    <row r="359" spans="1:36" x14ac:dyDescent="0.25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0" t="str">
        <f>'RESUMEN TOTAL'!L399</f>
        <v>APAGADO</v>
      </c>
      <c r="G359" s="70" t="str">
        <f>'RESUMEN TOTAL'!M399</f>
        <v>APAGADO</v>
      </c>
      <c r="H359" s="70" t="str">
        <f>'RESUMEN TOTAL'!N399</f>
        <v>APAGADO</v>
      </c>
      <c r="I359" s="70" t="str">
        <f>'RESUMEN TOTAL'!O399</f>
        <v>APAGADO</v>
      </c>
      <c r="J359" s="70" t="str">
        <f>'RESUMEN TOTAL'!P399</f>
        <v>APAGADO</v>
      </c>
      <c r="K359" s="70" t="str">
        <f>'RESUMEN TOTAL'!Q399</f>
        <v>APAGADO</v>
      </c>
      <c r="L359" s="70" t="str">
        <f>'RESUMEN TOTAL'!R399</f>
        <v>APAGADO</v>
      </c>
      <c r="M359" s="70" t="str">
        <f>'RESUMEN TOTAL'!S399</f>
        <v>APAGADO</v>
      </c>
      <c r="N359" s="70" t="str">
        <f>'RESUMEN TOTAL'!T399</f>
        <v>APAGADO</v>
      </c>
      <c r="O359" s="70" t="str">
        <f>'RESUMEN TOTAL'!U399</f>
        <v>APAGADO</v>
      </c>
      <c r="P359" s="70" t="str">
        <f>'RESUMEN TOTAL'!V399</f>
        <v>APAGADO</v>
      </c>
      <c r="Q359" s="70" t="str">
        <f>'RESUMEN TOTAL'!W399</f>
        <v>APAGADO</v>
      </c>
      <c r="R359" s="70" t="str">
        <f>'RESUMEN TOTAL'!X399</f>
        <v>APAGADO</v>
      </c>
      <c r="S359" s="70" t="str">
        <f>'RESUMEN TOTAL'!Y399</f>
        <v>APAGADO</v>
      </c>
      <c r="T359" s="70" t="str">
        <f>'RESUMEN TOTAL'!Z399</f>
        <v>APAGADO</v>
      </c>
      <c r="U359" s="70" t="str">
        <f>'RESUMEN TOTAL'!AA399</f>
        <v>APAGADO</v>
      </c>
      <c r="V359" s="70" t="str">
        <f>'RESUMEN TOTAL'!AB399</f>
        <v>APAGADO</v>
      </c>
      <c r="W359" s="70" t="str">
        <f>'RESUMEN TOTAL'!AC399</f>
        <v>APAGADO</v>
      </c>
      <c r="X359" s="70" t="str">
        <f>'RESUMEN TOTAL'!AD399</f>
        <v>APAGADO</v>
      </c>
      <c r="Y359" s="70" t="str">
        <f>'RESUMEN TOTAL'!AE399</f>
        <v>APAGADO</v>
      </c>
      <c r="Z359" s="70" t="str">
        <f>'RESUMEN TOTAL'!AF399</f>
        <v>APAGADO</v>
      </c>
      <c r="AA359" s="70" t="str">
        <f>'RESUMEN TOTAL'!AG399</f>
        <v>APAGADO</v>
      </c>
      <c r="AB359" s="70" t="str">
        <f>'RESUMEN TOTAL'!AH399</f>
        <v>APAGADO</v>
      </c>
      <c r="AC359" s="70" t="str">
        <f>'RESUMEN TOTAL'!AI399</f>
        <v>APAGADO</v>
      </c>
      <c r="AD359" s="70" t="str">
        <f>'RESUMEN TOTAL'!AJ399</f>
        <v>APAGADO</v>
      </c>
      <c r="AE359" s="70" t="str">
        <f>'RESUMEN TOTAL'!AK399</f>
        <v>APAGADO</v>
      </c>
      <c r="AF359" s="70" t="str">
        <f>'RESUMEN TOTAL'!AL399</f>
        <v>APAGADO</v>
      </c>
      <c r="AG359" s="70">
        <f>'RESUMEN TOTAL'!AM399</f>
        <v>0</v>
      </c>
      <c r="AH359" s="70">
        <f>'RESUMEN TOTAL'!AN399</f>
        <v>0</v>
      </c>
      <c r="AI359" s="70">
        <f>'RESUMEN TOTAL'!AO399</f>
        <v>0</v>
      </c>
      <c r="AJ359" s="70">
        <f>'RESUMEN TOTAL'!AP399</f>
        <v>0</v>
      </c>
    </row>
    <row r="360" spans="1:36" x14ac:dyDescent="0.25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0">
        <f>'RESUMEN TOTAL'!L400</f>
        <v>0</v>
      </c>
      <c r="G360" s="70">
        <f>'RESUMEN TOTAL'!M400</f>
        <v>0</v>
      </c>
      <c r="H360" s="70">
        <f>'RESUMEN TOTAL'!N400</f>
        <v>0</v>
      </c>
      <c r="I360" s="70" t="str">
        <f>'RESUMEN TOTAL'!O400</f>
        <v>APAGADO</v>
      </c>
      <c r="J360" s="70" t="str">
        <f>'RESUMEN TOTAL'!P400</f>
        <v>APAGADO</v>
      </c>
      <c r="K360" s="70" t="str">
        <f>'RESUMEN TOTAL'!Q400</f>
        <v>APAGADO</v>
      </c>
      <c r="L360" s="70" t="str">
        <f>'RESUMEN TOTAL'!R400</f>
        <v>APAGADO</v>
      </c>
      <c r="M360" s="70" t="str">
        <f>'RESUMEN TOTAL'!S400</f>
        <v>APAGADO</v>
      </c>
      <c r="N360" s="70" t="str">
        <f>'RESUMEN TOTAL'!T400</f>
        <v>APAGADO</v>
      </c>
      <c r="O360" s="70" t="str">
        <f>'RESUMEN TOTAL'!U400</f>
        <v>APAGADO</v>
      </c>
      <c r="P360" s="70" t="str">
        <f>'RESUMEN TOTAL'!V400</f>
        <v>APAGADO</v>
      </c>
      <c r="Q360" s="70" t="str">
        <f>'RESUMEN TOTAL'!W400</f>
        <v>APAGADO</v>
      </c>
      <c r="R360" s="70" t="str">
        <f>'RESUMEN TOTAL'!X400</f>
        <v>APAGADO</v>
      </c>
      <c r="S360" s="70" t="str">
        <f>'RESUMEN TOTAL'!Y400</f>
        <v>APAGADO</v>
      </c>
      <c r="T360" s="70" t="str">
        <f>'RESUMEN TOTAL'!Z400</f>
        <v>APAGADO</v>
      </c>
      <c r="U360" s="70" t="str">
        <f>'RESUMEN TOTAL'!AA400</f>
        <v>APAGADO</v>
      </c>
      <c r="V360" s="70" t="str">
        <f>'RESUMEN TOTAL'!AB400</f>
        <v>APAGADO</v>
      </c>
      <c r="W360" s="70" t="str">
        <f>'RESUMEN TOTAL'!AC400</f>
        <v>APAGADO</v>
      </c>
      <c r="X360" s="70" t="str">
        <f>'RESUMEN TOTAL'!AD400</f>
        <v>APAGADO</v>
      </c>
      <c r="Y360" s="70" t="str">
        <f>'RESUMEN TOTAL'!AE400</f>
        <v>APAGADO</v>
      </c>
      <c r="Z360" s="70" t="str">
        <f>'RESUMEN TOTAL'!AF400</f>
        <v>APAGADO</v>
      </c>
      <c r="AA360" s="70" t="str">
        <f>'RESUMEN TOTAL'!AG400</f>
        <v>APAGADO</v>
      </c>
      <c r="AB360" s="70" t="str">
        <f>'RESUMEN TOTAL'!AH400</f>
        <v>APAGADO</v>
      </c>
      <c r="AC360" s="70" t="str">
        <f>'RESUMEN TOTAL'!AI400</f>
        <v>APAGADO</v>
      </c>
      <c r="AD360" s="70" t="str">
        <f>'RESUMEN TOTAL'!AJ400</f>
        <v>APAGADO</v>
      </c>
      <c r="AE360" s="70" t="str">
        <f>'RESUMEN TOTAL'!AK400</f>
        <v>APAGADO</v>
      </c>
      <c r="AF360" s="70" t="str">
        <f>'RESUMEN TOTAL'!AL400</f>
        <v>APAGADO</v>
      </c>
      <c r="AG360" s="70">
        <f>'RESUMEN TOTAL'!AM400</f>
        <v>0</v>
      </c>
      <c r="AH360" s="70">
        <f>'RESUMEN TOTAL'!AN400</f>
        <v>0</v>
      </c>
      <c r="AI360" s="70">
        <f>'RESUMEN TOTAL'!AO400</f>
        <v>0</v>
      </c>
      <c r="AJ360" s="70">
        <f>'RESUMEN TOTAL'!AP400</f>
        <v>0</v>
      </c>
    </row>
    <row r="361" spans="1:36" x14ac:dyDescent="0.25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0">
        <f>'RESUMEN TOTAL'!L401</f>
        <v>0</v>
      </c>
      <c r="G361" s="70">
        <f>'RESUMEN TOTAL'!M401</f>
        <v>0</v>
      </c>
      <c r="H361" s="70">
        <f>'RESUMEN TOTAL'!N401</f>
        <v>0</v>
      </c>
      <c r="I361" s="70">
        <f>'RESUMEN TOTAL'!O401</f>
        <v>0</v>
      </c>
      <c r="J361" s="70">
        <f>'RESUMEN TOTAL'!P401</f>
        <v>0</v>
      </c>
      <c r="K361" s="70">
        <f>'RESUMEN TOTAL'!Q401</f>
        <v>0</v>
      </c>
      <c r="L361" s="70">
        <f>'RESUMEN TOTAL'!R401</f>
        <v>0</v>
      </c>
      <c r="M361" s="70">
        <f>'RESUMEN TOTAL'!S401</f>
        <v>0</v>
      </c>
      <c r="N361" s="70">
        <f>'RESUMEN TOTAL'!T401</f>
        <v>0</v>
      </c>
      <c r="O361" s="70">
        <f>'RESUMEN TOTAL'!U401</f>
        <v>0</v>
      </c>
      <c r="P361" s="70">
        <f>'RESUMEN TOTAL'!V401</f>
        <v>0</v>
      </c>
      <c r="Q361" s="70">
        <f>'RESUMEN TOTAL'!W401</f>
        <v>0</v>
      </c>
      <c r="R361" s="70">
        <f>'RESUMEN TOTAL'!X401</f>
        <v>0</v>
      </c>
      <c r="S361" s="70">
        <f>'RESUMEN TOTAL'!Y401</f>
        <v>0</v>
      </c>
      <c r="T361" s="70">
        <f>'RESUMEN TOTAL'!Z401</f>
        <v>0</v>
      </c>
      <c r="U361" s="70">
        <f>'RESUMEN TOTAL'!AA401</f>
        <v>0</v>
      </c>
      <c r="V361" s="70">
        <f>'RESUMEN TOTAL'!AB401</f>
        <v>0</v>
      </c>
      <c r="W361" s="70">
        <f>'RESUMEN TOTAL'!AC401</f>
        <v>0</v>
      </c>
      <c r="X361" s="70">
        <f>'RESUMEN TOTAL'!AD401</f>
        <v>0</v>
      </c>
      <c r="Y361" s="70">
        <f>'RESUMEN TOTAL'!AE401</f>
        <v>0</v>
      </c>
      <c r="Z361" s="70">
        <f>'RESUMEN TOTAL'!AF401</f>
        <v>0</v>
      </c>
      <c r="AA361" s="70">
        <f>'RESUMEN TOTAL'!AG401</f>
        <v>0</v>
      </c>
      <c r="AB361" s="70">
        <f>'RESUMEN TOTAL'!AH401</f>
        <v>0</v>
      </c>
      <c r="AC361" s="70">
        <f>'RESUMEN TOTAL'!AI401</f>
        <v>0</v>
      </c>
      <c r="AD361" s="70">
        <f>'RESUMEN TOTAL'!AJ401</f>
        <v>0</v>
      </c>
      <c r="AE361" s="70">
        <f>'RESUMEN TOTAL'!AK401</f>
        <v>0</v>
      </c>
      <c r="AF361" s="70">
        <f>'RESUMEN TOTAL'!AL401</f>
        <v>0</v>
      </c>
      <c r="AG361" s="70">
        <f>'RESUMEN TOTAL'!AM401</f>
        <v>0</v>
      </c>
      <c r="AH361" s="70">
        <f>'RESUMEN TOTAL'!AN401</f>
        <v>0</v>
      </c>
      <c r="AI361" s="70">
        <f>'RESUMEN TOTAL'!AO401</f>
        <v>0</v>
      </c>
      <c r="AJ361" s="70">
        <f>'RESUMEN TOTAL'!AP401</f>
        <v>0</v>
      </c>
    </row>
    <row r="362" spans="1:36" x14ac:dyDescent="0.25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0">
        <f>'RESUMEN TOTAL'!L402</f>
        <v>0</v>
      </c>
      <c r="G362" s="70">
        <f>'RESUMEN TOTAL'!M402</f>
        <v>0</v>
      </c>
      <c r="H362" s="70">
        <f>'RESUMEN TOTAL'!N402</f>
        <v>0</v>
      </c>
      <c r="I362" s="70">
        <f>'RESUMEN TOTAL'!O402</f>
        <v>0</v>
      </c>
      <c r="J362" s="70">
        <f>'RESUMEN TOTAL'!P402</f>
        <v>0</v>
      </c>
      <c r="K362" s="70">
        <f>'RESUMEN TOTAL'!Q402</f>
        <v>0</v>
      </c>
      <c r="L362" s="70">
        <f>'RESUMEN TOTAL'!R402</f>
        <v>0</v>
      </c>
      <c r="M362" s="70">
        <f>'RESUMEN TOTAL'!S402</f>
        <v>0</v>
      </c>
      <c r="N362" s="70">
        <f>'RESUMEN TOTAL'!T402</f>
        <v>0</v>
      </c>
      <c r="O362" s="70">
        <f>'RESUMEN TOTAL'!U402</f>
        <v>0</v>
      </c>
      <c r="P362" s="70">
        <f>'RESUMEN TOTAL'!V402</f>
        <v>0</v>
      </c>
      <c r="Q362" s="70">
        <f>'RESUMEN TOTAL'!W402</f>
        <v>0</v>
      </c>
      <c r="R362" s="70">
        <f>'RESUMEN TOTAL'!X402</f>
        <v>0</v>
      </c>
      <c r="S362" s="70">
        <f>'RESUMEN TOTAL'!Y402</f>
        <v>0</v>
      </c>
      <c r="T362" s="70">
        <f>'RESUMEN TOTAL'!Z402</f>
        <v>0</v>
      </c>
      <c r="U362" s="70">
        <f>'RESUMEN TOTAL'!AA402</f>
        <v>0</v>
      </c>
      <c r="V362" s="70">
        <f>'RESUMEN TOTAL'!AB402</f>
        <v>0</v>
      </c>
      <c r="W362" s="70">
        <f>'RESUMEN TOTAL'!AC402</f>
        <v>0</v>
      </c>
      <c r="X362" s="70">
        <f>'RESUMEN TOTAL'!AD402</f>
        <v>0</v>
      </c>
      <c r="Y362" s="70">
        <f>'RESUMEN TOTAL'!AE402</f>
        <v>0</v>
      </c>
      <c r="Z362" s="70">
        <f>'RESUMEN TOTAL'!AF402</f>
        <v>0</v>
      </c>
      <c r="AA362" s="70">
        <f>'RESUMEN TOTAL'!AG402</f>
        <v>0</v>
      </c>
      <c r="AB362" s="70">
        <f>'RESUMEN TOTAL'!AH402</f>
        <v>0</v>
      </c>
      <c r="AC362" s="70">
        <f>'RESUMEN TOTAL'!AI402</f>
        <v>0</v>
      </c>
      <c r="AD362" s="70">
        <f>'RESUMEN TOTAL'!AJ402</f>
        <v>0</v>
      </c>
      <c r="AE362" s="70">
        <f>'RESUMEN TOTAL'!AK402</f>
        <v>0</v>
      </c>
      <c r="AF362" s="70">
        <f>'RESUMEN TOTAL'!AL402</f>
        <v>0</v>
      </c>
      <c r="AG362" s="70">
        <f>'RESUMEN TOTAL'!AM402</f>
        <v>0</v>
      </c>
      <c r="AH362" s="70">
        <f>'RESUMEN TOTAL'!AN402</f>
        <v>0</v>
      </c>
      <c r="AI362" s="70">
        <f>'RESUMEN TOTAL'!AO402</f>
        <v>0</v>
      </c>
      <c r="AJ362" s="70">
        <f>'RESUMEN TOTAL'!AP402</f>
        <v>0</v>
      </c>
    </row>
    <row r="363" spans="1:36" x14ac:dyDescent="0.25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0" t="str">
        <f>'RESUMEN TOTAL'!L403</f>
        <v>APAGADO</v>
      </c>
      <c r="G363" s="70" t="str">
        <f>'RESUMEN TOTAL'!M403</f>
        <v>APAGADO</v>
      </c>
      <c r="H363" s="70" t="str">
        <f>'RESUMEN TOTAL'!N403</f>
        <v>APAGADO</v>
      </c>
      <c r="I363" s="70" t="str">
        <f>'RESUMEN TOTAL'!O403</f>
        <v>APAGADO</v>
      </c>
      <c r="J363" s="70">
        <f>'RESUMEN TOTAL'!P403</f>
        <v>0</v>
      </c>
      <c r="K363" s="70">
        <f>'RESUMEN TOTAL'!Q403</f>
        <v>0</v>
      </c>
      <c r="L363" s="70" t="str">
        <f>'RESUMEN TOTAL'!R403</f>
        <v>APAGADO</v>
      </c>
      <c r="M363" s="70" t="str">
        <f>'RESUMEN TOTAL'!S403</f>
        <v>APAGADO</v>
      </c>
      <c r="N363" s="70" t="str">
        <f>'RESUMEN TOTAL'!T403</f>
        <v>APAGADO</v>
      </c>
      <c r="O363" s="70" t="str">
        <f>'RESUMEN TOTAL'!U403</f>
        <v>APAGADO</v>
      </c>
      <c r="P363" s="70" t="str">
        <f>'RESUMEN TOTAL'!V403</f>
        <v>APAGADO</v>
      </c>
      <c r="Q363" s="70" t="str">
        <f>'RESUMEN TOTAL'!W403</f>
        <v>APAGADO</v>
      </c>
      <c r="R363" s="70" t="str">
        <f>'RESUMEN TOTAL'!X403</f>
        <v>APAGADO</v>
      </c>
      <c r="S363" s="70" t="str">
        <f>'RESUMEN TOTAL'!Y403</f>
        <v>APAGADO</v>
      </c>
      <c r="T363" s="70" t="str">
        <f>'RESUMEN TOTAL'!Z403</f>
        <v>APAGADO</v>
      </c>
      <c r="U363" s="70" t="str">
        <f>'RESUMEN TOTAL'!AA403</f>
        <v>APAGADO</v>
      </c>
      <c r="V363" s="70" t="str">
        <f>'RESUMEN TOTAL'!AB403</f>
        <v>APAGADO</v>
      </c>
      <c r="W363" s="70" t="str">
        <f>'RESUMEN TOTAL'!AC403</f>
        <v>APAGADO</v>
      </c>
      <c r="X363" s="70" t="str">
        <f>'RESUMEN TOTAL'!AD403</f>
        <v>APAGADO</v>
      </c>
      <c r="Y363" s="70" t="str">
        <f>'RESUMEN TOTAL'!AE403</f>
        <v>APAGADO</v>
      </c>
      <c r="Z363" s="70" t="str">
        <f>'RESUMEN TOTAL'!AF403</f>
        <v>APAGADO</v>
      </c>
      <c r="AA363" s="70" t="str">
        <f>'RESUMEN TOTAL'!AG403</f>
        <v>APAGADO</v>
      </c>
      <c r="AB363" s="70" t="str">
        <f>'RESUMEN TOTAL'!AH403</f>
        <v>APAGADO</v>
      </c>
      <c r="AC363" s="70" t="str">
        <f>'RESUMEN TOTAL'!AI403</f>
        <v>APAGADO</v>
      </c>
      <c r="AD363" s="70" t="str">
        <f>'RESUMEN TOTAL'!AJ403</f>
        <v>APAGADO</v>
      </c>
      <c r="AE363" s="70" t="str">
        <f>'RESUMEN TOTAL'!AK403</f>
        <v>APAGADO</v>
      </c>
      <c r="AF363" s="70" t="str">
        <f>'RESUMEN TOTAL'!AL403</f>
        <v>APAGADO</v>
      </c>
      <c r="AG363" s="70">
        <f>'RESUMEN TOTAL'!AM403</f>
        <v>0</v>
      </c>
      <c r="AH363" s="70">
        <f>'RESUMEN TOTAL'!AN403</f>
        <v>0</v>
      </c>
      <c r="AI363" s="70">
        <f>'RESUMEN TOTAL'!AO403</f>
        <v>0</v>
      </c>
      <c r="AJ363" s="70">
        <f>'RESUMEN TOTAL'!AP403</f>
        <v>0</v>
      </c>
    </row>
    <row r="364" spans="1:36" x14ac:dyDescent="0.25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0">
        <f>'RESUMEN TOTAL'!L404</f>
        <v>0</v>
      </c>
      <c r="G364" s="70">
        <f>'RESUMEN TOTAL'!M404</f>
        <v>0</v>
      </c>
      <c r="H364" s="70">
        <f>'RESUMEN TOTAL'!N404</f>
        <v>0</v>
      </c>
      <c r="I364" s="70">
        <f>'RESUMEN TOTAL'!O404</f>
        <v>0</v>
      </c>
      <c r="J364" s="70">
        <f>'RESUMEN TOTAL'!P404</f>
        <v>0</v>
      </c>
      <c r="K364" s="70">
        <f>'RESUMEN TOTAL'!Q404</f>
        <v>0</v>
      </c>
      <c r="L364" s="70">
        <f>'RESUMEN TOTAL'!R404</f>
        <v>0</v>
      </c>
      <c r="M364" s="70">
        <f>'RESUMEN TOTAL'!S404</f>
        <v>0</v>
      </c>
      <c r="N364" s="70">
        <f>'RESUMEN TOTAL'!T404</f>
        <v>0</v>
      </c>
      <c r="O364" s="70">
        <f>'RESUMEN TOTAL'!U404</f>
        <v>0</v>
      </c>
      <c r="P364" s="70">
        <f>'RESUMEN TOTAL'!V404</f>
        <v>0</v>
      </c>
      <c r="Q364" s="70">
        <f>'RESUMEN TOTAL'!W404</f>
        <v>0</v>
      </c>
      <c r="R364" s="70">
        <f>'RESUMEN TOTAL'!X404</f>
        <v>0</v>
      </c>
      <c r="S364" s="70">
        <f>'RESUMEN TOTAL'!Y404</f>
        <v>0</v>
      </c>
      <c r="T364" s="70">
        <f>'RESUMEN TOTAL'!Z404</f>
        <v>0</v>
      </c>
      <c r="U364" s="70">
        <f>'RESUMEN TOTAL'!AA404</f>
        <v>0</v>
      </c>
      <c r="V364" s="70">
        <f>'RESUMEN TOTAL'!AB404</f>
        <v>0</v>
      </c>
      <c r="W364" s="70">
        <f>'RESUMEN TOTAL'!AC404</f>
        <v>0</v>
      </c>
      <c r="X364" s="70">
        <f>'RESUMEN TOTAL'!AD404</f>
        <v>0</v>
      </c>
      <c r="Y364" s="70">
        <f>'RESUMEN TOTAL'!AE404</f>
        <v>0</v>
      </c>
      <c r="Z364" s="70">
        <f>'RESUMEN TOTAL'!AF404</f>
        <v>0</v>
      </c>
      <c r="AA364" s="70">
        <f>'RESUMEN TOTAL'!AG404</f>
        <v>0</v>
      </c>
      <c r="AB364" s="70">
        <f>'RESUMEN TOTAL'!AH404</f>
        <v>0</v>
      </c>
      <c r="AC364" s="70">
        <f>'RESUMEN TOTAL'!AI404</f>
        <v>0</v>
      </c>
      <c r="AD364" s="70">
        <f>'RESUMEN TOTAL'!AJ404</f>
        <v>0</v>
      </c>
      <c r="AE364" s="70">
        <f>'RESUMEN TOTAL'!AK404</f>
        <v>0</v>
      </c>
      <c r="AF364" s="70">
        <f>'RESUMEN TOTAL'!AL404</f>
        <v>0</v>
      </c>
      <c r="AG364" s="70">
        <f>'RESUMEN TOTAL'!AM404</f>
        <v>0</v>
      </c>
      <c r="AH364" s="70">
        <f>'RESUMEN TOTAL'!AN404</f>
        <v>0</v>
      </c>
      <c r="AI364" s="70">
        <f>'RESUMEN TOTAL'!AO404</f>
        <v>0</v>
      </c>
      <c r="AJ364" s="70">
        <f>'RESUMEN TOTAL'!AP404</f>
        <v>0</v>
      </c>
    </row>
    <row r="365" spans="1:36" x14ac:dyDescent="0.25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0">
        <f>'RESUMEN TOTAL'!L405</f>
        <v>0</v>
      </c>
      <c r="G365" s="70">
        <f>'RESUMEN TOTAL'!M405</f>
        <v>0</v>
      </c>
      <c r="H365" s="70">
        <f>'RESUMEN TOTAL'!N405</f>
        <v>0</v>
      </c>
      <c r="I365" s="70">
        <f>'RESUMEN TOTAL'!O405</f>
        <v>0</v>
      </c>
      <c r="J365" s="70">
        <f>'RESUMEN TOTAL'!P405</f>
        <v>0</v>
      </c>
      <c r="K365" s="70">
        <f>'RESUMEN TOTAL'!Q405</f>
        <v>0</v>
      </c>
      <c r="L365" s="70">
        <f>'RESUMEN TOTAL'!R405</f>
        <v>0</v>
      </c>
      <c r="M365" s="70">
        <f>'RESUMEN TOTAL'!S405</f>
        <v>0</v>
      </c>
      <c r="N365" s="70">
        <f>'RESUMEN TOTAL'!T405</f>
        <v>0</v>
      </c>
      <c r="O365" s="70">
        <f>'RESUMEN TOTAL'!U405</f>
        <v>0</v>
      </c>
      <c r="P365" s="70">
        <f>'RESUMEN TOTAL'!V405</f>
        <v>0</v>
      </c>
      <c r="Q365" s="70">
        <f>'RESUMEN TOTAL'!W405</f>
        <v>0</v>
      </c>
      <c r="R365" s="70">
        <f>'RESUMEN TOTAL'!X405</f>
        <v>0</v>
      </c>
      <c r="S365" s="70">
        <f>'RESUMEN TOTAL'!Y405</f>
        <v>0</v>
      </c>
      <c r="T365" s="70">
        <f>'RESUMEN TOTAL'!Z405</f>
        <v>0</v>
      </c>
      <c r="U365" s="70">
        <f>'RESUMEN TOTAL'!AA405</f>
        <v>0</v>
      </c>
      <c r="V365" s="70">
        <f>'RESUMEN TOTAL'!AB405</f>
        <v>0</v>
      </c>
      <c r="W365" s="70">
        <f>'RESUMEN TOTAL'!AC405</f>
        <v>0</v>
      </c>
      <c r="X365" s="70">
        <f>'RESUMEN TOTAL'!AD405</f>
        <v>0</v>
      </c>
      <c r="Y365" s="70">
        <f>'RESUMEN TOTAL'!AE405</f>
        <v>0</v>
      </c>
      <c r="Z365" s="70">
        <f>'RESUMEN TOTAL'!AF405</f>
        <v>0</v>
      </c>
      <c r="AA365" s="70">
        <f>'RESUMEN TOTAL'!AG405</f>
        <v>0</v>
      </c>
      <c r="AB365" s="70">
        <f>'RESUMEN TOTAL'!AH405</f>
        <v>0</v>
      </c>
      <c r="AC365" s="70">
        <f>'RESUMEN TOTAL'!AI405</f>
        <v>0</v>
      </c>
      <c r="AD365" s="70">
        <f>'RESUMEN TOTAL'!AJ405</f>
        <v>0</v>
      </c>
      <c r="AE365" s="70">
        <f>'RESUMEN TOTAL'!AK405</f>
        <v>0</v>
      </c>
      <c r="AF365" s="70">
        <f>'RESUMEN TOTAL'!AL405</f>
        <v>0</v>
      </c>
      <c r="AG365" s="70">
        <f>'RESUMEN TOTAL'!AM405</f>
        <v>0</v>
      </c>
      <c r="AH365" s="70">
        <f>'RESUMEN TOTAL'!AN405</f>
        <v>0</v>
      </c>
      <c r="AI365" s="70">
        <f>'RESUMEN TOTAL'!AO405</f>
        <v>0</v>
      </c>
      <c r="AJ365" s="70">
        <f>'RESUMEN TOTAL'!AP405</f>
        <v>0</v>
      </c>
    </row>
    <row r="366" spans="1:36" x14ac:dyDescent="0.25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0">
        <f>'RESUMEN TOTAL'!L406</f>
        <v>0</v>
      </c>
      <c r="G366" s="70">
        <f>'RESUMEN TOTAL'!M406</f>
        <v>0</v>
      </c>
      <c r="H366" s="70">
        <f>'RESUMEN TOTAL'!N406</f>
        <v>0</v>
      </c>
      <c r="I366" s="70">
        <f>'RESUMEN TOTAL'!O406</f>
        <v>0</v>
      </c>
      <c r="J366" s="70">
        <f>'RESUMEN TOTAL'!P406</f>
        <v>0</v>
      </c>
      <c r="K366" s="70">
        <f>'RESUMEN TOTAL'!Q406</f>
        <v>0</v>
      </c>
      <c r="L366" s="70">
        <f>'RESUMEN TOTAL'!R406</f>
        <v>0</v>
      </c>
      <c r="M366" s="70">
        <f>'RESUMEN TOTAL'!S406</f>
        <v>0</v>
      </c>
      <c r="N366" s="70">
        <f>'RESUMEN TOTAL'!T406</f>
        <v>0</v>
      </c>
      <c r="O366" s="70">
        <f>'RESUMEN TOTAL'!U406</f>
        <v>0</v>
      </c>
      <c r="P366" s="70">
        <f>'RESUMEN TOTAL'!V406</f>
        <v>0</v>
      </c>
      <c r="Q366" s="70">
        <f>'RESUMEN TOTAL'!W406</f>
        <v>0</v>
      </c>
      <c r="R366" s="70">
        <f>'RESUMEN TOTAL'!X406</f>
        <v>0</v>
      </c>
      <c r="S366" s="70">
        <f>'RESUMEN TOTAL'!Y406</f>
        <v>0</v>
      </c>
      <c r="T366" s="70">
        <f>'RESUMEN TOTAL'!Z406</f>
        <v>0</v>
      </c>
      <c r="U366" s="70">
        <f>'RESUMEN TOTAL'!AA406</f>
        <v>0</v>
      </c>
      <c r="V366" s="70">
        <f>'RESUMEN TOTAL'!AB406</f>
        <v>0</v>
      </c>
      <c r="W366" s="70">
        <f>'RESUMEN TOTAL'!AC406</f>
        <v>0</v>
      </c>
      <c r="X366" s="70">
        <f>'RESUMEN TOTAL'!AD406</f>
        <v>0</v>
      </c>
      <c r="Y366" s="70">
        <f>'RESUMEN TOTAL'!AE406</f>
        <v>0</v>
      </c>
      <c r="Z366" s="70">
        <f>'RESUMEN TOTAL'!AF406</f>
        <v>0</v>
      </c>
      <c r="AA366" s="70">
        <f>'RESUMEN TOTAL'!AG406</f>
        <v>0</v>
      </c>
      <c r="AB366" s="70">
        <f>'RESUMEN TOTAL'!AH406</f>
        <v>0</v>
      </c>
      <c r="AC366" s="70">
        <f>'RESUMEN TOTAL'!AI406</f>
        <v>0</v>
      </c>
      <c r="AD366" s="70">
        <f>'RESUMEN TOTAL'!AJ406</f>
        <v>0</v>
      </c>
      <c r="AE366" s="70">
        <f>'RESUMEN TOTAL'!AK406</f>
        <v>0</v>
      </c>
      <c r="AF366" s="70">
        <f>'RESUMEN TOTAL'!AL406</f>
        <v>0</v>
      </c>
      <c r="AG366" s="70">
        <f>'RESUMEN TOTAL'!AM406</f>
        <v>0</v>
      </c>
      <c r="AH366" s="70">
        <f>'RESUMEN TOTAL'!AN406</f>
        <v>0</v>
      </c>
      <c r="AI366" s="70">
        <f>'RESUMEN TOTAL'!AO406</f>
        <v>0</v>
      </c>
      <c r="AJ366" s="70">
        <f>'RESUMEN TOTAL'!AP406</f>
        <v>0</v>
      </c>
    </row>
    <row r="367" spans="1:36" x14ac:dyDescent="0.25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0">
        <f>'RESUMEN TOTAL'!L407</f>
        <v>0</v>
      </c>
      <c r="G367" s="70">
        <f>'RESUMEN TOTAL'!M407</f>
        <v>0</v>
      </c>
      <c r="H367" s="70">
        <f>'RESUMEN TOTAL'!N407</f>
        <v>0</v>
      </c>
      <c r="I367" s="70">
        <f>'RESUMEN TOTAL'!O407</f>
        <v>0</v>
      </c>
      <c r="J367" s="70">
        <f>'RESUMEN TOTAL'!P407</f>
        <v>0</v>
      </c>
      <c r="K367" s="70">
        <f>'RESUMEN TOTAL'!Q407</f>
        <v>0</v>
      </c>
      <c r="L367" s="70">
        <f>'RESUMEN TOTAL'!R407</f>
        <v>0</v>
      </c>
      <c r="M367" s="70">
        <f>'RESUMEN TOTAL'!S407</f>
        <v>0</v>
      </c>
      <c r="N367" s="70">
        <f>'RESUMEN TOTAL'!T407</f>
        <v>0</v>
      </c>
      <c r="O367" s="70">
        <f>'RESUMEN TOTAL'!U407</f>
        <v>0</v>
      </c>
      <c r="P367" s="70">
        <f>'RESUMEN TOTAL'!V407</f>
        <v>0</v>
      </c>
      <c r="Q367" s="70">
        <f>'RESUMEN TOTAL'!W407</f>
        <v>0</v>
      </c>
      <c r="R367" s="70">
        <f>'RESUMEN TOTAL'!X407</f>
        <v>0</v>
      </c>
      <c r="S367" s="70">
        <f>'RESUMEN TOTAL'!Y407</f>
        <v>0</v>
      </c>
      <c r="T367" s="70">
        <f>'RESUMEN TOTAL'!Z407</f>
        <v>0</v>
      </c>
      <c r="U367" s="70">
        <f>'RESUMEN TOTAL'!AA407</f>
        <v>0</v>
      </c>
      <c r="V367" s="70">
        <f>'RESUMEN TOTAL'!AB407</f>
        <v>0</v>
      </c>
      <c r="W367" s="70">
        <f>'RESUMEN TOTAL'!AC407</f>
        <v>0</v>
      </c>
      <c r="X367" s="70">
        <f>'RESUMEN TOTAL'!AD407</f>
        <v>0</v>
      </c>
      <c r="Y367" s="70">
        <f>'RESUMEN TOTAL'!AE407</f>
        <v>0</v>
      </c>
      <c r="Z367" s="70">
        <f>'RESUMEN TOTAL'!AF407</f>
        <v>0</v>
      </c>
      <c r="AA367" s="70">
        <f>'RESUMEN TOTAL'!AG407</f>
        <v>0</v>
      </c>
      <c r="AB367" s="70">
        <f>'RESUMEN TOTAL'!AH407</f>
        <v>0</v>
      </c>
      <c r="AC367" s="70">
        <f>'RESUMEN TOTAL'!AI407</f>
        <v>0</v>
      </c>
      <c r="AD367" s="70">
        <f>'RESUMEN TOTAL'!AJ407</f>
        <v>0</v>
      </c>
      <c r="AE367" s="70">
        <f>'RESUMEN TOTAL'!AK407</f>
        <v>0</v>
      </c>
      <c r="AF367" s="70">
        <f>'RESUMEN TOTAL'!AL407</f>
        <v>0</v>
      </c>
      <c r="AG367" s="70">
        <f>'RESUMEN TOTAL'!AM407</f>
        <v>0</v>
      </c>
      <c r="AH367" s="70">
        <f>'RESUMEN TOTAL'!AN407</f>
        <v>0</v>
      </c>
      <c r="AI367" s="70">
        <f>'RESUMEN TOTAL'!AO407</f>
        <v>0</v>
      </c>
      <c r="AJ367" s="70">
        <f>'RESUMEN TOTAL'!AP407</f>
        <v>0</v>
      </c>
    </row>
    <row r="368" spans="1:36" x14ac:dyDescent="0.25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0">
        <f>'RESUMEN TOTAL'!L408</f>
        <v>0</v>
      </c>
      <c r="G368" s="70">
        <f>'RESUMEN TOTAL'!M408</f>
        <v>0</v>
      </c>
      <c r="H368" s="70">
        <f>'RESUMEN TOTAL'!N408</f>
        <v>0</v>
      </c>
      <c r="I368" s="70">
        <f>'RESUMEN TOTAL'!O408</f>
        <v>0</v>
      </c>
      <c r="J368" s="70">
        <f>'RESUMEN TOTAL'!P408</f>
        <v>0</v>
      </c>
      <c r="K368" s="70">
        <f>'RESUMEN TOTAL'!Q408</f>
        <v>0</v>
      </c>
      <c r="L368" s="70">
        <f>'RESUMEN TOTAL'!R408</f>
        <v>0</v>
      </c>
      <c r="M368" s="70">
        <f>'RESUMEN TOTAL'!S408</f>
        <v>0</v>
      </c>
      <c r="N368" s="70">
        <f>'RESUMEN TOTAL'!T408</f>
        <v>0</v>
      </c>
      <c r="O368" s="70">
        <f>'RESUMEN TOTAL'!U408</f>
        <v>0</v>
      </c>
      <c r="P368" s="70">
        <f>'RESUMEN TOTAL'!V408</f>
        <v>0</v>
      </c>
      <c r="Q368" s="70">
        <f>'RESUMEN TOTAL'!W408</f>
        <v>0</v>
      </c>
      <c r="R368" s="70">
        <f>'RESUMEN TOTAL'!X408</f>
        <v>0</v>
      </c>
      <c r="S368" s="70">
        <f>'RESUMEN TOTAL'!Y408</f>
        <v>0</v>
      </c>
      <c r="T368" s="70">
        <f>'RESUMEN TOTAL'!Z408</f>
        <v>0</v>
      </c>
      <c r="U368" s="70">
        <f>'RESUMEN TOTAL'!AA408</f>
        <v>0</v>
      </c>
      <c r="V368" s="70">
        <f>'RESUMEN TOTAL'!AB408</f>
        <v>0</v>
      </c>
      <c r="W368" s="70">
        <f>'RESUMEN TOTAL'!AC408</f>
        <v>0</v>
      </c>
      <c r="X368" s="70">
        <f>'RESUMEN TOTAL'!AD408</f>
        <v>0</v>
      </c>
      <c r="Y368" s="70">
        <f>'RESUMEN TOTAL'!AE408</f>
        <v>0</v>
      </c>
      <c r="Z368" s="70">
        <f>'RESUMEN TOTAL'!AF408</f>
        <v>0</v>
      </c>
      <c r="AA368" s="70">
        <f>'RESUMEN TOTAL'!AG408</f>
        <v>0</v>
      </c>
      <c r="AB368" s="70">
        <f>'RESUMEN TOTAL'!AH408</f>
        <v>0</v>
      </c>
      <c r="AC368" s="70">
        <f>'RESUMEN TOTAL'!AI408</f>
        <v>0</v>
      </c>
      <c r="AD368" s="70">
        <f>'RESUMEN TOTAL'!AJ408</f>
        <v>0</v>
      </c>
      <c r="AE368" s="70">
        <f>'RESUMEN TOTAL'!AK408</f>
        <v>0</v>
      </c>
      <c r="AF368" s="70">
        <f>'RESUMEN TOTAL'!AL408</f>
        <v>0</v>
      </c>
      <c r="AG368" s="70">
        <f>'RESUMEN TOTAL'!AM408</f>
        <v>0</v>
      </c>
      <c r="AH368" s="70">
        <f>'RESUMEN TOTAL'!AN408</f>
        <v>0</v>
      </c>
      <c r="AI368" s="70">
        <f>'RESUMEN TOTAL'!AO408</f>
        <v>0</v>
      </c>
      <c r="AJ368" s="70">
        <f>'RESUMEN TOTAL'!AP408</f>
        <v>0</v>
      </c>
    </row>
    <row r="369" spans="1:36" x14ac:dyDescent="0.25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0">
        <f>'RESUMEN TOTAL'!L409</f>
        <v>0</v>
      </c>
      <c r="G369" s="70" t="str">
        <f>'RESUMEN TOTAL'!M409</f>
        <v>APAGADO</v>
      </c>
      <c r="H369" s="70" t="str">
        <f>'RESUMEN TOTAL'!N409</f>
        <v>APAGADO</v>
      </c>
      <c r="I369" s="70" t="str">
        <f>'RESUMEN TOTAL'!O409</f>
        <v>APAGADO</v>
      </c>
      <c r="J369" s="70">
        <f>'RESUMEN TOTAL'!P409</f>
        <v>0</v>
      </c>
      <c r="K369" s="70">
        <f>'RESUMEN TOTAL'!Q409</f>
        <v>0</v>
      </c>
      <c r="L369" s="70">
        <f>'RESUMEN TOTAL'!R409</f>
        <v>0</v>
      </c>
      <c r="M369" s="70">
        <f>'RESUMEN TOTAL'!S409</f>
        <v>0</v>
      </c>
      <c r="N369" s="70">
        <f>'RESUMEN TOTAL'!T409</f>
        <v>0</v>
      </c>
      <c r="O369" s="70">
        <f>'RESUMEN TOTAL'!U409</f>
        <v>0</v>
      </c>
      <c r="P369" s="70">
        <f>'RESUMEN TOTAL'!V409</f>
        <v>0</v>
      </c>
      <c r="Q369" s="70">
        <f>'RESUMEN TOTAL'!W409</f>
        <v>0</v>
      </c>
      <c r="R369" s="70">
        <f>'RESUMEN TOTAL'!X409</f>
        <v>0</v>
      </c>
      <c r="S369" s="70">
        <f>'RESUMEN TOTAL'!Y409</f>
        <v>0</v>
      </c>
      <c r="T369" s="70">
        <f>'RESUMEN TOTAL'!Z409</f>
        <v>0</v>
      </c>
      <c r="U369" s="70">
        <f>'RESUMEN TOTAL'!AA409</f>
        <v>0</v>
      </c>
      <c r="V369" s="70">
        <f>'RESUMEN TOTAL'!AB409</f>
        <v>0</v>
      </c>
      <c r="W369" s="70">
        <f>'RESUMEN TOTAL'!AC409</f>
        <v>0</v>
      </c>
      <c r="X369" s="70">
        <f>'RESUMEN TOTAL'!AD409</f>
        <v>0</v>
      </c>
      <c r="Y369" s="70">
        <f>'RESUMEN TOTAL'!AE409</f>
        <v>0</v>
      </c>
      <c r="Z369" s="70">
        <f>'RESUMEN TOTAL'!AF409</f>
        <v>0</v>
      </c>
      <c r="AA369" s="70">
        <f>'RESUMEN TOTAL'!AG409</f>
        <v>0</v>
      </c>
      <c r="AB369" s="70">
        <f>'RESUMEN TOTAL'!AH409</f>
        <v>0</v>
      </c>
      <c r="AC369" s="70">
        <f>'RESUMEN TOTAL'!AI409</f>
        <v>0</v>
      </c>
      <c r="AD369" s="70">
        <f>'RESUMEN TOTAL'!AJ409</f>
        <v>0</v>
      </c>
      <c r="AE369" s="70">
        <f>'RESUMEN TOTAL'!AK409</f>
        <v>0</v>
      </c>
      <c r="AF369" s="70">
        <f>'RESUMEN TOTAL'!AL409</f>
        <v>0</v>
      </c>
      <c r="AG369" s="70">
        <f>'RESUMEN TOTAL'!AM409</f>
        <v>0</v>
      </c>
      <c r="AH369" s="70">
        <f>'RESUMEN TOTAL'!AN409</f>
        <v>0</v>
      </c>
      <c r="AI369" s="70">
        <f>'RESUMEN TOTAL'!AO409</f>
        <v>0</v>
      </c>
      <c r="AJ369" s="70">
        <f>'RESUMEN TOTAL'!AP409</f>
        <v>0</v>
      </c>
    </row>
    <row r="370" spans="1:36" x14ac:dyDescent="0.25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0">
        <f>'RESUMEN TOTAL'!L410</f>
        <v>0</v>
      </c>
      <c r="G370" s="70" t="str">
        <f>'RESUMEN TOTAL'!M410</f>
        <v>APAGADO</v>
      </c>
      <c r="H370" s="70" t="str">
        <f>'RESUMEN TOTAL'!N410</f>
        <v>APAGADO</v>
      </c>
      <c r="I370" s="70" t="str">
        <f>'RESUMEN TOTAL'!O410</f>
        <v>APAGADO</v>
      </c>
      <c r="J370" s="70">
        <f>'RESUMEN TOTAL'!P410</f>
        <v>0</v>
      </c>
      <c r="K370" s="70">
        <f>'RESUMEN TOTAL'!Q410</f>
        <v>0</v>
      </c>
      <c r="L370" s="70">
        <f>'RESUMEN TOTAL'!R410</f>
        <v>0</v>
      </c>
      <c r="M370" s="70">
        <f>'RESUMEN TOTAL'!S410</f>
        <v>0</v>
      </c>
      <c r="N370" s="70">
        <f>'RESUMEN TOTAL'!T410</f>
        <v>0</v>
      </c>
      <c r="O370" s="70">
        <f>'RESUMEN TOTAL'!U410</f>
        <v>0</v>
      </c>
      <c r="P370" s="70">
        <f>'RESUMEN TOTAL'!V410</f>
        <v>0</v>
      </c>
      <c r="Q370" s="70">
        <f>'RESUMEN TOTAL'!W410</f>
        <v>0</v>
      </c>
      <c r="R370" s="70">
        <f>'RESUMEN TOTAL'!X410</f>
        <v>0</v>
      </c>
      <c r="S370" s="70">
        <f>'RESUMEN TOTAL'!Y410</f>
        <v>0</v>
      </c>
      <c r="T370" s="70">
        <f>'RESUMEN TOTAL'!Z410</f>
        <v>0</v>
      </c>
      <c r="U370" s="70">
        <f>'RESUMEN TOTAL'!AA410</f>
        <v>0</v>
      </c>
      <c r="V370" s="70">
        <f>'RESUMEN TOTAL'!AB410</f>
        <v>0</v>
      </c>
      <c r="W370" s="70">
        <f>'RESUMEN TOTAL'!AC410</f>
        <v>0</v>
      </c>
      <c r="X370" s="70">
        <f>'RESUMEN TOTAL'!AD410</f>
        <v>0</v>
      </c>
      <c r="Y370" s="70">
        <f>'RESUMEN TOTAL'!AE410</f>
        <v>0</v>
      </c>
      <c r="Z370" s="70">
        <f>'RESUMEN TOTAL'!AF410</f>
        <v>0</v>
      </c>
      <c r="AA370" s="70">
        <f>'RESUMEN TOTAL'!AG410</f>
        <v>0</v>
      </c>
      <c r="AB370" s="70">
        <f>'RESUMEN TOTAL'!AH410</f>
        <v>0</v>
      </c>
      <c r="AC370" s="70">
        <f>'RESUMEN TOTAL'!AI410</f>
        <v>0</v>
      </c>
      <c r="AD370" s="70">
        <f>'RESUMEN TOTAL'!AJ410</f>
        <v>0</v>
      </c>
      <c r="AE370" s="70">
        <f>'RESUMEN TOTAL'!AK410</f>
        <v>0</v>
      </c>
      <c r="AF370" s="70">
        <f>'RESUMEN TOTAL'!AL410</f>
        <v>0</v>
      </c>
      <c r="AG370" s="70">
        <f>'RESUMEN TOTAL'!AM410</f>
        <v>0</v>
      </c>
      <c r="AH370" s="70">
        <f>'RESUMEN TOTAL'!AN410</f>
        <v>0</v>
      </c>
      <c r="AI370" s="70">
        <f>'RESUMEN TOTAL'!AO410</f>
        <v>0</v>
      </c>
      <c r="AJ370" s="70">
        <f>'RESUMEN TOTAL'!AP410</f>
        <v>0</v>
      </c>
    </row>
    <row r="371" spans="1:36" x14ac:dyDescent="0.25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0">
        <f>'RESUMEN TOTAL'!L411</f>
        <v>0</v>
      </c>
      <c r="G371" s="70">
        <f>'RESUMEN TOTAL'!M411</f>
        <v>0</v>
      </c>
      <c r="H371" s="70">
        <f>'RESUMEN TOTAL'!N411</f>
        <v>0</v>
      </c>
      <c r="I371" s="70">
        <f>'RESUMEN TOTAL'!O411</f>
        <v>0</v>
      </c>
      <c r="J371" s="70">
        <f>'RESUMEN TOTAL'!P411</f>
        <v>0</v>
      </c>
      <c r="K371" s="70">
        <f>'RESUMEN TOTAL'!Q411</f>
        <v>0</v>
      </c>
      <c r="L371" s="70">
        <f>'RESUMEN TOTAL'!R411</f>
        <v>0</v>
      </c>
      <c r="M371" s="70">
        <f>'RESUMEN TOTAL'!S411</f>
        <v>0</v>
      </c>
      <c r="N371" s="70">
        <f>'RESUMEN TOTAL'!T411</f>
        <v>0</v>
      </c>
      <c r="O371" s="70">
        <f>'RESUMEN TOTAL'!U411</f>
        <v>0</v>
      </c>
      <c r="P371" s="70">
        <f>'RESUMEN TOTAL'!V411</f>
        <v>0</v>
      </c>
      <c r="Q371" s="70">
        <f>'RESUMEN TOTAL'!W411</f>
        <v>0</v>
      </c>
      <c r="R371" s="70">
        <f>'RESUMEN TOTAL'!X411</f>
        <v>0</v>
      </c>
      <c r="S371" s="70">
        <f>'RESUMEN TOTAL'!Y411</f>
        <v>0</v>
      </c>
      <c r="T371" s="70">
        <f>'RESUMEN TOTAL'!Z411</f>
        <v>0</v>
      </c>
      <c r="U371" s="70">
        <f>'RESUMEN TOTAL'!AA411</f>
        <v>0</v>
      </c>
      <c r="V371" s="70">
        <f>'RESUMEN TOTAL'!AB411</f>
        <v>0</v>
      </c>
      <c r="W371" s="70">
        <f>'RESUMEN TOTAL'!AC411</f>
        <v>0</v>
      </c>
      <c r="X371" s="70">
        <f>'RESUMEN TOTAL'!AD411</f>
        <v>0</v>
      </c>
      <c r="Y371" s="70">
        <f>'RESUMEN TOTAL'!AE411</f>
        <v>0</v>
      </c>
      <c r="Z371" s="70">
        <f>'RESUMEN TOTAL'!AF411</f>
        <v>0</v>
      </c>
      <c r="AA371" s="70">
        <f>'RESUMEN TOTAL'!AG411</f>
        <v>0</v>
      </c>
      <c r="AB371" s="70">
        <f>'RESUMEN TOTAL'!AH411</f>
        <v>0</v>
      </c>
      <c r="AC371" s="70">
        <f>'RESUMEN TOTAL'!AI411</f>
        <v>0</v>
      </c>
      <c r="AD371" s="70">
        <f>'RESUMEN TOTAL'!AJ411</f>
        <v>0</v>
      </c>
      <c r="AE371" s="70">
        <f>'RESUMEN TOTAL'!AK411</f>
        <v>0</v>
      </c>
      <c r="AF371" s="70">
        <f>'RESUMEN TOTAL'!AL411</f>
        <v>0</v>
      </c>
      <c r="AG371" s="70">
        <f>'RESUMEN TOTAL'!AM411</f>
        <v>0</v>
      </c>
      <c r="AH371" s="70">
        <f>'RESUMEN TOTAL'!AN411</f>
        <v>0</v>
      </c>
      <c r="AI371" s="70">
        <f>'RESUMEN TOTAL'!AO411</f>
        <v>0</v>
      </c>
      <c r="AJ371" s="70">
        <f>'RESUMEN TOTAL'!AP411</f>
        <v>0</v>
      </c>
    </row>
    <row r="372" spans="1:36" x14ac:dyDescent="0.25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0">
        <f>'RESUMEN TOTAL'!L412</f>
        <v>0</v>
      </c>
      <c r="G372" s="70" t="str">
        <f>'RESUMEN TOTAL'!M412</f>
        <v>APAGADO</v>
      </c>
      <c r="H372" s="70" t="str">
        <f>'RESUMEN TOTAL'!N412</f>
        <v>APAGADO</v>
      </c>
      <c r="I372" s="70" t="str">
        <f>'RESUMEN TOTAL'!O412</f>
        <v>APAGADO</v>
      </c>
      <c r="J372" s="70">
        <f>'RESUMEN TOTAL'!P412</f>
        <v>0</v>
      </c>
      <c r="K372" s="70">
        <f>'RESUMEN TOTAL'!Q412</f>
        <v>0</v>
      </c>
      <c r="L372" s="70">
        <f>'RESUMEN TOTAL'!R412</f>
        <v>0</v>
      </c>
      <c r="M372" s="70">
        <f>'RESUMEN TOTAL'!S412</f>
        <v>0</v>
      </c>
      <c r="N372" s="70">
        <f>'RESUMEN TOTAL'!T412</f>
        <v>0</v>
      </c>
      <c r="O372" s="70">
        <f>'RESUMEN TOTAL'!U412</f>
        <v>0</v>
      </c>
      <c r="P372" s="70">
        <f>'RESUMEN TOTAL'!V412</f>
        <v>0</v>
      </c>
      <c r="Q372" s="70">
        <f>'RESUMEN TOTAL'!W412</f>
        <v>0</v>
      </c>
      <c r="R372" s="70">
        <f>'RESUMEN TOTAL'!X412</f>
        <v>0</v>
      </c>
      <c r="S372" s="70">
        <f>'RESUMEN TOTAL'!Y412</f>
        <v>0</v>
      </c>
      <c r="T372" s="70">
        <f>'RESUMEN TOTAL'!Z412</f>
        <v>0</v>
      </c>
      <c r="U372" s="70">
        <f>'RESUMEN TOTAL'!AA412</f>
        <v>0</v>
      </c>
      <c r="V372" s="70">
        <f>'RESUMEN TOTAL'!AB412</f>
        <v>0</v>
      </c>
      <c r="W372" s="70">
        <f>'RESUMEN TOTAL'!AC412</f>
        <v>0</v>
      </c>
      <c r="X372" s="70">
        <f>'RESUMEN TOTAL'!AD412</f>
        <v>0</v>
      </c>
      <c r="Y372" s="70">
        <f>'RESUMEN TOTAL'!AE412</f>
        <v>0</v>
      </c>
      <c r="Z372" s="70">
        <f>'RESUMEN TOTAL'!AF412</f>
        <v>0</v>
      </c>
      <c r="AA372" s="70">
        <f>'RESUMEN TOTAL'!AG412</f>
        <v>0</v>
      </c>
      <c r="AB372" s="70">
        <f>'RESUMEN TOTAL'!AH412</f>
        <v>0</v>
      </c>
      <c r="AC372" s="70">
        <f>'RESUMEN TOTAL'!AI412</f>
        <v>0</v>
      </c>
      <c r="AD372" s="70">
        <f>'RESUMEN TOTAL'!AJ412</f>
        <v>0</v>
      </c>
      <c r="AE372" s="70">
        <f>'RESUMEN TOTAL'!AK412</f>
        <v>0</v>
      </c>
      <c r="AF372" s="70">
        <f>'RESUMEN TOTAL'!AL412</f>
        <v>0</v>
      </c>
      <c r="AG372" s="70">
        <f>'RESUMEN TOTAL'!AM412</f>
        <v>0</v>
      </c>
      <c r="AH372" s="70">
        <f>'RESUMEN TOTAL'!AN412</f>
        <v>0</v>
      </c>
      <c r="AI372" s="70">
        <f>'RESUMEN TOTAL'!AO412</f>
        <v>0</v>
      </c>
      <c r="AJ372" s="70">
        <f>'RESUMEN TOTAL'!AP412</f>
        <v>0</v>
      </c>
    </row>
    <row r="373" spans="1:36" x14ac:dyDescent="0.25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0" t="str">
        <f>'RESUMEN TOTAL'!L413</f>
        <v>APAGADO</v>
      </c>
      <c r="G373" s="70" t="str">
        <f>'RESUMEN TOTAL'!M413</f>
        <v>APAGADO</v>
      </c>
      <c r="H373" s="70" t="str">
        <f>'RESUMEN TOTAL'!N413</f>
        <v>APAGADO</v>
      </c>
      <c r="I373" s="70" t="str">
        <f>'RESUMEN TOTAL'!O413</f>
        <v>APAGADO</v>
      </c>
      <c r="J373" s="70" t="str">
        <f>'RESUMEN TOTAL'!P413</f>
        <v>APAGADO</v>
      </c>
      <c r="K373" s="70" t="str">
        <f>'RESUMEN TOTAL'!Q413</f>
        <v>APAGADO</v>
      </c>
      <c r="L373" s="70" t="str">
        <f>'RESUMEN TOTAL'!R413</f>
        <v>APAGADO</v>
      </c>
      <c r="M373" s="70" t="str">
        <f>'RESUMEN TOTAL'!S413</f>
        <v>APAGADO</v>
      </c>
      <c r="N373" s="70" t="str">
        <f>'RESUMEN TOTAL'!T413</f>
        <v>APAGADO</v>
      </c>
      <c r="O373" s="70" t="str">
        <f>'RESUMEN TOTAL'!U413</f>
        <v>APAGADO</v>
      </c>
      <c r="P373" s="70" t="str">
        <f>'RESUMEN TOTAL'!V413</f>
        <v>APAGADO</v>
      </c>
      <c r="Q373" s="70" t="str">
        <f>'RESUMEN TOTAL'!W413</f>
        <v>APAGADO</v>
      </c>
      <c r="R373" s="70" t="str">
        <f>'RESUMEN TOTAL'!X413</f>
        <v>APAGADO</v>
      </c>
      <c r="S373" s="70" t="str">
        <f>'RESUMEN TOTAL'!Y413</f>
        <v>APAGADO</v>
      </c>
      <c r="T373" s="70" t="str">
        <f>'RESUMEN TOTAL'!Z413</f>
        <v>APAGADO</v>
      </c>
      <c r="U373" s="70" t="str">
        <f>'RESUMEN TOTAL'!AA413</f>
        <v>APAGADO</v>
      </c>
      <c r="V373" s="70" t="str">
        <f>'RESUMEN TOTAL'!AB413</f>
        <v>APAGADO</v>
      </c>
      <c r="W373" s="70" t="str">
        <f>'RESUMEN TOTAL'!AC413</f>
        <v>APAGADO</v>
      </c>
      <c r="X373" s="70" t="str">
        <f>'RESUMEN TOTAL'!AD413</f>
        <v>APAGADO</v>
      </c>
      <c r="Y373" s="70" t="str">
        <f>'RESUMEN TOTAL'!AE413</f>
        <v>APAGADO</v>
      </c>
      <c r="Z373" s="70" t="str">
        <f>'RESUMEN TOTAL'!AF413</f>
        <v>APAGADO</v>
      </c>
      <c r="AA373" s="70" t="str">
        <f>'RESUMEN TOTAL'!AG413</f>
        <v>APAGADO</v>
      </c>
      <c r="AB373" s="70" t="str">
        <f>'RESUMEN TOTAL'!AH413</f>
        <v>APAGADO</v>
      </c>
      <c r="AC373" s="70" t="str">
        <f>'RESUMEN TOTAL'!AI413</f>
        <v>APAGADO</v>
      </c>
      <c r="AD373" s="70" t="str">
        <f>'RESUMEN TOTAL'!AJ413</f>
        <v>APAGADO</v>
      </c>
      <c r="AE373" s="70" t="str">
        <f>'RESUMEN TOTAL'!AK413</f>
        <v>APAGADO</v>
      </c>
      <c r="AF373" s="70" t="str">
        <f>'RESUMEN TOTAL'!AL413</f>
        <v>APAGADO</v>
      </c>
      <c r="AG373" s="70">
        <f>'RESUMEN TOTAL'!AM413</f>
        <v>0</v>
      </c>
      <c r="AH373" s="70">
        <f>'RESUMEN TOTAL'!AN413</f>
        <v>0</v>
      </c>
      <c r="AI373" s="70">
        <f>'RESUMEN TOTAL'!AO413</f>
        <v>0</v>
      </c>
      <c r="AJ373" s="70">
        <f>'RESUMEN TOTAL'!AP413</f>
        <v>0</v>
      </c>
    </row>
    <row r="374" spans="1:36" x14ac:dyDescent="0.25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0" t="str">
        <f>'RESUMEN TOTAL'!L414</f>
        <v>APAGADO</v>
      </c>
      <c r="G374" s="70" t="str">
        <f>'RESUMEN TOTAL'!M414</f>
        <v>APAGADO</v>
      </c>
      <c r="H374" s="70" t="str">
        <f>'RESUMEN TOTAL'!N414</f>
        <v>APAGADO</v>
      </c>
      <c r="I374" s="70" t="str">
        <f>'RESUMEN TOTAL'!O414</f>
        <v>APAGADO</v>
      </c>
      <c r="J374" s="70" t="str">
        <f>'RESUMEN TOTAL'!P414</f>
        <v>APAGADO</v>
      </c>
      <c r="K374" s="70" t="str">
        <f>'RESUMEN TOTAL'!Q414</f>
        <v>APAGADO</v>
      </c>
      <c r="L374" s="70" t="str">
        <f>'RESUMEN TOTAL'!R414</f>
        <v>APAGADO</v>
      </c>
      <c r="M374" s="70" t="str">
        <f>'RESUMEN TOTAL'!S414</f>
        <v>APAGADO</v>
      </c>
      <c r="N374" s="70" t="str">
        <f>'RESUMEN TOTAL'!T414</f>
        <v>APAGADO</v>
      </c>
      <c r="O374" s="70" t="str">
        <f>'RESUMEN TOTAL'!U414</f>
        <v>APAGADO</v>
      </c>
      <c r="P374" s="70" t="str">
        <f>'RESUMEN TOTAL'!V414</f>
        <v>APAGADO</v>
      </c>
      <c r="Q374" s="70" t="str">
        <f>'RESUMEN TOTAL'!W414</f>
        <v>APAGADO</v>
      </c>
      <c r="R374" s="70" t="str">
        <f>'RESUMEN TOTAL'!X414</f>
        <v>APAGADO</v>
      </c>
      <c r="S374" s="70" t="str">
        <f>'RESUMEN TOTAL'!Y414</f>
        <v>APAGADO</v>
      </c>
      <c r="T374" s="70" t="str">
        <f>'RESUMEN TOTAL'!Z414</f>
        <v>APAGADO</v>
      </c>
      <c r="U374" s="70" t="str">
        <f>'RESUMEN TOTAL'!AA414</f>
        <v>APAGADO</v>
      </c>
      <c r="V374" s="70" t="str">
        <f>'RESUMEN TOTAL'!AB414</f>
        <v>APAGADO</v>
      </c>
      <c r="W374" s="70" t="str">
        <f>'RESUMEN TOTAL'!AC414</f>
        <v>APAGADO</v>
      </c>
      <c r="X374" s="70" t="str">
        <f>'RESUMEN TOTAL'!AD414</f>
        <v>APAGADO</v>
      </c>
      <c r="Y374" s="70" t="str">
        <f>'RESUMEN TOTAL'!AE414</f>
        <v>APAGADO</v>
      </c>
      <c r="Z374" s="70" t="str">
        <f>'RESUMEN TOTAL'!AF414</f>
        <v>APAGADO</v>
      </c>
      <c r="AA374" s="70" t="str">
        <f>'RESUMEN TOTAL'!AG414</f>
        <v>APAGADO</v>
      </c>
      <c r="AB374" s="70" t="str">
        <f>'RESUMEN TOTAL'!AH414</f>
        <v>APAGADO</v>
      </c>
      <c r="AC374" s="70" t="str">
        <f>'RESUMEN TOTAL'!AI414</f>
        <v>APAGADO</v>
      </c>
      <c r="AD374" s="70" t="str">
        <f>'RESUMEN TOTAL'!AJ414</f>
        <v>APAGADO</v>
      </c>
      <c r="AE374" s="70" t="str">
        <f>'RESUMEN TOTAL'!AK414</f>
        <v>APAGADO</v>
      </c>
      <c r="AF374" s="70" t="str">
        <f>'RESUMEN TOTAL'!AL414</f>
        <v>APAGADO</v>
      </c>
      <c r="AG374" s="70">
        <f>'RESUMEN TOTAL'!AM414</f>
        <v>0</v>
      </c>
      <c r="AH374" s="70">
        <f>'RESUMEN TOTAL'!AN414</f>
        <v>0</v>
      </c>
      <c r="AI374" s="70">
        <f>'RESUMEN TOTAL'!AO414</f>
        <v>0</v>
      </c>
      <c r="AJ374" s="70">
        <f>'RESUMEN TOTAL'!AP414</f>
        <v>0</v>
      </c>
    </row>
    <row r="375" spans="1:36" x14ac:dyDescent="0.25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0">
        <f>'RESUMEN TOTAL'!L415</f>
        <v>0</v>
      </c>
      <c r="G375" s="70">
        <f>'RESUMEN TOTAL'!M415</f>
        <v>0</v>
      </c>
      <c r="H375" s="70">
        <f>'RESUMEN TOTAL'!N415</f>
        <v>0</v>
      </c>
      <c r="I375" s="70">
        <f>'RESUMEN TOTAL'!O415</f>
        <v>0</v>
      </c>
      <c r="J375" s="70">
        <f>'RESUMEN TOTAL'!P415</f>
        <v>0</v>
      </c>
      <c r="K375" s="70">
        <f>'RESUMEN TOTAL'!Q415</f>
        <v>0</v>
      </c>
      <c r="L375" s="70">
        <f>'RESUMEN TOTAL'!R415</f>
        <v>0</v>
      </c>
      <c r="M375" s="70">
        <f>'RESUMEN TOTAL'!S415</f>
        <v>0</v>
      </c>
      <c r="N375" s="70">
        <f>'RESUMEN TOTAL'!T415</f>
        <v>0</v>
      </c>
      <c r="O375" s="70">
        <f>'RESUMEN TOTAL'!U415</f>
        <v>0</v>
      </c>
      <c r="P375" s="70">
        <f>'RESUMEN TOTAL'!V415</f>
        <v>0</v>
      </c>
      <c r="Q375" s="70">
        <f>'RESUMEN TOTAL'!W415</f>
        <v>0</v>
      </c>
      <c r="R375" s="70">
        <f>'RESUMEN TOTAL'!X415</f>
        <v>0</v>
      </c>
      <c r="S375" s="70">
        <f>'RESUMEN TOTAL'!Y415</f>
        <v>0</v>
      </c>
      <c r="T375" s="70">
        <f>'RESUMEN TOTAL'!Z415</f>
        <v>0</v>
      </c>
      <c r="U375" s="70">
        <f>'RESUMEN TOTAL'!AA415</f>
        <v>0</v>
      </c>
      <c r="V375" s="70">
        <f>'RESUMEN TOTAL'!AB415</f>
        <v>0</v>
      </c>
      <c r="W375" s="70">
        <f>'RESUMEN TOTAL'!AC415</f>
        <v>0</v>
      </c>
      <c r="X375" s="70">
        <f>'RESUMEN TOTAL'!AD415</f>
        <v>0</v>
      </c>
      <c r="Y375" s="70">
        <f>'RESUMEN TOTAL'!AE415</f>
        <v>0</v>
      </c>
      <c r="Z375" s="70">
        <f>'RESUMEN TOTAL'!AF415</f>
        <v>0</v>
      </c>
      <c r="AA375" s="70">
        <f>'RESUMEN TOTAL'!AG415</f>
        <v>0</v>
      </c>
      <c r="AB375" s="70">
        <f>'RESUMEN TOTAL'!AH415</f>
        <v>0</v>
      </c>
      <c r="AC375" s="70">
        <f>'RESUMEN TOTAL'!AI415</f>
        <v>0</v>
      </c>
      <c r="AD375" s="70">
        <f>'RESUMEN TOTAL'!AJ415</f>
        <v>0</v>
      </c>
      <c r="AE375" s="70">
        <f>'RESUMEN TOTAL'!AK415</f>
        <v>0</v>
      </c>
      <c r="AF375" s="70">
        <f>'RESUMEN TOTAL'!AL415</f>
        <v>0</v>
      </c>
      <c r="AG375" s="70">
        <f>'RESUMEN TOTAL'!AM415</f>
        <v>0</v>
      </c>
      <c r="AH375" s="70">
        <f>'RESUMEN TOTAL'!AN415</f>
        <v>0</v>
      </c>
      <c r="AI375" s="70">
        <f>'RESUMEN TOTAL'!AO415</f>
        <v>0</v>
      </c>
      <c r="AJ375" s="70">
        <f>'RESUMEN TOTAL'!AP415</f>
        <v>0</v>
      </c>
    </row>
    <row r="376" spans="1:36" x14ac:dyDescent="0.25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0">
        <f>'RESUMEN TOTAL'!L416</f>
        <v>0</v>
      </c>
      <c r="G376" s="70">
        <f>'RESUMEN TOTAL'!M416</f>
        <v>0</v>
      </c>
      <c r="H376" s="70">
        <f>'RESUMEN TOTAL'!N416</f>
        <v>0</v>
      </c>
      <c r="I376" s="70">
        <f>'RESUMEN TOTAL'!O416</f>
        <v>0</v>
      </c>
      <c r="J376" s="70">
        <f>'RESUMEN TOTAL'!P416</f>
        <v>0</v>
      </c>
      <c r="K376" s="70">
        <f>'RESUMEN TOTAL'!Q416</f>
        <v>0</v>
      </c>
      <c r="L376" s="70">
        <f>'RESUMEN TOTAL'!R416</f>
        <v>0</v>
      </c>
      <c r="M376" s="70">
        <f>'RESUMEN TOTAL'!S416</f>
        <v>0</v>
      </c>
      <c r="N376" s="70">
        <f>'RESUMEN TOTAL'!T416</f>
        <v>0</v>
      </c>
      <c r="O376" s="70">
        <f>'RESUMEN TOTAL'!U416</f>
        <v>0</v>
      </c>
      <c r="P376" s="70">
        <f>'RESUMEN TOTAL'!V416</f>
        <v>0</v>
      </c>
      <c r="Q376" s="70">
        <f>'RESUMEN TOTAL'!W416</f>
        <v>0</v>
      </c>
      <c r="R376" s="70">
        <f>'RESUMEN TOTAL'!X416</f>
        <v>0</v>
      </c>
      <c r="S376" s="70">
        <f>'RESUMEN TOTAL'!Y416</f>
        <v>0</v>
      </c>
      <c r="T376" s="70">
        <f>'RESUMEN TOTAL'!Z416</f>
        <v>0</v>
      </c>
      <c r="U376" s="70">
        <f>'RESUMEN TOTAL'!AA416</f>
        <v>0</v>
      </c>
      <c r="V376" s="70">
        <f>'RESUMEN TOTAL'!AB416</f>
        <v>0</v>
      </c>
      <c r="W376" s="70">
        <f>'RESUMEN TOTAL'!AC416</f>
        <v>0</v>
      </c>
      <c r="X376" s="70">
        <f>'RESUMEN TOTAL'!AD416</f>
        <v>0</v>
      </c>
      <c r="Y376" s="70">
        <f>'RESUMEN TOTAL'!AE416</f>
        <v>0</v>
      </c>
      <c r="Z376" s="70">
        <f>'RESUMEN TOTAL'!AF416</f>
        <v>0</v>
      </c>
      <c r="AA376" s="70">
        <f>'RESUMEN TOTAL'!AG416</f>
        <v>0</v>
      </c>
      <c r="AB376" s="70">
        <f>'RESUMEN TOTAL'!AH416</f>
        <v>0</v>
      </c>
      <c r="AC376" s="70">
        <f>'RESUMEN TOTAL'!AI416</f>
        <v>0</v>
      </c>
      <c r="AD376" s="70">
        <f>'RESUMEN TOTAL'!AJ416</f>
        <v>0</v>
      </c>
      <c r="AE376" s="70">
        <f>'RESUMEN TOTAL'!AK416</f>
        <v>0</v>
      </c>
      <c r="AF376" s="70">
        <f>'RESUMEN TOTAL'!AL416</f>
        <v>0</v>
      </c>
      <c r="AG376" s="70">
        <f>'RESUMEN TOTAL'!AM416</f>
        <v>0</v>
      </c>
      <c r="AH376" s="70">
        <f>'RESUMEN TOTAL'!AN416</f>
        <v>0</v>
      </c>
      <c r="AI376" s="70">
        <f>'RESUMEN TOTAL'!AO416</f>
        <v>0</v>
      </c>
      <c r="AJ376" s="70">
        <f>'RESUMEN TOTAL'!AP416</f>
        <v>0</v>
      </c>
    </row>
    <row r="377" spans="1:36" x14ac:dyDescent="0.25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0">
        <f>'RESUMEN TOTAL'!L419</f>
        <v>0</v>
      </c>
      <c r="G377" s="70">
        <f>'RESUMEN TOTAL'!M419</f>
        <v>0</v>
      </c>
      <c r="H377" s="70">
        <f>'RESUMEN TOTAL'!N419</f>
        <v>0</v>
      </c>
      <c r="I377" s="70">
        <f>'RESUMEN TOTAL'!O419</f>
        <v>0</v>
      </c>
      <c r="J377" s="70">
        <f>'RESUMEN TOTAL'!P419</f>
        <v>0</v>
      </c>
      <c r="K377" s="70">
        <f>'RESUMEN TOTAL'!Q419</f>
        <v>0</v>
      </c>
      <c r="L377" s="70">
        <f>'RESUMEN TOTAL'!R419</f>
        <v>0</v>
      </c>
      <c r="M377" s="70">
        <f>'RESUMEN TOTAL'!S419</f>
        <v>0</v>
      </c>
      <c r="N377" s="70">
        <f>'RESUMEN TOTAL'!T419</f>
        <v>0</v>
      </c>
      <c r="O377" s="70">
        <f>'RESUMEN TOTAL'!U419</f>
        <v>0</v>
      </c>
      <c r="P377" s="70">
        <f>'RESUMEN TOTAL'!V419</f>
        <v>0</v>
      </c>
      <c r="Q377" s="70">
        <f>'RESUMEN TOTAL'!W419</f>
        <v>0</v>
      </c>
      <c r="R377" s="70">
        <f>'RESUMEN TOTAL'!X419</f>
        <v>0</v>
      </c>
      <c r="S377" s="70">
        <f>'RESUMEN TOTAL'!Y419</f>
        <v>0</v>
      </c>
      <c r="T377" s="70">
        <f>'RESUMEN TOTAL'!Z419</f>
        <v>0</v>
      </c>
      <c r="U377" s="70">
        <f>'RESUMEN TOTAL'!AA419</f>
        <v>0</v>
      </c>
      <c r="V377" s="70">
        <f>'RESUMEN TOTAL'!AB419</f>
        <v>0</v>
      </c>
      <c r="W377" s="70">
        <f>'RESUMEN TOTAL'!AC419</f>
        <v>0</v>
      </c>
      <c r="X377" s="70">
        <f>'RESUMEN TOTAL'!AD419</f>
        <v>0</v>
      </c>
      <c r="Y377" s="70">
        <f>'RESUMEN TOTAL'!AE419</f>
        <v>0</v>
      </c>
      <c r="Z377" s="70">
        <f>'RESUMEN TOTAL'!AF419</f>
        <v>0</v>
      </c>
      <c r="AA377" s="70">
        <f>'RESUMEN TOTAL'!AG419</f>
        <v>0</v>
      </c>
      <c r="AB377" s="70">
        <f>'RESUMEN TOTAL'!AH419</f>
        <v>0</v>
      </c>
      <c r="AC377" s="70">
        <f>'RESUMEN TOTAL'!AI419</f>
        <v>0</v>
      </c>
      <c r="AD377" s="70">
        <f>'RESUMEN TOTAL'!AJ419</f>
        <v>0</v>
      </c>
      <c r="AE377" s="70">
        <f>'RESUMEN TOTAL'!AK419</f>
        <v>0</v>
      </c>
      <c r="AF377" s="70">
        <f>'RESUMEN TOTAL'!AL419</f>
        <v>0</v>
      </c>
      <c r="AG377" s="70">
        <f>'RESUMEN TOTAL'!AM419</f>
        <v>0</v>
      </c>
      <c r="AH377" s="70">
        <f>'RESUMEN TOTAL'!AN419</f>
        <v>0</v>
      </c>
      <c r="AI377" s="70">
        <f>'RESUMEN TOTAL'!AO419</f>
        <v>0</v>
      </c>
      <c r="AJ377" s="70">
        <f>'RESUMEN TOTAL'!AP419</f>
        <v>0</v>
      </c>
    </row>
    <row r="378" spans="1:36" x14ac:dyDescent="0.25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0">
        <f>'RESUMEN TOTAL'!L420</f>
        <v>0</v>
      </c>
      <c r="G378" s="70">
        <f>'RESUMEN TOTAL'!M420</f>
        <v>0</v>
      </c>
      <c r="H378" s="70">
        <f>'RESUMEN TOTAL'!N420</f>
        <v>0</v>
      </c>
      <c r="I378" s="70">
        <f>'RESUMEN TOTAL'!O420</f>
        <v>0</v>
      </c>
      <c r="J378" s="70">
        <f>'RESUMEN TOTAL'!P420</f>
        <v>0</v>
      </c>
      <c r="K378" s="70">
        <f>'RESUMEN TOTAL'!Q420</f>
        <v>0</v>
      </c>
      <c r="L378" s="70">
        <f>'RESUMEN TOTAL'!R420</f>
        <v>0</v>
      </c>
      <c r="M378" s="70">
        <f>'RESUMEN TOTAL'!S420</f>
        <v>0</v>
      </c>
      <c r="N378" s="70">
        <f>'RESUMEN TOTAL'!T420</f>
        <v>0</v>
      </c>
      <c r="O378" s="70">
        <f>'RESUMEN TOTAL'!U420</f>
        <v>0</v>
      </c>
      <c r="P378" s="70">
        <f>'RESUMEN TOTAL'!V420</f>
        <v>0</v>
      </c>
      <c r="Q378" s="70">
        <f>'RESUMEN TOTAL'!W420</f>
        <v>0</v>
      </c>
      <c r="R378" s="70">
        <f>'RESUMEN TOTAL'!X420</f>
        <v>0</v>
      </c>
      <c r="S378" s="70">
        <f>'RESUMEN TOTAL'!Y420</f>
        <v>0</v>
      </c>
      <c r="T378" s="70">
        <f>'RESUMEN TOTAL'!Z420</f>
        <v>0</v>
      </c>
      <c r="U378" s="70">
        <f>'RESUMEN TOTAL'!AA420</f>
        <v>0</v>
      </c>
      <c r="V378" s="70">
        <f>'RESUMEN TOTAL'!AB420</f>
        <v>0</v>
      </c>
      <c r="W378" s="70">
        <f>'RESUMEN TOTAL'!AC420</f>
        <v>0</v>
      </c>
      <c r="X378" s="70">
        <f>'RESUMEN TOTAL'!AD420</f>
        <v>0</v>
      </c>
      <c r="Y378" s="70">
        <f>'RESUMEN TOTAL'!AE420</f>
        <v>0</v>
      </c>
      <c r="Z378" s="70">
        <f>'RESUMEN TOTAL'!AF420</f>
        <v>0</v>
      </c>
      <c r="AA378" s="70">
        <f>'RESUMEN TOTAL'!AG420</f>
        <v>0</v>
      </c>
      <c r="AB378" s="70">
        <f>'RESUMEN TOTAL'!AH420</f>
        <v>0</v>
      </c>
      <c r="AC378" s="70">
        <f>'RESUMEN TOTAL'!AI420</f>
        <v>0</v>
      </c>
      <c r="AD378" s="70">
        <f>'RESUMEN TOTAL'!AJ420</f>
        <v>0</v>
      </c>
      <c r="AE378" s="70">
        <f>'RESUMEN TOTAL'!AK420</f>
        <v>0</v>
      </c>
      <c r="AF378" s="70">
        <f>'RESUMEN TOTAL'!AL420</f>
        <v>0</v>
      </c>
      <c r="AG378" s="70">
        <f>'RESUMEN TOTAL'!AM420</f>
        <v>0</v>
      </c>
      <c r="AH378" s="70">
        <f>'RESUMEN TOTAL'!AN420</f>
        <v>0</v>
      </c>
      <c r="AI378" s="70">
        <f>'RESUMEN TOTAL'!AO420</f>
        <v>0</v>
      </c>
      <c r="AJ378" s="70">
        <f>'RESUMEN TOTAL'!AP420</f>
        <v>0</v>
      </c>
    </row>
    <row r="379" spans="1:36" x14ac:dyDescent="0.25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0">
        <f>'RESUMEN TOTAL'!L421</f>
        <v>0</v>
      </c>
      <c r="G379" s="70">
        <f>'RESUMEN TOTAL'!M421</f>
        <v>0</v>
      </c>
      <c r="H379" s="70">
        <f>'RESUMEN TOTAL'!N421</f>
        <v>0</v>
      </c>
      <c r="I379" s="70" t="str">
        <f>'RESUMEN TOTAL'!O421</f>
        <v>APAGADO</v>
      </c>
      <c r="J379" s="70" t="str">
        <f>'RESUMEN TOTAL'!P421</f>
        <v>APAGADO</v>
      </c>
      <c r="K379" s="70" t="str">
        <f>'RESUMEN TOTAL'!Q421</f>
        <v>APAGADO</v>
      </c>
      <c r="L379" s="70" t="str">
        <f>'RESUMEN TOTAL'!R421</f>
        <v>APAGADO</v>
      </c>
      <c r="M379" s="70">
        <f>'RESUMEN TOTAL'!S421</f>
        <v>0</v>
      </c>
      <c r="N379" s="70" t="str">
        <f>'RESUMEN TOTAL'!T421</f>
        <v>APAGADO</v>
      </c>
      <c r="O379" s="70">
        <f>'RESUMEN TOTAL'!U421</f>
        <v>0</v>
      </c>
      <c r="P379" s="70">
        <f>'RESUMEN TOTAL'!V421</f>
        <v>0</v>
      </c>
      <c r="Q379" s="70">
        <f>'RESUMEN TOTAL'!W421</f>
        <v>0</v>
      </c>
      <c r="R379" s="70">
        <f>'RESUMEN TOTAL'!X421</f>
        <v>0</v>
      </c>
      <c r="S379" s="70">
        <f>'RESUMEN TOTAL'!Y421</f>
        <v>0</v>
      </c>
      <c r="T379" s="70">
        <f>'RESUMEN TOTAL'!Z421</f>
        <v>0</v>
      </c>
      <c r="U379" s="70">
        <f>'RESUMEN TOTAL'!AA421</f>
        <v>0</v>
      </c>
      <c r="V379" s="70">
        <f>'RESUMEN TOTAL'!AB421</f>
        <v>0</v>
      </c>
      <c r="W379" s="70">
        <f>'RESUMEN TOTAL'!AC421</f>
        <v>0</v>
      </c>
      <c r="X379" s="70">
        <f>'RESUMEN TOTAL'!AD421</f>
        <v>0</v>
      </c>
      <c r="Y379" s="70">
        <f>'RESUMEN TOTAL'!AE421</f>
        <v>0</v>
      </c>
      <c r="Z379" s="70">
        <f>'RESUMEN TOTAL'!AF421</f>
        <v>0</v>
      </c>
      <c r="AA379" s="70">
        <f>'RESUMEN TOTAL'!AG421</f>
        <v>0</v>
      </c>
      <c r="AB379" s="70">
        <f>'RESUMEN TOTAL'!AH421</f>
        <v>0</v>
      </c>
      <c r="AC379" s="70">
        <f>'RESUMEN TOTAL'!AI421</f>
        <v>0</v>
      </c>
      <c r="AD379" s="70">
        <f>'RESUMEN TOTAL'!AJ421</f>
        <v>0</v>
      </c>
      <c r="AE379" s="70">
        <f>'RESUMEN TOTAL'!AK421</f>
        <v>0</v>
      </c>
      <c r="AF379" s="70">
        <f>'RESUMEN TOTAL'!AL421</f>
        <v>0</v>
      </c>
      <c r="AG379" s="70">
        <f>'RESUMEN TOTAL'!AM421</f>
        <v>0</v>
      </c>
      <c r="AH379" s="70">
        <f>'RESUMEN TOTAL'!AN421</f>
        <v>0</v>
      </c>
      <c r="AI379" s="70">
        <f>'RESUMEN TOTAL'!AO421</f>
        <v>0</v>
      </c>
      <c r="AJ379" s="70">
        <f>'RESUMEN TOTAL'!AP421</f>
        <v>0</v>
      </c>
    </row>
    <row r="380" spans="1:36" x14ac:dyDescent="0.25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0">
        <f>'RESUMEN TOTAL'!L422</f>
        <v>0</v>
      </c>
      <c r="G380" s="70">
        <f>'RESUMEN TOTAL'!M422</f>
        <v>0</v>
      </c>
      <c r="H380" s="70">
        <f>'RESUMEN TOTAL'!N422</f>
        <v>0</v>
      </c>
      <c r="I380" s="70" t="str">
        <f>'RESUMEN TOTAL'!O422</f>
        <v>APAGADO</v>
      </c>
      <c r="J380" s="70" t="str">
        <f>'RESUMEN TOTAL'!P422</f>
        <v>APAGADO</v>
      </c>
      <c r="K380" s="70" t="str">
        <f>'RESUMEN TOTAL'!Q422</f>
        <v>APAGADO</v>
      </c>
      <c r="L380" s="70" t="str">
        <f>'RESUMEN TOTAL'!R422</f>
        <v>APAGADO</v>
      </c>
      <c r="M380" s="70">
        <f>'RESUMEN TOTAL'!S422</f>
        <v>0</v>
      </c>
      <c r="N380" s="70" t="str">
        <f>'RESUMEN TOTAL'!T422</f>
        <v>APAGADO</v>
      </c>
      <c r="O380" s="70">
        <f>'RESUMEN TOTAL'!U422</f>
        <v>0</v>
      </c>
      <c r="P380" s="70">
        <f>'RESUMEN TOTAL'!V422</f>
        <v>0</v>
      </c>
      <c r="Q380" s="70">
        <f>'RESUMEN TOTAL'!W422</f>
        <v>0</v>
      </c>
      <c r="R380" s="70">
        <f>'RESUMEN TOTAL'!X422</f>
        <v>0</v>
      </c>
      <c r="S380" s="70">
        <f>'RESUMEN TOTAL'!Y422</f>
        <v>0</v>
      </c>
      <c r="T380" s="70">
        <f>'RESUMEN TOTAL'!Z422</f>
        <v>0</v>
      </c>
      <c r="U380" s="70">
        <f>'RESUMEN TOTAL'!AA422</f>
        <v>0</v>
      </c>
      <c r="V380" s="70">
        <f>'RESUMEN TOTAL'!AB422</f>
        <v>0</v>
      </c>
      <c r="W380" s="70">
        <f>'RESUMEN TOTAL'!AC422</f>
        <v>0</v>
      </c>
      <c r="X380" s="70">
        <f>'RESUMEN TOTAL'!AD422</f>
        <v>0</v>
      </c>
      <c r="Y380" s="70">
        <f>'RESUMEN TOTAL'!AE422</f>
        <v>0</v>
      </c>
      <c r="Z380" s="70">
        <f>'RESUMEN TOTAL'!AF422</f>
        <v>0</v>
      </c>
      <c r="AA380" s="70">
        <f>'RESUMEN TOTAL'!AG422</f>
        <v>0</v>
      </c>
      <c r="AB380" s="70">
        <f>'RESUMEN TOTAL'!AH422</f>
        <v>0</v>
      </c>
      <c r="AC380" s="70">
        <f>'RESUMEN TOTAL'!AI422</f>
        <v>0</v>
      </c>
      <c r="AD380" s="70">
        <f>'RESUMEN TOTAL'!AJ422</f>
        <v>0</v>
      </c>
      <c r="AE380" s="70">
        <f>'RESUMEN TOTAL'!AK422</f>
        <v>0</v>
      </c>
      <c r="AF380" s="70">
        <f>'RESUMEN TOTAL'!AL422</f>
        <v>0</v>
      </c>
      <c r="AG380" s="70">
        <f>'RESUMEN TOTAL'!AM422</f>
        <v>0</v>
      </c>
      <c r="AH380" s="70">
        <f>'RESUMEN TOTAL'!AN422</f>
        <v>0</v>
      </c>
      <c r="AI380" s="70">
        <f>'RESUMEN TOTAL'!AO422</f>
        <v>0</v>
      </c>
      <c r="AJ380" s="70">
        <f>'RESUMEN TOTAL'!AP422</f>
        <v>0</v>
      </c>
    </row>
    <row r="381" spans="1:36" x14ac:dyDescent="0.25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0">
        <f>'RESUMEN TOTAL'!L423</f>
        <v>0</v>
      </c>
      <c r="G381" s="70">
        <f>'RESUMEN TOTAL'!M423</f>
        <v>0</v>
      </c>
      <c r="H381" s="70">
        <f>'RESUMEN TOTAL'!N423</f>
        <v>0</v>
      </c>
      <c r="I381" s="70" t="str">
        <f>'RESUMEN TOTAL'!O423</f>
        <v>APAGADO</v>
      </c>
      <c r="J381" s="70" t="str">
        <f>'RESUMEN TOTAL'!P423</f>
        <v>APAGADO</v>
      </c>
      <c r="K381" s="70" t="str">
        <f>'RESUMEN TOTAL'!Q423</f>
        <v>APAGADO</v>
      </c>
      <c r="L381" s="70" t="str">
        <f>'RESUMEN TOTAL'!R423</f>
        <v>APAGADO</v>
      </c>
      <c r="M381" s="70">
        <f>'RESUMEN TOTAL'!S423</f>
        <v>0</v>
      </c>
      <c r="N381" s="70" t="str">
        <f>'RESUMEN TOTAL'!T423</f>
        <v>APAGADO</v>
      </c>
      <c r="O381" s="70">
        <f>'RESUMEN TOTAL'!U423</f>
        <v>0</v>
      </c>
      <c r="P381" s="70">
        <f>'RESUMEN TOTAL'!V423</f>
        <v>0</v>
      </c>
      <c r="Q381" s="70">
        <f>'RESUMEN TOTAL'!W423</f>
        <v>0</v>
      </c>
      <c r="R381" s="70">
        <f>'RESUMEN TOTAL'!X423</f>
        <v>0</v>
      </c>
      <c r="S381" s="70">
        <f>'RESUMEN TOTAL'!Y423</f>
        <v>0</v>
      </c>
      <c r="T381" s="70">
        <f>'RESUMEN TOTAL'!Z423</f>
        <v>0</v>
      </c>
      <c r="U381" s="70">
        <f>'RESUMEN TOTAL'!AA423</f>
        <v>0</v>
      </c>
      <c r="V381" s="70">
        <f>'RESUMEN TOTAL'!AB423</f>
        <v>0</v>
      </c>
      <c r="W381" s="70">
        <f>'RESUMEN TOTAL'!AC423</f>
        <v>0</v>
      </c>
      <c r="X381" s="70">
        <f>'RESUMEN TOTAL'!AD423</f>
        <v>0</v>
      </c>
      <c r="Y381" s="70">
        <f>'RESUMEN TOTAL'!AE423</f>
        <v>0</v>
      </c>
      <c r="Z381" s="70">
        <f>'RESUMEN TOTAL'!AF423</f>
        <v>0</v>
      </c>
      <c r="AA381" s="70">
        <f>'RESUMEN TOTAL'!AG423</f>
        <v>0</v>
      </c>
      <c r="AB381" s="70">
        <f>'RESUMEN TOTAL'!AH423</f>
        <v>0</v>
      </c>
      <c r="AC381" s="70">
        <f>'RESUMEN TOTAL'!AI423</f>
        <v>0</v>
      </c>
      <c r="AD381" s="70">
        <f>'RESUMEN TOTAL'!AJ423</f>
        <v>0</v>
      </c>
      <c r="AE381" s="70">
        <f>'RESUMEN TOTAL'!AK423</f>
        <v>0</v>
      </c>
      <c r="AF381" s="70">
        <f>'RESUMEN TOTAL'!AL423</f>
        <v>0</v>
      </c>
      <c r="AG381" s="70">
        <f>'RESUMEN TOTAL'!AM423</f>
        <v>0</v>
      </c>
      <c r="AH381" s="70">
        <f>'RESUMEN TOTAL'!AN423</f>
        <v>0</v>
      </c>
      <c r="AI381" s="70">
        <f>'RESUMEN TOTAL'!AO423</f>
        <v>0</v>
      </c>
      <c r="AJ381" s="70">
        <f>'RESUMEN TOTAL'!AP423</f>
        <v>0</v>
      </c>
    </row>
    <row r="382" spans="1:36" x14ac:dyDescent="0.25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0">
        <f>'RESUMEN TOTAL'!L424</f>
        <v>0</v>
      </c>
      <c r="G382" s="70">
        <f>'RESUMEN TOTAL'!M424</f>
        <v>0</v>
      </c>
      <c r="H382" s="70">
        <f>'RESUMEN TOTAL'!N424</f>
        <v>0</v>
      </c>
      <c r="I382" s="70" t="str">
        <f>'RESUMEN TOTAL'!O424</f>
        <v>APAGADO</v>
      </c>
      <c r="J382" s="70" t="str">
        <f>'RESUMEN TOTAL'!P424</f>
        <v>APAGADO</v>
      </c>
      <c r="K382" s="70" t="str">
        <f>'RESUMEN TOTAL'!Q424</f>
        <v>APAGADO</v>
      </c>
      <c r="L382" s="70" t="str">
        <f>'RESUMEN TOTAL'!R424</f>
        <v>APAGADO</v>
      </c>
      <c r="M382" s="70">
        <f>'RESUMEN TOTAL'!S424</f>
        <v>0</v>
      </c>
      <c r="N382" s="70" t="str">
        <f>'RESUMEN TOTAL'!T424</f>
        <v>APAGADO</v>
      </c>
      <c r="O382" s="70">
        <f>'RESUMEN TOTAL'!U424</f>
        <v>0</v>
      </c>
      <c r="P382" s="70">
        <f>'RESUMEN TOTAL'!V424</f>
        <v>0</v>
      </c>
      <c r="Q382" s="70">
        <f>'RESUMEN TOTAL'!W424</f>
        <v>0</v>
      </c>
      <c r="R382" s="70">
        <f>'RESUMEN TOTAL'!X424</f>
        <v>0</v>
      </c>
      <c r="S382" s="70">
        <f>'RESUMEN TOTAL'!Y424</f>
        <v>0</v>
      </c>
      <c r="T382" s="70">
        <f>'RESUMEN TOTAL'!Z424</f>
        <v>0</v>
      </c>
      <c r="U382" s="70">
        <f>'RESUMEN TOTAL'!AA424</f>
        <v>0</v>
      </c>
      <c r="V382" s="70">
        <f>'RESUMEN TOTAL'!AB424</f>
        <v>0</v>
      </c>
      <c r="W382" s="70">
        <f>'RESUMEN TOTAL'!AC424</f>
        <v>0</v>
      </c>
      <c r="X382" s="70">
        <f>'RESUMEN TOTAL'!AD424</f>
        <v>0</v>
      </c>
      <c r="Y382" s="70">
        <f>'RESUMEN TOTAL'!AE424</f>
        <v>0</v>
      </c>
      <c r="Z382" s="70">
        <f>'RESUMEN TOTAL'!AF424</f>
        <v>0</v>
      </c>
      <c r="AA382" s="70">
        <f>'RESUMEN TOTAL'!AG424</f>
        <v>0</v>
      </c>
      <c r="AB382" s="70">
        <f>'RESUMEN TOTAL'!AH424</f>
        <v>0</v>
      </c>
      <c r="AC382" s="70">
        <f>'RESUMEN TOTAL'!AI424</f>
        <v>0</v>
      </c>
      <c r="AD382" s="70">
        <f>'RESUMEN TOTAL'!AJ424</f>
        <v>0</v>
      </c>
      <c r="AE382" s="70">
        <f>'RESUMEN TOTAL'!AK424</f>
        <v>0</v>
      </c>
      <c r="AF382" s="70">
        <f>'RESUMEN TOTAL'!AL424</f>
        <v>0</v>
      </c>
      <c r="AG382" s="70">
        <f>'RESUMEN TOTAL'!AM424</f>
        <v>0</v>
      </c>
      <c r="AH382" s="70">
        <f>'RESUMEN TOTAL'!AN424</f>
        <v>0</v>
      </c>
      <c r="AI382" s="70">
        <f>'RESUMEN TOTAL'!AO424</f>
        <v>0</v>
      </c>
      <c r="AJ382" s="70">
        <f>'RESUMEN TOTAL'!AP424</f>
        <v>0</v>
      </c>
    </row>
    <row r="383" spans="1:36" x14ac:dyDescent="0.25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0">
        <f>'RESUMEN TOTAL'!L425</f>
        <v>0</v>
      </c>
      <c r="G383" s="70">
        <f>'RESUMEN TOTAL'!M425</f>
        <v>0</v>
      </c>
      <c r="H383" s="70">
        <f>'RESUMEN TOTAL'!N425</f>
        <v>0</v>
      </c>
      <c r="I383" s="70">
        <f>'RESUMEN TOTAL'!O425</f>
        <v>0</v>
      </c>
      <c r="J383" s="70">
        <f>'RESUMEN TOTAL'!P425</f>
        <v>0</v>
      </c>
      <c r="K383" s="70">
        <f>'RESUMEN TOTAL'!Q425</f>
        <v>0</v>
      </c>
      <c r="L383" s="70">
        <f>'RESUMEN TOTAL'!R425</f>
        <v>0</v>
      </c>
      <c r="M383" s="70">
        <f>'RESUMEN TOTAL'!S425</f>
        <v>0</v>
      </c>
      <c r="N383" s="70">
        <f>'RESUMEN TOTAL'!T425</f>
        <v>0</v>
      </c>
      <c r="O383" s="70">
        <f>'RESUMEN TOTAL'!U425</f>
        <v>0</v>
      </c>
      <c r="P383" s="70">
        <f>'RESUMEN TOTAL'!V425</f>
        <v>0</v>
      </c>
      <c r="Q383" s="70">
        <f>'RESUMEN TOTAL'!W425</f>
        <v>0</v>
      </c>
      <c r="R383" s="70">
        <f>'RESUMEN TOTAL'!X425</f>
        <v>0</v>
      </c>
      <c r="S383" s="70">
        <f>'RESUMEN TOTAL'!Y425</f>
        <v>0</v>
      </c>
      <c r="T383" s="70">
        <f>'RESUMEN TOTAL'!Z425</f>
        <v>0</v>
      </c>
      <c r="U383" s="70">
        <f>'RESUMEN TOTAL'!AA425</f>
        <v>0</v>
      </c>
      <c r="V383" s="70" t="str">
        <f>'RESUMEN TOTAL'!AB425</f>
        <v>APAGADO</v>
      </c>
      <c r="W383" s="70">
        <f>'RESUMEN TOTAL'!AC425</f>
        <v>0</v>
      </c>
      <c r="X383" s="70">
        <f>'RESUMEN TOTAL'!AD425</f>
        <v>0</v>
      </c>
      <c r="Y383" s="70" t="str">
        <f>'RESUMEN TOTAL'!AE425</f>
        <v>APAGADO</v>
      </c>
      <c r="Z383" s="70">
        <f>'RESUMEN TOTAL'!AF425</f>
        <v>0</v>
      </c>
      <c r="AA383" s="70">
        <f>'RESUMEN TOTAL'!AG425</f>
        <v>0</v>
      </c>
      <c r="AB383" s="70" t="str">
        <f>'RESUMEN TOTAL'!AH425</f>
        <v>APAGADO</v>
      </c>
      <c r="AC383" s="70">
        <f>'RESUMEN TOTAL'!AI425</f>
        <v>0</v>
      </c>
      <c r="AD383" s="70">
        <f>'RESUMEN TOTAL'!AJ425</f>
        <v>0</v>
      </c>
      <c r="AE383" s="70">
        <f>'RESUMEN TOTAL'!AK425</f>
        <v>0</v>
      </c>
      <c r="AF383" s="70">
        <f>'RESUMEN TOTAL'!AL425</f>
        <v>0</v>
      </c>
      <c r="AG383" s="70">
        <f>'RESUMEN TOTAL'!AM425</f>
        <v>0</v>
      </c>
      <c r="AH383" s="70">
        <f>'RESUMEN TOTAL'!AN425</f>
        <v>0</v>
      </c>
      <c r="AI383" s="70">
        <f>'RESUMEN TOTAL'!AO425</f>
        <v>0</v>
      </c>
      <c r="AJ383" s="70">
        <f>'RESUMEN TOTAL'!AP425</f>
        <v>0</v>
      </c>
    </row>
    <row r="384" spans="1:36" x14ac:dyDescent="0.25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0">
        <f>'RESUMEN TOTAL'!L426</f>
        <v>0</v>
      </c>
      <c r="G384" s="70">
        <f>'RESUMEN TOTAL'!M426</f>
        <v>0</v>
      </c>
      <c r="H384" s="70">
        <f>'RESUMEN TOTAL'!N426</f>
        <v>0</v>
      </c>
      <c r="I384" s="70">
        <f>'RESUMEN TOTAL'!O426</f>
        <v>0</v>
      </c>
      <c r="J384" s="70">
        <f>'RESUMEN TOTAL'!P426</f>
        <v>0</v>
      </c>
      <c r="K384" s="70">
        <f>'RESUMEN TOTAL'!Q426</f>
        <v>0</v>
      </c>
      <c r="L384" s="70">
        <f>'RESUMEN TOTAL'!R426</f>
        <v>0</v>
      </c>
      <c r="M384" s="70">
        <f>'RESUMEN TOTAL'!S426</f>
        <v>0</v>
      </c>
      <c r="N384" s="70">
        <f>'RESUMEN TOTAL'!T426</f>
        <v>0</v>
      </c>
      <c r="O384" s="70">
        <f>'RESUMEN TOTAL'!U426</f>
        <v>0</v>
      </c>
      <c r="P384" s="70">
        <f>'RESUMEN TOTAL'!V426</f>
        <v>0</v>
      </c>
      <c r="Q384" s="70">
        <f>'RESUMEN TOTAL'!W426</f>
        <v>0</v>
      </c>
      <c r="R384" s="70">
        <f>'RESUMEN TOTAL'!X426</f>
        <v>0</v>
      </c>
      <c r="S384" s="70">
        <f>'RESUMEN TOTAL'!Y426</f>
        <v>0</v>
      </c>
      <c r="T384" s="70">
        <f>'RESUMEN TOTAL'!Z426</f>
        <v>0</v>
      </c>
      <c r="U384" s="70">
        <f>'RESUMEN TOTAL'!AA426</f>
        <v>0</v>
      </c>
      <c r="V384" s="70" t="str">
        <f>'RESUMEN TOTAL'!AB426</f>
        <v>APAGADO</v>
      </c>
      <c r="W384" s="70">
        <f>'RESUMEN TOTAL'!AC426</f>
        <v>0</v>
      </c>
      <c r="X384" s="70">
        <f>'RESUMEN TOTAL'!AD426</f>
        <v>0</v>
      </c>
      <c r="Y384" s="70">
        <f>'RESUMEN TOTAL'!AE426</f>
        <v>0</v>
      </c>
      <c r="Z384" s="70">
        <f>'RESUMEN TOTAL'!AF426</f>
        <v>0</v>
      </c>
      <c r="AA384" s="70">
        <f>'RESUMEN TOTAL'!AG426</f>
        <v>0</v>
      </c>
      <c r="AB384" s="70">
        <f>'RESUMEN TOTAL'!AH426</f>
        <v>0</v>
      </c>
      <c r="AC384" s="70">
        <f>'RESUMEN TOTAL'!AI426</f>
        <v>0</v>
      </c>
      <c r="AD384" s="70">
        <f>'RESUMEN TOTAL'!AJ426</f>
        <v>0</v>
      </c>
      <c r="AE384" s="70">
        <f>'RESUMEN TOTAL'!AK426</f>
        <v>0</v>
      </c>
      <c r="AF384" s="70">
        <f>'RESUMEN TOTAL'!AL426</f>
        <v>0</v>
      </c>
      <c r="AG384" s="70">
        <f>'RESUMEN TOTAL'!AM426</f>
        <v>0</v>
      </c>
      <c r="AH384" s="70">
        <f>'RESUMEN TOTAL'!AN426</f>
        <v>0</v>
      </c>
      <c r="AI384" s="70">
        <f>'RESUMEN TOTAL'!AO426</f>
        <v>0</v>
      </c>
      <c r="AJ384" s="70">
        <f>'RESUMEN TOTAL'!AP426</f>
        <v>0</v>
      </c>
    </row>
    <row r="385" spans="1:36" x14ac:dyDescent="0.25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0">
        <f>'RESUMEN TOTAL'!L427</f>
        <v>0</v>
      </c>
      <c r="G385" s="70">
        <f>'RESUMEN TOTAL'!M427</f>
        <v>0</v>
      </c>
      <c r="H385" s="70">
        <f>'RESUMEN TOTAL'!N427</f>
        <v>0</v>
      </c>
      <c r="I385" s="70">
        <f>'RESUMEN TOTAL'!O427</f>
        <v>0</v>
      </c>
      <c r="J385" s="70">
        <f>'RESUMEN TOTAL'!P427</f>
        <v>0</v>
      </c>
      <c r="K385" s="70">
        <f>'RESUMEN TOTAL'!Q427</f>
        <v>0</v>
      </c>
      <c r="L385" s="70">
        <f>'RESUMEN TOTAL'!R427</f>
        <v>0</v>
      </c>
      <c r="M385" s="70">
        <f>'RESUMEN TOTAL'!S427</f>
        <v>0</v>
      </c>
      <c r="N385" s="70">
        <f>'RESUMEN TOTAL'!T427</f>
        <v>0</v>
      </c>
      <c r="O385" s="70">
        <f>'RESUMEN TOTAL'!U427</f>
        <v>0</v>
      </c>
      <c r="P385" s="70">
        <f>'RESUMEN TOTAL'!V427</f>
        <v>0</v>
      </c>
      <c r="Q385" s="70">
        <f>'RESUMEN TOTAL'!W427</f>
        <v>0</v>
      </c>
      <c r="R385" s="70">
        <f>'RESUMEN TOTAL'!X427</f>
        <v>0</v>
      </c>
      <c r="S385" s="70">
        <f>'RESUMEN TOTAL'!Y427</f>
        <v>0</v>
      </c>
      <c r="T385" s="70">
        <f>'RESUMEN TOTAL'!Z427</f>
        <v>0</v>
      </c>
      <c r="U385" s="70">
        <f>'RESUMEN TOTAL'!AA427</f>
        <v>0</v>
      </c>
      <c r="V385" s="70" t="str">
        <f>'RESUMEN TOTAL'!AB427</f>
        <v>APAGADO</v>
      </c>
      <c r="W385" s="70">
        <f>'RESUMEN TOTAL'!AC427</f>
        <v>0</v>
      </c>
      <c r="X385" s="70">
        <f>'RESUMEN TOTAL'!AD427</f>
        <v>0</v>
      </c>
      <c r="Y385" s="70">
        <f>'RESUMEN TOTAL'!AE427</f>
        <v>0</v>
      </c>
      <c r="Z385" s="70">
        <f>'RESUMEN TOTAL'!AF427</f>
        <v>0</v>
      </c>
      <c r="AA385" s="70">
        <f>'RESUMEN TOTAL'!AG427</f>
        <v>0</v>
      </c>
      <c r="AB385" s="70">
        <f>'RESUMEN TOTAL'!AH427</f>
        <v>0</v>
      </c>
      <c r="AC385" s="70">
        <f>'RESUMEN TOTAL'!AI427</f>
        <v>0</v>
      </c>
      <c r="AD385" s="70">
        <f>'RESUMEN TOTAL'!AJ427</f>
        <v>0</v>
      </c>
      <c r="AE385" s="70">
        <f>'RESUMEN TOTAL'!AK427</f>
        <v>0</v>
      </c>
      <c r="AF385" s="70">
        <f>'RESUMEN TOTAL'!AL427</f>
        <v>0</v>
      </c>
      <c r="AG385" s="70">
        <f>'RESUMEN TOTAL'!AM427</f>
        <v>0</v>
      </c>
      <c r="AH385" s="70">
        <f>'RESUMEN TOTAL'!AN427</f>
        <v>0</v>
      </c>
      <c r="AI385" s="70">
        <f>'RESUMEN TOTAL'!AO427</f>
        <v>0</v>
      </c>
      <c r="AJ385" s="70">
        <f>'RESUMEN TOTAL'!AP427</f>
        <v>0</v>
      </c>
    </row>
    <row r="386" spans="1:36" x14ac:dyDescent="0.25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0">
        <f>'RESUMEN TOTAL'!L428</f>
        <v>0</v>
      </c>
      <c r="G386" s="70">
        <f>'RESUMEN TOTAL'!M428</f>
        <v>0</v>
      </c>
      <c r="H386" s="70">
        <f>'RESUMEN TOTAL'!N428</f>
        <v>0</v>
      </c>
      <c r="I386" s="70">
        <f>'RESUMEN TOTAL'!O428</f>
        <v>0</v>
      </c>
      <c r="J386" s="70">
        <f>'RESUMEN TOTAL'!P428</f>
        <v>0</v>
      </c>
      <c r="K386" s="70">
        <f>'RESUMEN TOTAL'!Q428</f>
        <v>0</v>
      </c>
      <c r="L386" s="70">
        <f>'RESUMEN TOTAL'!R428</f>
        <v>0</v>
      </c>
      <c r="M386" s="70">
        <f>'RESUMEN TOTAL'!S428</f>
        <v>0</v>
      </c>
      <c r="N386" s="70">
        <f>'RESUMEN TOTAL'!T428</f>
        <v>0</v>
      </c>
      <c r="O386" s="70">
        <f>'RESUMEN TOTAL'!U428</f>
        <v>0</v>
      </c>
      <c r="P386" s="70">
        <f>'RESUMEN TOTAL'!V428</f>
        <v>0</v>
      </c>
      <c r="Q386" s="70">
        <f>'RESUMEN TOTAL'!W428</f>
        <v>0</v>
      </c>
      <c r="R386" s="70">
        <f>'RESUMEN TOTAL'!X428</f>
        <v>0</v>
      </c>
      <c r="S386" s="70">
        <f>'RESUMEN TOTAL'!Y428</f>
        <v>0</v>
      </c>
      <c r="T386" s="70">
        <f>'RESUMEN TOTAL'!Z428</f>
        <v>0</v>
      </c>
      <c r="U386" s="70">
        <f>'RESUMEN TOTAL'!AA428</f>
        <v>0</v>
      </c>
      <c r="V386" s="70" t="str">
        <f>'RESUMEN TOTAL'!AB428</f>
        <v>APAGADO</v>
      </c>
      <c r="W386" s="70">
        <f>'RESUMEN TOTAL'!AC428</f>
        <v>0</v>
      </c>
      <c r="X386" s="70">
        <f>'RESUMEN TOTAL'!AD428</f>
        <v>0</v>
      </c>
      <c r="Y386" s="70">
        <f>'RESUMEN TOTAL'!AE428</f>
        <v>0</v>
      </c>
      <c r="Z386" s="70">
        <f>'RESUMEN TOTAL'!AF428</f>
        <v>0</v>
      </c>
      <c r="AA386" s="70">
        <f>'RESUMEN TOTAL'!AG428</f>
        <v>0</v>
      </c>
      <c r="AB386" s="70">
        <f>'RESUMEN TOTAL'!AH428</f>
        <v>0</v>
      </c>
      <c r="AC386" s="70">
        <f>'RESUMEN TOTAL'!AI428</f>
        <v>0</v>
      </c>
      <c r="AD386" s="70">
        <f>'RESUMEN TOTAL'!AJ428</f>
        <v>0</v>
      </c>
      <c r="AE386" s="70">
        <f>'RESUMEN TOTAL'!AK428</f>
        <v>0</v>
      </c>
      <c r="AF386" s="70">
        <f>'RESUMEN TOTAL'!AL428</f>
        <v>0</v>
      </c>
      <c r="AG386" s="70">
        <f>'RESUMEN TOTAL'!AM428</f>
        <v>0</v>
      </c>
      <c r="AH386" s="70">
        <f>'RESUMEN TOTAL'!AN428</f>
        <v>0</v>
      </c>
      <c r="AI386" s="70">
        <f>'RESUMEN TOTAL'!AO428</f>
        <v>0</v>
      </c>
      <c r="AJ386" s="70">
        <f>'RESUMEN TOTAL'!AP428</f>
        <v>0</v>
      </c>
    </row>
    <row r="387" spans="1:36" x14ac:dyDescent="0.25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0">
        <f>'RESUMEN TOTAL'!L429</f>
        <v>0</v>
      </c>
      <c r="G387" s="70">
        <f>'RESUMEN TOTAL'!M429</f>
        <v>0</v>
      </c>
      <c r="H387" s="70">
        <f>'RESUMEN TOTAL'!N429</f>
        <v>0</v>
      </c>
      <c r="I387" s="70">
        <f>'RESUMEN TOTAL'!O429</f>
        <v>0</v>
      </c>
      <c r="J387" s="70">
        <f>'RESUMEN TOTAL'!P429</f>
        <v>0</v>
      </c>
      <c r="K387" s="70">
        <f>'RESUMEN TOTAL'!Q429</f>
        <v>0</v>
      </c>
      <c r="L387" s="70">
        <f>'RESUMEN TOTAL'!R429</f>
        <v>0</v>
      </c>
      <c r="M387" s="70">
        <f>'RESUMEN TOTAL'!S429</f>
        <v>0</v>
      </c>
      <c r="N387" s="70">
        <f>'RESUMEN TOTAL'!T429</f>
        <v>0</v>
      </c>
      <c r="O387" s="70">
        <f>'RESUMEN TOTAL'!U429</f>
        <v>0</v>
      </c>
      <c r="P387" s="70">
        <f>'RESUMEN TOTAL'!V429</f>
        <v>0</v>
      </c>
      <c r="Q387" s="70">
        <f>'RESUMEN TOTAL'!W429</f>
        <v>0</v>
      </c>
      <c r="R387" s="70">
        <f>'RESUMEN TOTAL'!X429</f>
        <v>0</v>
      </c>
      <c r="S387" s="70">
        <f>'RESUMEN TOTAL'!Y429</f>
        <v>0</v>
      </c>
      <c r="T387" s="70">
        <f>'RESUMEN TOTAL'!Z429</f>
        <v>0</v>
      </c>
      <c r="U387" s="70">
        <f>'RESUMEN TOTAL'!AA429</f>
        <v>0</v>
      </c>
      <c r="V387" s="70" t="str">
        <f>'RESUMEN TOTAL'!AB429</f>
        <v>APAGADO</v>
      </c>
      <c r="W387" s="70">
        <f>'RESUMEN TOTAL'!AC429</f>
        <v>0</v>
      </c>
      <c r="X387" s="70">
        <f>'RESUMEN TOTAL'!AD429</f>
        <v>0</v>
      </c>
      <c r="Y387" s="70">
        <f>'RESUMEN TOTAL'!AE429</f>
        <v>0</v>
      </c>
      <c r="Z387" s="70">
        <f>'RESUMEN TOTAL'!AF429</f>
        <v>0</v>
      </c>
      <c r="AA387" s="70">
        <f>'RESUMEN TOTAL'!AG429</f>
        <v>0</v>
      </c>
      <c r="AB387" s="70">
        <f>'RESUMEN TOTAL'!AH429</f>
        <v>0</v>
      </c>
      <c r="AC387" s="70">
        <f>'RESUMEN TOTAL'!AI429</f>
        <v>0</v>
      </c>
      <c r="AD387" s="70">
        <f>'RESUMEN TOTAL'!AJ429</f>
        <v>0</v>
      </c>
      <c r="AE387" s="70">
        <f>'RESUMEN TOTAL'!AK429</f>
        <v>0</v>
      </c>
      <c r="AF387" s="70">
        <f>'RESUMEN TOTAL'!AL429</f>
        <v>0</v>
      </c>
      <c r="AG387" s="70">
        <f>'RESUMEN TOTAL'!AM429</f>
        <v>0</v>
      </c>
      <c r="AH387" s="70">
        <f>'RESUMEN TOTAL'!AN429</f>
        <v>0</v>
      </c>
      <c r="AI387" s="70">
        <f>'RESUMEN TOTAL'!AO429</f>
        <v>0</v>
      </c>
      <c r="AJ387" s="70">
        <f>'RESUMEN TOTAL'!AP429</f>
        <v>0</v>
      </c>
    </row>
    <row r="388" spans="1:36" x14ac:dyDescent="0.25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0">
        <f>'RESUMEN TOTAL'!L430</f>
        <v>0</v>
      </c>
      <c r="G388" s="70">
        <f>'RESUMEN TOTAL'!M430</f>
        <v>0</v>
      </c>
      <c r="H388" s="70">
        <f>'RESUMEN TOTAL'!N430</f>
        <v>0</v>
      </c>
      <c r="I388" s="70">
        <f>'RESUMEN TOTAL'!O430</f>
        <v>0</v>
      </c>
      <c r="J388" s="70">
        <f>'RESUMEN TOTAL'!P430</f>
        <v>0</v>
      </c>
      <c r="K388" s="70">
        <f>'RESUMEN TOTAL'!Q430</f>
        <v>0</v>
      </c>
      <c r="L388" s="70">
        <f>'RESUMEN TOTAL'!R430</f>
        <v>0</v>
      </c>
      <c r="M388" s="70">
        <f>'RESUMEN TOTAL'!S430</f>
        <v>0</v>
      </c>
      <c r="N388" s="70">
        <f>'RESUMEN TOTAL'!T430</f>
        <v>0</v>
      </c>
      <c r="O388" s="70">
        <f>'RESUMEN TOTAL'!U430</f>
        <v>0</v>
      </c>
      <c r="P388" s="70">
        <f>'RESUMEN TOTAL'!V430</f>
        <v>0</v>
      </c>
      <c r="Q388" s="70">
        <f>'RESUMEN TOTAL'!W430</f>
        <v>0</v>
      </c>
      <c r="R388" s="70">
        <f>'RESUMEN TOTAL'!X430</f>
        <v>0</v>
      </c>
      <c r="S388" s="70">
        <f>'RESUMEN TOTAL'!Y430</f>
        <v>0</v>
      </c>
      <c r="T388" s="70">
        <f>'RESUMEN TOTAL'!Z430</f>
        <v>0</v>
      </c>
      <c r="U388" s="70">
        <f>'RESUMEN TOTAL'!AA430</f>
        <v>0</v>
      </c>
      <c r="V388" s="70" t="str">
        <f>'RESUMEN TOTAL'!AB430</f>
        <v>APAGADO</v>
      </c>
      <c r="W388" s="70">
        <f>'RESUMEN TOTAL'!AC430</f>
        <v>0</v>
      </c>
      <c r="X388" s="70">
        <f>'RESUMEN TOTAL'!AD430</f>
        <v>0</v>
      </c>
      <c r="Y388" s="70">
        <f>'RESUMEN TOTAL'!AE430</f>
        <v>0</v>
      </c>
      <c r="Z388" s="70">
        <f>'RESUMEN TOTAL'!AF430</f>
        <v>0</v>
      </c>
      <c r="AA388" s="70">
        <f>'RESUMEN TOTAL'!AG430</f>
        <v>0</v>
      </c>
      <c r="AB388" s="70">
        <f>'RESUMEN TOTAL'!AH430</f>
        <v>0</v>
      </c>
      <c r="AC388" s="70">
        <f>'RESUMEN TOTAL'!AI430</f>
        <v>0</v>
      </c>
      <c r="AD388" s="70">
        <f>'RESUMEN TOTAL'!AJ430</f>
        <v>0</v>
      </c>
      <c r="AE388" s="70">
        <f>'RESUMEN TOTAL'!AK430</f>
        <v>0</v>
      </c>
      <c r="AF388" s="70">
        <f>'RESUMEN TOTAL'!AL430</f>
        <v>0</v>
      </c>
      <c r="AG388" s="70">
        <f>'RESUMEN TOTAL'!AM430</f>
        <v>0</v>
      </c>
      <c r="AH388" s="70">
        <f>'RESUMEN TOTAL'!AN430</f>
        <v>0</v>
      </c>
      <c r="AI388" s="70">
        <f>'RESUMEN TOTAL'!AO430</f>
        <v>0</v>
      </c>
      <c r="AJ388" s="70">
        <f>'RESUMEN TOTAL'!AP430</f>
        <v>0</v>
      </c>
    </row>
    <row r="389" spans="1:36" x14ac:dyDescent="0.25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0">
        <f>'RESUMEN TOTAL'!L431</f>
        <v>0</v>
      </c>
      <c r="G389" s="70">
        <f>'RESUMEN TOTAL'!M431</f>
        <v>0</v>
      </c>
      <c r="H389" s="70">
        <f>'RESUMEN TOTAL'!N431</f>
        <v>0</v>
      </c>
      <c r="I389" s="70">
        <f>'RESUMEN TOTAL'!O431</f>
        <v>0</v>
      </c>
      <c r="J389" s="70">
        <f>'RESUMEN TOTAL'!P431</f>
        <v>0</v>
      </c>
      <c r="K389" s="70">
        <f>'RESUMEN TOTAL'!Q431</f>
        <v>0</v>
      </c>
      <c r="L389" s="70">
        <f>'RESUMEN TOTAL'!R431</f>
        <v>0</v>
      </c>
      <c r="M389" s="70">
        <f>'RESUMEN TOTAL'!S431</f>
        <v>0</v>
      </c>
      <c r="N389" s="70">
        <f>'RESUMEN TOTAL'!T431</f>
        <v>0</v>
      </c>
      <c r="O389" s="70">
        <f>'RESUMEN TOTAL'!U431</f>
        <v>0</v>
      </c>
      <c r="P389" s="70">
        <f>'RESUMEN TOTAL'!V431</f>
        <v>0</v>
      </c>
      <c r="Q389" s="70">
        <f>'RESUMEN TOTAL'!W431</f>
        <v>0</v>
      </c>
      <c r="R389" s="70">
        <f>'RESUMEN TOTAL'!X431</f>
        <v>0</v>
      </c>
      <c r="S389" s="70">
        <f>'RESUMEN TOTAL'!Y431</f>
        <v>0</v>
      </c>
      <c r="T389" s="70">
        <f>'RESUMEN TOTAL'!Z431</f>
        <v>0</v>
      </c>
      <c r="U389" s="70">
        <f>'RESUMEN TOTAL'!AA431</f>
        <v>0</v>
      </c>
      <c r="V389" s="70" t="str">
        <f>'RESUMEN TOTAL'!AB431</f>
        <v>APAGADO</v>
      </c>
      <c r="W389" s="70">
        <f>'RESUMEN TOTAL'!AC431</f>
        <v>0</v>
      </c>
      <c r="X389" s="70">
        <f>'RESUMEN TOTAL'!AD431</f>
        <v>0</v>
      </c>
      <c r="Y389" s="70">
        <f>'RESUMEN TOTAL'!AE431</f>
        <v>0</v>
      </c>
      <c r="Z389" s="70">
        <f>'RESUMEN TOTAL'!AF431</f>
        <v>0</v>
      </c>
      <c r="AA389" s="70">
        <f>'RESUMEN TOTAL'!AG431</f>
        <v>0</v>
      </c>
      <c r="AB389" s="70">
        <f>'RESUMEN TOTAL'!AH431</f>
        <v>0</v>
      </c>
      <c r="AC389" s="70">
        <f>'RESUMEN TOTAL'!AI431</f>
        <v>0</v>
      </c>
      <c r="AD389" s="70">
        <f>'RESUMEN TOTAL'!AJ431</f>
        <v>0</v>
      </c>
      <c r="AE389" s="70">
        <f>'RESUMEN TOTAL'!AK431</f>
        <v>0</v>
      </c>
      <c r="AF389" s="70">
        <f>'RESUMEN TOTAL'!AL431</f>
        <v>0</v>
      </c>
      <c r="AG389" s="70">
        <f>'RESUMEN TOTAL'!AM431</f>
        <v>0</v>
      </c>
      <c r="AH389" s="70">
        <f>'RESUMEN TOTAL'!AN431</f>
        <v>0</v>
      </c>
      <c r="AI389" s="70">
        <f>'RESUMEN TOTAL'!AO431</f>
        <v>0</v>
      </c>
      <c r="AJ389" s="70">
        <f>'RESUMEN TOTAL'!AP431</f>
        <v>0</v>
      </c>
    </row>
    <row r="390" spans="1:36" x14ac:dyDescent="0.25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0">
        <f>'RESUMEN TOTAL'!L432</f>
        <v>0</v>
      </c>
      <c r="G390" s="70">
        <f>'RESUMEN TOTAL'!M432</f>
        <v>0</v>
      </c>
      <c r="H390" s="70">
        <f>'RESUMEN TOTAL'!N432</f>
        <v>0</v>
      </c>
      <c r="I390" s="70">
        <f>'RESUMEN TOTAL'!O432</f>
        <v>0</v>
      </c>
      <c r="J390" s="70">
        <f>'RESUMEN TOTAL'!P432</f>
        <v>0</v>
      </c>
      <c r="K390" s="70">
        <f>'RESUMEN TOTAL'!Q432</f>
        <v>0</v>
      </c>
      <c r="L390" s="70">
        <f>'RESUMEN TOTAL'!R432</f>
        <v>0</v>
      </c>
      <c r="M390" s="70">
        <f>'RESUMEN TOTAL'!S432</f>
        <v>0</v>
      </c>
      <c r="N390" s="70">
        <f>'RESUMEN TOTAL'!T432</f>
        <v>0</v>
      </c>
      <c r="O390" s="70">
        <f>'RESUMEN TOTAL'!U432</f>
        <v>0</v>
      </c>
      <c r="P390" s="70">
        <f>'RESUMEN TOTAL'!V432</f>
        <v>0</v>
      </c>
      <c r="Q390" s="70">
        <f>'RESUMEN TOTAL'!W432</f>
        <v>0</v>
      </c>
      <c r="R390" s="70">
        <f>'RESUMEN TOTAL'!X432</f>
        <v>0</v>
      </c>
      <c r="S390" s="70">
        <f>'RESUMEN TOTAL'!Y432</f>
        <v>0</v>
      </c>
      <c r="T390" s="70">
        <f>'RESUMEN TOTAL'!Z432</f>
        <v>0</v>
      </c>
      <c r="U390" s="70">
        <f>'RESUMEN TOTAL'!AA432</f>
        <v>0</v>
      </c>
      <c r="V390" s="70" t="str">
        <f>'RESUMEN TOTAL'!AB432</f>
        <v>APAGADO</v>
      </c>
      <c r="W390" s="70">
        <f>'RESUMEN TOTAL'!AC432</f>
        <v>0</v>
      </c>
      <c r="X390" s="70">
        <f>'RESUMEN TOTAL'!AD432</f>
        <v>0</v>
      </c>
      <c r="Y390" s="70">
        <f>'RESUMEN TOTAL'!AE432</f>
        <v>0</v>
      </c>
      <c r="Z390" s="70">
        <f>'RESUMEN TOTAL'!AF432</f>
        <v>0</v>
      </c>
      <c r="AA390" s="70">
        <f>'RESUMEN TOTAL'!AG432</f>
        <v>0</v>
      </c>
      <c r="AB390" s="70" t="str">
        <f>'RESUMEN TOTAL'!AH432</f>
        <v>APAGADO</v>
      </c>
      <c r="AC390" s="70">
        <f>'RESUMEN TOTAL'!AI432</f>
        <v>0</v>
      </c>
      <c r="AD390" s="70">
        <f>'RESUMEN TOTAL'!AJ432</f>
        <v>0</v>
      </c>
      <c r="AE390" s="70">
        <f>'RESUMEN TOTAL'!AK432</f>
        <v>0</v>
      </c>
      <c r="AF390" s="70">
        <f>'RESUMEN TOTAL'!AL432</f>
        <v>0</v>
      </c>
      <c r="AG390" s="70">
        <f>'RESUMEN TOTAL'!AM432</f>
        <v>0</v>
      </c>
      <c r="AH390" s="70">
        <f>'RESUMEN TOTAL'!AN432</f>
        <v>0</v>
      </c>
      <c r="AI390" s="70">
        <f>'RESUMEN TOTAL'!AO432</f>
        <v>0</v>
      </c>
      <c r="AJ390" s="70">
        <f>'RESUMEN TOTAL'!AP432</f>
        <v>0</v>
      </c>
    </row>
    <row r="391" spans="1:36" x14ac:dyDescent="0.25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0">
        <f>'RESUMEN TOTAL'!L433</f>
        <v>0</v>
      </c>
      <c r="G391" s="70">
        <f>'RESUMEN TOTAL'!M433</f>
        <v>0</v>
      </c>
      <c r="H391" s="70">
        <f>'RESUMEN TOTAL'!N433</f>
        <v>0</v>
      </c>
      <c r="I391" s="70">
        <f>'RESUMEN TOTAL'!O433</f>
        <v>0</v>
      </c>
      <c r="J391" s="70">
        <f>'RESUMEN TOTAL'!P433</f>
        <v>0</v>
      </c>
      <c r="K391" s="70">
        <f>'RESUMEN TOTAL'!Q433</f>
        <v>0</v>
      </c>
      <c r="L391" s="70">
        <f>'RESUMEN TOTAL'!R433</f>
        <v>0</v>
      </c>
      <c r="M391" s="70">
        <f>'RESUMEN TOTAL'!S433</f>
        <v>0</v>
      </c>
      <c r="N391" s="70">
        <f>'RESUMEN TOTAL'!T433</f>
        <v>0</v>
      </c>
      <c r="O391" s="70">
        <f>'RESUMEN TOTAL'!U433</f>
        <v>0</v>
      </c>
      <c r="P391" s="70" t="str">
        <f>'RESUMEN TOTAL'!V433</f>
        <v>APAGADO</v>
      </c>
      <c r="Q391" s="70">
        <f>'RESUMEN TOTAL'!W433</f>
        <v>0</v>
      </c>
      <c r="R391" s="70">
        <f>'RESUMEN TOTAL'!X433</f>
        <v>0</v>
      </c>
      <c r="S391" s="70">
        <f>'RESUMEN TOTAL'!Y433</f>
        <v>0</v>
      </c>
      <c r="T391" s="70">
        <f>'RESUMEN TOTAL'!Z433</f>
        <v>0</v>
      </c>
      <c r="U391" s="70">
        <f>'RESUMEN TOTAL'!AA433</f>
        <v>0</v>
      </c>
      <c r="V391" s="70">
        <f>'RESUMEN TOTAL'!AB433</f>
        <v>0</v>
      </c>
      <c r="W391" s="70">
        <f>'RESUMEN TOTAL'!AC433</f>
        <v>0</v>
      </c>
      <c r="X391" s="70">
        <f>'RESUMEN TOTAL'!AD433</f>
        <v>0</v>
      </c>
      <c r="Y391" s="70">
        <f>'RESUMEN TOTAL'!AE433</f>
        <v>0</v>
      </c>
      <c r="Z391" s="70">
        <f>'RESUMEN TOTAL'!AF433</f>
        <v>0</v>
      </c>
      <c r="AA391" s="70">
        <f>'RESUMEN TOTAL'!AG433</f>
        <v>0</v>
      </c>
      <c r="AB391" s="70">
        <f>'RESUMEN TOTAL'!AH433</f>
        <v>0</v>
      </c>
      <c r="AC391" s="70">
        <f>'RESUMEN TOTAL'!AI433</f>
        <v>0</v>
      </c>
      <c r="AD391" s="70">
        <f>'RESUMEN TOTAL'!AJ433</f>
        <v>0</v>
      </c>
      <c r="AE391" s="70">
        <f>'RESUMEN TOTAL'!AK433</f>
        <v>0</v>
      </c>
      <c r="AF391" s="70">
        <f>'RESUMEN TOTAL'!AL433</f>
        <v>0</v>
      </c>
      <c r="AG391" s="70">
        <f>'RESUMEN TOTAL'!AM433</f>
        <v>0</v>
      </c>
      <c r="AH391" s="70">
        <f>'RESUMEN TOTAL'!AN433</f>
        <v>0</v>
      </c>
      <c r="AI391" s="70">
        <f>'RESUMEN TOTAL'!AO433</f>
        <v>0</v>
      </c>
      <c r="AJ391" s="70">
        <f>'RESUMEN TOTAL'!AP433</f>
        <v>0</v>
      </c>
    </row>
    <row r="392" spans="1:36" x14ac:dyDescent="0.25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0">
        <f>'RESUMEN TOTAL'!L434</f>
        <v>0</v>
      </c>
      <c r="G392" s="70">
        <f>'RESUMEN TOTAL'!M434</f>
        <v>0</v>
      </c>
      <c r="H392" s="70">
        <f>'RESUMEN TOTAL'!N434</f>
        <v>0</v>
      </c>
      <c r="I392" s="70">
        <f>'RESUMEN TOTAL'!O434</f>
        <v>0</v>
      </c>
      <c r="J392" s="70">
        <f>'RESUMEN TOTAL'!P434</f>
        <v>0</v>
      </c>
      <c r="K392" s="70">
        <f>'RESUMEN TOTAL'!Q434</f>
        <v>0</v>
      </c>
      <c r="L392" s="70">
        <f>'RESUMEN TOTAL'!R434</f>
        <v>0</v>
      </c>
      <c r="M392" s="70">
        <f>'RESUMEN TOTAL'!S434</f>
        <v>0</v>
      </c>
      <c r="N392" s="70">
        <f>'RESUMEN TOTAL'!T434</f>
        <v>0</v>
      </c>
      <c r="O392" s="70">
        <f>'RESUMEN TOTAL'!U434</f>
        <v>0</v>
      </c>
      <c r="P392" s="70">
        <f>'RESUMEN TOTAL'!V434</f>
        <v>0</v>
      </c>
      <c r="Q392" s="70">
        <f>'RESUMEN TOTAL'!W434</f>
        <v>0</v>
      </c>
      <c r="R392" s="70">
        <f>'RESUMEN TOTAL'!X434</f>
        <v>0</v>
      </c>
      <c r="S392" s="70">
        <f>'RESUMEN TOTAL'!Y434</f>
        <v>0</v>
      </c>
      <c r="T392" s="70">
        <f>'RESUMEN TOTAL'!Z434</f>
        <v>0</v>
      </c>
      <c r="U392" s="70">
        <f>'RESUMEN TOTAL'!AA434</f>
        <v>0</v>
      </c>
      <c r="V392" s="70">
        <f>'RESUMEN TOTAL'!AB434</f>
        <v>0</v>
      </c>
      <c r="W392" s="70">
        <f>'RESUMEN TOTAL'!AC434</f>
        <v>0</v>
      </c>
      <c r="X392" s="70">
        <f>'RESUMEN TOTAL'!AD434</f>
        <v>0</v>
      </c>
      <c r="Y392" s="70">
        <f>'RESUMEN TOTAL'!AE434</f>
        <v>0</v>
      </c>
      <c r="Z392" s="70">
        <f>'RESUMEN TOTAL'!AF434</f>
        <v>0</v>
      </c>
      <c r="AA392" s="70">
        <f>'RESUMEN TOTAL'!AG434</f>
        <v>0</v>
      </c>
      <c r="AB392" s="70">
        <f>'RESUMEN TOTAL'!AH434</f>
        <v>0</v>
      </c>
      <c r="AC392" s="70">
        <f>'RESUMEN TOTAL'!AI434</f>
        <v>0</v>
      </c>
      <c r="AD392" s="70">
        <f>'RESUMEN TOTAL'!AJ434</f>
        <v>0</v>
      </c>
      <c r="AE392" s="70">
        <f>'RESUMEN TOTAL'!AK434</f>
        <v>0</v>
      </c>
      <c r="AF392" s="70">
        <f>'RESUMEN TOTAL'!AL434</f>
        <v>0</v>
      </c>
      <c r="AG392" s="70">
        <f>'RESUMEN TOTAL'!AM434</f>
        <v>0</v>
      </c>
      <c r="AH392" s="70">
        <f>'RESUMEN TOTAL'!AN434</f>
        <v>0</v>
      </c>
      <c r="AI392" s="70">
        <f>'RESUMEN TOTAL'!AO434</f>
        <v>0</v>
      </c>
      <c r="AJ392" s="70">
        <f>'RESUMEN TOTAL'!AP434</f>
        <v>0</v>
      </c>
    </row>
    <row r="393" spans="1:36" x14ac:dyDescent="0.25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0">
        <f>'RESUMEN TOTAL'!L435</f>
        <v>0</v>
      </c>
      <c r="G393" s="70">
        <f>'RESUMEN TOTAL'!M435</f>
        <v>0</v>
      </c>
      <c r="H393" s="70">
        <f>'RESUMEN TOTAL'!N435</f>
        <v>0</v>
      </c>
      <c r="I393" s="70">
        <f>'RESUMEN TOTAL'!O435</f>
        <v>0</v>
      </c>
      <c r="J393" s="70">
        <f>'RESUMEN TOTAL'!P435</f>
        <v>0</v>
      </c>
      <c r="K393" s="70">
        <f>'RESUMEN TOTAL'!Q435</f>
        <v>0</v>
      </c>
      <c r="L393" s="70">
        <f>'RESUMEN TOTAL'!R435</f>
        <v>0</v>
      </c>
      <c r="M393" s="70">
        <f>'RESUMEN TOTAL'!S435</f>
        <v>0</v>
      </c>
      <c r="N393" s="70">
        <f>'RESUMEN TOTAL'!T435</f>
        <v>0</v>
      </c>
      <c r="O393" s="70">
        <f>'RESUMEN TOTAL'!U435</f>
        <v>0</v>
      </c>
      <c r="P393" s="70">
        <f>'RESUMEN TOTAL'!V435</f>
        <v>0</v>
      </c>
      <c r="Q393" s="70">
        <f>'RESUMEN TOTAL'!W435</f>
        <v>0</v>
      </c>
      <c r="R393" s="70">
        <f>'RESUMEN TOTAL'!X435</f>
        <v>0</v>
      </c>
      <c r="S393" s="70">
        <f>'RESUMEN TOTAL'!Y435</f>
        <v>0</v>
      </c>
      <c r="T393" s="70">
        <f>'RESUMEN TOTAL'!Z435</f>
        <v>0</v>
      </c>
      <c r="U393" s="70">
        <f>'RESUMEN TOTAL'!AA435</f>
        <v>0</v>
      </c>
      <c r="V393" s="70">
        <f>'RESUMEN TOTAL'!AB435</f>
        <v>0</v>
      </c>
      <c r="W393" s="70">
        <f>'RESUMEN TOTAL'!AC435</f>
        <v>0</v>
      </c>
      <c r="X393" s="70">
        <f>'RESUMEN TOTAL'!AD435</f>
        <v>0</v>
      </c>
      <c r="Y393" s="70">
        <f>'RESUMEN TOTAL'!AE435</f>
        <v>0</v>
      </c>
      <c r="Z393" s="70">
        <f>'RESUMEN TOTAL'!AF435</f>
        <v>0</v>
      </c>
      <c r="AA393" s="70">
        <f>'RESUMEN TOTAL'!AG435</f>
        <v>0</v>
      </c>
      <c r="AB393" s="70">
        <f>'RESUMEN TOTAL'!AH435</f>
        <v>0</v>
      </c>
      <c r="AC393" s="70">
        <f>'RESUMEN TOTAL'!AI435</f>
        <v>0</v>
      </c>
      <c r="AD393" s="70">
        <f>'RESUMEN TOTAL'!AJ435</f>
        <v>0</v>
      </c>
      <c r="AE393" s="70">
        <f>'RESUMEN TOTAL'!AK435</f>
        <v>0</v>
      </c>
      <c r="AF393" s="70">
        <f>'RESUMEN TOTAL'!AL435</f>
        <v>0</v>
      </c>
      <c r="AG393" s="70">
        <f>'RESUMEN TOTAL'!AM435</f>
        <v>0</v>
      </c>
      <c r="AH393" s="70">
        <f>'RESUMEN TOTAL'!AN435</f>
        <v>0</v>
      </c>
      <c r="AI393" s="70">
        <f>'RESUMEN TOTAL'!AO435</f>
        <v>0</v>
      </c>
      <c r="AJ393" s="70">
        <f>'RESUMEN TOTAL'!AP435</f>
        <v>0</v>
      </c>
    </row>
    <row r="394" spans="1:36" x14ac:dyDescent="0.25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0">
        <f>'RESUMEN TOTAL'!L436</f>
        <v>0</v>
      </c>
      <c r="G394" s="70">
        <f>'RESUMEN TOTAL'!M436</f>
        <v>0</v>
      </c>
      <c r="H394" s="70">
        <f>'RESUMEN TOTAL'!N436</f>
        <v>0</v>
      </c>
      <c r="I394" s="70">
        <f>'RESUMEN TOTAL'!O436</f>
        <v>0</v>
      </c>
      <c r="J394" s="70">
        <f>'RESUMEN TOTAL'!P436</f>
        <v>0</v>
      </c>
      <c r="K394" s="70">
        <f>'RESUMEN TOTAL'!Q436</f>
        <v>0</v>
      </c>
      <c r="L394" s="70">
        <f>'RESUMEN TOTAL'!R436</f>
        <v>0</v>
      </c>
      <c r="M394" s="70">
        <f>'RESUMEN TOTAL'!S436</f>
        <v>0</v>
      </c>
      <c r="N394" s="70">
        <f>'RESUMEN TOTAL'!T436</f>
        <v>0</v>
      </c>
      <c r="O394" s="70">
        <f>'RESUMEN TOTAL'!U436</f>
        <v>0</v>
      </c>
      <c r="P394" s="70">
        <f>'RESUMEN TOTAL'!V436</f>
        <v>0</v>
      </c>
      <c r="Q394" s="70">
        <f>'RESUMEN TOTAL'!W436</f>
        <v>0</v>
      </c>
      <c r="R394" s="70">
        <f>'RESUMEN TOTAL'!X436</f>
        <v>0</v>
      </c>
      <c r="S394" s="70">
        <f>'RESUMEN TOTAL'!Y436</f>
        <v>0</v>
      </c>
      <c r="T394" s="70">
        <f>'RESUMEN TOTAL'!Z436</f>
        <v>0</v>
      </c>
      <c r="U394" s="70">
        <f>'RESUMEN TOTAL'!AA436</f>
        <v>0</v>
      </c>
      <c r="V394" s="70">
        <f>'RESUMEN TOTAL'!AB436</f>
        <v>0</v>
      </c>
      <c r="W394" s="70">
        <f>'RESUMEN TOTAL'!AC436</f>
        <v>0</v>
      </c>
      <c r="X394" s="70">
        <f>'RESUMEN TOTAL'!AD436</f>
        <v>0</v>
      </c>
      <c r="Y394" s="70">
        <f>'RESUMEN TOTAL'!AE436</f>
        <v>0</v>
      </c>
      <c r="Z394" s="70">
        <f>'RESUMEN TOTAL'!AF436</f>
        <v>0</v>
      </c>
      <c r="AA394" s="70">
        <f>'RESUMEN TOTAL'!AG436</f>
        <v>0</v>
      </c>
      <c r="AB394" s="70">
        <f>'RESUMEN TOTAL'!AH436</f>
        <v>0</v>
      </c>
      <c r="AC394" s="70">
        <f>'RESUMEN TOTAL'!AI436</f>
        <v>0</v>
      </c>
      <c r="AD394" s="70">
        <f>'RESUMEN TOTAL'!AJ436</f>
        <v>0</v>
      </c>
      <c r="AE394" s="70">
        <f>'RESUMEN TOTAL'!AK436</f>
        <v>0</v>
      </c>
      <c r="AF394" s="70">
        <f>'RESUMEN TOTAL'!AL436</f>
        <v>0</v>
      </c>
      <c r="AG394" s="70">
        <f>'RESUMEN TOTAL'!AM436</f>
        <v>0</v>
      </c>
      <c r="AH394" s="70">
        <f>'RESUMEN TOTAL'!AN436</f>
        <v>0</v>
      </c>
      <c r="AI394" s="70">
        <f>'RESUMEN TOTAL'!AO436</f>
        <v>0</v>
      </c>
      <c r="AJ394" s="70">
        <f>'RESUMEN TOTAL'!AP436</f>
        <v>0</v>
      </c>
    </row>
    <row r="395" spans="1:36" x14ac:dyDescent="0.25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0">
        <f>'RESUMEN TOTAL'!L437</f>
        <v>0</v>
      </c>
      <c r="G395" s="70">
        <f>'RESUMEN TOTAL'!M437</f>
        <v>0</v>
      </c>
      <c r="H395" s="70">
        <f>'RESUMEN TOTAL'!N437</f>
        <v>0</v>
      </c>
      <c r="I395" s="70">
        <f>'RESUMEN TOTAL'!O437</f>
        <v>0</v>
      </c>
      <c r="J395" s="70">
        <f>'RESUMEN TOTAL'!P437</f>
        <v>0</v>
      </c>
      <c r="K395" s="70">
        <f>'RESUMEN TOTAL'!Q437</f>
        <v>0</v>
      </c>
      <c r="L395" s="70">
        <f>'RESUMEN TOTAL'!R437</f>
        <v>0</v>
      </c>
      <c r="M395" s="70">
        <f>'RESUMEN TOTAL'!S437</f>
        <v>0</v>
      </c>
      <c r="N395" s="70">
        <f>'RESUMEN TOTAL'!T437</f>
        <v>0</v>
      </c>
      <c r="O395" s="70">
        <f>'RESUMEN TOTAL'!U437</f>
        <v>0</v>
      </c>
      <c r="P395" s="70">
        <f>'RESUMEN TOTAL'!V437</f>
        <v>0</v>
      </c>
      <c r="Q395" s="70">
        <f>'RESUMEN TOTAL'!W437</f>
        <v>0</v>
      </c>
      <c r="R395" s="70">
        <f>'RESUMEN TOTAL'!X437</f>
        <v>0</v>
      </c>
      <c r="S395" s="70">
        <f>'RESUMEN TOTAL'!Y437</f>
        <v>0</v>
      </c>
      <c r="T395" s="70">
        <f>'RESUMEN TOTAL'!Z437</f>
        <v>0</v>
      </c>
      <c r="U395" s="70">
        <f>'RESUMEN TOTAL'!AA437</f>
        <v>0</v>
      </c>
      <c r="V395" s="70">
        <f>'RESUMEN TOTAL'!AB437</f>
        <v>0</v>
      </c>
      <c r="W395" s="70">
        <f>'RESUMEN TOTAL'!AC437</f>
        <v>0</v>
      </c>
      <c r="X395" s="70">
        <f>'RESUMEN TOTAL'!AD437</f>
        <v>0</v>
      </c>
      <c r="Y395" s="70">
        <f>'RESUMEN TOTAL'!AE437</f>
        <v>0</v>
      </c>
      <c r="Z395" s="70">
        <f>'RESUMEN TOTAL'!AF437</f>
        <v>0</v>
      </c>
      <c r="AA395" s="70">
        <f>'RESUMEN TOTAL'!AG437</f>
        <v>0</v>
      </c>
      <c r="AB395" s="70">
        <f>'RESUMEN TOTAL'!AH437</f>
        <v>0</v>
      </c>
      <c r="AC395" s="70">
        <f>'RESUMEN TOTAL'!AI437</f>
        <v>0</v>
      </c>
      <c r="AD395" s="70">
        <f>'RESUMEN TOTAL'!AJ437</f>
        <v>0</v>
      </c>
      <c r="AE395" s="70">
        <f>'RESUMEN TOTAL'!AK437</f>
        <v>0</v>
      </c>
      <c r="AF395" s="70">
        <f>'RESUMEN TOTAL'!AL437</f>
        <v>0</v>
      </c>
      <c r="AG395" s="70">
        <f>'RESUMEN TOTAL'!AM437</f>
        <v>0</v>
      </c>
      <c r="AH395" s="70">
        <f>'RESUMEN TOTAL'!AN437</f>
        <v>0</v>
      </c>
      <c r="AI395" s="70">
        <f>'RESUMEN TOTAL'!AO437</f>
        <v>0</v>
      </c>
      <c r="AJ395" s="70">
        <f>'RESUMEN TOTAL'!AP437</f>
        <v>0</v>
      </c>
    </row>
    <row r="396" spans="1:36" x14ac:dyDescent="0.25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0">
        <f>'RESUMEN TOTAL'!L438</f>
        <v>0</v>
      </c>
      <c r="G396" s="70">
        <f>'RESUMEN TOTAL'!M438</f>
        <v>0</v>
      </c>
      <c r="H396" s="70">
        <f>'RESUMEN TOTAL'!N438</f>
        <v>0</v>
      </c>
      <c r="I396" s="70">
        <f>'RESUMEN TOTAL'!O438</f>
        <v>0</v>
      </c>
      <c r="J396" s="70">
        <f>'RESUMEN TOTAL'!P438</f>
        <v>0</v>
      </c>
      <c r="K396" s="70">
        <f>'RESUMEN TOTAL'!Q438</f>
        <v>0</v>
      </c>
      <c r="L396" s="70">
        <f>'RESUMEN TOTAL'!R438</f>
        <v>0</v>
      </c>
      <c r="M396" s="70">
        <f>'RESUMEN TOTAL'!S438</f>
        <v>0</v>
      </c>
      <c r="N396" s="70">
        <f>'RESUMEN TOTAL'!T438</f>
        <v>0</v>
      </c>
      <c r="O396" s="70">
        <f>'RESUMEN TOTAL'!U438</f>
        <v>0</v>
      </c>
      <c r="P396" s="70">
        <f>'RESUMEN TOTAL'!V438</f>
        <v>0</v>
      </c>
      <c r="Q396" s="70">
        <f>'RESUMEN TOTAL'!W438</f>
        <v>0</v>
      </c>
      <c r="R396" s="70">
        <f>'RESUMEN TOTAL'!X438</f>
        <v>0</v>
      </c>
      <c r="S396" s="70">
        <f>'RESUMEN TOTAL'!Y438</f>
        <v>0</v>
      </c>
      <c r="T396" s="70">
        <f>'RESUMEN TOTAL'!Z438</f>
        <v>0</v>
      </c>
      <c r="U396" s="70">
        <f>'RESUMEN TOTAL'!AA438</f>
        <v>0</v>
      </c>
      <c r="V396" s="70">
        <f>'RESUMEN TOTAL'!AB438</f>
        <v>0</v>
      </c>
      <c r="W396" s="70">
        <f>'RESUMEN TOTAL'!AC438</f>
        <v>0</v>
      </c>
      <c r="X396" s="70">
        <f>'RESUMEN TOTAL'!AD438</f>
        <v>0</v>
      </c>
      <c r="Y396" s="70">
        <f>'RESUMEN TOTAL'!AE438</f>
        <v>0</v>
      </c>
      <c r="Z396" s="70">
        <f>'RESUMEN TOTAL'!AF438</f>
        <v>0</v>
      </c>
      <c r="AA396" s="70">
        <f>'RESUMEN TOTAL'!AG438</f>
        <v>0</v>
      </c>
      <c r="AB396" s="70">
        <f>'RESUMEN TOTAL'!AH438</f>
        <v>0</v>
      </c>
      <c r="AC396" s="70">
        <f>'RESUMEN TOTAL'!AI438</f>
        <v>0</v>
      </c>
      <c r="AD396" s="70">
        <f>'RESUMEN TOTAL'!AJ438</f>
        <v>0</v>
      </c>
      <c r="AE396" s="70">
        <f>'RESUMEN TOTAL'!AK438</f>
        <v>0</v>
      </c>
      <c r="AF396" s="70">
        <f>'RESUMEN TOTAL'!AL438</f>
        <v>0</v>
      </c>
      <c r="AG396" s="70">
        <f>'RESUMEN TOTAL'!AM438</f>
        <v>0</v>
      </c>
      <c r="AH396" s="70">
        <f>'RESUMEN TOTAL'!AN438</f>
        <v>0</v>
      </c>
      <c r="AI396" s="70">
        <f>'RESUMEN TOTAL'!AO438</f>
        <v>0</v>
      </c>
      <c r="AJ396" s="70">
        <f>'RESUMEN TOTAL'!AP438</f>
        <v>0</v>
      </c>
    </row>
    <row r="397" spans="1:36" x14ac:dyDescent="0.25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0">
        <f>'RESUMEN TOTAL'!L439</f>
        <v>0</v>
      </c>
      <c r="G397" s="70">
        <f>'RESUMEN TOTAL'!M439</f>
        <v>0</v>
      </c>
      <c r="H397" s="70">
        <f>'RESUMEN TOTAL'!N439</f>
        <v>0</v>
      </c>
      <c r="I397" s="70">
        <f>'RESUMEN TOTAL'!O439</f>
        <v>0</v>
      </c>
      <c r="J397" s="70">
        <f>'RESUMEN TOTAL'!P439</f>
        <v>0</v>
      </c>
      <c r="K397" s="70">
        <f>'RESUMEN TOTAL'!Q439</f>
        <v>0</v>
      </c>
      <c r="L397" s="70">
        <f>'RESUMEN TOTAL'!R439</f>
        <v>0</v>
      </c>
      <c r="M397" s="70">
        <f>'RESUMEN TOTAL'!S439</f>
        <v>0</v>
      </c>
      <c r="N397" s="70">
        <f>'RESUMEN TOTAL'!T439</f>
        <v>0</v>
      </c>
      <c r="O397" s="70">
        <f>'RESUMEN TOTAL'!U439</f>
        <v>0</v>
      </c>
      <c r="P397" s="70">
        <f>'RESUMEN TOTAL'!V439</f>
        <v>0</v>
      </c>
      <c r="Q397" s="70">
        <f>'RESUMEN TOTAL'!W439</f>
        <v>0</v>
      </c>
      <c r="R397" s="70">
        <f>'RESUMEN TOTAL'!X439</f>
        <v>0</v>
      </c>
      <c r="S397" s="70">
        <f>'RESUMEN TOTAL'!Y439</f>
        <v>0</v>
      </c>
      <c r="T397" s="70">
        <f>'RESUMEN TOTAL'!Z439</f>
        <v>0</v>
      </c>
      <c r="U397" s="70">
        <f>'RESUMEN TOTAL'!AA439</f>
        <v>0</v>
      </c>
      <c r="V397" s="70">
        <f>'RESUMEN TOTAL'!AB439</f>
        <v>0</v>
      </c>
      <c r="W397" s="70">
        <f>'RESUMEN TOTAL'!AC439</f>
        <v>0</v>
      </c>
      <c r="X397" s="70">
        <f>'RESUMEN TOTAL'!AD439</f>
        <v>0</v>
      </c>
      <c r="Y397" s="70">
        <f>'RESUMEN TOTAL'!AE439</f>
        <v>0</v>
      </c>
      <c r="Z397" s="70">
        <f>'RESUMEN TOTAL'!AF439</f>
        <v>0</v>
      </c>
      <c r="AA397" s="70">
        <f>'RESUMEN TOTAL'!AG439</f>
        <v>0</v>
      </c>
      <c r="AB397" s="70">
        <f>'RESUMEN TOTAL'!AH439</f>
        <v>0</v>
      </c>
      <c r="AC397" s="70">
        <f>'RESUMEN TOTAL'!AI439</f>
        <v>0</v>
      </c>
      <c r="AD397" s="70">
        <f>'RESUMEN TOTAL'!AJ439</f>
        <v>0</v>
      </c>
      <c r="AE397" s="70">
        <f>'RESUMEN TOTAL'!AK439</f>
        <v>0</v>
      </c>
      <c r="AF397" s="70">
        <f>'RESUMEN TOTAL'!AL439</f>
        <v>0</v>
      </c>
      <c r="AG397" s="70">
        <f>'RESUMEN TOTAL'!AM439</f>
        <v>0</v>
      </c>
      <c r="AH397" s="70">
        <f>'RESUMEN TOTAL'!AN439</f>
        <v>0</v>
      </c>
      <c r="AI397" s="70">
        <f>'RESUMEN TOTAL'!AO439</f>
        <v>0</v>
      </c>
      <c r="AJ397" s="70">
        <f>'RESUMEN TOTAL'!AP439</f>
        <v>0</v>
      </c>
    </row>
    <row r="398" spans="1:36" x14ac:dyDescent="0.25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0">
        <f>'RESUMEN TOTAL'!L440</f>
        <v>0</v>
      </c>
      <c r="G398" s="70">
        <f>'RESUMEN TOTAL'!M440</f>
        <v>0</v>
      </c>
      <c r="H398" s="70">
        <f>'RESUMEN TOTAL'!N440</f>
        <v>0</v>
      </c>
      <c r="I398" s="70">
        <f>'RESUMEN TOTAL'!O440</f>
        <v>0</v>
      </c>
      <c r="J398" s="70">
        <f>'RESUMEN TOTAL'!P440</f>
        <v>0</v>
      </c>
      <c r="K398" s="70">
        <f>'RESUMEN TOTAL'!Q440</f>
        <v>0</v>
      </c>
      <c r="L398" s="70">
        <f>'RESUMEN TOTAL'!R440</f>
        <v>0</v>
      </c>
      <c r="M398" s="70">
        <f>'RESUMEN TOTAL'!S440</f>
        <v>0</v>
      </c>
      <c r="N398" s="70">
        <f>'RESUMEN TOTAL'!T440</f>
        <v>0</v>
      </c>
      <c r="O398" s="70">
        <f>'RESUMEN TOTAL'!U440</f>
        <v>0</v>
      </c>
      <c r="P398" s="70">
        <f>'RESUMEN TOTAL'!V440</f>
        <v>0</v>
      </c>
      <c r="Q398" s="70">
        <f>'RESUMEN TOTAL'!W440</f>
        <v>0</v>
      </c>
      <c r="R398" s="70">
        <f>'RESUMEN TOTAL'!X440</f>
        <v>0</v>
      </c>
      <c r="S398" s="70">
        <f>'RESUMEN TOTAL'!Y440</f>
        <v>0</v>
      </c>
      <c r="T398" s="70">
        <f>'RESUMEN TOTAL'!Z440</f>
        <v>0</v>
      </c>
      <c r="U398" s="70">
        <f>'RESUMEN TOTAL'!AA440</f>
        <v>0</v>
      </c>
      <c r="V398" s="70">
        <f>'RESUMEN TOTAL'!AB440</f>
        <v>0</v>
      </c>
      <c r="W398" s="70">
        <f>'RESUMEN TOTAL'!AC440</f>
        <v>0</v>
      </c>
      <c r="X398" s="70">
        <f>'RESUMEN TOTAL'!AD440</f>
        <v>0</v>
      </c>
      <c r="Y398" s="70">
        <f>'RESUMEN TOTAL'!AE440</f>
        <v>0</v>
      </c>
      <c r="Z398" s="70">
        <f>'RESUMEN TOTAL'!AF440</f>
        <v>0</v>
      </c>
      <c r="AA398" s="70">
        <f>'RESUMEN TOTAL'!AG440</f>
        <v>0</v>
      </c>
      <c r="AB398" s="70">
        <f>'RESUMEN TOTAL'!AH440</f>
        <v>0</v>
      </c>
      <c r="AC398" s="70">
        <f>'RESUMEN TOTAL'!AI440</f>
        <v>0</v>
      </c>
      <c r="AD398" s="70">
        <f>'RESUMEN TOTAL'!AJ440</f>
        <v>0</v>
      </c>
      <c r="AE398" s="70">
        <f>'RESUMEN TOTAL'!AK440</f>
        <v>0</v>
      </c>
      <c r="AF398" s="70">
        <f>'RESUMEN TOTAL'!AL440</f>
        <v>0</v>
      </c>
      <c r="AG398" s="70">
        <f>'RESUMEN TOTAL'!AM440</f>
        <v>0</v>
      </c>
      <c r="AH398" s="70">
        <f>'RESUMEN TOTAL'!AN440</f>
        <v>0</v>
      </c>
      <c r="AI398" s="70">
        <f>'RESUMEN TOTAL'!AO440</f>
        <v>0</v>
      </c>
      <c r="AJ398" s="70">
        <f>'RESUMEN TOTAL'!AP440</f>
        <v>0</v>
      </c>
    </row>
    <row r="399" spans="1:36" x14ac:dyDescent="0.25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0">
        <f>'RESUMEN TOTAL'!L441</f>
        <v>0</v>
      </c>
      <c r="G399" s="70">
        <f>'RESUMEN TOTAL'!M441</f>
        <v>0</v>
      </c>
      <c r="H399" s="70">
        <f>'RESUMEN TOTAL'!N441</f>
        <v>0</v>
      </c>
      <c r="I399" s="70">
        <f>'RESUMEN TOTAL'!O441</f>
        <v>0</v>
      </c>
      <c r="J399" s="70">
        <f>'RESUMEN TOTAL'!P441</f>
        <v>0</v>
      </c>
      <c r="K399" s="70">
        <f>'RESUMEN TOTAL'!Q441</f>
        <v>0</v>
      </c>
      <c r="L399" s="70">
        <f>'RESUMEN TOTAL'!R441</f>
        <v>0</v>
      </c>
      <c r="M399" s="70">
        <f>'RESUMEN TOTAL'!S441</f>
        <v>0</v>
      </c>
      <c r="N399" s="70">
        <f>'RESUMEN TOTAL'!T441</f>
        <v>0</v>
      </c>
      <c r="O399" s="70">
        <f>'RESUMEN TOTAL'!U441</f>
        <v>0</v>
      </c>
      <c r="P399" s="70">
        <f>'RESUMEN TOTAL'!V441</f>
        <v>0</v>
      </c>
      <c r="Q399" s="70">
        <f>'RESUMEN TOTAL'!W441</f>
        <v>0</v>
      </c>
      <c r="R399" s="70">
        <f>'RESUMEN TOTAL'!X441</f>
        <v>0</v>
      </c>
      <c r="S399" s="70">
        <f>'RESUMEN TOTAL'!Y441</f>
        <v>0</v>
      </c>
      <c r="T399" s="70">
        <f>'RESUMEN TOTAL'!Z441</f>
        <v>0</v>
      </c>
      <c r="U399" s="70">
        <f>'RESUMEN TOTAL'!AA441</f>
        <v>0</v>
      </c>
      <c r="V399" s="70">
        <f>'RESUMEN TOTAL'!AB441</f>
        <v>0</v>
      </c>
      <c r="W399" s="70">
        <f>'RESUMEN TOTAL'!AC441</f>
        <v>0</v>
      </c>
      <c r="X399" s="70">
        <f>'RESUMEN TOTAL'!AD441</f>
        <v>0</v>
      </c>
      <c r="Y399" s="70">
        <f>'RESUMEN TOTAL'!AE441</f>
        <v>0</v>
      </c>
      <c r="Z399" s="70">
        <f>'RESUMEN TOTAL'!AF441</f>
        <v>0</v>
      </c>
      <c r="AA399" s="70">
        <f>'RESUMEN TOTAL'!AG441</f>
        <v>0</v>
      </c>
      <c r="AB399" s="70">
        <f>'RESUMEN TOTAL'!AH441</f>
        <v>0</v>
      </c>
      <c r="AC399" s="70">
        <f>'RESUMEN TOTAL'!AI441</f>
        <v>0</v>
      </c>
      <c r="AD399" s="70">
        <f>'RESUMEN TOTAL'!AJ441</f>
        <v>0</v>
      </c>
      <c r="AE399" s="70">
        <f>'RESUMEN TOTAL'!AK441</f>
        <v>0</v>
      </c>
      <c r="AF399" s="70">
        <f>'RESUMEN TOTAL'!AL441</f>
        <v>0</v>
      </c>
      <c r="AG399" s="70">
        <f>'RESUMEN TOTAL'!AM441</f>
        <v>0</v>
      </c>
      <c r="AH399" s="70">
        <f>'RESUMEN TOTAL'!AN441</f>
        <v>0</v>
      </c>
      <c r="AI399" s="70">
        <f>'RESUMEN TOTAL'!AO441</f>
        <v>0</v>
      </c>
      <c r="AJ399" s="70">
        <f>'RESUMEN TOTAL'!AP441</f>
        <v>0</v>
      </c>
    </row>
    <row r="400" spans="1:36" x14ac:dyDescent="0.25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0">
        <f>'RESUMEN TOTAL'!L442</f>
        <v>0</v>
      </c>
      <c r="G400" s="70">
        <f>'RESUMEN TOTAL'!M442</f>
        <v>0</v>
      </c>
      <c r="H400" s="70">
        <f>'RESUMEN TOTAL'!N442</f>
        <v>0</v>
      </c>
      <c r="I400" s="70">
        <f>'RESUMEN TOTAL'!O442</f>
        <v>0</v>
      </c>
      <c r="J400" s="70">
        <f>'RESUMEN TOTAL'!P442</f>
        <v>0</v>
      </c>
      <c r="K400" s="70">
        <f>'RESUMEN TOTAL'!Q442</f>
        <v>0</v>
      </c>
      <c r="L400" s="70">
        <f>'RESUMEN TOTAL'!R442</f>
        <v>0</v>
      </c>
      <c r="M400" s="70">
        <f>'RESUMEN TOTAL'!S442</f>
        <v>0</v>
      </c>
      <c r="N400" s="70">
        <f>'RESUMEN TOTAL'!T442</f>
        <v>0</v>
      </c>
      <c r="O400" s="70">
        <f>'RESUMEN TOTAL'!U442</f>
        <v>0</v>
      </c>
      <c r="P400" s="70">
        <f>'RESUMEN TOTAL'!V442</f>
        <v>0</v>
      </c>
      <c r="Q400" s="70">
        <f>'RESUMEN TOTAL'!W442</f>
        <v>0</v>
      </c>
      <c r="R400" s="70">
        <f>'RESUMEN TOTAL'!X442</f>
        <v>0</v>
      </c>
      <c r="S400" s="70">
        <f>'RESUMEN TOTAL'!Y442</f>
        <v>0</v>
      </c>
      <c r="T400" s="70">
        <f>'RESUMEN TOTAL'!Z442</f>
        <v>0</v>
      </c>
      <c r="U400" s="70">
        <f>'RESUMEN TOTAL'!AA442</f>
        <v>0</v>
      </c>
      <c r="V400" s="70">
        <f>'RESUMEN TOTAL'!AB442</f>
        <v>0</v>
      </c>
      <c r="W400" s="70">
        <f>'RESUMEN TOTAL'!AC442</f>
        <v>0</v>
      </c>
      <c r="X400" s="70">
        <f>'RESUMEN TOTAL'!AD442</f>
        <v>0</v>
      </c>
      <c r="Y400" s="70">
        <f>'RESUMEN TOTAL'!AE442</f>
        <v>0</v>
      </c>
      <c r="Z400" s="70">
        <f>'RESUMEN TOTAL'!AF442</f>
        <v>0</v>
      </c>
      <c r="AA400" s="70">
        <f>'RESUMEN TOTAL'!AG442</f>
        <v>0</v>
      </c>
      <c r="AB400" s="70">
        <f>'RESUMEN TOTAL'!AH442</f>
        <v>0</v>
      </c>
      <c r="AC400" s="70">
        <f>'RESUMEN TOTAL'!AI442</f>
        <v>0</v>
      </c>
      <c r="AD400" s="70">
        <f>'RESUMEN TOTAL'!AJ442</f>
        <v>0</v>
      </c>
      <c r="AE400" s="70">
        <f>'RESUMEN TOTAL'!AK442</f>
        <v>0</v>
      </c>
      <c r="AF400" s="70">
        <f>'RESUMEN TOTAL'!AL442</f>
        <v>0</v>
      </c>
      <c r="AG400" s="70">
        <f>'RESUMEN TOTAL'!AM442</f>
        <v>0</v>
      </c>
      <c r="AH400" s="70">
        <f>'RESUMEN TOTAL'!AN442</f>
        <v>0</v>
      </c>
      <c r="AI400" s="70">
        <f>'RESUMEN TOTAL'!AO442</f>
        <v>0</v>
      </c>
      <c r="AJ400" s="70">
        <f>'RESUMEN TOTAL'!AP442</f>
        <v>0</v>
      </c>
    </row>
    <row r="401" spans="1:36" x14ac:dyDescent="0.25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0">
        <f>'RESUMEN TOTAL'!L443</f>
        <v>0</v>
      </c>
      <c r="G401" s="70">
        <f>'RESUMEN TOTAL'!M443</f>
        <v>0</v>
      </c>
      <c r="H401" s="70">
        <f>'RESUMEN TOTAL'!N443</f>
        <v>0</v>
      </c>
      <c r="I401" s="70">
        <f>'RESUMEN TOTAL'!O443</f>
        <v>0</v>
      </c>
      <c r="J401" s="70">
        <f>'RESUMEN TOTAL'!P443</f>
        <v>0</v>
      </c>
      <c r="K401" s="70">
        <f>'RESUMEN TOTAL'!Q443</f>
        <v>0</v>
      </c>
      <c r="L401" s="70">
        <f>'RESUMEN TOTAL'!R443</f>
        <v>0</v>
      </c>
      <c r="M401" s="70">
        <f>'RESUMEN TOTAL'!S443</f>
        <v>0</v>
      </c>
      <c r="N401" s="70">
        <f>'RESUMEN TOTAL'!T443</f>
        <v>0</v>
      </c>
      <c r="O401" s="70">
        <f>'RESUMEN TOTAL'!U443</f>
        <v>0</v>
      </c>
      <c r="P401" s="70" t="str">
        <f>'RESUMEN TOTAL'!V443</f>
        <v>APAGADO</v>
      </c>
      <c r="Q401" s="70">
        <f>'RESUMEN TOTAL'!W443</f>
        <v>0</v>
      </c>
      <c r="R401" s="70">
        <f>'RESUMEN TOTAL'!X443</f>
        <v>0</v>
      </c>
      <c r="S401" s="70">
        <f>'RESUMEN TOTAL'!Y443</f>
        <v>0</v>
      </c>
      <c r="T401" s="70">
        <f>'RESUMEN TOTAL'!Z443</f>
        <v>0</v>
      </c>
      <c r="U401" s="70">
        <f>'RESUMEN TOTAL'!AA443</f>
        <v>0</v>
      </c>
      <c r="V401" s="70">
        <f>'RESUMEN TOTAL'!AB443</f>
        <v>0</v>
      </c>
      <c r="W401" s="70">
        <f>'RESUMEN TOTAL'!AC443</f>
        <v>0</v>
      </c>
      <c r="X401" s="70">
        <f>'RESUMEN TOTAL'!AD443</f>
        <v>0</v>
      </c>
      <c r="Y401" s="70">
        <f>'RESUMEN TOTAL'!AE443</f>
        <v>0</v>
      </c>
      <c r="Z401" s="70">
        <f>'RESUMEN TOTAL'!AF443</f>
        <v>0</v>
      </c>
      <c r="AA401" s="70">
        <f>'RESUMEN TOTAL'!AG443</f>
        <v>0</v>
      </c>
      <c r="AB401" s="70">
        <f>'RESUMEN TOTAL'!AH443</f>
        <v>0</v>
      </c>
      <c r="AC401" s="70">
        <f>'RESUMEN TOTAL'!AI443</f>
        <v>0</v>
      </c>
      <c r="AD401" s="70">
        <f>'RESUMEN TOTAL'!AJ443</f>
        <v>0</v>
      </c>
      <c r="AE401" s="70">
        <f>'RESUMEN TOTAL'!AK443</f>
        <v>0</v>
      </c>
      <c r="AF401" s="70">
        <f>'RESUMEN TOTAL'!AL443</f>
        <v>0</v>
      </c>
      <c r="AG401" s="70">
        <f>'RESUMEN TOTAL'!AM443</f>
        <v>0</v>
      </c>
      <c r="AH401" s="70">
        <f>'RESUMEN TOTAL'!AN443</f>
        <v>0</v>
      </c>
      <c r="AI401" s="70">
        <f>'RESUMEN TOTAL'!AO443</f>
        <v>0</v>
      </c>
      <c r="AJ401" s="70">
        <f>'RESUMEN TOTAL'!AP443</f>
        <v>0</v>
      </c>
    </row>
    <row r="402" spans="1:36" x14ac:dyDescent="0.25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0">
        <f>'RESUMEN TOTAL'!L444</f>
        <v>0</v>
      </c>
      <c r="G402" s="70">
        <f>'RESUMEN TOTAL'!M444</f>
        <v>0</v>
      </c>
      <c r="H402" s="70">
        <f>'RESUMEN TOTAL'!N444</f>
        <v>0</v>
      </c>
      <c r="I402" s="70">
        <f>'RESUMEN TOTAL'!O444</f>
        <v>0</v>
      </c>
      <c r="J402" s="70">
        <f>'RESUMEN TOTAL'!P444</f>
        <v>0</v>
      </c>
      <c r="K402" s="70">
        <f>'RESUMEN TOTAL'!Q444</f>
        <v>0</v>
      </c>
      <c r="L402" s="70">
        <f>'RESUMEN TOTAL'!R444</f>
        <v>0</v>
      </c>
      <c r="M402" s="70">
        <f>'RESUMEN TOTAL'!S444</f>
        <v>0</v>
      </c>
      <c r="N402" s="70">
        <f>'RESUMEN TOTAL'!T444</f>
        <v>0</v>
      </c>
      <c r="O402" s="70">
        <f>'RESUMEN TOTAL'!U444</f>
        <v>0</v>
      </c>
      <c r="P402" s="70">
        <f>'RESUMEN TOTAL'!V444</f>
        <v>0</v>
      </c>
      <c r="Q402" s="70">
        <f>'RESUMEN TOTAL'!W444</f>
        <v>0</v>
      </c>
      <c r="R402" s="70">
        <f>'RESUMEN TOTAL'!X444</f>
        <v>0</v>
      </c>
      <c r="S402" s="70">
        <f>'RESUMEN TOTAL'!Y444</f>
        <v>0</v>
      </c>
      <c r="T402" s="70">
        <f>'RESUMEN TOTAL'!Z444</f>
        <v>0</v>
      </c>
      <c r="U402" s="70">
        <f>'RESUMEN TOTAL'!AA444</f>
        <v>0</v>
      </c>
      <c r="V402" s="70">
        <f>'RESUMEN TOTAL'!AB444</f>
        <v>0</v>
      </c>
      <c r="W402" s="70">
        <f>'RESUMEN TOTAL'!AC444</f>
        <v>0</v>
      </c>
      <c r="X402" s="70">
        <f>'RESUMEN TOTAL'!AD444</f>
        <v>0</v>
      </c>
      <c r="Y402" s="70">
        <f>'RESUMEN TOTAL'!AE444</f>
        <v>0</v>
      </c>
      <c r="Z402" s="70">
        <f>'RESUMEN TOTAL'!AF444</f>
        <v>0</v>
      </c>
      <c r="AA402" s="70">
        <f>'RESUMEN TOTAL'!AG444</f>
        <v>0</v>
      </c>
      <c r="AB402" s="70">
        <f>'RESUMEN TOTAL'!AH444</f>
        <v>0</v>
      </c>
      <c r="AC402" s="70">
        <f>'RESUMEN TOTAL'!AI444</f>
        <v>0</v>
      </c>
      <c r="AD402" s="70">
        <f>'RESUMEN TOTAL'!AJ444</f>
        <v>0</v>
      </c>
      <c r="AE402" s="70">
        <f>'RESUMEN TOTAL'!AK444</f>
        <v>0</v>
      </c>
      <c r="AF402" s="70">
        <f>'RESUMEN TOTAL'!AL444</f>
        <v>0</v>
      </c>
      <c r="AG402" s="70">
        <f>'RESUMEN TOTAL'!AM444</f>
        <v>0</v>
      </c>
      <c r="AH402" s="70">
        <f>'RESUMEN TOTAL'!AN444</f>
        <v>0</v>
      </c>
      <c r="AI402" s="70">
        <f>'RESUMEN TOTAL'!AO444</f>
        <v>0</v>
      </c>
      <c r="AJ402" s="70">
        <f>'RESUMEN TOTAL'!AP444</f>
        <v>0</v>
      </c>
    </row>
    <row r="403" spans="1:36" x14ac:dyDescent="0.25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0">
        <f>'RESUMEN TOTAL'!L445</f>
        <v>0</v>
      </c>
      <c r="G403" s="70">
        <f>'RESUMEN TOTAL'!M445</f>
        <v>0</v>
      </c>
      <c r="H403" s="70">
        <f>'RESUMEN TOTAL'!N445</f>
        <v>0</v>
      </c>
      <c r="I403" s="70">
        <f>'RESUMEN TOTAL'!O445</f>
        <v>0</v>
      </c>
      <c r="J403" s="70">
        <f>'RESUMEN TOTAL'!P445</f>
        <v>0</v>
      </c>
      <c r="K403" s="70">
        <f>'RESUMEN TOTAL'!Q445</f>
        <v>0</v>
      </c>
      <c r="L403" s="70">
        <f>'RESUMEN TOTAL'!R445</f>
        <v>0</v>
      </c>
      <c r="M403" s="70">
        <f>'RESUMEN TOTAL'!S445</f>
        <v>0</v>
      </c>
      <c r="N403" s="70">
        <f>'RESUMEN TOTAL'!T445</f>
        <v>0</v>
      </c>
      <c r="O403" s="70">
        <f>'RESUMEN TOTAL'!U445</f>
        <v>0</v>
      </c>
      <c r="P403" s="70">
        <f>'RESUMEN TOTAL'!V445</f>
        <v>0</v>
      </c>
      <c r="Q403" s="70">
        <f>'RESUMEN TOTAL'!W445</f>
        <v>0</v>
      </c>
      <c r="R403" s="70">
        <f>'RESUMEN TOTAL'!X445</f>
        <v>0</v>
      </c>
      <c r="S403" s="70">
        <f>'RESUMEN TOTAL'!Y445</f>
        <v>0</v>
      </c>
      <c r="T403" s="70">
        <f>'RESUMEN TOTAL'!Z445</f>
        <v>0</v>
      </c>
      <c r="U403" s="70">
        <f>'RESUMEN TOTAL'!AA445</f>
        <v>0</v>
      </c>
      <c r="V403" s="70">
        <f>'RESUMEN TOTAL'!AB445</f>
        <v>0</v>
      </c>
      <c r="W403" s="70">
        <f>'RESUMEN TOTAL'!AC445</f>
        <v>0</v>
      </c>
      <c r="X403" s="70">
        <f>'RESUMEN TOTAL'!AD445</f>
        <v>0</v>
      </c>
      <c r="Y403" s="70">
        <f>'RESUMEN TOTAL'!AE445</f>
        <v>0</v>
      </c>
      <c r="Z403" s="70">
        <f>'RESUMEN TOTAL'!AF445</f>
        <v>0</v>
      </c>
      <c r="AA403" s="70">
        <f>'RESUMEN TOTAL'!AG445</f>
        <v>0</v>
      </c>
      <c r="AB403" s="70">
        <f>'RESUMEN TOTAL'!AH445</f>
        <v>0</v>
      </c>
      <c r="AC403" s="70">
        <f>'RESUMEN TOTAL'!AI445</f>
        <v>0</v>
      </c>
      <c r="AD403" s="70">
        <f>'RESUMEN TOTAL'!AJ445</f>
        <v>0</v>
      </c>
      <c r="AE403" s="70">
        <f>'RESUMEN TOTAL'!AK445</f>
        <v>0</v>
      </c>
      <c r="AF403" s="70">
        <f>'RESUMEN TOTAL'!AL445</f>
        <v>0</v>
      </c>
      <c r="AG403" s="70">
        <f>'RESUMEN TOTAL'!AM445</f>
        <v>0</v>
      </c>
      <c r="AH403" s="70">
        <f>'RESUMEN TOTAL'!AN445</f>
        <v>0</v>
      </c>
      <c r="AI403" s="70">
        <f>'RESUMEN TOTAL'!AO445</f>
        <v>0</v>
      </c>
      <c r="AJ403" s="70">
        <f>'RESUMEN TOTAL'!AP445</f>
        <v>0</v>
      </c>
    </row>
    <row r="404" spans="1:36" x14ac:dyDescent="0.25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0">
        <f>'RESUMEN TOTAL'!L446</f>
        <v>0</v>
      </c>
      <c r="G404" s="70">
        <f>'RESUMEN TOTAL'!M446</f>
        <v>0</v>
      </c>
      <c r="H404" s="70">
        <f>'RESUMEN TOTAL'!N446</f>
        <v>0</v>
      </c>
      <c r="I404" s="70">
        <f>'RESUMEN TOTAL'!O446</f>
        <v>0</v>
      </c>
      <c r="J404" s="70">
        <f>'RESUMEN TOTAL'!P446</f>
        <v>0</v>
      </c>
      <c r="K404" s="70">
        <f>'RESUMEN TOTAL'!Q446</f>
        <v>0</v>
      </c>
      <c r="L404" s="70">
        <f>'RESUMEN TOTAL'!R446</f>
        <v>0</v>
      </c>
      <c r="M404" s="70">
        <f>'RESUMEN TOTAL'!S446</f>
        <v>0</v>
      </c>
      <c r="N404" s="70">
        <f>'RESUMEN TOTAL'!T446</f>
        <v>0</v>
      </c>
      <c r="O404" s="70">
        <f>'RESUMEN TOTAL'!U446</f>
        <v>0</v>
      </c>
      <c r="P404" s="70" t="str">
        <f>'RESUMEN TOTAL'!V446</f>
        <v>APAGADO</v>
      </c>
      <c r="Q404" s="70">
        <f>'RESUMEN TOTAL'!W446</f>
        <v>0</v>
      </c>
      <c r="R404" s="70">
        <f>'RESUMEN TOTAL'!X446</f>
        <v>0</v>
      </c>
      <c r="S404" s="70">
        <f>'RESUMEN TOTAL'!Y446</f>
        <v>0</v>
      </c>
      <c r="T404" s="70">
        <f>'RESUMEN TOTAL'!Z446</f>
        <v>0</v>
      </c>
      <c r="U404" s="70">
        <f>'RESUMEN TOTAL'!AA446</f>
        <v>0</v>
      </c>
      <c r="V404" s="70">
        <f>'RESUMEN TOTAL'!AB446</f>
        <v>0</v>
      </c>
      <c r="W404" s="70">
        <f>'RESUMEN TOTAL'!AC446</f>
        <v>0</v>
      </c>
      <c r="X404" s="70">
        <f>'RESUMEN TOTAL'!AD446</f>
        <v>0</v>
      </c>
      <c r="Y404" s="70">
        <f>'RESUMEN TOTAL'!AE446</f>
        <v>0</v>
      </c>
      <c r="Z404" s="70">
        <f>'RESUMEN TOTAL'!AF446</f>
        <v>0</v>
      </c>
      <c r="AA404" s="70">
        <f>'RESUMEN TOTAL'!AG446</f>
        <v>0</v>
      </c>
      <c r="AB404" s="70">
        <f>'RESUMEN TOTAL'!AH446</f>
        <v>0</v>
      </c>
      <c r="AC404" s="70">
        <f>'RESUMEN TOTAL'!AI446</f>
        <v>0</v>
      </c>
      <c r="AD404" s="70">
        <f>'RESUMEN TOTAL'!AJ446</f>
        <v>0</v>
      </c>
      <c r="AE404" s="70">
        <f>'RESUMEN TOTAL'!AK446</f>
        <v>0</v>
      </c>
      <c r="AF404" s="70">
        <f>'RESUMEN TOTAL'!AL446</f>
        <v>0</v>
      </c>
      <c r="AG404" s="70">
        <f>'RESUMEN TOTAL'!AM446</f>
        <v>0</v>
      </c>
      <c r="AH404" s="70">
        <f>'RESUMEN TOTAL'!AN446</f>
        <v>0</v>
      </c>
      <c r="AI404" s="70">
        <f>'RESUMEN TOTAL'!AO446</f>
        <v>0</v>
      </c>
      <c r="AJ404" s="70">
        <f>'RESUMEN TOTAL'!AP446</f>
        <v>0</v>
      </c>
    </row>
    <row r="405" spans="1:36" x14ac:dyDescent="0.25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0">
        <f>'RESUMEN TOTAL'!L447</f>
        <v>0</v>
      </c>
      <c r="G405" s="70">
        <f>'RESUMEN TOTAL'!M447</f>
        <v>0</v>
      </c>
      <c r="H405" s="70">
        <f>'RESUMEN TOTAL'!N447</f>
        <v>0</v>
      </c>
      <c r="I405" s="70">
        <f>'RESUMEN TOTAL'!O447</f>
        <v>0</v>
      </c>
      <c r="J405" s="70">
        <f>'RESUMEN TOTAL'!P447</f>
        <v>0</v>
      </c>
      <c r="K405" s="70">
        <f>'RESUMEN TOTAL'!Q447</f>
        <v>0</v>
      </c>
      <c r="L405" s="70">
        <f>'RESUMEN TOTAL'!R447</f>
        <v>0</v>
      </c>
      <c r="M405" s="70">
        <f>'RESUMEN TOTAL'!S447</f>
        <v>0</v>
      </c>
      <c r="N405" s="70">
        <f>'RESUMEN TOTAL'!T447</f>
        <v>0</v>
      </c>
      <c r="O405" s="70">
        <f>'RESUMEN TOTAL'!U447</f>
        <v>0</v>
      </c>
      <c r="P405" s="70">
        <f>'RESUMEN TOTAL'!V447</f>
        <v>0</v>
      </c>
      <c r="Q405" s="70">
        <f>'RESUMEN TOTAL'!W447</f>
        <v>0</v>
      </c>
      <c r="R405" s="70">
        <f>'RESUMEN TOTAL'!X447</f>
        <v>0</v>
      </c>
      <c r="S405" s="70">
        <f>'RESUMEN TOTAL'!Y447</f>
        <v>0</v>
      </c>
      <c r="T405" s="70">
        <f>'RESUMEN TOTAL'!Z447</f>
        <v>0</v>
      </c>
      <c r="U405" s="70">
        <f>'RESUMEN TOTAL'!AA447</f>
        <v>0</v>
      </c>
      <c r="V405" s="70">
        <f>'RESUMEN TOTAL'!AB447</f>
        <v>0</v>
      </c>
      <c r="W405" s="70">
        <f>'RESUMEN TOTAL'!AC447</f>
        <v>0</v>
      </c>
      <c r="X405" s="70">
        <f>'RESUMEN TOTAL'!AD447</f>
        <v>0</v>
      </c>
      <c r="Y405" s="70">
        <f>'RESUMEN TOTAL'!AE447</f>
        <v>0</v>
      </c>
      <c r="Z405" s="70">
        <f>'RESUMEN TOTAL'!AF447</f>
        <v>0</v>
      </c>
      <c r="AA405" s="70">
        <f>'RESUMEN TOTAL'!AG447</f>
        <v>0</v>
      </c>
      <c r="AB405" s="70">
        <f>'RESUMEN TOTAL'!AH447</f>
        <v>0</v>
      </c>
      <c r="AC405" s="70">
        <f>'RESUMEN TOTAL'!AI447</f>
        <v>0</v>
      </c>
      <c r="AD405" s="70">
        <f>'RESUMEN TOTAL'!AJ447</f>
        <v>0</v>
      </c>
      <c r="AE405" s="70">
        <f>'RESUMEN TOTAL'!AK447</f>
        <v>0</v>
      </c>
      <c r="AF405" s="70">
        <f>'RESUMEN TOTAL'!AL447</f>
        <v>0</v>
      </c>
      <c r="AG405" s="70">
        <f>'RESUMEN TOTAL'!AM447</f>
        <v>0</v>
      </c>
      <c r="AH405" s="70">
        <f>'RESUMEN TOTAL'!AN447</f>
        <v>0</v>
      </c>
      <c r="AI405" s="70">
        <f>'RESUMEN TOTAL'!AO447</f>
        <v>0</v>
      </c>
      <c r="AJ405" s="70">
        <f>'RESUMEN TOTAL'!AP447</f>
        <v>0</v>
      </c>
    </row>
    <row r="406" spans="1:36" x14ac:dyDescent="0.25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0">
        <f>'RESUMEN TOTAL'!L448</f>
        <v>0</v>
      </c>
      <c r="G406" s="70">
        <f>'RESUMEN TOTAL'!M448</f>
        <v>0</v>
      </c>
      <c r="H406" s="70">
        <f>'RESUMEN TOTAL'!N448</f>
        <v>0</v>
      </c>
      <c r="I406" s="70">
        <f>'RESUMEN TOTAL'!O448</f>
        <v>0</v>
      </c>
      <c r="J406" s="70">
        <f>'RESUMEN TOTAL'!P448</f>
        <v>0</v>
      </c>
      <c r="K406" s="70">
        <f>'RESUMEN TOTAL'!Q448</f>
        <v>0</v>
      </c>
      <c r="L406" s="70">
        <f>'RESUMEN TOTAL'!R448</f>
        <v>0</v>
      </c>
      <c r="M406" s="70">
        <f>'RESUMEN TOTAL'!S448</f>
        <v>0</v>
      </c>
      <c r="N406" s="70">
        <f>'RESUMEN TOTAL'!T448</f>
        <v>0</v>
      </c>
      <c r="O406" s="70">
        <f>'RESUMEN TOTAL'!U448</f>
        <v>0</v>
      </c>
      <c r="P406" s="70">
        <f>'RESUMEN TOTAL'!V448</f>
        <v>0</v>
      </c>
      <c r="Q406" s="70">
        <f>'RESUMEN TOTAL'!W448</f>
        <v>0</v>
      </c>
      <c r="R406" s="70">
        <f>'RESUMEN TOTAL'!X448</f>
        <v>0</v>
      </c>
      <c r="S406" s="70">
        <f>'RESUMEN TOTAL'!Y448</f>
        <v>0</v>
      </c>
      <c r="T406" s="70">
        <f>'RESUMEN TOTAL'!Z448</f>
        <v>0</v>
      </c>
      <c r="U406" s="70">
        <f>'RESUMEN TOTAL'!AA448</f>
        <v>0</v>
      </c>
      <c r="V406" s="70">
        <f>'RESUMEN TOTAL'!AB448</f>
        <v>0</v>
      </c>
      <c r="W406" s="70">
        <f>'RESUMEN TOTAL'!AC448</f>
        <v>0</v>
      </c>
      <c r="X406" s="70">
        <f>'RESUMEN TOTAL'!AD448</f>
        <v>0</v>
      </c>
      <c r="Y406" s="70">
        <f>'RESUMEN TOTAL'!AE448</f>
        <v>0</v>
      </c>
      <c r="Z406" s="70">
        <f>'RESUMEN TOTAL'!AF448</f>
        <v>0</v>
      </c>
      <c r="AA406" s="70">
        <f>'RESUMEN TOTAL'!AG448</f>
        <v>0</v>
      </c>
      <c r="AB406" s="70">
        <f>'RESUMEN TOTAL'!AH448</f>
        <v>0</v>
      </c>
      <c r="AC406" s="70">
        <f>'RESUMEN TOTAL'!AI448</f>
        <v>0</v>
      </c>
      <c r="AD406" s="70">
        <f>'RESUMEN TOTAL'!AJ448</f>
        <v>0</v>
      </c>
      <c r="AE406" s="70">
        <f>'RESUMEN TOTAL'!AK448</f>
        <v>0</v>
      </c>
      <c r="AF406" s="70">
        <f>'RESUMEN TOTAL'!AL448</f>
        <v>0</v>
      </c>
      <c r="AG406" s="70">
        <f>'RESUMEN TOTAL'!AM448</f>
        <v>0</v>
      </c>
      <c r="AH406" s="70">
        <f>'RESUMEN TOTAL'!AN448</f>
        <v>0</v>
      </c>
      <c r="AI406" s="70">
        <f>'RESUMEN TOTAL'!AO448</f>
        <v>0</v>
      </c>
      <c r="AJ406" s="70">
        <f>'RESUMEN TOTAL'!AP448</f>
        <v>0</v>
      </c>
    </row>
    <row r="407" spans="1:36" x14ac:dyDescent="0.25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0">
        <f>'RESUMEN TOTAL'!L449</f>
        <v>0</v>
      </c>
      <c r="G407" s="70">
        <f>'RESUMEN TOTAL'!M449</f>
        <v>0</v>
      </c>
      <c r="H407" s="70">
        <f>'RESUMEN TOTAL'!N449</f>
        <v>0</v>
      </c>
      <c r="I407" s="70">
        <f>'RESUMEN TOTAL'!O449</f>
        <v>0</v>
      </c>
      <c r="J407" s="70">
        <f>'RESUMEN TOTAL'!P449</f>
        <v>0</v>
      </c>
      <c r="K407" s="70">
        <f>'RESUMEN TOTAL'!Q449</f>
        <v>0</v>
      </c>
      <c r="L407" s="70">
        <f>'RESUMEN TOTAL'!R449</f>
        <v>0</v>
      </c>
      <c r="M407" s="70">
        <f>'RESUMEN TOTAL'!S449</f>
        <v>0</v>
      </c>
      <c r="N407" s="70">
        <f>'RESUMEN TOTAL'!T449</f>
        <v>0</v>
      </c>
      <c r="O407" s="70">
        <f>'RESUMEN TOTAL'!U449</f>
        <v>0</v>
      </c>
      <c r="P407" s="70" t="str">
        <f>'RESUMEN TOTAL'!V449</f>
        <v>APAGADO</v>
      </c>
      <c r="Q407" s="70">
        <f>'RESUMEN TOTAL'!W449</f>
        <v>0</v>
      </c>
      <c r="R407" s="70">
        <f>'RESUMEN TOTAL'!X449</f>
        <v>0</v>
      </c>
      <c r="S407" s="70">
        <f>'RESUMEN TOTAL'!Y449</f>
        <v>0</v>
      </c>
      <c r="T407" s="70">
        <f>'RESUMEN TOTAL'!Z449</f>
        <v>0</v>
      </c>
      <c r="U407" s="70">
        <f>'RESUMEN TOTAL'!AA449</f>
        <v>0</v>
      </c>
      <c r="V407" s="70">
        <f>'RESUMEN TOTAL'!AB449</f>
        <v>0</v>
      </c>
      <c r="W407" s="70">
        <f>'RESUMEN TOTAL'!AC449</f>
        <v>0</v>
      </c>
      <c r="X407" s="70">
        <f>'RESUMEN TOTAL'!AD449</f>
        <v>0</v>
      </c>
      <c r="Y407" s="70">
        <f>'RESUMEN TOTAL'!AE449</f>
        <v>0</v>
      </c>
      <c r="Z407" s="70">
        <f>'RESUMEN TOTAL'!AF449</f>
        <v>0</v>
      </c>
      <c r="AA407" s="70">
        <f>'RESUMEN TOTAL'!AG449</f>
        <v>0</v>
      </c>
      <c r="AB407" s="70">
        <f>'RESUMEN TOTAL'!AH449</f>
        <v>0</v>
      </c>
      <c r="AC407" s="70">
        <f>'RESUMEN TOTAL'!AI449</f>
        <v>0</v>
      </c>
      <c r="AD407" s="70">
        <f>'RESUMEN TOTAL'!AJ449</f>
        <v>0</v>
      </c>
      <c r="AE407" s="70">
        <f>'RESUMEN TOTAL'!AK449</f>
        <v>0</v>
      </c>
      <c r="AF407" s="70">
        <f>'RESUMEN TOTAL'!AL449</f>
        <v>0</v>
      </c>
      <c r="AG407" s="70">
        <f>'RESUMEN TOTAL'!AM449</f>
        <v>0</v>
      </c>
      <c r="AH407" s="70">
        <f>'RESUMEN TOTAL'!AN449</f>
        <v>0</v>
      </c>
      <c r="AI407" s="70">
        <f>'RESUMEN TOTAL'!AO449</f>
        <v>0</v>
      </c>
      <c r="AJ407" s="70">
        <f>'RESUMEN TOTAL'!AP449</f>
        <v>0</v>
      </c>
    </row>
    <row r="408" spans="1:36" x14ac:dyDescent="0.25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0">
        <f>'RESUMEN TOTAL'!L450</f>
        <v>0</v>
      </c>
      <c r="G408" s="70">
        <f>'RESUMEN TOTAL'!M450</f>
        <v>0</v>
      </c>
      <c r="H408" s="70">
        <f>'RESUMEN TOTAL'!N450</f>
        <v>0</v>
      </c>
      <c r="I408" s="70">
        <f>'RESUMEN TOTAL'!O450</f>
        <v>0</v>
      </c>
      <c r="J408" s="70">
        <f>'RESUMEN TOTAL'!P450</f>
        <v>0</v>
      </c>
      <c r="K408" s="70">
        <f>'RESUMEN TOTAL'!Q450</f>
        <v>0</v>
      </c>
      <c r="L408" s="70">
        <f>'RESUMEN TOTAL'!R450</f>
        <v>0</v>
      </c>
      <c r="M408" s="70">
        <f>'RESUMEN TOTAL'!S450</f>
        <v>0</v>
      </c>
      <c r="N408" s="70">
        <f>'RESUMEN TOTAL'!T450</f>
        <v>0</v>
      </c>
      <c r="O408" s="70">
        <f>'RESUMEN TOTAL'!U450</f>
        <v>0</v>
      </c>
      <c r="P408" s="70">
        <f>'RESUMEN TOTAL'!V450</f>
        <v>0</v>
      </c>
      <c r="Q408" s="70">
        <f>'RESUMEN TOTAL'!W450</f>
        <v>0</v>
      </c>
      <c r="R408" s="70">
        <f>'RESUMEN TOTAL'!X450</f>
        <v>0</v>
      </c>
      <c r="S408" s="70">
        <f>'RESUMEN TOTAL'!Y450</f>
        <v>0</v>
      </c>
      <c r="T408" s="70">
        <f>'RESUMEN TOTAL'!Z450</f>
        <v>0</v>
      </c>
      <c r="U408" s="70">
        <f>'RESUMEN TOTAL'!AA450</f>
        <v>0</v>
      </c>
      <c r="V408" s="70">
        <f>'RESUMEN TOTAL'!AB450</f>
        <v>0</v>
      </c>
      <c r="W408" s="70">
        <f>'RESUMEN TOTAL'!AC450</f>
        <v>0</v>
      </c>
      <c r="X408" s="70">
        <f>'RESUMEN TOTAL'!AD450</f>
        <v>0</v>
      </c>
      <c r="Y408" s="70">
        <f>'RESUMEN TOTAL'!AE450</f>
        <v>0</v>
      </c>
      <c r="Z408" s="70">
        <f>'RESUMEN TOTAL'!AF450</f>
        <v>0</v>
      </c>
      <c r="AA408" s="70">
        <f>'RESUMEN TOTAL'!AG450</f>
        <v>0</v>
      </c>
      <c r="AB408" s="70">
        <f>'RESUMEN TOTAL'!AH450</f>
        <v>0</v>
      </c>
      <c r="AC408" s="70">
        <f>'RESUMEN TOTAL'!AI450</f>
        <v>0</v>
      </c>
      <c r="AD408" s="70">
        <f>'RESUMEN TOTAL'!AJ450</f>
        <v>0</v>
      </c>
      <c r="AE408" s="70">
        <f>'RESUMEN TOTAL'!AK450</f>
        <v>0</v>
      </c>
      <c r="AF408" s="70">
        <f>'RESUMEN TOTAL'!AL450</f>
        <v>0</v>
      </c>
      <c r="AG408" s="70">
        <f>'RESUMEN TOTAL'!AM450</f>
        <v>0</v>
      </c>
      <c r="AH408" s="70">
        <f>'RESUMEN TOTAL'!AN450</f>
        <v>0</v>
      </c>
      <c r="AI408" s="70">
        <f>'RESUMEN TOTAL'!AO450</f>
        <v>0</v>
      </c>
      <c r="AJ408" s="70">
        <f>'RESUMEN TOTAL'!AP450</f>
        <v>0</v>
      </c>
    </row>
    <row r="409" spans="1:36" x14ac:dyDescent="0.25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0">
        <f>'RESUMEN TOTAL'!L451</f>
        <v>0</v>
      </c>
      <c r="G409" s="70">
        <f>'RESUMEN TOTAL'!M451</f>
        <v>0</v>
      </c>
      <c r="H409" s="70">
        <f>'RESUMEN TOTAL'!N451</f>
        <v>0</v>
      </c>
      <c r="I409" s="70">
        <f>'RESUMEN TOTAL'!O451</f>
        <v>0</v>
      </c>
      <c r="J409" s="70">
        <f>'RESUMEN TOTAL'!P451</f>
        <v>0</v>
      </c>
      <c r="K409" s="70">
        <f>'RESUMEN TOTAL'!Q451</f>
        <v>0</v>
      </c>
      <c r="L409" s="70">
        <f>'RESUMEN TOTAL'!R451</f>
        <v>0</v>
      </c>
      <c r="M409" s="70">
        <f>'RESUMEN TOTAL'!S451</f>
        <v>0</v>
      </c>
      <c r="N409" s="70">
        <f>'RESUMEN TOTAL'!T451</f>
        <v>0</v>
      </c>
      <c r="O409" s="70">
        <f>'RESUMEN TOTAL'!U451</f>
        <v>0</v>
      </c>
      <c r="P409" s="70">
        <f>'RESUMEN TOTAL'!V451</f>
        <v>0</v>
      </c>
      <c r="Q409" s="70">
        <f>'RESUMEN TOTAL'!W451</f>
        <v>0</v>
      </c>
      <c r="R409" s="70">
        <f>'RESUMEN TOTAL'!X451</f>
        <v>0</v>
      </c>
      <c r="S409" s="70">
        <f>'RESUMEN TOTAL'!Y451</f>
        <v>0</v>
      </c>
      <c r="T409" s="70">
        <f>'RESUMEN TOTAL'!Z451</f>
        <v>0</v>
      </c>
      <c r="U409" s="70">
        <f>'RESUMEN TOTAL'!AA451</f>
        <v>0</v>
      </c>
      <c r="V409" s="70">
        <f>'RESUMEN TOTAL'!AB451</f>
        <v>0</v>
      </c>
      <c r="W409" s="70">
        <f>'RESUMEN TOTAL'!AC451</f>
        <v>0</v>
      </c>
      <c r="X409" s="70">
        <f>'RESUMEN TOTAL'!AD451</f>
        <v>0</v>
      </c>
      <c r="Y409" s="70">
        <f>'RESUMEN TOTAL'!AE451</f>
        <v>0</v>
      </c>
      <c r="Z409" s="70">
        <f>'RESUMEN TOTAL'!AF451</f>
        <v>0</v>
      </c>
      <c r="AA409" s="70">
        <f>'RESUMEN TOTAL'!AG451</f>
        <v>0</v>
      </c>
      <c r="AB409" s="70">
        <f>'RESUMEN TOTAL'!AH451</f>
        <v>0</v>
      </c>
      <c r="AC409" s="70">
        <f>'RESUMEN TOTAL'!AI451</f>
        <v>0</v>
      </c>
      <c r="AD409" s="70">
        <f>'RESUMEN TOTAL'!AJ451</f>
        <v>0</v>
      </c>
      <c r="AE409" s="70">
        <f>'RESUMEN TOTAL'!AK451</f>
        <v>0</v>
      </c>
      <c r="AF409" s="70">
        <f>'RESUMEN TOTAL'!AL451</f>
        <v>0</v>
      </c>
      <c r="AG409" s="70">
        <f>'RESUMEN TOTAL'!AM451</f>
        <v>0</v>
      </c>
      <c r="AH409" s="70">
        <f>'RESUMEN TOTAL'!AN451</f>
        <v>0</v>
      </c>
      <c r="AI409" s="70">
        <f>'RESUMEN TOTAL'!AO451</f>
        <v>0</v>
      </c>
      <c r="AJ409" s="70">
        <f>'RESUMEN TOTAL'!AP451</f>
        <v>0</v>
      </c>
    </row>
    <row r="410" spans="1:36" x14ac:dyDescent="0.25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0">
        <f>'RESUMEN TOTAL'!L452</f>
        <v>0</v>
      </c>
      <c r="G410" s="70">
        <f>'RESUMEN TOTAL'!M452</f>
        <v>0</v>
      </c>
      <c r="H410" s="70">
        <f>'RESUMEN TOTAL'!N452</f>
        <v>0</v>
      </c>
      <c r="I410" s="70">
        <f>'RESUMEN TOTAL'!O452</f>
        <v>0</v>
      </c>
      <c r="J410" s="70">
        <f>'RESUMEN TOTAL'!P452</f>
        <v>0</v>
      </c>
      <c r="K410" s="70">
        <f>'RESUMEN TOTAL'!Q452</f>
        <v>0</v>
      </c>
      <c r="L410" s="70">
        <f>'RESUMEN TOTAL'!R452</f>
        <v>0</v>
      </c>
      <c r="M410" s="70">
        <f>'RESUMEN TOTAL'!S452</f>
        <v>0</v>
      </c>
      <c r="N410" s="70">
        <f>'RESUMEN TOTAL'!T452</f>
        <v>0</v>
      </c>
      <c r="O410" s="70">
        <f>'RESUMEN TOTAL'!U452</f>
        <v>0</v>
      </c>
      <c r="P410" s="70">
        <f>'RESUMEN TOTAL'!V452</f>
        <v>0</v>
      </c>
      <c r="Q410" s="70">
        <f>'RESUMEN TOTAL'!W452</f>
        <v>0</v>
      </c>
      <c r="R410" s="70">
        <f>'RESUMEN TOTAL'!X452</f>
        <v>0</v>
      </c>
      <c r="S410" s="70">
        <f>'RESUMEN TOTAL'!Y452</f>
        <v>0</v>
      </c>
      <c r="T410" s="70">
        <f>'RESUMEN TOTAL'!Z452</f>
        <v>0</v>
      </c>
      <c r="U410" s="70">
        <f>'RESUMEN TOTAL'!AA452</f>
        <v>0</v>
      </c>
      <c r="V410" s="70">
        <f>'RESUMEN TOTAL'!AB452</f>
        <v>0</v>
      </c>
      <c r="W410" s="70">
        <f>'RESUMEN TOTAL'!AC452</f>
        <v>0</v>
      </c>
      <c r="X410" s="70">
        <f>'RESUMEN TOTAL'!AD452</f>
        <v>0</v>
      </c>
      <c r="Y410" s="70">
        <f>'RESUMEN TOTAL'!AE452</f>
        <v>0</v>
      </c>
      <c r="Z410" s="70">
        <f>'RESUMEN TOTAL'!AF452</f>
        <v>0</v>
      </c>
      <c r="AA410" s="70">
        <f>'RESUMEN TOTAL'!AG452</f>
        <v>0</v>
      </c>
      <c r="AB410" s="70">
        <f>'RESUMEN TOTAL'!AH452</f>
        <v>0</v>
      </c>
      <c r="AC410" s="70">
        <f>'RESUMEN TOTAL'!AI452</f>
        <v>0</v>
      </c>
      <c r="AD410" s="70">
        <f>'RESUMEN TOTAL'!AJ452</f>
        <v>0</v>
      </c>
      <c r="AE410" s="70">
        <f>'RESUMEN TOTAL'!AK452</f>
        <v>0</v>
      </c>
      <c r="AF410" s="70">
        <f>'RESUMEN TOTAL'!AL452</f>
        <v>0</v>
      </c>
      <c r="AG410" s="70">
        <f>'RESUMEN TOTAL'!AM452</f>
        <v>0</v>
      </c>
      <c r="AH410" s="70">
        <f>'RESUMEN TOTAL'!AN452</f>
        <v>0</v>
      </c>
      <c r="AI410" s="70">
        <f>'RESUMEN TOTAL'!AO452</f>
        <v>0</v>
      </c>
      <c r="AJ410" s="70">
        <f>'RESUMEN TOTAL'!AP452</f>
        <v>0</v>
      </c>
    </row>
    <row r="411" spans="1:36" x14ac:dyDescent="0.25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0">
        <f>'RESUMEN TOTAL'!L453</f>
        <v>0</v>
      </c>
      <c r="G411" s="70">
        <f>'RESUMEN TOTAL'!M453</f>
        <v>0</v>
      </c>
      <c r="H411" s="70">
        <f>'RESUMEN TOTAL'!N453</f>
        <v>0</v>
      </c>
      <c r="I411" s="70">
        <f>'RESUMEN TOTAL'!O453</f>
        <v>0</v>
      </c>
      <c r="J411" s="70">
        <f>'RESUMEN TOTAL'!P453</f>
        <v>0</v>
      </c>
      <c r="K411" s="70">
        <f>'RESUMEN TOTAL'!Q453</f>
        <v>0</v>
      </c>
      <c r="L411" s="70">
        <f>'RESUMEN TOTAL'!R453</f>
        <v>0</v>
      </c>
      <c r="M411" s="70">
        <f>'RESUMEN TOTAL'!S453</f>
        <v>0</v>
      </c>
      <c r="N411" s="70">
        <f>'RESUMEN TOTAL'!T453</f>
        <v>0</v>
      </c>
      <c r="O411" s="70">
        <f>'RESUMEN TOTAL'!U453</f>
        <v>0</v>
      </c>
      <c r="P411" s="70">
        <f>'RESUMEN TOTAL'!V453</f>
        <v>0</v>
      </c>
      <c r="Q411" s="70">
        <f>'RESUMEN TOTAL'!W453</f>
        <v>0</v>
      </c>
      <c r="R411" s="70">
        <f>'RESUMEN TOTAL'!X453</f>
        <v>0</v>
      </c>
      <c r="S411" s="70">
        <f>'RESUMEN TOTAL'!Y453</f>
        <v>0</v>
      </c>
      <c r="T411" s="70">
        <f>'RESUMEN TOTAL'!Z453</f>
        <v>0</v>
      </c>
      <c r="U411" s="70">
        <f>'RESUMEN TOTAL'!AA453</f>
        <v>0</v>
      </c>
      <c r="V411" s="70">
        <f>'RESUMEN TOTAL'!AB453</f>
        <v>0</v>
      </c>
      <c r="W411" s="70">
        <f>'RESUMEN TOTAL'!AC453</f>
        <v>0</v>
      </c>
      <c r="X411" s="70">
        <f>'RESUMEN TOTAL'!AD453</f>
        <v>0</v>
      </c>
      <c r="Y411" s="70">
        <f>'RESUMEN TOTAL'!AE453</f>
        <v>0</v>
      </c>
      <c r="Z411" s="70">
        <f>'RESUMEN TOTAL'!AF453</f>
        <v>0</v>
      </c>
      <c r="AA411" s="70">
        <f>'RESUMEN TOTAL'!AG453</f>
        <v>0</v>
      </c>
      <c r="AB411" s="70">
        <f>'RESUMEN TOTAL'!AH453</f>
        <v>0</v>
      </c>
      <c r="AC411" s="70">
        <f>'RESUMEN TOTAL'!AI453</f>
        <v>0</v>
      </c>
      <c r="AD411" s="70">
        <f>'RESUMEN TOTAL'!AJ453</f>
        <v>0</v>
      </c>
      <c r="AE411" s="70">
        <f>'RESUMEN TOTAL'!AK453</f>
        <v>0</v>
      </c>
      <c r="AF411" s="70">
        <f>'RESUMEN TOTAL'!AL453</f>
        <v>0</v>
      </c>
      <c r="AG411" s="70">
        <f>'RESUMEN TOTAL'!AM453</f>
        <v>0</v>
      </c>
      <c r="AH411" s="70">
        <f>'RESUMEN TOTAL'!AN453</f>
        <v>0</v>
      </c>
      <c r="AI411" s="70">
        <f>'RESUMEN TOTAL'!AO453</f>
        <v>0</v>
      </c>
      <c r="AJ411" s="70">
        <f>'RESUMEN TOTAL'!AP453</f>
        <v>0</v>
      </c>
    </row>
    <row r="412" spans="1:36" x14ac:dyDescent="0.25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0">
        <f>'RESUMEN TOTAL'!L454</f>
        <v>0</v>
      </c>
      <c r="G412" s="70">
        <f>'RESUMEN TOTAL'!M454</f>
        <v>0</v>
      </c>
      <c r="H412" s="70">
        <f>'RESUMEN TOTAL'!N454</f>
        <v>0</v>
      </c>
      <c r="I412" s="70">
        <f>'RESUMEN TOTAL'!O454</f>
        <v>0</v>
      </c>
      <c r="J412" s="70">
        <f>'RESUMEN TOTAL'!P454</f>
        <v>0</v>
      </c>
      <c r="K412" s="70">
        <f>'RESUMEN TOTAL'!Q454</f>
        <v>0</v>
      </c>
      <c r="L412" s="70">
        <f>'RESUMEN TOTAL'!R454</f>
        <v>0</v>
      </c>
      <c r="M412" s="70">
        <f>'RESUMEN TOTAL'!S454</f>
        <v>0</v>
      </c>
      <c r="N412" s="70">
        <f>'RESUMEN TOTAL'!T454</f>
        <v>0</v>
      </c>
      <c r="O412" s="70">
        <f>'RESUMEN TOTAL'!U454</f>
        <v>0</v>
      </c>
      <c r="P412" s="70">
        <f>'RESUMEN TOTAL'!V454</f>
        <v>0</v>
      </c>
      <c r="Q412" s="70">
        <f>'RESUMEN TOTAL'!W454</f>
        <v>0</v>
      </c>
      <c r="R412" s="70">
        <f>'RESUMEN TOTAL'!X454</f>
        <v>0</v>
      </c>
      <c r="S412" s="70">
        <f>'RESUMEN TOTAL'!Y454</f>
        <v>0</v>
      </c>
      <c r="T412" s="70">
        <f>'RESUMEN TOTAL'!Z454</f>
        <v>0</v>
      </c>
      <c r="U412" s="70">
        <f>'RESUMEN TOTAL'!AA454</f>
        <v>0</v>
      </c>
      <c r="V412" s="70">
        <f>'RESUMEN TOTAL'!AB454</f>
        <v>0</v>
      </c>
      <c r="W412" s="70">
        <f>'RESUMEN TOTAL'!AC454</f>
        <v>0</v>
      </c>
      <c r="X412" s="70">
        <f>'RESUMEN TOTAL'!AD454</f>
        <v>0</v>
      </c>
      <c r="Y412" s="70">
        <f>'RESUMEN TOTAL'!AE454</f>
        <v>0</v>
      </c>
      <c r="Z412" s="70">
        <f>'RESUMEN TOTAL'!AF454</f>
        <v>0</v>
      </c>
      <c r="AA412" s="70">
        <f>'RESUMEN TOTAL'!AG454</f>
        <v>0</v>
      </c>
      <c r="AB412" s="70">
        <f>'RESUMEN TOTAL'!AH454</f>
        <v>0</v>
      </c>
      <c r="AC412" s="70">
        <f>'RESUMEN TOTAL'!AI454</f>
        <v>0</v>
      </c>
      <c r="AD412" s="70">
        <f>'RESUMEN TOTAL'!AJ454</f>
        <v>0</v>
      </c>
      <c r="AE412" s="70">
        <f>'RESUMEN TOTAL'!AK454</f>
        <v>0</v>
      </c>
      <c r="AF412" s="70">
        <f>'RESUMEN TOTAL'!AL454</f>
        <v>0</v>
      </c>
      <c r="AG412" s="70">
        <f>'RESUMEN TOTAL'!AM454</f>
        <v>0</v>
      </c>
      <c r="AH412" s="70">
        <f>'RESUMEN TOTAL'!AN454</f>
        <v>0</v>
      </c>
      <c r="AI412" s="70">
        <f>'RESUMEN TOTAL'!AO454</f>
        <v>0</v>
      </c>
      <c r="AJ412" s="70">
        <f>'RESUMEN TOTAL'!AP454</f>
        <v>0</v>
      </c>
    </row>
    <row r="413" spans="1:36" x14ac:dyDescent="0.25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0">
        <f>'RESUMEN TOTAL'!L455</f>
        <v>0</v>
      </c>
      <c r="G413" s="70">
        <f>'RESUMEN TOTAL'!M455</f>
        <v>0</v>
      </c>
      <c r="H413" s="70">
        <f>'RESUMEN TOTAL'!N455</f>
        <v>0</v>
      </c>
      <c r="I413" s="70">
        <f>'RESUMEN TOTAL'!O455</f>
        <v>0</v>
      </c>
      <c r="J413" s="70">
        <f>'RESUMEN TOTAL'!P455</f>
        <v>0</v>
      </c>
      <c r="K413" s="70">
        <f>'RESUMEN TOTAL'!Q455</f>
        <v>0</v>
      </c>
      <c r="L413" s="70">
        <f>'RESUMEN TOTAL'!R455</f>
        <v>0</v>
      </c>
      <c r="M413" s="70">
        <f>'RESUMEN TOTAL'!S455</f>
        <v>0</v>
      </c>
      <c r="N413" s="70">
        <f>'RESUMEN TOTAL'!T455</f>
        <v>0</v>
      </c>
      <c r="O413" s="70">
        <f>'RESUMEN TOTAL'!U455</f>
        <v>0</v>
      </c>
      <c r="P413" s="70">
        <f>'RESUMEN TOTAL'!V455</f>
        <v>0</v>
      </c>
      <c r="Q413" s="70">
        <f>'RESUMEN TOTAL'!W455</f>
        <v>0</v>
      </c>
      <c r="R413" s="70">
        <f>'RESUMEN TOTAL'!X455</f>
        <v>0</v>
      </c>
      <c r="S413" s="70">
        <f>'RESUMEN TOTAL'!Y455</f>
        <v>0</v>
      </c>
      <c r="T413" s="70">
        <f>'RESUMEN TOTAL'!Z455</f>
        <v>0</v>
      </c>
      <c r="U413" s="70">
        <f>'RESUMEN TOTAL'!AA455</f>
        <v>0</v>
      </c>
      <c r="V413" s="70">
        <f>'RESUMEN TOTAL'!AB455</f>
        <v>0</v>
      </c>
      <c r="W413" s="70">
        <f>'RESUMEN TOTAL'!AC455</f>
        <v>0</v>
      </c>
      <c r="X413" s="70">
        <f>'RESUMEN TOTAL'!AD455</f>
        <v>0</v>
      </c>
      <c r="Y413" s="70">
        <f>'RESUMEN TOTAL'!AE455</f>
        <v>0</v>
      </c>
      <c r="Z413" s="70">
        <f>'RESUMEN TOTAL'!AF455</f>
        <v>0</v>
      </c>
      <c r="AA413" s="70">
        <f>'RESUMEN TOTAL'!AG455</f>
        <v>0</v>
      </c>
      <c r="AB413" s="70">
        <f>'RESUMEN TOTAL'!AH455</f>
        <v>0</v>
      </c>
      <c r="AC413" s="70">
        <f>'RESUMEN TOTAL'!AI455</f>
        <v>0</v>
      </c>
      <c r="AD413" s="70">
        <f>'RESUMEN TOTAL'!AJ455</f>
        <v>0</v>
      </c>
      <c r="AE413" s="70">
        <f>'RESUMEN TOTAL'!AK455</f>
        <v>0</v>
      </c>
      <c r="AF413" s="70">
        <f>'RESUMEN TOTAL'!AL455</f>
        <v>0</v>
      </c>
      <c r="AG413" s="70">
        <f>'RESUMEN TOTAL'!AM455</f>
        <v>0</v>
      </c>
      <c r="AH413" s="70">
        <f>'RESUMEN TOTAL'!AN455</f>
        <v>0</v>
      </c>
      <c r="AI413" s="70">
        <f>'RESUMEN TOTAL'!AO455</f>
        <v>0</v>
      </c>
      <c r="AJ413" s="70">
        <f>'RESUMEN TOTAL'!AP455</f>
        <v>0</v>
      </c>
    </row>
    <row r="414" spans="1:36" x14ac:dyDescent="0.25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0">
        <f>'RESUMEN TOTAL'!L456</f>
        <v>0</v>
      </c>
      <c r="G414" s="70">
        <f>'RESUMEN TOTAL'!M456</f>
        <v>0</v>
      </c>
      <c r="H414" s="70">
        <f>'RESUMEN TOTAL'!N456</f>
        <v>0</v>
      </c>
      <c r="I414" s="70">
        <f>'RESUMEN TOTAL'!O456</f>
        <v>0</v>
      </c>
      <c r="J414" s="70">
        <f>'RESUMEN TOTAL'!P456</f>
        <v>0</v>
      </c>
      <c r="K414" s="70">
        <f>'RESUMEN TOTAL'!Q456</f>
        <v>0</v>
      </c>
      <c r="L414" s="70">
        <f>'RESUMEN TOTAL'!R456</f>
        <v>0</v>
      </c>
      <c r="M414" s="70">
        <f>'RESUMEN TOTAL'!S456</f>
        <v>0</v>
      </c>
      <c r="N414" s="70">
        <f>'RESUMEN TOTAL'!T456</f>
        <v>0</v>
      </c>
      <c r="O414" s="70">
        <f>'RESUMEN TOTAL'!U456</f>
        <v>0</v>
      </c>
      <c r="P414" s="70">
        <f>'RESUMEN TOTAL'!V456</f>
        <v>0</v>
      </c>
      <c r="Q414" s="70">
        <f>'RESUMEN TOTAL'!W456</f>
        <v>0</v>
      </c>
      <c r="R414" s="70">
        <f>'RESUMEN TOTAL'!X456</f>
        <v>0</v>
      </c>
      <c r="S414" s="70">
        <f>'RESUMEN TOTAL'!Y456</f>
        <v>0</v>
      </c>
      <c r="T414" s="70">
        <f>'RESUMEN TOTAL'!Z456</f>
        <v>0</v>
      </c>
      <c r="U414" s="70">
        <f>'RESUMEN TOTAL'!AA456</f>
        <v>0</v>
      </c>
      <c r="V414" s="70">
        <f>'RESUMEN TOTAL'!AB456</f>
        <v>0</v>
      </c>
      <c r="W414" s="70">
        <f>'RESUMEN TOTAL'!AC456</f>
        <v>0</v>
      </c>
      <c r="X414" s="70">
        <f>'RESUMEN TOTAL'!AD456</f>
        <v>0</v>
      </c>
      <c r="Y414" s="70">
        <f>'RESUMEN TOTAL'!AE456</f>
        <v>0</v>
      </c>
      <c r="Z414" s="70">
        <f>'RESUMEN TOTAL'!AF456</f>
        <v>0</v>
      </c>
      <c r="AA414" s="70">
        <f>'RESUMEN TOTAL'!AG456</f>
        <v>0</v>
      </c>
      <c r="AB414" s="70">
        <f>'RESUMEN TOTAL'!AH456</f>
        <v>0</v>
      </c>
      <c r="AC414" s="70">
        <f>'RESUMEN TOTAL'!AI456</f>
        <v>0</v>
      </c>
      <c r="AD414" s="70">
        <f>'RESUMEN TOTAL'!AJ456</f>
        <v>0</v>
      </c>
      <c r="AE414" s="70">
        <f>'RESUMEN TOTAL'!AK456</f>
        <v>0</v>
      </c>
      <c r="AF414" s="70">
        <f>'RESUMEN TOTAL'!AL456</f>
        <v>0</v>
      </c>
      <c r="AG414" s="70">
        <f>'RESUMEN TOTAL'!AM456</f>
        <v>0</v>
      </c>
      <c r="AH414" s="70">
        <f>'RESUMEN TOTAL'!AN456</f>
        <v>0</v>
      </c>
      <c r="AI414" s="70">
        <f>'RESUMEN TOTAL'!AO456</f>
        <v>0</v>
      </c>
      <c r="AJ414" s="70">
        <f>'RESUMEN TOTAL'!AP456</f>
        <v>0</v>
      </c>
    </row>
    <row r="415" spans="1:36" x14ac:dyDescent="0.25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0">
        <f>'RESUMEN TOTAL'!L457</f>
        <v>0</v>
      </c>
      <c r="G415" s="70">
        <f>'RESUMEN TOTAL'!M457</f>
        <v>0</v>
      </c>
      <c r="H415" s="70">
        <f>'RESUMEN TOTAL'!N457</f>
        <v>0</v>
      </c>
      <c r="I415" s="70">
        <f>'RESUMEN TOTAL'!O457</f>
        <v>0</v>
      </c>
      <c r="J415" s="70">
        <f>'RESUMEN TOTAL'!P457</f>
        <v>0</v>
      </c>
      <c r="K415" s="70">
        <f>'RESUMEN TOTAL'!Q457</f>
        <v>0</v>
      </c>
      <c r="L415" s="70">
        <f>'RESUMEN TOTAL'!R457</f>
        <v>0</v>
      </c>
      <c r="M415" s="70">
        <f>'RESUMEN TOTAL'!S457</f>
        <v>0</v>
      </c>
      <c r="N415" s="70">
        <f>'RESUMEN TOTAL'!T457</f>
        <v>0</v>
      </c>
      <c r="O415" s="70">
        <f>'RESUMEN TOTAL'!U457</f>
        <v>0</v>
      </c>
      <c r="P415" s="70" t="str">
        <f>'RESUMEN TOTAL'!V457</f>
        <v>APAGADO</v>
      </c>
      <c r="Q415" s="70">
        <f>'RESUMEN TOTAL'!W457</f>
        <v>0</v>
      </c>
      <c r="R415" s="70">
        <f>'RESUMEN TOTAL'!X457</f>
        <v>0</v>
      </c>
      <c r="S415" s="70">
        <f>'RESUMEN TOTAL'!Y457</f>
        <v>0</v>
      </c>
      <c r="T415" s="70">
        <f>'RESUMEN TOTAL'!Z457</f>
        <v>0</v>
      </c>
      <c r="U415" s="70">
        <f>'RESUMEN TOTAL'!AA457</f>
        <v>0</v>
      </c>
      <c r="V415" s="70">
        <f>'RESUMEN TOTAL'!AB457</f>
        <v>0</v>
      </c>
      <c r="W415" s="70">
        <f>'RESUMEN TOTAL'!AC457</f>
        <v>0</v>
      </c>
      <c r="X415" s="70">
        <f>'RESUMEN TOTAL'!AD457</f>
        <v>0</v>
      </c>
      <c r="Y415" s="70">
        <f>'RESUMEN TOTAL'!AE457</f>
        <v>0</v>
      </c>
      <c r="Z415" s="70">
        <f>'RESUMEN TOTAL'!AF457</f>
        <v>0</v>
      </c>
      <c r="AA415" s="70">
        <f>'RESUMEN TOTAL'!AG457</f>
        <v>0</v>
      </c>
      <c r="AB415" s="70">
        <f>'RESUMEN TOTAL'!AH457</f>
        <v>0</v>
      </c>
      <c r="AC415" s="70">
        <f>'RESUMEN TOTAL'!AI457</f>
        <v>0</v>
      </c>
      <c r="AD415" s="70">
        <f>'RESUMEN TOTAL'!AJ457</f>
        <v>0</v>
      </c>
      <c r="AE415" s="70">
        <f>'RESUMEN TOTAL'!AK457</f>
        <v>0</v>
      </c>
      <c r="AF415" s="70">
        <f>'RESUMEN TOTAL'!AL457</f>
        <v>0</v>
      </c>
      <c r="AG415" s="70">
        <f>'RESUMEN TOTAL'!AM457</f>
        <v>0</v>
      </c>
      <c r="AH415" s="70">
        <f>'RESUMEN TOTAL'!AN457</f>
        <v>0</v>
      </c>
      <c r="AI415" s="70">
        <f>'RESUMEN TOTAL'!AO457</f>
        <v>0</v>
      </c>
      <c r="AJ415" s="70">
        <f>'RESUMEN TOTAL'!AP457</f>
        <v>0</v>
      </c>
    </row>
    <row r="416" spans="1:36" x14ac:dyDescent="0.25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0">
        <f>'RESUMEN TOTAL'!L458</f>
        <v>0</v>
      </c>
      <c r="G416" s="70">
        <f>'RESUMEN TOTAL'!M458</f>
        <v>0</v>
      </c>
      <c r="H416" s="70">
        <f>'RESUMEN TOTAL'!N458</f>
        <v>0</v>
      </c>
      <c r="I416" s="70">
        <f>'RESUMEN TOTAL'!O458</f>
        <v>0</v>
      </c>
      <c r="J416" s="70">
        <f>'RESUMEN TOTAL'!P458</f>
        <v>0</v>
      </c>
      <c r="K416" s="70">
        <f>'RESUMEN TOTAL'!Q458</f>
        <v>0</v>
      </c>
      <c r="L416" s="70">
        <f>'RESUMEN TOTAL'!R458</f>
        <v>0</v>
      </c>
      <c r="M416" s="70">
        <f>'RESUMEN TOTAL'!S458</f>
        <v>0</v>
      </c>
      <c r="N416" s="70">
        <f>'RESUMEN TOTAL'!T458</f>
        <v>0</v>
      </c>
      <c r="O416" s="70">
        <f>'RESUMEN TOTAL'!U458</f>
        <v>0</v>
      </c>
      <c r="P416" s="70" t="str">
        <f>'RESUMEN TOTAL'!V458</f>
        <v>APAGADO</v>
      </c>
      <c r="Q416" s="70">
        <f>'RESUMEN TOTAL'!W458</f>
        <v>0</v>
      </c>
      <c r="R416" s="70">
        <f>'RESUMEN TOTAL'!X458</f>
        <v>0</v>
      </c>
      <c r="S416" s="70">
        <f>'RESUMEN TOTAL'!Y458</f>
        <v>0</v>
      </c>
      <c r="T416" s="70">
        <f>'RESUMEN TOTAL'!Z458</f>
        <v>0</v>
      </c>
      <c r="U416" s="70">
        <f>'RESUMEN TOTAL'!AA458</f>
        <v>0</v>
      </c>
      <c r="V416" s="70">
        <f>'RESUMEN TOTAL'!AB458</f>
        <v>0</v>
      </c>
      <c r="W416" s="70">
        <f>'RESUMEN TOTAL'!AC458</f>
        <v>0</v>
      </c>
      <c r="X416" s="70">
        <f>'RESUMEN TOTAL'!AD458</f>
        <v>0</v>
      </c>
      <c r="Y416" s="70">
        <f>'RESUMEN TOTAL'!AE458</f>
        <v>0</v>
      </c>
      <c r="Z416" s="70">
        <f>'RESUMEN TOTAL'!AF458</f>
        <v>0</v>
      </c>
      <c r="AA416" s="70">
        <f>'RESUMEN TOTAL'!AG458</f>
        <v>0</v>
      </c>
      <c r="AB416" s="70">
        <f>'RESUMEN TOTAL'!AH458</f>
        <v>0</v>
      </c>
      <c r="AC416" s="70">
        <f>'RESUMEN TOTAL'!AI458</f>
        <v>0</v>
      </c>
      <c r="AD416" s="70">
        <f>'RESUMEN TOTAL'!AJ458</f>
        <v>0</v>
      </c>
      <c r="AE416" s="70">
        <f>'RESUMEN TOTAL'!AK458</f>
        <v>0</v>
      </c>
      <c r="AF416" s="70">
        <f>'RESUMEN TOTAL'!AL458</f>
        <v>0</v>
      </c>
      <c r="AG416" s="70">
        <f>'RESUMEN TOTAL'!AM458</f>
        <v>0</v>
      </c>
      <c r="AH416" s="70">
        <f>'RESUMEN TOTAL'!AN458</f>
        <v>0</v>
      </c>
      <c r="AI416" s="70">
        <f>'RESUMEN TOTAL'!AO458</f>
        <v>0</v>
      </c>
      <c r="AJ416" s="70">
        <f>'RESUMEN TOTAL'!AP458</f>
        <v>0</v>
      </c>
    </row>
    <row r="417" spans="1:36" x14ac:dyDescent="0.25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0">
        <f>'RESUMEN TOTAL'!L459</f>
        <v>0</v>
      </c>
      <c r="G417" s="70">
        <f>'RESUMEN TOTAL'!M459</f>
        <v>0</v>
      </c>
      <c r="H417" s="70">
        <f>'RESUMEN TOTAL'!N459</f>
        <v>0</v>
      </c>
      <c r="I417" s="70">
        <f>'RESUMEN TOTAL'!O459</f>
        <v>0</v>
      </c>
      <c r="J417" s="70">
        <f>'RESUMEN TOTAL'!P459</f>
        <v>0</v>
      </c>
      <c r="K417" s="70">
        <f>'RESUMEN TOTAL'!Q459</f>
        <v>0</v>
      </c>
      <c r="L417" s="70">
        <f>'RESUMEN TOTAL'!R459</f>
        <v>0</v>
      </c>
      <c r="M417" s="70">
        <f>'RESUMEN TOTAL'!S459</f>
        <v>0</v>
      </c>
      <c r="N417" s="70">
        <f>'RESUMEN TOTAL'!T459</f>
        <v>0</v>
      </c>
      <c r="O417" s="70">
        <f>'RESUMEN TOTAL'!U459</f>
        <v>0</v>
      </c>
      <c r="P417" s="70">
        <f>'RESUMEN TOTAL'!V459</f>
        <v>0</v>
      </c>
      <c r="Q417" s="70">
        <f>'RESUMEN TOTAL'!W459</f>
        <v>0</v>
      </c>
      <c r="R417" s="70">
        <f>'RESUMEN TOTAL'!X459</f>
        <v>0</v>
      </c>
      <c r="S417" s="70">
        <f>'RESUMEN TOTAL'!Y459</f>
        <v>0</v>
      </c>
      <c r="T417" s="70">
        <f>'RESUMEN TOTAL'!Z459</f>
        <v>0</v>
      </c>
      <c r="U417" s="70">
        <f>'RESUMEN TOTAL'!AA459</f>
        <v>0</v>
      </c>
      <c r="V417" s="70">
        <f>'RESUMEN TOTAL'!AB459</f>
        <v>0</v>
      </c>
      <c r="W417" s="70">
        <f>'RESUMEN TOTAL'!AC459</f>
        <v>0</v>
      </c>
      <c r="X417" s="70">
        <f>'RESUMEN TOTAL'!AD459</f>
        <v>0</v>
      </c>
      <c r="Y417" s="70">
        <f>'RESUMEN TOTAL'!AE459</f>
        <v>0</v>
      </c>
      <c r="Z417" s="70">
        <f>'RESUMEN TOTAL'!AF459</f>
        <v>0</v>
      </c>
      <c r="AA417" s="70">
        <f>'RESUMEN TOTAL'!AG459</f>
        <v>0</v>
      </c>
      <c r="AB417" s="70">
        <f>'RESUMEN TOTAL'!AH459</f>
        <v>0</v>
      </c>
      <c r="AC417" s="70">
        <f>'RESUMEN TOTAL'!AI459</f>
        <v>0</v>
      </c>
      <c r="AD417" s="70">
        <f>'RESUMEN TOTAL'!AJ459</f>
        <v>0</v>
      </c>
      <c r="AE417" s="70">
        <f>'RESUMEN TOTAL'!AK459</f>
        <v>0</v>
      </c>
      <c r="AF417" s="70">
        <f>'RESUMEN TOTAL'!AL459</f>
        <v>0</v>
      </c>
      <c r="AG417" s="70">
        <f>'RESUMEN TOTAL'!AM459</f>
        <v>0</v>
      </c>
      <c r="AH417" s="70">
        <f>'RESUMEN TOTAL'!AN459</f>
        <v>0</v>
      </c>
      <c r="AI417" s="70">
        <f>'RESUMEN TOTAL'!AO459</f>
        <v>0</v>
      </c>
      <c r="AJ417" s="70">
        <f>'RESUMEN TOTAL'!AP459</f>
        <v>0</v>
      </c>
    </row>
    <row r="418" spans="1:36" x14ac:dyDescent="0.25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0">
        <f>'RESUMEN TOTAL'!L461</f>
        <v>0</v>
      </c>
      <c r="G418" s="70">
        <f>'RESUMEN TOTAL'!M461</f>
        <v>0</v>
      </c>
      <c r="H418" s="70">
        <f>'RESUMEN TOTAL'!N461</f>
        <v>0</v>
      </c>
      <c r="I418" s="70">
        <f>'RESUMEN TOTAL'!O461</f>
        <v>0</v>
      </c>
      <c r="J418" s="70">
        <f>'RESUMEN TOTAL'!P461</f>
        <v>0</v>
      </c>
      <c r="K418" s="70">
        <f>'RESUMEN TOTAL'!Q461</f>
        <v>0</v>
      </c>
      <c r="L418" s="70">
        <f>'RESUMEN TOTAL'!R461</f>
        <v>0</v>
      </c>
      <c r="M418" s="70">
        <f>'RESUMEN TOTAL'!S461</f>
        <v>0</v>
      </c>
      <c r="N418" s="70">
        <f>'RESUMEN TOTAL'!T461</f>
        <v>0</v>
      </c>
      <c r="O418" s="70">
        <f>'RESUMEN TOTAL'!U461</f>
        <v>0</v>
      </c>
      <c r="P418" s="70">
        <f>'RESUMEN TOTAL'!V461</f>
        <v>0</v>
      </c>
      <c r="Q418" s="70">
        <f>'RESUMEN TOTAL'!W461</f>
        <v>0</v>
      </c>
      <c r="R418" s="70">
        <f>'RESUMEN TOTAL'!X461</f>
        <v>0</v>
      </c>
      <c r="S418" s="70">
        <f>'RESUMEN TOTAL'!Y461</f>
        <v>0</v>
      </c>
      <c r="T418" s="70">
        <f>'RESUMEN TOTAL'!Z461</f>
        <v>0</v>
      </c>
      <c r="U418" s="70">
        <f>'RESUMEN TOTAL'!AA461</f>
        <v>0</v>
      </c>
      <c r="V418" s="70">
        <f>'RESUMEN TOTAL'!AB461</f>
        <v>0</v>
      </c>
      <c r="W418" s="70">
        <f>'RESUMEN TOTAL'!AC461</f>
        <v>0</v>
      </c>
      <c r="X418" s="70">
        <f>'RESUMEN TOTAL'!AD461</f>
        <v>0</v>
      </c>
      <c r="Y418" s="70">
        <f>'RESUMEN TOTAL'!AE461</f>
        <v>0</v>
      </c>
      <c r="Z418" s="70">
        <f>'RESUMEN TOTAL'!AF461</f>
        <v>0</v>
      </c>
      <c r="AA418" s="70">
        <f>'RESUMEN TOTAL'!AG461</f>
        <v>0</v>
      </c>
      <c r="AB418" s="70">
        <f>'RESUMEN TOTAL'!AH461</f>
        <v>0</v>
      </c>
      <c r="AC418" s="70">
        <f>'RESUMEN TOTAL'!AI461</f>
        <v>0</v>
      </c>
      <c r="AD418" s="70">
        <f>'RESUMEN TOTAL'!AJ461</f>
        <v>0</v>
      </c>
      <c r="AE418" s="70">
        <f>'RESUMEN TOTAL'!AK461</f>
        <v>0</v>
      </c>
      <c r="AF418" s="70">
        <f>'RESUMEN TOTAL'!AL461</f>
        <v>0</v>
      </c>
      <c r="AG418" s="70">
        <f>'RESUMEN TOTAL'!AM461</f>
        <v>0</v>
      </c>
      <c r="AH418" s="70">
        <f>'RESUMEN TOTAL'!AN461</f>
        <v>0</v>
      </c>
      <c r="AI418" s="70">
        <f>'RESUMEN TOTAL'!AO461</f>
        <v>0</v>
      </c>
      <c r="AJ418" s="70">
        <f>'RESUMEN TOTAL'!AP461</f>
        <v>0</v>
      </c>
    </row>
    <row r="419" spans="1:36" x14ac:dyDescent="0.25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0">
        <f>'RESUMEN TOTAL'!L462</f>
        <v>0</v>
      </c>
      <c r="G419" s="70">
        <f>'RESUMEN TOTAL'!M462</f>
        <v>0</v>
      </c>
      <c r="H419" s="70">
        <f>'RESUMEN TOTAL'!N462</f>
        <v>0</v>
      </c>
      <c r="I419" s="70">
        <f>'RESUMEN TOTAL'!O462</f>
        <v>0</v>
      </c>
      <c r="J419" s="70">
        <f>'RESUMEN TOTAL'!P462</f>
        <v>0</v>
      </c>
      <c r="K419" s="70">
        <f>'RESUMEN TOTAL'!Q462</f>
        <v>0</v>
      </c>
      <c r="L419" s="70">
        <f>'RESUMEN TOTAL'!R462</f>
        <v>0</v>
      </c>
      <c r="M419" s="70">
        <f>'RESUMEN TOTAL'!S462</f>
        <v>0</v>
      </c>
      <c r="N419" s="70">
        <f>'RESUMEN TOTAL'!T462</f>
        <v>0</v>
      </c>
      <c r="O419" s="70">
        <f>'RESUMEN TOTAL'!U462</f>
        <v>0</v>
      </c>
      <c r="P419" s="70">
        <f>'RESUMEN TOTAL'!V462</f>
        <v>0</v>
      </c>
      <c r="Q419" s="70">
        <f>'RESUMEN TOTAL'!W462</f>
        <v>0</v>
      </c>
      <c r="R419" s="70">
        <f>'RESUMEN TOTAL'!X462</f>
        <v>0</v>
      </c>
      <c r="S419" s="70">
        <f>'RESUMEN TOTAL'!Y462</f>
        <v>0</v>
      </c>
      <c r="T419" s="70">
        <f>'RESUMEN TOTAL'!Z462</f>
        <v>0</v>
      </c>
      <c r="U419" s="70">
        <f>'RESUMEN TOTAL'!AA462</f>
        <v>0</v>
      </c>
      <c r="V419" s="70">
        <f>'RESUMEN TOTAL'!AB462</f>
        <v>0</v>
      </c>
      <c r="W419" s="70">
        <f>'RESUMEN TOTAL'!AC462</f>
        <v>0</v>
      </c>
      <c r="X419" s="70">
        <f>'RESUMEN TOTAL'!AD462</f>
        <v>0</v>
      </c>
      <c r="Y419" s="70">
        <f>'RESUMEN TOTAL'!AE462</f>
        <v>0</v>
      </c>
      <c r="Z419" s="70">
        <f>'RESUMEN TOTAL'!AF462</f>
        <v>0</v>
      </c>
      <c r="AA419" s="70">
        <f>'RESUMEN TOTAL'!AG462</f>
        <v>0</v>
      </c>
      <c r="AB419" s="70">
        <f>'RESUMEN TOTAL'!AH462</f>
        <v>0</v>
      </c>
      <c r="AC419" s="70">
        <f>'RESUMEN TOTAL'!AI462</f>
        <v>0</v>
      </c>
      <c r="AD419" s="70">
        <f>'RESUMEN TOTAL'!AJ462</f>
        <v>0</v>
      </c>
      <c r="AE419" s="70">
        <f>'RESUMEN TOTAL'!AK462</f>
        <v>0</v>
      </c>
      <c r="AF419" s="70">
        <f>'RESUMEN TOTAL'!AL462</f>
        <v>0</v>
      </c>
      <c r="AG419" s="70">
        <f>'RESUMEN TOTAL'!AM462</f>
        <v>0</v>
      </c>
      <c r="AH419" s="70">
        <f>'RESUMEN TOTAL'!AN462</f>
        <v>0</v>
      </c>
      <c r="AI419" s="70">
        <f>'RESUMEN TOTAL'!AO462</f>
        <v>0</v>
      </c>
      <c r="AJ419" s="70">
        <f>'RESUMEN TOTAL'!AP462</f>
        <v>0</v>
      </c>
    </row>
    <row r="420" spans="1:36" x14ac:dyDescent="0.25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0">
        <f>'RESUMEN TOTAL'!L463</f>
        <v>0</v>
      </c>
      <c r="G420" s="70">
        <f>'RESUMEN TOTAL'!M463</f>
        <v>0</v>
      </c>
      <c r="H420" s="70">
        <f>'RESUMEN TOTAL'!N463</f>
        <v>0</v>
      </c>
      <c r="I420" s="70">
        <f>'RESUMEN TOTAL'!O463</f>
        <v>0</v>
      </c>
      <c r="J420" s="70">
        <f>'RESUMEN TOTAL'!P463</f>
        <v>0</v>
      </c>
      <c r="K420" s="70">
        <f>'RESUMEN TOTAL'!Q463</f>
        <v>0</v>
      </c>
      <c r="L420" s="70">
        <f>'RESUMEN TOTAL'!R463</f>
        <v>0</v>
      </c>
      <c r="M420" s="70">
        <f>'RESUMEN TOTAL'!S463</f>
        <v>0</v>
      </c>
      <c r="N420" s="70">
        <f>'RESUMEN TOTAL'!T463</f>
        <v>0</v>
      </c>
      <c r="O420" s="70">
        <f>'RESUMEN TOTAL'!U463</f>
        <v>0</v>
      </c>
      <c r="P420" s="70" t="str">
        <f>'RESUMEN TOTAL'!V463</f>
        <v>APAGADO</v>
      </c>
      <c r="Q420" s="70" t="str">
        <f>'RESUMEN TOTAL'!W463</f>
        <v>APAGADO</v>
      </c>
      <c r="R420" s="70" t="str">
        <f>'RESUMEN TOTAL'!X463</f>
        <v>APAGADO</v>
      </c>
      <c r="S420" s="70">
        <f>'RESUMEN TOTAL'!Y463</f>
        <v>0</v>
      </c>
      <c r="T420" s="70">
        <f>'RESUMEN TOTAL'!Z463</f>
        <v>0</v>
      </c>
      <c r="U420" s="70">
        <f>'RESUMEN TOTAL'!AA463</f>
        <v>0</v>
      </c>
      <c r="V420" s="70">
        <f>'RESUMEN TOTAL'!AB463</f>
        <v>0</v>
      </c>
      <c r="W420" s="70">
        <f>'RESUMEN TOTAL'!AC463</f>
        <v>0</v>
      </c>
      <c r="X420" s="70">
        <f>'RESUMEN TOTAL'!AD463</f>
        <v>0</v>
      </c>
      <c r="Y420" s="70">
        <f>'RESUMEN TOTAL'!AE463</f>
        <v>0</v>
      </c>
      <c r="Z420" s="70">
        <f>'RESUMEN TOTAL'!AF463</f>
        <v>0</v>
      </c>
      <c r="AA420" s="70">
        <f>'RESUMEN TOTAL'!AG463</f>
        <v>0</v>
      </c>
      <c r="AB420" s="70">
        <f>'RESUMEN TOTAL'!AH463</f>
        <v>0</v>
      </c>
      <c r="AC420" s="70">
        <f>'RESUMEN TOTAL'!AI463</f>
        <v>0</v>
      </c>
      <c r="AD420" s="70">
        <f>'RESUMEN TOTAL'!AJ463</f>
        <v>0</v>
      </c>
      <c r="AE420" s="70">
        <f>'RESUMEN TOTAL'!AK463</f>
        <v>0</v>
      </c>
      <c r="AF420" s="70">
        <f>'RESUMEN TOTAL'!AL463</f>
        <v>0</v>
      </c>
      <c r="AG420" s="70">
        <f>'RESUMEN TOTAL'!AM463</f>
        <v>0</v>
      </c>
      <c r="AH420" s="70">
        <f>'RESUMEN TOTAL'!AN463</f>
        <v>0</v>
      </c>
      <c r="AI420" s="70">
        <f>'RESUMEN TOTAL'!AO463</f>
        <v>0</v>
      </c>
      <c r="AJ420" s="70">
        <f>'RESUMEN TOTAL'!AP463</f>
        <v>0</v>
      </c>
    </row>
    <row r="421" spans="1:36" x14ac:dyDescent="0.25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0">
        <f>'RESUMEN TOTAL'!L464</f>
        <v>0</v>
      </c>
      <c r="G421" s="70">
        <f>'RESUMEN TOTAL'!M464</f>
        <v>0</v>
      </c>
      <c r="H421" s="70">
        <f>'RESUMEN TOTAL'!N464</f>
        <v>0</v>
      </c>
      <c r="I421" s="70">
        <f>'RESUMEN TOTAL'!O464</f>
        <v>0</v>
      </c>
      <c r="J421" s="70">
        <f>'RESUMEN TOTAL'!P464</f>
        <v>0</v>
      </c>
      <c r="K421" s="70">
        <f>'RESUMEN TOTAL'!Q464</f>
        <v>0</v>
      </c>
      <c r="L421" s="70">
        <f>'RESUMEN TOTAL'!R464</f>
        <v>0</v>
      </c>
      <c r="M421" s="70">
        <f>'RESUMEN TOTAL'!S464</f>
        <v>0</v>
      </c>
      <c r="N421" s="70">
        <f>'RESUMEN TOTAL'!T464</f>
        <v>0</v>
      </c>
      <c r="O421" s="70">
        <f>'RESUMEN TOTAL'!U464</f>
        <v>0</v>
      </c>
      <c r="P421" s="70" t="str">
        <f>'RESUMEN TOTAL'!V464</f>
        <v>APAGADO</v>
      </c>
      <c r="Q421" s="70" t="str">
        <f>'RESUMEN TOTAL'!W464</f>
        <v>APAGADO</v>
      </c>
      <c r="R421" s="70" t="str">
        <f>'RESUMEN TOTAL'!X464</f>
        <v>APAGADO</v>
      </c>
      <c r="S421" s="70">
        <f>'RESUMEN TOTAL'!Y464</f>
        <v>0</v>
      </c>
      <c r="T421" s="70">
        <f>'RESUMEN TOTAL'!Z464</f>
        <v>0</v>
      </c>
      <c r="U421" s="70">
        <f>'RESUMEN TOTAL'!AA464</f>
        <v>0</v>
      </c>
      <c r="V421" s="70">
        <f>'RESUMEN TOTAL'!AB464</f>
        <v>0</v>
      </c>
      <c r="W421" s="70">
        <f>'RESUMEN TOTAL'!AC464</f>
        <v>0</v>
      </c>
      <c r="X421" s="70">
        <f>'RESUMEN TOTAL'!AD464</f>
        <v>0</v>
      </c>
      <c r="Y421" s="70">
        <f>'RESUMEN TOTAL'!AE464</f>
        <v>0</v>
      </c>
      <c r="Z421" s="70">
        <f>'RESUMEN TOTAL'!AF464</f>
        <v>0</v>
      </c>
      <c r="AA421" s="70">
        <f>'RESUMEN TOTAL'!AG464</f>
        <v>0</v>
      </c>
      <c r="AB421" s="70">
        <f>'RESUMEN TOTAL'!AH464</f>
        <v>0</v>
      </c>
      <c r="AC421" s="70">
        <f>'RESUMEN TOTAL'!AI464</f>
        <v>0</v>
      </c>
      <c r="AD421" s="70">
        <f>'RESUMEN TOTAL'!AJ464</f>
        <v>0</v>
      </c>
      <c r="AE421" s="70">
        <f>'RESUMEN TOTAL'!AK464</f>
        <v>0</v>
      </c>
      <c r="AF421" s="70">
        <f>'RESUMEN TOTAL'!AL464</f>
        <v>0</v>
      </c>
      <c r="AG421" s="70">
        <f>'RESUMEN TOTAL'!AM464</f>
        <v>0</v>
      </c>
      <c r="AH421" s="70">
        <f>'RESUMEN TOTAL'!AN464</f>
        <v>0</v>
      </c>
      <c r="AI421" s="70">
        <f>'RESUMEN TOTAL'!AO464</f>
        <v>0</v>
      </c>
      <c r="AJ421" s="70">
        <f>'RESUMEN TOTAL'!AP464</f>
        <v>0</v>
      </c>
    </row>
    <row r="422" spans="1:36" x14ac:dyDescent="0.25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0">
        <f>'RESUMEN TOTAL'!L465</f>
        <v>0</v>
      </c>
      <c r="G422" s="70">
        <f>'RESUMEN TOTAL'!M465</f>
        <v>0</v>
      </c>
      <c r="H422" s="70">
        <f>'RESUMEN TOTAL'!N465</f>
        <v>0</v>
      </c>
      <c r="I422" s="70">
        <f>'RESUMEN TOTAL'!O465</f>
        <v>0</v>
      </c>
      <c r="J422" s="70">
        <f>'RESUMEN TOTAL'!P465</f>
        <v>0</v>
      </c>
      <c r="K422" s="70">
        <f>'RESUMEN TOTAL'!Q465</f>
        <v>0</v>
      </c>
      <c r="L422" s="70">
        <f>'RESUMEN TOTAL'!R465</f>
        <v>0</v>
      </c>
      <c r="M422" s="70">
        <f>'RESUMEN TOTAL'!S465</f>
        <v>0</v>
      </c>
      <c r="N422" s="70">
        <f>'RESUMEN TOTAL'!T465</f>
        <v>0</v>
      </c>
      <c r="O422" s="70">
        <f>'RESUMEN TOTAL'!U465</f>
        <v>0</v>
      </c>
      <c r="P422" s="70">
        <f>'RESUMEN TOTAL'!V465</f>
        <v>0</v>
      </c>
      <c r="Q422" s="70">
        <f>'RESUMEN TOTAL'!W465</f>
        <v>0</v>
      </c>
      <c r="R422" s="70">
        <f>'RESUMEN TOTAL'!X465</f>
        <v>0</v>
      </c>
      <c r="S422" s="70">
        <f>'RESUMEN TOTAL'!Y465</f>
        <v>0</v>
      </c>
      <c r="T422" s="70">
        <f>'RESUMEN TOTAL'!Z465</f>
        <v>0</v>
      </c>
      <c r="U422" s="70">
        <f>'RESUMEN TOTAL'!AA465</f>
        <v>0</v>
      </c>
      <c r="V422" s="70">
        <f>'RESUMEN TOTAL'!AB465</f>
        <v>0</v>
      </c>
      <c r="W422" s="70">
        <f>'RESUMEN TOTAL'!AC465</f>
        <v>0</v>
      </c>
      <c r="X422" s="70">
        <f>'RESUMEN TOTAL'!AD465</f>
        <v>0</v>
      </c>
      <c r="Y422" s="70">
        <f>'RESUMEN TOTAL'!AE465</f>
        <v>0</v>
      </c>
      <c r="Z422" s="70">
        <f>'RESUMEN TOTAL'!AF465</f>
        <v>0</v>
      </c>
      <c r="AA422" s="70">
        <f>'RESUMEN TOTAL'!AG465</f>
        <v>0</v>
      </c>
      <c r="AB422" s="70">
        <f>'RESUMEN TOTAL'!AH465</f>
        <v>0</v>
      </c>
      <c r="AC422" s="70">
        <f>'RESUMEN TOTAL'!AI465</f>
        <v>0</v>
      </c>
      <c r="AD422" s="70">
        <f>'RESUMEN TOTAL'!AJ465</f>
        <v>0</v>
      </c>
      <c r="AE422" s="70">
        <f>'RESUMEN TOTAL'!AK465</f>
        <v>0</v>
      </c>
      <c r="AF422" s="70">
        <f>'RESUMEN TOTAL'!AL465</f>
        <v>0</v>
      </c>
      <c r="AG422" s="70">
        <f>'RESUMEN TOTAL'!AM465</f>
        <v>0</v>
      </c>
      <c r="AH422" s="70">
        <f>'RESUMEN TOTAL'!AN465</f>
        <v>0</v>
      </c>
      <c r="AI422" s="70">
        <f>'RESUMEN TOTAL'!AO465</f>
        <v>0</v>
      </c>
      <c r="AJ422" s="70">
        <f>'RESUMEN TOTAL'!AP465</f>
        <v>0</v>
      </c>
    </row>
    <row r="423" spans="1:36" x14ac:dyDescent="0.25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0">
        <f>'RESUMEN TOTAL'!L466</f>
        <v>0</v>
      </c>
      <c r="G423" s="70">
        <f>'RESUMEN TOTAL'!M466</f>
        <v>0</v>
      </c>
      <c r="H423" s="70">
        <f>'RESUMEN TOTAL'!N466</f>
        <v>0</v>
      </c>
      <c r="I423" s="70">
        <f>'RESUMEN TOTAL'!O466</f>
        <v>0</v>
      </c>
      <c r="J423" s="70">
        <f>'RESUMEN TOTAL'!P466</f>
        <v>0</v>
      </c>
      <c r="K423" s="70">
        <f>'RESUMEN TOTAL'!Q466</f>
        <v>0</v>
      </c>
      <c r="L423" s="70">
        <f>'RESUMEN TOTAL'!R466</f>
        <v>0</v>
      </c>
      <c r="M423" s="70">
        <f>'RESUMEN TOTAL'!S466</f>
        <v>0</v>
      </c>
      <c r="N423" s="70">
        <f>'RESUMEN TOTAL'!T466</f>
        <v>0</v>
      </c>
      <c r="O423" s="70">
        <f>'RESUMEN TOTAL'!U466</f>
        <v>0</v>
      </c>
      <c r="P423" s="70">
        <f>'RESUMEN TOTAL'!V466</f>
        <v>0</v>
      </c>
      <c r="Q423" s="70">
        <f>'RESUMEN TOTAL'!W466</f>
        <v>0</v>
      </c>
      <c r="R423" s="70">
        <f>'RESUMEN TOTAL'!X466</f>
        <v>0</v>
      </c>
      <c r="S423" s="70">
        <f>'RESUMEN TOTAL'!Y466</f>
        <v>0</v>
      </c>
      <c r="T423" s="70">
        <f>'RESUMEN TOTAL'!Z466</f>
        <v>0</v>
      </c>
      <c r="U423" s="70">
        <f>'RESUMEN TOTAL'!AA466</f>
        <v>0</v>
      </c>
      <c r="V423" s="70">
        <f>'RESUMEN TOTAL'!AB466</f>
        <v>0</v>
      </c>
      <c r="W423" s="70">
        <f>'RESUMEN TOTAL'!AC466</f>
        <v>0</v>
      </c>
      <c r="X423" s="70">
        <f>'RESUMEN TOTAL'!AD466</f>
        <v>0</v>
      </c>
      <c r="Y423" s="70">
        <f>'RESUMEN TOTAL'!AE466</f>
        <v>0</v>
      </c>
      <c r="Z423" s="70">
        <f>'RESUMEN TOTAL'!AF466</f>
        <v>0</v>
      </c>
      <c r="AA423" s="70">
        <f>'RESUMEN TOTAL'!AG466</f>
        <v>0</v>
      </c>
      <c r="AB423" s="70">
        <f>'RESUMEN TOTAL'!AH466</f>
        <v>0</v>
      </c>
      <c r="AC423" s="70">
        <f>'RESUMEN TOTAL'!AI466</f>
        <v>0</v>
      </c>
      <c r="AD423" s="70">
        <f>'RESUMEN TOTAL'!AJ466</f>
        <v>0</v>
      </c>
      <c r="AE423" s="70">
        <f>'RESUMEN TOTAL'!AK466</f>
        <v>0</v>
      </c>
      <c r="AF423" s="70">
        <f>'RESUMEN TOTAL'!AL466</f>
        <v>0</v>
      </c>
      <c r="AG423" s="70">
        <f>'RESUMEN TOTAL'!AM466</f>
        <v>0</v>
      </c>
      <c r="AH423" s="70">
        <f>'RESUMEN TOTAL'!AN466</f>
        <v>0</v>
      </c>
      <c r="AI423" s="70">
        <f>'RESUMEN TOTAL'!AO466</f>
        <v>0</v>
      </c>
      <c r="AJ423" s="70">
        <f>'RESUMEN TOTAL'!AP466</f>
        <v>0</v>
      </c>
    </row>
    <row r="424" spans="1:36" x14ac:dyDescent="0.25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0" t="str">
        <f>'RESUMEN TOTAL'!L467</f>
        <v>APAGADO</v>
      </c>
      <c r="G424" s="70" t="str">
        <f>'RESUMEN TOTAL'!M467</f>
        <v>APAGADO</v>
      </c>
      <c r="H424" s="70" t="str">
        <f>'RESUMEN TOTAL'!N467</f>
        <v>APAGADO</v>
      </c>
      <c r="I424" s="70" t="str">
        <f>'RESUMEN TOTAL'!O467</f>
        <v>APAGADO</v>
      </c>
      <c r="J424" s="70">
        <f>'RESUMEN TOTAL'!P467</f>
        <v>0</v>
      </c>
      <c r="K424" s="70" t="str">
        <f>'RESUMEN TOTAL'!Q467</f>
        <v>APAGADO</v>
      </c>
      <c r="L424" s="70" t="str">
        <f>'RESUMEN TOTAL'!R467</f>
        <v>APAGADO</v>
      </c>
      <c r="M424" s="70" t="str">
        <f>'RESUMEN TOTAL'!S467</f>
        <v>APAGADO</v>
      </c>
      <c r="N424" s="70" t="str">
        <f>'RESUMEN TOTAL'!T467</f>
        <v>APAGADO</v>
      </c>
      <c r="O424" s="70" t="str">
        <f>'RESUMEN TOTAL'!U467</f>
        <v>APAGADO</v>
      </c>
      <c r="P424" s="70" t="str">
        <f>'RESUMEN TOTAL'!V467</f>
        <v>APAGADO</v>
      </c>
      <c r="Q424" s="70" t="str">
        <f>'RESUMEN TOTAL'!W467</f>
        <v>APAGADO</v>
      </c>
      <c r="R424" s="70" t="str">
        <f>'RESUMEN TOTAL'!X467</f>
        <v>APAGADO</v>
      </c>
      <c r="S424" s="70" t="str">
        <f>'RESUMEN TOTAL'!Y467</f>
        <v>APAGADO</v>
      </c>
      <c r="T424" s="70">
        <f>'RESUMEN TOTAL'!Z467</f>
        <v>0</v>
      </c>
      <c r="U424" s="70">
        <f>'RESUMEN TOTAL'!AA467</f>
        <v>0</v>
      </c>
      <c r="V424" s="70">
        <f>'RESUMEN TOTAL'!AB467</f>
        <v>0</v>
      </c>
      <c r="W424" s="70">
        <f>'RESUMEN TOTAL'!AC467</f>
        <v>0</v>
      </c>
      <c r="X424" s="70">
        <f>'RESUMEN TOTAL'!AD467</f>
        <v>0</v>
      </c>
      <c r="Y424" s="70">
        <f>'RESUMEN TOTAL'!AE467</f>
        <v>0</v>
      </c>
      <c r="Z424" s="70">
        <f>'RESUMEN TOTAL'!AF467</f>
        <v>0</v>
      </c>
      <c r="AA424" s="70">
        <f>'RESUMEN TOTAL'!AG467</f>
        <v>0</v>
      </c>
      <c r="AB424" s="70">
        <f>'RESUMEN TOTAL'!AH467</f>
        <v>0</v>
      </c>
      <c r="AC424" s="70">
        <f>'RESUMEN TOTAL'!AI467</f>
        <v>0</v>
      </c>
      <c r="AD424" s="70">
        <f>'RESUMEN TOTAL'!AJ467</f>
        <v>0</v>
      </c>
      <c r="AE424" s="70">
        <f>'RESUMEN TOTAL'!AK467</f>
        <v>0</v>
      </c>
      <c r="AF424" s="70">
        <f>'RESUMEN TOTAL'!AL467</f>
        <v>0</v>
      </c>
      <c r="AG424" s="70">
        <f>'RESUMEN TOTAL'!AM467</f>
        <v>0</v>
      </c>
      <c r="AH424" s="70">
        <f>'RESUMEN TOTAL'!AN467</f>
        <v>0</v>
      </c>
      <c r="AI424" s="70">
        <f>'RESUMEN TOTAL'!AO467</f>
        <v>0</v>
      </c>
      <c r="AJ424" s="70">
        <f>'RESUMEN TOTAL'!AP467</f>
        <v>0</v>
      </c>
    </row>
    <row r="425" spans="1:36" x14ac:dyDescent="0.25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0">
        <f>'RESUMEN TOTAL'!L468</f>
        <v>0</v>
      </c>
      <c r="G425" s="70">
        <f>'RESUMEN TOTAL'!M468</f>
        <v>0</v>
      </c>
      <c r="H425" s="70">
        <f>'RESUMEN TOTAL'!N468</f>
        <v>0</v>
      </c>
      <c r="I425" s="70" t="str">
        <f>'RESUMEN TOTAL'!O468</f>
        <v>APAGADO</v>
      </c>
      <c r="J425" s="70">
        <f>'RESUMEN TOTAL'!P468</f>
        <v>0</v>
      </c>
      <c r="K425" s="70">
        <f>'RESUMEN TOTAL'!Q468</f>
        <v>0</v>
      </c>
      <c r="L425" s="70">
        <f>'RESUMEN TOTAL'!R468</f>
        <v>0</v>
      </c>
      <c r="M425" s="70">
        <f>'RESUMEN TOTAL'!S468</f>
        <v>0</v>
      </c>
      <c r="N425" s="70">
        <f>'RESUMEN TOTAL'!T468</f>
        <v>0</v>
      </c>
      <c r="O425" s="70">
        <f>'RESUMEN TOTAL'!U468</f>
        <v>0</v>
      </c>
      <c r="P425" s="70">
        <f>'RESUMEN TOTAL'!V468</f>
        <v>0</v>
      </c>
      <c r="Q425" s="70">
        <f>'RESUMEN TOTAL'!W468</f>
        <v>0</v>
      </c>
      <c r="R425" s="70">
        <f>'RESUMEN TOTAL'!X468</f>
        <v>0</v>
      </c>
      <c r="S425" s="70">
        <f>'RESUMEN TOTAL'!Y468</f>
        <v>0</v>
      </c>
      <c r="T425" s="70">
        <f>'RESUMEN TOTAL'!Z468</f>
        <v>0</v>
      </c>
      <c r="U425" s="70">
        <f>'RESUMEN TOTAL'!AA468</f>
        <v>0</v>
      </c>
      <c r="V425" s="70">
        <f>'RESUMEN TOTAL'!AB468</f>
        <v>0</v>
      </c>
      <c r="W425" s="70">
        <f>'RESUMEN TOTAL'!AC468</f>
        <v>0</v>
      </c>
      <c r="X425" s="70">
        <f>'RESUMEN TOTAL'!AD468</f>
        <v>0</v>
      </c>
      <c r="Y425" s="70">
        <f>'RESUMEN TOTAL'!AE468</f>
        <v>0</v>
      </c>
      <c r="Z425" s="70">
        <f>'RESUMEN TOTAL'!AF468</f>
        <v>0</v>
      </c>
      <c r="AA425" s="70">
        <f>'RESUMEN TOTAL'!AG468</f>
        <v>0</v>
      </c>
      <c r="AB425" s="70">
        <f>'RESUMEN TOTAL'!AH468</f>
        <v>0</v>
      </c>
      <c r="AC425" s="70">
        <f>'RESUMEN TOTAL'!AI468</f>
        <v>0</v>
      </c>
      <c r="AD425" s="70">
        <f>'RESUMEN TOTAL'!AJ468</f>
        <v>0</v>
      </c>
      <c r="AE425" s="70">
        <f>'RESUMEN TOTAL'!AK468</f>
        <v>0</v>
      </c>
      <c r="AF425" s="70">
        <f>'RESUMEN TOTAL'!AL468</f>
        <v>0</v>
      </c>
      <c r="AG425" s="70">
        <f>'RESUMEN TOTAL'!AM468</f>
        <v>0</v>
      </c>
      <c r="AH425" s="70">
        <f>'RESUMEN TOTAL'!AN468</f>
        <v>0</v>
      </c>
      <c r="AI425" s="70">
        <f>'RESUMEN TOTAL'!AO468</f>
        <v>0</v>
      </c>
      <c r="AJ425" s="70">
        <f>'RESUMEN TOTAL'!AP468</f>
        <v>0</v>
      </c>
    </row>
    <row r="426" spans="1:36" x14ac:dyDescent="0.25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0">
        <f>'RESUMEN TOTAL'!L470</f>
        <v>0</v>
      </c>
      <c r="G426" s="70">
        <f>'RESUMEN TOTAL'!M470</f>
        <v>0</v>
      </c>
      <c r="H426" s="70">
        <f>'RESUMEN TOTAL'!N470</f>
        <v>0</v>
      </c>
      <c r="I426" s="70">
        <f>'RESUMEN TOTAL'!O470</f>
        <v>0</v>
      </c>
      <c r="J426" s="70">
        <f>'RESUMEN TOTAL'!P470</f>
        <v>0</v>
      </c>
      <c r="K426" s="70">
        <f>'RESUMEN TOTAL'!Q470</f>
        <v>0</v>
      </c>
      <c r="L426" s="70">
        <f>'RESUMEN TOTAL'!R470</f>
        <v>0</v>
      </c>
      <c r="M426" s="70">
        <f>'RESUMEN TOTAL'!S470</f>
        <v>0</v>
      </c>
      <c r="N426" s="70">
        <f>'RESUMEN TOTAL'!T470</f>
        <v>0</v>
      </c>
      <c r="O426" s="70">
        <f>'RESUMEN TOTAL'!U470</f>
        <v>0</v>
      </c>
      <c r="P426" s="70">
        <f>'RESUMEN TOTAL'!V470</f>
        <v>0</v>
      </c>
      <c r="Q426" s="70">
        <f>'RESUMEN TOTAL'!W470</f>
        <v>0</v>
      </c>
      <c r="R426" s="70">
        <f>'RESUMEN TOTAL'!X470</f>
        <v>0</v>
      </c>
      <c r="S426" s="70">
        <f>'RESUMEN TOTAL'!Y470</f>
        <v>0</v>
      </c>
      <c r="T426" s="70">
        <f>'RESUMEN TOTAL'!Z470</f>
        <v>0</v>
      </c>
      <c r="U426" s="70">
        <f>'RESUMEN TOTAL'!AA470</f>
        <v>0</v>
      </c>
      <c r="V426" s="70">
        <f>'RESUMEN TOTAL'!AB470</f>
        <v>0</v>
      </c>
      <c r="W426" s="70">
        <f>'RESUMEN TOTAL'!AC470</f>
        <v>0</v>
      </c>
      <c r="X426" s="70">
        <f>'RESUMEN TOTAL'!AD470</f>
        <v>0</v>
      </c>
      <c r="Y426" s="70">
        <f>'RESUMEN TOTAL'!AE470</f>
        <v>0</v>
      </c>
      <c r="Z426" s="70">
        <f>'RESUMEN TOTAL'!AF470</f>
        <v>0</v>
      </c>
      <c r="AA426" s="70">
        <f>'RESUMEN TOTAL'!AG470</f>
        <v>0</v>
      </c>
      <c r="AB426" s="70">
        <f>'RESUMEN TOTAL'!AH470</f>
        <v>0</v>
      </c>
      <c r="AC426" s="70">
        <f>'RESUMEN TOTAL'!AI470</f>
        <v>0</v>
      </c>
      <c r="AD426" s="70">
        <f>'RESUMEN TOTAL'!AJ470</f>
        <v>0</v>
      </c>
      <c r="AE426" s="70">
        <f>'RESUMEN TOTAL'!AK470</f>
        <v>0</v>
      </c>
      <c r="AF426" s="70">
        <f>'RESUMEN TOTAL'!AL470</f>
        <v>0</v>
      </c>
      <c r="AG426" s="70">
        <f>'RESUMEN TOTAL'!AM470</f>
        <v>0</v>
      </c>
      <c r="AH426" s="70">
        <f>'RESUMEN TOTAL'!AN470</f>
        <v>0</v>
      </c>
      <c r="AI426" s="70">
        <f>'RESUMEN TOTAL'!AO470</f>
        <v>0</v>
      </c>
      <c r="AJ426" s="70">
        <f>'RESUMEN TOTAL'!AP470</f>
        <v>0</v>
      </c>
    </row>
    <row r="427" spans="1:36" x14ac:dyDescent="0.25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0">
        <f>'RESUMEN TOTAL'!L471</f>
        <v>0</v>
      </c>
      <c r="G427" s="70">
        <f>'RESUMEN TOTAL'!M471</f>
        <v>0</v>
      </c>
      <c r="H427" s="70">
        <f>'RESUMEN TOTAL'!N471</f>
        <v>0</v>
      </c>
      <c r="I427" s="70">
        <f>'RESUMEN TOTAL'!O471</f>
        <v>0</v>
      </c>
      <c r="J427" s="70">
        <f>'RESUMEN TOTAL'!P471</f>
        <v>0</v>
      </c>
      <c r="K427" s="70">
        <f>'RESUMEN TOTAL'!Q471</f>
        <v>0</v>
      </c>
      <c r="L427" s="70">
        <f>'RESUMEN TOTAL'!R471</f>
        <v>0</v>
      </c>
      <c r="M427" s="70">
        <f>'RESUMEN TOTAL'!S471</f>
        <v>0</v>
      </c>
      <c r="N427" s="70">
        <f>'RESUMEN TOTAL'!T471</f>
        <v>0</v>
      </c>
      <c r="O427" s="70">
        <f>'RESUMEN TOTAL'!U471</f>
        <v>0</v>
      </c>
      <c r="P427" s="70">
        <f>'RESUMEN TOTAL'!V471</f>
        <v>0</v>
      </c>
      <c r="Q427" s="70">
        <f>'RESUMEN TOTAL'!W471</f>
        <v>0</v>
      </c>
      <c r="R427" s="70">
        <f>'RESUMEN TOTAL'!X471</f>
        <v>0</v>
      </c>
      <c r="S427" s="70">
        <f>'RESUMEN TOTAL'!Y471</f>
        <v>0</v>
      </c>
      <c r="T427" s="70">
        <f>'RESUMEN TOTAL'!Z471</f>
        <v>0</v>
      </c>
      <c r="U427" s="70">
        <f>'RESUMEN TOTAL'!AA471</f>
        <v>0</v>
      </c>
      <c r="V427" s="70">
        <f>'RESUMEN TOTAL'!AB471</f>
        <v>0</v>
      </c>
      <c r="W427" s="70">
        <f>'RESUMEN TOTAL'!AC471</f>
        <v>0</v>
      </c>
      <c r="X427" s="70">
        <f>'RESUMEN TOTAL'!AD471</f>
        <v>0</v>
      </c>
      <c r="Y427" s="70">
        <f>'RESUMEN TOTAL'!AE471</f>
        <v>0</v>
      </c>
      <c r="Z427" s="70">
        <f>'RESUMEN TOTAL'!AF471</f>
        <v>0</v>
      </c>
      <c r="AA427" s="70">
        <f>'RESUMEN TOTAL'!AG471</f>
        <v>0</v>
      </c>
      <c r="AB427" s="70">
        <f>'RESUMEN TOTAL'!AH471</f>
        <v>0</v>
      </c>
      <c r="AC427" s="70">
        <f>'RESUMEN TOTAL'!AI471</f>
        <v>0</v>
      </c>
      <c r="AD427" s="70">
        <f>'RESUMEN TOTAL'!AJ471</f>
        <v>0</v>
      </c>
      <c r="AE427" s="70">
        <f>'RESUMEN TOTAL'!AK471</f>
        <v>0</v>
      </c>
      <c r="AF427" s="70">
        <f>'RESUMEN TOTAL'!AL471</f>
        <v>0</v>
      </c>
      <c r="AG427" s="70">
        <f>'RESUMEN TOTAL'!AM471</f>
        <v>0</v>
      </c>
      <c r="AH427" s="70">
        <f>'RESUMEN TOTAL'!AN471</f>
        <v>0</v>
      </c>
      <c r="AI427" s="70">
        <f>'RESUMEN TOTAL'!AO471</f>
        <v>0</v>
      </c>
      <c r="AJ427" s="70">
        <f>'RESUMEN TOTAL'!AP471</f>
        <v>0</v>
      </c>
    </row>
    <row r="428" spans="1:36" x14ac:dyDescent="0.25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0">
        <f>'RESUMEN TOTAL'!L472</f>
        <v>0</v>
      </c>
      <c r="G428" s="70">
        <f>'RESUMEN TOTAL'!M472</f>
        <v>0</v>
      </c>
      <c r="H428" s="70">
        <f>'RESUMEN TOTAL'!N472</f>
        <v>0</v>
      </c>
      <c r="I428" s="70">
        <f>'RESUMEN TOTAL'!O472</f>
        <v>0</v>
      </c>
      <c r="J428" s="70">
        <f>'RESUMEN TOTAL'!P472</f>
        <v>0</v>
      </c>
      <c r="K428" s="70">
        <f>'RESUMEN TOTAL'!Q472</f>
        <v>0</v>
      </c>
      <c r="L428" s="70">
        <f>'RESUMEN TOTAL'!R472</f>
        <v>0</v>
      </c>
      <c r="M428" s="70">
        <f>'RESUMEN TOTAL'!S472</f>
        <v>0</v>
      </c>
      <c r="N428" s="70">
        <f>'RESUMEN TOTAL'!T472</f>
        <v>0</v>
      </c>
      <c r="O428" s="70">
        <f>'RESUMEN TOTAL'!U472</f>
        <v>0</v>
      </c>
      <c r="P428" s="70">
        <f>'RESUMEN TOTAL'!V472</f>
        <v>0</v>
      </c>
      <c r="Q428" s="70">
        <f>'RESUMEN TOTAL'!W472</f>
        <v>0</v>
      </c>
      <c r="R428" s="70">
        <f>'RESUMEN TOTAL'!X472</f>
        <v>0</v>
      </c>
      <c r="S428" s="70">
        <f>'RESUMEN TOTAL'!Y472</f>
        <v>0</v>
      </c>
      <c r="T428" s="70">
        <f>'RESUMEN TOTAL'!Z472</f>
        <v>0</v>
      </c>
      <c r="U428" s="70">
        <f>'RESUMEN TOTAL'!AA472</f>
        <v>0</v>
      </c>
      <c r="V428" s="70">
        <f>'RESUMEN TOTAL'!AB472</f>
        <v>0</v>
      </c>
      <c r="W428" s="70">
        <f>'RESUMEN TOTAL'!AC472</f>
        <v>0</v>
      </c>
      <c r="X428" s="70">
        <f>'RESUMEN TOTAL'!AD472</f>
        <v>0</v>
      </c>
      <c r="Y428" s="70">
        <f>'RESUMEN TOTAL'!AE472</f>
        <v>0</v>
      </c>
      <c r="Z428" s="70">
        <f>'RESUMEN TOTAL'!AF472</f>
        <v>0</v>
      </c>
      <c r="AA428" s="70">
        <f>'RESUMEN TOTAL'!AG472</f>
        <v>0</v>
      </c>
      <c r="AB428" s="70">
        <f>'RESUMEN TOTAL'!AH472</f>
        <v>0</v>
      </c>
      <c r="AC428" s="70">
        <f>'RESUMEN TOTAL'!AI472</f>
        <v>0</v>
      </c>
      <c r="AD428" s="70">
        <f>'RESUMEN TOTAL'!AJ472</f>
        <v>0</v>
      </c>
      <c r="AE428" s="70">
        <f>'RESUMEN TOTAL'!AK472</f>
        <v>0</v>
      </c>
      <c r="AF428" s="70">
        <f>'RESUMEN TOTAL'!AL472</f>
        <v>0</v>
      </c>
      <c r="AG428" s="70">
        <f>'RESUMEN TOTAL'!AM472</f>
        <v>0</v>
      </c>
      <c r="AH428" s="70">
        <f>'RESUMEN TOTAL'!AN472</f>
        <v>0</v>
      </c>
      <c r="AI428" s="70">
        <f>'RESUMEN TOTAL'!AO472</f>
        <v>0</v>
      </c>
      <c r="AJ428" s="70">
        <f>'RESUMEN TOTAL'!AP472</f>
        <v>0</v>
      </c>
    </row>
    <row r="429" spans="1:36" x14ac:dyDescent="0.25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0">
        <f>'RESUMEN TOTAL'!L473</f>
        <v>0</v>
      </c>
      <c r="G429" s="70">
        <f>'RESUMEN TOTAL'!M473</f>
        <v>0</v>
      </c>
      <c r="H429" s="70">
        <f>'RESUMEN TOTAL'!N473</f>
        <v>0</v>
      </c>
      <c r="I429" s="70">
        <f>'RESUMEN TOTAL'!O473</f>
        <v>0</v>
      </c>
      <c r="J429" s="70">
        <f>'RESUMEN TOTAL'!P473</f>
        <v>0</v>
      </c>
      <c r="K429" s="70">
        <f>'RESUMEN TOTAL'!Q473</f>
        <v>0</v>
      </c>
      <c r="L429" s="70">
        <f>'RESUMEN TOTAL'!R473</f>
        <v>0</v>
      </c>
      <c r="M429" s="70">
        <f>'RESUMEN TOTAL'!S473</f>
        <v>0</v>
      </c>
      <c r="N429" s="70">
        <f>'RESUMEN TOTAL'!T473</f>
        <v>0</v>
      </c>
      <c r="O429" s="70">
        <f>'RESUMEN TOTAL'!U473</f>
        <v>0</v>
      </c>
      <c r="P429" s="70">
        <f>'RESUMEN TOTAL'!V473</f>
        <v>0</v>
      </c>
      <c r="Q429" s="70">
        <f>'RESUMEN TOTAL'!W473</f>
        <v>0</v>
      </c>
      <c r="R429" s="70">
        <f>'RESUMEN TOTAL'!X473</f>
        <v>0</v>
      </c>
      <c r="S429" s="70">
        <f>'RESUMEN TOTAL'!Y473</f>
        <v>0</v>
      </c>
      <c r="T429" s="70">
        <f>'RESUMEN TOTAL'!Z473</f>
        <v>0</v>
      </c>
      <c r="U429" s="70">
        <f>'RESUMEN TOTAL'!AA473</f>
        <v>0</v>
      </c>
      <c r="V429" s="70" t="str">
        <f>'RESUMEN TOTAL'!AB473</f>
        <v xml:space="preserve"> </v>
      </c>
      <c r="W429" s="70">
        <f>'RESUMEN TOTAL'!AC473</f>
        <v>0</v>
      </c>
      <c r="X429" s="70">
        <f>'RESUMEN TOTAL'!AD473</f>
        <v>0</v>
      </c>
      <c r="Y429" s="70">
        <f>'RESUMEN TOTAL'!AE473</f>
        <v>0</v>
      </c>
      <c r="Z429" s="70">
        <f>'RESUMEN TOTAL'!AF473</f>
        <v>0</v>
      </c>
      <c r="AA429" s="70">
        <f>'RESUMEN TOTAL'!AG473</f>
        <v>0</v>
      </c>
      <c r="AB429" s="70">
        <f>'RESUMEN TOTAL'!AH473</f>
        <v>0</v>
      </c>
      <c r="AC429" s="70">
        <f>'RESUMEN TOTAL'!AI473</f>
        <v>0</v>
      </c>
      <c r="AD429" s="70">
        <f>'RESUMEN TOTAL'!AJ473</f>
        <v>0</v>
      </c>
      <c r="AE429" s="70">
        <f>'RESUMEN TOTAL'!AK473</f>
        <v>0</v>
      </c>
      <c r="AF429" s="70">
        <f>'RESUMEN TOTAL'!AL473</f>
        <v>0</v>
      </c>
      <c r="AG429" s="70">
        <f>'RESUMEN TOTAL'!AM473</f>
        <v>0</v>
      </c>
      <c r="AH429" s="70">
        <f>'RESUMEN TOTAL'!AN473</f>
        <v>0</v>
      </c>
      <c r="AI429" s="70">
        <f>'RESUMEN TOTAL'!AO473</f>
        <v>0</v>
      </c>
      <c r="AJ429" s="70">
        <f>'RESUMEN TOTAL'!AP473</f>
        <v>0</v>
      </c>
    </row>
    <row r="430" spans="1:36" x14ac:dyDescent="0.25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0">
        <f>'RESUMEN TOTAL'!L474</f>
        <v>0</v>
      </c>
      <c r="G430" s="70">
        <f>'RESUMEN TOTAL'!M474</f>
        <v>0</v>
      </c>
      <c r="H430" s="70">
        <f>'RESUMEN TOTAL'!N474</f>
        <v>0</v>
      </c>
      <c r="I430" s="70">
        <f>'RESUMEN TOTAL'!O474</f>
        <v>0</v>
      </c>
      <c r="J430" s="70">
        <f>'RESUMEN TOTAL'!P474</f>
        <v>0</v>
      </c>
      <c r="K430" s="70">
        <f>'RESUMEN TOTAL'!Q474</f>
        <v>0</v>
      </c>
      <c r="L430" s="70">
        <f>'RESUMEN TOTAL'!R474</f>
        <v>0</v>
      </c>
      <c r="M430" s="70">
        <f>'RESUMEN TOTAL'!S474</f>
        <v>0</v>
      </c>
      <c r="N430" s="70">
        <f>'RESUMEN TOTAL'!T474</f>
        <v>0</v>
      </c>
      <c r="O430" s="70">
        <f>'RESUMEN TOTAL'!U474</f>
        <v>0</v>
      </c>
      <c r="P430" s="70">
        <f>'RESUMEN TOTAL'!V474</f>
        <v>0</v>
      </c>
      <c r="Q430" s="70">
        <f>'RESUMEN TOTAL'!W474</f>
        <v>0</v>
      </c>
      <c r="R430" s="70">
        <f>'RESUMEN TOTAL'!X474</f>
        <v>0</v>
      </c>
      <c r="S430" s="70">
        <f>'RESUMEN TOTAL'!Y474</f>
        <v>0</v>
      </c>
      <c r="T430" s="70">
        <f>'RESUMEN TOTAL'!Z474</f>
        <v>0</v>
      </c>
      <c r="U430" s="70">
        <f>'RESUMEN TOTAL'!AA474</f>
        <v>0</v>
      </c>
      <c r="V430" s="70">
        <f>'RESUMEN TOTAL'!AB474</f>
        <v>0</v>
      </c>
      <c r="W430" s="70">
        <f>'RESUMEN TOTAL'!AC474</f>
        <v>0</v>
      </c>
      <c r="X430" s="70">
        <f>'RESUMEN TOTAL'!AD474</f>
        <v>0</v>
      </c>
      <c r="Y430" s="70">
        <f>'RESUMEN TOTAL'!AE474</f>
        <v>0</v>
      </c>
      <c r="Z430" s="70">
        <f>'RESUMEN TOTAL'!AF474</f>
        <v>0</v>
      </c>
      <c r="AA430" s="70">
        <f>'RESUMEN TOTAL'!AG474</f>
        <v>0</v>
      </c>
      <c r="AB430" s="70">
        <f>'RESUMEN TOTAL'!AH474</f>
        <v>0</v>
      </c>
      <c r="AC430" s="70">
        <f>'RESUMEN TOTAL'!AI474</f>
        <v>0</v>
      </c>
      <c r="AD430" s="70">
        <f>'RESUMEN TOTAL'!AJ474</f>
        <v>0</v>
      </c>
      <c r="AE430" s="70">
        <f>'RESUMEN TOTAL'!AK474</f>
        <v>0</v>
      </c>
      <c r="AF430" s="70">
        <f>'RESUMEN TOTAL'!AL474</f>
        <v>0</v>
      </c>
      <c r="AG430" s="70">
        <f>'RESUMEN TOTAL'!AM474</f>
        <v>0</v>
      </c>
      <c r="AH430" s="70">
        <f>'RESUMEN TOTAL'!AN474</f>
        <v>0</v>
      </c>
      <c r="AI430" s="70">
        <f>'RESUMEN TOTAL'!AO474</f>
        <v>0</v>
      </c>
      <c r="AJ430" s="70">
        <f>'RESUMEN TOTAL'!AP474</f>
        <v>0</v>
      </c>
    </row>
    <row r="431" spans="1:36" x14ac:dyDescent="0.25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0">
        <f>'RESUMEN TOTAL'!L475</f>
        <v>0</v>
      </c>
      <c r="G431" s="70">
        <f>'RESUMEN TOTAL'!M475</f>
        <v>0</v>
      </c>
      <c r="H431" s="70">
        <f>'RESUMEN TOTAL'!N475</f>
        <v>0</v>
      </c>
      <c r="I431" s="70">
        <f>'RESUMEN TOTAL'!O475</f>
        <v>0</v>
      </c>
      <c r="J431" s="70">
        <f>'RESUMEN TOTAL'!P475</f>
        <v>0</v>
      </c>
      <c r="K431" s="70">
        <f>'RESUMEN TOTAL'!Q475</f>
        <v>0</v>
      </c>
      <c r="L431" s="70">
        <f>'RESUMEN TOTAL'!R475</f>
        <v>0</v>
      </c>
      <c r="M431" s="70">
        <f>'RESUMEN TOTAL'!S475</f>
        <v>0</v>
      </c>
      <c r="N431" s="70">
        <f>'RESUMEN TOTAL'!T475</f>
        <v>0</v>
      </c>
      <c r="O431" s="70">
        <f>'RESUMEN TOTAL'!U475</f>
        <v>0</v>
      </c>
      <c r="P431" s="70">
        <f>'RESUMEN TOTAL'!V475</f>
        <v>0</v>
      </c>
      <c r="Q431" s="70">
        <f>'RESUMEN TOTAL'!W475</f>
        <v>0</v>
      </c>
      <c r="R431" s="70">
        <f>'RESUMEN TOTAL'!X475</f>
        <v>0</v>
      </c>
      <c r="S431" s="70">
        <f>'RESUMEN TOTAL'!Y475</f>
        <v>0</v>
      </c>
      <c r="T431" s="70">
        <f>'RESUMEN TOTAL'!Z475</f>
        <v>0</v>
      </c>
      <c r="U431" s="70">
        <f>'RESUMEN TOTAL'!AA475</f>
        <v>0</v>
      </c>
      <c r="V431" s="70">
        <f>'RESUMEN TOTAL'!AB475</f>
        <v>0</v>
      </c>
      <c r="W431" s="70">
        <f>'RESUMEN TOTAL'!AC475</f>
        <v>0</v>
      </c>
      <c r="X431" s="70">
        <f>'RESUMEN TOTAL'!AD475</f>
        <v>0</v>
      </c>
      <c r="Y431" s="70">
        <f>'RESUMEN TOTAL'!AE475</f>
        <v>0</v>
      </c>
      <c r="Z431" s="70">
        <f>'RESUMEN TOTAL'!AF475</f>
        <v>0</v>
      </c>
      <c r="AA431" s="70">
        <f>'RESUMEN TOTAL'!AG475</f>
        <v>0</v>
      </c>
      <c r="AB431" s="70">
        <f>'RESUMEN TOTAL'!AH475</f>
        <v>0</v>
      </c>
      <c r="AC431" s="70">
        <f>'RESUMEN TOTAL'!AI475</f>
        <v>0</v>
      </c>
      <c r="AD431" s="70">
        <f>'RESUMEN TOTAL'!AJ475</f>
        <v>0</v>
      </c>
      <c r="AE431" s="70">
        <f>'RESUMEN TOTAL'!AK475</f>
        <v>0</v>
      </c>
      <c r="AF431" s="70">
        <f>'RESUMEN TOTAL'!AL475</f>
        <v>0</v>
      </c>
      <c r="AG431" s="70">
        <f>'RESUMEN TOTAL'!AM475</f>
        <v>0</v>
      </c>
      <c r="AH431" s="70">
        <f>'RESUMEN TOTAL'!AN475</f>
        <v>0</v>
      </c>
      <c r="AI431" s="70">
        <f>'RESUMEN TOTAL'!AO475</f>
        <v>0</v>
      </c>
      <c r="AJ431" s="70">
        <f>'RESUMEN TOTAL'!AP475</f>
        <v>0</v>
      </c>
    </row>
    <row r="432" spans="1:36" x14ac:dyDescent="0.25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0" t="str">
        <f>'RESUMEN TOTAL'!L476</f>
        <v>APAGADO</v>
      </c>
      <c r="G432" s="70" t="str">
        <f>'RESUMEN TOTAL'!M476</f>
        <v>APAGADO</v>
      </c>
      <c r="H432" s="70" t="str">
        <f>'RESUMEN TOTAL'!N476</f>
        <v>APAGADO</v>
      </c>
      <c r="I432" s="70" t="str">
        <f>'RESUMEN TOTAL'!O476</f>
        <v>APAGADO</v>
      </c>
      <c r="J432" s="70" t="str">
        <f>'RESUMEN TOTAL'!P476</f>
        <v>APAGADO</v>
      </c>
      <c r="K432" s="70" t="str">
        <f>'RESUMEN TOTAL'!Q476</f>
        <v>APAGADO</v>
      </c>
      <c r="L432" s="70" t="str">
        <f>'RESUMEN TOTAL'!R476</f>
        <v>APAGADO</v>
      </c>
      <c r="M432" s="70" t="str">
        <f>'RESUMEN TOTAL'!S476</f>
        <v>APAGADO</v>
      </c>
      <c r="N432" s="70">
        <f>'RESUMEN TOTAL'!T476</f>
        <v>0</v>
      </c>
      <c r="O432" s="70">
        <f>'RESUMEN TOTAL'!U476</f>
        <v>0</v>
      </c>
      <c r="P432" s="70">
        <f>'RESUMEN TOTAL'!V476</f>
        <v>0</v>
      </c>
      <c r="Q432" s="70">
        <f>'RESUMEN TOTAL'!W476</f>
        <v>0</v>
      </c>
      <c r="R432" s="70">
        <f>'RESUMEN TOTAL'!X476</f>
        <v>0</v>
      </c>
      <c r="S432" s="70">
        <f>'RESUMEN TOTAL'!Y476</f>
        <v>0</v>
      </c>
      <c r="T432" s="70">
        <f>'RESUMEN TOTAL'!Z476</f>
        <v>0</v>
      </c>
      <c r="U432" s="70">
        <f>'RESUMEN TOTAL'!AA476</f>
        <v>0</v>
      </c>
      <c r="V432" s="70">
        <f>'RESUMEN TOTAL'!AB476</f>
        <v>0</v>
      </c>
      <c r="W432" s="70">
        <f>'RESUMEN TOTAL'!AC476</f>
        <v>0</v>
      </c>
      <c r="X432" s="70">
        <f>'RESUMEN TOTAL'!AD476</f>
        <v>0</v>
      </c>
      <c r="Y432" s="70">
        <f>'RESUMEN TOTAL'!AE476</f>
        <v>0</v>
      </c>
      <c r="Z432" s="70">
        <f>'RESUMEN TOTAL'!AF476</f>
        <v>0</v>
      </c>
      <c r="AA432" s="70">
        <f>'RESUMEN TOTAL'!AG476</f>
        <v>0</v>
      </c>
      <c r="AB432" s="70">
        <f>'RESUMEN TOTAL'!AH476</f>
        <v>0</v>
      </c>
      <c r="AC432" s="70">
        <f>'RESUMEN TOTAL'!AI476</f>
        <v>0</v>
      </c>
      <c r="AD432" s="70">
        <f>'RESUMEN TOTAL'!AJ476</f>
        <v>0</v>
      </c>
      <c r="AE432" s="70">
        <f>'RESUMEN TOTAL'!AK476</f>
        <v>0</v>
      </c>
      <c r="AF432" s="70">
        <f>'RESUMEN TOTAL'!AL476</f>
        <v>0</v>
      </c>
      <c r="AG432" s="70">
        <f>'RESUMEN TOTAL'!AM476</f>
        <v>0</v>
      </c>
      <c r="AH432" s="70">
        <f>'RESUMEN TOTAL'!AN476</f>
        <v>0</v>
      </c>
      <c r="AI432" s="70">
        <f>'RESUMEN TOTAL'!AO476</f>
        <v>0</v>
      </c>
      <c r="AJ432" s="70">
        <f>'RESUMEN TOTAL'!AP476</f>
        <v>0</v>
      </c>
    </row>
    <row r="433" spans="1:36" x14ac:dyDescent="0.25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0">
        <f>'RESUMEN TOTAL'!L477</f>
        <v>0</v>
      </c>
      <c r="G433" s="70">
        <f>'RESUMEN TOTAL'!M477</f>
        <v>0</v>
      </c>
      <c r="H433" s="70">
        <f>'RESUMEN TOTAL'!N477</f>
        <v>0</v>
      </c>
      <c r="I433" s="70" t="str">
        <f>'RESUMEN TOTAL'!O477</f>
        <v>APAGADO</v>
      </c>
      <c r="J433" s="70" t="str">
        <f>'RESUMEN TOTAL'!P477</f>
        <v>APAGADO</v>
      </c>
      <c r="K433" s="70" t="str">
        <f>'RESUMEN TOTAL'!Q477</f>
        <v>APAGADO</v>
      </c>
      <c r="L433" s="70" t="str">
        <f>'RESUMEN TOTAL'!R477</f>
        <v>APAGADO</v>
      </c>
      <c r="M433" s="70" t="str">
        <f>'RESUMEN TOTAL'!S477</f>
        <v>APAGADO</v>
      </c>
      <c r="N433" s="70">
        <f>'RESUMEN TOTAL'!T477</f>
        <v>0</v>
      </c>
      <c r="O433" s="70">
        <f>'RESUMEN TOTAL'!U477</f>
        <v>0</v>
      </c>
      <c r="P433" s="70">
        <f>'RESUMEN TOTAL'!V477</f>
        <v>0</v>
      </c>
      <c r="Q433" s="70">
        <f>'RESUMEN TOTAL'!W477</f>
        <v>0</v>
      </c>
      <c r="R433" s="70">
        <f>'RESUMEN TOTAL'!X477</f>
        <v>0</v>
      </c>
      <c r="S433" s="70">
        <f>'RESUMEN TOTAL'!Y477</f>
        <v>0</v>
      </c>
      <c r="T433" s="70">
        <f>'RESUMEN TOTAL'!Z477</f>
        <v>0</v>
      </c>
      <c r="U433" s="70">
        <f>'RESUMEN TOTAL'!AA477</f>
        <v>0</v>
      </c>
      <c r="V433" s="70">
        <f>'RESUMEN TOTAL'!AB477</f>
        <v>0</v>
      </c>
      <c r="W433" s="70">
        <f>'RESUMEN TOTAL'!AC477</f>
        <v>0</v>
      </c>
      <c r="X433" s="70">
        <f>'RESUMEN TOTAL'!AD477</f>
        <v>0</v>
      </c>
      <c r="Y433" s="70">
        <f>'RESUMEN TOTAL'!AE477</f>
        <v>0</v>
      </c>
      <c r="Z433" s="70">
        <f>'RESUMEN TOTAL'!AF477</f>
        <v>0</v>
      </c>
      <c r="AA433" s="70">
        <f>'RESUMEN TOTAL'!AG477</f>
        <v>0</v>
      </c>
      <c r="AB433" s="70">
        <f>'RESUMEN TOTAL'!AH477</f>
        <v>0</v>
      </c>
      <c r="AC433" s="70">
        <f>'RESUMEN TOTAL'!AI477</f>
        <v>0</v>
      </c>
      <c r="AD433" s="70">
        <f>'RESUMEN TOTAL'!AJ477</f>
        <v>0</v>
      </c>
      <c r="AE433" s="70">
        <f>'RESUMEN TOTAL'!AK477</f>
        <v>0</v>
      </c>
      <c r="AF433" s="70">
        <f>'RESUMEN TOTAL'!AL477</f>
        <v>0</v>
      </c>
      <c r="AG433" s="70">
        <f>'RESUMEN TOTAL'!AM477</f>
        <v>0</v>
      </c>
      <c r="AH433" s="70">
        <f>'RESUMEN TOTAL'!AN477</f>
        <v>0</v>
      </c>
      <c r="AI433" s="70">
        <f>'RESUMEN TOTAL'!AO477</f>
        <v>0</v>
      </c>
      <c r="AJ433" s="70">
        <f>'RESUMEN TOTAL'!AP477</f>
        <v>0</v>
      </c>
    </row>
    <row r="434" spans="1:36" x14ac:dyDescent="0.25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0" t="str">
        <f>'RESUMEN TOTAL'!L478</f>
        <v>APAGADO</v>
      </c>
      <c r="G434" s="70" t="str">
        <f>'RESUMEN TOTAL'!M478</f>
        <v>APAGADO</v>
      </c>
      <c r="H434" s="70" t="str">
        <f>'RESUMEN TOTAL'!N478</f>
        <v>APAGADO</v>
      </c>
      <c r="I434" s="70" t="str">
        <f>'RESUMEN TOTAL'!O478</f>
        <v>APAGADO</v>
      </c>
      <c r="J434" s="70" t="str">
        <f>'RESUMEN TOTAL'!P478</f>
        <v>APAGADO</v>
      </c>
      <c r="K434" s="70" t="str">
        <f>'RESUMEN TOTAL'!Q478</f>
        <v>APAGADO</v>
      </c>
      <c r="L434" s="70" t="str">
        <f>'RESUMEN TOTAL'!R478</f>
        <v>APAGADO</v>
      </c>
      <c r="M434" s="70" t="str">
        <f>'RESUMEN TOTAL'!S478</f>
        <v>APAGADO</v>
      </c>
      <c r="N434" s="70" t="str">
        <f>'RESUMEN TOTAL'!T478</f>
        <v>APAGADO</v>
      </c>
      <c r="O434" s="70" t="str">
        <f>'RESUMEN TOTAL'!U478</f>
        <v>APAGADO</v>
      </c>
      <c r="P434" s="70">
        <f>'RESUMEN TOTAL'!V478</f>
        <v>0</v>
      </c>
      <c r="Q434" s="70">
        <f>'RESUMEN TOTAL'!W478</f>
        <v>0</v>
      </c>
      <c r="R434" s="70">
        <f>'RESUMEN TOTAL'!X478</f>
        <v>0</v>
      </c>
      <c r="S434" s="70">
        <f>'RESUMEN TOTAL'!Y478</f>
        <v>0</v>
      </c>
      <c r="T434" s="70">
        <f>'RESUMEN TOTAL'!Z478</f>
        <v>0</v>
      </c>
      <c r="U434" s="70">
        <f>'RESUMEN TOTAL'!AA478</f>
        <v>0</v>
      </c>
      <c r="V434" s="70">
        <f>'RESUMEN TOTAL'!AB478</f>
        <v>0</v>
      </c>
      <c r="W434" s="70">
        <f>'RESUMEN TOTAL'!AC478</f>
        <v>0</v>
      </c>
      <c r="X434" s="70">
        <f>'RESUMEN TOTAL'!AD478</f>
        <v>0</v>
      </c>
      <c r="Y434" s="70">
        <f>'RESUMEN TOTAL'!AE478</f>
        <v>0</v>
      </c>
      <c r="Z434" s="70">
        <f>'RESUMEN TOTAL'!AF478</f>
        <v>0</v>
      </c>
      <c r="AA434" s="70">
        <f>'RESUMEN TOTAL'!AG478</f>
        <v>0</v>
      </c>
      <c r="AB434" s="70">
        <f>'RESUMEN TOTAL'!AH478</f>
        <v>0</v>
      </c>
      <c r="AC434" s="70">
        <f>'RESUMEN TOTAL'!AI478</f>
        <v>0</v>
      </c>
      <c r="AD434" s="70">
        <f>'RESUMEN TOTAL'!AJ478</f>
        <v>0</v>
      </c>
      <c r="AE434" s="70">
        <f>'RESUMEN TOTAL'!AK478</f>
        <v>0</v>
      </c>
      <c r="AF434" s="70">
        <f>'RESUMEN TOTAL'!AL478</f>
        <v>0</v>
      </c>
      <c r="AG434" s="70">
        <f>'RESUMEN TOTAL'!AM478</f>
        <v>0</v>
      </c>
      <c r="AH434" s="70">
        <f>'RESUMEN TOTAL'!AN478</f>
        <v>0</v>
      </c>
      <c r="AI434" s="70">
        <f>'RESUMEN TOTAL'!AO478</f>
        <v>0</v>
      </c>
      <c r="AJ434" s="70">
        <f>'RESUMEN TOTAL'!AP478</f>
        <v>0</v>
      </c>
    </row>
    <row r="435" spans="1:36" x14ac:dyDescent="0.25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0" t="str">
        <f>'RESUMEN TOTAL'!L479</f>
        <v>APAGADO</v>
      </c>
      <c r="G435" s="70" t="str">
        <f>'RESUMEN TOTAL'!M479</f>
        <v>APAGADO</v>
      </c>
      <c r="H435" s="70" t="str">
        <f>'RESUMEN TOTAL'!N479</f>
        <v>APAGADO</v>
      </c>
      <c r="I435" s="70" t="str">
        <f>'RESUMEN TOTAL'!O479</f>
        <v>APAGADO</v>
      </c>
      <c r="J435" s="70" t="str">
        <f>'RESUMEN TOTAL'!P479</f>
        <v>APAGADO</v>
      </c>
      <c r="K435" s="70" t="str">
        <f>'RESUMEN TOTAL'!Q479</f>
        <v>APAGADO</v>
      </c>
      <c r="L435" s="70" t="str">
        <f>'RESUMEN TOTAL'!R479</f>
        <v>APAGADO</v>
      </c>
      <c r="M435" s="70" t="str">
        <f>'RESUMEN TOTAL'!S479</f>
        <v>APAGADO</v>
      </c>
      <c r="N435" s="70" t="str">
        <f>'RESUMEN TOTAL'!T479</f>
        <v>APAGADO</v>
      </c>
      <c r="O435" s="70" t="str">
        <f>'RESUMEN TOTAL'!U479</f>
        <v>APAGADO</v>
      </c>
      <c r="P435" s="70">
        <f>'RESUMEN TOTAL'!V479</f>
        <v>0</v>
      </c>
      <c r="Q435" s="70">
        <f>'RESUMEN TOTAL'!W479</f>
        <v>0</v>
      </c>
      <c r="R435" s="70">
        <f>'RESUMEN TOTAL'!X479</f>
        <v>0</v>
      </c>
      <c r="S435" s="70">
        <f>'RESUMEN TOTAL'!Y479</f>
        <v>0</v>
      </c>
      <c r="T435" s="70">
        <f>'RESUMEN TOTAL'!Z479</f>
        <v>0</v>
      </c>
      <c r="U435" s="70">
        <f>'RESUMEN TOTAL'!AA479</f>
        <v>0</v>
      </c>
      <c r="V435" s="70">
        <f>'RESUMEN TOTAL'!AB479</f>
        <v>0</v>
      </c>
      <c r="W435" s="70">
        <f>'RESUMEN TOTAL'!AC479</f>
        <v>0</v>
      </c>
      <c r="X435" s="70" t="str">
        <f>'RESUMEN TOTAL'!AD479</f>
        <v>APAGADO</v>
      </c>
      <c r="Y435" s="70" t="str">
        <f>'RESUMEN TOTAL'!AE479</f>
        <v>APAGADO</v>
      </c>
      <c r="Z435" s="70" t="str">
        <f>'RESUMEN TOTAL'!AF479</f>
        <v>APAGADO</v>
      </c>
      <c r="AA435" s="70">
        <f>'RESUMEN TOTAL'!AG479</f>
        <v>0</v>
      </c>
      <c r="AB435" s="70">
        <f>'RESUMEN TOTAL'!AH479</f>
        <v>0</v>
      </c>
      <c r="AC435" s="70">
        <f>'RESUMEN TOTAL'!AI479</f>
        <v>0</v>
      </c>
      <c r="AD435" s="70">
        <f>'RESUMEN TOTAL'!AJ479</f>
        <v>0</v>
      </c>
      <c r="AE435" s="70">
        <f>'RESUMEN TOTAL'!AK479</f>
        <v>0</v>
      </c>
      <c r="AF435" s="70">
        <f>'RESUMEN TOTAL'!AL479</f>
        <v>0</v>
      </c>
      <c r="AG435" s="70">
        <f>'RESUMEN TOTAL'!AM479</f>
        <v>0</v>
      </c>
      <c r="AH435" s="70">
        <f>'RESUMEN TOTAL'!AN479</f>
        <v>0</v>
      </c>
      <c r="AI435" s="70">
        <f>'RESUMEN TOTAL'!AO479</f>
        <v>0</v>
      </c>
      <c r="AJ435" s="70">
        <f>'RESUMEN TOTAL'!AP479</f>
        <v>0</v>
      </c>
    </row>
    <row r="436" spans="1:36" x14ac:dyDescent="0.25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0" t="str">
        <f>'RESUMEN TOTAL'!L480</f>
        <v>APAGADO</v>
      </c>
      <c r="G436" s="70" t="str">
        <f>'RESUMEN TOTAL'!M480</f>
        <v>APAGADO</v>
      </c>
      <c r="H436" s="70" t="str">
        <f>'RESUMEN TOTAL'!N480</f>
        <v>APAGADO</v>
      </c>
      <c r="I436" s="70" t="str">
        <f>'RESUMEN TOTAL'!O480</f>
        <v>APAGADO</v>
      </c>
      <c r="J436" s="70" t="str">
        <f>'RESUMEN TOTAL'!P480</f>
        <v>APAGADO</v>
      </c>
      <c r="K436" s="70" t="str">
        <f>'RESUMEN TOTAL'!Q480</f>
        <v>APAGADO</v>
      </c>
      <c r="L436" s="70" t="str">
        <f>'RESUMEN TOTAL'!R480</f>
        <v>APAGADO</v>
      </c>
      <c r="M436" s="70" t="str">
        <f>'RESUMEN TOTAL'!S480</f>
        <v>APAGADO</v>
      </c>
      <c r="N436" s="70" t="str">
        <f>'RESUMEN TOTAL'!T480</f>
        <v>APAGADO</v>
      </c>
      <c r="O436" s="70" t="str">
        <f>'RESUMEN TOTAL'!U480</f>
        <v>APAGADO</v>
      </c>
      <c r="P436" s="70" t="str">
        <f>'RESUMEN TOTAL'!V480</f>
        <v>APAGADO</v>
      </c>
      <c r="Q436" s="70" t="str">
        <f>'RESUMEN TOTAL'!W480</f>
        <v>APAGADO</v>
      </c>
      <c r="R436" s="70" t="str">
        <f>'RESUMEN TOTAL'!X480</f>
        <v>APAGADO</v>
      </c>
      <c r="S436" s="70" t="str">
        <f>'RESUMEN TOTAL'!Y480</f>
        <v>APAGADO</v>
      </c>
      <c r="T436" s="70" t="str">
        <f>'RESUMEN TOTAL'!Z480</f>
        <v>APAGADO</v>
      </c>
      <c r="U436" s="70" t="str">
        <f>'RESUMEN TOTAL'!AA480</f>
        <v>APAGADO</v>
      </c>
      <c r="V436" s="70" t="str">
        <f>'RESUMEN TOTAL'!AB480</f>
        <v>APAGADO</v>
      </c>
      <c r="W436" s="70" t="str">
        <f>'RESUMEN TOTAL'!AC480</f>
        <v>APAGADO</v>
      </c>
      <c r="X436" s="70" t="str">
        <f>'RESUMEN TOTAL'!AD480</f>
        <v>APAGADO</v>
      </c>
      <c r="Y436" s="70" t="str">
        <f>'RESUMEN TOTAL'!AE480</f>
        <v>APAGADO</v>
      </c>
      <c r="Z436" s="70" t="str">
        <f>'RESUMEN TOTAL'!AF480</f>
        <v>APAGADO</v>
      </c>
      <c r="AA436" s="70" t="str">
        <f>'RESUMEN TOTAL'!AG480</f>
        <v>APAGADO</v>
      </c>
      <c r="AB436" s="70" t="str">
        <f>'RESUMEN TOTAL'!AH480</f>
        <v>APAGADO</v>
      </c>
      <c r="AC436" s="70" t="str">
        <f>'RESUMEN TOTAL'!AI480</f>
        <v>APAGADO</v>
      </c>
      <c r="AD436" s="70" t="str">
        <f>'RESUMEN TOTAL'!AJ480</f>
        <v>APAGADO</v>
      </c>
      <c r="AE436" s="70" t="str">
        <f>'RESUMEN TOTAL'!AK480</f>
        <v>APAGADO</v>
      </c>
      <c r="AF436" s="70" t="str">
        <f>'RESUMEN TOTAL'!AL480</f>
        <v>APAGADO</v>
      </c>
      <c r="AG436" s="70">
        <f>'RESUMEN TOTAL'!AM480</f>
        <v>0</v>
      </c>
      <c r="AH436" s="70">
        <f>'RESUMEN TOTAL'!AN480</f>
        <v>0</v>
      </c>
      <c r="AI436" s="70">
        <f>'RESUMEN TOTAL'!AO480</f>
        <v>0</v>
      </c>
      <c r="AJ436" s="70">
        <f>'RESUMEN TOTAL'!AP480</f>
        <v>0</v>
      </c>
    </row>
    <row r="437" spans="1:36" x14ac:dyDescent="0.25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0">
        <f>'RESUMEN TOTAL'!L481</f>
        <v>0</v>
      </c>
      <c r="G437" s="70">
        <f>'RESUMEN TOTAL'!M481</f>
        <v>0</v>
      </c>
      <c r="H437" s="70">
        <f>'RESUMEN TOTAL'!N481</f>
        <v>0</v>
      </c>
      <c r="I437" s="70">
        <f>'RESUMEN TOTAL'!O481</f>
        <v>0</v>
      </c>
      <c r="J437" s="70">
        <f>'RESUMEN TOTAL'!P481</f>
        <v>0</v>
      </c>
      <c r="K437" s="70">
        <f>'RESUMEN TOTAL'!Q481</f>
        <v>0</v>
      </c>
      <c r="L437" s="70">
        <f>'RESUMEN TOTAL'!R481</f>
        <v>0</v>
      </c>
      <c r="M437" s="70">
        <f>'RESUMEN TOTAL'!S481</f>
        <v>0</v>
      </c>
      <c r="N437" s="70">
        <f>'RESUMEN TOTAL'!T481</f>
        <v>0</v>
      </c>
      <c r="O437" s="70">
        <f>'RESUMEN TOTAL'!U481</f>
        <v>0</v>
      </c>
      <c r="P437" s="70">
        <f>'RESUMEN TOTAL'!V481</f>
        <v>0</v>
      </c>
      <c r="Q437" s="70">
        <f>'RESUMEN TOTAL'!W481</f>
        <v>0</v>
      </c>
      <c r="R437" s="70">
        <f>'RESUMEN TOTAL'!X481</f>
        <v>0</v>
      </c>
      <c r="S437" s="70">
        <f>'RESUMEN TOTAL'!Y481</f>
        <v>0</v>
      </c>
      <c r="T437" s="70">
        <f>'RESUMEN TOTAL'!Z481</f>
        <v>0</v>
      </c>
      <c r="U437" s="70">
        <f>'RESUMEN TOTAL'!AA481</f>
        <v>0</v>
      </c>
      <c r="V437" s="70">
        <f>'RESUMEN TOTAL'!AB481</f>
        <v>0</v>
      </c>
      <c r="W437" s="70">
        <f>'RESUMEN TOTAL'!AC481</f>
        <v>0</v>
      </c>
      <c r="X437" s="70">
        <f>'RESUMEN TOTAL'!AD481</f>
        <v>0</v>
      </c>
      <c r="Y437" s="70">
        <f>'RESUMEN TOTAL'!AE481</f>
        <v>0</v>
      </c>
      <c r="Z437" s="70">
        <f>'RESUMEN TOTAL'!AF481</f>
        <v>0</v>
      </c>
      <c r="AA437" s="70">
        <f>'RESUMEN TOTAL'!AG481</f>
        <v>0</v>
      </c>
      <c r="AB437" s="70">
        <f>'RESUMEN TOTAL'!AH481</f>
        <v>0</v>
      </c>
      <c r="AC437" s="70">
        <f>'RESUMEN TOTAL'!AI481</f>
        <v>0</v>
      </c>
      <c r="AD437" s="70">
        <f>'RESUMEN TOTAL'!AJ481</f>
        <v>0</v>
      </c>
      <c r="AE437" s="70">
        <f>'RESUMEN TOTAL'!AK481</f>
        <v>0</v>
      </c>
      <c r="AF437" s="70">
        <f>'RESUMEN TOTAL'!AL481</f>
        <v>0</v>
      </c>
      <c r="AG437" s="70">
        <f>'RESUMEN TOTAL'!AM481</f>
        <v>0</v>
      </c>
      <c r="AH437" s="70">
        <f>'RESUMEN TOTAL'!AN481</f>
        <v>0</v>
      </c>
      <c r="AI437" s="70">
        <f>'RESUMEN TOTAL'!AO481</f>
        <v>0</v>
      </c>
      <c r="AJ437" s="70">
        <f>'RESUMEN TOTAL'!AP481</f>
        <v>0</v>
      </c>
    </row>
    <row r="438" spans="1:36" x14ac:dyDescent="0.25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0" t="str">
        <f>'RESUMEN TOTAL'!L482</f>
        <v>APAGADO</v>
      </c>
      <c r="G438" s="70" t="str">
        <f>'RESUMEN TOTAL'!M482</f>
        <v>APAGADO</v>
      </c>
      <c r="H438" s="70" t="str">
        <f>'RESUMEN TOTAL'!N482</f>
        <v>APAGADO</v>
      </c>
      <c r="I438" s="70" t="str">
        <f>'RESUMEN TOTAL'!O482</f>
        <v>APAGADO</v>
      </c>
      <c r="J438" s="70" t="str">
        <f>'RESUMEN TOTAL'!P482</f>
        <v>APAGADO</v>
      </c>
      <c r="K438" s="70" t="str">
        <f>'RESUMEN TOTAL'!Q482</f>
        <v>APAGADO</v>
      </c>
      <c r="L438" s="70" t="str">
        <f>'RESUMEN TOTAL'!R482</f>
        <v>APAGADO</v>
      </c>
      <c r="M438" s="70" t="str">
        <f>'RESUMEN TOTAL'!S482</f>
        <v>APAGADO</v>
      </c>
      <c r="N438" s="70" t="str">
        <f>'RESUMEN TOTAL'!T482</f>
        <v>APAGADO</v>
      </c>
      <c r="O438" s="70" t="str">
        <f>'RESUMEN TOTAL'!U482</f>
        <v>APAGADO</v>
      </c>
      <c r="P438" s="70" t="str">
        <f>'RESUMEN TOTAL'!V482</f>
        <v>APAGADO</v>
      </c>
      <c r="Q438" s="70" t="str">
        <f>'RESUMEN TOTAL'!W482</f>
        <v>APAGADO</v>
      </c>
      <c r="R438" s="70" t="str">
        <f>'RESUMEN TOTAL'!X482</f>
        <v>APAGADO</v>
      </c>
      <c r="S438" s="70" t="str">
        <f>'RESUMEN TOTAL'!Y482</f>
        <v>APAGADO</v>
      </c>
      <c r="T438" s="70" t="str">
        <f>'RESUMEN TOTAL'!Z482</f>
        <v>APAGADO</v>
      </c>
      <c r="U438" s="70" t="str">
        <f>'RESUMEN TOTAL'!AA482</f>
        <v>APAGADO</v>
      </c>
      <c r="V438" s="70" t="str">
        <f>'RESUMEN TOTAL'!AB482</f>
        <v>APAGADO</v>
      </c>
      <c r="W438" s="70" t="str">
        <f>'RESUMEN TOTAL'!AC482</f>
        <v>APAGADO</v>
      </c>
      <c r="X438" s="70" t="str">
        <f>'RESUMEN TOTAL'!AD482</f>
        <v>APAGADO</v>
      </c>
      <c r="Y438" s="70" t="str">
        <f>'RESUMEN TOTAL'!AE482</f>
        <v>APAGADO</v>
      </c>
      <c r="Z438" s="70" t="str">
        <f>'RESUMEN TOTAL'!AF482</f>
        <v>APAGADO</v>
      </c>
      <c r="AA438" s="70" t="str">
        <f>'RESUMEN TOTAL'!AG482</f>
        <v>APAGADO</v>
      </c>
      <c r="AB438" s="70" t="str">
        <f>'RESUMEN TOTAL'!AH482</f>
        <v>APAGADO</v>
      </c>
      <c r="AC438" s="70" t="str">
        <f>'RESUMEN TOTAL'!AI482</f>
        <v>APAGADO</v>
      </c>
      <c r="AD438" s="70" t="str">
        <f>'RESUMEN TOTAL'!AJ482</f>
        <v>APAGADO</v>
      </c>
      <c r="AE438" s="70" t="str">
        <f>'RESUMEN TOTAL'!AK482</f>
        <v>APAGADO</v>
      </c>
      <c r="AF438" s="70" t="str">
        <f>'RESUMEN TOTAL'!AL482</f>
        <v>APAGADO</v>
      </c>
      <c r="AG438" s="70">
        <f>'RESUMEN TOTAL'!AM482</f>
        <v>0</v>
      </c>
      <c r="AH438" s="70">
        <f>'RESUMEN TOTAL'!AN482</f>
        <v>0</v>
      </c>
      <c r="AI438" s="70">
        <f>'RESUMEN TOTAL'!AO482</f>
        <v>0</v>
      </c>
      <c r="AJ438" s="70">
        <f>'RESUMEN TOTAL'!AP482</f>
        <v>0</v>
      </c>
    </row>
    <row r="439" spans="1:36" x14ac:dyDescent="0.25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0">
        <f>'RESUMEN TOTAL'!L483</f>
        <v>0</v>
      </c>
      <c r="G439" s="70">
        <f>'RESUMEN TOTAL'!M483</f>
        <v>0</v>
      </c>
      <c r="H439" s="70">
        <f>'RESUMEN TOTAL'!N483</f>
        <v>0</v>
      </c>
      <c r="I439" s="70">
        <f>'RESUMEN TOTAL'!O483</f>
        <v>0</v>
      </c>
      <c r="J439" s="70">
        <f>'RESUMEN TOTAL'!P483</f>
        <v>0</v>
      </c>
      <c r="K439" s="70">
        <f>'RESUMEN TOTAL'!Q483</f>
        <v>0</v>
      </c>
      <c r="L439" s="70">
        <f>'RESUMEN TOTAL'!R483</f>
        <v>0</v>
      </c>
      <c r="M439" s="70">
        <f>'RESUMEN TOTAL'!S483</f>
        <v>0</v>
      </c>
      <c r="N439" s="70">
        <f>'RESUMEN TOTAL'!T483</f>
        <v>0</v>
      </c>
      <c r="O439" s="70">
        <f>'RESUMEN TOTAL'!U483</f>
        <v>0</v>
      </c>
      <c r="P439" s="70">
        <f>'RESUMEN TOTAL'!V483</f>
        <v>0</v>
      </c>
      <c r="Q439" s="70">
        <f>'RESUMEN TOTAL'!W483</f>
        <v>0</v>
      </c>
      <c r="R439" s="70">
        <f>'RESUMEN TOTAL'!X483</f>
        <v>0</v>
      </c>
      <c r="S439" s="70">
        <f>'RESUMEN TOTAL'!Y483</f>
        <v>0</v>
      </c>
      <c r="T439" s="70">
        <f>'RESUMEN TOTAL'!Z483</f>
        <v>0</v>
      </c>
      <c r="U439" s="70">
        <f>'RESUMEN TOTAL'!AA483</f>
        <v>0</v>
      </c>
      <c r="V439" s="70">
        <f>'RESUMEN TOTAL'!AB483</f>
        <v>0</v>
      </c>
      <c r="W439" s="70">
        <f>'RESUMEN TOTAL'!AC483</f>
        <v>0</v>
      </c>
      <c r="X439" s="70">
        <f>'RESUMEN TOTAL'!AD483</f>
        <v>0</v>
      </c>
      <c r="Y439" s="70">
        <f>'RESUMEN TOTAL'!AE483</f>
        <v>0</v>
      </c>
      <c r="Z439" s="70">
        <f>'RESUMEN TOTAL'!AF483</f>
        <v>0</v>
      </c>
      <c r="AA439" s="70">
        <f>'RESUMEN TOTAL'!AG483</f>
        <v>0</v>
      </c>
      <c r="AB439" s="70">
        <f>'RESUMEN TOTAL'!AH483</f>
        <v>0</v>
      </c>
      <c r="AC439" s="70">
        <f>'RESUMEN TOTAL'!AI483</f>
        <v>0</v>
      </c>
      <c r="AD439" s="70">
        <f>'RESUMEN TOTAL'!AJ483</f>
        <v>0</v>
      </c>
      <c r="AE439" s="70">
        <f>'RESUMEN TOTAL'!AK483</f>
        <v>0</v>
      </c>
      <c r="AF439" s="70">
        <f>'RESUMEN TOTAL'!AL483</f>
        <v>0</v>
      </c>
      <c r="AG439" s="70">
        <f>'RESUMEN TOTAL'!AM483</f>
        <v>0</v>
      </c>
      <c r="AH439" s="70">
        <f>'RESUMEN TOTAL'!AN483</f>
        <v>0</v>
      </c>
      <c r="AI439" s="70">
        <f>'RESUMEN TOTAL'!AO483</f>
        <v>0</v>
      </c>
      <c r="AJ439" s="70">
        <f>'RESUMEN TOTAL'!AP483</f>
        <v>0</v>
      </c>
    </row>
    <row r="440" spans="1:36" x14ac:dyDescent="0.25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0">
        <f>'RESUMEN TOTAL'!L484</f>
        <v>0</v>
      </c>
      <c r="G440" s="70">
        <f>'RESUMEN TOTAL'!M484</f>
        <v>0</v>
      </c>
      <c r="H440" s="70">
        <f>'RESUMEN TOTAL'!N484</f>
        <v>0</v>
      </c>
      <c r="I440" s="70">
        <f>'RESUMEN TOTAL'!O484</f>
        <v>0</v>
      </c>
      <c r="J440" s="70">
        <f>'RESUMEN TOTAL'!P484</f>
        <v>0</v>
      </c>
      <c r="K440" s="70">
        <f>'RESUMEN TOTAL'!Q484</f>
        <v>0</v>
      </c>
      <c r="L440" s="70">
        <f>'RESUMEN TOTAL'!R484</f>
        <v>0</v>
      </c>
      <c r="M440" s="70">
        <f>'RESUMEN TOTAL'!S484</f>
        <v>0</v>
      </c>
      <c r="N440" s="70">
        <f>'RESUMEN TOTAL'!T484</f>
        <v>0</v>
      </c>
      <c r="O440" s="70">
        <f>'RESUMEN TOTAL'!U484</f>
        <v>0</v>
      </c>
      <c r="P440" s="70">
        <f>'RESUMEN TOTAL'!V484</f>
        <v>0</v>
      </c>
      <c r="Q440" s="70">
        <f>'RESUMEN TOTAL'!W484</f>
        <v>0</v>
      </c>
      <c r="R440" s="70">
        <f>'RESUMEN TOTAL'!X484</f>
        <v>0</v>
      </c>
      <c r="S440" s="70">
        <f>'RESUMEN TOTAL'!Y484</f>
        <v>0</v>
      </c>
      <c r="T440" s="70">
        <f>'RESUMEN TOTAL'!Z484</f>
        <v>0</v>
      </c>
      <c r="U440" s="70">
        <f>'RESUMEN TOTAL'!AA484</f>
        <v>0</v>
      </c>
      <c r="V440" s="70">
        <f>'RESUMEN TOTAL'!AB484</f>
        <v>0</v>
      </c>
      <c r="W440" s="70">
        <f>'RESUMEN TOTAL'!AC484</f>
        <v>0</v>
      </c>
      <c r="X440" s="70">
        <f>'RESUMEN TOTAL'!AD484</f>
        <v>0</v>
      </c>
      <c r="Y440" s="70">
        <f>'RESUMEN TOTAL'!AE484</f>
        <v>0</v>
      </c>
      <c r="Z440" s="70">
        <f>'RESUMEN TOTAL'!AF484</f>
        <v>0</v>
      </c>
      <c r="AA440" s="70">
        <f>'RESUMEN TOTAL'!AG484</f>
        <v>0</v>
      </c>
      <c r="AB440" s="70">
        <f>'RESUMEN TOTAL'!AH484</f>
        <v>0</v>
      </c>
      <c r="AC440" s="70">
        <f>'RESUMEN TOTAL'!AI484</f>
        <v>0</v>
      </c>
      <c r="AD440" s="70">
        <f>'RESUMEN TOTAL'!AJ484</f>
        <v>0</v>
      </c>
      <c r="AE440" s="70">
        <f>'RESUMEN TOTAL'!AK484</f>
        <v>0</v>
      </c>
      <c r="AF440" s="70">
        <f>'RESUMEN TOTAL'!AL484</f>
        <v>0</v>
      </c>
      <c r="AG440" s="70">
        <f>'RESUMEN TOTAL'!AM484</f>
        <v>0</v>
      </c>
      <c r="AH440" s="70">
        <f>'RESUMEN TOTAL'!AN484</f>
        <v>0</v>
      </c>
      <c r="AI440" s="70">
        <f>'RESUMEN TOTAL'!AO484</f>
        <v>0</v>
      </c>
      <c r="AJ440" s="70">
        <f>'RESUMEN TOTAL'!AP484</f>
        <v>0</v>
      </c>
    </row>
    <row r="441" spans="1:36" x14ac:dyDescent="0.25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0">
        <f>'RESUMEN TOTAL'!L485</f>
        <v>0</v>
      </c>
      <c r="G441" s="70">
        <f>'RESUMEN TOTAL'!M485</f>
        <v>0</v>
      </c>
      <c r="H441" s="70">
        <f>'RESUMEN TOTAL'!N485</f>
        <v>0</v>
      </c>
      <c r="I441" s="70">
        <f>'RESUMEN TOTAL'!O485</f>
        <v>0</v>
      </c>
      <c r="J441" s="70">
        <f>'RESUMEN TOTAL'!P485</f>
        <v>0</v>
      </c>
      <c r="K441" s="70">
        <f>'RESUMEN TOTAL'!Q485</f>
        <v>0</v>
      </c>
      <c r="L441" s="70">
        <f>'RESUMEN TOTAL'!R485</f>
        <v>0</v>
      </c>
      <c r="M441" s="70">
        <f>'RESUMEN TOTAL'!S485</f>
        <v>0</v>
      </c>
      <c r="N441" s="70">
        <f>'RESUMEN TOTAL'!T485</f>
        <v>0</v>
      </c>
      <c r="O441" s="70">
        <f>'RESUMEN TOTAL'!U485</f>
        <v>0</v>
      </c>
      <c r="P441" s="70">
        <f>'RESUMEN TOTAL'!V485</f>
        <v>0</v>
      </c>
      <c r="Q441" s="70">
        <f>'RESUMEN TOTAL'!W485</f>
        <v>0</v>
      </c>
      <c r="R441" s="70">
        <f>'RESUMEN TOTAL'!X485</f>
        <v>0</v>
      </c>
      <c r="S441" s="70">
        <f>'RESUMEN TOTAL'!Y485</f>
        <v>0</v>
      </c>
      <c r="T441" s="70">
        <f>'RESUMEN TOTAL'!Z485</f>
        <v>0</v>
      </c>
      <c r="U441" s="70">
        <f>'RESUMEN TOTAL'!AA485</f>
        <v>0</v>
      </c>
      <c r="V441" s="70">
        <f>'RESUMEN TOTAL'!AB485</f>
        <v>0</v>
      </c>
      <c r="W441" s="70">
        <f>'RESUMEN TOTAL'!AC485</f>
        <v>0</v>
      </c>
      <c r="X441" s="70">
        <f>'RESUMEN TOTAL'!AD485</f>
        <v>0</v>
      </c>
      <c r="Y441" s="70">
        <f>'RESUMEN TOTAL'!AE485</f>
        <v>0</v>
      </c>
      <c r="Z441" s="70">
        <f>'RESUMEN TOTAL'!AF485</f>
        <v>0</v>
      </c>
      <c r="AA441" s="70">
        <f>'RESUMEN TOTAL'!AG485</f>
        <v>0</v>
      </c>
      <c r="AB441" s="70">
        <f>'RESUMEN TOTAL'!AH485</f>
        <v>0</v>
      </c>
      <c r="AC441" s="70">
        <f>'RESUMEN TOTAL'!AI485</f>
        <v>0</v>
      </c>
      <c r="AD441" s="70">
        <f>'RESUMEN TOTAL'!AJ485</f>
        <v>0</v>
      </c>
      <c r="AE441" s="70">
        <f>'RESUMEN TOTAL'!AK485</f>
        <v>0</v>
      </c>
      <c r="AF441" s="70">
        <f>'RESUMEN TOTAL'!AL485</f>
        <v>0</v>
      </c>
      <c r="AG441" s="70">
        <f>'RESUMEN TOTAL'!AM485</f>
        <v>0</v>
      </c>
      <c r="AH441" s="70">
        <f>'RESUMEN TOTAL'!AN485</f>
        <v>0</v>
      </c>
      <c r="AI441" s="70">
        <f>'RESUMEN TOTAL'!AO485</f>
        <v>0</v>
      </c>
      <c r="AJ441" s="70">
        <f>'RESUMEN TOTAL'!AP485</f>
        <v>0</v>
      </c>
    </row>
    <row r="442" spans="1:36" x14ac:dyDescent="0.25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0">
        <f>'RESUMEN TOTAL'!L486</f>
        <v>0</v>
      </c>
      <c r="G442" s="70">
        <f>'RESUMEN TOTAL'!M486</f>
        <v>0</v>
      </c>
      <c r="H442" s="70">
        <f>'RESUMEN TOTAL'!N486</f>
        <v>0</v>
      </c>
      <c r="I442" s="70">
        <f>'RESUMEN TOTAL'!O486</f>
        <v>0</v>
      </c>
      <c r="J442" s="70">
        <f>'RESUMEN TOTAL'!P486</f>
        <v>0</v>
      </c>
      <c r="K442" s="70">
        <f>'RESUMEN TOTAL'!Q486</f>
        <v>0</v>
      </c>
      <c r="L442" s="70">
        <f>'RESUMEN TOTAL'!R486</f>
        <v>0</v>
      </c>
      <c r="M442" s="70">
        <f>'RESUMEN TOTAL'!S486</f>
        <v>0</v>
      </c>
      <c r="N442" s="70">
        <f>'RESUMEN TOTAL'!T486</f>
        <v>0</v>
      </c>
      <c r="O442" s="70">
        <f>'RESUMEN TOTAL'!U486</f>
        <v>0</v>
      </c>
      <c r="P442" s="70">
        <f>'RESUMEN TOTAL'!V486</f>
        <v>0</v>
      </c>
      <c r="Q442" s="70">
        <f>'RESUMEN TOTAL'!W486</f>
        <v>0</v>
      </c>
      <c r="R442" s="70">
        <f>'RESUMEN TOTAL'!X486</f>
        <v>0</v>
      </c>
      <c r="S442" s="70">
        <f>'RESUMEN TOTAL'!Y486</f>
        <v>0</v>
      </c>
      <c r="T442" s="70">
        <f>'RESUMEN TOTAL'!Z486</f>
        <v>0</v>
      </c>
      <c r="U442" s="70">
        <f>'RESUMEN TOTAL'!AA486</f>
        <v>0</v>
      </c>
      <c r="V442" s="70">
        <f>'RESUMEN TOTAL'!AB486</f>
        <v>0</v>
      </c>
      <c r="W442" s="70">
        <f>'RESUMEN TOTAL'!AC486</f>
        <v>0</v>
      </c>
      <c r="X442" s="70">
        <f>'RESUMEN TOTAL'!AD486</f>
        <v>0</v>
      </c>
      <c r="Y442" s="70">
        <f>'RESUMEN TOTAL'!AE486</f>
        <v>0</v>
      </c>
      <c r="Z442" s="70">
        <f>'RESUMEN TOTAL'!AF486</f>
        <v>0</v>
      </c>
      <c r="AA442" s="70">
        <f>'RESUMEN TOTAL'!AG486</f>
        <v>0</v>
      </c>
      <c r="AB442" s="70">
        <f>'RESUMEN TOTAL'!AH486</f>
        <v>0</v>
      </c>
      <c r="AC442" s="70">
        <f>'RESUMEN TOTAL'!AI486</f>
        <v>0</v>
      </c>
      <c r="AD442" s="70">
        <f>'RESUMEN TOTAL'!AJ486</f>
        <v>0</v>
      </c>
      <c r="AE442" s="70">
        <f>'RESUMEN TOTAL'!AK486</f>
        <v>0</v>
      </c>
      <c r="AF442" s="70">
        <f>'RESUMEN TOTAL'!AL486</f>
        <v>0</v>
      </c>
      <c r="AG442" s="70">
        <f>'RESUMEN TOTAL'!AM486</f>
        <v>0</v>
      </c>
      <c r="AH442" s="70">
        <f>'RESUMEN TOTAL'!AN486</f>
        <v>0</v>
      </c>
      <c r="AI442" s="70">
        <f>'RESUMEN TOTAL'!AO486</f>
        <v>0</v>
      </c>
      <c r="AJ442" s="70">
        <f>'RESUMEN TOTAL'!AP486</f>
        <v>0</v>
      </c>
    </row>
    <row r="443" spans="1:36" x14ac:dyDescent="0.25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0">
        <f>'RESUMEN TOTAL'!L487</f>
        <v>0</v>
      </c>
      <c r="G443" s="70">
        <f>'RESUMEN TOTAL'!M487</f>
        <v>0</v>
      </c>
      <c r="H443" s="70">
        <f>'RESUMEN TOTAL'!N487</f>
        <v>0</v>
      </c>
      <c r="I443" s="70">
        <f>'RESUMEN TOTAL'!O487</f>
        <v>0</v>
      </c>
      <c r="J443" s="70">
        <f>'RESUMEN TOTAL'!P487</f>
        <v>0</v>
      </c>
      <c r="K443" s="70">
        <f>'RESUMEN TOTAL'!Q487</f>
        <v>0</v>
      </c>
      <c r="L443" s="70">
        <f>'RESUMEN TOTAL'!R487</f>
        <v>0</v>
      </c>
      <c r="M443" s="70">
        <f>'RESUMEN TOTAL'!S487</f>
        <v>0</v>
      </c>
      <c r="N443" s="70">
        <f>'RESUMEN TOTAL'!T487</f>
        <v>0</v>
      </c>
      <c r="O443" s="70">
        <f>'RESUMEN TOTAL'!U487</f>
        <v>0</v>
      </c>
      <c r="P443" s="70">
        <f>'RESUMEN TOTAL'!V487</f>
        <v>0</v>
      </c>
      <c r="Q443" s="70">
        <f>'RESUMEN TOTAL'!W487</f>
        <v>0</v>
      </c>
      <c r="R443" s="70">
        <f>'RESUMEN TOTAL'!X487</f>
        <v>0</v>
      </c>
      <c r="S443" s="70">
        <f>'RESUMEN TOTAL'!Y487</f>
        <v>0</v>
      </c>
      <c r="T443" s="70">
        <f>'RESUMEN TOTAL'!Z487</f>
        <v>0</v>
      </c>
      <c r="U443" s="70">
        <f>'RESUMEN TOTAL'!AA487</f>
        <v>0</v>
      </c>
      <c r="V443" s="70">
        <f>'RESUMEN TOTAL'!AB487</f>
        <v>0</v>
      </c>
      <c r="W443" s="70">
        <f>'RESUMEN TOTAL'!AC487</f>
        <v>0</v>
      </c>
      <c r="X443" s="70">
        <f>'RESUMEN TOTAL'!AD487</f>
        <v>0</v>
      </c>
      <c r="Y443" s="70">
        <f>'RESUMEN TOTAL'!AE487</f>
        <v>0</v>
      </c>
      <c r="Z443" s="70">
        <f>'RESUMEN TOTAL'!AF487</f>
        <v>0</v>
      </c>
      <c r="AA443" s="70">
        <f>'RESUMEN TOTAL'!AG487</f>
        <v>0</v>
      </c>
      <c r="AB443" s="70">
        <f>'RESUMEN TOTAL'!AH487</f>
        <v>0</v>
      </c>
      <c r="AC443" s="70">
        <f>'RESUMEN TOTAL'!AI487</f>
        <v>0</v>
      </c>
      <c r="AD443" s="70">
        <f>'RESUMEN TOTAL'!AJ487</f>
        <v>0</v>
      </c>
      <c r="AE443" s="70">
        <f>'RESUMEN TOTAL'!AK487</f>
        <v>0</v>
      </c>
      <c r="AF443" s="70">
        <f>'RESUMEN TOTAL'!AL487</f>
        <v>0</v>
      </c>
      <c r="AG443" s="70">
        <f>'RESUMEN TOTAL'!AM487</f>
        <v>0</v>
      </c>
      <c r="AH443" s="70">
        <f>'RESUMEN TOTAL'!AN487</f>
        <v>0</v>
      </c>
      <c r="AI443" s="70">
        <f>'RESUMEN TOTAL'!AO487</f>
        <v>0</v>
      </c>
      <c r="AJ443" s="70">
        <f>'RESUMEN TOTAL'!AP487</f>
        <v>0</v>
      </c>
    </row>
    <row r="444" spans="1:36" x14ac:dyDescent="0.25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0">
        <f>'RESUMEN TOTAL'!L488</f>
        <v>0</v>
      </c>
      <c r="G444" s="70">
        <f>'RESUMEN TOTAL'!M488</f>
        <v>0</v>
      </c>
      <c r="H444" s="70">
        <f>'RESUMEN TOTAL'!N488</f>
        <v>0</v>
      </c>
      <c r="I444" s="70">
        <f>'RESUMEN TOTAL'!O488</f>
        <v>0</v>
      </c>
      <c r="J444" s="70">
        <f>'RESUMEN TOTAL'!P488</f>
        <v>0</v>
      </c>
      <c r="K444" s="70">
        <f>'RESUMEN TOTAL'!Q488</f>
        <v>0</v>
      </c>
      <c r="L444" s="70">
        <f>'RESUMEN TOTAL'!R488</f>
        <v>0</v>
      </c>
      <c r="M444" s="70">
        <f>'RESUMEN TOTAL'!S488</f>
        <v>0</v>
      </c>
      <c r="N444" s="70">
        <f>'RESUMEN TOTAL'!T488</f>
        <v>0</v>
      </c>
      <c r="O444" s="70">
        <f>'RESUMEN TOTAL'!U488</f>
        <v>0</v>
      </c>
      <c r="P444" s="70">
        <f>'RESUMEN TOTAL'!V488</f>
        <v>0</v>
      </c>
      <c r="Q444" s="70">
        <f>'RESUMEN TOTAL'!W488</f>
        <v>0</v>
      </c>
      <c r="R444" s="70">
        <f>'RESUMEN TOTAL'!X488</f>
        <v>0</v>
      </c>
      <c r="S444" s="70">
        <f>'RESUMEN TOTAL'!Y488</f>
        <v>0</v>
      </c>
      <c r="T444" s="70">
        <f>'RESUMEN TOTAL'!Z488</f>
        <v>0</v>
      </c>
      <c r="U444" s="70">
        <f>'RESUMEN TOTAL'!AA488</f>
        <v>0</v>
      </c>
      <c r="V444" s="70">
        <f>'RESUMEN TOTAL'!AB488</f>
        <v>0</v>
      </c>
      <c r="W444" s="70">
        <f>'RESUMEN TOTAL'!AC488</f>
        <v>0</v>
      </c>
      <c r="X444" s="70">
        <f>'RESUMEN TOTAL'!AD488</f>
        <v>0</v>
      </c>
      <c r="Y444" s="70">
        <f>'RESUMEN TOTAL'!AE488</f>
        <v>0</v>
      </c>
      <c r="Z444" s="70">
        <f>'RESUMEN TOTAL'!AF488</f>
        <v>0</v>
      </c>
      <c r="AA444" s="70">
        <f>'RESUMEN TOTAL'!AG488</f>
        <v>0</v>
      </c>
      <c r="AB444" s="70">
        <f>'RESUMEN TOTAL'!AH488</f>
        <v>0</v>
      </c>
      <c r="AC444" s="70">
        <f>'RESUMEN TOTAL'!AI488</f>
        <v>0</v>
      </c>
      <c r="AD444" s="70">
        <f>'RESUMEN TOTAL'!AJ488</f>
        <v>0</v>
      </c>
      <c r="AE444" s="70">
        <f>'RESUMEN TOTAL'!AK488</f>
        <v>0</v>
      </c>
      <c r="AF444" s="70">
        <f>'RESUMEN TOTAL'!AL488</f>
        <v>0</v>
      </c>
      <c r="AG444" s="70">
        <f>'RESUMEN TOTAL'!AM488</f>
        <v>0</v>
      </c>
      <c r="AH444" s="70">
        <f>'RESUMEN TOTAL'!AN488</f>
        <v>0</v>
      </c>
      <c r="AI444" s="70">
        <f>'RESUMEN TOTAL'!AO488</f>
        <v>0</v>
      </c>
      <c r="AJ444" s="70">
        <f>'RESUMEN TOTAL'!AP488</f>
        <v>0</v>
      </c>
    </row>
    <row r="445" spans="1:36" x14ac:dyDescent="0.25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0">
        <f>'RESUMEN TOTAL'!L489</f>
        <v>0</v>
      </c>
      <c r="G445" s="70">
        <f>'RESUMEN TOTAL'!M489</f>
        <v>0</v>
      </c>
      <c r="H445" s="70">
        <f>'RESUMEN TOTAL'!N489</f>
        <v>0</v>
      </c>
      <c r="I445" s="70">
        <f>'RESUMEN TOTAL'!O489</f>
        <v>0</v>
      </c>
      <c r="J445" s="70">
        <f>'RESUMEN TOTAL'!P489</f>
        <v>0</v>
      </c>
      <c r="K445" s="70">
        <f>'RESUMEN TOTAL'!Q489</f>
        <v>0</v>
      </c>
      <c r="L445" s="70">
        <f>'RESUMEN TOTAL'!R489</f>
        <v>0</v>
      </c>
      <c r="M445" s="70">
        <f>'RESUMEN TOTAL'!S489</f>
        <v>0</v>
      </c>
      <c r="N445" s="70">
        <f>'RESUMEN TOTAL'!T489</f>
        <v>0</v>
      </c>
      <c r="O445" s="70">
        <f>'RESUMEN TOTAL'!U489</f>
        <v>0</v>
      </c>
      <c r="P445" s="70">
        <f>'RESUMEN TOTAL'!V489</f>
        <v>0</v>
      </c>
      <c r="Q445" s="70">
        <f>'RESUMEN TOTAL'!W489</f>
        <v>0</v>
      </c>
      <c r="R445" s="70">
        <f>'RESUMEN TOTAL'!X489</f>
        <v>0</v>
      </c>
      <c r="S445" s="70">
        <f>'RESUMEN TOTAL'!Y489</f>
        <v>0</v>
      </c>
      <c r="T445" s="70">
        <f>'RESUMEN TOTAL'!Z489</f>
        <v>0</v>
      </c>
      <c r="U445" s="70">
        <f>'RESUMEN TOTAL'!AA489</f>
        <v>0</v>
      </c>
      <c r="V445" s="70">
        <f>'RESUMEN TOTAL'!AB489</f>
        <v>0</v>
      </c>
      <c r="W445" s="70">
        <f>'RESUMEN TOTAL'!AC489</f>
        <v>0</v>
      </c>
      <c r="X445" s="70">
        <f>'RESUMEN TOTAL'!AD489</f>
        <v>0</v>
      </c>
      <c r="Y445" s="70">
        <f>'RESUMEN TOTAL'!AE489</f>
        <v>0</v>
      </c>
      <c r="Z445" s="70">
        <f>'RESUMEN TOTAL'!AF489</f>
        <v>0</v>
      </c>
      <c r="AA445" s="70">
        <f>'RESUMEN TOTAL'!AG489</f>
        <v>0</v>
      </c>
      <c r="AB445" s="70">
        <f>'RESUMEN TOTAL'!AH489</f>
        <v>0</v>
      </c>
      <c r="AC445" s="70">
        <f>'RESUMEN TOTAL'!AI489</f>
        <v>0</v>
      </c>
      <c r="AD445" s="70">
        <f>'RESUMEN TOTAL'!AJ489</f>
        <v>0</v>
      </c>
      <c r="AE445" s="70">
        <f>'RESUMEN TOTAL'!AK489</f>
        <v>0</v>
      </c>
      <c r="AF445" s="70">
        <f>'RESUMEN TOTAL'!AL489</f>
        <v>0</v>
      </c>
      <c r="AG445" s="70">
        <f>'RESUMEN TOTAL'!AM489</f>
        <v>0</v>
      </c>
      <c r="AH445" s="70">
        <f>'RESUMEN TOTAL'!AN489</f>
        <v>0</v>
      </c>
      <c r="AI445" s="70">
        <f>'RESUMEN TOTAL'!AO489</f>
        <v>0</v>
      </c>
      <c r="AJ445" s="70">
        <f>'RESUMEN TOTAL'!AP489</f>
        <v>0</v>
      </c>
    </row>
    <row r="446" spans="1:36" x14ac:dyDescent="0.25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0">
        <f>'RESUMEN TOTAL'!L490</f>
        <v>0</v>
      </c>
      <c r="G446" s="70">
        <f>'RESUMEN TOTAL'!M490</f>
        <v>0</v>
      </c>
      <c r="H446" s="70">
        <f>'RESUMEN TOTAL'!N490</f>
        <v>0</v>
      </c>
      <c r="I446" s="70">
        <f>'RESUMEN TOTAL'!O490</f>
        <v>0</v>
      </c>
      <c r="J446" s="70">
        <f>'RESUMEN TOTAL'!P490</f>
        <v>0</v>
      </c>
      <c r="K446" s="70">
        <f>'RESUMEN TOTAL'!Q490</f>
        <v>0</v>
      </c>
      <c r="L446" s="70">
        <f>'RESUMEN TOTAL'!R490</f>
        <v>0</v>
      </c>
      <c r="M446" s="70">
        <f>'RESUMEN TOTAL'!S490</f>
        <v>0</v>
      </c>
      <c r="N446" s="70">
        <f>'RESUMEN TOTAL'!T490</f>
        <v>0</v>
      </c>
      <c r="O446" s="70">
        <f>'RESUMEN TOTAL'!U490</f>
        <v>0</v>
      </c>
      <c r="P446" s="70">
        <f>'RESUMEN TOTAL'!V490</f>
        <v>0</v>
      </c>
      <c r="Q446" s="70">
        <f>'RESUMEN TOTAL'!W490</f>
        <v>0</v>
      </c>
      <c r="R446" s="70">
        <f>'RESUMEN TOTAL'!X490</f>
        <v>0</v>
      </c>
      <c r="S446" s="70">
        <f>'RESUMEN TOTAL'!Y490</f>
        <v>0</v>
      </c>
      <c r="T446" s="70">
        <f>'RESUMEN TOTAL'!Z490</f>
        <v>0</v>
      </c>
      <c r="U446" s="70">
        <f>'RESUMEN TOTAL'!AA490</f>
        <v>0</v>
      </c>
      <c r="V446" s="70">
        <f>'RESUMEN TOTAL'!AB490</f>
        <v>0</v>
      </c>
      <c r="W446" s="70">
        <f>'RESUMEN TOTAL'!AC490</f>
        <v>0</v>
      </c>
      <c r="X446" s="70">
        <f>'RESUMEN TOTAL'!AD490</f>
        <v>0</v>
      </c>
      <c r="Y446" s="70">
        <f>'RESUMEN TOTAL'!AE490</f>
        <v>0</v>
      </c>
      <c r="Z446" s="70">
        <f>'RESUMEN TOTAL'!AF490</f>
        <v>0</v>
      </c>
      <c r="AA446" s="70">
        <f>'RESUMEN TOTAL'!AG490</f>
        <v>0</v>
      </c>
      <c r="AB446" s="70">
        <f>'RESUMEN TOTAL'!AH490</f>
        <v>0</v>
      </c>
      <c r="AC446" s="70">
        <f>'RESUMEN TOTAL'!AI490</f>
        <v>0</v>
      </c>
      <c r="AD446" s="70">
        <f>'RESUMEN TOTAL'!AJ490</f>
        <v>0</v>
      </c>
      <c r="AE446" s="70">
        <f>'RESUMEN TOTAL'!AK490</f>
        <v>0</v>
      </c>
      <c r="AF446" s="70">
        <f>'RESUMEN TOTAL'!AL490</f>
        <v>0</v>
      </c>
      <c r="AG446" s="70">
        <f>'RESUMEN TOTAL'!AM490</f>
        <v>0</v>
      </c>
      <c r="AH446" s="70">
        <f>'RESUMEN TOTAL'!AN490</f>
        <v>0</v>
      </c>
      <c r="AI446" s="70">
        <f>'RESUMEN TOTAL'!AO490</f>
        <v>0</v>
      </c>
      <c r="AJ446" s="70">
        <f>'RESUMEN TOTAL'!AP490</f>
        <v>0</v>
      </c>
    </row>
    <row r="447" spans="1:36" x14ac:dyDescent="0.25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0">
        <f>'RESUMEN TOTAL'!L491</f>
        <v>0</v>
      </c>
      <c r="G447" s="70">
        <f>'RESUMEN TOTAL'!M491</f>
        <v>0</v>
      </c>
      <c r="H447" s="70">
        <f>'RESUMEN TOTAL'!N491</f>
        <v>0</v>
      </c>
      <c r="I447" s="70">
        <f>'RESUMEN TOTAL'!O491</f>
        <v>0</v>
      </c>
      <c r="J447" s="70">
        <f>'RESUMEN TOTAL'!P491</f>
        <v>0</v>
      </c>
      <c r="K447" s="70">
        <f>'RESUMEN TOTAL'!Q491</f>
        <v>0</v>
      </c>
      <c r="L447" s="70">
        <f>'RESUMEN TOTAL'!R491</f>
        <v>0</v>
      </c>
      <c r="M447" s="70">
        <f>'RESUMEN TOTAL'!S491</f>
        <v>0</v>
      </c>
      <c r="N447" s="70">
        <f>'RESUMEN TOTAL'!T491</f>
        <v>0</v>
      </c>
      <c r="O447" s="70">
        <f>'RESUMEN TOTAL'!U491</f>
        <v>0</v>
      </c>
      <c r="P447" s="70">
        <f>'RESUMEN TOTAL'!V491</f>
        <v>0</v>
      </c>
      <c r="Q447" s="70">
        <f>'RESUMEN TOTAL'!W491</f>
        <v>0</v>
      </c>
      <c r="R447" s="70">
        <f>'RESUMEN TOTAL'!X491</f>
        <v>0</v>
      </c>
      <c r="S447" s="70">
        <f>'RESUMEN TOTAL'!Y491</f>
        <v>0</v>
      </c>
      <c r="T447" s="70">
        <f>'RESUMEN TOTAL'!Z491</f>
        <v>0</v>
      </c>
      <c r="U447" s="70">
        <f>'RESUMEN TOTAL'!AA491</f>
        <v>0</v>
      </c>
      <c r="V447" s="70">
        <f>'RESUMEN TOTAL'!AB491</f>
        <v>0</v>
      </c>
      <c r="W447" s="70">
        <f>'RESUMEN TOTAL'!AC491</f>
        <v>0</v>
      </c>
      <c r="X447" s="70">
        <f>'RESUMEN TOTAL'!AD491</f>
        <v>0</v>
      </c>
      <c r="Y447" s="70">
        <f>'RESUMEN TOTAL'!AE491</f>
        <v>0</v>
      </c>
      <c r="Z447" s="70">
        <f>'RESUMEN TOTAL'!AF491</f>
        <v>0</v>
      </c>
      <c r="AA447" s="70">
        <f>'RESUMEN TOTAL'!AG491</f>
        <v>0</v>
      </c>
      <c r="AB447" s="70">
        <f>'RESUMEN TOTAL'!AH491</f>
        <v>0</v>
      </c>
      <c r="AC447" s="70">
        <f>'RESUMEN TOTAL'!AI491</f>
        <v>0</v>
      </c>
      <c r="AD447" s="70">
        <f>'RESUMEN TOTAL'!AJ491</f>
        <v>0</v>
      </c>
      <c r="AE447" s="70">
        <f>'RESUMEN TOTAL'!AK491</f>
        <v>0</v>
      </c>
      <c r="AF447" s="70">
        <f>'RESUMEN TOTAL'!AL491</f>
        <v>0</v>
      </c>
      <c r="AG447" s="70">
        <f>'RESUMEN TOTAL'!AM491</f>
        <v>0</v>
      </c>
      <c r="AH447" s="70">
        <f>'RESUMEN TOTAL'!AN491</f>
        <v>0</v>
      </c>
      <c r="AI447" s="70">
        <f>'RESUMEN TOTAL'!AO491</f>
        <v>0</v>
      </c>
      <c r="AJ447" s="70">
        <f>'RESUMEN TOTAL'!AP491</f>
        <v>0</v>
      </c>
    </row>
    <row r="448" spans="1:36" x14ac:dyDescent="0.25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0">
        <f>'RESUMEN TOTAL'!L492</f>
        <v>0</v>
      </c>
      <c r="G448" s="70">
        <f>'RESUMEN TOTAL'!M492</f>
        <v>0</v>
      </c>
      <c r="H448" s="70">
        <f>'RESUMEN TOTAL'!N492</f>
        <v>0</v>
      </c>
      <c r="I448" s="70">
        <f>'RESUMEN TOTAL'!O492</f>
        <v>0</v>
      </c>
      <c r="J448" s="70">
        <f>'RESUMEN TOTAL'!P492</f>
        <v>0</v>
      </c>
      <c r="K448" s="70">
        <f>'RESUMEN TOTAL'!Q492</f>
        <v>0</v>
      </c>
      <c r="L448" s="70">
        <f>'RESUMEN TOTAL'!R492</f>
        <v>0</v>
      </c>
      <c r="M448" s="70">
        <f>'RESUMEN TOTAL'!S492</f>
        <v>0</v>
      </c>
      <c r="N448" s="70">
        <f>'RESUMEN TOTAL'!T492</f>
        <v>0</v>
      </c>
      <c r="O448" s="70">
        <f>'RESUMEN TOTAL'!U492</f>
        <v>0</v>
      </c>
      <c r="P448" s="70">
        <f>'RESUMEN TOTAL'!V492</f>
        <v>0</v>
      </c>
      <c r="Q448" s="70">
        <f>'RESUMEN TOTAL'!W492</f>
        <v>0</v>
      </c>
      <c r="R448" s="70">
        <f>'RESUMEN TOTAL'!X492</f>
        <v>0</v>
      </c>
      <c r="S448" s="70">
        <f>'RESUMEN TOTAL'!Y492</f>
        <v>0</v>
      </c>
      <c r="T448" s="70">
        <f>'RESUMEN TOTAL'!Z492</f>
        <v>0</v>
      </c>
      <c r="U448" s="70">
        <f>'RESUMEN TOTAL'!AA492</f>
        <v>0</v>
      </c>
      <c r="V448" s="70">
        <f>'RESUMEN TOTAL'!AB492</f>
        <v>0</v>
      </c>
      <c r="W448" s="70">
        <f>'RESUMEN TOTAL'!AC492</f>
        <v>0</v>
      </c>
      <c r="X448" s="70">
        <f>'RESUMEN TOTAL'!AD492</f>
        <v>0</v>
      </c>
      <c r="Y448" s="70">
        <f>'RESUMEN TOTAL'!AE492</f>
        <v>0</v>
      </c>
      <c r="Z448" s="70">
        <f>'RESUMEN TOTAL'!AF492</f>
        <v>0</v>
      </c>
      <c r="AA448" s="70">
        <f>'RESUMEN TOTAL'!AG492</f>
        <v>0</v>
      </c>
      <c r="AB448" s="70">
        <f>'RESUMEN TOTAL'!AH492</f>
        <v>0</v>
      </c>
      <c r="AC448" s="70">
        <f>'RESUMEN TOTAL'!AI492</f>
        <v>0</v>
      </c>
      <c r="AD448" s="70">
        <f>'RESUMEN TOTAL'!AJ492</f>
        <v>0</v>
      </c>
      <c r="AE448" s="70">
        <f>'RESUMEN TOTAL'!AK492</f>
        <v>0</v>
      </c>
      <c r="AF448" s="70">
        <f>'RESUMEN TOTAL'!AL492</f>
        <v>0</v>
      </c>
      <c r="AG448" s="70">
        <f>'RESUMEN TOTAL'!AM492</f>
        <v>0</v>
      </c>
      <c r="AH448" s="70">
        <f>'RESUMEN TOTAL'!AN492</f>
        <v>0</v>
      </c>
      <c r="AI448" s="70">
        <f>'RESUMEN TOTAL'!AO492</f>
        <v>0</v>
      </c>
      <c r="AJ448" s="70">
        <f>'RESUMEN TOTAL'!AP492</f>
        <v>0</v>
      </c>
    </row>
    <row r="449" spans="1:36" x14ac:dyDescent="0.25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0">
        <f>'RESUMEN TOTAL'!L493</f>
        <v>0</v>
      </c>
      <c r="G449" s="70">
        <f>'RESUMEN TOTAL'!M493</f>
        <v>0</v>
      </c>
      <c r="H449" s="70">
        <f>'RESUMEN TOTAL'!N493</f>
        <v>0</v>
      </c>
      <c r="I449" s="70">
        <f>'RESUMEN TOTAL'!O493</f>
        <v>0</v>
      </c>
      <c r="J449" s="70">
        <f>'RESUMEN TOTAL'!P493</f>
        <v>0</v>
      </c>
      <c r="K449" s="70">
        <f>'RESUMEN TOTAL'!Q493</f>
        <v>0</v>
      </c>
      <c r="L449" s="70">
        <f>'RESUMEN TOTAL'!R493</f>
        <v>0</v>
      </c>
      <c r="M449" s="70">
        <f>'RESUMEN TOTAL'!S493</f>
        <v>0</v>
      </c>
      <c r="N449" s="70">
        <f>'RESUMEN TOTAL'!T493</f>
        <v>0</v>
      </c>
      <c r="O449" s="70">
        <f>'RESUMEN TOTAL'!U493</f>
        <v>0</v>
      </c>
      <c r="P449" s="70">
        <f>'RESUMEN TOTAL'!V493</f>
        <v>0</v>
      </c>
      <c r="Q449" s="70">
        <f>'RESUMEN TOTAL'!W493</f>
        <v>0</v>
      </c>
      <c r="R449" s="70">
        <f>'RESUMEN TOTAL'!X493</f>
        <v>0</v>
      </c>
      <c r="S449" s="70">
        <f>'RESUMEN TOTAL'!Y493</f>
        <v>0</v>
      </c>
      <c r="T449" s="70">
        <f>'RESUMEN TOTAL'!Z493</f>
        <v>0</v>
      </c>
      <c r="U449" s="70">
        <f>'RESUMEN TOTAL'!AA493</f>
        <v>0</v>
      </c>
      <c r="V449" s="70">
        <f>'RESUMEN TOTAL'!AB493</f>
        <v>0</v>
      </c>
      <c r="W449" s="70">
        <f>'RESUMEN TOTAL'!AC493</f>
        <v>0</v>
      </c>
      <c r="X449" s="70">
        <f>'RESUMEN TOTAL'!AD493</f>
        <v>0</v>
      </c>
      <c r="Y449" s="70">
        <f>'RESUMEN TOTAL'!AE493</f>
        <v>0</v>
      </c>
      <c r="Z449" s="70">
        <f>'RESUMEN TOTAL'!AF493</f>
        <v>0</v>
      </c>
      <c r="AA449" s="70">
        <f>'RESUMEN TOTAL'!AG493</f>
        <v>0</v>
      </c>
      <c r="AB449" s="70">
        <f>'RESUMEN TOTAL'!AH493</f>
        <v>0</v>
      </c>
      <c r="AC449" s="70">
        <f>'RESUMEN TOTAL'!AI493</f>
        <v>0</v>
      </c>
      <c r="AD449" s="70">
        <f>'RESUMEN TOTAL'!AJ493</f>
        <v>0</v>
      </c>
      <c r="AE449" s="70">
        <f>'RESUMEN TOTAL'!AK493</f>
        <v>0</v>
      </c>
      <c r="AF449" s="70">
        <f>'RESUMEN TOTAL'!AL493</f>
        <v>0</v>
      </c>
      <c r="AG449" s="70">
        <f>'RESUMEN TOTAL'!AM493</f>
        <v>0</v>
      </c>
      <c r="AH449" s="70">
        <f>'RESUMEN TOTAL'!AN493</f>
        <v>0</v>
      </c>
      <c r="AI449" s="70">
        <f>'RESUMEN TOTAL'!AO493</f>
        <v>0</v>
      </c>
      <c r="AJ449" s="70">
        <f>'RESUMEN TOTAL'!AP493</f>
        <v>0</v>
      </c>
    </row>
    <row r="450" spans="1:36" x14ac:dyDescent="0.25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0" t="str">
        <f>'RESUMEN TOTAL'!L494</f>
        <v>APAGADO</v>
      </c>
      <c r="G450" s="70" t="str">
        <f>'RESUMEN TOTAL'!M494</f>
        <v>APAGADO</v>
      </c>
      <c r="H450" s="70" t="str">
        <f>'RESUMEN TOTAL'!N494</f>
        <v>APAGADO</v>
      </c>
      <c r="I450" s="70" t="str">
        <f>'RESUMEN TOTAL'!O494</f>
        <v>APAGADO</v>
      </c>
      <c r="J450" s="70" t="str">
        <f>'RESUMEN TOTAL'!P494</f>
        <v>APAGADO</v>
      </c>
      <c r="K450" s="70" t="str">
        <f>'RESUMEN TOTAL'!Q494</f>
        <v>APAGADO</v>
      </c>
      <c r="L450" s="70" t="str">
        <f>'RESUMEN TOTAL'!R494</f>
        <v>APAGADO</v>
      </c>
      <c r="M450" s="70">
        <f>'RESUMEN TOTAL'!S494</f>
        <v>0</v>
      </c>
      <c r="N450" s="70">
        <f>'RESUMEN TOTAL'!T494</f>
        <v>0</v>
      </c>
      <c r="O450" s="70">
        <f>'RESUMEN TOTAL'!U494</f>
        <v>0</v>
      </c>
      <c r="P450" s="70">
        <f>'RESUMEN TOTAL'!V494</f>
        <v>0</v>
      </c>
      <c r="Q450" s="70">
        <f>'RESUMEN TOTAL'!W494</f>
        <v>0</v>
      </c>
      <c r="R450" s="70">
        <f>'RESUMEN TOTAL'!X494</f>
        <v>0</v>
      </c>
      <c r="S450" s="70">
        <f>'RESUMEN TOTAL'!Y494</f>
        <v>0</v>
      </c>
      <c r="T450" s="70">
        <f>'RESUMEN TOTAL'!Z494</f>
        <v>0</v>
      </c>
      <c r="U450" s="70">
        <f>'RESUMEN TOTAL'!AA494</f>
        <v>0</v>
      </c>
      <c r="V450" s="70">
        <f>'RESUMEN TOTAL'!AB494</f>
        <v>0</v>
      </c>
      <c r="W450" s="70">
        <f>'RESUMEN TOTAL'!AC494</f>
        <v>0</v>
      </c>
      <c r="X450" s="70" t="str">
        <f>'RESUMEN TOTAL'!AD494</f>
        <v>APAGADO</v>
      </c>
      <c r="Y450" s="70" t="str">
        <f>'RESUMEN TOTAL'!AE494</f>
        <v>APAGADO</v>
      </c>
      <c r="Z450" s="70" t="str">
        <f>'RESUMEN TOTAL'!AF494</f>
        <v>APAGADO</v>
      </c>
      <c r="AA450" s="70">
        <f>'RESUMEN TOTAL'!AG494</f>
        <v>0</v>
      </c>
      <c r="AB450" s="70">
        <f>'RESUMEN TOTAL'!AH494</f>
        <v>0</v>
      </c>
      <c r="AC450" s="70">
        <f>'RESUMEN TOTAL'!AI494</f>
        <v>0</v>
      </c>
      <c r="AD450" s="70">
        <f>'RESUMEN TOTAL'!AJ494</f>
        <v>0</v>
      </c>
      <c r="AE450" s="70">
        <f>'RESUMEN TOTAL'!AK494</f>
        <v>0</v>
      </c>
      <c r="AF450" s="70">
        <f>'RESUMEN TOTAL'!AL494</f>
        <v>0</v>
      </c>
      <c r="AG450" s="70">
        <f>'RESUMEN TOTAL'!AM494</f>
        <v>0</v>
      </c>
      <c r="AH450" s="70">
        <f>'RESUMEN TOTAL'!AN494</f>
        <v>0</v>
      </c>
      <c r="AI450" s="70">
        <f>'RESUMEN TOTAL'!AO494</f>
        <v>0</v>
      </c>
      <c r="AJ450" s="70">
        <f>'RESUMEN TOTAL'!AP494</f>
        <v>0</v>
      </c>
    </row>
    <row r="451" spans="1:36" x14ac:dyDescent="0.25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0">
        <f>'RESUMEN TOTAL'!L495</f>
        <v>0</v>
      </c>
      <c r="G451" s="70">
        <f>'RESUMEN TOTAL'!M495</f>
        <v>0</v>
      </c>
      <c r="H451" s="70">
        <f>'RESUMEN TOTAL'!N495</f>
        <v>0</v>
      </c>
      <c r="I451" s="70">
        <f>'RESUMEN TOTAL'!O495</f>
        <v>0</v>
      </c>
      <c r="J451" s="70">
        <f>'RESUMEN TOTAL'!P495</f>
        <v>0</v>
      </c>
      <c r="K451" s="70">
        <f>'RESUMEN TOTAL'!Q495</f>
        <v>0</v>
      </c>
      <c r="L451" s="70">
        <f>'RESUMEN TOTAL'!R495</f>
        <v>0</v>
      </c>
      <c r="M451" s="70">
        <f>'RESUMEN TOTAL'!S495</f>
        <v>0</v>
      </c>
      <c r="N451" s="70">
        <f>'RESUMEN TOTAL'!T495</f>
        <v>0</v>
      </c>
      <c r="O451" s="70">
        <f>'RESUMEN TOTAL'!U495</f>
        <v>0</v>
      </c>
      <c r="P451" s="70">
        <f>'RESUMEN TOTAL'!V495</f>
        <v>0</v>
      </c>
      <c r="Q451" s="70">
        <f>'RESUMEN TOTAL'!W495</f>
        <v>0</v>
      </c>
      <c r="R451" s="70">
        <f>'RESUMEN TOTAL'!X495</f>
        <v>0</v>
      </c>
      <c r="S451" s="70">
        <f>'RESUMEN TOTAL'!Y495</f>
        <v>0</v>
      </c>
      <c r="T451" s="70">
        <f>'RESUMEN TOTAL'!Z495</f>
        <v>0</v>
      </c>
      <c r="U451" s="70">
        <f>'RESUMEN TOTAL'!AA495</f>
        <v>0</v>
      </c>
      <c r="V451" s="70">
        <f>'RESUMEN TOTAL'!AB495</f>
        <v>0</v>
      </c>
      <c r="W451" s="70">
        <f>'RESUMEN TOTAL'!AC495</f>
        <v>0</v>
      </c>
      <c r="X451" s="70">
        <f>'RESUMEN TOTAL'!AD495</f>
        <v>0</v>
      </c>
      <c r="Y451" s="70">
        <f>'RESUMEN TOTAL'!AE495</f>
        <v>0</v>
      </c>
      <c r="Z451" s="70">
        <f>'RESUMEN TOTAL'!AF495</f>
        <v>0</v>
      </c>
      <c r="AA451" s="70">
        <f>'RESUMEN TOTAL'!AG495</f>
        <v>0</v>
      </c>
      <c r="AB451" s="70">
        <f>'RESUMEN TOTAL'!AH495</f>
        <v>0</v>
      </c>
      <c r="AC451" s="70">
        <f>'RESUMEN TOTAL'!AI495</f>
        <v>0</v>
      </c>
      <c r="AD451" s="70">
        <f>'RESUMEN TOTAL'!AJ495</f>
        <v>0</v>
      </c>
      <c r="AE451" s="70">
        <f>'RESUMEN TOTAL'!AK495</f>
        <v>0</v>
      </c>
      <c r="AF451" s="70">
        <f>'RESUMEN TOTAL'!AL495</f>
        <v>0</v>
      </c>
      <c r="AG451" s="70">
        <f>'RESUMEN TOTAL'!AM495</f>
        <v>0</v>
      </c>
      <c r="AH451" s="70">
        <f>'RESUMEN TOTAL'!AN495</f>
        <v>0</v>
      </c>
      <c r="AI451" s="70">
        <f>'RESUMEN TOTAL'!AO495</f>
        <v>0</v>
      </c>
      <c r="AJ451" s="70">
        <f>'RESUMEN TOTAL'!AP495</f>
        <v>0</v>
      </c>
    </row>
    <row r="452" spans="1:36" x14ac:dyDescent="0.25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0">
        <f>'RESUMEN TOTAL'!L496</f>
        <v>0</v>
      </c>
      <c r="G452" s="70">
        <f>'RESUMEN TOTAL'!M496</f>
        <v>0</v>
      </c>
      <c r="H452" s="70">
        <f>'RESUMEN TOTAL'!N496</f>
        <v>0</v>
      </c>
      <c r="I452" s="70">
        <f>'RESUMEN TOTAL'!O496</f>
        <v>0</v>
      </c>
      <c r="J452" s="70">
        <f>'RESUMEN TOTAL'!P496</f>
        <v>0</v>
      </c>
      <c r="K452" s="70">
        <f>'RESUMEN TOTAL'!Q496</f>
        <v>0</v>
      </c>
      <c r="L452" s="70">
        <f>'RESUMEN TOTAL'!R496</f>
        <v>0</v>
      </c>
      <c r="M452" s="70">
        <f>'RESUMEN TOTAL'!S496</f>
        <v>0</v>
      </c>
      <c r="N452" s="70">
        <f>'RESUMEN TOTAL'!T496</f>
        <v>0</v>
      </c>
      <c r="O452" s="70">
        <f>'RESUMEN TOTAL'!U496</f>
        <v>0</v>
      </c>
      <c r="P452" s="70">
        <f>'RESUMEN TOTAL'!V496</f>
        <v>0</v>
      </c>
      <c r="Q452" s="70">
        <f>'RESUMEN TOTAL'!W496</f>
        <v>0</v>
      </c>
      <c r="R452" s="70">
        <f>'RESUMEN TOTAL'!X496</f>
        <v>0</v>
      </c>
      <c r="S452" s="70">
        <f>'RESUMEN TOTAL'!Y496</f>
        <v>0</v>
      </c>
      <c r="T452" s="70">
        <f>'RESUMEN TOTAL'!Z496</f>
        <v>0</v>
      </c>
      <c r="U452" s="70">
        <f>'RESUMEN TOTAL'!AA496</f>
        <v>0</v>
      </c>
      <c r="V452" s="70">
        <f>'RESUMEN TOTAL'!AB496</f>
        <v>0</v>
      </c>
      <c r="W452" s="70">
        <f>'RESUMEN TOTAL'!AC496</f>
        <v>0</v>
      </c>
      <c r="X452" s="70">
        <f>'RESUMEN TOTAL'!AD496</f>
        <v>0</v>
      </c>
      <c r="Y452" s="70">
        <f>'RESUMEN TOTAL'!AE496</f>
        <v>0</v>
      </c>
      <c r="Z452" s="70">
        <f>'RESUMEN TOTAL'!AF496</f>
        <v>0</v>
      </c>
      <c r="AA452" s="70">
        <f>'RESUMEN TOTAL'!AG496</f>
        <v>0</v>
      </c>
      <c r="AB452" s="70">
        <f>'RESUMEN TOTAL'!AH496</f>
        <v>0</v>
      </c>
      <c r="AC452" s="70">
        <f>'RESUMEN TOTAL'!AI496</f>
        <v>0</v>
      </c>
      <c r="AD452" s="70">
        <f>'RESUMEN TOTAL'!AJ496</f>
        <v>0</v>
      </c>
      <c r="AE452" s="70">
        <f>'RESUMEN TOTAL'!AK496</f>
        <v>0</v>
      </c>
      <c r="AF452" s="70">
        <f>'RESUMEN TOTAL'!AL496</f>
        <v>0</v>
      </c>
      <c r="AG452" s="70">
        <f>'RESUMEN TOTAL'!AM496</f>
        <v>0</v>
      </c>
      <c r="AH452" s="70">
        <f>'RESUMEN TOTAL'!AN496</f>
        <v>0</v>
      </c>
      <c r="AI452" s="70">
        <f>'RESUMEN TOTAL'!AO496</f>
        <v>0</v>
      </c>
      <c r="AJ452" s="70">
        <f>'RESUMEN TOTAL'!AP496</f>
        <v>0</v>
      </c>
    </row>
    <row r="453" spans="1:36" x14ac:dyDescent="0.25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0">
        <f>'RESUMEN TOTAL'!L497</f>
        <v>0</v>
      </c>
      <c r="G453" s="70">
        <f>'RESUMEN TOTAL'!M497</f>
        <v>0</v>
      </c>
      <c r="H453" s="70">
        <f>'RESUMEN TOTAL'!N497</f>
        <v>0</v>
      </c>
      <c r="I453" s="70">
        <f>'RESUMEN TOTAL'!O497</f>
        <v>0</v>
      </c>
      <c r="J453" s="70">
        <f>'RESUMEN TOTAL'!P497</f>
        <v>0</v>
      </c>
      <c r="K453" s="70">
        <f>'RESUMEN TOTAL'!Q497</f>
        <v>0</v>
      </c>
      <c r="L453" s="70">
        <f>'RESUMEN TOTAL'!R497</f>
        <v>0</v>
      </c>
      <c r="M453" s="70">
        <f>'RESUMEN TOTAL'!S497</f>
        <v>0</v>
      </c>
      <c r="N453" s="70">
        <f>'RESUMEN TOTAL'!T497</f>
        <v>0</v>
      </c>
      <c r="O453" s="70">
        <f>'RESUMEN TOTAL'!U497</f>
        <v>0</v>
      </c>
      <c r="P453" s="70">
        <f>'RESUMEN TOTAL'!V497</f>
        <v>0</v>
      </c>
      <c r="Q453" s="70">
        <f>'RESUMEN TOTAL'!W497</f>
        <v>0</v>
      </c>
      <c r="R453" s="70">
        <f>'RESUMEN TOTAL'!X497</f>
        <v>0</v>
      </c>
      <c r="S453" s="70">
        <f>'RESUMEN TOTAL'!Y497</f>
        <v>0</v>
      </c>
      <c r="T453" s="70">
        <f>'RESUMEN TOTAL'!Z497</f>
        <v>0</v>
      </c>
      <c r="U453" s="70">
        <f>'RESUMEN TOTAL'!AA497</f>
        <v>0</v>
      </c>
      <c r="V453" s="70">
        <f>'RESUMEN TOTAL'!AB497</f>
        <v>0</v>
      </c>
      <c r="W453" s="70">
        <f>'RESUMEN TOTAL'!AC497</f>
        <v>0</v>
      </c>
      <c r="X453" s="70">
        <f>'RESUMEN TOTAL'!AD497</f>
        <v>0</v>
      </c>
      <c r="Y453" s="70">
        <f>'RESUMEN TOTAL'!AE497</f>
        <v>0</v>
      </c>
      <c r="Z453" s="70">
        <f>'RESUMEN TOTAL'!AF497</f>
        <v>0</v>
      </c>
      <c r="AA453" s="70">
        <f>'RESUMEN TOTAL'!AG497</f>
        <v>0</v>
      </c>
      <c r="AB453" s="70">
        <f>'RESUMEN TOTAL'!AH497</f>
        <v>0</v>
      </c>
      <c r="AC453" s="70">
        <f>'RESUMEN TOTAL'!AI497</f>
        <v>0</v>
      </c>
      <c r="AD453" s="70">
        <f>'RESUMEN TOTAL'!AJ497</f>
        <v>0</v>
      </c>
      <c r="AE453" s="70">
        <f>'RESUMEN TOTAL'!AK497</f>
        <v>0</v>
      </c>
      <c r="AF453" s="70">
        <f>'RESUMEN TOTAL'!AL497</f>
        <v>0</v>
      </c>
      <c r="AG453" s="70">
        <f>'RESUMEN TOTAL'!AM497</f>
        <v>0</v>
      </c>
      <c r="AH453" s="70">
        <f>'RESUMEN TOTAL'!AN497</f>
        <v>0</v>
      </c>
      <c r="AI453" s="70">
        <f>'RESUMEN TOTAL'!AO497</f>
        <v>0</v>
      </c>
      <c r="AJ453" s="70">
        <f>'RESUMEN TOTAL'!AP497</f>
        <v>0</v>
      </c>
    </row>
    <row r="454" spans="1:36" x14ac:dyDescent="0.25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0">
        <f>'RESUMEN TOTAL'!L498</f>
        <v>0</v>
      </c>
      <c r="G454" s="70">
        <f>'RESUMEN TOTAL'!M498</f>
        <v>0</v>
      </c>
      <c r="H454" s="70">
        <f>'RESUMEN TOTAL'!N498</f>
        <v>0</v>
      </c>
      <c r="I454" s="70">
        <f>'RESUMEN TOTAL'!O498</f>
        <v>0</v>
      </c>
      <c r="J454" s="70">
        <f>'RESUMEN TOTAL'!P498</f>
        <v>0</v>
      </c>
      <c r="K454" s="70">
        <f>'RESUMEN TOTAL'!Q498</f>
        <v>0</v>
      </c>
      <c r="L454" s="70">
        <f>'RESUMEN TOTAL'!R498</f>
        <v>0</v>
      </c>
      <c r="M454" s="70">
        <f>'RESUMEN TOTAL'!S498</f>
        <v>0</v>
      </c>
      <c r="N454" s="70">
        <f>'RESUMEN TOTAL'!T498</f>
        <v>0</v>
      </c>
      <c r="O454" s="70">
        <f>'RESUMEN TOTAL'!U498</f>
        <v>0</v>
      </c>
      <c r="P454" s="70">
        <f>'RESUMEN TOTAL'!V498</f>
        <v>0</v>
      </c>
      <c r="Q454" s="70">
        <f>'RESUMEN TOTAL'!W498</f>
        <v>0</v>
      </c>
      <c r="R454" s="70">
        <f>'RESUMEN TOTAL'!X498</f>
        <v>0</v>
      </c>
      <c r="S454" s="70">
        <f>'RESUMEN TOTAL'!Y498</f>
        <v>0</v>
      </c>
      <c r="T454" s="70">
        <f>'RESUMEN TOTAL'!Z498</f>
        <v>0</v>
      </c>
      <c r="U454" s="70">
        <f>'RESUMEN TOTAL'!AA498</f>
        <v>0</v>
      </c>
      <c r="V454" s="70">
        <f>'RESUMEN TOTAL'!AB498</f>
        <v>0</v>
      </c>
      <c r="W454" s="70">
        <f>'RESUMEN TOTAL'!AC498</f>
        <v>0</v>
      </c>
      <c r="X454" s="70">
        <f>'RESUMEN TOTAL'!AD498</f>
        <v>0</v>
      </c>
      <c r="Y454" s="70">
        <f>'RESUMEN TOTAL'!AE498</f>
        <v>0</v>
      </c>
      <c r="Z454" s="70">
        <f>'RESUMEN TOTAL'!AF498</f>
        <v>0</v>
      </c>
      <c r="AA454" s="70">
        <f>'RESUMEN TOTAL'!AG498</f>
        <v>0</v>
      </c>
      <c r="AB454" s="70">
        <f>'RESUMEN TOTAL'!AH498</f>
        <v>0</v>
      </c>
      <c r="AC454" s="70">
        <f>'RESUMEN TOTAL'!AI498</f>
        <v>0</v>
      </c>
      <c r="AD454" s="70">
        <f>'RESUMEN TOTAL'!AJ498</f>
        <v>0</v>
      </c>
      <c r="AE454" s="70">
        <f>'RESUMEN TOTAL'!AK498</f>
        <v>0</v>
      </c>
      <c r="AF454" s="70">
        <f>'RESUMEN TOTAL'!AL498</f>
        <v>0</v>
      </c>
      <c r="AG454" s="70">
        <f>'RESUMEN TOTAL'!AM498</f>
        <v>0</v>
      </c>
      <c r="AH454" s="70">
        <f>'RESUMEN TOTAL'!AN498</f>
        <v>0</v>
      </c>
      <c r="AI454" s="70">
        <f>'RESUMEN TOTAL'!AO498</f>
        <v>0</v>
      </c>
      <c r="AJ454" s="70">
        <f>'RESUMEN TOTAL'!AP498</f>
        <v>0</v>
      </c>
    </row>
    <row r="455" spans="1:36" x14ac:dyDescent="0.25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0">
        <f>'RESUMEN TOTAL'!L499</f>
        <v>0</v>
      </c>
      <c r="G455" s="70">
        <f>'RESUMEN TOTAL'!M499</f>
        <v>0</v>
      </c>
      <c r="H455" s="70">
        <f>'RESUMEN TOTAL'!N499</f>
        <v>0</v>
      </c>
      <c r="I455" s="70">
        <f>'RESUMEN TOTAL'!O499</f>
        <v>0</v>
      </c>
      <c r="J455" s="70">
        <f>'RESUMEN TOTAL'!P499</f>
        <v>0</v>
      </c>
      <c r="K455" s="70">
        <f>'RESUMEN TOTAL'!Q499</f>
        <v>0</v>
      </c>
      <c r="L455" s="70">
        <f>'RESUMEN TOTAL'!R499</f>
        <v>0</v>
      </c>
      <c r="M455" s="70">
        <f>'RESUMEN TOTAL'!S499</f>
        <v>0</v>
      </c>
      <c r="N455" s="70">
        <f>'RESUMEN TOTAL'!T499</f>
        <v>0</v>
      </c>
      <c r="O455" s="70">
        <f>'RESUMEN TOTAL'!U499</f>
        <v>0</v>
      </c>
      <c r="P455" s="70">
        <f>'RESUMEN TOTAL'!V499</f>
        <v>0</v>
      </c>
      <c r="Q455" s="70">
        <f>'RESUMEN TOTAL'!W499</f>
        <v>0</v>
      </c>
      <c r="R455" s="70">
        <f>'RESUMEN TOTAL'!X499</f>
        <v>0</v>
      </c>
      <c r="S455" s="70">
        <f>'RESUMEN TOTAL'!Y499</f>
        <v>0</v>
      </c>
      <c r="T455" s="70">
        <f>'RESUMEN TOTAL'!Z499</f>
        <v>0</v>
      </c>
      <c r="U455" s="70">
        <f>'RESUMEN TOTAL'!AA499</f>
        <v>0</v>
      </c>
      <c r="V455" s="70">
        <f>'RESUMEN TOTAL'!AB499</f>
        <v>0</v>
      </c>
      <c r="W455" s="70">
        <f>'RESUMEN TOTAL'!AC499</f>
        <v>0</v>
      </c>
      <c r="X455" s="70">
        <f>'RESUMEN TOTAL'!AD499</f>
        <v>0</v>
      </c>
      <c r="Y455" s="70">
        <f>'RESUMEN TOTAL'!AE499</f>
        <v>0</v>
      </c>
      <c r="Z455" s="70">
        <f>'RESUMEN TOTAL'!AF499</f>
        <v>0</v>
      </c>
      <c r="AA455" s="70">
        <f>'RESUMEN TOTAL'!AG499</f>
        <v>0</v>
      </c>
      <c r="AB455" s="70">
        <f>'RESUMEN TOTAL'!AH499</f>
        <v>0</v>
      </c>
      <c r="AC455" s="70">
        <f>'RESUMEN TOTAL'!AI499</f>
        <v>0</v>
      </c>
      <c r="AD455" s="70">
        <f>'RESUMEN TOTAL'!AJ499</f>
        <v>0</v>
      </c>
      <c r="AE455" s="70">
        <f>'RESUMEN TOTAL'!AK499</f>
        <v>0</v>
      </c>
      <c r="AF455" s="70">
        <f>'RESUMEN TOTAL'!AL499</f>
        <v>0</v>
      </c>
      <c r="AG455" s="70">
        <f>'RESUMEN TOTAL'!AM499</f>
        <v>0</v>
      </c>
      <c r="AH455" s="70">
        <f>'RESUMEN TOTAL'!AN499</f>
        <v>0</v>
      </c>
      <c r="AI455" s="70">
        <f>'RESUMEN TOTAL'!AO499</f>
        <v>0</v>
      </c>
      <c r="AJ455" s="70">
        <f>'RESUMEN TOTAL'!AP499</f>
        <v>0</v>
      </c>
    </row>
    <row r="456" spans="1:36" x14ac:dyDescent="0.25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0">
        <f>'RESUMEN TOTAL'!L500</f>
        <v>0</v>
      </c>
      <c r="G456" s="70">
        <f>'RESUMEN TOTAL'!M500</f>
        <v>0</v>
      </c>
      <c r="H456" s="70">
        <f>'RESUMEN TOTAL'!N500</f>
        <v>0</v>
      </c>
      <c r="I456" s="70">
        <f>'RESUMEN TOTAL'!O500</f>
        <v>0</v>
      </c>
      <c r="J456" s="70">
        <f>'RESUMEN TOTAL'!P500</f>
        <v>0</v>
      </c>
      <c r="K456" s="70">
        <f>'RESUMEN TOTAL'!Q500</f>
        <v>0</v>
      </c>
      <c r="L456" s="70">
        <f>'RESUMEN TOTAL'!R500</f>
        <v>0</v>
      </c>
      <c r="M456" s="70">
        <f>'RESUMEN TOTAL'!S500</f>
        <v>0</v>
      </c>
      <c r="N456" s="70">
        <f>'RESUMEN TOTAL'!T500</f>
        <v>0</v>
      </c>
      <c r="O456" s="70">
        <f>'RESUMEN TOTAL'!U500</f>
        <v>0</v>
      </c>
      <c r="P456" s="70">
        <f>'RESUMEN TOTAL'!V500</f>
        <v>0</v>
      </c>
      <c r="Q456" s="70">
        <f>'RESUMEN TOTAL'!W500</f>
        <v>0</v>
      </c>
      <c r="R456" s="70">
        <f>'RESUMEN TOTAL'!X500</f>
        <v>0</v>
      </c>
      <c r="S456" s="70">
        <f>'RESUMEN TOTAL'!Y500</f>
        <v>0</v>
      </c>
      <c r="T456" s="70">
        <f>'RESUMEN TOTAL'!Z500</f>
        <v>0</v>
      </c>
      <c r="U456" s="70">
        <f>'RESUMEN TOTAL'!AA500</f>
        <v>0</v>
      </c>
      <c r="V456" s="70">
        <f>'RESUMEN TOTAL'!AB500</f>
        <v>0</v>
      </c>
      <c r="W456" s="70">
        <f>'RESUMEN TOTAL'!AC500</f>
        <v>0</v>
      </c>
      <c r="X456" s="70">
        <f>'RESUMEN TOTAL'!AD500</f>
        <v>0</v>
      </c>
      <c r="Y456" s="70">
        <f>'RESUMEN TOTAL'!AE500</f>
        <v>0</v>
      </c>
      <c r="Z456" s="70">
        <f>'RESUMEN TOTAL'!AF500</f>
        <v>0</v>
      </c>
      <c r="AA456" s="70">
        <f>'RESUMEN TOTAL'!AG500</f>
        <v>0</v>
      </c>
      <c r="AB456" s="70">
        <f>'RESUMEN TOTAL'!AH500</f>
        <v>0</v>
      </c>
      <c r="AC456" s="70">
        <f>'RESUMEN TOTAL'!AI500</f>
        <v>0</v>
      </c>
      <c r="AD456" s="70">
        <f>'RESUMEN TOTAL'!AJ500</f>
        <v>0</v>
      </c>
      <c r="AE456" s="70">
        <f>'RESUMEN TOTAL'!AK500</f>
        <v>0</v>
      </c>
      <c r="AF456" s="70">
        <f>'RESUMEN TOTAL'!AL500</f>
        <v>0</v>
      </c>
      <c r="AG456" s="70">
        <f>'RESUMEN TOTAL'!AM500</f>
        <v>0</v>
      </c>
      <c r="AH456" s="70">
        <f>'RESUMEN TOTAL'!AN500</f>
        <v>0</v>
      </c>
      <c r="AI456" s="70">
        <f>'RESUMEN TOTAL'!AO500</f>
        <v>0</v>
      </c>
      <c r="AJ456" s="70">
        <f>'RESUMEN TOTAL'!AP500</f>
        <v>0</v>
      </c>
    </row>
    <row r="457" spans="1:36" x14ac:dyDescent="0.25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0">
        <f>'RESUMEN TOTAL'!L501</f>
        <v>0</v>
      </c>
      <c r="G457" s="70">
        <f>'RESUMEN TOTAL'!M501</f>
        <v>0</v>
      </c>
      <c r="H457" s="70">
        <f>'RESUMEN TOTAL'!N501</f>
        <v>0</v>
      </c>
      <c r="I457" s="70">
        <f>'RESUMEN TOTAL'!O501</f>
        <v>0</v>
      </c>
      <c r="J457" s="70">
        <f>'RESUMEN TOTAL'!P501</f>
        <v>0</v>
      </c>
      <c r="K457" s="70">
        <f>'RESUMEN TOTAL'!Q501</f>
        <v>0</v>
      </c>
      <c r="L457" s="70">
        <f>'RESUMEN TOTAL'!R501</f>
        <v>0</v>
      </c>
      <c r="M457" s="70">
        <f>'RESUMEN TOTAL'!S501</f>
        <v>0</v>
      </c>
      <c r="N457" s="70">
        <f>'RESUMEN TOTAL'!T501</f>
        <v>0</v>
      </c>
      <c r="O457" s="70">
        <f>'RESUMEN TOTAL'!U501</f>
        <v>0</v>
      </c>
      <c r="P457" s="70">
        <f>'RESUMEN TOTAL'!V501</f>
        <v>0</v>
      </c>
      <c r="Q457" s="70">
        <f>'RESUMEN TOTAL'!W501</f>
        <v>0</v>
      </c>
      <c r="R457" s="70">
        <f>'RESUMEN TOTAL'!X501</f>
        <v>0</v>
      </c>
      <c r="S457" s="70">
        <f>'RESUMEN TOTAL'!Y501</f>
        <v>0</v>
      </c>
      <c r="T457" s="70">
        <f>'RESUMEN TOTAL'!Z501</f>
        <v>0</v>
      </c>
      <c r="U457" s="70">
        <f>'RESUMEN TOTAL'!AA501</f>
        <v>0</v>
      </c>
      <c r="V457" s="70">
        <f>'RESUMEN TOTAL'!AB501</f>
        <v>0</v>
      </c>
      <c r="W457" s="70">
        <f>'RESUMEN TOTAL'!AC501</f>
        <v>0</v>
      </c>
      <c r="X457" s="70">
        <f>'RESUMEN TOTAL'!AD501</f>
        <v>0</v>
      </c>
      <c r="Y457" s="70">
        <f>'RESUMEN TOTAL'!AE501</f>
        <v>0</v>
      </c>
      <c r="Z457" s="70">
        <f>'RESUMEN TOTAL'!AF501</f>
        <v>0</v>
      </c>
      <c r="AA457" s="70">
        <f>'RESUMEN TOTAL'!AG501</f>
        <v>0</v>
      </c>
      <c r="AB457" s="70">
        <f>'RESUMEN TOTAL'!AH501</f>
        <v>0</v>
      </c>
      <c r="AC457" s="70">
        <f>'RESUMEN TOTAL'!AI501</f>
        <v>0</v>
      </c>
      <c r="AD457" s="70">
        <f>'RESUMEN TOTAL'!AJ501</f>
        <v>0</v>
      </c>
      <c r="AE457" s="70">
        <f>'RESUMEN TOTAL'!AK501</f>
        <v>0</v>
      </c>
      <c r="AF457" s="70">
        <f>'RESUMEN TOTAL'!AL501</f>
        <v>0</v>
      </c>
      <c r="AG457" s="70">
        <f>'RESUMEN TOTAL'!AM501</f>
        <v>0</v>
      </c>
      <c r="AH457" s="70">
        <f>'RESUMEN TOTAL'!AN501</f>
        <v>0</v>
      </c>
      <c r="AI457" s="70">
        <f>'RESUMEN TOTAL'!AO501</f>
        <v>0</v>
      </c>
      <c r="AJ457" s="70">
        <f>'RESUMEN TOTAL'!AP501</f>
        <v>0</v>
      </c>
    </row>
    <row r="458" spans="1:36" x14ac:dyDescent="0.25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0">
        <f>'RESUMEN TOTAL'!L502</f>
        <v>0</v>
      </c>
      <c r="G458" s="70">
        <f>'RESUMEN TOTAL'!M502</f>
        <v>0</v>
      </c>
      <c r="H458" s="70">
        <f>'RESUMEN TOTAL'!N502</f>
        <v>0</v>
      </c>
      <c r="I458" s="70">
        <f>'RESUMEN TOTAL'!O502</f>
        <v>0</v>
      </c>
      <c r="J458" s="70">
        <f>'RESUMEN TOTAL'!P502</f>
        <v>0</v>
      </c>
      <c r="K458" s="70">
        <f>'RESUMEN TOTAL'!Q502</f>
        <v>0</v>
      </c>
      <c r="L458" s="70">
        <f>'RESUMEN TOTAL'!R502</f>
        <v>0</v>
      </c>
      <c r="M458" s="70">
        <f>'RESUMEN TOTAL'!S502</f>
        <v>0</v>
      </c>
      <c r="N458" s="70">
        <f>'RESUMEN TOTAL'!T502</f>
        <v>0</v>
      </c>
      <c r="O458" s="70">
        <f>'RESUMEN TOTAL'!U502</f>
        <v>0</v>
      </c>
      <c r="P458" s="70">
        <f>'RESUMEN TOTAL'!V502</f>
        <v>0</v>
      </c>
      <c r="Q458" s="70">
        <f>'RESUMEN TOTAL'!W502</f>
        <v>0</v>
      </c>
      <c r="R458" s="70">
        <f>'RESUMEN TOTAL'!X502</f>
        <v>0</v>
      </c>
      <c r="S458" s="70">
        <f>'RESUMEN TOTAL'!Y502</f>
        <v>0</v>
      </c>
      <c r="T458" s="70">
        <f>'RESUMEN TOTAL'!Z502</f>
        <v>0</v>
      </c>
      <c r="U458" s="70">
        <f>'RESUMEN TOTAL'!AA502</f>
        <v>0</v>
      </c>
      <c r="V458" s="70">
        <f>'RESUMEN TOTAL'!AB502</f>
        <v>0</v>
      </c>
      <c r="W458" s="70">
        <f>'RESUMEN TOTAL'!AC502</f>
        <v>0</v>
      </c>
      <c r="X458" s="70">
        <f>'RESUMEN TOTAL'!AD502</f>
        <v>0</v>
      </c>
      <c r="Y458" s="70">
        <f>'RESUMEN TOTAL'!AE502</f>
        <v>0</v>
      </c>
      <c r="Z458" s="70">
        <f>'RESUMEN TOTAL'!AF502</f>
        <v>0</v>
      </c>
      <c r="AA458" s="70">
        <f>'RESUMEN TOTAL'!AG502</f>
        <v>0</v>
      </c>
      <c r="AB458" s="70">
        <f>'RESUMEN TOTAL'!AH502</f>
        <v>0</v>
      </c>
      <c r="AC458" s="70">
        <f>'RESUMEN TOTAL'!AI502</f>
        <v>0</v>
      </c>
      <c r="AD458" s="70">
        <f>'RESUMEN TOTAL'!AJ502</f>
        <v>0</v>
      </c>
      <c r="AE458" s="70">
        <f>'RESUMEN TOTAL'!AK502</f>
        <v>0</v>
      </c>
      <c r="AF458" s="70">
        <f>'RESUMEN TOTAL'!AL502</f>
        <v>0</v>
      </c>
      <c r="AG458" s="70">
        <f>'RESUMEN TOTAL'!AM502</f>
        <v>0</v>
      </c>
      <c r="AH458" s="70">
        <f>'RESUMEN TOTAL'!AN502</f>
        <v>0</v>
      </c>
      <c r="AI458" s="70">
        <f>'RESUMEN TOTAL'!AO502</f>
        <v>0</v>
      </c>
      <c r="AJ458" s="70">
        <f>'RESUMEN TOTAL'!AP502</f>
        <v>0</v>
      </c>
    </row>
    <row r="459" spans="1:36" x14ac:dyDescent="0.25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0">
        <f>'RESUMEN TOTAL'!L503</f>
        <v>0</v>
      </c>
      <c r="G459" s="70">
        <f>'RESUMEN TOTAL'!M503</f>
        <v>0</v>
      </c>
      <c r="H459" s="70">
        <f>'RESUMEN TOTAL'!N503</f>
        <v>0</v>
      </c>
      <c r="I459" s="70">
        <f>'RESUMEN TOTAL'!O503</f>
        <v>0</v>
      </c>
      <c r="J459" s="70">
        <f>'RESUMEN TOTAL'!P503</f>
        <v>0</v>
      </c>
      <c r="K459" s="70">
        <f>'RESUMEN TOTAL'!Q503</f>
        <v>0</v>
      </c>
      <c r="L459" s="70">
        <f>'RESUMEN TOTAL'!R503</f>
        <v>0</v>
      </c>
      <c r="M459" s="70">
        <f>'RESUMEN TOTAL'!S503</f>
        <v>0</v>
      </c>
      <c r="N459" s="70">
        <f>'RESUMEN TOTAL'!T503</f>
        <v>0</v>
      </c>
      <c r="O459" s="70">
        <f>'RESUMEN TOTAL'!U503</f>
        <v>0</v>
      </c>
      <c r="P459" s="70">
        <f>'RESUMEN TOTAL'!V503</f>
        <v>0</v>
      </c>
      <c r="Q459" s="70">
        <f>'RESUMEN TOTAL'!W503</f>
        <v>0</v>
      </c>
      <c r="R459" s="70">
        <f>'RESUMEN TOTAL'!X503</f>
        <v>0</v>
      </c>
      <c r="S459" s="70">
        <f>'RESUMEN TOTAL'!Y503</f>
        <v>0</v>
      </c>
      <c r="T459" s="70">
        <f>'RESUMEN TOTAL'!Z503</f>
        <v>0</v>
      </c>
      <c r="U459" s="70">
        <f>'RESUMEN TOTAL'!AA503</f>
        <v>0</v>
      </c>
      <c r="V459" s="70">
        <f>'RESUMEN TOTAL'!AB503</f>
        <v>0</v>
      </c>
      <c r="W459" s="70">
        <f>'RESUMEN TOTAL'!AC503</f>
        <v>0</v>
      </c>
      <c r="X459" s="70">
        <f>'RESUMEN TOTAL'!AD503</f>
        <v>0</v>
      </c>
      <c r="Y459" s="70">
        <f>'RESUMEN TOTAL'!AE503</f>
        <v>0</v>
      </c>
      <c r="Z459" s="70">
        <f>'RESUMEN TOTAL'!AF503</f>
        <v>0</v>
      </c>
      <c r="AA459" s="70">
        <f>'RESUMEN TOTAL'!AG503</f>
        <v>0</v>
      </c>
      <c r="AB459" s="70">
        <f>'RESUMEN TOTAL'!AH503</f>
        <v>0</v>
      </c>
      <c r="AC459" s="70">
        <f>'RESUMEN TOTAL'!AI503</f>
        <v>0</v>
      </c>
      <c r="AD459" s="70">
        <f>'RESUMEN TOTAL'!AJ503</f>
        <v>0</v>
      </c>
      <c r="AE459" s="70">
        <f>'RESUMEN TOTAL'!AK503</f>
        <v>0</v>
      </c>
      <c r="AF459" s="70">
        <f>'RESUMEN TOTAL'!AL503</f>
        <v>0</v>
      </c>
      <c r="AG459" s="70">
        <f>'RESUMEN TOTAL'!AM503</f>
        <v>0</v>
      </c>
      <c r="AH459" s="70">
        <f>'RESUMEN TOTAL'!AN503</f>
        <v>0</v>
      </c>
      <c r="AI459" s="70">
        <f>'RESUMEN TOTAL'!AO503</f>
        <v>0</v>
      </c>
      <c r="AJ459" s="70">
        <f>'RESUMEN TOTAL'!AP503</f>
        <v>0</v>
      </c>
    </row>
    <row r="460" spans="1:36" x14ac:dyDescent="0.25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0">
        <f>'RESUMEN TOTAL'!L504</f>
        <v>0</v>
      </c>
      <c r="G460" s="70">
        <f>'RESUMEN TOTAL'!M504</f>
        <v>0</v>
      </c>
      <c r="H460" s="70">
        <f>'RESUMEN TOTAL'!N504</f>
        <v>0</v>
      </c>
      <c r="I460" s="70">
        <f>'RESUMEN TOTAL'!O504</f>
        <v>0</v>
      </c>
      <c r="J460" s="70">
        <f>'RESUMEN TOTAL'!P504</f>
        <v>0</v>
      </c>
      <c r="K460" s="70">
        <f>'RESUMEN TOTAL'!Q504</f>
        <v>0</v>
      </c>
      <c r="L460" s="70">
        <f>'RESUMEN TOTAL'!R504</f>
        <v>0</v>
      </c>
      <c r="M460" s="70">
        <f>'RESUMEN TOTAL'!S504</f>
        <v>0</v>
      </c>
      <c r="N460" s="70">
        <f>'RESUMEN TOTAL'!T504</f>
        <v>0</v>
      </c>
      <c r="O460" s="70">
        <f>'RESUMEN TOTAL'!U504</f>
        <v>0</v>
      </c>
      <c r="P460" s="70">
        <f>'RESUMEN TOTAL'!V504</f>
        <v>0</v>
      </c>
      <c r="Q460" s="70">
        <f>'RESUMEN TOTAL'!W504</f>
        <v>0</v>
      </c>
      <c r="R460" s="70">
        <f>'RESUMEN TOTAL'!X504</f>
        <v>0</v>
      </c>
      <c r="S460" s="70">
        <f>'RESUMEN TOTAL'!Y504</f>
        <v>0</v>
      </c>
      <c r="T460" s="70">
        <f>'RESUMEN TOTAL'!Z504</f>
        <v>0</v>
      </c>
      <c r="U460" s="70">
        <f>'RESUMEN TOTAL'!AA504</f>
        <v>0</v>
      </c>
      <c r="V460" s="70">
        <f>'RESUMEN TOTAL'!AB504</f>
        <v>0</v>
      </c>
      <c r="W460" s="70">
        <f>'RESUMEN TOTAL'!AC504</f>
        <v>0</v>
      </c>
      <c r="X460" s="70">
        <f>'RESUMEN TOTAL'!AD504</f>
        <v>0</v>
      </c>
      <c r="Y460" s="70">
        <f>'RESUMEN TOTAL'!AE504</f>
        <v>0</v>
      </c>
      <c r="Z460" s="70">
        <f>'RESUMEN TOTAL'!AF504</f>
        <v>0</v>
      </c>
      <c r="AA460" s="70">
        <f>'RESUMEN TOTAL'!AG504</f>
        <v>0</v>
      </c>
      <c r="AB460" s="70">
        <f>'RESUMEN TOTAL'!AH504</f>
        <v>0</v>
      </c>
      <c r="AC460" s="70">
        <f>'RESUMEN TOTAL'!AI504</f>
        <v>0</v>
      </c>
      <c r="AD460" s="70">
        <f>'RESUMEN TOTAL'!AJ504</f>
        <v>0</v>
      </c>
      <c r="AE460" s="70">
        <f>'RESUMEN TOTAL'!AK504</f>
        <v>0</v>
      </c>
      <c r="AF460" s="70">
        <f>'RESUMEN TOTAL'!AL504</f>
        <v>0</v>
      </c>
      <c r="AG460" s="70">
        <f>'RESUMEN TOTAL'!AM504</f>
        <v>0</v>
      </c>
      <c r="AH460" s="70">
        <f>'RESUMEN TOTAL'!AN504</f>
        <v>0</v>
      </c>
      <c r="AI460" s="70">
        <f>'RESUMEN TOTAL'!AO504</f>
        <v>0</v>
      </c>
      <c r="AJ460" s="70">
        <f>'RESUMEN TOTAL'!AP504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0">
        <f>'RESUMEN TOTAL'!L590</f>
        <v>0</v>
      </c>
      <c r="G549" s="70">
        <f>'RESUMEN TOTAL'!M590</f>
        <v>0</v>
      </c>
      <c r="H549" s="70">
        <f>'RESUMEN TOTAL'!N590</f>
        <v>0</v>
      </c>
      <c r="I549" s="70">
        <f>'RESUMEN TOTAL'!O590</f>
        <v>0</v>
      </c>
      <c r="J549" s="70">
        <f>'RESUMEN TOTAL'!P590</f>
        <v>0</v>
      </c>
      <c r="K549" s="70">
        <f>'RESUMEN TOTAL'!Q590</f>
        <v>0</v>
      </c>
      <c r="L549" s="70">
        <f>'RESUMEN TOTAL'!R590</f>
        <v>0</v>
      </c>
      <c r="M549" s="70">
        <f>'RESUMEN TOTAL'!S590</f>
        <v>0</v>
      </c>
      <c r="N549" s="70">
        <f>'RESUMEN TOTAL'!T590</f>
        <v>0</v>
      </c>
      <c r="O549" s="70">
        <f>'RESUMEN TOTAL'!U590</f>
        <v>0</v>
      </c>
      <c r="P549" s="70">
        <f>'RESUMEN TOTAL'!V590</f>
        <v>0</v>
      </c>
      <c r="Q549" s="70">
        <f>'RESUMEN TOTAL'!W590</f>
        <v>0</v>
      </c>
      <c r="R549" s="70">
        <f>'RESUMEN TOTAL'!X590</f>
        <v>0</v>
      </c>
      <c r="S549" s="70">
        <f>'RESUMEN TOTAL'!Y590</f>
        <v>0</v>
      </c>
      <c r="T549" s="70">
        <f>'RESUMEN TOTAL'!Z590</f>
        <v>0</v>
      </c>
      <c r="U549" s="70">
        <f>'RESUMEN TOTAL'!AA590</f>
        <v>0</v>
      </c>
      <c r="V549" s="70">
        <f>'RESUMEN TOTAL'!AB590</f>
        <v>0</v>
      </c>
      <c r="W549" s="70">
        <f>'RESUMEN TOTAL'!AC590</f>
        <v>0</v>
      </c>
      <c r="X549" s="70">
        <f>'RESUMEN TOTAL'!AD590</f>
        <v>0</v>
      </c>
      <c r="Y549" s="70">
        <f>'RESUMEN TOTAL'!AE590</f>
        <v>0</v>
      </c>
      <c r="Z549" s="70">
        <f>'RESUMEN TOTAL'!AF590</f>
        <v>0</v>
      </c>
      <c r="AA549" s="70">
        <f>'RESUMEN TOTAL'!AG590</f>
        <v>0</v>
      </c>
      <c r="AB549" s="70">
        <f>'RESUMEN TOTAL'!AH590</f>
        <v>0</v>
      </c>
      <c r="AC549" s="70">
        <f>'RESUMEN TOTAL'!AI590</f>
        <v>0</v>
      </c>
      <c r="AD549" s="70">
        <f>'RESUMEN TOTAL'!AJ590</f>
        <v>0</v>
      </c>
      <c r="AE549" s="70">
        <f>'RESUMEN TOTAL'!AK590</f>
        <v>0</v>
      </c>
      <c r="AF549" s="70">
        <f>'RESUMEN TOTAL'!AL590</f>
        <v>0</v>
      </c>
      <c r="AG549" s="70">
        <f>'RESUMEN TOTAL'!AM590</f>
        <v>0</v>
      </c>
      <c r="AH549" s="70">
        <f>'RESUMEN TOTAL'!AN590</f>
        <v>0</v>
      </c>
      <c r="AI549" s="70">
        <f>'RESUMEN TOTAL'!AO590</f>
        <v>0</v>
      </c>
      <c r="AJ549" s="70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0">
        <f>'RESUMEN TOTAL'!L591</f>
        <v>0</v>
      </c>
      <c r="G550" s="70">
        <f>'RESUMEN TOTAL'!M591</f>
        <v>0</v>
      </c>
      <c r="H550" s="70">
        <f>'RESUMEN TOTAL'!N591</f>
        <v>0</v>
      </c>
      <c r="I550" s="70">
        <f>'RESUMEN TOTAL'!O591</f>
        <v>0</v>
      </c>
      <c r="J550" s="70">
        <f>'RESUMEN TOTAL'!P591</f>
        <v>0</v>
      </c>
      <c r="K550" s="70">
        <f>'RESUMEN TOTAL'!Q591</f>
        <v>0</v>
      </c>
      <c r="L550" s="70">
        <f>'RESUMEN TOTAL'!R591</f>
        <v>0</v>
      </c>
      <c r="M550" s="70">
        <f>'RESUMEN TOTAL'!S591</f>
        <v>0</v>
      </c>
      <c r="N550" s="70">
        <f>'RESUMEN TOTAL'!T591</f>
        <v>0</v>
      </c>
      <c r="O550" s="70">
        <f>'RESUMEN TOTAL'!U591</f>
        <v>0</v>
      </c>
      <c r="P550" s="70">
        <f>'RESUMEN TOTAL'!V591</f>
        <v>0</v>
      </c>
      <c r="Q550" s="70">
        <f>'RESUMEN TOTAL'!W591</f>
        <v>0</v>
      </c>
      <c r="R550" s="70">
        <f>'RESUMEN TOTAL'!X591</f>
        <v>0</v>
      </c>
      <c r="S550" s="70">
        <f>'RESUMEN TOTAL'!Y591</f>
        <v>0</v>
      </c>
      <c r="T550" s="70">
        <f>'RESUMEN TOTAL'!Z591</f>
        <v>0</v>
      </c>
      <c r="U550" s="70">
        <f>'RESUMEN TOTAL'!AA591</f>
        <v>0</v>
      </c>
      <c r="V550" s="70">
        <f>'RESUMEN TOTAL'!AB591</f>
        <v>0</v>
      </c>
      <c r="W550" s="70">
        <f>'RESUMEN TOTAL'!AC591</f>
        <v>0</v>
      </c>
      <c r="X550" s="70">
        <f>'RESUMEN TOTAL'!AD591</f>
        <v>0</v>
      </c>
      <c r="Y550" s="70">
        <f>'RESUMEN TOTAL'!AE591</f>
        <v>0</v>
      </c>
      <c r="Z550" s="70">
        <f>'RESUMEN TOTAL'!AF591</f>
        <v>0</v>
      </c>
      <c r="AA550" s="70">
        <f>'RESUMEN TOTAL'!AG591</f>
        <v>0</v>
      </c>
      <c r="AB550" s="70">
        <f>'RESUMEN TOTAL'!AH591</f>
        <v>0</v>
      </c>
      <c r="AC550" s="70">
        <f>'RESUMEN TOTAL'!AI591</f>
        <v>0</v>
      </c>
      <c r="AD550" s="70">
        <f>'RESUMEN TOTAL'!AJ591</f>
        <v>0</v>
      </c>
      <c r="AE550" s="70">
        <f>'RESUMEN TOTAL'!AK591</f>
        <v>0</v>
      </c>
      <c r="AF550" s="70">
        <f>'RESUMEN TOTAL'!AL591</f>
        <v>0</v>
      </c>
      <c r="AG550" s="70">
        <f>'RESUMEN TOTAL'!AM591</f>
        <v>0</v>
      </c>
      <c r="AH550" s="70">
        <f>'RESUMEN TOTAL'!AN591</f>
        <v>0</v>
      </c>
      <c r="AI550" s="70">
        <f>'RESUMEN TOTAL'!AO591</f>
        <v>0</v>
      </c>
      <c r="AJ550" s="7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0">
        <f>'RESUMEN TOTAL'!L592</f>
        <v>0</v>
      </c>
      <c r="G551" s="70">
        <f>'RESUMEN TOTAL'!M592</f>
        <v>0</v>
      </c>
      <c r="H551" s="70">
        <f>'RESUMEN TOTAL'!N592</f>
        <v>0</v>
      </c>
      <c r="I551" s="70">
        <f>'RESUMEN TOTAL'!O592</f>
        <v>0</v>
      </c>
      <c r="J551" s="70">
        <f>'RESUMEN TOTAL'!P592</f>
        <v>0</v>
      </c>
      <c r="K551" s="70">
        <f>'RESUMEN TOTAL'!Q592</f>
        <v>0</v>
      </c>
      <c r="L551" s="70">
        <f>'RESUMEN TOTAL'!R592</f>
        <v>0</v>
      </c>
      <c r="M551" s="70">
        <f>'RESUMEN TOTAL'!S592</f>
        <v>0</v>
      </c>
      <c r="N551" s="70">
        <f>'RESUMEN TOTAL'!T592</f>
        <v>0</v>
      </c>
      <c r="O551" s="70">
        <f>'RESUMEN TOTAL'!U592</f>
        <v>0</v>
      </c>
      <c r="P551" s="70">
        <f>'RESUMEN TOTAL'!V592</f>
        <v>0</v>
      </c>
      <c r="Q551" s="70">
        <f>'RESUMEN TOTAL'!W592</f>
        <v>0</v>
      </c>
      <c r="R551" s="70">
        <f>'RESUMEN TOTAL'!X592</f>
        <v>0</v>
      </c>
      <c r="S551" s="70">
        <f>'RESUMEN TOTAL'!Y592</f>
        <v>0</v>
      </c>
      <c r="T551" s="70">
        <f>'RESUMEN TOTAL'!Z592</f>
        <v>0</v>
      </c>
      <c r="U551" s="70">
        <f>'RESUMEN TOTAL'!AA592</f>
        <v>0</v>
      </c>
      <c r="V551" s="70">
        <f>'RESUMEN TOTAL'!AB592</f>
        <v>0</v>
      </c>
      <c r="W551" s="70">
        <f>'RESUMEN TOTAL'!AC592</f>
        <v>0</v>
      </c>
      <c r="X551" s="70">
        <f>'RESUMEN TOTAL'!AD592</f>
        <v>0</v>
      </c>
      <c r="Y551" s="70">
        <f>'RESUMEN TOTAL'!AE592</f>
        <v>0</v>
      </c>
      <c r="Z551" s="70">
        <f>'RESUMEN TOTAL'!AF592</f>
        <v>0</v>
      </c>
      <c r="AA551" s="70">
        <f>'RESUMEN TOTAL'!AG592</f>
        <v>0</v>
      </c>
      <c r="AB551" s="70">
        <f>'RESUMEN TOTAL'!AH592</f>
        <v>0</v>
      </c>
      <c r="AC551" s="70">
        <f>'RESUMEN TOTAL'!AI592</f>
        <v>0</v>
      </c>
      <c r="AD551" s="70">
        <f>'RESUMEN TOTAL'!AJ592</f>
        <v>0</v>
      </c>
      <c r="AE551" s="70">
        <f>'RESUMEN TOTAL'!AK592</f>
        <v>0</v>
      </c>
      <c r="AF551" s="70">
        <f>'RESUMEN TOTAL'!AL592</f>
        <v>0</v>
      </c>
      <c r="AG551" s="70">
        <f>'RESUMEN TOTAL'!AM592</f>
        <v>0</v>
      </c>
      <c r="AH551" s="70">
        <f>'RESUMEN TOTAL'!AN592</f>
        <v>0</v>
      </c>
      <c r="AI551" s="70">
        <f>'RESUMEN TOTAL'!AO592</f>
        <v>0</v>
      </c>
      <c r="AJ551" s="70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0">
        <f>'RESUMEN TOTAL'!L593</f>
        <v>0</v>
      </c>
      <c r="G552" s="70">
        <f>'RESUMEN TOTAL'!M593</f>
        <v>0</v>
      </c>
      <c r="H552" s="70">
        <f>'RESUMEN TOTAL'!N593</f>
        <v>0</v>
      </c>
      <c r="I552" s="70">
        <f>'RESUMEN TOTAL'!O593</f>
        <v>0</v>
      </c>
      <c r="J552" s="70">
        <f>'RESUMEN TOTAL'!P593</f>
        <v>0</v>
      </c>
      <c r="K552" s="70">
        <f>'RESUMEN TOTAL'!Q593</f>
        <v>0</v>
      </c>
      <c r="L552" s="70">
        <f>'RESUMEN TOTAL'!R593</f>
        <v>0</v>
      </c>
      <c r="M552" s="70">
        <f>'RESUMEN TOTAL'!S593</f>
        <v>0</v>
      </c>
      <c r="N552" s="70">
        <f>'RESUMEN TOTAL'!T593</f>
        <v>0</v>
      </c>
      <c r="O552" s="70">
        <f>'RESUMEN TOTAL'!U593</f>
        <v>0</v>
      </c>
      <c r="P552" s="70">
        <f>'RESUMEN TOTAL'!V593</f>
        <v>0</v>
      </c>
      <c r="Q552" s="70">
        <f>'RESUMEN TOTAL'!W593</f>
        <v>0</v>
      </c>
      <c r="R552" s="70">
        <f>'RESUMEN TOTAL'!X593</f>
        <v>0</v>
      </c>
      <c r="S552" s="70">
        <f>'RESUMEN TOTAL'!Y593</f>
        <v>0</v>
      </c>
      <c r="T552" s="70">
        <f>'RESUMEN TOTAL'!Z593</f>
        <v>0</v>
      </c>
      <c r="U552" s="70">
        <f>'RESUMEN TOTAL'!AA593</f>
        <v>0</v>
      </c>
      <c r="V552" s="70">
        <f>'RESUMEN TOTAL'!AB593</f>
        <v>0</v>
      </c>
      <c r="W552" s="70">
        <f>'RESUMEN TOTAL'!AC593</f>
        <v>0</v>
      </c>
      <c r="X552" s="70">
        <f>'RESUMEN TOTAL'!AD593</f>
        <v>0</v>
      </c>
      <c r="Y552" s="70">
        <f>'RESUMEN TOTAL'!AE593</f>
        <v>0</v>
      </c>
      <c r="Z552" s="70">
        <f>'RESUMEN TOTAL'!AF593</f>
        <v>0</v>
      </c>
      <c r="AA552" s="70">
        <f>'RESUMEN TOTAL'!AG593</f>
        <v>0</v>
      </c>
      <c r="AB552" s="70">
        <f>'RESUMEN TOTAL'!AH593</f>
        <v>0</v>
      </c>
      <c r="AC552" s="70">
        <f>'RESUMEN TOTAL'!AI593</f>
        <v>0</v>
      </c>
      <c r="AD552" s="70">
        <f>'RESUMEN TOTAL'!AJ593</f>
        <v>0</v>
      </c>
      <c r="AE552" s="70">
        <f>'RESUMEN TOTAL'!AK593</f>
        <v>0</v>
      </c>
      <c r="AF552" s="70">
        <f>'RESUMEN TOTAL'!AL593</f>
        <v>0</v>
      </c>
      <c r="AG552" s="70">
        <f>'RESUMEN TOTAL'!AM593</f>
        <v>0</v>
      </c>
      <c r="AH552" s="70">
        <f>'RESUMEN TOTAL'!AN593</f>
        <v>0</v>
      </c>
      <c r="AI552" s="70">
        <f>'RESUMEN TOTAL'!AO593</f>
        <v>0</v>
      </c>
      <c r="AJ552" s="70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0">
        <f>'RESUMEN TOTAL'!L594</f>
        <v>0</v>
      </c>
      <c r="G553" s="70">
        <f>'RESUMEN TOTAL'!M594</f>
        <v>0</v>
      </c>
      <c r="H553" s="70">
        <f>'RESUMEN TOTAL'!N594</f>
        <v>0</v>
      </c>
      <c r="I553" s="70">
        <f>'RESUMEN TOTAL'!O594</f>
        <v>0</v>
      </c>
      <c r="J553" s="70">
        <f>'RESUMEN TOTAL'!P594</f>
        <v>0</v>
      </c>
      <c r="K553" s="70">
        <f>'RESUMEN TOTAL'!Q594</f>
        <v>0</v>
      </c>
      <c r="L553" s="70">
        <f>'RESUMEN TOTAL'!R594</f>
        <v>0</v>
      </c>
      <c r="M553" s="70">
        <f>'RESUMEN TOTAL'!S594</f>
        <v>0</v>
      </c>
      <c r="N553" s="70">
        <f>'RESUMEN TOTAL'!T594</f>
        <v>0</v>
      </c>
      <c r="O553" s="70">
        <f>'RESUMEN TOTAL'!U594</f>
        <v>0</v>
      </c>
      <c r="P553" s="70">
        <f>'RESUMEN TOTAL'!V594</f>
        <v>0</v>
      </c>
      <c r="Q553" s="70">
        <f>'RESUMEN TOTAL'!W594</f>
        <v>0</v>
      </c>
      <c r="R553" s="70">
        <f>'RESUMEN TOTAL'!X594</f>
        <v>0</v>
      </c>
      <c r="S553" s="70">
        <f>'RESUMEN TOTAL'!Y594</f>
        <v>0</v>
      </c>
      <c r="T553" s="70">
        <f>'RESUMEN TOTAL'!Z594</f>
        <v>0</v>
      </c>
      <c r="U553" s="70">
        <f>'RESUMEN TOTAL'!AA594</f>
        <v>0</v>
      </c>
      <c r="V553" s="70">
        <f>'RESUMEN TOTAL'!AB594</f>
        <v>0</v>
      </c>
      <c r="W553" s="70">
        <f>'RESUMEN TOTAL'!AC594</f>
        <v>0</v>
      </c>
      <c r="X553" s="70">
        <f>'RESUMEN TOTAL'!AD594</f>
        <v>0</v>
      </c>
      <c r="Y553" s="70">
        <f>'RESUMEN TOTAL'!AE594</f>
        <v>0</v>
      </c>
      <c r="Z553" s="70">
        <f>'RESUMEN TOTAL'!AF594</f>
        <v>0</v>
      </c>
      <c r="AA553" s="70">
        <f>'RESUMEN TOTAL'!AG594</f>
        <v>0</v>
      </c>
      <c r="AB553" s="70">
        <f>'RESUMEN TOTAL'!AH594</f>
        <v>0</v>
      </c>
      <c r="AC553" s="70">
        <f>'RESUMEN TOTAL'!AI594</f>
        <v>0</v>
      </c>
      <c r="AD553" s="70">
        <f>'RESUMEN TOTAL'!AJ594</f>
        <v>0</v>
      </c>
      <c r="AE553" s="70">
        <f>'RESUMEN TOTAL'!AK594</f>
        <v>0</v>
      </c>
      <c r="AF553" s="70">
        <f>'RESUMEN TOTAL'!AL594</f>
        <v>0</v>
      </c>
      <c r="AG553" s="70">
        <f>'RESUMEN TOTAL'!AM594</f>
        <v>0</v>
      </c>
      <c r="AH553" s="70">
        <f>'RESUMEN TOTAL'!AN594</f>
        <v>0</v>
      </c>
      <c r="AI553" s="70">
        <f>'RESUMEN TOTAL'!AO594</f>
        <v>0</v>
      </c>
      <c r="AJ553" s="70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0">
        <f>'RESUMEN TOTAL'!L595</f>
        <v>0</v>
      </c>
      <c r="G554" s="70">
        <f>'RESUMEN TOTAL'!M595</f>
        <v>0</v>
      </c>
      <c r="H554" s="70">
        <f>'RESUMEN TOTAL'!N595</f>
        <v>0</v>
      </c>
      <c r="I554" s="70">
        <f>'RESUMEN TOTAL'!O595</f>
        <v>0</v>
      </c>
      <c r="J554" s="70">
        <f>'RESUMEN TOTAL'!P595</f>
        <v>0</v>
      </c>
      <c r="K554" s="70">
        <f>'RESUMEN TOTAL'!Q595</f>
        <v>0</v>
      </c>
      <c r="L554" s="70">
        <f>'RESUMEN TOTAL'!R595</f>
        <v>0</v>
      </c>
      <c r="M554" s="70">
        <f>'RESUMEN TOTAL'!S595</f>
        <v>0</v>
      </c>
      <c r="N554" s="70">
        <f>'RESUMEN TOTAL'!T595</f>
        <v>0</v>
      </c>
      <c r="O554" s="70">
        <f>'RESUMEN TOTAL'!U595</f>
        <v>0</v>
      </c>
      <c r="P554" s="70">
        <f>'RESUMEN TOTAL'!V595</f>
        <v>0</v>
      </c>
      <c r="Q554" s="70">
        <f>'RESUMEN TOTAL'!W595</f>
        <v>0</v>
      </c>
      <c r="R554" s="70">
        <f>'RESUMEN TOTAL'!X595</f>
        <v>0</v>
      </c>
      <c r="S554" s="70">
        <f>'RESUMEN TOTAL'!Y595</f>
        <v>0</v>
      </c>
      <c r="T554" s="70">
        <f>'RESUMEN TOTAL'!Z595</f>
        <v>0</v>
      </c>
      <c r="U554" s="70">
        <f>'RESUMEN TOTAL'!AA595</f>
        <v>0</v>
      </c>
      <c r="V554" s="70">
        <f>'RESUMEN TOTAL'!AB595</f>
        <v>0</v>
      </c>
      <c r="W554" s="70">
        <f>'RESUMEN TOTAL'!AC595</f>
        <v>0</v>
      </c>
      <c r="X554" s="70">
        <f>'RESUMEN TOTAL'!AD595</f>
        <v>0</v>
      </c>
      <c r="Y554" s="70">
        <f>'RESUMEN TOTAL'!AE595</f>
        <v>0</v>
      </c>
      <c r="Z554" s="70">
        <f>'RESUMEN TOTAL'!AF595</f>
        <v>0</v>
      </c>
      <c r="AA554" s="70">
        <f>'RESUMEN TOTAL'!AG595</f>
        <v>0</v>
      </c>
      <c r="AB554" s="70">
        <f>'RESUMEN TOTAL'!AH595</f>
        <v>0</v>
      </c>
      <c r="AC554" s="70">
        <f>'RESUMEN TOTAL'!AI595</f>
        <v>0</v>
      </c>
      <c r="AD554" s="70">
        <f>'RESUMEN TOTAL'!AJ595</f>
        <v>0</v>
      </c>
      <c r="AE554" s="70">
        <f>'RESUMEN TOTAL'!AK595</f>
        <v>0</v>
      </c>
      <c r="AF554" s="70">
        <f>'RESUMEN TOTAL'!AL595</f>
        <v>0</v>
      </c>
      <c r="AG554" s="70">
        <f>'RESUMEN TOTAL'!AM595</f>
        <v>0</v>
      </c>
      <c r="AH554" s="70">
        <f>'RESUMEN TOTAL'!AN595</f>
        <v>0</v>
      </c>
      <c r="AI554" s="70">
        <f>'RESUMEN TOTAL'!AO595</f>
        <v>0</v>
      </c>
      <c r="AJ554" s="70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0">
        <f>'RESUMEN TOTAL'!L596</f>
        <v>0</v>
      </c>
      <c r="G555" s="70">
        <f>'RESUMEN TOTAL'!M596</f>
        <v>0</v>
      </c>
      <c r="H555" s="70">
        <f>'RESUMEN TOTAL'!N596</f>
        <v>0</v>
      </c>
      <c r="I555" s="70">
        <f>'RESUMEN TOTAL'!O596</f>
        <v>0</v>
      </c>
      <c r="J555" s="70">
        <f>'RESUMEN TOTAL'!P596</f>
        <v>0</v>
      </c>
      <c r="K555" s="70">
        <f>'RESUMEN TOTAL'!Q596</f>
        <v>0</v>
      </c>
      <c r="L555" s="70">
        <f>'RESUMEN TOTAL'!R596</f>
        <v>0</v>
      </c>
      <c r="M555" s="70">
        <f>'RESUMEN TOTAL'!S596</f>
        <v>0</v>
      </c>
      <c r="N555" s="70">
        <f>'RESUMEN TOTAL'!T596</f>
        <v>0</v>
      </c>
      <c r="O555" s="70">
        <f>'RESUMEN TOTAL'!U596</f>
        <v>0</v>
      </c>
      <c r="P555" s="70">
        <f>'RESUMEN TOTAL'!V596</f>
        <v>0</v>
      </c>
      <c r="Q555" s="70">
        <f>'RESUMEN TOTAL'!W596</f>
        <v>0</v>
      </c>
      <c r="R555" s="70">
        <f>'RESUMEN TOTAL'!X596</f>
        <v>0</v>
      </c>
      <c r="S555" s="70">
        <f>'RESUMEN TOTAL'!Y596</f>
        <v>0</v>
      </c>
      <c r="T555" s="70">
        <f>'RESUMEN TOTAL'!Z596</f>
        <v>0</v>
      </c>
      <c r="U555" s="70">
        <f>'RESUMEN TOTAL'!AA596</f>
        <v>0</v>
      </c>
      <c r="V555" s="70">
        <f>'RESUMEN TOTAL'!AB596</f>
        <v>0</v>
      </c>
      <c r="W555" s="70">
        <f>'RESUMEN TOTAL'!AC596</f>
        <v>0</v>
      </c>
      <c r="X555" s="70">
        <f>'RESUMEN TOTAL'!AD596</f>
        <v>0</v>
      </c>
      <c r="Y555" s="70">
        <f>'RESUMEN TOTAL'!AE596</f>
        <v>0</v>
      </c>
      <c r="Z555" s="70">
        <f>'RESUMEN TOTAL'!AF596</f>
        <v>0</v>
      </c>
      <c r="AA555" s="70">
        <f>'RESUMEN TOTAL'!AG596</f>
        <v>0</v>
      </c>
      <c r="AB555" s="70">
        <f>'RESUMEN TOTAL'!AH596</f>
        <v>0</v>
      </c>
      <c r="AC555" s="70">
        <f>'RESUMEN TOTAL'!AI596</f>
        <v>0</v>
      </c>
      <c r="AD555" s="70">
        <f>'RESUMEN TOTAL'!AJ596</f>
        <v>0</v>
      </c>
      <c r="AE555" s="70">
        <f>'RESUMEN TOTAL'!AK596</f>
        <v>0</v>
      </c>
      <c r="AF555" s="70">
        <f>'RESUMEN TOTAL'!AL596</f>
        <v>0</v>
      </c>
      <c r="AG555" s="70">
        <f>'RESUMEN TOTAL'!AM596</f>
        <v>0</v>
      </c>
      <c r="AH555" s="70">
        <f>'RESUMEN TOTAL'!AN596</f>
        <v>0</v>
      </c>
      <c r="AI555" s="70">
        <f>'RESUMEN TOTAL'!AO596</f>
        <v>0</v>
      </c>
      <c r="AJ555" s="70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0">
        <f>'RESUMEN TOTAL'!L597</f>
        <v>0</v>
      </c>
      <c r="G556" s="70">
        <f>'RESUMEN TOTAL'!M597</f>
        <v>0</v>
      </c>
      <c r="H556" s="70">
        <f>'RESUMEN TOTAL'!N597</f>
        <v>0</v>
      </c>
      <c r="I556" s="70">
        <f>'RESUMEN TOTAL'!O597</f>
        <v>0</v>
      </c>
      <c r="J556" s="70">
        <f>'RESUMEN TOTAL'!P597</f>
        <v>0</v>
      </c>
      <c r="K556" s="70">
        <f>'RESUMEN TOTAL'!Q597</f>
        <v>0</v>
      </c>
      <c r="L556" s="70">
        <f>'RESUMEN TOTAL'!R597</f>
        <v>0</v>
      </c>
      <c r="M556" s="70">
        <f>'RESUMEN TOTAL'!S597</f>
        <v>0</v>
      </c>
      <c r="N556" s="70">
        <f>'RESUMEN TOTAL'!T597</f>
        <v>0</v>
      </c>
      <c r="O556" s="70">
        <f>'RESUMEN TOTAL'!U597</f>
        <v>0</v>
      </c>
      <c r="P556" s="70">
        <f>'RESUMEN TOTAL'!V597</f>
        <v>0</v>
      </c>
      <c r="Q556" s="70">
        <f>'RESUMEN TOTAL'!W597</f>
        <v>0</v>
      </c>
      <c r="R556" s="70">
        <f>'RESUMEN TOTAL'!X597</f>
        <v>0</v>
      </c>
      <c r="S556" s="70">
        <f>'RESUMEN TOTAL'!Y597</f>
        <v>0</v>
      </c>
      <c r="T556" s="70">
        <f>'RESUMEN TOTAL'!Z597</f>
        <v>0</v>
      </c>
      <c r="U556" s="70">
        <f>'RESUMEN TOTAL'!AA597</f>
        <v>0</v>
      </c>
      <c r="V556" s="70">
        <f>'RESUMEN TOTAL'!AB597</f>
        <v>0</v>
      </c>
      <c r="W556" s="70">
        <f>'RESUMEN TOTAL'!AC597</f>
        <v>0</v>
      </c>
      <c r="X556" s="70">
        <f>'RESUMEN TOTAL'!AD597</f>
        <v>0</v>
      </c>
      <c r="Y556" s="70">
        <f>'RESUMEN TOTAL'!AE597</f>
        <v>0</v>
      </c>
      <c r="Z556" s="70">
        <f>'RESUMEN TOTAL'!AF597</f>
        <v>0</v>
      </c>
      <c r="AA556" s="70">
        <f>'RESUMEN TOTAL'!AG597</f>
        <v>0</v>
      </c>
      <c r="AB556" s="70">
        <f>'RESUMEN TOTAL'!AH597</f>
        <v>0</v>
      </c>
      <c r="AC556" s="70">
        <f>'RESUMEN TOTAL'!AI597</f>
        <v>0</v>
      </c>
      <c r="AD556" s="70">
        <f>'RESUMEN TOTAL'!AJ597</f>
        <v>0</v>
      </c>
      <c r="AE556" s="70">
        <f>'RESUMEN TOTAL'!AK597</f>
        <v>0</v>
      </c>
      <c r="AF556" s="70">
        <f>'RESUMEN TOTAL'!AL597</f>
        <v>0</v>
      </c>
      <c r="AG556" s="70">
        <f>'RESUMEN TOTAL'!AM597</f>
        <v>0</v>
      </c>
      <c r="AH556" s="70">
        <f>'RESUMEN TOTAL'!AN597</f>
        <v>0</v>
      </c>
      <c r="AI556" s="70">
        <f>'RESUMEN TOTAL'!AO597</f>
        <v>0</v>
      </c>
      <c r="AJ556" s="70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0">
        <f>'RESUMEN TOTAL'!L598</f>
        <v>0</v>
      </c>
      <c r="G557" s="70">
        <f>'RESUMEN TOTAL'!M598</f>
        <v>0</v>
      </c>
      <c r="H557" s="70">
        <f>'RESUMEN TOTAL'!N598</f>
        <v>0</v>
      </c>
      <c r="I557" s="70">
        <f>'RESUMEN TOTAL'!O598</f>
        <v>0</v>
      </c>
      <c r="J557" s="70">
        <f>'RESUMEN TOTAL'!P598</f>
        <v>0</v>
      </c>
      <c r="K557" s="70">
        <f>'RESUMEN TOTAL'!Q598</f>
        <v>0</v>
      </c>
      <c r="L557" s="70">
        <f>'RESUMEN TOTAL'!R598</f>
        <v>0</v>
      </c>
      <c r="M557" s="70">
        <f>'RESUMEN TOTAL'!S598</f>
        <v>0</v>
      </c>
      <c r="N557" s="70">
        <f>'RESUMEN TOTAL'!T598</f>
        <v>0</v>
      </c>
      <c r="O557" s="70">
        <f>'RESUMEN TOTAL'!U598</f>
        <v>0</v>
      </c>
      <c r="P557" s="70">
        <f>'RESUMEN TOTAL'!V598</f>
        <v>0</v>
      </c>
      <c r="Q557" s="70">
        <f>'RESUMEN TOTAL'!W598</f>
        <v>0</v>
      </c>
      <c r="R557" s="70">
        <f>'RESUMEN TOTAL'!X598</f>
        <v>0</v>
      </c>
      <c r="S557" s="70">
        <f>'RESUMEN TOTAL'!Y598</f>
        <v>0</v>
      </c>
      <c r="T557" s="70">
        <f>'RESUMEN TOTAL'!Z598</f>
        <v>0</v>
      </c>
      <c r="U557" s="70">
        <f>'RESUMEN TOTAL'!AA598</f>
        <v>0</v>
      </c>
      <c r="V557" s="70">
        <f>'RESUMEN TOTAL'!AB598</f>
        <v>0</v>
      </c>
      <c r="W557" s="70">
        <f>'RESUMEN TOTAL'!AC598</f>
        <v>0</v>
      </c>
      <c r="X557" s="70">
        <f>'RESUMEN TOTAL'!AD598</f>
        <v>0</v>
      </c>
      <c r="Y557" s="70">
        <f>'RESUMEN TOTAL'!AE598</f>
        <v>0</v>
      </c>
      <c r="Z557" s="70">
        <f>'RESUMEN TOTAL'!AF598</f>
        <v>0</v>
      </c>
      <c r="AA557" s="70">
        <f>'RESUMEN TOTAL'!AG598</f>
        <v>0</v>
      </c>
      <c r="AB557" s="70">
        <f>'RESUMEN TOTAL'!AH598</f>
        <v>0</v>
      </c>
      <c r="AC557" s="70">
        <f>'RESUMEN TOTAL'!AI598</f>
        <v>0</v>
      </c>
      <c r="AD557" s="70">
        <f>'RESUMEN TOTAL'!AJ598</f>
        <v>0</v>
      </c>
      <c r="AE557" s="70">
        <f>'RESUMEN TOTAL'!AK598</f>
        <v>0</v>
      </c>
      <c r="AF557" s="70">
        <f>'RESUMEN TOTAL'!AL598</f>
        <v>0</v>
      </c>
      <c r="AG557" s="70">
        <f>'RESUMEN TOTAL'!AM598</f>
        <v>0</v>
      </c>
      <c r="AH557" s="70">
        <f>'RESUMEN TOTAL'!AN598</f>
        <v>0</v>
      </c>
      <c r="AI557" s="70">
        <f>'RESUMEN TOTAL'!AO598</f>
        <v>0</v>
      </c>
      <c r="AJ557" s="70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0">
        <f>'RESUMEN TOTAL'!L599</f>
        <v>0</v>
      </c>
      <c r="G558" s="70">
        <f>'RESUMEN TOTAL'!M599</f>
        <v>0</v>
      </c>
      <c r="H558" s="70">
        <f>'RESUMEN TOTAL'!N599</f>
        <v>0</v>
      </c>
      <c r="I558" s="70">
        <f>'RESUMEN TOTAL'!O599</f>
        <v>0</v>
      </c>
      <c r="J558" s="70">
        <f>'RESUMEN TOTAL'!P599</f>
        <v>0</v>
      </c>
      <c r="K558" s="70">
        <f>'RESUMEN TOTAL'!Q599</f>
        <v>0</v>
      </c>
      <c r="L558" s="70">
        <f>'RESUMEN TOTAL'!R599</f>
        <v>0</v>
      </c>
      <c r="M558" s="70">
        <f>'RESUMEN TOTAL'!S599</f>
        <v>0</v>
      </c>
      <c r="N558" s="70">
        <f>'RESUMEN TOTAL'!T599</f>
        <v>0</v>
      </c>
      <c r="O558" s="70">
        <f>'RESUMEN TOTAL'!U599</f>
        <v>0</v>
      </c>
      <c r="P558" s="70">
        <f>'RESUMEN TOTAL'!V599</f>
        <v>0</v>
      </c>
      <c r="Q558" s="70">
        <f>'RESUMEN TOTAL'!W599</f>
        <v>0</v>
      </c>
      <c r="R558" s="70">
        <f>'RESUMEN TOTAL'!X599</f>
        <v>0</v>
      </c>
      <c r="S558" s="70">
        <f>'RESUMEN TOTAL'!Y599</f>
        <v>0</v>
      </c>
      <c r="T558" s="70">
        <f>'RESUMEN TOTAL'!Z599</f>
        <v>0</v>
      </c>
      <c r="U558" s="70">
        <f>'RESUMEN TOTAL'!AA599</f>
        <v>0</v>
      </c>
      <c r="V558" s="70">
        <f>'RESUMEN TOTAL'!AB599</f>
        <v>0</v>
      </c>
      <c r="W558" s="70">
        <f>'RESUMEN TOTAL'!AC599</f>
        <v>0</v>
      </c>
      <c r="X558" s="70">
        <f>'RESUMEN TOTAL'!AD599</f>
        <v>0</v>
      </c>
      <c r="Y558" s="70">
        <f>'RESUMEN TOTAL'!AE599</f>
        <v>0</v>
      </c>
      <c r="Z558" s="70">
        <f>'RESUMEN TOTAL'!AF599</f>
        <v>0</v>
      </c>
      <c r="AA558" s="70">
        <f>'RESUMEN TOTAL'!AG599</f>
        <v>0</v>
      </c>
      <c r="AB558" s="70">
        <f>'RESUMEN TOTAL'!AH599</f>
        <v>0</v>
      </c>
      <c r="AC558" s="70">
        <f>'RESUMEN TOTAL'!AI599</f>
        <v>0</v>
      </c>
      <c r="AD558" s="70">
        <f>'RESUMEN TOTAL'!AJ599</f>
        <v>0</v>
      </c>
      <c r="AE558" s="70">
        <f>'RESUMEN TOTAL'!AK599</f>
        <v>0</v>
      </c>
      <c r="AF558" s="70">
        <f>'RESUMEN TOTAL'!AL599</f>
        <v>0</v>
      </c>
      <c r="AG558" s="70">
        <f>'RESUMEN TOTAL'!AM599</f>
        <v>0</v>
      </c>
      <c r="AH558" s="70">
        <f>'RESUMEN TOTAL'!AN599</f>
        <v>0</v>
      </c>
      <c r="AI558" s="70">
        <f>'RESUMEN TOTAL'!AO599</f>
        <v>0</v>
      </c>
      <c r="AJ558" s="70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0">
        <f>'RESUMEN TOTAL'!L600</f>
        <v>0</v>
      </c>
      <c r="G559" s="70">
        <f>'RESUMEN TOTAL'!M600</f>
        <v>0</v>
      </c>
      <c r="H559" s="70">
        <f>'RESUMEN TOTAL'!N600</f>
        <v>0</v>
      </c>
      <c r="I559" s="70">
        <f>'RESUMEN TOTAL'!O600</f>
        <v>0</v>
      </c>
      <c r="J559" s="70">
        <f>'RESUMEN TOTAL'!P600</f>
        <v>0</v>
      </c>
      <c r="K559" s="70">
        <f>'RESUMEN TOTAL'!Q600</f>
        <v>0</v>
      </c>
      <c r="L559" s="70">
        <f>'RESUMEN TOTAL'!R600</f>
        <v>0</v>
      </c>
      <c r="M559" s="70">
        <f>'RESUMEN TOTAL'!S600</f>
        <v>0</v>
      </c>
      <c r="N559" s="70">
        <f>'RESUMEN TOTAL'!T600</f>
        <v>0</v>
      </c>
      <c r="O559" s="70">
        <f>'RESUMEN TOTAL'!U600</f>
        <v>0</v>
      </c>
      <c r="P559" s="70">
        <f>'RESUMEN TOTAL'!V600</f>
        <v>0</v>
      </c>
      <c r="Q559" s="70">
        <f>'RESUMEN TOTAL'!W600</f>
        <v>0</v>
      </c>
      <c r="R559" s="70">
        <f>'RESUMEN TOTAL'!X600</f>
        <v>0</v>
      </c>
      <c r="S559" s="70">
        <f>'RESUMEN TOTAL'!Y600</f>
        <v>0</v>
      </c>
      <c r="T559" s="70">
        <f>'RESUMEN TOTAL'!Z600</f>
        <v>0</v>
      </c>
      <c r="U559" s="70">
        <f>'RESUMEN TOTAL'!AA600</f>
        <v>0</v>
      </c>
      <c r="V559" s="70">
        <f>'RESUMEN TOTAL'!AB600</f>
        <v>0</v>
      </c>
      <c r="W559" s="70">
        <f>'RESUMEN TOTAL'!AC600</f>
        <v>0</v>
      </c>
      <c r="X559" s="70">
        <f>'RESUMEN TOTAL'!AD600</f>
        <v>0</v>
      </c>
      <c r="Y559" s="70">
        <f>'RESUMEN TOTAL'!AE600</f>
        <v>0</v>
      </c>
      <c r="Z559" s="70">
        <f>'RESUMEN TOTAL'!AF600</f>
        <v>0</v>
      </c>
      <c r="AA559" s="70">
        <f>'RESUMEN TOTAL'!AG600</f>
        <v>0</v>
      </c>
      <c r="AB559" s="70">
        <f>'RESUMEN TOTAL'!AH600</f>
        <v>0</v>
      </c>
      <c r="AC559" s="70">
        <f>'RESUMEN TOTAL'!AI600</f>
        <v>0</v>
      </c>
      <c r="AD559" s="70">
        <f>'RESUMEN TOTAL'!AJ600</f>
        <v>0</v>
      </c>
      <c r="AE559" s="70">
        <f>'RESUMEN TOTAL'!AK600</f>
        <v>0</v>
      </c>
      <c r="AF559" s="70">
        <f>'RESUMEN TOTAL'!AL600</f>
        <v>0</v>
      </c>
      <c r="AG559" s="70">
        <f>'RESUMEN TOTAL'!AM600</f>
        <v>0</v>
      </c>
      <c r="AH559" s="70">
        <f>'RESUMEN TOTAL'!AN600</f>
        <v>0</v>
      </c>
      <c r="AI559" s="70">
        <f>'RESUMEN TOTAL'!AO600</f>
        <v>0</v>
      </c>
      <c r="AJ559" s="70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0">
        <f>'RESUMEN TOTAL'!L601</f>
        <v>0</v>
      </c>
      <c r="G560" s="70">
        <f>'RESUMEN TOTAL'!M601</f>
        <v>0</v>
      </c>
      <c r="H560" s="70">
        <f>'RESUMEN TOTAL'!N601</f>
        <v>0</v>
      </c>
      <c r="I560" s="70">
        <f>'RESUMEN TOTAL'!O601</f>
        <v>0</v>
      </c>
      <c r="J560" s="70">
        <f>'RESUMEN TOTAL'!P601</f>
        <v>0</v>
      </c>
      <c r="K560" s="70">
        <f>'RESUMEN TOTAL'!Q601</f>
        <v>0</v>
      </c>
      <c r="L560" s="70">
        <f>'RESUMEN TOTAL'!R601</f>
        <v>0</v>
      </c>
      <c r="M560" s="70">
        <f>'RESUMEN TOTAL'!S601</f>
        <v>0</v>
      </c>
      <c r="N560" s="70">
        <f>'RESUMEN TOTAL'!T601</f>
        <v>0</v>
      </c>
      <c r="O560" s="70">
        <f>'RESUMEN TOTAL'!U601</f>
        <v>0</v>
      </c>
      <c r="P560" s="70">
        <f>'RESUMEN TOTAL'!V601</f>
        <v>0</v>
      </c>
      <c r="Q560" s="70">
        <f>'RESUMEN TOTAL'!W601</f>
        <v>0</v>
      </c>
      <c r="R560" s="70">
        <f>'RESUMEN TOTAL'!X601</f>
        <v>0</v>
      </c>
      <c r="S560" s="70">
        <f>'RESUMEN TOTAL'!Y601</f>
        <v>0</v>
      </c>
      <c r="T560" s="70">
        <f>'RESUMEN TOTAL'!Z601</f>
        <v>0</v>
      </c>
      <c r="U560" s="70">
        <f>'RESUMEN TOTAL'!AA601</f>
        <v>0</v>
      </c>
      <c r="V560" s="70">
        <f>'RESUMEN TOTAL'!AB601</f>
        <v>0</v>
      </c>
      <c r="W560" s="70">
        <f>'RESUMEN TOTAL'!AC601</f>
        <v>0</v>
      </c>
      <c r="X560" s="70">
        <f>'RESUMEN TOTAL'!AD601</f>
        <v>0</v>
      </c>
      <c r="Y560" s="70">
        <f>'RESUMEN TOTAL'!AE601</f>
        <v>0</v>
      </c>
      <c r="Z560" s="70">
        <f>'RESUMEN TOTAL'!AF601</f>
        <v>0</v>
      </c>
      <c r="AA560" s="70">
        <f>'RESUMEN TOTAL'!AG601</f>
        <v>0</v>
      </c>
      <c r="AB560" s="70">
        <f>'RESUMEN TOTAL'!AH601</f>
        <v>0</v>
      </c>
      <c r="AC560" s="70">
        <f>'RESUMEN TOTAL'!AI601</f>
        <v>0</v>
      </c>
      <c r="AD560" s="70">
        <f>'RESUMEN TOTAL'!AJ601</f>
        <v>0</v>
      </c>
      <c r="AE560" s="70">
        <f>'RESUMEN TOTAL'!AK601</f>
        <v>0</v>
      </c>
      <c r="AF560" s="70">
        <f>'RESUMEN TOTAL'!AL601</f>
        <v>0</v>
      </c>
      <c r="AG560" s="70">
        <f>'RESUMEN TOTAL'!AM601</f>
        <v>0</v>
      </c>
      <c r="AH560" s="70">
        <f>'RESUMEN TOTAL'!AN601</f>
        <v>0</v>
      </c>
      <c r="AI560" s="70">
        <f>'RESUMEN TOTAL'!AO601</f>
        <v>0</v>
      </c>
      <c r="AJ560" s="7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0">
        <f>'RESUMEN TOTAL'!L602</f>
        <v>0</v>
      </c>
      <c r="G561" s="70">
        <f>'RESUMEN TOTAL'!M602</f>
        <v>0</v>
      </c>
      <c r="H561" s="70">
        <f>'RESUMEN TOTAL'!N602</f>
        <v>0</v>
      </c>
      <c r="I561" s="70">
        <f>'RESUMEN TOTAL'!O602</f>
        <v>0</v>
      </c>
      <c r="J561" s="70">
        <f>'RESUMEN TOTAL'!P602</f>
        <v>0</v>
      </c>
      <c r="K561" s="70">
        <f>'RESUMEN TOTAL'!Q602</f>
        <v>0</v>
      </c>
      <c r="L561" s="70">
        <f>'RESUMEN TOTAL'!R602</f>
        <v>0</v>
      </c>
      <c r="M561" s="70">
        <f>'RESUMEN TOTAL'!S602</f>
        <v>0</v>
      </c>
      <c r="N561" s="70">
        <f>'RESUMEN TOTAL'!T602</f>
        <v>0</v>
      </c>
      <c r="O561" s="70">
        <f>'RESUMEN TOTAL'!U602</f>
        <v>0</v>
      </c>
      <c r="P561" s="70">
        <f>'RESUMEN TOTAL'!V602</f>
        <v>0</v>
      </c>
      <c r="Q561" s="70">
        <f>'RESUMEN TOTAL'!W602</f>
        <v>0</v>
      </c>
      <c r="R561" s="70">
        <f>'RESUMEN TOTAL'!X602</f>
        <v>0</v>
      </c>
      <c r="S561" s="70">
        <f>'RESUMEN TOTAL'!Y602</f>
        <v>0</v>
      </c>
      <c r="T561" s="70">
        <f>'RESUMEN TOTAL'!Z602</f>
        <v>0</v>
      </c>
      <c r="U561" s="70">
        <f>'RESUMEN TOTAL'!AA602</f>
        <v>0</v>
      </c>
      <c r="V561" s="70">
        <f>'RESUMEN TOTAL'!AB602</f>
        <v>0</v>
      </c>
      <c r="W561" s="70">
        <f>'RESUMEN TOTAL'!AC602</f>
        <v>0</v>
      </c>
      <c r="X561" s="70">
        <f>'RESUMEN TOTAL'!AD602</f>
        <v>0</v>
      </c>
      <c r="Y561" s="70">
        <f>'RESUMEN TOTAL'!AE602</f>
        <v>0</v>
      </c>
      <c r="Z561" s="70">
        <f>'RESUMEN TOTAL'!AF602</f>
        <v>0</v>
      </c>
      <c r="AA561" s="70">
        <f>'RESUMEN TOTAL'!AG602</f>
        <v>0</v>
      </c>
      <c r="AB561" s="70">
        <f>'RESUMEN TOTAL'!AH602</f>
        <v>0</v>
      </c>
      <c r="AC561" s="70">
        <f>'RESUMEN TOTAL'!AI602</f>
        <v>0</v>
      </c>
      <c r="AD561" s="70">
        <f>'RESUMEN TOTAL'!AJ602</f>
        <v>0</v>
      </c>
      <c r="AE561" s="70">
        <f>'RESUMEN TOTAL'!AK602</f>
        <v>0</v>
      </c>
      <c r="AF561" s="70">
        <f>'RESUMEN TOTAL'!AL602</f>
        <v>0</v>
      </c>
      <c r="AG561" s="70">
        <f>'RESUMEN TOTAL'!AM602</f>
        <v>0</v>
      </c>
      <c r="AH561" s="70">
        <f>'RESUMEN TOTAL'!AN602</f>
        <v>0</v>
      </c>
      <c r="AI561" s="70">
        <f>'RESUMEN TOTAL'!AO602</f>
        <v>0</v>
      </c>
      <c r="AJ561" s="70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0">
        <f>'RESUMEN TOTAL'!L603</f>
        <v>0</v>
      </c>
      <c r="G562" s="70">
        <f>'RESUMEN TOTAL'!M603</f>
        <v>0</v>
      </c>
      <c r="H562" s="70">
        <f>'RESUMEN TOTAL'!N603</f>
        <v>0</v>
      </c>
      <c r="I562" s="70">
        <f>'RESUMEN TOTAL'!O603</f>
        <v>0</v>
      </c>
      <c r="J562" s="70">
        <f>'RESUMEN TOTAL'!P603</f>
        <v>0</v>
      </c>
      <c r="K562" s="70">
        <f>'RESUMEN TOTAL'!Q603</f>
        <v>0</v>
      </c>
      <c r="L562" s="70">
        <f>'RESUMEN TOTAL'!R603</f>
        <v>0</v>
      </c>
      <c r="M562" s="70">
        <f>'RESUMEN TOTAL'!S603</f>
        <v>0</v>
      </c>
      <c r="N562" s="70">
        <f>'RESUMEN TOTAL'!T603</f>
        <v>0</v>
      </c>
      <c r="O562" s="70">
        <f>'RESUMEN TOTAL'!U603</f>
        <v>0</v>
      </c>
      <c r="P562" s="70">
        <f>'RESUMEN TOTAL'!V603</f>
        <v>0</v>
      </c>
      <c r="Q562" s="70">
        <f>'RESUMEN TOTAL'!W603</f>
        <v>0</v>
      </c>
      <c r="R562" s="70">
        <f>'RESUMEN TOTAL'!X603</f>
        <v>0</v>
      </c>
      <c r="S562" s="70">
        <f>'RESUMEN TOTAL'!Y603</f>
        <v>0</v>
      </c>
      <c r="T562" s="70">
        <f>'RESUMEN TOTAL'!Z603</f>
        <v>0</v>
      </c>
      <c r="U562" s="70">
        <f>'RESUMEN TOTAL'!AA603</f>
        <v>0</v>
      </c>
      <c r="V562" s="70">
        <f>'RESUMEN TOTAL'!AB603</f>
        <v>0</v>
      </c>
      <c r="W562" s="70">
        <f>'RESUMEN TOTAL'!AC603</f>
        <v>0</v>
      </c>
      <c r="X562" s="70">
        <f>'RESUMEN TOTAL'!AD603</f>
        <v>0</v>
      </c>
      <c r="Y562" s="70">
        <f>'RESUMEN TOTAL'!AE603</f>
        <v>0</v>
      </c>
      <c r="Z562" s="70">
        <f>'RESUMEN TOTAL'!AF603</f>
        <v>0</v>
      </c>
      <c r="AA562" s="70">
        <f>'RESUMEN TOTAL'!AG603</f>
        <v>0</v>
      </c>
      <c r="AB562" s="70">
        <f>'RESUMEN TOTAL'!AH603</f>
        <v>0</v>
      </c>
      <c r="AC562" s="70">
        <f>'RESUMEN TOTAL'!AI603</f>
        <v>0</v>
      </c>
      <c r="AD562" s="70">
        <f>'RESUMEN TOTAL'!AJ603</f>
        <v>0</v>
      </c>
      <c r="AE562" s="70">
        <f>'RESUMEN TOTAL'!AK603</f>
        <v>0</v>
      </c>
      <c r="AF562" s="70">
        <f>'RESUMEN TOTAL'!AL603</f>
        <v>0</v>
      </c>
      <c r="AG562" s="70">
        <f>'RESUMEN TOTAL'!AM603</f>
        <v>0</v>
      </c>
      <c r="AH562" s="70">
        <f>'RESUMEN TOTAL'!AN603</f>
        <v>0</v>
      </c>
      <c r="AI562" s="70">
        <f>'RESUMEN TOTAL'!AO603</f>
        <v>0</v>
      </c>
      <c r="AJ562" s="70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0">
        <f>'RESUMEN TOTAL'!L604</f>
        <v>0</v>
      </c>
      <c r="G563" s="70">
        <f>'RESUMEN TOTAL'!M604</f>
        <v>0</v>
      </c>
      <c r="H563" s="70">
        <f>'RESUMEN TOTAL'!N604</f>
        <v>0</v>
      </c>
      <c r="I563" s="70">
        <f>'RESUMEN TOTAL'!O604</f>
        <v>0</v>
      </c>
      <c r="J563" s="70">
        <f>'RESUMEN TOTAL'!P604</f>
        <v>0</v>
      </c>
      <c r="K563" s="70">
        <f>'RESUMEN TOTAL'!Q604</f>
        <v>0</v>
      </c>
      <c r="L563" s="70">
        <f>'RESUMEN TOTAL'!R604</f>
        <v>0</v>
      </c>
      <c r="M563" s="70">
        <f>'RESUMEN TOTAL'!S604</f>
        <v>0</v>
      </c>
      <c r="N563" s="70">
        <f>'RESUMEN TOTAL'!T604</f>
        <v>0</v>
      </c>
      <c r="O563" s="70">
        <f>'RESUMEN TOTAL'!U604</f>
        <v>0</v>
      </c>
      <c r="P563" s="70">
        <f>'RESUMEN TOTAL'!V604</f>
        <v>0</v>
      </c>
      <c r="Q563" s="70">
        <f>'RESUMEN TOTAL'!W604</f>
        <v>0</v>
      </c>
      <c r="R563" s="70">
        <f>'RESUMEN TOTAL'!X604</f>
        <v>0</v>
      </c>
      <c r="S563" s="70">
        <f>'RESUMEN TOTAL'!Y604</f>
        <v>0</v>
      </c>
      <c r="T563" s="70">
        <f>'RESUMEN TOTAL'!Z604</f>
        <v>0</v>
      </c>
      <c r="U563" s="70">
        <f>'RESUMEN TOTAL'!AA604</f>
        <v>0</v>
      </c>
      <c r="V563" s="70">
        <f>'RESUMEN TOTAL'!AB604</f>
        <v>0</v>
      </c>
      <c r="W563" s="70">
        <f>'RESUMEN TOTAL'!AC604</f>
        <v>0</v>
      </c>
      <c r="X563" s="70">
        <f>'RESUMEN TOTAL'!AD604</f>
        <v>0</v>
      </c>
      <c r="Y563" s="70">
        <f>'RESUMEN TOTAL'!AE604</f>
        <v>0</v>
      </c>
      <c r="Z563" s="70">
        <f>'RESUMEN TOTAL'!AF604</f>
        <v>0</v>
      </c>
      <c r="AA563" s="70">
        <f>'RESUMEN TOTAL'!AG604</f>
        <v>0</v>
      </c>
      <c r="AB563" s="70">
        <f>'RESUMEN TOTAL'!AH604</f>
        <v>0</v>
      </c>
      <c r="AC563" s="70">
        <f>'RESUMEN TOTAL'!AI604</f>
        <v>0</v>
      </c>
      <c r="AD563" s="70">
        <f>'RESUMEN TOTAL'!AJ604</f>
        <v>0</v>
      </c>
      <c r="AE563" s="70">
        <f>'RESUMEN TOTAL'!AK604</f>
        <v>0</v>
      </c>
      <c r="AF563" s="70">
        <f>'RESUMEN TOTAL'!AL604</f>
        <v>0</v>
      </c>
      <c r="AG563" s="70">
        <f>'RESUMEN TOTAL'!AM604</f>
        <v>0</v>
      </c>
      <c r="AH563" s="70">
        <f>'RESUMEN TOTAL'!AN604</f>
        <v>0</v>
      </c>
      <c r="AI563" s="70">
        <f>'RESUMEN TOTAL'!AO604</f>
        <v>0</v>
      </c>
      <c r="AJ563" s="70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0">
        <f>'RESUMEN TOTAL'!L605</f>
        <v>0</v>
      </c>
      <c r="G564" s="70">
        <f>'RESUMEN TOTAL'!M605</f>
        <v>0</v>
      </c>
      <c r="H564" s="70">
        <f>'RESUMEN TOTAL'!N605</f>
        <v>0</v>
      </c>
      <c r="I564" s="70">
        <f>'RESUMEN TOTAL'!O605</f>
        <v>0</v>
      </c>
      <c r="J564" s="70">
        <f>'RESUMEN TOTAL'!P605</f>
        <v>0</v>
      </c>
      <c r="K564" s="70">
        <f>'RESUMEN TOTAL'!Q605</f>
        <v>0</v>
      </c>
      <c r="L564" s="70">
        <f>'RESUMEN TOTAL'!R605</f>
        <v>0</v>
      </c>
      <c r="M564" s="70">
        <f>'RESUMEN TOTAL'!S605</f>
        <v>0</v>
      </c>
      <c r="N564" s="70">
        <f>'RESUMEN TOTAL'!T605</f>
        <v>0</v>
      </c>
      <c r="O564" s="70">
        <f>'RESUMEN TOTAL'!U605</f>
        <v>0</v>
      </c>
      <c r="P564" s="70">
        <f>'RESUMEN TOTAL'!V605</f>
        <v>0</v>
      </c>
      <c r="Q564" s="70">
        <f>'RESUMEN TOTAL'!W605</f>
        <v>0</v>
      </c>
      <c r="R564" s="70">
        <f>'RESUMEN TOTAL'!X605</f>
        <v>0</v>
      </c>
      <c r="S564" s="70">
        <f>'RESUMEN TOTAL'!Y605</f>
        <v>0</v>
      </c>
      <c r="T564" s="70">
        <f>'RESUMEN TOTAL'!Z605</f>
        <v>0</v>
      </c>
      <c r="U564" s="70">
        <f>'RESUMEN TOTAL'!AA605</f>
        <v>0</v>
      </c>
      <c r="V564" s="70">
        <f>'RESUMEN TOTAL'!AB605</f>
        <v>0</v>
      </c>
      <c r="W564" s="70">
        <f>'RESUMEN TOTAL'!AC605</f>
        <v>0</v>
      </c>
      <c r="X564" s="70">
        <f>'RESUMEN TOTAL'!AD605</f>
        <v>0</v>
      </c>
      <c r="Y564" s="70">
        <f>'RESUMEN TOTAL'!AE605</f>
        <v>0</v>
      </c>
      <c r="Z564" s="70">
        <f>'RESUMEN TOTAL'!AF605</f>
        <v>0</v>
      </c>
      <c r="AA564" s="70">
        <f>'RESUMEN TOTAL'!AG605</f>
        <v>0</v>
      </c>
      <c r="AB564" s="70">
        <f>'RESUMEN TOTAL'!AH605</f>
        <v>0</v>
      </c>
      <c r="AC564" s="70">
        <f>'RESUMEN TOTAL'!AI605</f>
        <v>0</v>
      </c>
      <c r="AD564" s="70">
        <f>'RESUMEN TOTAL'!AJ605</f>
        <v>0</v>
      </c>
      <c r="AE564" s="70">
        <f>'RESUMEN TOTAL'!AK605</f>
        <v>0</v>
      </c>
      <c r="AF564" s="70">
        <f>'RESUMEN TOTAL'!AL605</f>
        <v>0</v>
      </c>
      <c r="AG564" s="70">
        <f>'RESUMEN TOTAL'!AM605</f>
        <v>0</v>
      </c>
      <c r="AH564" s="70">
        <f>'RESUMEN TOTAL'!AN605</f>
        <v>0</v>
      </c>
      <c r="AI564" s="70">
        <f>'RESUMEN TOTAL'!AO605</f>
        <v>0</v>
      </c>
      <c r="AJ564" s="70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0">
        <f>'RESUMEN TOTAL'!L606</f>
        <v>0</v>
      </c>
      <c r="G565" s="70">
        <f>'RESUMEN TOTAL'!M606</f>
        <v>0</v>
      </c>
      <c r="H565" s="70">
        <f>'RESUMEN TOTAL'!N606</f>
        <v>0</v>
      </c>
      <c r="I565" s="70">
        <f>'RESUMEN TOTAL'!O606</f>
        <v>0</v>
      </c>
      <c r="J565" s="70">
        <f>'RESUMEN TOTAL'!P606</f>
        <v>0</v>
      </c>
      <c r="K565" s="70">
        <f>'RESUMEN TOTAL'!Q606</f>
        <v>0</v>
      </c>
      <c r="L565" s="70">
        <f>'RESUMEN TOTAL'!R606</f>
        <v>0</v>
      </c>
      <c r="M565" s="70">
        <f>'RESUMEN TOTAL'!S606</f>
        <v>0</v>
      </c>
      <c r="N565" s="70">
        <f>'RESUMEN TOTAL'!T606</f>
        <v>0</v>
      </c>
      <c r="O565" s="70">
        <f>'RESUMEN TOTAL'!U606</f>
        <v>0</v>
      </c>
      <c r="P565" s="70">
        <f>'RESUMEN TOTAL'!V606</f>
        <v>0</v>
      </c>
      <c r="Q565" s="70">
        <f>'RESUMEN TOTAL'!W606</f>
        <v>0</v>
      </c>
      <c r="R565" s="70">
        <f>'RESUMEN TOTAL'!X606</f>
        <v>0</v>
      </c>
      <c r="S565" s="70">
        <f>'RESUMEN TOTAL'!Y606</f>
        <v>0</v>
      </c>
      <c r="T565" s="70">
        <f>'RESUMEN TOTAL'!Z606</f>
        <v>0</v>
      </c>
      <c r="U565" s="70">
        <f>'RESUMEN TOTAL'!AA606</f>
        <v>0</v>
      </c>
      <c r="V565" s="70">
        <f>'RESUMEN TOTAL'!AB606</f>
        <v>0</v>
      </c>
      <c r="W565" s="70">
        <f>'RESUMEN TOTAL'!AC606</f>
        <v>0</v>
      </c>
      <c r="X565" s="70">
        <f>'RESUMEN TOTAL'!AD606</f>
        <v>0</v>
      </c>
      <c r="Y565" s="70">
        <f>'RESUMEN TOTAL'!AE606</f>
        <v>0</v>
      </c>
      <c r="Z565" s="70">
        <f>'RESUMEN TOTAL'!AF606</f>
        <v>0</v>
      </c>
      <c r="AA565" s="70">
        <f>'RESUMEN TOTAL'!AG606</f>
        <v>0</v>
      </c>
      <c r="AB565" s="70">
        <f>'RESUMEN TOTAL'!AH606</f>
        <v>0</v>
      </c>
      <c r="AC565" s="70">
        <f>'RESUMEN TOTAL'!AI606</f>
        <v>0</v>
      </c>
      <c r="AD565" s="70">
        <f>'RESUMEN TOTAL'!AJ606</f>
        <v>0</v>
      </c>
      <c r="AE565" s="70">
        <f>'RESUMEN TOTAL'!AK606</f>
        <v>0</v>
      </c>
      <c r="AF565" s="70">
        <f>'RESUMEN TOTAL'!AL606</f>
        <v>0</v>
      </c>
      <c r="AG565" s="70">
        <f>'RESUMEN TOTAL'!AM606</f>
        <v>0</v>
      </c>
      <c r="AH565" s="70">
        <f>'RESUMEN TOTAL'!AN606</f>
        <v>0</v>
      </c>
      <c r="AI565" s="70">
        <f>'RESUMEN TOTAL'!AO606</f>
        <v>0</v>
      </c>
      <c r="AJ565" s="70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0">
        <f>'RESUMEN TOTAL'!L607</f>
        <v>0</v>
      </c>
      <c r="G566" s="70">
        <f>'RESUMEN TOTAL'!M607</f>
        <v>0</v>
      </c>
      <c r="H566" s="70">
        <f>'RESUMEN TOTAL'!N607</f>
        <v>0</v>
      </c>
      <c r="I566" s="70">
        <f>'RESUMEN TOTAL'!O607</f>
        <v>0</v>
      </c>
      <c r="J566" s="70">
        <f>'RESUMEN TOTAL'!P607</f>
        <v>0</v>
      </c>
      <c r="K566" s="70">
        <f>'RESUMEN TOTAL'!Q607</f>
        <v>0</v>
      </c>
      <c r="L566" s="70">
        <f>'RESUMEN TOTAL'!R607</f>
        <v>0</v>
      </c>
      <c r="M566" s="70">
        <f>'RESUMEN TOTAL'!S607</f>
        <v>0</v>
      </c>
      <c r="N566" s="70">
        <f>'RESUMEN TOTAL'!T607</f>
        <v>0</v>
      </c>
      <c r="O566" s="70">
        <f>'RESUMEN TOTAL'!U607</f>
        <v>0</v>
      </c>
      <c r="P566" s="70">
        <f>'RESUMEN TOTAL'!V607</f>
        <v>0</v>
      </c>
      <c r="Q566" s="70">
        <f>'RESUMEN TOTAL'!W607</f>
        <v>0</v>
      </c>
      <c r="R566" s="70">
        <f>'RESUMEN TOTAL'!X607</f>
        <v>0</v>
      </c>
      <c r="S566" s="70">
        <f>'RESUMEN TOTAL'!Y607</f>
        <v>0</v>
      </c>
      <c r="T566" s="70">
        <f>'RESUMEN TOTAL'!Z607</f>
        <v>0</v>
      </c>
      <c r="U566" s="70">
        <f>'RESUMEN TOTAL'!AA607</f>
        <v>0</v>
      </c>
      <c r="V566" s="70">
        <f>'RESUMEN TOTAL'!AB607</f>
        <v>0</v>
      </c>
      <c r="W566" s="70">
        <f>'RESUMEN TOTAL'!AC607</f>
        <v>0</v>
      </c>
      <c r="X566" s="70">
        <f>'RESUMEN TOTAL'!AD607</f>
        <v>0</v>
      </c>
      <c r="Y566" s="70">
        <f>'RESUMEN TOTAL'!AE607</f>
        <v>0</v>
      </c>
      <c r="Z566" s="70">
        <f>'RESUMEN TOTAL'!AF607</f>
        <v>0</v>
      </c>
      <c r="AA566" s="70">
        <f>'RESUMEN TOTAL'!AG607</f>
        <v>0</v>
      </c>
      <c r="AB566" s="70">
        <f>'RESUMEN TOTAL'!AH607</f>
        <v>0</v>
      </c>
      <c r="AC566" s="70">
        <f>'RESUMEN TOTAL'!AI607</f>
        <v>0</v>
      </c>
      <c r="AD566" s="70">
        <f>'RESUMEN TOTAL'!AJ607</f>
        <v>0</v>
      </c>
      <c r="AE566" s="70">
        <f>'RESUMEN TOTAL'!AK607</f>
        <v>0</v>
      </c>
      <c r="AF566" s="70">
        <f>'RESUMEN TOTAL'!AL607</f>
        <v>0</v>
      </c>
      <c r="AG566" s="70">
        <f>'RESUMEN TOTAL'!AM607</f>
        <v>0</v>
      </c>
      <c r="AH566" s="70">
        <f>'RESUMEN TOTAL'!AN607</f>
        <v>0</v>
      </c>
      <c r="AI566" s="70">
        <f>'RESUMEN TOTAL'!AO607</f>
        <v>0</v>
      </c>
      <c r="AJ566" s="70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0">
        <f>'RESUMEN TOTAL'!L608</f>
        <v>0</v>
      </c>
      <c r="G567" s="70">
        <f>'RESUMEN TOTAL'!M608</f>
        <v>0</v>
      </c>
      <c r="H567" s="70">
        <f>'RESUMEN TOTAL'!N608</f>
        <v>0</v>
      </c>
      <c r="I567" s="70">
        <f>'RESUMEN TOTAL'!O608</f>
        <v>0</v>
      </c>
      <c r="J567" s="70">
        <f>'RESUMEN TOTAL'!P608</f>
        <v>0</v>
      </c>
      <c r="K567" s="70">
        <f>'RESUMEN TOTAL'!Q608</f>
        <v>0</v>
      </c>
      <c r="L567" s="70">
        <f>'RESUMEN TOTAL'!R608</f>
        <v>0</v>
      </c>
      <c r="M567" s="70">
        <f>'RESUMEN TOTAL'!S608</f>
        <v>0</v>
      </c>
      <c r="N567" s="70">
        <f>'RESUMEN TOTAL'!T608</f>
        <v>0</v>
      </c>
      <c r="O567" s="70">
        <f>'RESUMEN TOTAL'!U608</f>
        <v>0</v>
      </c>
      <c r="P567" s="70">
        <f>'RESUMEN TOTAL'!V608</f>
        <v>0</v>
      </c>
      <c r="Q567" s="70">
        <f>'RESUMEN TOTAL'!W608</f>
        <v>0</v>
      </c>
      <c r="R567" s="70">
        <f>'RESUMEN TOTAL'!X608</f>
        <v>0</v>
      </c>
      <c r="S567" s="70">
        <f>'RESUMEN TOTAL'!Y608</f>
        <v>0</v>
      </c>
      <c r="T567" s="70">
        <f>'RESUMEN TOTAL'!Z608</f>
        <v>0</v>
      </c>
      <c r="U567" s="70">
        <f>'RESUMEN TOTAL'!AA608</f>
        <v>0</v>
      </c>
      <c r="V567" s="70">
        <f>'RESUMEN TOTAL'!AB608</f>
        <v>0</v>
      </c>
      <c r="W567" s="70">
        <f>'RESUMEN TOTAL'!AC608</f>
        <v>0</v>
      </c>
      <c r="X567" s="70">
        <f>'RESUMEN TOTAL'!AD608</f>
        <v>0</v>
      </c>
      <c r="Y567" s="70">
        <f>'RESUMEN TOTAL'!AE608</f>
        <v>0</v>
      </c>
      <c r="Z567" s="70">
        <f>'RESUMEN TOTAL'!AF608</f>
        <v>0</v>
      </c>
      <c r="AA567" s="70">
        <f>'RESUMEN TOTAL'!AG608</f>
        <v>0</v>
      </c>
      <c r="AB567" s="70">
        <f>'RESUMEN TOTAL'!AH608</f>
        <v>0</v>
      </c>
      <c r="AC567" s="70">
        <f>'RESUMEN TOTAL'!AI608</f>
        <v>0</v>
      </c>
      <c r="AD567" s="70">
        <f>'RESUMEN TOTAL'!AJ608</f>
        <v>0</v>
      </c>
      <c r="AE567" s="70">
        <f>'RESUMEN TOTAL'!AK608</f>
        <v>0</v>
      </c>
      <c r="AF567" s="70">
        <f>'RESUMEN TOTAL'!AL608</f>
        <v>0</v>
      </c>
      <c r="AG567" s="70">
        <f>'RESUMEN TOTAL'!AM608</f>
        <v>0</v>
      </c>
      <c r="AH567" s="70">
        <f>'RESUMEN TOTAL'!AN608</f>
        <v>0</v>
      </c>
      <c r="AI567" s="70">
        <f>'RESUMEN TOTAL'!AO608</f>
        <v>0</v>
      </c>
      <c r="AJ567" s="70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0">
        <f>'RESUMEN TOTAL'!L609</f>
        <v>0</v>
      </c>
      <c r="G568" s="70">
        <f>'RESUMEN TOTAL'!M609</f>
        <v>0</v>
      </c>
      <c r="H568" s="70">
        <f>'RESUMEN TOTAL'!N609</f>
        <v>0</v>
      </c>
      <c r="I568" s="70">
        <f>'RESUMEN TOTAL'!O609</f>
        <v>0</v>
      </c>
      <c r="J568" s="70">
        <f>'RESUMEN TOTAL'!P609</f>
        <v>0</v>
      </c>
      <c r="K568" s="70">
        <f>'RESUMEN TOTAL'!Q609</f>
        <v>0</v>
      </c>
      <c r="L568" s="70">
        <f>'RESUMEN TOTAL'!R609</f>
        <v>0</v>
      </c>
      <c r="M568" s="70">
        <f>'RESUMEN TOTAL'!S609</f>
        <v>0</v>
      </c>
      <c r="N568" s="70">
        <f>'RESUMEN TOTAL'!T609</f>
        <v>0</v>
      </c>
      <c r="O568" s="70">
        <f>'RESUMEN TOTAL'!U609</f>
        <v>0</v>
      </c>
      <c r="P568" s="70">
        <f>'RESUMEN TOTAL'!V609</f>
        <v>0</v>
      </c>
      <c r="Q568" s="70">
        <f>'RESUMEN TOTAL'!W609</f>
        <v>0</v>
      </c>
      <c r="R568" s="70">
        <f>'RESUMEN TOTAL'!X609</f>
        <v>0</v>
      </c>
      <c r="S568" s="70">
        <f>'RESUMEN TOTAL'!Y609</f>
        <v>0</v>
      </c>
      <c r="T568" s="70">
        <f>'RESUMEN TOTAL'!Z609</f>
        <v>0</v>
      </c>
      <c r="U568" s="70">
        <f>'RESUMEN TOTAL'!AA609</f>
        <v>0</v>
      </c>
      <c r="V568" s="70">
        <f>'RESUMEN TOTAL'!AB609</f>
        <v>0</v>
      </c>
      <c r="W568" s="70">
        <f>'RESUMEN TOTAL'!AC609</f>
        <v>0</v>
      </c>
      <c r="X568" s="70">
        <f>'RESUMEN TOTAL'!AD609</f>
        <v>0</v>
      </c>
      <c r="Y568" s="70">
        <f>'RESUMEN TOTAL'!AE609</f>
        <v>0</v>
      </c>
      <c r="Z568" s="70">
        <f>'RESUMEN TOTAL'!AF609</f>
        <v>0</v>
      </c>
      <c r="AA568" s="70">
        <f>'RESUMEN TOTAL'!AG609</f>
        <v>0</v>
      </c>
      <c r="AB568" s="70">
        <f>'RESUMEN TOTAL'!AH609</f>
        <v>0</v>
      </c>
      <c r="AC568" s="70">
        <f>'RESUMEN TOTAL'!AI609</f>
        <v>0</v>
      </c>
      <c r="AD568" s="70">
        <f>'RESUMEN TOTAL'!AJ609</f>
        <v>0</v>
      </c>
      <c r="AE568" s="70">
        <f>'RESUMEN TOTAL'!AK609</f>
        <v>0</v>
      </c>
      <c r="AF568" s="70">
        <f>'RESUMEN TOTAL'!AL609</f>
        <v>0</v>
      </c>
      <c r="AG568" s="70">
        <f>'RESUMEN TOTAL'!AM609</f>
        <v>0</v>
      </c>
      <c r="AH568" s="70">
        <f>'RESUMEN TOTAL'!AN609</f>
        <v>0</v>
      </c>
      <c r="AI568" s="70">
        <f>'RESUMEN TOTAL'!AO609</f>
        <v>0</v>
      </c>
      <c r="AJ568" s="70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0">
        <f>'RESUMEN TOTAL'!L610</f>
        <v>0</v>
      </c>
      <c r="G569" s="70">
        <f>'RESUMEN TOTAL'!M610</f>
        <v>0</v>
      </c>
      <c r="H569" s="70">
        <f>'RESUMEN TOTAL'!N610</f>
        <v>0</v>
      </c>
      <c r="I569" s="70">
        <f>'RESUMEN TOTAL'!O610</f>
        <v>0</v>
      </c>
      <c r="J569" s="70">
        <f>'RESUMEN TOTAL'!P610</f>
        <v>0</v>
      </c>
      <c r="K569" s="70">
        <f>'RESUMEN TOTAL'!Q610</f>
        <v>0</v>
      </c>
      <c r="L569" s="70">
        <f>'RESUMEN TOTAL'!R610</f>
        <v>0</v>
      </c>
      <c r="M569" s="70">
        <f>'RESUMEN TOTAL'!S610</f>
        <v>0</v>
      </c>
      <c r="N569" s="70">
        <f>'RESUMEN TOTAL'!T610</f>
        <v>0</v>
      </c>
      <c r="O569" s="70">
        <f>'RESUMEN TOTAL'!U610</f>
        <v>0</v>
      </c>
      <c r="P569" s="70">
        <f>'RESUMEN TOTAL'!V610</f>
        <v>0</v>
      </c>
      <c r="Q569" s="70">
        <f>'RESUMEN TOTAL'!W610</f>
        <v>0</v>
      </c>
      <c r="R569" s="70">
        <f>'RESUMEN TOTAL'!X610</f>
        <v>0</v>
      </c>
      <c r="S569" s="70">
        <f>'RESUMEN TOTAL'!Y610</f>
        <v>0</v>
      </c>
      <c r="T569" s="70">
        <f>'RESUMEN TOTAL'!Z610</f>
        <v>0</v>
      </c>
      <c r="U569" s="70">
        <f>'RESUMEN TOTAL'!AA610</f>
        <v>0</v>
      </c>
      <c r="V569" s="70">
        <f>'RESUMEN TOTAL'!AB610</f>
        <v>0</v>
      </c>
      <c r="W569" s="70">
        <f>'RESUMEN TOTAL'!AC610</f>
        <v>0</v>
      </c>
      <c r="X569" s="70">
        <f>'RESUMEN TOTAL'!AD610</f>
        <v>0</v>
      </c>
      <c r="Y569" s="70">
        <f>'RESUMEN TOTAL'!AE610</f>
        <v>0</v>
      </c>
      <c r="Z569" s="70">
        <f>'RESUMEN TOTAL'!AF610</f>
        <v>0</v>
      </c>
      <c r="AA569" s="70">
        <f>'RESUMEN TOTAL'!AG610</f>
        <v>0</v>
      </c>
      <c r="AB569" s="70">
        <f>'RESUMEN TOTAL'!AH610</f>
        <v>0</v>
      </c>
      <c r="AC569" s="70">
        <f>'RESUMEN TOTAL'!AI610</f>
        <v>0</v>
      </c>
      <c r="AD569" s="70">
        <f>'RESUMEN TOTAL'!AJ610</f>
        <v>0</v>
      </c>
      <c r="AE569" s="70">
        <f>'RESUMEN TOTAL'!AK610</f>
        <v>0</v>
      </c>
      <c r="AF569" s="70">
        <f>'RESUMEN TOTAL'!AL610</f>
        <v>0</v>
      </c>
      <c r="AG569" s="70">
        <f>'RESUMEN TOTAL'!AM610</f>
        <v>0</v>
      </c>
      <c r="AH569" s="70">
        <f>'RESUMEN TOTAL'!AN610</f>
        <v>0</v>
      </c>
      <c r="AI569" s="70">
        <f>'RESUMEN TOTAL'!AO610</f>
        <v>0</v>
      </c>
      <c r="AJ569" s="70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0">
        <f>'RESUMEN TOTAL'!L611</f>
        <v>0</v>
      </c>
      <c r="G570" s="70">
        <f>'RESUMEN TOTAL'!M611</f>
        <v>0</v>
      </c>
      <c r="H570" s="70">
        <f>'RESUMEN TOTAL'!N611</f>
        <v>0</v>
      </c>
      <c r="I570" s="70">
        <f>'RESUMEN TOTAL'!O611</f>
        <v>0</v>
      </c>
      <c r="J570" s="70">
        <f>'RESUMEN TOTAL'!P611</f>
        <v>0</v>
      </c>
      <c r="K570" s="70">
        <f>'RESUMEN TOTAL'!Q611</f>
        <v>0</v>
      </c>
      <c r="L570" s="70">
        <f>'RESUMEN TOTAL'!R611</f>
        <v>0</v>
      </c>
      <c r="M570" s="70">
        <f>'RESUMEN TOTAL'!S611</f>
        <v>0</v>
      </c>
      <c r="N570" s="70">
        <f>'RESUMEN TOTAL'!T611</f>
        <v>0</v>
      </c>
      <c r="O570" s="70">
        <f>'RESUMEN TOTAL'!U611</f>
        <v>0</v>
      </c>
      <c r="P570" s="70">
        <f>'RESUMEN TOTAL'!V611</f>
        <v>0</v>
      </c>
      <c r="Q570" s="70">
        <f>'RESUMEN TOTAL'!W611</f>
        <v>0</v>
      </c>
      <c r="R570" s="70">
        <f>'RESUMEN TOTAL'!X611</f>
        <v>0</v>
      </c>
      <c r="S570" s="70">
        <f>'RESUMEN TOTAL'!Y611</f>
        <v>0</v>
      </c>
      <c r="T570" s="70">
        <f>'RESUMEN TOTAL'!Z611</f>
        <v>0</v>
      </c>
      <c r="U570" s="70">
        <f>'RESUMEN TOTAL'!AA611</f>
        <v>0</v>
      </c>
      <c r="V570" s="70">
        <f>'RESUMEN TOTAL'!AB611</f>
        <v>0</v>
      </c>
      <c r="W570" s="70">
        <f>'RESUMEN TOTAL'!AC611</f>
        <v>0</v>
      </c>
      <c r="X570" s="70">
        <f>'RESUMEN TOTAL'!AD611</f>
        <v>0</v>
      </c>
      <c r="Y570" s="70">
        <f>'RESUMEN TOTAL'!AE611</f>
        <v>0</v>
      </c>
      <c r="Z570" s="70">
        <f>'RESUMEN TOTAL'!AF611</f>
        <v>0</v>
      </c>
      <c r="AA570" s="70">
        <f>'RESUMEN TOTAL'!AG611</f>
        <v>0</v>
      </c>
      <c r="AB570" s="70">
        <f>'RESUMEN TOTAL'!AH611</f>
        <v>0</v>
      </c>
      <c r="AC570" s="70">
        <f>'RESUMEN TOTAL'!AI611</f>
        <v>0</v>
      </c>
      <c r="AD570" s="70">
        <f>'RESUMEN TOTAL'!AJ611</f>
        <v>0</v>
      </c>
      <c r="AE570" s="70">
        <f>'RESUMEN TOTAL'!AK611</f>
        <v>0</v>
      </c>
      <c r="AF570" s="70">
        <f>'RESUMEN TOTAL'!AL611</f>
        <v>0</v>
      </c>
      <c r="AG570" s="70">
        <f>'RESUMEN TOTAL'!AM611</f>
        <v>0</v>
      </c>
      <c r="AH570" s="70">
        <f>'RESUMEN TOTAL'!AN611</f>
        <v>0</v>
      </c>
      <c r="AI570" s="70">
        <f>'RESUMEN TOTAL'!AO611</f>
        <v>0</v>
      </c>
      <c r="AJ570" s="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0">
        <f>'RESUMEN TOTAL'!L612</f>
        <v>0</v>
      </c>
      <c r="G571" s="70">
        <f>'RESUMEN TOTAL'!M612</f>
        <v>0</v>
      </c>
      <c r="H571" s="70">
        <f>'RESUMEN TOTAL'!N612</f>
        <v>0</v>
      </c>
      <c r="I571" s="70">
        <f>'RESUMEN TOTAL'!O612</f>
        <v>0</v>
      </c>
      <c r="J571" s="70">
        <f>'RESUMEN TOTAL'!P612</f>
        <v>0</v>
      </c>
      <c r="K571" s="70">
        <f>'RESUMEN TOTAL'!Q612</f>
        <v>0</v>
      </c>
      <c r="L571" s="70">
        <f>'RESUMEN TOTAL'!R612</f>
        <v>0</v>
      </c>
      <c r="M571" s="70">
        <f>'RESUMEN TOTAL'!S612</f>
        <v>0</v>
      </c>
      <c r="N571" s="70">
        <f>'RESUMEN TOTAL'!T612</f>
        <v>0</v>
      </c>
      <c r="O571" s="70">
        <f>'RESUMEN TOTAL'!U612</f>
        <v>0</v>
      </c>
      <c r="P571" s="70">
        <f>'RESUMEN TOTAL'!V612</f>
        <v>0</v>
      </c>
      <c r="Q571" s="70">
        <f>'RESUMEN TOTAL'!W612</f>
        <v>0</v>
      </c>
      <c r="R571" s="70">
        <f>'RESUMEN TOTAL'!X612</f>
        <v>0</v>
      </c>
      <c r="S571" s="70">
        <f>'RESUMEN TOTAL'!Y612</f>
        <v>0</v>
      </c>
      <c r="T571" s="70">
        <f>'RESUMEN TOTAL'!Z612</f>
        <v>0</v>
      </c>
      <c r="U571" s="70">
        <f>'RESUMEN TOTAL'!AA612</f>
        <v>0</v>
      </c>
      <c r="V571" s="70">
        <f>'RESUMEN TOTAL'!AB612</f>
        <v>0</v>
      </c>
      <c r="W571" s="70">
        <f>'RESUMEN TOTAL'!AC612</f>
        <v>0</v>
      </c>
      <c r="X571" s="70">
        <f>'RESUMEN TOTAL'!AD612</f>
        <v>0</v>
      </c>
      <c r="Y571" s="70">
        <f>'RESUMEN TOTAL'!AE612</f>
        <v>0</v>
      </c>
      <c r="Z571" s="70">
        <f>'RESUMEN TOTAL'!AF612</f>
        <v>0</v>
      </c>
      <c r="AA571" s="70">
        <f>'RESUMEN TOTAL'!AG612</f>
        <v>0</v>
      </c>
      <c r="AB571" s="70">
        <f>'RESUMEN TOTAL'!AH612</f>
        <v>0</v>
      </c>
      <c r="AC571" s="70">
        <f>'RESUMEN TOTAL'!AI612</f>
        <v>0</v>
      </c>
      <c r="AD571" s="70">
        <f>'RESUMEN TOTAL'!AJ612</f>
        <v>0</v>
      </c>
      <c r="AE571" s="70">
        <f>'RESUMEN TOTAL'!AK612</f>
        <v>0</v>
      </c>
      <c r="AF571" s="70">
        <f>'RESUMEN TOTAL'!AL612</f>
        <v>0</v>
      </c>
      <c r="AG571" s="70">
        <f>'RESUMEN TOTAL'!AM612</f>
        <v>0</v>
      </c>
      <c r="AH571" s="70">
        <f>'RESUMEN TOTAL'!AN612</f>
        <v>0</v>
      </c>
      <c r="AI571" s="70">
        <f>'RESUMEN TOTAL'!AO612</f>
        <v>0</v>
      </c>
      <c r="AJ571" s="70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0">
        <f>'RESUMEN TOTAL'!L613</f>
        <v>0</v>
      </c>
      <c r="G572" s="70">
        <f>'RESUMEN TOTAL'!M613</f>
        <v>0</v>
      </c>
      <c r="H572" s="70">
        <f>'RESUMEN TOTAL'!N613</f>
        <v>0</v>
      </c>
      <c r="I572" s="70">
        <f>'RESUMEN TOTAL'!O613</f>
        <v>0</v>
      </c>
      <c r="J572" s="70">
        <f>'RESUMEN TOTAL'!P613</f>
        <v>0</v>
      </c>
      <c r="K572" s="70">
        <f>'RESUMEN TOTAL'!Q613</f>
        <v>0</v>
      </c>
      <c r="L572" s="70">
        <f>'RESUMEN TOTAL'!R613</f>
        <v>0</v>
      </c>
      <c r="M572" s="70">
        <f>'RESUMEN TOTAL'!S613</f>
        <v>0</v>
      </c>
      <c r="N572" s="70">
        <f>'RESUMEN TOTAL'!T613</f>
        <v>0</v>
      </c>
      <c r="O572" s="70">
        <f>'RESUMEN TOTAL'!U613</f>
        <v>0</v>
      </c>
      <c r="P572" s="70">
        <f>'RESUMEN TOTAL'!V613</f>
        <v>0</v>
      </c>
      <c r="Q572" s="70">
        <f>'RESUMEN TOTAL'!W613</f>
        <v>0</v>
      </c>
      <c r="R572" s="70">
        <f>'RESUMEN TOTAL'!X613</f>
        <v>0</v>
      </c>
      <c r="S572" s="70">
        <f>'RESUMEN TOTAL'!Y613</f>
        <v>0</v>
      </c>
      <c r="T572" s="70">
        <f>'RESUMEN TOTAL'!Z613</f>
        <v>0</v>
      </c>
      <c r="U572" s="70">
        <f>'RESUMEN TOTAL'!AA613</f>
        <v>0</v>
      </c>
      <c r="V572" s="70">
        <f>'RESUMEN TOTAL'!AB613</f>
        <v>0</v>
      </c>
      <c r="W572" s="70">
        <f>'RESUMEN TOTAL'!AC613</f>
        <v>0</v>
      </c>
      <c r="X572" s="70">
        <f>'RESUMEN TOTAL'!AD613</f>
        <v>0</v>
      </c>
      <c r="Y572" s="70">
        <f>'RESUMEN TOTAL'!AE613</f>
        <v>0</v>
      </c>
      <c r="Z572" s="70">
        <f>'RESUMEN TOTAL'!AF613</f>
        <v>0</v>
      </c>
      <c r="AA572" s="70">
        <f>'RESUMEN TOTAL'!AG613</f>
        <v>0</v>
      </c>
      <c r="AB572" s="70">
        <f>'RESUMEN TOTAL'!AH613</f>
        <v>0</v>
      </c>
      <c r="AC572" s="70">
        <f>'RESUMEN TOTAL'!AI613</f>
        <v>0</v>
      </c>
      <c r="AD572" s="70">
        <f>'RESUMEN TOTAL'!AJ613</f>
        <v>0</v>
      </c>
      <c r="AE572" s="70">
        <f>'RESUMEN TOTAL'!AK613</f>
        <v>0</v>
      </c>
      <c r="AF572" s="70">
        <f>'RESUMEN TOTAL'!AL613</f>
        <v>0</v>
      </c>
      <c r="AG572" s="70">
        <f>'RESUMEN TOTAL'!AM613</f>
        <v>0</v>
      </c>
      <c r="AH572" s="70">
        <f>'RESUMEN TOTAL'!AN613</f>
        <v>0</v>
      </c>
      <c r="AI572" s="70">
        <f>'RESUMEN TOTAL'!AO613</f>
        <v>0</v>
      </c>
      <c r="AJ572" s="70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0">
        <f>'RESUMEN TOTAL'!L614</f>
        <v>0</v>
      </c>
      <c r="G573" s="70">
        <f>'RESUMEN TOTAL'!M614</f>
        <v>0</v>
      </c>
      <c r="H573" s="70">
        <f>'RESUMEN TOTAL'!N614</f>
        <v>0</v>
      </c>
      <c r="I573" s="70">
        <f>'RESUMEN TOTAL'!O614</f>
        <v>0</v>
      </c>
      <c r="J573" s="70">
        <f>'RESUMEN TOTAL'!P614</f>
        <v>0</v>
      </c>
      <c r="K573" s="70">
        <f>'RESUMEN TOTAL'!Q614</f>
        <v>0</v>
      </c>
      <c r="L573" s="70">
        <f>'RESUMEN TOTAL'!R614</f>
        <v>0</v>
      </c>
      <c r="M573" s="70">
        <f>'RESUMEN TOTAL'!S614</f>
        <v>0</v>
      </c>
      <c r="N573" s="70">
        <f>'RESUMEN TOTAL'!T614</f>
        <v>0</v>
      </c>
      <c r="O573" s="70">
        <f>'RESUMEN TOTAL'!U614</f>
        <v>0</v>
      </c>
      <c r="P573" s="70">
        <f>'RESUMEN TOTAL'!V614</f>
        <v>0</v>
      </c>
      <c r="Q573" s="70">
        <f>'RESUMEN TOTAL'!W614</f>
        <v>0</v>
      </c>
      <c r="R573" s="70">
        <f>'RESUMEN TOTAL'!X614</f>
        <v>0</v>
      </c>
      <c r="S573" s="70">
        <f>'RESUMEN TOTAL'!Y614</f>
        <v>0</v>
      </c>
      <c r="T573" s="70">
        <f>'RESUMEN TOTAL'!Z614</f>
        <v>0</v>
      </c>
      <c r="U573" s="70">
        <f>'RESUMEN TOTAL'!AA614</f>
        <v>0</v>
      </c>
      <c r="V573" s="70">
        <f>'RESUMEN TOTAL'!AB614</f>
        <v>0</v>
      </c>
      <c r="W573" s="70">
        <f>'RESUMEN TOTAL'!AC614</f>
        <v>0</v>
      </c>
      <c r="X573" s="70">
        <f>'RESUMEN TOTAL'!AD614</f>
        <v>0</v>
      </c>
      <c r="Y573" s="70">
        <f>'RESUMEN TOTAL'!AE614</f>
        <v>0</v>
      </c>
      <c r="Z573" s="70">
        <f>'RESUMEN TOTAL'!AF614</f>
        <v>0</v>
      </c>
      <c r="AA573" s="70">
        <f>'RESUMEN TOTAL'!AG614</f>
        <v>0</v>
      </c>
      <c r="AB573" s="70">
        <f>'RESUMEN TOTAL'!AH614</f>
        <v>0</v>
      </c>
      <c r="AC573" s="70">
        <f>'RESUMEN TOTAL'!AI614</f>
        <v>0</v>
      </c>
      <c r="AD573" s="70">
        <f>'RESUMEN TOTAL'!AJ614</f>
        <v>0</v>
      </c>
      <c r="AE573" s="70">
        <f>'RESUMEN TOTAL'!AK614</f>
        <v>0</v>
      </c>
      <c r="AF573" s="70">
        <f>'RESUMEN TOTAL'!AL614</f>
        <v>0</v>
      </c>
      <c r="AG573" s="70">
        <f>'RESUMEN TOTAL'!AM614</f>
        <v>0</v>
      </c>
      <c r="AH573" s="70">
        <f>'RESUMEN TOTAL'!AN614</f>
        <v>0</v>
      </c>
      <c r="AI573" s="70">
        <f>'RESUMEN TOTAL'!AO614</f>
        <v>0</v>
      </c>
      <c r="AJ573" s="70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0">
        <f>'RESUMEN TOTAL'!L615</f>
        <v>0</v>
      </c>
      <c r="G574" s="70">
        <f>'RESUMEN TOTAL'!M615</f>
        <v>0</v>
      </c>
      <c r="H574" s="70">
        <f>'RESUMEN TOTAL'!N615</f>
        <v>0</v>
      </c>
      <c r="I574" s="70">
        <f>'RESUMEN TOTAL'!O615</f>
        <v>0</v>
      </c>
      <c r="J574" s="70">
        <f>'RESUMEN TOTAL'!P615</f>
        <v>0</v>
      </c>
      <c r="K574" s="70">
        <f>'RESUMEN TOTAL'!Q615</f>
        <v>0</v>
      </c>
      <c r="L574" s="70">
        <f>'RESUMEN TOTAL'!R615</f>
        <v>0</v>
      </c>
      <c r="M574" s="70">
        <f>'RESUMEN TOTAL'!S615</f>
        <v>0</v>
      </c>
      <c r="N574" s="70">
        <f>'RESUMEN TOTAL'!T615</f>
        <v>0</v>
      </c>
      <c r="O574" s="70">
        <f>'RESUMEN TOTAL'!U615</f>
        <v>0</v>
      </c>
      <c r="P574" s="70">
        <f>'RESUMEN TOTAL'!V615</f>
        <v>0</v>
      </c>
      <c r="Q574" s="70">
        <f>'RESUMEN TOTAL'!W615</f>
        <v>0</v>
      </c>
      <c r="R574" s="70">
        <f>'RESUMEN TOTAL'!X615</f>
        <v>0</v>
      </c>
      <c r="S574" s="70">
        <f>'RESUMEN TOTAL'!Y615</f>
        <v>0</v>
      </c>
      <c r="T574" s="70">
        <f>'RESUMEN TOTAL'!Z615</f>
        <v>0</v>
      </c>
      <c r="U574" s="70">
        <f>'RESUMEN TOTAL'!AA615</f>
        <v>0</v>
      </c>
      <c r="V574" s="70">
        <f>'RESUMEN TOTAL'!AB615</f>
        <v>0</v>
      </c>
      <c r="W574" s="70">
        <f>'RESUMEN TOTAL'!AC615</f>
        <v>0</v>
      </c>
      <c r="X574" s="70">
        <f>'RESUMEN TOTAL'!AD615</f>
        <v>0</v>
      </c>
      <c r="Y574" s="70">
        <f>'RESUMEN TOTAL'!AE615</f>
        <v>0</v>
      </c>
      <c r="Z574" s="70">
        <f>'RESUMEN TOTAL'!AF615</f>
        <v>0</v>
      </c>
      <c r="AA574" s="70">
        <f>'RESUMEN TOTAL'!AG615</f>
        <v>0</v>
      </c>
      <c r="AB574" s="70">
        <f>'RESUMEN TOTAL'!AH615</f>
        <v>0</v>
      </c>
      <c r="AC574" s="70">
        <f>'RESUMEN TOTAL'!AI615</f>
        <v>0</v>
      </c>
      <c r="AD574" s="70">
        <f>'RESUMEN TOTAL'!AJ615</f>
        <v>0</v>
      </c>
      <c r="AE574" s="70">
        <f>'RESUMEN TOTAL'!AK615</f>
        <v>0</v>
      </c>
      <c r="AF574" s="70">
        <f>'RESUMEN TOTAL'!AL615</f>
        <v>0</v>
      </c>
      <c r="AG574" s="70">
        <f>'RESUMEN TOTAL'!AM615</f>
        <v>0</v>
      </c>
      <c r="AH574" s="70">
        <f>'RESUMEN TOTAL'!AN615</f>
        <v>0</v>
      </c>
      <c r="AI574" s="70">
        <f>'RESUMEN TOTAL'!AO615</f>
        <v>0</v>
      </c>
      <c r="AJ574" s="70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0">
        <f>'RESUMEN TOTAL'!L616</f>
        <v>0</v>
      </c>
      <c r="G575" s="70">
        <f>'RESUMEN TOTAL'!M616</f>
        <v>0</v>
      </c>
      <c r="H575" s="70">
        <f>'RESUMEN TOTAL'!N616</f>
        <v>0</v>
      </c>
      <c r="I575" s="70">
        <f>'RESUMEN TOTAL'!O616</f>
        <v>0</v>
      </c>
      <c r="J575" s="70">
        <f>'RESUMEN TOTAL'!P616</f>
        <v>0</v>
      </c>
      <c r="K575" s="70">
        <f>'RESUMEN TOTAL'!Q616</f>
        <v>0</v>
      </c>
      <c r="L575" s="70">
        <f>'RESUMEN TOTAL'!R616</f>
        <v>0</v>
      </c>
      <c r="M575" s="70">
        <f>'RESUMEN TOTAL'!S616</f>
        <v>0</v>
      </c>
      <c r="N575" s="70">
        <f>'RESUMEN TOTAL'!T616</f>
        <v>0</v>
      </c>
      <c r="O575" s="70">
        <f>'RESUMEN TOTAL'!U616</f>
        <v>0</v>
      </c>
      <c r="P575" s="70">
        <f>'RESUMEN TOTAL'!V616</f>
        <v>0</v>
      </c>
      <c r="Q575" s="70">
        <f>'RESUMEN TOTAL'!W616</f>
        <v>0</v>
      </c>
      <c r="R575" s="70">
        <f>'RESUMEN TOTAL'!X616</f>
        <v>0</v>
      </c>
      <c r="S575" s="70">
        <f>'RESUMEN TOTAL'!Y616</f>
        <v>0</v>
      </c>
      <c r="T575" s="70">
        <f>'RESUMEN TOTAL'!Z616</f>
        <v>0</v>
      </c>
      <c r="U575" s="70">
        <f>'RESUMEN TOTAL'!AA616</f>
        <v>0</v>
      </c>
      <c r="V575" s="70">
        <f>'RESUMEN TOTAL'!AB616</f>
        <v>0</v>
      </c>
      <c r="W575" s="70">
        <f>'RESUMEN TOTAL'!AC616</f>
        <v>0</v>
      </c>
      <c r="X575" s="70">
        <f>'RESUMEN TOTAL'!AD616</f>
        <v>0</v>
      </c>
      <c r="Y575" s="70">
        <f>'RESUMEN TOTAL'!AE616</f>
        <v>0</v>
      </c>
      <c r="Z575" s="70">
        <f>'RESUMEN TOTAL'!AF616</f>
        <v>0</v>
      </c>
      <c r="AA575" s="70">
        <f>'RESUMEN TOTAL'!AG616</f>
        <v>0</v>
      </c>
      <c r="AB575" s="70">
        <f>'RESUMEN TOTAL'!AH616</f>
        <v>0</v>
      </c>
      <c r="AC575" s="70">
        <f>'RESUMEN TOTAL'!AI616</f>
        <v>0</v>
      </c>
      <c r="AD575" s="70">
        <f>'RESUMEN TOTAL'!AJ616</f>
        <v>0</v>
      </c>
      <c r="AE575" s="70">
        <f>'RESUMEN TOTAL'!AK616</f>
        <v>0</v>
      </c>
      <c r="AF575" s="70">
        <f>'RESUMEN TOTAL'!AL616</f>
        <v>0</v>
      </c>
      <c r="AG575" s="70">
        <f>'RESUMEN TOTAL'!AM616</f>
        <v>0</v>
      </c>
      <c r="AH575" s="70">
        <f>'RESUMEN TOTAL'!AN616</f>
        <v>0</v>
      </c>
      <c r="AI575" s="70">
        <f>'RESUMEN TOTAL'!AO616</f>
        <v>0</v>
      </c>
      <c r="AJ575" s="70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0">
        <f>'RESUMEN TOTAL'!L617</f>
        <v>0</v>
      </c>
      <c r="G576" s="70">
        <f>'RESUMEN TOTAL'!M617</f>
        <v>0</v>
      </c>
      <c r="H576" s="70">
        <f>'RESUMEN TOTAL'!N617</f>
        <v>0</v>
      </c>
      <c r="I576" s="70">
        <f>'RESUMEN TOTAL'!O617</f>
        <v>0</v>
      </c>
      <c r="J576" s="70">
        <f>'RESUMEN TOTAL'!P617</f>
        <v>0</v>
      </c>
      <c r="K576" s="70">
        <f>'RESUMEN TOTAL'!Q617</f>
        <v>0</v>
      </c>
      <c r="L576" s="70">
        <f>'RESUMEN TOTAL'!R617</f>
        <v>0</v>
      </c>
      <c r="M576" s="70">
        <f>'RESUMEN TOTAL'!S617</f>
        <v>0</v>
      </c>
      <c r="N576" s="70">
        <f>'RESUMEN TOTAL'!T617</f>
        <v>0</v>
      </c>
      <c r="O576" s="70">
        <f>'RESUMEN TOTAL'!U617</f>
        <v>0</v>
      </c>
      <c r="P576" s="70">
        <f>'RESUMEN TOTAL'!V617</f>
        <v>0</v>
      </c>
      <c r="Q576" s="70">
        <f>'RESUMEN TOTAL'!W617</f>
        <v>0</v>
      </c>
      <c r="R576" s="70">
        <f>'RESUMEN TOTAL'!X617</f>
        <v>0</v>
      </c>
      <c r="S576" s="70">
        <f>'RESUMEN TOTAL'!Y617</f>
        <v>0</v>
      </c>
      <c r="T576" s="70">
        <f>'RESUMEN TOTAL'!Z617</f>
        <v>0</v>
      </c>
      <c r="U576" s="70">
        <f>'RESUMEN TOTAL'!AA617</f>
        <v>0</v>
      </c>
      <c r="V576" s="70">
        <f>'RESUMEN TOTAL'!AB617</f>
        <v>0</v>
      </c>
      <c r="W576" s="70">
        <f>'RESUMEN TOTAL'!AC617</f>
        <v>0</v>
      </c>
      <c r="X576" s="70">
        <f>'RESUMEN TOTAL'!AD617</f>
        <v>0</v>
      </c>
      <c r="Y576" s="70">
        <f>'RESUMEN TOTAL'!AE617</f>
        <v>0</v>
      </c>
      <c r="Z576" s="70">
        <f>'RESUMEN TOTAL'!AF617</f>
        <v>0</v>
      </c>
      <c r="AA576" s="70">
        <f>'RESUMEN TOTAL'!AG617</f>
        <v>0</v>
      </c>
      <c r="AB576" s="70">
        <f>'RESUMEN TOTAL'!AH617</f>
        <v>0</v>
      </c>
      <c r="AC576" s="70">
        <f>'RESUMEN TOTAL'!AI617</f>
        <v>0</v>
      </c>
      <c r="AD576" s="70">
        <f>'RESUMEN TOTAL'!AJ617</f>
        <v>0</v>
      </c>
      <c r="AE576" s="70">
        <f>'RESUMEN TOTAL'!AK617</f>
        <v>0</v>
      </c>
      <c r="AF576" s="70">
        <f>'RESUMEN TOTAL'!AL617</f>
        <v>0</v>
      </c>
      <c r="AG576" s="70">
        <f>'RESUMEN TOTAL'!AM617</f>
        <v>0</v>
      </c>
      <c r="AH576" s="70">
        <f>'RESUMEN TOTAL'!AN617</f>
        <v>0</v>
      </c>
      <c r="AI576" s="70">
        <f>'RESUMEN TOTAL'!AO617</f>
        <v>0</v>
      </c>
      <c r="AJ576" s="70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0">
        <f>'RESUMEN TOTAL'!L618</f>
        <v>0</v>
      </c>
      <c r="G577" s="70">
        <f>'RESUMEN TOTAL'!M618</f>
        <v>0</v>
      </c>
      <c r="H577" s="70">
        <f>'RESUMEN TOTAL'!N618</f>
        <v>0</v>
      </c>
      <c r="I577" s="70">
        <f>'RESUMEN TOTAL'!O618</f>
        <v>0</v>
      </c>
      <c r="J577" s="70">
        <f>'RESUMEN TOTAL'!P618</f>
        <v>0</v>
      </c>
      <c r="K577" s="70">
        <f>'RESUMEN TOTAL'!Q618</f>
        <v>0</v>
      </c>
      <c r="L577" s="70">
        <f>'RESUMEN TOTAL'!R618</f>
        <v>0</v>
      </c>
      <c r="M577" s="70">
        <f>'RESUMEN TOTAL'!S618</f>
        <v>0</v>
      </c>
      <c r="N577" s="70">
        <f>'RESUMEN TOTAL'!T618</f>
        <v>0</v>
      </c>
      <c r="O577" s="70">
        <f>'RESUMEN TOTAL'!U618</f>
        <v>0</v>
      </c>
      <c r="P577" s="70">
        <f>'RESUMEN TOTAL'!V618</f>
        <v>0</v>
      </c>
      <c r="Q577" s="70">
        <f>'RESUMEN TOTAL'!W618</f>
        <v>0</v>
      </c>
      <c r="R577" s="70">
        <f>'RESUMEN TOTAL'!X618</f>
        <v>0</v>
      </c>
      <c r="S577" s="70">
        <f>'RESUMEN TOTAL'!Y618</f>
        <v>0</v>
      </c>
      <c r="T577" s="70">
        <f>'RESUMEN TOTAL'!Z618</f>
        <v>0</v>
      </c>
      <c r="U577" s="70">
        <f>'RESUMEN TOTAL'!AA618</f>
        <v>0</v>
      </c>
      <c r="V577" s="70">
        <f>'RESUMEN TOTAL'!AB618</f>
        <v>0</v>
      </c>
      <c r="W577" s="70">
        <f>'RESUMEN TOTAL'!AC618</f>
        <v>0</v>
      </c>
      <c r="X577" s="70">
        <f>'RESUMEN TOTAL'!AD618</f>
        <v>0</v>
      </c>
      <c r="Y577" s="70">
        <f>'RESUMEN TOTAL'!AE618</f>
        <v>0</v>
      </c>
      <c r="Z577" s="70">
        <f>'RESUMEN TOTAL'!AF618</f>
        <v>0</v>
      </c>
      <c r="AA577" s="70">
        <f>'RESUMEN TOTAL'!AG618</f>
        <v>0</v>
      </c>
      <c r="AB577" s="70">
        <f>'RESUMEN TOTAL'!AH618</f>
        <v>0</v>
      </c>
      <c r="AC577" s="70">
        <f>'RESUMEN TOTAL'!AI618</f>
        <v>0</v>
      </c>
      <c r="AD577" s="70">
        <f>'RESUMEN TOTAL'!AJ618</f>
        <v>0</v>
      </c>
      <c r="AE577" s="70">
        <f>'RESUMEN TOTAL'!AK618</f>
        <v>0</v>
      </c>
      <c r="AF577" s="70">
        <f>'RESUMEN TOTAL'!AL618</f>
        <v>0</v>
      </c>
      <c r="AG577" s="70">
        <f>'RESUMEN TOTAL'!AM618</f>
        <v>0</v>
      </c>
      <c r="AH577" s="70">
        <f>'RESUMEN TOTAL'!AN618</f>
        <v>0</v>
      </c>
      <c r="AI577" s="70">
        <f>'RESUMEN TOTAL'!AO618</f>
        <v>0</v>
      </c>
      <c r="AJ577" s="70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0">
        <f>'RESUMEN TOTAL'!L619</f>
        <v>0</v>
      </c>
      <c r="G578" s="70">
        <f>'RESUMEN TOTAL'!M619</f>
        <v>0</v>
      </c>
      <c r="H578" s="70">
        <f>'RESUMEN TOTAL'!N619</f>
        <v>0</v>
      </c>
      <c r="I578" s="70">
        <f>'RESUMEN TOTAL'!O619</f>
        <v>0</v>
      </c>
      <c r="J578" s="70">
        <f>'RESUMEN TOTAL'!P619</f>
        <v>0</v>
      </c>
      <c r="K578" s="70">
        <f>'RESUMEN TOTAL'!Q619</f>
        <v>0</v>
      </c>
      <c r="L578" s="70">
        <f>'RESUMEN TOTAL'!R619</f>
        <v>0</v>
      </c>
      <c r="M578" s="70">
        <f>'RESUMEN TOTAL'!S619</f>
        <v>0</v>
      </c>
      <c r="N578" s="70">
        <f>'RESUMEN TOTAL'!T619</f>
        <v>0</v>
      </c>
      <c r="O578" s="70">
        <f>'RESUMEN TOTAL'!U619</f>
        <v>0</v>
      </c>
      <c r="P578" s="70">
        <f>'RESUMEN TOTAL'!V619</f>
        <v>0</v>
      </c>
      <c r="Q578" s="70">
        <f>'RESUMEN TOTAL'!W619</f>
        <v>0</v>
      </c>
      <c r="R578" s="70">
        <f>'RESUMEN TOTAL'!X619</f>
        <v>0</v>
      </c>
      <c r="S578" s="70">
        <f>'RESUMEN TOTAL'!Y619</f>
        <v>0</v>
      </c>
      <c r="T578" s="70">
        <f>'RESUMEN TOTAL'!Z619</f>
        <v>0</v>
      </c>
      <c r="U578" s="70">
        <f>'RESUMEN TOTAL'!AA619</f>
        <v>0</v>
      </c>
      <c r="V578" s="70">
        <f>'RESUMEN TOTAL'!AB619</f>
        <v>0</v>
      </c>
      <c r="W578" s="70">
        <f>'RESUMEN TOTAL'!AC619</f>
        <v>0</v>
      </c>
      <c r="X578" s="70">
        <f>'RESUMEN TOTAL'!AD619</f>
        <v>0</v>
      </c>
      <c r="Y578" s="70">
        <f>'RESUMEN TOTAL'!AE619</f>
        <v>0</v>
      </c>
      <c r="Z578" s="70">
        <f>'RESUMEN TOTAL'!AF619</f>
        <v>0</v>
      </c>
      <c r="AA578" s="70">
        <f>'RESUMEN TOTAL'!AG619</f>
        <v>0</v>
      </c>
      <c r="AB578" s="70">
        <f>'RESUMEN TOTAL'!AH619</f>
        <v>0</v>
      </c>
      <c r="AC578" s="70">
        <f>'RESUMEN TOTAL'!AI619</f>
        <v>0</v>
      </c>
      <c r="AD578" s="70">
        <f>'RESUMEN TOTAL'!AJ619</f>
        <v>0</v>
      </c>
      <c r="AE578" s="70">
        <f>'RESUMEN TOTAL'!AK619</f>
        <v>0</v>
      </c>
      <c r="AF578" s="70">
        <f>'RESUMEN TOTAL'!AL619</f>
        <v>0</v>
      </c>
      <c r="AG578" s="70">
        <f>'RESUMEN TOTAL'!AM619</f>
        <v>0</v>
      </c>
      <c r="AH578" s="70">
        <f>'RESUMEN TOTAL'!AN619</f>
        <v>0</v>
      </c>
      <c r="AI578" s="70">
        <f>'RESUMEN TOTAL'!AO619</f>
        <v>0</v>
      </c>
      <c r="AJ578" s="70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0">
        <f>'RESUMEN TOTAL'!L620</f>
        <v>0</v>
      </c>
      <c r="G579" s="70">
        <f>'RESUMEN TOTAL'!M620</f>
        <v>0</v>
      </c>
      <c r="H579" s="70">
        <f>'RESUMEN TOTAL'!N620</f>
        <v>0</v>
      </c>
      <c r="I579" s="70">
        <f>'RESUMEN TOTAL'!O620</f>
        <v>0</v>
      </c>
      <c r="J579" s="70">
        <f>'RESUMEN TOTAL'!P620</f>
        <v>0</v>
      </c>
      <c r="K579" s="70">
        <f>'RESUMEN TOTAL'!Q620</f>
        <v>0</v>
      </c>
      <c r="L579" s="70">
        <f>'RESUMEN TOTAL'!R620</f>
        <v>0</v>
      </c>
      <c r="M579" s="70">
        <f>'RESUMEN TOTAL'!S620</f>
        <v>0</v>
      </c>
      <c r="N579" s="70">
        <f>'RESUMEN TOTAL'!T620</f>
        <v>0</v>
      </c>
      <c r="O579" s="70">
        <f>'RESUMEN TOTAL'!U620</f>
        <v>0</v>
      </c>
      <c r="P579" s="70">
        <f>'RESUMEN TOTAL'!V620</f>
        <v>0</v>
      </c>
      <c r="Q579" s="70">
        <f>'RESUMEN TOTAL'!W620</f>
        <v>0</v>
      </c>
      <c r="R579" s="70">
        <f>'RESUMEN TOTAL'!X620</f>
        <v>0</v>
      </c>
      <c r="S579" s="70">
        <f>'RESUMEN TOTAL'!Y620</f>
        <v>0</v>
      </c>
      <c r="T579" s="70">
        <f>'RESUMEN TOTAL'!Z620</f>
        <v>0</v>
      </c>
      <c r="U579" s="70">
        <f>'RESUMEN TOTAL'!AA620</f>
        <v>0</v>
      </c>
      <c r="V579" s="70">
        <f>'RESUMEN TOTAL'!AB620</f>
        <v>0</v>
      </c>
      <c r="W579" s="70">
        <f>'RESUMEN TOTAL'!AC620</f>
        <v>0</v>
      </c>
      <c r="X579" s="70">
        <f>'RESUMEN TOTAL'!AD620</f>
        <v>0</v>
      </c>
      <c r="Y579" s="70">
        <f>'RESUMEN TOTAL'!AE620</f>
        <v>0</v>
      </c>
      <c r="Z579" s="70">
        <f>'RESUMEN TOTAL'!AF620</f>
        <v>0</v>
      </c>
      <c r="AA579" s="70">
        <f>'RESUMEN TOTAL'!AG620</f>
        <v>0</v>
      </c>
      <c r="AB579" s="70">
        <f>'RESUMEN TOTAL'!AH620</f>
        <v>0</v>
      </c>
      <c r="AC579" s="70">
        <f>'RESUMEN TOTAL'!AI620</f>
        <v>0</v>
      </c>
      <c r="AD579" s="70">
        <f>'RESUMEN TOTAL'!AJ620</f>
        <v>0</v>
      </c>
      <c r="AE579" s="70">
        <f>'RESUMEN TOTAL'!AK620</f>
        <v>0</v>
      </c>
      <c r="AF579" s="70">
        <f>'RESUMEN TOTAL'!AL620</f>
        <v>0</v>
      </c>
      <c r="AG579" s="70">
        <f>'RESUMEN TOTAL'!AM620</f>
        <v>0</v>
      </c>
      <c r="AH579" s="70">
        <f>'RESUMEN TOTAL'!AN620</f>
        <v>0</v>
      </c>
      <c r="AI579" s="70">
        <f>'RESUMEN TOTAL'!AO620</f>
        <v>0</v>
      </c>
      <c r="AJ579" s="70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0">
        <f>'RESUMEN TOTAL'!L621</f>
        <v>0</v>
      </c>
      <c r="G580" s="70">
        <f>'RESUMEN TOTAL'!M621</f>
        <v>0</v>
      </c>
      <c r="H580" s="70">
        <f>'RESUMEN TOTAL'!N621</f>
        <v>0</v>
      </c>
      <c r="I580" s="70">
        <f>'RESUMEN TOTAL'!O621</f>
        <v>0</v>
      </c>
      <c r="J580" s="70">
        <f>'RESUMEN TOTAL'!P621</f>
        <v>0</v>
      </c>
      <c r="K580" s="70">
        <f>'RESUMEN TOTAL'!Q621</f>
        <v>0</v>
      </c>
      <c r="L580" s="70">
        <f>'RESUMEN TOTAL'!R621</f>
        <v>0</v>
      </c>
      <c r="M580" s="70">
        <f>'RESUMEN TOTAL'!S621</f>
        <v>0</v>
      </c>
      <c r="N580" s="70">
        <f>'RESUMEN TOTAL'!T621</f>
        <v>0</v>
      </c>
      <c r="O580" s="70">
        <f>'RESUMEN TOTAL'!U621</f>
        <v>0</v>
      </c>
      <c r="P580" s="70">
        <f>'RESUMEN TOTAL'!V621</f>
        <v>0</v>
      </c>
      <c r="Q580" s="70">
        <f>'RESUMEN TOTAL'!W621</f>
        <v>0</v>
      </c>
      <c r="R580" s="70">
        <f>'RESUMEN TOTAL'!X621</f>
        <v>0</v>
      </c>
      <c r="S580" s="70">
        <f>'RESUMEN TOTAL'!Y621</f>
        <v>0</v>
      </c>
      <c r="T580" s="70">
        <f>'RESUMEN TOTAL'!Z621</f>
        <v>0</v>
      </c>
      <c r="U580" s="70">
        <f>'RESUMEN TOTAL'!AA621</f>
        <v>0</v>
      </c>
      <c r="V580" s="70">
        <f>'RESUMEN TOTAL'!AB621</f>
        <v>0</v>
      </c>
      <c r="W580" s="70">
        <f>'RESUMEN TOTAL'!AC621</f>
        <v>0</v>
      </c>
      <c r="X580" s="70">
        <f>'RESUMEN TOTAL'!AD621</f>
        <v>0</v>
      </c>
      <c r="Y580" s="70">
        <f>'RESUMEN TOTAL'!AE621</f>
        <v>0</v>
      </c>
      <c r="Z580" s="70">
        <f>'RESUMEN TOTAL'!AF621</f>
        <v>0</v>
      </c>
      <c r="AA580" s="70">
        <f>'RESUMEN TOTAL'!AG621</f>
        <v>0</v>
      </c>
      <c r="AB580" s="70">
        <f>'RESUMEN TOTAL'!AH621</f>
        <v>0</v>
      </c>
      <c r="AC580" s="70">
        <f>'RESUMEN TOTAL'!AI621</f>
        <v>0</v>
      </c>
      <c r="AD580" s="70">
        <f>'RESUMEN TOTAL'!AJ621</f>
        <v>0</v>
      </c>
      <c r="AE580" s="70">
        <f>'RESUMEN TOTAL'!AK621</f>
        <v>0</v>
      </c>
      <c r="AF580" s="70">
        <f>'RESUMEN TOTAL'!AL621</f>
        <v>0</v>
      </c>
      <c r="AG580" s="70">
        <f>'RESUMEN TOTAL'!AM621</f>
        <v>0</v>
      </c>
      <c r="AH580" s="70">
        <f>'RESUMEN TOTAL'!AN621</f>
        <v>0</v>
      </c>
      <c r="AI580" s="70">
        <f>'RESUMEN TOTAL'!AO621</f>
        <v>0</v>
      </c>
      <c r="AJ580" s="7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0">
        <f>'RESUMEN TOTAL'!L622</f>
        <v>0</v>
      </c>
      <c r="G581" s="70">
        <f>'RESUMEN TOTAL'!M622</f>
        <v>0</v>
      </c>
      <c r="H581" s="70">
        <f>'RESUMEN TOTAL'!N622</f>
        <v>0</v>
      </c>
      <c r="I581" s="70">
        <f>'RESUMEN TOTAL'!O622</f>
        <v>0</v>
      </c>
      <c r="J581" s="70">
        <f>'RESUMEN TOTAL'!P622</f>
        <v>0</v>
      </c>
      <c r="K581" s="70">
        <f>'RESUMEN TOTAL'!Q622</f>
        <v>0</v>
      </c>
      <c r="L581" s="70">
        <f>'RESUMEN TOTAL'!R622</f>
        <v>0</v>
      </c>
      <c r="M581" s="70">
        <f>'RESUMEN TOTAL'!S622</f>
        <v>0</v>
      </c>
      <c r="N581" s="70">
        <f>'RESUMEN TOTAL'!T622</f>
        <v>0</v>
      </c>
      <c r="O581" s="70">
        <f>'RESUMEN TOTAL'!U622</f>
        <v>0</v>
      </c>
      <c r="P581" s="70">
        <f>'RESUMEN TOTAL'!V622</f>
        <v>0</v>
      </c>
      <c r="Q581" s="70">
        <f>'RESUMEN TOTAL'!W622</f>
        <v>0</v>
      </c>
      <c r="R581" s="70">
        <f>'RESUMEN TOTAL'!X622</f>
        <v>0</v>
      </c>
      <c r="S581" s="70">
        <f>'RESUMEN TOTAL'!Y622</f>
        <v>0</v>
      </c>
      <c r="T581" s="70">
        <f>'RESUMEN TOTAL'!Z622</f>
        <v>0</v>
      </c>
      <c r="U581" s="70">
        <f>'RESUMEN TOTAL'!AA622</f>
        <v>0</v>
      </c>
      <c r="V581" s="70">
        <f>'RESUMEN TOTAL'!AB622</f>
        <v>0</v>
      </c>
      <c r="W581" s="70">
        <f>'RESUMEN TOTAL'!AC622</f>
        <v>0</v>
      </c>
      <c r="X581" s="70">
        <f>'RESUMEN TOTAL'!AD622</f>
        <v>0</v>
      </c>
      <c r="Y581" s="70">
        <f>'RESUMEN TOTAL'!AE622</f>
        <v>0</v>
      </c>
      <c r="Z581" s="70">
        <f>'RESUMEN TOTAL'!AF622</f>
        <v>0</v>
      </c>
      <c r="AA581" s="70">
        <f>'RESUMEN TOTAL'!AG622</f>
        <v>0</v>
      </c>
      <c r="AB581" s="70">
        <f>'RESUMEN TOTAL'!AH622</f>
        <v>0</v>
      </c>
      <c r="AC581" s="70">
        <f>'RESUMEN TOTAL'!AI622</f>
        <v>0</v>
      </c>
      <c r="AD581" s="70">
        <f>'RESUMEN TOTAL'!AJ622</f>
        <v>0</v>
      </c>
      <c r="AE581" s="70">
        <f>'RESUMEN TOTAL'!AK622</f>
        <v>0</v>
      </c>
      <c r="AF581" s="70">
        <f>'RESUMEN TOTAL'!AL622</f>
        <v>0</v>
      </c>
      <c r="AG581" s="70">
        <f>'RESUMEN TOTAL'!AM622</f>
        <v>0</v>
      </c>
      <c r="AH581" s="70">
        <f>'RESUMEN TOTAL'!AN622</f>
        <v>0</v>
      </c>
      <c r="AI581" s="70">
        <f>'RESUMEN TOTAL'!AO622</f>
        <v>0</v>
      </c>
      <c r="AJ581" s="70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0">
        <f>'RESUMEN TOTAL'!L623</f>
        <v>0</v>
      </c>
      <c r="G582" s="70">
        <f>'RESUMEN TOTAL'!M623</f>
        <v>0</v>
      </c>
      <c r="H582" s="70">
        <f>'RESUMEN TOTAL'!N623</f>
        <v>0</v>
      </c>
      <c r="I582" s="70">
        <f>'RESUMEN TOTAL'!O623</f>
        <v>0</v>
      </c>
      <c r="J582" s="70">
        <f>'RESUMEN TOTAL'!P623</f>
        <v>0</v>
      </c>
      <c r="K582" s="70">
        <f>'RESUMEN TOTAL'!Q623</f>
        <v>0</v>
      </c>
      <c r="L582" s="70">
        <f>'RESUMEN TOTAL'!R623</f>
        <v>0</v>
      </c>
      <c r="M582" s="70">
        <f>'RESUMEN TOTAL'!S623</f>
        <v>0</v>
      </c>
      <c r="N582" s="70">
        <f>'RESUMEN TOTAL'!T623</f>
        <v>0</v>
      </c>
      <c r="O582" s="70">
        <f>'RESUMEN TOTAL'!U623</f>
        <v>0</v>
      </c>
      <c r="P582" s="70">
        <f>'RESUMEN TOTAL'!V623</f>
        <v>0</v>
      </c>
      <c r="Q582" s="70">
        <f>'RESUMEN TOTAL'!W623</f>
        <v>0</v>
      </c>
      <c r="R582" s="70">
        <f>'RESUMEN TOTAL'!X623</f>
        <v>0</v>
      </c>
      <c r="S582" s="70">
        <f>'RESUMEN TOTAL'!Y623</f>
        <v>0</v>
      </c>
      <c r="T582" s="70">
        <f>'RESUMEN TOTAL'!Z623</f>
        <v>0</v>
      </c>
      <c r="U582" s="70">
        <f>'RESUMEN TOTAL'!AA623</f>
        <v>0</v>
      </c>
      <c r="V582" s="70">
        <f>'RESUMEN TOTAL'!AB623</f>
        <v>0</v>
      </c>
      <c r="W582" s="70">
        <f>'RESUMEN TOTAL'!AC623</f>
        <v>0</v>
      </c>
      <c r="X582" s="70">
        <f>'RESUMEN TOTAL'!AD623</f>
        <v>0</v>
      </c>
      <c r="Y582" s="70">
        <f>'RESUMEN TOTAL'!AE623</f>
        <v>0</v>
      </c>
      <c r="Z582" s="70">
        <f>'RESUMEN TOTAL'!AF623</f>
        <v>0</v>
      </c>
      <c r="AA582" s="70">
        <f>'RESUMEN TOTAL'!AG623</f>
        <v>0</v>
      </c>
      <c r="AB582" s="70">
        <f>'RESUMEN TOTAL'!AH623</f>
        <v>0</v>
      </c>
      <c r="AC582" s="70">
        <f>'RESUMEN TOTAL'!AI623</f>
        <v>0</v>
      </c>
      <c r="AD582" s="70">
        <f>'RESUMEN TOTAL'!AJ623</f>
        <v>0</v>
      </c>
      <c r="AE582" s="70">
        <f>'RESUMEN TOTAL'!AK623</f>
        <v>0</v>
      </c>
      <c r="AF582" s="70">
        <f>'RESUMEN TOTAL'!AL623</f>
        <v>0</v>
      </c>
      <c r="AG582" s="70">
        <f>'RESUMEN TOTAL'!AM623</f>
        <v>0</v>
      </c>
      <c r="AH582" s="70">
        <f>'RESUMEN TOTAL'!AN623</f>
        <v>0</v>
      </c>
      <c r="AI582" s="70">
        <f>'RESUMEN TOTAL'!AO623</f>
        <v>0</v>
      </c>
      <c r="AJ582" s="70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0">
        <f>'RESUMEN TOTAL'!L624</f>
        <v>0</v>
      </c>
      <c r="G583" s="70">
        <f>'RESUMEN TOTAL'!M624</f>
        <v>0</v>
      </c>
      <c r="H583" s="70">
        <f>'RESUMEN TOTAL'!N624</f>
        <v>0</v>
      </c>
      <c r="I583" s="70">
        <f>'RESUMEN TOTAL'!O624</f>
        <v>0</v>
      </c>
      <c r="J583" s="70">
        <f>'RESUMEN TOTAL'!P624</f>
        <v>0</v>
      </c>
      <c r="K583" s="70">
        <f>'RESUMEN TOTAL'!Q624</f>
        <v>0</v>
      </c>
      <c r="L583" s="70">
        <f>'RESUMEN TOTAL'!R624</f>
        <v>0</v>
      </c>
      <c r="M583" s="70">
        <f>'RESUMEN TOTAL'!S624</f>
        <v>0</v>
      </c>
      <c r="N583" s="70">
        <f>'RESUMEN TOTAL'!T624</f>
        <v>0</v>
      </c>
      <c r="O583" s="70">
        <f>'RESUMEN TOTAL'!U624</f>
        <v>0</v>
      </c>
      <c r="P583" s="70">
        <f>'RESUMEN TOTAL'!V624</f>
        <v>0</v>
      </c>
      <c r="Q583" s="70">
        <f>'RESUMEN TOTAL'!W624</f>
        <v>0</v>
      </c>
      <c r="R583" s="70">
        <f>'RESUMEN TOTAL'!X624</f>
        <v>0</v>
      </c>
      <c r="S583" s="70">
        <f>'RESUMEN TOTAL'!Y624</f>
        <v>0</v>
      </c>
      <c r="T583" s="70">
        <f>'RESUMEN TOTAL'!Z624</f>
        <v>0</v>
      </c>
      <c r="U583" s="70">
        <f>'RESUMEN TOTAL'!AA624</f>
        <v>0</v>
      </c>
      <c r="V583" s="70">
        <f>'RESUMEN TOTAL'!AB624</f>
        <v>0</v>
      </c>
      <c r="W583" s="70">
        <f>'RESUMEN TOTAL'!AC624</f>
        <v>0</v>
      </c>
      <c r="X583" s="70">
        <f>'RESUMEN TOTAL'!AD624</f>
        <v>0</v>
      </c>
      <c r="Y583" s="70">
        <f>'RESUMEN TOTAL'!AE624</f>
        <v>0</v>
      </c>
      <c r="Z583" s="70">
        <f>'RESUMEN TOTAL'!AF624</f>
        <v>0</v>
      </c>
      <c r="AA583" s="70">
        <f>'RESUMEN TOTAL'!AG624</f>
        <v>0</v>
      </c>
      <c r="AB583" s="70">
        <f>'RESUMEN TOTAL'!AH624</f>
        <v>0</v>
      </c>
      <c r="AC583" s="70">
        <f>'RESUMEN TOTAL'!AI624</f>
        <v>0</v>
      </c>
      <c r="AD583" s="70">
        <f>'RESUMEN TOTAL'!AJ624</f>
        <v>0</v>
      </c>
      <c r="AE583" s="70">
        <f>'RESUMEN TOTAL'!AK624</f>
        <v>0</v>
      </c>
      <c r="AF583" s="70">
        <f>'RESUMEN TOTAL'!AL624</f>
        <v>0</v>
      </c>
      <c r="AG583" s="70">
        <f>'RESUMEN TOTAL'!AM624</f>
        <v>0</v>
      </c>
      <c r="AH583" s="70">
        <f>'RESUMEN TOTAL'!AN624</f>
        <v>0</v>
      </c>
      <c r="AI583" s="70">
        <f>'RESUMEN TOTAL'!AO624</f>
        <v>0</v>
      </c>
      <c r="AJ583" s="70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0">
        <f>'RESUMEN TOTAL'!L625</f>
        <v>0</v>
      </c>
      <c r="G584" s="70">
        <f>'RESUMEN TOTAL'!M625</f>
        <v>0</v>
      </c>
      <c r="H584" s="70">
        <f>'RESUMEN TOTAL'!N625</f>
        <v>0</v>
      </c>
      <c r="I584" s="70">
        <f>'RESUMEN TOTAL'!O625</f>
        <v>0</v>
      </c>
      <c r="J584" s="70">
        <f>'RESUMEN TOTAL'!P625</f>
        <v>0</v>
      </c>
      <c r="K584" s="70">
        <f>'RESUMEN TOTAL'!Q625</f>
        <v>0</v>
      </c>
      <c r="L584" s="70">
        <f>'RESUMEN TOTAL'!R625</f>
        <v>0</v>
      </c>
      <c r="M584" s="70">
        <f>'RESUMEN TOTAL'!S625</f>
        <v>0</v>
      </c>
      <c r="N584" s="70">
        <f>'RESUMEN TOTAL'!T625</f>
        <v>0</v>
      </c>
      <c r="O584" s="70">
        <f>'RESUMEN TOTAL'!U625</f>
        <v>0</v>
      </c>
      <c r="P584" s="70">
        <f>'RESUMEN TOTAL'!V625</f>
        <v>0</v>
      </c>
      <c r="Q584" s="70">
        <f>'RESUMEN TOTAL'!W625</f>
        <v>0</v>
      </c>
      <c r="R584" s="70">
        <f>'RESUMEN TOTAL'!X625</f>
        <v>0</v>
      </c>
      <c r="S584" s="70">
        <f>'RESUMEN TOTAL'!Y625</f>
        <v>0</v>
      </c>
      <c r="T584" s="70">
        <f>'RESUMEN TOTAL'!Z625</f>
        <v>0</v>
      </c>
      <c r="U584" s="70">
        <f>'RESUMEN TOTAL'!AA625</f>
        <v>0</v>
      </c>
      <c r="V584" s="70">
        <f>'RESUMEN TOTAL'!AB625</f>
        <v>0</v>
      </c>
      <c r="W584" s="70">
        <f>'RESUMEN TOTAL'!AC625</f>
        <v>0</v>
      </c>
      <c r="X584" s="70">
        <f>'RESUMEN TOTAL'!AD625</f>
        <v>0</v>
      </c>
      <c r="Y584" s="70">
        <f>'RESUMEN TOTAL'!AE625</f>
        <v>0</v>
      </c>
      <c r="Z584" s="70">
        <f>'RESUMEN TOTAL'!AF625</f>
        <v>0</v>
      </c>
      <c r="AA584" s="70">
        <f>'RESUMEN TOTAL'!AG625</f>
        <v>0</v>
      </c>
      <c r="AB584" s="70">
        <f>'RESUMEN TOTAL'!AH625</f>
        <v>0</v>
      </c>
      <c r="AC584" s="70">
        <f>'RESUMEN TOTAL'!AI625</f>
        <v>0</v>
      </c>
      <c r="AD584" s="70">
        <f>'RESUMEN TOTAL'!AJ625</f>
        <v>0</v>
      </c>
      <c r="AE584" s="70">
        <f>'RESUMEN TOTAL'!AK625</f>
        <v>0</v>
      </c>
      <c r="AF584" s="70">
        <f>'RESUMEN TOTAL'!AL625</f>
        <v>0</v>
      </c>
      <c r="AG584" s="70">
        <f>'RESUMEN TOTAL'!AM625</f>
        <v>0</v>
      </c>
      <c r="AH584" s="70">
        <f>'RESUMEN TOTAL'!AN625</f>
        <v>0</v>
      </c>
      <c r="AI584" s="70">
        <f>'RESUMEN TOTAL'!AO625</f>
        <v>0</v>
      </c>
      <c r="AJ584" s="70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0">
        <f>'RESUMEN TOTAL'!L626</f>
        <v>0</v>
      </c>
      <c r="G585" s="70">
        <f>'RESUMEN TOTAL'!M626</f>
        <v>0</v>
      </c>
      <c r="H585" s="70">
        <f>'RESUMEN TOTAL'!N626</f>
        <v>0</v>
      </c>
      <c r="I585" s="70">
        <f>'RESUMEN TOTAL'!O626</f>
        <v>0</v>
      </c>
      <c r="J585" s="70">
        <f>'RESUMEN TOTAL'!P626</f>
        <v>0</v>
      </c>
      <c r="K585" s="70">
        <f>'RESUMEN TOTAL'!Q626</f>
        <v>0</v>
      </c>
      <c r="L585" s="70">
        <f>'RESUMEN TOTAL'!R626</f>
        <v>0</v>
      </c>
      <c r="M585" s="70">
        <f>'RESUMEN TOTAL'!S626</f>
        <v>0</v>
      </c>
      <c r="N585" s="70">
        <f>'RESUMEN TOTAL'!T626</f>
        <v>0</v>
      </c>
      <c r="O585" s="70">
        <f>'RESUMEN TOTAL'!U626</f>
        <v>0</v>
      </c>
      <c r="P585" s="70">
        <f>'RESUMEN TOTAL'!V626</f>
        <v>0</v>
      </c>
      <c r="Q585" s="70">
        <f>'RESUMEN TOTAL'!W626</f>
        <v>0</v>
      </c>
      <c r="R585" s="70">
        <f>'RESUMEN TOTAL'!X626</f>
        <v>0</v>
      </c>
      <c r="S585" s="70">
        <f>'RESUMEN TOTAL'!Y626</f>
        <v>0</v>
      </c>
      <c r="T585" s="70">
        <f>'RESUMEN TOTAL'!Z626</f>
        <v>0</v>
      </c>
      <c r="U585" s="70">
        <f>'RESUMEN TOTAL'!AA626</f>
        <v>0</v>
      </c>
      <c r="V585" s="70">
        <f>'RESUMEN TOTAL'!AB626</f>
        <v>0</v>
      </c>
      <c r="W585" s="70">
        <f>'RESUMEN TOTAL'!AC626</f>
        <v>0</v>
      </c>
      <c r="X585" s="70">
        <f>'RESUMEN TOTAL'!AD626</f>
        <v>0</v>
      </c>
      <c r="Y585" s="70">
        <f>'RESUMEN TOTAL'!AE626</f>
        <v>0</v>
      </c>
      <c r="Z585" s="70">
        <f>'RESUMEN TOTAL'!AF626</f>
        <v>0</v>
      </c>
      <c r="AA585" s="70">
        <f>'RESUMEN TOTAL'!AG626</f>
        <v>0</v>
      </c>
      <c r="AB585" s="70">
        <f>'RESUMEN TOTAL'!AH626</f>
        <v>0</v>
      </c>
      <c r="AC585" s="70">
        <f>'RESUMEN TOTAL'!AI626</f>
        <v>0</v>
      </c>
      <c r="AD585" s="70">
        <f>'RESUMEN TOTAL'!AJ626</f>
        <v>0</v>
      </c>
      <c r="AE585" s="70">
        <f>'RESUMEN TOTAL'!AK626</f>
        <v>0</v>
      </c>
      <c r="AF585" s="70">
        <f>'RESUMEN TOTAL'!AL626</f>
        <v>0</v>
      </c>
      <c r="AG585" s="70">
        <f>'RESUMEN TOTAL'!AM626</f>
        <v>0</v>
      </c>
      <c r="AH585" s="70">
        <f>'RESUMEN TOTAL'!AN626</f>
        <v>0</v>
      </c>
      <c r="AI585" s="70">
        <f>'RESUMEN TOTAL'!AO626</f>
        <v>0</v>
      </c>
      <c r="AJ585" s="70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0">
        <f>'RESUMEN TOTAL'!L627</f>
        <v>0</v>
      </c>
      <c r="G586" s="70">
        <f>'RESUMEN TOTAL'!M627</f>
        <v>0</v>
      </c>
      <c r="H586" s="70">
        <f>'RESUMEN TOTAL'!N627</f>
        <v>0</v>
      </c>
      <c r="I586" s="70">
        <f>'RESUMEN TOTAL'!O627</f>
        <v>0</v>
      </c>
      <c r="J586" s="70">
        <f>'RESUMEN TOTAL'!P627</f>
        <v>0</v>
      </c>
      <c r="K586" s="70">
        <f>'RESUMEN TOTAL'!Q627</f>
        <v>0</v>
      </c>
      <c r="L586" s="70">
        <f>'RESUMEN TOTAL'!R627</f>
        <v>0</v>
      </c>
      <c r="M586" s="70">
        <f>'RESUMEN TOTAL'!S627</f>
        <v>0</v>
      </c>
      <c r="N586" s="70">
        <f>'RESUMEN TOTAL'!T627</f>
        <v>0</v>
      </c>
      <c r="O586" s="70">
        <f>'RESUMEN TOTAL'!U627</f>
        <v>0</v>
      </c>
      <c r="P586" s="70">
        <f>'RESUMEN TOTAL'!V627</f>
        <v>0</v>
      </c>
      <c r="Q586" s="70">
        <f>'RESUMEN TOTAL'!W627</f>
        <v>0</v>
      </c>
      <c r="R586" s="70">
        <f>'RESUMEN TOTAL'!X627</f>
        <v>0</v>
      </c>
      <c r="S586" s="70">
        <f>'RESUMEN TOTAL'!Y627</f>
        <v>0</v>
      </c>
      <c r="T586" s="70">
        <f>'RESUMEN TOTAL'!Z627</f>
        <v>0</v>
      </c>
      <c r="U586" s="70">
        <f>'RESUMEN TOTAL'!AA627</f>
        <v>0</v>
      </c>
      <c r="V586" s="70">
        <f>'RESUMEN TOTAL'!AB627</f>
        <v>0</v>
      </c>
      <c r="W586" s="70">
        <f>'RESUMEN TOTAL'!AC627</f>
        <v>0</v>
      </c>
      <c r="X586" s="70">
        <f>'RESUMEN TOTAL'!AD627</f>
        <v>0</v>
      </c>
      <c r="Y586" s="70">
        <f>'RESUMEN TOTAL'!AE627</f>
        <v>0</v>
      </c>
      <c r="Z586" s="70">
        <f>'RESUMEN TOTAL'!AF627</f>
        <v>0</v>
      </c>
      <c r="AA586" s="70">
        <f>'RESUMEN TOTAL'!AG627</f>
        <v>0</v>
      </c>
      <c r="AB586" s="70">
        <f>'RESUMEN TOTAL'!AH627</f>
        <v>0</v>
      </c>
      <c r="AC586" s="70">
        <f>'RESUMEN TOTAL'!AI627</f>
        <v>0</v>
      </c>
      <c r="AD586" s="70">
        <f>'RESUMEN TOTAL'!AJ627</f>
        <v>0</v>
      </c>
      <c r="AE586" s="70">
        <f>'RESUMEN TOTAL'!AK627</f>
        <v>0</v>
      </c>
      <c r="AF586" s="70">
        <f>'RESUMEN TOTAL'!AL627</f>
        <v>0</v>
      </c>
      <c r="AG586" s="70">
        <f>'RESUMEN TOTAL'!AM627</f>
        <v>0</v>
      </c>
      <c r="AH586" s="70">
        <f>'RESUMEN TOTAL'!AN627</f>
        <v>0</v>
      </c>
      <c r="AI586" s="70">
        <f>'RESUMEN TOTAL'!AO627</f>
        <v>0</v>
      </c>
      <c r="AJ586" s="70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0">
        <f>'RESUMEN TOTAL'!L628</f>
        <v>0</v>
      </c>
      <c r="G587" s="70">
        <f>'RESUMEN TOTAL'!M628</f>
        <v>0</v>
      </c>
      <c r="H587" s="70">
        <f>'RESUMEN TOTAL'!N628</f>
        <v>0</v>
      </c>
      <c r="I587" s="70">
        <f>'RESUMEN TOTAL'!O628</f>
        <v>0</v>
      </c>
      <c r="J587" s="70">
        <f>'RESUMEN TOTAL'!P628</f>
        <v>0</v>
      </c>
      <c r="K587" s="70">
        <f>'RESUMEN TOTAL'!Q628</f>
        <v>0</v>
      </c>
      <c r="L587" s="70">
        <f>'RESUMEN TOTAL'!R628</f>
        <v>0</v>
      </c>
      <c r="M587" s="70">
        <f>'RESUMEN TOTAL'!S628</f>
        <v>0</v>
      </c>
      <c r="N587" s="70">
        <f>'RESUMEN TOTAL'!T628</f>
        <v>0</v>
      </c>
      <c r="O587" s="70">
        <f>'RESUMEN TOTAL'!U628</f>
        <v>0</v>
      </c>
      <c r="P587" s="70">
        <f>'RESUMEN TOTAL'!V628</f>
        <v>0</v>
      </c>
      <c r="Q587" s="70">
        <f>'RESUMEN TOTAL'!W628</f>
        <v>0</v>
      </c>
      <c r="R587" s="70">
        <f>'RESUMEN TOTAL'!X628</f>
        <v>0</v>
      </c>
      <c r="S587" s="70">
        <f>'RESUMEN TOTAL'!Y628</f>
        <v>0</v>
      </c>
      <c r="T587" s="70">
        <f>'RESUMEN TOTAL'!Z628</f>
        <v>0</v>
      </c>
      <c r="U587" s="70">
        <f>'RESUMEN TOTAL'!AA628</f>
        <v>0</v>
      </c>
      <c r="V587" s="70">
        <f>'RESUMEN TOTAL'!AB628</f>
        <v>0</v>
      </c>
      <c r="W587" s="70">
        <f>'RESUMEN TOTAL'!AC628</f>
        <v>0</v>
      </c>
      <c r="X587" s="70">
        <f>'RESUMEN TOTAL'!AD628</f>
        <v>0</v>
      </c>
      <c r="Y587" s="70">
        <f>'RESUMEN TOTAL'!AE628</f>
        <v>0</v>
      </c>
      <c r="Z587" s="70">
        <f>'RESUMEN TOTAL'!AF628</f>
        <v>0</v>
      </c>
      <c r="AA587" s="70">
        <f>'RESUMEN TOTAL'!AG628</f>
        <v>0</v>
      </c>
      <c r="AB587" s="70">
        <f>'RESUMEN TOTAL'!AH628</f>
        <v>0</v>
      </c>
      <c r="AC587" s="70">
        <f>'RESUMEN TOTAL'!AI628</f>
        <v>0</v>
      </c>
      <c r="AD587" s="70">
        <f>'RESUMEN TOTAL'!AJ628</f>
        <v>0</v>
      </c>
      <c r="AE587" s="70">
        <f>'RESUMEN TOTAL'!AK628</f>
        <v>0</v>
      </c>
      <c r="AF587" s="70">
        <f>'RESUMEN TOTAL'!AL628</f>
        <v>0</v>
      </c>
      <c r="AG587" s="70">
        <f>'RESUMEN TOTAL'!AM628</f>
        <v>0</v>
      </c>
      <c r="AH587" s="70">
        <f>'RESUMEN TOTAL'!AN628</f>
        <v>0</v>
      </c>
      <c r="AI587" s="70">
        <f>'RESUMEN TOTAL'!AO628</f>
        <v>0</v>
      </c>
      <c r="AJ587" s="70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0">
        <f>'RESUMEN TOTAL'!L629</f>
        <v>0</v>
      </c>
      <c r="G588" s="70">
        <f>'RESUMEN TOTAL'!M629</f>
        <v>0</v>
      </c>
      <c r="H588" s="70">
        <f>'RESUMEN TOTAL'!N629</f>
        <v>0</v>
      </c>
      <c r="I588" s="70">
        <f>'RESUMEN TOTAL'!O629</f>
        <v>0</v>
      </c>
      <c r="J588" s="70">
        <f>'RESUMEN TOTAL'!P629</f>
        <v>0</v>
      </c>
      <c r="K588" s="70">
        <f>'RESUMEN TOTAL'!Q629</f>
        <v>0</v>
      </c>
      <c r="L588" s="70">
        <f>'RESUMEN TOTAL'!R629</f>
        <v>0</v>
      </c>
      <c r="M588" s="70">
        <f>'RESUMEN TOTAL'!S629</f>
        <v>0</v>
      </c>
      <c r="N588" s="70">
        <f>'RESUMEN TOTAL'!T629</f>
        <v>0</v>
      </c>
      <c r="O588" s="70">
        <f>'RESUMEN TOTAL'!U629</f>
        <v>0</v>
      </c>
      <c r="P588" s="70">
        <f>'RESUMEN TOTAL'!V629</f>
        <v>0</v>
      </c>
      <c r="Q588" s="70">
        <f>'RESUMEN TOTAL'!W629</f>
        <v>0</v>
      </c>
      <c r="R588" s="70">
        <f>'RESUMEN TOTAL'!X629</f>
        <v>0</v>
      </c>
      <c r="S588" s="70">
        <f>'RESUMEN TOTAL'!Y629</f>
        <v>0</v>
      </c>
      <c r="T588" s="70">
        <f>'RESUMEN TOTAL'!Z629</f>
        <v>0</v>
      </c>
      <c r="U588" s="70">
        <f>'RESUMEN TOTAL'!AA629</f>
        <v>0</v>
      </c>
      <c r="V588" s="70">
        <f>'RESUMEN TOTAL'!AB629</f>
        <v>0</v>
      </c>
      <c r="W588" s="70">
        <f>'RESUMEN TOTAL'!AC629</f>
        <v>0</v>
      </c>
      <c r="X588" s="70">
        <f>'RESUMEN TOTAL'!AD629</f>
        <v>0</v>
      </c>
      <c r="Y588" s="70">
        <f>'RESUMEN TOTAL'!AE629</f>
        <v>0</v>
      </c>
      <c r="Z588" s="70">
        <f>'RESUMEN TOTAL'!AF629</f>
        <v>0</v>
      </c>
      <c r="AA588" s="70">
        <f>'RESUMEN TOTAL'!AG629</f>
        <v>0</v>
      </c>
      <c r="AB588" s="70">
        <f>'RESUMEN TOTAL'!AH629</f>
        <v>0</v>
      </c>
      <c r="AC588" s="70">
        <f>'RESUMEN TOTAL'!AI629</f>
        <v>0</v>
      </c>
      <c r="AD588" s="70">
        <f>'RESUMEN TOTAL'!AJ629</f>
        <v>0</v>
      </c>
      <c r="AE588" s="70">
        <f>'RESUMEN TOTAL'!AK629</f>
        <v>0</v>
      </c>
      <c r="AF588" s="70">
        <f>'RESUMEN TOTAL'!AL629</f>
        <v>0</v>
      </c>
      <c r="AG588" s="70">
        <f>'RESUMEN TOTAL'!AM629</f>
        <v>0</v>
      </c>
      <c r="AH588" s="70">
        <f>'RESUMEN TOTAL'!AN629</f>
        <v>0</v>
      </c>
      <c r="AI588" s="70">
        <f>'RESUMEN TOTAL'!AO629</f>
        <v>0</v>
      </c>
      <c r="AJ588" s="70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0">
        <f>'RESUMEN TOTAL'!L630</f>
        <v>0</v>
      </c>
      <c r="G589" s="70">
        <f>'RESUMEN TOTAL'!M630</f>
        <v>0</v>
      </c>
      <c r="H589" s="70">
        <f>'RESUMEN TOTAL'!N630</f>
        <v>0</v>
      </c>
      <c r="I589" s="70">
        <f>'RESUMEN TOTAL'!O630</f>
        <v>0</v>
      </c>
      <c r="J589" s="70">
        <f>'RESUMEN TOTAL'!P630</f>
        <v>0</v>
      </c>
      <c r="K589" s="70">
        <f>'RESUMEN TOTAL'!Q630</f>
        <v>0</v>
      </c>
      <c r="L589" s="70">
        <f>'RESUMEN TOTAL'!R630</f>
        <v>0</v>
      </c>
      <c r="M589" s="70">
        <f>'RESUMEN TOTAL'!S630</f>
        <v>0</v>
      </c>
      <c r="N589" s="70">
        <f>'RESUMEN TOTAL'!T630</f>
        <v>0</v>
      </c>
      <c r="O589" s="70">
        <f>'RESUMEN TOTAL'!U630</f>
        <v>0</v>
      </c>
      <c r="P589" s="70">
        <f>'RESUMEN TOTAL'!V630</f>
        <v>0</v>
      </c>
      <c r="Q589" s="70">
        <f>'RESUMEN TOTAL'!W630</f>
        <v>0</v>
      </c>
      <c r="R589" s="70">
        <f>'RESUMEN TOTAL'!X630</f>
        <v>0</v>
      </c>
      <c r="S589" s="70">
        <f>'RESUMEN TOTAL'!Y630</f>
        <v>0</v>
      </c>
      <c r="T589" s="70">
        <f>'RESUMEN TOTAL'!Z630</f>
        <v>0</v>
      </c>
      <c r="U589" s="70">
        <f>'RESUMEN TOTAL'!AA630</f>
        <v>0</v>
      </c>
      <c r="V589" s="70">
        <f>'RESUMEN TOTAL'!AB630</f>
        <v>0</v>
      </c>
      <c r="W589" s="70">
        <f>'RESUMEN TOTAL'!AC630</f>
        <v>0</v>
      </c>
      <c r="X589" s="70">
        <f>'RESUMEN TOTAL'!AD630</f>
        <v>0</v>
      </c>
      <c r="Y589" s="70">
        <f>'RESUMEN TOTAL'!AE630</f>
        <v>0</v>
      </c>
      <c r="Z589" s="70">
        <f>'RESUMEN TOTAL'!AF630</f>
        <v>0</v>
      </c>
      <c r="AA589" s="70">
        <f>'RESUMEN TOTAL'!AG630</f>
        <v>0</v>
      </c>
      <c r="AB589" s="70">
        <f>'RESUMEN TOTAL'!AH630</f>
        <v>0</v>
      </c>
      <c r="AC589" s="70">
        <f>'RESUMEN TOTAL'!AI630</f>
        <v>0</v>
      </c>
      <c r="AD589" s="70">
        <f>'RESUMEN TOTAL'!AJ630</f>
        <v>0</v>
      </c>
      <c r="AE589" s="70">
        <f>'RESUMEN TOTAL'!AK630</f>
        <v>0</v>
      </c>
      <c r="AF589" s="70">
        <f>'RESUMEN TOTAL'!AL630</f>
        <v>0</v>
      </c>
      <c r="AG589" s="70">
        <f>'RESUMEN TOTAL'!AM630</f>
        <v>0</v>
      </c>
      <c r="AH589" s="70">
        <f>'RESUMEN TOTAL'!AN630</f>
        <v>0</v>
      </c>
      <c r="AI589" s="70">
        <f>'RESUMEN TOTAL'!AO630</f>
        <v>0</v>
      </c>
      <c r="AJ589" s="70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0">
        <f>'RESUMEN TOTAL'!L631</f>
        <v>0</v>
      </c>
      <c r="G590" s="70">
        <f>'RESUMEN TOTAL'!M631</f>
        <v>0</v>
      </c>
      <c r="H590" s="70">
        <f>'RESUMEN TOTAL'!N631</f>
        <v>0</v>
      </c>
      <c r="I590" s="70">
        <f>'RESUMEN TOTAL'!O631</f>
        <v>0</v>
      </c>
      <c r="J590" s="70">
        <f>'RESUMEN TOTAL'!P631</f>
        <v>0</v>
      </c>
      <c r="K590" s="70">
        <f>'RESUMEN TOTAL'!Q631</f>
        <v>0</v>
      </c>
      <c r="L590" s="70">
        <f>'RESUMEN TOTAL'!R631</f>
        <v>0</v>
      </c>
      <c r="M590" s="70">
        <f>'RESUMEN TOTAL'!S631</f>
        <v>0</v>
      </c>
      <c r="N590" s="70">
        <f>'RESUMEN TOTAL'!T631</f>
        <v>0</v>
      </c>
      <c r="O590" s="70">
        <f>'RESUMEN TOTAL'!U631</f>
        <v>0</v>
      </c>
      <c r="P590" s="70">
        <f>'RESUMEN TOTAL'!V631</f>
        <v>0</v>
      </c>
      <c r="Q590" s="70">
        <f>'RESUMEN TOTAL'!W631</f>
        <v>0</v>
      </c>
      <c r="R590" s="70">
        <f>'RESUMEN TOTAL'!X631</f>
        <v>0</v>
      </c>
      <c r="S590" s="70">
        <f>'RESUMEN TOTAL'!Y631</f>
        <v>0</v>
      </c>
      <c r="T590" s="70">
        <f>'RESUMEN TOTAL'!Z631</f>
        <v>0</v>
      </c>
      <c r="U590" s="70">
        <f>'RESUMEN TOTAL'!AA631</f>
        <v>0</v>
      </c>
      <c r="V590" s="70">
        <f>'RESUMEN TOTAL'!AB631</f>
        <v>0</v>
      </c>
      <c r="W590" s="70">
        <f>'RESUMEN TOTAL'!AC631</f>
        <v>0</v>
      </c>
      <c r="X590" s="70">
        <f>'RESUMEN TOTAL'!AD631</f>
        <v>0</v>
      </c>
      <c r="Y590" s="70">
        <f>'RESUMEN TOTAL'!AE631</f>
        <v>0</v>
      </c>
      <c r="Z590" s="70">
        <f>'RESUMEN TOTAL'!AF631</f>
        <v>0</v>
      </c>
      <c r="AA590" s="70">
        <f>'RESUMEN TOTAL'!AG631</f>
        <v>0</v>
      </c>
      <c r="AB590" s="70">
        <f>'RESUMEN TOTAL'!AH631</f>
        <v>0</v>
      </c>
      <c r="AC590" s="70">
        <f>'RESUMEN TOTAL'!AI631</f>
        <v>0</v>
      </c>
      <c r="AD590" s="70">
        <f>'RESUMEN TOTAL'!AJ631</f>
        <v>0</v>
      </c>
      <c r="AE590" s="70">
        <f>'RESUMEN TOTAL'!AK631</f>
        <v>0</v>
      </c>
      <c r="AF590" s="70">
        <f>'RESUMEN TOTAL'!AL631</f>
        <v>0</v>
      </c>
      <c r="AG590" s="70">
        <f>'RESUMEN TOTAL'!AM631</f>
        <v>0</v>
      </c>
      <c r="AH590" s="70">
        <f>'RESUMEN TOTAL'!AN631</f>
        <v>0</v>
      </c>
      <c r="AI590" s="70">
        <f>'RESUMEN TOTAL'!AO631</f>
        <v>0</v>
      </c>
      <c r="AJ590" s="7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0">
        <f>'RESUMEN TOTAL'!L632</f>
        <v>0</v>
      </c>
      <c r="G591" s="70">
        <f>'RESUMEN TOTAL'!M632</f>
        <v>0</v>
      </c>
      <c r="H591" s="70">
        <f>'RESUMEN TOTAL'!N632</f>
        <v>0</v>
      </c>
      <c r="I591" s="70">
        <f>'RESUMEN TOTAL'!O632</f>
        <v>0</v>
      </c>
      <c r="J591" s="70">
        <f>'RESUMEN TOTAL'!P632</f>
        <v>0</v>
      </c>
      <c r="K591" s="70">
        <f>'RESUMEN TOTAL'!Q632</f>
        <v>0</v>
      </c>
      <c r="L591" s="70">
        <f>'RESUMEN TOTAL'!R632</f>
        <v>0</v>
      </c>
      <c r="M591" s="70">
        <f>'RESUMEN TOTAL'!S632</f>
        <v>0</v>
      </c>
      <c r="N591" s="70">
        <f>'RESUMEN TOTAL'!T632</f>
        <v>0</v>
      </c>
      <c r="O591" s="70">
        <f>'RESUMEN TOTAL'!U632</f>
        <v>0</v>
      </c>
      <c r="P591" s="70">
        <f>'RESUMEN TOTAL'!V632</f>
        <v>0</v>
      </c>
      <c r="Q591" s="70">
        <f>'RESUMEN TOTAL'!W632</f>
        <v>0</v>
      </c>
      <c r="R591" s="70">
        <f>'RESUMEN TOTAL'!X632</f>
        <v>0</v>
      </c>
      <c r="S591" s="70">
        <f>'RESUMEN TOTAL'!Y632</f>
        <v>0</v>
      </c>
      <c r="T591" s="70">
        <f>'RESUMEN TOTAL'!Z632</f>
        <v>0</v>
      </c>
      <c r="U591" s="70">
        <f>'RESUMEN TOTAL'!AA632</f>
        <v>0</v>
      </c>
      <c r="V591" s="70">
        <f>'RESUMEN TOTAL'!AB632</f>
        <v>0</v>
      </c>
      <c r="W591" s="70">
        <f>'RESUMEN TOTAL'!AC632</f>
        <v>0</v>
      </c>
      <c r="X591" s="70">
        <f>'RESUMEN TOTAL'!AD632</f>
        <v>0</v>
      </c>
      <c r="Y591" s="70">
        <f>'RESUMEN TOTAL'!AE632</f>
        <v>0</v>
      </c>
      <c r="Z591" s="70">
        <f>'RESUMEN TOTAL'!AF632</f>
        <v>0</v>
      </c>
      <c r="AA591" s="70">
        <f>'RESUMEN TOTAL'!AG632</f>
        <v>0</v>
      </c>
      <c r="AB591" s="70">
        <f>'RESUMEN TOTAL'!AH632</f>
        <v>0</v>
      </c>
      <c r="AC591" s="70">
        <f>'RESUMEN TOTAL'!AI632</f>
        <v>0</v>
      </c>
      <c r="AD591" s="70">
        <f>'RESUMEN TOTAL'!AJ632</f>
        <v>0</v>
      </c>
      <c r="AE591" s="70">
        <f>'RESUMEN TOTAL'!AK632</f>
        <v>0</v>
      </c>
      <c r="AF591" s="70">
        <f>'RESUMEN TOTAL'!AL632</f>
        <v>0</v>
      </c>
      <c r="AG591" s="70">
        <f>'RESUMEN TOTAL'!AM632</f>
        <v>0</v>
      </c>
      <c r="AH591" s="70">
        <f>'RESUMEN TOTAL'!AN632</f>
        <v>0</v>
      </c>
      <c r="AI591" s="70">
        <f>'RESUMEN TOTAL'!AO632</f>
        <v>0</v>
      </c>
      <c r="AJ591" s="70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0">
        <f>'RESUMEN TOTAL'!L633</f>
        <v>0</v>
      </c>
      <c r="G592" s="70">
        <f>'RESUMEN TOTAL'!M633</f>
        <v>0</v>
      </c>
      <c r="H592" s="70">
        <f>'RESUMEN TOTAL'!N633</f>
        <v>0</v>
      </c>
      <c r="I592" s="70">
        <f>'RESUMEN TOTAL'!O633</f>
        <v>0</v>
      </c>
      <c r="J592" s="70">
        <f>'RESUMEN TOTAL'!P633</f>
        <v>0</v>
      </c>
      <c r="K592" s="70">
        <f>'RESUMEN TOTAL'!Q633</f>
        <v>0</v>
      </c>
      <c r="L592" s="70">
        <f>'RESUMEN TOTAL'!R633</f>
        <v>0</v>
      </c>
      <c r="M592" s="70">
        <f>'RESUMEN TOTAL'!S633</f>
        <v>0</v>
      </c>
      <c r="N592" s="70">
        <f>'RESUMEN TOTAL'!T633</f>
        <v>0</v>
      </c>
      <c r="O592" s="70">
        <f>'RESUMEN TOTAL'!U633</f>
        <v>0</v>
      </c>
      <c r="P592" s="70">
        <f>'RESUMEN TOTAL'!V633</f>
        <v>0</v>
      </c>
      <c r="Q592" s="70">
        <f>'RESUMEN TOTAL'!W633</f>
        <v>0</v>
      </c>
      <c r="R592" s="70">
        <f>'RESUMEN TOTAL'!X633</f>
        <v>0</v>
      </c>
      <c r="S592" s="70">
        <f>'RESUMEN TOTAL'!Y633</f>
        <v>0</v>
      </c>
      <c r="T592" s="70">
        <f>'RESUMEN TOTAL'!Z633</f>
        <v>0</v>
      </c>
      <c r="U592" s="70">
        <f>'RESUMEN TOTAL'!AA633</f>
        <v>0</v>
      </c>
      <c r="V592" s="70">
        <f>'RESUMEN TOTAL'!AB633</f>
        <v>0</v>
      </c>
      <c r="W592" s="70">
        <f>'RESUMEN TOTAL'!AC633</f>
        <v>0</v>
      </c>
      <c r="X592" s="70">
        <f>'RESUMEN TOTAL'!AD633</f>
        <v>0</v>
      </c>
      <c r="Y592" s="70">
        <f>'RESUMEN TOTAL'!AE633</f>
        <v>0</v>
      </c>
      <c r="Z592" s="70">
        <f>'RESUMEN TOTAL'!AF633</f>
        <v>0</v>
      </c>
      <c r="AA592" s="70">
        <f>'RESUMEN TOTAL'!AG633</f>
        <v>0</v>
      </c>
      <c r="AB592" s="70">
        <f>'RESUMEN TOTAL'!AH633</f>
        <v>0</v>
      </c>
      <c r="AC592" s="70">
        <f>'RESUMEN TOTAL'!AI633</f>
        <v>0</v>
      </c>
      <c r="AD592" s="70">
        <f>'RESUMEN TOTAL'!AJ633</f>
        <v>0</v>
      </c>
      <c r="AE592" s="70">
        <f>'RESUMEN TOTAL'!AK633</f>
        <v>0</v>
      </c>
      <c r="AF592" s="70">
        <f>'RESUMEN TOTAL'!AL633</f>
        <v>0</v>
      </c>
      <c r="AG592" s="70">
        <f>'RESUMEN TOTAL'!AM633</f>
        <v>0</v>
      </c>
      <c r="AH592" s="70">
        <f>'RESUMEN TOTAL'!AN633</f>
        <v>0</v>
      </c>
      <c r="AI592" s="70">
        <f>'RESUMEN TOTAL'!AO633</f>
        <v>0</v>
      </c>
      <c r="AJ592" s="70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0">
        <f>'RESUMEN TOTAL'!L634</f>
        <v>0</v>
      </c>
      <c r="G593" s="70">
        <f>'RESUMEN TOTAL'!M634</f>
        <v>0</v>
      </c>
      <c r="H593" s="70">
        <f>'RESUMEN TOTAL'!N634</f>
        <v>0</v>
      </c>
      <c r="I593" s="70">
        <f>'RESUMEN TOTAL'!O634</f>
        <v>0</v>
      </c>
      <c r="J593" s="70">
        <f>'RESUMEN TOTAL'!P634</f>
        <v>0</v>
      </c>
      <c r="K593" s="70">
        <f>'RESUMEN TOTAL'!Q634</f>
        <v>0</v>
      </c>
      <c r="L593" s="70">
        <f>'RESUMEN TOTAL'!R634</f>
        <v>0</v>
      </c>
      <c r="M593" s="70">
        <f>'RESUMEN TOTAL'!S634</f>
        <v>0</v>
      </c>
      <c r="N593" s="70">
        <f>'RESUMEN TOTAL'!T634</f>
        <v>0</v>
      </c>
      <c r="O593" s="70">
        <f>'RESUMEN TOTAL'!U634</f>
        <v>0</v>
      </c>
      <c r="P593" s="70">
        <f>'RESUMEN TOTAL'!V634</f>
        <v>0</v>
      </c>
      <c r="Q593" s="70">
        <f>'RESUMEN TOTAL'!W634</f>
        <v>0</v>
      </c>
      <c r="R593" s="70">
        <f>'RESUMEN TOTAL'!X634</f>
        <v>0</v>
      </c>
      <c r="S593" s="70">
        <f>'RESUMEN TOTAL'!Y634</f>
        <v>0</v>
      </c>
      <c r="T593" s="70">
        <f>'RESUMEN TOTAL'!Z634</f>
        <v>0</v>
      </c>
      <c r="U593" s="70">
        <f>'RESUMEN TOTAL'!AA634</f>
        <v>0</v>
      </c>
      <c r="V593" s="70">
        <f>'RESUMEN TOTAL'!AB634</f>
        <v>0</v>
      </c>
      <c r="W593" s="70">
        <f>'RESUMEN TOTAL'!AC634</f>
        <v>0</v>
      </c>
      <c r="X593" s="70">
        <f>'RESUMEN TOTAL'!AD634</f>
        <v>0</v>
      </c>
      <c r="Y593" s="70">
        <f>'RESUMEN TOTAL'!AE634</f>
        <v>0</v>
      </c>
      <c r="Z593" s="70">
        <f>'RESUMEN TOTAL'!AF634</f>
        <v>0</v>
      </c>
      <c r="AA593" s="70">
        <f>'RESUMEN TOTAL'!AG634</f>
        <v>0</v>
      </c>
      <c r="AB593" s="70">
        <f>'RESUMEN TOTAL'!AH634</f>
        <v>0</v>
      </c>
      <c r="AC593" s="70">
        <f>'RESUMEN TOTAL'!AI634</f>
        <v>0</v>
      </c>
      <c r="AD593" s="70">
        <f>'RESUMEN TOTAL'!AJ634</f>
        <v>0</v>
      </c>
      <c r="AE593" s="70">
        <f>'RESUMEN TOTAL'!AK634</f>
        <v>0</v>
      </c>
      <c r="AF593" s="70">
        <f>'RESUMEN TOTAL'!AL634</f>
        <v>0</v>
      </c>
      <c r="AG593" s="70">
        <f>'RESUMEN TOTAL'!AM634</f>
        <v>0</v>
      </c>
      <c r="AH593" s="70">
        <f>'RESUMEN TOTAL'!AN634</f>
        <v>0</v>
      </c>
      <c r="AI593" s="70">
        <f>'RESUMEN TOTAL'!AO634</f>
        <v>0</v>
      </c>
      <c r="AJ593" s="70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0">
        <f>'RESUMEN TOTAL'!L635</f>
        <v>0</v>
      </c>
      <c r="G594" s="70">
        <f>'RESUMEN TOTAL'!M635</f>
        <v>0</v>
      </c>
      <c r="H594" s="70">
        <f>'RESUMEN TOTAL'!N635</f>
        <v>0</v>
      </c>
      <c r="I594" s="70">
        <f>'RESUMEN TOTAL'!O635</f>
        <v>0</v>
      </c>
      <c r="J594" s="70">
        <f>'RESUMEN TOTAL'!P635</f>
        <v>0</v>
      </c>
      <c r="K594" s="70">
        <f>'RESUMEN TOTAL'!Q635</f>
        <v>0</v>
      </c>
      <c r="L594" s="70">
        <f>'RESUMEN TOTAL'!R635</f>
        <v>0</v>
      </c>
      <c r="M594" s="70">
        <f>'RESUMEN TOTAL'!S635</f>
        <v>0</v>
      </c>
      <c r="N594" s="70">
        <f>'RESUMEN TOTAL'!T635</f>
        <v>0</v>
      </c>
      <c r="O594" s="70">
        <f>'RESUMEN TOTAL'!U635</f>
        <v>0</v>
      </c>
      <c r="P594" s="70">
        <f>'RESUMEN TOTAL'!V635</f>
        <v>0</v>
      </c>
      <c r="Q594" s="70">
        <f>'RESUMEN TOTAL'!W635</f>
        <v>0</v>
      </c>
      <c r="R594" s="70">
        <f>'RESUMEN TOTAL'!X635</f>
        <v>0</v>
      </c>
      <c r="S594" s="70">
        <f>'RESUMEN TOTAL'!Y635</f>
        <v>0</v>
      </c>
      <c r="T594" s="70">
        <f>'RESUMEN TOTAL'!Z635</f>
        <v>0</v>
      </c>
      <c r="U594" s="70">
        <f>'RESUMEN TOTAL'!AA635</f>
        <v>0</v>
      </c>
      <c r="V594" s="70">
        <f>'RESUMEN TOTAL'!AB635</f>
        <v>0</v>
      </c>
      <c r="W594" s="70">
        <f>'RESUMEN TOTAL'!AC635</f>
        <v>0</v>
      </c>
      <c r="X594" s="70">
        <f>'RESUMEN TOTAL'!AD635</f>
        <v>0</v>
      </c>
      <c r="Y594" s="70">
        <f>'RESUMEN TOTAL'!AE635</f>
        <v>0</v>
      </c>
      <c r="Z594" s="70">
        <f>'RESUMEN TOTAL'!AF635</f>
        <v>0</v>
      </c>
      <c r="AA594" s="70">
        <f>'RESUMEN TOTAL'!AG635</f>
        <v>0</v>
      </c>
      <c r="AB594" s="70">
        <f>'RESUMEN TOTAL'!AH635</f>
        <v>0</v>
      </c>
      <c r="AC594" s="70">
        <f>'RESUMEN TOTAL'!AI635</f>
        <v>0</v>
      </c>
      <c r="AD594" s="70">
        <f>'RESUMEN TOTAL'!AJ635</f>
        <v>0</v>
      </c>
      <c r="AE594" s="70">
        <f>'RESUMEN TOTAL'!AK635</f>
        <v>0</v>
      </c>
      <c r="AF594" s="70">
        <f>'RESUMEN TOTAL'!AL635</f>
        <v>0</v>
      </c>
      <c r="AG594" s="70">
        <f>'RESUMEN TOTAL'!AM635</f>
        <v>0</v>
      </c>
      <c r="AH594" s="70">
        <f>'RESUMEN TOTAL'!AN635</f>
        <v>0</v>
      </c>
      <c r="AI594" s="70">
        <f>'RESUMEN TOTAL'!AO635</f>
        <v>0</v>
      </c>
      <c r="AJ594" s="70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0">
        <f>'RESUMEN TOTAL'!L636</f>
        <v>0</v>
      </c>
      <c r="G595" s="70">
        <f>'RESUMEN TOTAL'!M636</f>
        <v>0</v>
      </c>
      <c r="H595" s="70">
        <f>'RESUMEN TOTAL'!N636</f>
        <v>0</v>
      </c>
      <c r="I595" s="70">
        <f>'RESUMEN TOTAL'!O636</f>
        <v>0</v>
      </c>
      <c r="J595" s="70">
        <f>'RESUMEN TOTAL'!P636</f>
        <v>0</v>
      </c>
      <c r="K595" s="70">
        <f>'RESUMEN TOTAL'!Q636</f>
        <v>0</v>
      </c>
      <c r="L595" s="70">
        <f>'RESUMEN TOTAL'!R636</f>
        <v>0</v>
      </c>
      <c r="M595" s="70">
        <f>'RESUMEN TOTAL'!S636</f>
        <v>0</v>
      </c>
      <c r="N595" s="70">
        <f>'RESUMEN TOTAL'!T636</f>
        <v>0</v>
      </c>
      <c r="O595" s="70">
        <f>'RESUMEN TOTAL'!U636</f>
        <v>0</v>
      </c>
      <c r="P595" s="70">
        <f>'RESUMEN TOTAL'!V636</f>
        <v>0</v>
      </c>
      <c r="Q595" s="70">
        <f>'RESUMEN TOTAL'!W636</f>
        <v>0</v>
      </c>
      <c r="R595" s="70">
        <f>'RESUMEN TOTAL'!X636</f>
        <v>0</v>
      </c>
      <c r="S595" s="70">
        <f>'RESUMEN TOTAL'!Y636</f>
        <v>0</v>
      </c>
      <c r="T595" s="70">
        <f>'RESUMEN TOTAL'!Z636</f>
        <v>0</v>
      </c>
      <c r="U595" s="70">
        <f>'RESUMEN TOTAL'!AA636</f>
        <v>0</v>
      </c>
      <c r="V595" s="70">
        <f>'RESUMEN TOTAL'!AB636</f>
        <v>0</v>
      </c>
      <c r="W595" s="70">
        <f>'RESUMEN TOTAL'!AC636</f>
        <v>0</v>
      </c>
      <c r="X595" s="70">
        <f>'RESUMEN TOTAL'!AD636</f>
        <v>0</v>
      </c>
      <c r="Y595" s="70">
        <f>'RESUMEN TOTAL'!AE636</f>
        <v>0</v>
      </c>
      <c r="Z595" s="70">
        <f>'RESUMEN TOTAL'!AF636</f>
        <v>0</v>
      </c>
      <c r="AA595" s="70">
        <f>'RESUMEN TOTAL'!AG636</f>
        <v>0</v>
      </c>
      <c r="AB595" s="70">
        <f>'RESUMEN TOTAL'!AH636</f>
        <v>0</v>
      </c>
      <c r="AC595" s="70">
        <f>'RESUMEN TOTAL'!AI636</f>
        <v>0</v>
      </c>
      <c r="AD595" s="70">
        <f>'RESUMEN TOTAL'!AJ636</f>
        <v>0</v>
      </c>
      <c r="AE595" s="70">
        <f>'RESUMEN TOTAL'!AK636</f>
        <v>0</v>
      </c>
      <c r="AF595" s="70">
        <f>'RESUMEN TOTAL'!AL636</f>
        <v>0</v>
      </c>
      <c r="AG595" s="70">
        <f>'RESUMEN TOTAL'!AM636</f>
        <v>0</v>
      </c>
      <c r="AH595" s="70">
        <f>'RESUMEN TOTAL'!AN636</f>
        <v>0</v>
      </c>
      <c r="AI595" s="70">
        <f>'RESUMEN TOTAL'!AO636</f>
        <v>0</v>
      </c>
      <c r="AJ595" s="70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0">
        <f>'RESUMEN TOTAL'!L637</f>
        <v>0</v>
      </c>
      <c r="G596" s="70">
        <f>'RESUMEN TOTAL'!M637</f>
        <v>0</v>
      </c>
      <c r="H596" s="70">
        <f>'RESUMEN TOTAL'!N637</f>
        <v>0</v>
      </c>
      <c r="I596" s="70">
        <f>'RESUMEN TOTAL'!O637</f>
        <v>0</v>
      </c>
      <c r="J596" s="70">
        <f>'RESUMEN TOTAL'!P637</f>
        <v>0</v>
      </c>
      <c r="K596" s="70">
        <f>'RESUMEN TOTAL'!Q637</f>
        <v>0</v>
      </c>
      <c r="L596" s="70">
        <f>'RESUMEN TOTAL'!R637</f>
        <v>0</v>
      </c>
      <c r="M596" s="70">
        <f>'RESUMEN TOTAL'!S637</f>
        <v>0</v>
      </c>
      <c r="N596" s="70">
        <f>'RESUMEN TOTAL'!T637</f>
        <v>0</v>
      </c>
      <c r="O596" s="70">
        <f>'RESUMEN TOTAL'!U637</f>
        <v>0</v>
      </c>
      <c r="P596" s="70">
        <f>'RESUMEN TOTAL'!V637</f>
        <v>0</v>
      </c>
      <c r="Q596" s="70">
        <f>'RESUMEN TOTAL'!W637</f>
        <v>0</v>
      </c>
      <c r="R596" s="70">
        <f>'RESUMEN TOTAL'!X637</f>
        <v>0</v>
      </c>
      <c r="S596" s="70">
        <f>'RESUMEN TOTAL'!Y637</f>
        <v>0</v>
      </c>
      <c r="T596" s="70">
        <f>'RESUMEN TOTAL'!Z637</f>
        <v>0</v>
      </c>
      <c r="U596" s="70">
        <f>'RESUMEN TOTAL'!AA637</f>
        <v>0</v>
      </c>
      <c r="V596" s="70">
        <f>'RESUMEN TOTAL'!AB637</f>
        <v>0</v>
      </c>
      <c r="W596" s="70">
        <f>'RESUMEN TOTAL'!AC637</f>
        <v>0</v>
      </c>
      <c r="X596" s="70">
        <f>'RESUMEN TOTAL'!AD637</f>
        <v>0</v>
      </c>
      <c r="Y596" s="70">
        <f>'RESUMEN TOTAL'!AE637</f>
        <v>0</v>
      </c>
      <c r="Z596" s="70">
        <f>'RESUMEN TOTAL'!AF637</f>
        <v>0</v>
      </c>
      <c r="AA596" s="70">
        <f>'RESUMEN TOTAL'!AG637</f>
        <v>0</v>
      </c>
      <c r="AB596" s="70">
        <f>'RESUMEN TOTAL'!AH637</f>
        <v>0</v>
      </c>
      <c r="AC596" s="70">
        <f>'RESUMEN TOTAL'!AI637</f>
        <v>0</v>
      </c>
      <c r="AD596" s="70">
        <f>'RESUMEN TOTAL'!AJ637</f>
        <v>0</v>
      </c>
      <c r="AE596" s="70">
        <f>'RESUMEN TOTAL'!AK637</f>
        <v>0</v>
      </c>
      <c r="AF596" s="70">
        <f>'RESUMEN TOTAL'!AL637</f>
        <v>0</v>
      </c>
      <c r="AG596" s="70">
        <f>'RESUMEN TOTAL'!AM637</f>
        <v>0</v>
      </c>
      <c r="AH596" s="70">
        <f>'RESUMEN TOTAL'!AN637</f>
        <v>0</v>
      </c>
      <c r="AI596" s="70">
        <f>'RESUMEN TOTAL'!AO637</f>
        <v>0</v>
      </c>
      <c r="AJ596" s="70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0">
        <f>'RESUMEN TOTAL'!L638</f>
        <v>0</v>
      </c>
      <c r="G597" s="70">
        <f>'RESUMEN TOTAL'!M638</f>
        <v>0</v>
      </c>
      <c r="H597" s="70">
        <f>'RESUMEN TOTAL'!N638</f>
        <v>0</v>
      </c>
      <c r="I597" s="70">
        <f>'RESUMEN TOTAL'!O638</f>
        <v>0</v>
      </c>
      <c r="J597" s="70">
        <f>'RESUMEN TOTAL'!P638</f>
        <v>0</v>
      </c>
      <c r="K597" s="70">
        <f>'RESUMEN TOTAL'!Q638</f>
        <v>0</v>
      </c>
      <c r="L597" s="70">
        <f>'RESUMEN TOTAL'!R638</f>
        <v>0</v>
      </c>
      <c r="M597" s="70">
        <f>'RESUMEN TOTAL'!S638</f>
        <v>0</v>
      </c>
      <c r="N597" s="70">
        <f>'RESUMEN TOTAL'!T638</f>
        <v>0</v>
      </c>
      <c r="O597" s="70">
        <f>'RESUMEN TOTAL'!U638</f>
        <v>0</v>
      </c>
      <c r="P597" s="70">
        <f>'RESUMEN TOTAL'!V638</f>
        <v>0</v>
      </c>
      <c r="Q597" s="70">
        <f>'RESUMEN TOTAL'!W638</f>
        <v>0</v>
      </c>
      <c r="R597" s="70">
        <f>'RESUMEN TOTAL'!X638</f>
        <v>0</v>
      </c>
      <c r="S597" s="70">
        <f>'RESUMEN TOTAL'!Y638</f>
        <v>0</v>
      </c>
      <c r="T597" s="70">
        <f>'RESUMEN TOTAL'!Z638</f>
        <v>0</v>
      </c>
      <c r="U597" s="70">
        <f>'RESUMEN TOTAL'!AA638</f>
        <v>0</v>
      </c>
      <c r="V597" s="70">
        <f>'RESUMEN TOTAL'!AB638</f>
        <v>0</v>
      </c>
      <c r="W597" s="70">
        <f>'RESUMEN TOTAL'!AC638</f>
        <v>0</v>
      </c>
      <c r="X597" s="70">
        <f>'RESUMEN TOTAL'!AD638</f>
        <v>0</v>
      </c>
      <c r="Y597" s="70">
        <f>'RESUMEN TOTAL'!AE638</f>
        <v>0</v>
      </c>
      <c r="Z597" s="70">
        <f>'RESUMEN TOTAL'!AF638</f>
        <v>0</v>
      </c>
      <c r="AA597" s="70">
        <f>'RESUMEN TOTAL'!AG638</f>
        <v>0</v>
      </c>
      <c r="AB597" s="70">
        <f>'RESUMEN TOTAL'!AH638</f>
        <v>0</v>
      </c>
      <c r="AC597" s="70">
        <f>'RESUMEN TOTAL'!AI638</f>
        <v>0</v>
      </c>
      <c r="AD597" s="70">
        <f>'RESUMEN TOTAL'!AJ638</f>
        <v>0</v>
      </c>
      <c r="AE597" s="70">
        <f>'RESUMEN TOTAL'!AK638</f>
        <v>0</v>
      </c>
      <c r="AF597" s="70">
        <f>'RESUMEN TOTAL'!AL638</f>
        <v>0</v>
      </c>
      <c r="AG597" s="70">
        <f>'RESUMEN TOTAL'!AM638</f>
        <v>0</v>
      </c>
      <c r="AH597" s="70">
        <f>'RESUMEN TOTAL'!AN638</f>
        <v>0</v>
      </c>
      <c r="AI597" s="70">
        <f>'RESUMEN TOTAL'!AO638</f>
        <v>0</v>
      </c>
      <c r="AJ597" s="70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0">
        <f>'RESUMEN TOTAL'!L639</f>
        <v>0</v>
      </c>
      <c r="G598" s="70">
        <f>'RESUMEN TOTAL'!M639</f>
        <v>0</v>
      </c>
      <c r="H598" s="70">
        <f>'RESUMEN TOTAL'!N639</f>
        <v>0</v>
      </c>
      <c r="I598" s="70">
        <f>'RESUMEN TOTAL'!O639</f>
        <v>0</v>
      </c>
      <c r="J598" s="70">
        <f>'RESUMEN TOTAL'!P639</f>
        <v>0</v>
      </c>
      <c r="K598" s="70">
        <f>'RESUMEN TOTAL'!Q639</f>
        <v>0</v>
      </c>
      <c r="L598" s="70">
        <f>'RESUMEN TOTAL'!R639</f>
        <v>0</v>
      </c>
      <c r="M598" s="70">
        <f>'RESUMEN TOTAL'!S639</f>
        <v>0</v>
      </c>
      <c r="N598" s="70">
        <f>'RESUMEN TOTAL'!T639</f>
        <v>0</v>
      </c>
      <c r="O598" s="70">
        <f>'RESUMEN TOTAL'!U639</f>
        <v>0</v>
      </c>
      <c r="P598" s="70">
        <f>'RESUMEN TOTAL'!V639</f>
        <v>0</v>
      </c>
      <c r="Q598" s="70">
        <f>'RESUMEN TOTAL'!W639</f>
        <v>0</v>
      </c>
      <c r="R598" s="70">
        <f>'RESUMEN TOTAL'!X639</f>
        <v>0</v>
      </c>
      <c r="S598" s="70">
        <f>'RESUMEN TOTAL'!Y639</f>
        <v>0</v>
      </c>
      <c r="T598" s="70">
        <f>'RESUMEN TOTAL'!Z639</f>
        <v>0</v>
      </c>
      <c r="U598" s="70">
        <f>'RESUMEN TOTAL'!AA639</f>
        <v>0</v>
      </c>
      <c r="V598" s="70">
        <f>'RESUMEN TOTAL'!AB639</f>
        <v>0</v>
      </c>
      <c r="W598" s="70">
        <f>'RESUMEN TOTAL'!AC639</f>
        <v>0</v>
      </c>
      <c r="X598" s="70">
        <f>'RESUMEN TOTAL'!AD639</f>
        <v>0</v>
      </c>
      <c r="Y598" s="70">
        <f>'RESUMEN TOTAL'!AE639</f>
        <v>0</v>
      </c>
      <c r="Z598" s="70">
        <f>'RESUMEN TOTAL'!AF639</f>
        <v>0</v>
      </c>
      <c r="AA598" s="70">
        <f>'RESUMEN TOTAL'!AG639</f>
        <v>0</v>
      </c>
      <c r="AB598" s="70">
        <f>'RESUMEN TOTAL'!AH639</f>
        <v>0</v>
      </c>
      <c r="AC598" s="70">
        <f>'RESUMEN TOTAL'!AI639</f>
        <v>0</v>
      </c>
      <c r="AD598" s="70">
        <f>'RESUMEN TOTAL'!AJ639</f>
        <v>0</v>
      </c>
      <c r="AE598" s="70">
        <f>'RESUMEN TOTAL'!AK639</f>
        <v>0</v>
      </c>
      <c r="AF598" s="70">
        <f>'RESUMEN TOTAL'!AL639</f>
        <v>0</v>
      </c>
      <c r="AG598" s="70">
        <f>'RESUMEN TOTAL'!AM639</f>
        <v>0</v>
      </c>
      <c r="AH598" s="70">
        <f>'RESUMEN TOTAL'!AN639</f>
        <v>0</v>
      </c>
      <c r="AI598" s="70">
        <f>'RESUMEN TOTAL'!AO639</f>
        <v>0</v>
      </c>
      <c r="AJ598" s="70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0">
        <f>'RESUMEN TOTAL'!L640</f>
        <v>0</v>
      </c>
      <c r="G599" s="70">
        <f>'RESUMEN TOTAL'!M640</f>
        <v>0</v>
      </c>
      <c r="H599" s="70">
        <f>'RESUMEN TOTAL'!N640</f>
        <v>0</v>
      </c>
      <c r="I599" s="70">
        <f>'RESUMEN TOTAL'!O640</f>
        <v>0</v>
      </c>
      <c r="J599" s="70">
        <f>'RESUMEN TOTAL'!P640</f>
        <v>0</v>
      </c>
      <c r="K599" s="70">
        <f>'RESUMEN TOTAL'!Q640</f>
        <v>0</v>
      </c>
      <c r="L599" s="70">
        <f>'RESUMEN TOTAL'!R640</f>
        <v>0</v>
      </c>
      <c r="M599" s="70">
        <f>'RESUMEN TOTAL'!S640</f>
        <v>0</v>
      </c>
      <c r="N599" s="70">
        <f>'RESUMEN TOTAL'!T640</f>
        <v>0</v>
      </c>
      <c r="O599" s="70">
        <f>'RESUMEN TOTAL'!U640</f>
        <v>0</v>
      </c>
      <c r="P599" s="70">
        <f>'RESUMEN TOTAL'!V640</f>
        <v>0</v>
      </c>
      <c r="Q599" s="70">
        <f>'RESUMEN TOTAL'!W640</f>
        <v>0</v>
      </c>
      <c r="R599" s="70">
        <f>'RESUMEN TOTAL'!X640</f>
        <v>0</v>
      </c>
      <c r="S599" s="70">
        <f>'RESUMEN TOTAL'!Y640</f>
        <v>0</v>
      </c>
      <c r="T599" s="70">
        <f>'RESUMEN TOTAL'!Z640</f>
        <v>0</v>
      </c>
      <c r="U599" s="70">
        <f>'RESUMEN TOTAL'!AA640</f>
        <v>0</v>
      </c>
      <c r="V599" s="70">
        <f>'RESUMEN TOTAL'!AB640</f>
        <v>0</v>
      </c>
      <c r="W599" s="70">
        <f>'RESUMEN TOTAL'!AC640</f>
        <v>0</v>
      </c>
      <c r="X599" s="70">
        <f>'RESUMEN TOTAL'!AD640</f>
        <v>0</v>
      </c>
      <c r="Y599" s="70">
        <f>'RESUMEN TOTAL'!AE640</f>
        <v>0</v>
      </c>
      <c r="Z599" s="70">
        <f>'RESUMEN TOTAL'!AF640</f>
        <v>0</v>
      </c>
      <c r="AA599" s="70">
        <f>'RESUMEN TOTAL'!AG640</f>
        <v>0</v>
      </c>
      <c r="AB599" s="70">
        <f>'RESUMEN TOTAL'!AH640</f>
        <v>0</v>
      </c>
      <c r="AC599" s="70">
        <f>'RESUMEN TOTAL'!AI640</f>
        <v>0</v>
      </c>
      <c r="AD599" s="70">
        <f>'RESUMEN TOTAL'!AJ640</f>
        <v>0</v>
      </c>
      <c r="AE599" s="70">
        <f>'RESUMEN TOTAL'!AK640</f>
        <v>0</v>
      </c>
      <c r="AF599" s="70">
        <f>'RESUMEN TOTAL'!AL640</f>
        <v>0</v>
      </c>
      <c r="AG599" s="70">
        <f>'RESUMEN TOTAL'!AM640</f>
        <v>0</v>
      </c>
      <c r="AH599" s="70">
        <f>'RESUMEN TOTAL'!AN640</f>
        <v>0</v>
      </c>
      <c r="AI599" s="70">
        <f>'RESUMEN TOTAL'!AO640</f>
        <v>0</v>
      </c>
      <c r="AJ599" s="70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0">
        <f>'RESUMEN TOTAL'!L641</f>
        <v>0</v>
      </c>
      <c r="G600" s="70">
        <f>'RESUMEN TOTAL'!M641</f>
        <v>0</v>
      </c>
      <c r="H600" s="70">
        <f>'RESUMEN TOTAL'!N641</f>
        <v>0</v>
      </c>
      <c r="I600" s="70">
        <f>'RESUMEN TOTAL'!O641</f>
        <v>0</v>
      </c>
      <c r="J600" s="70">
        <f>'RESUMEN TOTAL'!P641</f>
        <v>0</v>
      </c>
      <c r="K600" s="70">
        <f>'RESUMEN TOTAL'!Q641</f>
        <v>0</v>
      </c>
      <c r="L600" s="70">
        <f>'RESUMEN TOTAL'!R641</f>
        <v>0</v>
      </c>
      <c r="M600" s="70">
        <f>'RESUMEN TOTAL'!S641</f>
        <v>0</v>
      </c>
      <c r="N600" s="70">
        <f>'RESUMEN TOTAL'!T641</f>
        <v>0</v>
      </c>
      <c r="O600" s="70">
        <f>'RESUMEN TOTAL'!U641</f>
        <v>0</v>
      </c>
      <c r="P600" s="70">
        <f>'RESUMEN TOTAL'!V641</f>
        <v>0</v>
      </c>
      <c r="Q600" s="70">
        <f>'RESUMEN TOTAL'!W641</f>
        <v>0</v>
      </c>
      <c r="R600" s="70">
        <f>'RESUMEN TOTAL'!X641</f>
        <v>0</v>
      </c>
      <c r="S600" s="70">
        <f>'RESUMEN TOTAL'!Y641</f>
        <v>0</v>
      </c>
      <c r="T600" s="70">
        <f>'RESUMEN TOTAL'!Z641</f>
        <v>0</v>
      </c>
      <c r="U600" s="70">
        <f>'RESUMEN TOTAL'!AA641</f>
        <v>0</v>
      </c>
      <c r="V600" s="70">
        <f>'RESUMEN TOTAL'!AB641</f>
        <v>0</v>
      </c>
      <c r="W600" s="70">
        <f>'RESUMEN TOTAL'!AC641</f>
        <v>0</v>
      </c>
      <c r="X600" s="70">
        <f>'RESUMEN TOTAL'!AD641</f>
        <v>0</v>
      </c>
      <c r="Y600" s="70">
        <f>'RESUMEN TOTAL'!AE641</f>
        <v>0</v>
      </c>
      <c r="Z600" s="70">
        <f>'RESUMEN TOTAL'!AF641</f>
        <v>0</v>
      </c>
      <c r="AA600" s="70">
        <f>'RESUMEN TOTAL'!AG641</f>
        <v>0</v>
      </c>
      <c r="AB600" s="70">
        <f>'RESUMEN TOTAL'!AH641</f>
        <v>0</v>
      </c>
      <c r="AC600" s="70">
        <f>'RESUMEN TOTAL'!AI641</f>
        <v>0</v>
      </c>
      <c r="AD600" s="70">
        <f>'RESUMEN TOTAL'!AJ641</f>
        <v>0</v>
      </c>
      <c r="AE600" s="70">
        <f>'RESUMEN TOTAL'!AK641</f>
        <v>0</v>
      </c>
      <c r="AF600" s="70">
        <f>'RESUMEN TOTAL'!AL641</f>
        <v>0</v>
      </c>
      <c r="AG600" s="70">
        <f>'RESUMEN TOTAL'!AM641</f>
        <v>0</v>
      </c>
      <c r="AH600" s="70">
        <f>'RESUMEN TOTAL'!AN641</f>
        <v>0</v>
      </c>
      <c r="AI600" s="70">
        <f>'RESUMEN TOTAL'!AO641</f>
        <v>0</v>
      </c>
      <c r="AJ600" s="7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0">
        <f>'RESUMEN TOTAL'!L642</f>
        <v>0</v>
      </c>
      <c r="G601" s="70">
        <f>'RESUMEN TOTAL'!M642</f>
        <v>0</v>
      </c>
      <c r="H601" s="70">
        <f>'RESUMEN TOTAL'!N642</f>
        <v>0</v>
      </c>
      <c r="I601" s="70">
        <f>'RESUMEN TOTAL'!O642</f>
        <v>0</v>
      </c>
      <c r="J601" s="70">
        <f>'RESUMEN TOTAL'!P642</f>
        <v>0</v>
      </c>
      <c r="K601" s="70">
        <f>'RESUMEN TOTAL'!Q642</f>
        <v>0</v>
      </c>
      <c r="L601" s="70">
        <f>'RESUMEN TOTAL'!R642</f>
        <v>0</v>
      </c>
      <c r="M601" s="70">
        <f>'RESUMEN TOTAL'!S642</f>
        <v>0</v>
      </c>
      <c r="N601" s="70">
        <f>'RESUMEN TOTAL'!T642</f>
        <v>0</v>
      </c>
      <c r="O601" s="70">
        <f>'RESUMEN TOTAL'!U642</f>
        <v>0</v>
      </c>
      <c r="P601" s="70">
        <f>'RESUMEN TOTAL'!V642</f>
        <v>0</v>
      </c>
      <c r="Q601" s="70">
        <f>'RESUMEN TOTAL'!W642</f>
        <v>0</v>
      </c>
      <c r="R601" s="70">
        <f>'RESUMEN TOTAL'!X642</f>
        <v>0</v>
      </c>
      <c r="S601" s="70">
        <f>'RESUMEN TOTAL'!Y642</f>
        <v>0</v>
      </c>
      <c r="T601" s="70">
        <f>'RESUMEN TOTAL'!Z642</f>
        <v>0</v>
      </c>
      <c r="U601" s="70">
        <f>'RESUMEN TOTAL'!AA642</f>
        <v>0</v>
      </c>
      <c r="V601" s="70">
        <f>'RESUMEN TOTAL'!AB642</f>
        <v>0</v>
      </c>
      <c r="W601" s="70">
        <f>'RESUMEN TOTAL'!AC642</f>
        <v>0</v>
      </c>
      <c r="X601" s="70">
        <f>'RESUMEN TOTAL'!AD642</f>
        <v>0</v>
      </c>
      <c r="Y601" s="70">
        <f>'RESUMEN TOTAL'!AE642</f>
        <v>0</v>
      </c>
      <c r="Z601" s="70">
        <f>'RESUMEN TOTAL'!AF642</f>
        <v>0</v>
      </c>
      <c r="AA601" s="70">
        <f>'RESUMEN TOTAL'!AG642</f>
        <v>0</v>
      </c>
      <c r="AB601" s="70">
        <f>'RESUMEN TOTAL'!AH642</f>
        <v>0</v>
      </c>
      <c r="AC601" s="70">
        <f>'RESUMEN TOTAL'!AI642</f>
        <v>0</v>
      </c>
      <c r="AD601" s="70">
        <f>'RESUMEN TOTAL'!AJ642</f>
        <v>0</v>
      </c>
      <c r="AE601" s="70">
        <f>'RESUMEN TOTAL'!AK642</f>
        <v>0</v>
      </c>
      <c r="AF601" s="70">
        <f>'RESUMEN TOTAL'!AL642</f>
        <v>0</v>
      </c>
      <c r="AG601" s="70">
        <f>'RESUMEN TOTAL'!AM642</f>
        <v>0</v>
      </c>
      <c r="AH601" s="70">
        <f>'RESUMEN TOTAL'!AN642</f>
        <v>0</v>
      </c>
      <c r="AI601" s="70">
        <f>'RESUMEN TOTAL'!AO642</f>
        <v>0</v>
      </c>
      <c r="AJ601" s="70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0">
        <f>'RESUMEN TOTAL'!L643</f>
        <v>0</v>
      </c>
      <c r="G602" s="70">
        <f>'RESUMEN TOTAL'!M643</f>
        <v>0</v>
      </c>
      <c r="H602" s="70">
        <f>'RESUMEN TOTAL'!N643</f>
        <v>0</v>
      </c>
      <c r="I602" s="70">
        <f>'RESUMEN TOTAL'!O643</f>
        <v>0</v>
      </c>
      <c r="J602" s="70">
        <f>'RESUMEN TOTAL'!P643</f>
        <v>0</v>
      </c>
      <c r="K602" s="70">
        <f>'RESUMEN TOTAL'!Q643</f>
        <v>0</v>
      </c>
      <c r="L602" s="70">
        <f>'RESUMEN TOTAL'!R643</f>
        <v>0</v>
      </c>
      <c r="M602" s="70">
        <f>'RESUMEN TOTAL'!S643</f>
        <v>0</v>
      </c>
      <c r="N602" s="70">
        <f>'RESUMEN TOTAL'!T643</f>
        <v>0</v>
      </c>
      <c r="O602" s="70">
        <f>'RESUMEN TOTAL'!U643</f>
        <v>0</v>
      </c>
      <c r="P602" s="70">
        <f>'RESUMEN TOTAL'!V643</f>
        <v>0</v>
      </c>
      <c r="Q602" s="70">
        <f>'RESUMEN TOTAL'!W643</f>
        <v>0</v>
      </c>
      <c r="R602" s="70">
        <f>'RESUMEN TOTAL'!X643</f>
        <v>0</v>
      </c>
      <c r="S602" s="70">
        <f>'RESUMEN TOTAL'!Y643</f>
        <v>0</v>
      </c>
      <c r="T602" s="70">
        <f>'RESUMEN TOTAL'!Z643</f>
        <v>0</v>
      </c>
      <c r="U602" s="70">
        <f>'RESUMEN TOTAL'!AA643</f>
        <v>0</v>
      </c>
      <c r="V602" s="70">
        <f>'RESUMEN TOTAL'!AB643</f>
        <v>0</v>
      </c>
      <c r="W602" s="70">
        <f>'RESUMEN TOTAL'!AC643</f>
        <v>0</v>
      </c>
      <c r="X602" s="70">
        <f>'RESUMEN TOTAL'!AD643</f>
        <v>0</v>
      </c>
      <c r="Y602" s="70">
        <f>'RESUMEN TOTAL'!AE643</f>
        <v>0</v>
      </c>
      <c r="Z602" s="70">
        <f>'RESUMEN TOTAL'!AF643</f>
        <v>0</v>
      </c>
      <c r="AA602" s="70">
        <f>'RESUMEN TOTAL'!AG643</f>
        <v>0</v>
      </c>
      <c r="AB602" s="70">
        <f>'RESUMEN TOTAL'!AH643</f>
        <v>0</v>
      </c>
      <c r="AC602" s="70">
        <f>'RESUMEN TOTAL'!AI643</f>
        <v>0</v>
      </c>
      <c r="AD602" s="70">
        <f>'RESUMEN TOTAL'!AJ643</f>
        <v>0</v>
      </c>
      <c r="AE602" s="70">
        <f>'RESUMEN TOTAL'!AK643</f>
        <v>0</v>
      </c>
      <c r="AF602" s="70">
        <f>'RESUMEN TOTAL'!AL643</f>
        <v>0</v>
      </c>
      <c r="AG602" s="70">
        <f>'RESUMEN TOTAL'!AM643</f>
        <v>0</v>
      </c>
      <c r="AH602" s="70">
        <f>'RESUMEN TOTAL'!AN643</f>
        <v>0</v>
      </c>
      <c r="AI602" s="70">
        <f>'RESUMEN TOTAL'!AO643</f>
        <v>0</v>
      </c>
      <c r="AJ602" s="70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0">
        <f>'RESUMEN TOTAL'!L644</f>
        <v>0</v>
      </c>
      <c r="G603" s="70">
        <f>'RESUMEN TOTAL'!M644</f>
        <v>0</v>
      </c>
      <c r="H603" s="70">
        <f>'RESUMEN TOTAL'!N644</f>
        <v>0</v>
      </c>
      <c r="I603" s="70">
        <f>'RESUMEN TOTAL'!O644</f>
        <v>0</v>
      </c>
      <c r="J603" s="70">
        <f>'RESUMEN TOTAL'!P644</f>
        <v>0</v>
      </c>
      <c r="K603" s="70">
        <f>'RESUMEN TOTAL'!Q644</f>
        <v>0</v>
      </c>
      <c r="L603" s="70">
        <f>'RESUMEN TOTAL'!R644</f>
        <v>0</v>
      </c>
      <c r="M603" s="70">
        <f>'RESUMEN TOTAL'!S644</f>
        <v>0</v>
      </c>
      <c r="N603" s="70">
        <f>'RESUMEN TOTAL'!T644</f>
        <v>0</v>
      </c>
      <c r="O603" s="70">
        <f>'RESUMEN TOTAL'!U644</f>
        <v>0</v>
      </c>
      <c r="P603" s="70">
        <f>'RESUMEN TOTAL'!V644</f>
        <v>0</v>
      </c>
      <c r="Q603" s="70">
        <f>'RESUMEN TOTAL'!W644</f>
        <v>0</v>
      </c>
      <c r="R603" s="70">
        <f>'RESUMEN TOTAL'!X644</f>
        <v>0</v>
      </c>
      <c r="S603" s="70">
        <f>'RESUMEN TOTAL'!Y644</f>
        <v>0</v>
      </c>
      <c r="T603" s="70">
        <f>'RESUMEN TOTAL'!Z644</f>
        <v>0</v>
      </c>
      <c r="U603" s="70">
        <f>'RESUMEN TOTAL'!AA644</f>
        <v>0</v>
      </c>
      <c r="V603" s="70">
        <f>'RESUMEN TOTAL'!AB644</f>
        <v>0</v>
      </c>
      <c r="W603" s="70">
        <f>'RESUMEN TOTAL'!AC644</f>
        <v>0</v>
      </c>
      <c r="X603" s="70">
        <f>'RESUMEN TOTAL'!AD644</f>
        <v>0</v>
      </c>
      <c r="Y603" s="70">
        <f>'RESUMEN TOTAL'!AE644</f>
        <v>0</v>
      </c>
      <c r="Z603" s="70">
        <f>'RESUMEN TOTAL'!AF644</f>
        <v>0</v>
      </c>
      <c r="AA603" s="70">
        <f>'RESUMEN TOTAL'!AG644</f>
        <v>0</v>
      </c>
      <c r="AB603" s="70">
        <f>'RESUMEN TOTAL'!AH644</f>
        <v>0</v>
      </c>
      <c r="AC603" s="70">
        <f>'RESUMEN TOTAL'!AI644</f>
        <v>0</v>
      </c>
      <c r="AD603" s="70">
        <f>'RESUMEN TOTAL'!AJ644</f>
        <v>0</v>
      </c>
      <c r="AE603" s="70">
        <f>'RESUMEN TOTAL'!AK644</f>
        <v>0</v>
      </c>
      <c r="AF603" s="70">
        <f>'RESUMEN TOTAL'!AL644</f>
        <v>0</v>
      </c>
      <c r="AG603" s="70">
        <f>'RESUMEN TOTAL'!AM644</f>
        <v>0</v>
      </c>
      <c r="AH603" s="70">
        <f>'RESUMEN TOTAL'!AN644</f>
        <v>0</v>
      </c>
      <c r="AI603" s="70">
        <f>'RESUMEN TOTAL'!AO644</f>
        <v>0</v>
      </c>
      <c r="AJ603" s="70">
        <f>'RESUMEN TOTAL'!AP644</f>
        <v>0</v>
      </c>
    </row>
    <row r="604" spans="1:36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0">
        <f>'RESUMEN TOTAL'!L645</f>
        <v>0</v>
      </c>
      <c r="G604" s="70">
        <f>'RESUMEN TOTAL'!M645</f>
        <v>0</v>
      </c>
      <c r="H604" s="70">
        <f>'RESUMEN TOTAL'!N645</f>
        <v>0</v>
      </c>
      <c r="I604" s="70">
        <f>'RESUMEN TOTAL'!O645</f>
        <v>0</v>
      </c>
      <c r="J604" s="70">
        <f>'RESUMEN TOTAL'!P645</f>
        <v>0</v>
      </c>
      <c r="K604" s="70">
        <f>'RESUMEN TOTAL'!Q645</f>
        <v>0</v>
      </c>
      <c r="L604" s="70">
        <f>'RESUMEN TOTAL'!R645</f>
        <v>0</v>
      </c>
      <c r="M604" s="70">
        <f>'RESUMEN TOTAL'!S645</f>
        <v>0</v>
      </c>
      <c r="N604" s="70">
        <f>'RESUMEN TOTAL'!T645</f>
        <v>0</v>
      </c>
      <c r="O604" s="70">
        <f>'RESUMEN TOTAL'!U645</f>
        <v>0</v>
      </c>
      <c r="P604" s="70">
        <f>'RESUMEN TOTAL'!V645</f>
        <v>0</v>
      </c>
      <c r="Q604" s="70">
        <f>'RESUMEN TOTAL'!W645</f>
        <v>0</v>
      </c>
      <c r="R604" s="70">
        <f>'RESUMEN TOTAL'!X645</f>
        <v>0</v>
      </c>
      <c r="S604" s="70">
        <f>'RESUMEN TOTAL'!Y645</f>
        <v>0</v>
      </c>
      <c r="T604" s="70">
        <f>'RESUMEN TOTAL'!Z645</f>
        <v>0</v>
      </c>
      <c r="U604" s="70">
        <f>'RESUMEN TOTAL'!AA645</f>
        <v>0</v>
      </c>
      <c r="V604" s="70">
        <f>'RESUMEN TOTAL'!AB645</f>
        <v>0</v>
      </c>
      <c r="W604" s="70">
        <f>'RESUMEN TOTAL'!AC645</f>
        <v>0</v>
      </c>
      <c r="X604" s="70">
        <f>'RESUMEN TOTAL'!AD645</f>
        <v>0</v>
      </c>
      <c r="Y604" s="70">
        <f>'RESUMEN TOTAL'!AE645</f>
        <v>0</v>
      </c>
      <c r="Z604" s="70">
        <f>'RESUMEN TOTAL'!AF645</f>
        <v>0</v>
      </c>
      <c r="AA604" s="70">
        <f>'RESUMEN TOTAL'!AG645</f>
        <v>0</v>
      </c>
      <c r="AB604" s="70">
        <f>'RESUMEN TOTAL'!AH645</f>
        <v>0</v>
      </c>
      <c r="AC604" s="70">
        <f>'RESUMEN TOTAL'!AI645</f>
        <v>0</v>
      </c>
      <c r="AD604" s="70">
        <f>'RESUMEN TOTAL'!AJ645</f>
        <v>0</v>
      </c>
      <c r="AE604" s="70">
        <f>'RESUMEN TOTAL'!AK645</f>
        <v>0</v>
      </c>
      <c r="AF604" s="70">
        <f>'RESUMEN TOTAL'!AL645</f>
        <v>0</v>
      </c>
      <c r="AG604" s="70">
        <f>'RESUMEN TOTAL'!AM645</f>
        <v>0</v>
      </c>
      <c r="AH604" s="70">
        <f>'RESUMEN TOTAL'!AN645</f>
        <v>0</v>
      </c>
      <c r="AI604" s="70">
        <f>'RESUMEN TOTAL'!AO645</f>
        <v>0</v>
      </c>
      <c r="AJ604" s="70">
        <f>'RESUMEN TOTAL'!AP645</f>
        <v>0</v>
      </c>
    </row>
    <row r="605" spans="1:36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0">
        <f>'RESUMEN TOTAL'!L646</f>
        <v>0</v>
      </c>
      <c r="G605" s="70">
        <f>'RESUMEN TOTAL'!M646</f>
        <v>0</v>
      </c>
      <c r="H605" s="70">
        <f>'RESUMEN TOTAL'!N646</f>
        <v>0</v>
      </c>
      <c r="I605" s="70">
        <f>'RESUMEN TOTAL'!O646</f>
        <v>0</v>
      </c>
      <c r="J605" s="70">
        <f>'RESUMEN TOTAL'!P646</f>
        <v>0</v>
      </c>
      <c r="K605" s="70">
        <f>'RESUMEN TOTAL'!Q646</f>
        <v>0</v>
      </c>
      <c r="L605" s="70">
        <f>'RESUMEN TOTAL'!R646</f>
        <v>0</v>
      </c>
      <c r="M605" s="70">
        <f>'RESUMEN TOTAL'!S646</f>
        <v>0</v>
      </c>
      <c r="N605" s="70">
        <f>'RESUMEN TOTAL'!T646</f>
        <v>0</v>
      </c>
      <c r="O605" s="70">
        <f>'RESUMEN TOTAL'!U646</f>
        <v>0</v>
      </c>
      <c r="P605" s="70">
        <f>'RESUMEN TOTAL'!V646</f>
        <v>0</v>
      </c>
      <c r="Q605" s="70">
        <f>'RESUMEN TOTAL'!W646</f>
        <v>0</v>
      </c>
      <c r="R605" s="70">
        <f>'RESUMEN TOTAL'!X646</f>
        <v>0</v>
      </c>
      <c r="S605" s="70">
        <f>'RESUMEN TOTAL'!Y646</f>
        <v>0</v>
      </c>
      <c r="T605" s="70">
        <f>'RESUMEN TOTAL'!Z646</f>
        <v>0</v>
      </c>
      <c r="U605" s="70">
        <f>'RESUMEN TOTAL'!AA646</f>
        <v>0</v>
      </c>
      <c r="V605" s="70">
        <f>'RESUMEN TOTAL'!AB646</f>
        <v>0</v>
      </c>
      <c r="W605" s="70">
        <f>'RESUMEN TOTAL'!AC646</f>
        <v>0</v>
      </c>
      <c r="X605" s="70">
        <f>'RESUMEN TOTAL'!AD646</f>
        <v>0</v>
      </c>
      <c r="Y605" s="70">
        <f>'RESUMEN TOTAL'!AE646</f>
        <v>0</v>
      </c>
      <c r="Z605" s="70">
        <f>'RESUMEN TOTAL'!AF646</f>
        <v>0</v>
      </c>
      <c r="AA605" s="70">
        <f>'RESUMEN TOTAL'!AG646</f>
        <v>0</v>
      </c>
      <c r="AB605" s="70">
        <f>'RESUMEN TOTAL'!AH646</f>
        <v>0</v>
      </c>
      <c r="AC605" s="70">
        <f>'RESUMEN TOTAL'!AI646</f>
        <v>0</v>
      </c>
      <c r="AD605" s="70">
        <f>'RESUMEN TOTAL'!AJ646</f>
        <v>0</v>
      </c>
      <c r="AE605" s="70">
        <f>'RESUMEN TOTAL'!AK646</f>
        <v>0</v>
      </c>
      <c r="AF605" s="70">
        <f>'RESUMEN TOTAL'!AL646</f>
        <v>0</v>
      </c>
      <c r="AG605" s="70">
        <f>'RESUMEN TOTAL'!AM646</f>
        <v>0</v>
      </c>
      <c r="AH605" s="70">
        <f>'RESUMEN TOTAL'!AN646</f>
        <v>0</v>
      </c>
      <c r="AI605" s="70">
        <f>'RESUMEN TOTAL'!AO646</f>
        <v>0</v>
      </c>
      <c r="AJ605" s="70">
        <f>'RESUMEN TOTAL'!AP646</f>
        <v>0</v>
      </c>
    </row>
    <row r="606" spans="1:36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0">
        <f>'RESUMEN TOTAL'!L647</f>
        <v>0</v>
      </c>
      <c r="G606" s="70">
        <f>'RESUMEN TOTAL'!M647</f>
        <v>0</v>
      </c>
      <c r="H606" s="70">
        <f>'RESUMEN TOTAL'!N647</f>
        <v>0</v>
      </c>
      <c r="I606" s="70">
        <f>'RESUMEN TOTAL'!O647</f>
        <v>0</v>
      </c>
      <c r="J606" s="70">
        <f>'RESUMEN TOTAL'!P647</f>
        <v>0</v>
      </c>
      <c r="K606" s="70">
        <f>'RESUMEN TOTAL'!Q647</f>
        <v>0</v>
      </c>
      <c r="L606" s="70">
        <f>'RESUMEN TOTAL'!R647</f>
        <v>0</v>
      </c>
      <c r="M606" s="70">
        <f>'RESUMEN TOTAL'!S647</f>
        <v>0</v>
      </c>
      <c r="N606" s="70">
        <f>'RESUMEN TOTAL'!T647</f>
        <v>0</v>
      </c>
      <c r="O606" s="70">
        <f>'RESUMEN TOTAL'!U647</f>
        <v>0</v>
      </c>
      <c r="P606" s="70">
        <f>'RESUMEN TOTAL'!V647</f>
        <v>0</v>
      </c>
      <c r="Q606" s="70">
        <f>'RESUMEN TOTAL'!W647</f>
        <v>0</v>
      </c>
      <c r="R606" s="70">
        <f>'RESUMEN TOTAL'!X647</f>
        <v>0</v>
      </c>
      <c r="S606" s="70">
        <f>'RESUMEN TOTAL'!Y647</f>
        <v>0</v>
      </c>
      <c r="T606" s="70">
        <f>'RESUMEN TOTAL'!Z647</f>
        <v>0</v>
      </c>
      <c r="U606" s="70">
        <f>'RESUMEN TOTAL'!AA647</f>
        <v>0</v>
      </c>
      <c r="V606" s="70">
        <f>'RESUMEN TOTAL'!AB647</f>
        <v>0</v>
      </c>
      <c r="W606" s="70">
        <f>'RESUMEN TOTAL'!AC647</f>
        <v>0</v>
      </c>
      <c r="X606" s="70">
        <f>'RESUMEN TOTAL'!AD647</f>
        <v>0</v>
      </c>
      <c r="Y606" s="70">
        <f>'RESUMEN TOTAL'!AE647</f>
        <v>0</v>
      </c>
      <c r="Z606" s="70">
        <f>'RESUMEN TOTAL'!AF647</f>
        <v>0</v>
      </c>
      <c r="AA606" s="70">
        <f>'RESUMEN TOTAL'!AG647</f>
        <v>0</v>
      </c>
      <c r="AB606" s="70">
        <f>'RESUMEN TOTAL'!AH647</f>
        <v>0</v>
      </c>
      <c r="AC606" s="70">
        <f>'RESUMEN TOTAL'!AI647</f>
        <v>0</v>
      </c>
      <c r="AD606" s="70">
        <f>'RESUMEN TOTAL'!AJ647</f>
        <v>0</v>
      </c>
      <c r="AE606" s="70">
        <f>'RESUMEN TOTAL'!AK647</f>
        <v>0</v>
      </c>
      <c r="AF606" s="70">
        <f>'RESUMEN TOTAL'!AL647</f>
        <v>0</v>
      </c>
      <c r="AG606" s="70">
        <f>'RESUMEN TOTAL'!AM647</f>
        <v>0</v>
      </c>
      <c r="AH606" s="70">
        <f>'RESUMEN TOTAL'!AN647</f>
        <v>0</v>
      </c>
      <c r="AI606" s="70">
        <f>'RESUMEN TOTAL'!AO647</f>
        <v>0</v>
      </c>
      <c r="AJ606" s="70">
        <f>'RESUMEN TOTAL'!AP647</f>
        <v>0</v>
      </c>
    </row>
    <row r="607" spans="1:36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0">
        <f>'RESUMEN TOTAL'!L648</f>
        <v>0</v>
      </c>
      <c r="G607" s="70">
        <f>'RESUMEN TOTAL'!M648</f>
        <v>0</v>
      </c>
      <c r="H607" s="70">
        <f>'RESUMEN TOTAL'!N648</f>
        <v>0</v>
      </c>
      <c r="I607" s="70">
        <f>'RESUMEN TOTAL'!O648</f>
        <v>0</v>
      </c>
      <c r="J607" s="70">
        <f>'RESUMEN TOTAL'!P648</f>
        <v>0</v>
      </c>
      <c r="K607" s="70">
        <f>'RESUMEN TOTAL'!Q648</f>
        <v>0</v>
      </c>
      <c r="L607" s="70">
        <f>'RESUMEN TOTAL'!R648</f>
        <v>0</v>
      </c>
      <c r="M607" s="70">
        <f>'RESUMEN TOTAL'!S648</f>
        <v>0</v>
      </c>
      <c r="N607" s="70">
        <f>'RESUMEN TOTAL'!T648</f>
        <v>0</v>
      </c>
      <c r="O607" s="70">
        <f>'RESUMEN TOTAL'!U648</f>
        <v>0</v>
      </c>
      <c r="P607" s="70">
        <f>'RESUMEN TOTAL'!V648</f>
        <v>0</v>
      </c>
      <c r="Q607" s="70">
        <f>'RESUMEN TOTAL'!W648</f>
        <v>0</v>
      </c>
      <c r="R607" s="70">
        <f>'RESUMEN TOTAL'!X648</f>
        <v>0</v>
      </c>
      <c r="S607" s="70">
        <f>'RESUMEN TOTAL'!Y648</f>
        <v>0</v>
      </c>
      <c r="T607" s="70">
        <f>'RESUMEN TOTAL'!Z648</f>
        <v>0</v>
      </c>
      <c r="U607" s="70">
        <f>'RESUMEN TOTAL'!AA648</f>
        <v>0</v>
      </c>
      <c r="V607" s="70">
        <f>'RESUMEN TOTAL'!AB648</f>
        <v>0</v>
      </c>
      <c r="W607" s="70">
        <f>'RESUMEN TOTAL'!AC648</f>
        <v>0</v>
      </c>
      <c r="X607" s="70">
        <f>'RESUMEN TOTAL'!AD648</f>
        <v>0</v>
      </c>
      <c r="Y607" s="70">
        <f>'RESUMEN TOTAL'!AE648</f>
        <v>0</v>
      </c>
      <c r="Z607" s="70">
        <f>'RESUMEN TOTAL'!AF648</f>
        <v>0</v>
      </c>
      <c r="AA607" s="70">
        <f>'RESUMEN TOTAL'!AG648</f>
        <v>0</v>
      </c>
      <c r="AB607" s="70">
        <f>'RESUMEN TOTAL'!AH648</f>
        <v>0</v>
      </c>
      <c r="AC607" s="70">
        <f>'RESUMEN TOTAL'!AI648</f>
        <v>0</v>
      </c>
      <c r="AD607" s="70">
        <f>'RESUMEN TOTAL'!AJ648</f>
        <v>0</v>
      </c>
      <c r="AE607" s="70">
        <f>'RESUMEN TOTAL'!AK648</f>
        <v>0</v>
      </c>
      <c r="AF607" s="70">
        <f>'RESUMEN TOTAL'!AL648</f>
        <v>0</v>
      </c>
      <c r="AG607" s="70">
        <f>'RESUMEN TOTAL'!AM648</f>
        <v>0</v>
      </c>
      <c r="AH607" s="70">
        <f>'RESUMEN TOTAL'!AN648</f>
        <v>0</v>
      </c>
      <c r="AI607" s="70">
        <f>'RESUMEN TOTAL'!AO648</f>
        <v>0</v>
      </c>
      <c r="AJ607" s="70">
        <f>'RESUMEN TOTAL'!AP648</f>
        <v>0</v>
      </c>
    </row>
    <row r="608" spans="1:36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0">
        <f>'RESUMEN TOTAL'!L649</f>
        <v>0</v>
      </c>
      <c r="G608" s="70">
        <f>'RESUMEN TOTAL'!M649</f>
        <v>0</v>
      </c>
      <c r="H608" s="70">
        <f>'RESUMEN TOTAL'!N649</f>
        <v>0</v>
      </c>
      <c r="I608" s="70">
        <f>'RESUMEN TOTAL'!O649</f>
        <v>0</v>
      </c>
      <c r="J608" s="70">
        <f>'RESUMEN TOTAL'!P649</f>
        <v>0</v>
      </c>
      <c r="K608" s="70">
        <f>'RESUMEN TOTAL'!Q649</f>
        <v>0</v>
      </c>
      <c r="L608" s="70">
        <f>'RESUMEN TOTAL'!R649</f>
        <v>0</v>
      </c>
      <c r="M608" s="70">
        <f>'RESUMEN TOTAL'!S649</f>
        <v>0</v>
      </c>
      <c r="N608" s="70">
        <f>'RESUMEN TOTAL'!T649</f>
        <v>0</v>
      </c>
      <c r="O608" s="70">
        <f>'RESUMEN TOTAL'!U649</f>
        <v>0</v>
      </c>
      <c r="P608" s="70">
        <f>'RESUMEN TOTAL'!V649</f>
        <v>0</v>
      </c>
      <c r="Q608" s="70">
        <f>'RESUMEN TOTAL'!W649</f>
        <v>0</v>
      </c>
      <c r="R608" s="70">
        <f>'RESUMEN TOTAL'!X649</f>
        <v>0</v>
      </c>
      <c r="S608" s="70">
        <f>'RESUMEN TOTAL'!Y649</f>
        <v>0</v>
      </c>
      <c r="T608" s="70">
        <f>'RESUMEN TOTAL'!Z649</f>
        <v>0</v>
      </c>
      <c r="U608" s="70">
        <f>'RESUMEN TOTAL'!AA649</f>
        <v>0</v>
      </c>
      <c r="V608" s="70">
        <f>'RESUMEN TOTAL'!AB649</f>
        <v>0</v>
      </c>
      <c r="W608" s="70">
        <f>'RESUMEN TOTAL'!AC649</f>
        <v>0</v>
      </c>
      <c r="X608" s="70">
        <f>'RESUMEN TOTAL'!AD649</f>
        <v>0</v>
      </c>
      <c r="Y608" s="70">
        <f>'RESUMEN TOTAL'!AE649</f>
        <v>0</v>
      </c>
      <c r="Z608" s="70">
        <f>'RESUMEN TOTAL'!AF649</f>
        <v>0</v>
      </c>
      <c r="AA608" s="70">
        <f>'RESUMEN TOTAL'!AG649</f>
        <v>0</v>
      </c>
      <c r="AB608" s="70">
        <f>'RESUMEN TOTAL'!AH649</f>
        <v>0</v>
      </c>
      <c r="AC608" s="70">
        <f>'RESUMEN TOTAL'!AI649</f>
        <v>0</v>
      </c>
      <c r="AD608" s="70">
        <f>'RESUMEN TOTAL'!AJ649</f>
        <v>0</v>
      </c>
      <c r="AE608" s="70">
        <f>'RESUMEN TOTAL'!AK649</f>
        <v>0</v>
      </c>
      <c r="AF608" s="70">
        <f>'RESUMEN TOTAL'!AL649</f>
        <v>0</v>
      </c>
      <c r="AG608" s="70">
        <f>'RESUMEN TOTAL'!AM649</f>
        <v>0</v>
      </c>
      <c r="AH608" s="70">
        <f>'RESUMEN TOTAL'!AN649</f>
        <v>0</v>
      </c>
      <c r="AI608" s="70">
        <f>'RESUMEN TOTAL'!AO649</f>
        <v>0</v>
      </c>
      <c r="AJ608" s="70">
        <f>'RESUMEN TOTAL'!AP649</f>
        <v>0</v>
      </c>
    </row>
    <row r="609" spans="1:36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0">
        <f>'RESUMEN TOTAL'!L650</f>
        <v>0</v>
      </c>
      <c r="G609" s="70">
        <f>'RESUMEN TOTAL'!M650</f>
        <v>0</v>
      </c>
      <c r="H609" s="70">
        <f>'RESUMEN TOTAL'!N650</f>
        <v>0</v>
      </c>
      <c r="I609" s="70">
        <f>'RESUMEN TOTAL'!O650</f>
        <v>0</v>
      </c>
      <c r="J609" s="70">
        <f>'RESUMEN TOTAL'!P650</f>
        <v>0</v>
      </c>
      <c r="K609" s="70">
        <f>'RESUMEN TOTAL'!Q650</f>
        <v>0</v>
      </c>
      <c r="L609" s="70">
        <f>'RESUMEN TOTAL'!R650</f>
        <v>0</v>
      </c>
      <c r="M609" s="70">
        <f>'RESUMEN TOTAL'!S650</f>
        <v>0</v>
      </c>
      <c r="N609" s="70">
        <f>'RESUMEN TOTAL'!T650</f>
        <v>0</v>
      </c>
      <c r="O609" s="70">
        <f>'RESUMEN TOTAL'!U650</f>
        <v>0</v>
      </c>
      <c r="P609" s="70">
        <f>'RESUMEN TOTAL'!V650</f>
        <v>0</v>
      </c>
      <c r="Q609" s="70">
        <f>'RESUMEN TOTAL'!W650</f>
        <v>0</v>
      </c>
      <c r="R609" s="70">
        <f>'RESUMEN TOTAL'!X650</f>
        <v>0</v>
      </c>
      <c r="S609" s="70">
        <f>'RESUMEN TOTAL'!Y650</f>
        <v>0</v>
      </c>
      <c r="T609" s="70">
        <f>'RESUMEN TOTAL'!Z650</f>
        <v>0</v>
      </c>
      <c r="U609" s="70">
        <f>'RESUMEN TOTAL'!AA650</f>
        <v>0</v>
      </c>
      <c r="V609" s="70">
        <f>'RESUMEN TOTAL'!AB650</f>
        <v>0</v>
      </c>
      <c r="W609" s="70">
        <f>'RESUMEN TOTAL'!AC650</f>
        <v>0</v>
      </c>
      <c r="X609" s="70">
        <f>'RESUMEN TOTAL'!AD650</f>
        <v>0</v>
      </c>
      <c r="Y609" s="70">
        <f>'RESUMEN TOTAL'!AE650</f>
        <v>0</v>
      </c>
      <c r="Z609" s="70">
        <f>'RESUMEN TOTAL'!AF650</f>
        <v>0</v>
      </c>
      <c r="AA609" s="70">
        <f>'RESUMEN TOTAL'!AG650</f>
        <v>0</v>
      </c>
      <c r="AB609" s="70">
        <f>'RESUMEN TOTAL'!AH650</f>
        <v>0</v>
      </c>
      <c r="AC609" s="70">
        <f>'RESUMEN TOTAL'!AI650</f>
        <v>0</v>
      </c>
      <c r="AD609" s="70">
        <f>'RESUMEN TOTAL'!AJ650</f>
        <v>0</v>
      </c>
      <c r="AE609" s="70">
        <f>'RESUMEN TOTAL'!AK650</f>
        <v>0</v>
      </c>
      <c r="AF609" s="70">
        <f>'RESUMEN TOTAL'!AL650</f>
        <v>0</v>
      </c>
      <c r="AG609" s="70">
        <f>'RESUMEN TOTAL'!AM650</f>
        <v>0</v>
      </c>
      <c r="AH609" s="70">
        <f>'RESUMEN TOTAL'!AN650</f>
        <v>0</v>
      </c>
      <c r="AI609" s="70">
        <f>'RESUMEN TOTAL'!AO650</f>
        <v>0</v>
      </c>
      <c r="AJ609" s="70">
        <f>'RESUMEN TOTAL'!AP650</f>
        <v>0</v>
      </c>
    </row>
    <row r="610" spans="1:36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0">
        <f>'RESUMEN TOTAL'!L651</f>
        <v>0</v>
      </c>
      <c r="G610" s="70">
        <f>'RESUMEN TOTAL'!M651</f>
        <v>0</v>
      </c>
      <c r="H610" s="70">
        <f>'RESUMEN TOTAL'!N651</f>
        <v>0</v>
      </c>
      <c r="I610" s="70">
        <f>'RESUMEN TOTAL'!O651</f>
        <v>0</v>
      </c>
      <c r="J610" s="70">
        <f>'RESUMEN TOTAL'!P651</f>
        <v>0</v>
      </c>
      <c r="K610" s="70">
        <f>'RESUMEN TOTAL'!Q651</f>
        <v>0</v>
      </c>
      <c r="L610" s="70">
        <f>'RESUMEN TOTAL'!R651</f>
        <v>0</v>
      </c>
      <c r="M610" s="70">
        <f>'RESUMEN TOTAL'!S651</f>
        <v>0</v>
      </c>
      <c r="N610" s="70">
        <f>'RESUMEN TOTAL'!T651</f>
        <v>0</v>
      </c>
      <c r="O610" s="70">
        <f>'RESUMEN TOTAL'!U651</f>
        <v>0</v>
      </c>
      <c r="P610" s="70">
        <f>'RESUMEN TOTAL'!V651</f>
        <v>0</v>
      </c>
      <c r="Q610" s="70">
        <f>'RESUMEN TOTAL'!W651</f>
        <v>0</v>
      </c>
      <c r="R610" s="70">
        <f>'RESUMEN TOTAL'!X651</f>
        <v>0</v>
      </c>
      <c r="S610" s="70">
        <f>'RESUMEN TOTAL'!Y651</f>
        <v>0</v>
      </c>
      <c r="T610" s="70">
        <f>'RESUMEN TOTAL'!Z651</f>
        <v>0</v>
      </c>
      <c r="U610" s="70">
        <f>'RESUMEN TOTAL'!AA651</f>
        <v>0</v>
      </c>
      <c r="V610" s="70">
        <f>'RESUMEN TOTAL'!AB651</f>
        <v>0</v>
      </c>
      <c r="W610" s="70">
        <f>'RESUMEN TOTAL'!AC651</f>
        <v>0</v>
      </c>
      <c r="X610" s="70">
        <f>'RESUMEN TOTAL'!AD651</f>
        <v>0</v>
      </c>
      <c r="Y610" s="70">
        <f>'RESUMEN TOTAL'!AE651</f>
        <v>0</v>
      </c>
      <c r="Z610" s="70">
        <f>'RESUMEN TOTAL'!AF651</f>
        <v>0</v>
      </c>
      <c r="AA610" s="70">
        <f>'RESUMEN TOTAL'!AG651</f>
        <v>0</v>
      </c>
      <c r="AB610" s="70">
        <f>'RESUMEN TOTAL'!AH651</f>
        <v>0</v>
      </c>
      <c r="AC610" s="70">
        <f>'RESUMEN TOTAL'!AI651</f>
        <v>0</v>
      </c>
      <c r="AD610" s="70">
        <f>'RESUMEN TOTAL'!AJ651</f>
        <v>0</v>
      </c>
      <c r="AE610" s="70">
        <f>'RESUMEN TOTAL'!AK651</f>
        <v>0</v>
      </c>
      <c r="AF610" s="70">
        <f>'RESUMEN TOTAL'!AL651</f>
        <v>0</v>
      </c>
      <c r="AG610" s="70">
        <f>'RESUMEN TOTAL'!AM651</f>
        <v>0</v>
      </c>
      <c r="AH610" s="70">
        <f>'RESUMEN TOTAL'!AN651</f>
        <v>0</v>
      </c>
      <c r="AI610" s="70">
        <f>'RESUMEN TOTAL'!AO651</f>
        <v>0</v>
      </c>
      <c r="AJ610" s="70">
        <f>'RESUMEN TOTAL'!AP651</f>
        <v>0</v>
      </c>
    </row>
    <row r="611" spans="1:36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0">
        <f>'RESUMEN TOTAL'!L652</f>
        <v>0</v>
      </c>
      <c r="G611" s="70">
        <f>'RESUMEN TOTAL'!M652</f>
        <v>0</v>
      </c>
      <c r="H611" s="70">
        <f>'RESUMEN TOTAL'!N652</f>
        <v>0</v>
      </c>
      <c r="I611" s="70">
        <f>'RESUMEN TOTAL'!O652</f>
        <v>0</v>
      </c>
      <c r="J611" s="70">
        <f>'RESUMEN TOTAL'!P652</f>
        <v>0</v>
      </c>
      <c r="K611" s="70">
        <f>'RESUMEN TOTAL'!Q652</f>
        <v>0</v>
      </c>
      <c r="L611" s="70">
        <f>'RESUMEN TOTAL'!R652</f>
        <v>0</v>
      </c>
      <c r="M611" s="70">
        <f>'RESUMEN TOTAL'!S652</f>
        <v>0</v>
      </c>
      <c r="N611" s="70">
        <f>'RESUMEN TOTAL'!T652</f>
        <v>0</v>
      </c>
      <c r="O611" s="70">
        <f>'RESUMEN TOTAL'!U652</f>
        <v>0</v>
      </c>
      <c r="P611" s="70">
        <f>'RESUMEN TOTAL'!V652</f>
        <v>0</v>
      </c>
      <c r="Q611" s="70">
        <f>'RESUMEN TOTAL'!W652</f>
        <v>0</v>
      </c>
      <c r="R611" s="70">
        <f>'RESUMEN TOTAL'!X652</f>
        <v>0</v>
      </c>
      <c r="S611" s="70">
        <f>'RESUMEN TOTAL'!Y652</f>
        <v>0</v>
      </c>
      <c r="T611" s="70">
        <f>'RESUMEN TOTAL'!Z652</f>
        <v>0</v>
      </c>
      <c r="U611" s="70">
        <f>'RESUMEN TOTAL'!AA652</f>
        <v>0</v>
      </c>
      <c r="V611" s="70">
        <f>'RESUMEN TOTAL'!AB652</f>
        <v>0</v>
      </c>
      <c r="W611" s="70">
        <f>'RESUMEN TOTAL'!AC652</f>
        <v>0</v>
      </c>
      <c r="X611" s="70">
        <f>'RESUMEN TOTAL'!AD652</f>
        <v>0</v>
      </c>
      <c r="Y611" s="70">
        <f>'RESUMEN TOTAL'!AE652</f>
        <v>0</v>
      </c>
      <c r="Z611" s="70">
        <f>'RESUMEN TOTAL'!AF652</f>
        <v>0</v>
      </c>
      <c r="AA611" s="70">
        <f>'RESUMEN TOTAL'!AG652</f>
        <v>0</v>
      </c>
      <c r="AB611" s="70">
        <f>'RESUMEN TOTAL'!AH652</f>
        <v>0</v>
      </c>
      <c r="AC611" s="70">
        <f>'RESUMEN TOTAL'!AI652</f>
        <v>0</v>
      </c>
      <c r="AD611" s="70">
        <f>'RESUMEN TOTAL'!AJ652</f>
        <v>0</v>
      </c>
      <c r="AE611" s="70">
        <f>'RESUMEN TOTAL'!AK652</f>
        <v>0</v>
      </c>
      <c r="AF611" s="70">
        <f>'RESUMEN TOTAL'!AL652</f>
        <v>0</v>
      </c>
      <c r="AG611" s="70">
        <f>'RESUMEN TOTAL'!AM652</f>
        <v>0</v>
      </c>
      <c r="AH611" s="70">
        <f>'RESUMEN TOTAL'!AN652</f>
        <v>0</v>
      </c>
      <c r="AI611" s="70">
        <f>'RESUMEN TOTAL'!AO652</f>
        <v>0</v>
      </c>
      <c r="AJ611" s="70">
        <f>'RESUMEN TOTAL'!AP652</f>
        <v>0</v>
      </c>
    </row>
    <row r="612" spans="1:36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0">
        <f>'RESUMEN TOTAL'!L653</f>
        <v>0</v>
      </c>
      <c r="G612" s="70">
        <f>'RESUMEN TOTAL'!M653</f>
        <v>0</v>
      </c>
      <c r="H612" s="70">
        <f>'RESUMEN TOTAL'!N653</f>
        <v>0</v>
      </c>
      <c r="I612" s="70">
        <f>'RESUMEN TOTAL'!O653</f>
        <v>0</v>
      </c>
      <c r="J612" s="70">
        <f>'RESUMEN TOTAL'!P653</f>
        <v>0</v>
      </c>
      <c r="K612" s="70">
        <f>'RESUMEN TOTAL'!Q653</f>
        <v>0</v>
      </c>
      <c r="L612" s="70">
        <f>'RESUMEN TOTAL'!R653</f>
        <v>0</v>
      </c>
      <c r="M612" s="70">
        <f>'RESUMEN TOTAL'!S653</f>
        <v>0</v>
      </c>
      <c r="N612" s="70">
        <f>'RESUMEN TOTAL'!T653</f>
        <v>0</v>
      </c>
      <c r="O612" s="70">
        <f>'RESUMEN TOTAL'!U653</f>
        <v>0</v>
      </c>
      <c r="P612" s="70">
        <f>'RESUMEN TOTAL'!V653</f>
        <v>0</v>
      </c>
      <c r="Q612" s="70">
        <f>'RESUMEN TOTAL'!W653</f>
        <v>0</v>
      </c>
      <c r="R612" s="70">
        <f>'RESUMEN TOTAL'!X653</f>
        <v>0</v>
      </c>
      <c r="S612" s="70">
        <f>'RESUMEN TOTAL'!Y653</f>
        <v>0</v>
      </c>
      <c r="T612" s="70">
        <f>'RESUMEN TOTAL'!Z653</f>
        <v>0</v>
      </c>
      <c r="U612" s="70">
        <f>'RESUMEN TOTAL'!AA653</f>
        <v>0</v>
      </c>
      <c r="V612" s="70">
        <f>'RESUMEN TOTAL'!AB653</f>
        <v>0</v>
      </c>
      <c r="W612" s="70">
        <f>'RESUMEN TOTAL'!AC653</f>
        <v>0</v>
      </c>
      <c r="X612" s="70">
        <f>'RESUMEN TOTAL'!AD653</f>
        <v>0</v>
      </c>
      <c r="Y612" s="70">
        <f>'RESUMEN TOTAL'!AE653</f>
        <v>0</v>
      </c>
      <c r="Z612" s="70">
        <f>'RESUMEN TOTAL'!AF653</f>
        <v>0</v>
      </c>
      <c r="AA612" s="70">
        <f>'RESUMEN TOTAL'!AG653</f>
        <v>0</v>
      </c>
      <c r="AB612" s="70">
        <f>'RESUMEN TOTAL'!AH653</f>
        <v>0</v>
      </c>
      <c r="AC612" s="70">
        <f>'RESUMEN TOTAL'!AI653</f>
        <v>0</v>
      </c>
      <c r="AD612" s="70">
        <f>'RESUMEN TOTAL'!AJ653</f>
        <v>0</v>
      </c>
      <c r="AE612" s="70">
        <f>'RESUMEN TOTAL'!AK653</f>
        <v>0</v>
      </c>
      <c r="AF612" s="70">
        <f>'RESUMEN TOTAL'!AL653</f>
        <v>0</v>
      </c>
      <c r="AG612" s="70">
        <f>'RESUMEN TOTAL'!AM653</f>
        <v>0</v>
      </c>
      <c r="AH612" s="70">
        <f>'RESUMEN TOTAL'!AN653</f>
        <v>0</v>
      </c>
      <c r="AI612" s="70">
        <f>'RESUMEN TOTAL'!AO653</f>
        <v>0</v>
      </c>
      <c r="AJ612" s="70">
        <f>'RESUMEN TOTAL'!AP653</f>
        <v>0</v>
      </c>
    </row>
    <row r="613" spans="1:36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0">
        <f>'RESUMEN TOTAL'!L654</f>
        <v>0</v>
      </c>
      <c r="G613" s="70">
        <f>'RESUMEN TOTAL'!M654</f>
        <v>0</v>
      </c>
      <c r="H613" s="70">
        <f>'RESUMEN TOTAL'!N654</f>
        <v>0</v>
      </c>
      <c r="I613" s="70">
        <f>'RESUMEN TOTAL'!O654</f>
        <v>0</v>
      </c>
      <c r="J613" s="70">
        <f>'RESUMEN TOTAL'!P654</f>
        <v>0</v>
      </c>
      <c r="K613" s="70">
        <f>'RESUMEN TOTAL'!Q654</f>
        <v>0</v>
      </c>
      <c r="L613" s="70">
        <f>'RESUMEN TOTAL'!R654</f>
        <v>0</v>
      </c>
      <c r="M613" s="70">
        <f>'RESUMEN TOTAL'!S654</f>
        <v>0</v>
      </c>
      <c r="N613" s="70">
        <f>'RESUMEN TOTAL'!T654</f>
        <v>0</v>
      </c>
      <c r="O613" s="70">
        <f>'RESUMEN TOTAL'!U654</f>
        <v>0</v>
      </c>
      <c r="P613" s="70">
        <f>'RESUMEN TOTAL'!V654</f>
        <v>0</v>
      </c>
      <c r="Q613" s="70">
        <f>'RESUMEN TOTAL'!W654</f>
        <v>0</v>
      </c>
      <c r="R613" s="70">
        <f>'RESUMEN TOTAL'!X654</f>
        <v>0</v>
      </c>
      <c r="S613" s="70">
        <f>'RESUMEN TOTAL'!Y654</f>
        <v>0</v>
      </c>
      <c r="T613" s="70">
        <f>'RESUMEN TOTAL'!Z654</f>
        <v>0</v>
      </c>
      <c r="U613" s="70">
        <f>'RESUMEN TOTAL'!AA654</f>
        <v>0</v>
      </c>
      <c r="V613" s="70">
        <f>'RESUMEN TOTAL'!AB654</f>
        <v>0</v>
      </c>
      <c r="W613" s="70">
        <f>'RESUMEN TOTAL'!AC654</f>
        <v>0</v>
      </c>
      <c r="X613" s="70">
        <f>'RESUMEN TOTAL'!AD654</f>
        <v>0</v>
      </c>
      <c r="Y613" s="70">
        <f>'RESUMEN TOTAL'!AE654</f>
        <v>0</v>
      </c>
      <c r="Z613" s="70">
        <f>'RESUMEN TOTAL'!AF654</f>
        <v>0</v>
      </c>
      <c r="AA613" s="70">
        <f>'RESUMEN TOTAL'!AG654</f>
        <v>0</v>
      </c>
      <c r="AB613" s="70">
        <f>'RESUMEN TOTAL'!AH654</f>
        <v>0</v>
      </c>
      <c r="AC613" s="70">
        <f>'RESUMEN TOTAL'!AI654</f>
        <v>0</v>
      </c>
      <c r="AD613" s="70">
        <f>'RESUMEN TOTAL'!AJ654</f>
        <v>0</v>
      </c>
      <c r="AE613" s="70">
        <f>'RESUMEN TOTAL'!AK654</f>
        <v>0</v>
      </c>
      <c r="AF613" s="70">
        <f>'RESUMEN TOTAL'!AL654</f>
        <v>0</v>
      </c>
      <c r="AG613" s="70">
        <f>'RESUMEN TOTAL'!AM654</f>
        <v>0</v>
      </c>
      <c r="AH613" s="70">
        <f>'RESUMEN TOTAL'!AN654</f>
        <v>0</v>
      </c>
      <c r="AI613" s="70">
        <f>'RESUMEN TOTAL'!AO654</f>
        <v>0</v>
      </c>
      <c r="AJ613" s="70">
        <f>'RESUMEN TOTAL'!AP654</f>
        <v>0</v>
      </c>
    </row>
    <row r="614" spans="1:36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0">
        <f>'RESUMEN TOTAL'!L655</f>
        <v>0</v>
      </c>
      <c r="G614" s="70">
        <f>'RESUMEN TOTAL'!M655</f>
        <v>0</v>
      </c>
      <c r="H614" s="70">
        <f>'RESUMEN TOTAL'!N655</f>
        <v>0</v>
      </c>
      <c r="I614" s="70">
        <f>'RESUMEN TOTAL'!O655</f>
        <v>0</v>
      </c>
      <c r="J614" s="70">
        <f>'RESUMEN TOTAL'!P655</f>
        <v>0</v>
      </c>
      <c r="K614" s="70">
        <f>'RESUMEN TOTAL'!Q655</f>
        <v>0</v>
      </c>
      <c r="L614" s="70">
        <f>'RESUMEN TOTAL'!R655</f>
        <v>0</v>
      </c>
      <c r="M614" s="70">
        <f>'RESUMEN TOTAL'!S655</f>
        <v>0</v>
      </c>
      <c r="N614" s="70">
        <f>'RESUMEN TOTAL'!T655</f>
        <v>0</v>
      </c>
      <c r="O614" s="70">
        <f>'RESUMEN TOTAL'!U655</f>
        <v>0</v>
      </c>
      <c r="P614" s="70">
        <f>'RESUMEN TOTAL'!V655</f>
        <v>0</v>
      </c>
      <c r="Q614" s="70">
        <f>'RESUMEN TOTAL'!W655</f>
        <v>0</v>
      </c>
      <c r="R614" s="70">
        <f>'RESUMEN TOTAL'!X655</f>
        <v>0</v>
      </c>
      <c r="S614" s="70">
        <f>'RESUMEN TOTAL'!Y655</f>
        <v>0</v>
      </c>
      <c r="T614" s="70">
        <f>'RESUMEN TOTAL'!Z655</f>
        <v>0</v>
      </c>
      <c r="U614" s="70">
        <f>'RESUMEN TOTAL'!AA655</f>
        <v>0</v>
      </c>
      <c r="V614" s="70">
        <f>'RESUMEN TOTAL'!AB655</f>
        <v>0</v>
      </c>
      <c r="W614" s="70">
        <f>'RESUMEN TOTAL'!AC655</f>
        <v>0</v>
      </c>
      <c r="X614" s="70">
        <f>'RESUMEN TOTAL'!AD655</f>
        <v>0</v>
      </c>
      <c r="Y614" s="70">
        <f>'RESUMEN TOTAL'!AE655</f>
        <v>0</v>
      </c>
      <c r="Z614" s="70">
        <f>'RESUMEN TOTAL'!AF655</f>
        <v>0</v>
      </c>
      <c r="AA614" s="70">
        <f>'RESUMEN TOTAL'!AG655</f>
        <v>0</v>
      </c>
      <c r="AB614" s="70">
        <f>'RESUMEN TOTAL'!AH655</f>
        <v>0</v>
      </c>
      <c r="AC614" s="70">
        <f>'RESUMEN TOTAL'!AI655</f>
        <v>0</v>
      </c>
      <c r="AD614" s="70">
        <f>'RESUMEN TOTAL'!AJ655</f>
        <v>0</v>
      </c>
      <c r="AE614" s="70">
        <f>'RESUMEN TOTAL'!AK655</f>
        <v>0</v>
      </c>
      <c r="AF614" s="70">
        <f>'RESUMEN TOTAL'!AL655</f>
        <v>0</v>
      </c>
      <c r="AG614" s="70">
        <f>'RESUMEN TOTAL'!AM655</f>
        <v>0</v>
      </c>
      <c r="AH614" s="70">
        <f>'RESUMEN TOTAL'!AN655</f>
        <v>0</v>
      </c>
      <c r="AI614" s="70">
        <f>'RESUMEN TOTAL'!AO655</f>
        <v>0</v>
      </c>
      <c r="AJ614" s="70">
        <f>'RESUMEN TOTAL'!AP655</f>
        <v>0</v>
      </c>
    </row>
    <row r="615" spans="1:36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0">
        <f>'RESUMEN TOTAL'!L656</f>
        <v>0</v>
      </c>
      <c r="G615" s="70">
        <f>'RESUMEN TOTAL'!M656</f>
        <v>0</v>
      </c>
      <c r="H615" s="70">
        <f>'RESUMEN TOTAL'!N656</f>
        <v>0</v>
      </c>
      <c r="I615" s="70">
        <f>'RESUMEN TOTAL'!O656</f>
        <v>0</v>
      </c>
      <c r="J615" s="70">
        <f>'RESUMEN TOTAL'!P656</f>
        <v>0</v>
      </c>
      <c r="K615" s="70">
        <f>'RESUMEN TOTAL'!Q656</f>
        <v>0</v>
      </c>
      <c r="L615" s="70">
        <f>'RESUMEN TOTAL'!R656</f>
        <v>0</v>
      </c>
      <c r="M615" s="70">
        <f>'RESUMEN TOTAL'!S656</f>
        <v>0</v>
      </c>
      <c r="N615" s="70">
        <f>'RESUMEN TOTAL'!T656</f>
        <v>0</v>
      </c>
      <c r="O615" s="70">
        <f>'RESUMEN TOTAL'!U656</f>
        <v>0</v>
      </c>
      <c r="P615" s="70">
        <f>'RESUMEN TOTAL'!V656</f>
        <v>0</v>
      </c>
      <c r="Q615" s="70">
        <f>'RESUMEN TOTAL'!W656</f>
        <v>0</v>
      </c>
      <c r="R615" s="70">
        <f>'RESUMEN TOTAL'!X656</f>
        <v>0</v>
      </c>
      <c r="S615" s="70">
        <f>'RESUMEN TOTAL'!Y656</f>
        <v>0</v>
      </c>
      <c r="T615" s="70">
        <f>'RESUMEN TOTAL'!Z656</f>
        <v>0</v>
      </c>
      <c r="U615" s="70">
        <f>'RESUMEN TOTAL'!AA656</f>
        <v>0</v>
      </c>
      <c r="V615" s="70">
        <f>'RESUMEN TOTAL'!AB656</f>
        <v>0</v>
      </c>
      <c r="W615" s="70">
        <f>'RESUMEN TOTAL'!AC656</f>
        <v>0</v>
      </c>
      <c r="X615" s="70">
        <f>'RESUMEN TOTAL'!AD656</f>
        <v>0</v>
      </c>
      <c r="Y615" s="70">
        <f>'RESUMEN TOTAL'!AE656</f>
        <v>0</v>
      </c>
      <c r="Z615" s="70">
        <f>'RESUMEN TOTAL'!AF656</f>
        <v>0</v>
      </c>
      <c r="AA615" s="70">
        <f>'RESUMEN TOTAL'!AG656</f>
        <v>0</v>
      </c>
      <c r="AB615" s="70">
        <f>'RESUMEN TOTAL'!AH656</f>
        <v>0</v>
      </c>
      <c r="AC615" s="70">
        <f>'RESUMEN TOTAL'!AI656</f>
        <v>0</v>
      </c>
      <c r="AD615" s="70">
        <f>'RESUMEN TOTAL'!AJ656</f>
        <v>0</v>
      </c>
      <c r="AE615" s="70">
        <f>'RESUMEN TOTAL'!AK656</f>
        <v>0</v>
      </c>
      <c r="AF615" s="70">
        <f>'RESUMEN TOTAL'!AL656</f>
        <v>0</v>
      </c>
      <c r="AG615" s="70">
        <f>'RESUMEN TOTAL'!AM656</f>
        <v>0</v>
      </c>
      <c r="AH615" s="70">
        <f>'RESUMEN TOTAL'!AN656</f>
        <v>0</v>
      </c>
      <c r="AI615" s="70">
        <f>'RESUMEN TOTAL'!AO656</f>
        <v>0</v>
      </c>
      <c r="AJ615" s="70">
        <f>'RESUMEN TOTAL'!AP656</f>
        <v>0</v>
      </c>
    </row>
    <row r="616" spans="1:36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0">
        <f>'RESUMEN TOTAL'!L657</f>
        <v>0</v>
      </c>
      <c r="G616" s="70">
        <f>'RESUMEN TOTAL'!M657</f>
        <v>0</v>
      </c>
      <c r="H616" s="70">
        <f>'RESUMEN TOTAL'!N657</f>
        <v>0</v>
      </c>
      <c r="I616" s="70">
        <f>'RESUMEN TOTAL'!O657</f>
        <v>0</v>
      </c>
      <c r="J616" s="70">
        <f>'RESUMEN TOTAL'!P657</f>
        <v>0</v>
      </c>
      <c r="K616" s="70">
        <f>'RESUMEN TOTAL'!Q657</f>
        <v>0</v>
      </c>
      <c r="L616" s="70">
        <f>'RESUMEN TOTAL'!R657</f>
        <v>0</v>
      </c>
      <c r="M616" s="70">
        <f>'RESUMEN TOTAL'!S657</f>
        <v>0</v>
      </c>
      <c r="N616" s="70">
        <f>'RESUMEN TOTAL'!T657</f>
        <v>0</v>
      </c>
      <c r="O616" s="70">
        <f>'RESUMEN TOTAL'!U657</f>
        <v>0</v>
      </c>
      <c r="P616" s="70">
        <f>'RESUMEN TOTAL'!V657</f>
        <v>0</v>
      </c>
      <c r="Q616" s="70">
        <f>'RESUMEN TOTAL'!W657</f>
        <v>0</v>
      </c>
      <c r="R616" s="70">
        <f>'RESUMEN TOTAL'!X657</f>
        <v>0</v>
      </c>
      <c r="S616" s="70">
        <f>'RESUMEN TOTAL'!Y657</f>
        <v>0</v>
      </c>
      <c r="T616" s="70">
        <f>'RESUMEN TOTAL'!Z657</f>
        <v>0</v>
      </c>
      <c r="U616" s="70">
        <f>'RESUMEN TOTAL'!AA657</f>
        <v>0</v>
      </c>
      <c r="V616" s="70">
        <f>'RESUMEN TOTAL'!AB657</f>
        <v>0</v>
      </c>
      <c r="W616" s="70">
        <f>'RESUMEN TOTAL'!AC657</f>
        <v>0</v>
      </c>
      <c r="X616" s="70">
        <f>'RESUMEN TOTAL'!AD657</f>
        <v>0</v>
      </c>
      <c r="Y616" s="70">
        <f>'RESUMEN TOTAL'!AE657</f>
        <v>0</v>
      </c>
      <c r="Z616" s="70">
        <f>'RESUMEN TOTAL'!AF657</f>
        <v>0</v>
      </c>
      <c r="AA616" s="70">
        <f>'RESUMEN TOTAL'!AG657</f>
        <v>0</v>
      </c>
      <c r="AB616" s="70">
        <f>'RESUMEN TOTAL'!AH657</f>
        <v>0</v>
      </c>
      <c r="AC616" s="70">
        <f>'RESUMEN TOTAL'!AI657</f>
        <v>0</v>
      </c>
      <c r="AD616" s="70">
        <f>'RESUMEN TOTAL'!AJ657</f>
        <v>0</v>
      </c>
      <c r="AE616" s="70">
        <f>'RESUMEN TOTAL'!AK657</f>
        <v>0</v>
      </c>
      <c r="AF616" s="70">
        <f>'RESUMEN TOTAL'!AL657</f>
        <v>0</v>
      </c>
      <c r="AG616" s="70">
        <f>'RESUMEN TOTAL'!AM657</f>
        <v>0</v>
      </c>
      <c r="AH616" s="70">
        <f>'RESUMEN TOTAL'!AN657</f>
        <v>0</v>
      </c>
      <c r="AI616" s="70">
        <f>'RESUMEN TOTAL'!AO657</f>
        <v>0</v>
      </c>
      <c r="AJ616" s="70">
        <f>'RESUMEN TOTAL'!AP657</f>
        <v>0</v>
      </c>
    </row>
    <row r="617" spans="1:36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0">
        <f>'RESUMEN TOTAL'!L658</f>
        <v>0</v>
      </c>
      <c r="G617" s="70">
        <f>'RESUMEN TOTAL'!M658</f>
        <v>0</v>
      </c>
      <c r="H617" s="70">
        <f>'RESUMEN TOTAL'!N658</f>
        <v>0</v>
      </c>
      <c r="I617" s="70">
        <f>'RESUMEN TOTAL'!O658</f>
        <v>0</v>
      </c>
      <c r="J617" s="70">
        <f>'RESUMEN TOTAL'!P658</f>
        <v>0</v>
      </c>
      <c r="K617" s="70">
        <f>'RESUMEN TOTAL'!Q658</f>
        <v>0</v>
      </c>
      <c r="L617" s="70">
        <f>'RESUMEN TOTAL'!R658</f>
        <v>0</v>
      </c>
      <c r="M617" s="70">
        <f>'RESUMEN TOTAL'!S658</f>
        <v>0</v>
      </c>
      <c r="N617" s="70">
        <f>'RESUMEN TOTAL'!T658</f>
        <v>0</v>
      </c>
      <c r="O617" s="70">
        <f>'RESUMEN TOTAL'!U658</f>
        <v>0</v>
      </c>
      <c r="P617" s="70">
        <f>'RESUMEN TOTAL'!V658</f>
        <v>0</v>
      </c>
      <c r="Q617" s="70">
        <f>'RESUMEN TOTAL'!W658</f>
        <v>0</v>
      </c>
      <c r="R617" s="70">
        <f>'RESUMEN TOTAL'!X658</f>
        <v>0</v>
      </c>
      <c r="S617" s="70">
        <f>'RESUMEN TOTAL'!Y658</f>
        <v>0</v>
      </c>
      <c r="T617" s="70">
        <f>'RESUMEN TOTAL'!Z658</f>
        <v>0</v>
      </c>
      <c r="U617" s="70">
        <f>'RESUMEN TOTAL'!AA658</f>
        <v>0</v>
      </c>
      <c r="V617" s="70">
        <f>'RESUMEN TOTAL'!AB658</f>
        <v>0</v>
      </c>
      <c r="W617" s="70">
        <f>'RESUMEN TOTAL'!AC658</f>
        <v>0</v>
      </c>
      <c r="X617" s="70">
        <f>'RESUMEN TOTAL'!AD658</f>
        <v>0</v>
      </c>
      <c r="Y617" s="70">
        <f>'RESUMEN TOTAL'!AE658</f>
        <v>0</v>
      </c>
      <c r="Z617" s="70">
        <f>'RESUMEN TOTAL'!AF658</f>
        <v>0</v>
      </c>
      <c r="AA617" s="70">
        <f>'RESUMEN TOTAL'!AG658</f>
        <v>0</v>
      </c>
      <c r="AB617" s="70">
        <f>'RESUMEN TOTAL'!AH658</f>
        <v>0</v>
      </c>
      <c r="AC617" s="70">
        <f>'RESUMEN TOTAL'!AI658</f>
        <v>0</v>
      </c>
      <c r="AD617" s="70">
        <f>'RESUMEN TOTAL'!AJ658</f>
        <v>0</v>
      </c>
      <c r="AE617" s="70">
        <f>'RESUMEN TOTAL'!AK658</f>
        <v>0</v>
      </c>
      <c r="AF617" s="70">
        <f>'RESUMEN TOTAL'!AL658</f>
        <v>0</v>
      </c>
      <c r="AG617" s="70">
        <f>'RESUMEN TOTAL'!AM658</f>
        <v>0</v>
      </c>
      <c r="AH617" s="70">
        <f>'RESUMEN TOTAL'!AN658</f>
        <v>0</v>
      </c>
      <c r="AI617" s="70">
        <f>'RESUMEN TOTAL'!AO658</f>
        <v>0</v>
      </c>
      <c r="AJ617" s="70">
        <f>'RESUMEN TOTAL'!AP658</f>
        <v>0</v>
      </c>
    </row>
    <row r="618" spans="1:36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0">
        <f>'RESUMEN TOTAL'!L659</f>
        <v>0</v>
      </c>
      <c r="G618" s="70">
        <f>'RESUMEN TOTAL'!M659</f>
        <v>0</v>
      </c>
      <c r="H618" s="70">
        <f>'RESUMEN TOTAL'!N659</f>
        <v>0</v>
      </c>
      <c r="I618" s="70">
        <f>'RESUMEN TOTAL'!O659</f>
        <v>0</v>
      </c>
      <c r="J618" s="70">
        <f>'RESUMEN TOTAL'!P659</f>
        <v>0</v>
      </c>
      <c r="K618" s="70">
        <f>'RESUMEN TOTAL'!Q659</f>
        <v>0</v>
      </c>
      <c r="L618" s="70">
        <f>'RESUMEN TOTAL'!R659</f>
        <v>0</v>
      </c>
      <c r="M618" s="70">
        <f>'RESUMEN TOTAL'!S659</f>
        <v>0</v>
      </c>
      <c r="N618" s="70">
        <f>'RESUMEN TOTAL'!T659</f>
        <v>0</v>
      </c>
      <c r="O618" s="70">
        <f>'RESUMEN TOTAL'!U659</f>
        <v>0</v>
      </c>
      <c r="P618" s="70">
        <f>'RESUMEN TOTAL'!V659</f>
        <v>0</v>
      </c>
      <c r="Q618" s="70">
        <f>'RESUMEN TOTAL'!W659</f>
        <v>0</v>
      </c>
      <c r="R618" s="70">
        <f>'RESUMEN TOTAL'!X659</f>
        <v>0</v>
      </c>
      <c r="S618" s="70">
        <f>'RESUMEN TOTAL'!Y659</f>
        <v>0</v>
      </c>
      <c r="T618" s="70">
        <f>'RESUMEN TOTAL'!Z659</f>
        <v>0</v>
      </c>
      <c r="U618" s="70">
        <f>'RESUMEN TOTAL'!AA659</f>
        <v>0</v>
      </c>
      <c r="V618" s="70">
        <f>'RESUMEN TOTAL'!AB659</f>
        <v>0</v>
      </c>
      <c r="W618" s="70">
        <f>'RESUMEN TOTAL'!AC659</f>
        <v>0</v>
      </c>
      <c r="X618" s="70">
        <f>'RESUMEN TOTAL'!AD659</f>
        <v>0</v>
      </c>
      <c r="Y618" s="70">
        <f>'RESUMEN TOTAL'!AE659</f>
        <v>0</v>
      </c>
      <c r="Z618" s="70">
        <f>'RESUMEN TOTAL'!AF659</f>
        <v>0</v>
      </c>
      <c r="AA618" s="70">
        <f>'RESUMEN TOTAL'!AG659</f>
        <v>0</v>
      </c>
      <c r="AB618" s="70">
        <f>'RESUMEN TOTAL'!AH659</f>
        <v>0</v>
      </c>
      <c r="AC618" s="70">
        <f>'RESUMEN TOTAL'!AI659</f>
        <v>0</v>
      </c>
      <c r="AD618" s="70">
        <f>'RESUMEN TOTAL'!AJ659</f>
        <v>0</v>
      </c>
      <c r="AE618" s="70">
        <f>'RESUMEN TOTAL'!AK659</f>
        <v>0</v>
      </c>
      <c r="AF618" s="70">
        <f>'RESUMEN TOTAL'!AL659</f>
        <v>0</v>
      </c>
      <c r="AG618" s="70">
        <f>'RESUMEN TOTAL'!AM659</f>
        <v>0</v>
      </c>
      <c r="AH618" s="70">
        <f>'RESUMEN TOTAL'!AN659</f>
        <v>0</v>
      </c>
      <c r="AI618" s="70">
        <f>'RESUMEN TOTAL'!AO659</f>
        <v>0</v>
      </c>
      <c r="AJ618" s="70">
        <f>'RESUMEN TOTAL'!AP659</f>
        <v>0</v>
      </c>
    </row>
    <row r="619" spans="1:36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0">
        <f>'RESUMEN TOTAL'!L660</f>
        <v>0</v>
      </c>
      <c r="G619" s="70">
        <f>'RESUMEN TOTAL'!M660</f>
        <v>0</v>
      </c>
      <c r="H619" s="70">
        <f>'RESUMEN TOTAL'!N660</f>
        <v>0</v>
      </c>
      <c r="I619" s="70">
        <f>'RESUMEN TOTAL'!O660</f>
        <v>0</v>
      </c>
      <c r="J619" s="70">
        <f>'RESUMEN TOTAL'!P660</f>
        <v>0</v>
      </c>
      <c r="K619" s="70">
        <f>'RESUMEN TOTAL'!Q660</f>
        <v>0</v>
      </c>
      <c r="L619" s="70">
        <f>'RESUMEN TOTAL'!R660</f>
        <v>0</v>
      </c>
      <c r="M619" s="70">
        <f>'RESUMEN TOTAL'!S660</f>
        <v>0</v>
      </c>
      <c r="N619" s="70">
        <f>'RESUMEN TOTAL'!T660</f>
        <v>0</v>
      </c>
      <c r="O619" s="70">
        <f>'RESUMEN TOTAL'!U660</f>
        <v>0</v>
      </c>
      <c r="P619" s="70">
        <f>'RESUMEN TOTAL'!V660</f>
        <v>0</v>
      </c>
      <c r="Q619" s="70">
        <f>'RESUMEN TOTAL'!W660</f>
        <v>0</v>
      </c>
      <c r="R619" s="70">
        <f>'RESUMEN TOTAL'!X660</f>
        <v>0</v>
      </c>
      <c r="S619" s="70">
        <f>'RESUMEN TOTAL'!Y660</f>
        <v>0</v>
      </c>
      <c r="T619" s="70">
        <f>'RESUMEN TOTAL'!Z660</f>
        <v>0</v>
      </c>
      <c r="U619" s="70">
        <f>'RESUMEN TOTAL'!AA660</f>
        <v>0</v>
      </c>
      <c r="V619" s="70">
        <f>'RESUMEN TOTAL'!AB660</f>
        <v>0</v>
      </c>
      <c r="W619" s="70">
        <f>'RESUMEN TOTAL'!AC660</f>
        <v>0</v>
      </c>
      <c r="X619" s="70">
        <f>'RESUMEN TOTAL'!AD660</f>
        <v>0</v>
      </c>
      <c r="Y619" s="70">
        <f>'RESUMEN TOTAL'!AE660</f>
        <v>0</v>
      </c>
      <c r="Z619" s="70">
        <f>'RESUMEN TOTAL'!AF660</f>
        <v>0</v>
      </c>
      <c r="AA619" s="70">
        <f>'RESUMEN TOTAL'!AG660</f>
        <v>0</v>
      </c>
      <c r="AB619" s="70">
        <f>'RESUMEN TOTAL'!AH660</f>
        <v>0</v>
      </c>
      <c r="AC619" s="70">
        <f>'RESUMEN TOTAL'!AI660</f>
        <v>0</v>
      </c>
      <c r="AD619" s="70">
        <f>'RESUMEN TOTAL'!AJ660</f>
        <v>0</v>
      </c>
      <c r="AE619" s="70">
        <f>'RESUMEN TOTAL'!AK660</f>
        <v>0</v>
      </c>
      <c r="AF619" s="70">
        <f>'RESUMEN TOTAL'!AL660</f>
        <v>0</v>
      </c>
      <c r="AG619" s="70">
        <f>'RESUMEN TOTAL'!AM660</f>
        <v>0</v>
      </c>
      <c r="AH619" s="70">
        <f>'RESUMEN TOTAL'!AN660</f>
        <v>0</v>
      </c>
      <c r="AI619" s="70">
        <f>'RESUMEN TOTAL'!AO660</f>
        <v>0</v>
      </c>
      <c r="AJ619" s="70">
        <f>'RESUMEN TOTAL'!AP660</f>
        <v>0</v>
      </c>
    </row>
    <row r="620" spans="1:36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0">
        <f>'RESUMEN TOTAL'!L661</f>
        <v>0</v>
      </c>
      <c r="G620" s="70">
        <f>'RESUMEN TOTAL'!M661</f>
        <v>0</v>
      </c>
      <c r="H620" s="70">
        <f>'RESUMEN TOTAL'!N661</f>
        <v>0</v>
      </c>
      <c r="I620" s="70">
        <f>'RESUMEN TOTAL'!O661</f>
        <v>0</v>
      </c>
      <c r="J620" s="70">
        <f>'RESUMEN TOTAL'!P661</f>
        <v>0</v>
      </c>
      <c r="K620" s="70">
        <f>'RESUMEN TOTAL'!Q661</f>
        <v>0</v>
      </c>
      <c r="L620" s="70">
        <f>'RESUMEN TOTAL'!R661</f>
        <v>0</v>
      </c>
      <c r="M620" s="70">
        <f>'RESUMEN TOTAL'!S661</f>
        <v>0</v>
      </c>
      <c r="N620" s="70">
        <f>'RESUMEN TOTAL'!T661</f>
        <v>0</v>
      </c>
      <c r="O620" s="70">
        <f>'RESUMEN TOTAL'!U661</f>
        <v>0</v>
      </c>
      <c r="P620" s="70">
        <f>'RESUMEN TOTAL'!V661</f>
        <v>0</v>
      </c>
      <c r="Q620" s="70">
        <f>'RESUMEN TOTAL'!W661</f>
        <v>0</v>
      </c>
      <c r="R620" s="70">
        <f>'RESUMEN TOTAL'!X661</f>
        <v>0</v>
      </c>
      <c r="S620" s="70">
        <f>'RESUMEN TOTAL'!Y661</f>
        <v>0</v>
      </c>
      <c r="T620" s="70">
        <f>'RESUMEN TOTAL'!Z661</f>
        <v>0</v>
      </c>
      <c r="U620" s="70">
        <f>'RESUMEN TOTAL'!AA661</f>
        <v>0</v>
      </c>
      <c r="V620" s="70">
        <f>'RESUMEN TOTAL'!AB661</f>
        <v>0</v>
      </c>
      <c r="W620" s="70">
        <f>'RESUMEN TOTAL'!AC661</f>
        <v>0</v>
      </c>
      <c r="X620" s="70">
        <f>'RESUMEN TOTAL'!AD661</f>
        <v>0</v>
      </c>
      <c r="Y620" s="70">
        <f>'RESUMEN TOTAL'!AE661</f>
        <v>0</v>
      </c>
      <c r="Z620" s="70">
        <f>'RESUMEN TOTAL'!AF661</f>
        <v>0</v>
      </c>
      <c r="AA620" s="70">
        <f>'RESUMEN TOTAL'!AG661</f>
        <v>0</v>
      </c>
      <c r="AB620" s="70">
        <f>'RESUMEN TOTAL'!AH661</f>
        <v>0</v>
      </c>
      <c r="AC620" s="70">
        <f>'RESUMEN TOTAL'!AI661</f>
        <v>0</v>
      </c>
      <c r="AD620" s="70">
        <f>'RESUMEN TOTAL'!AJ661</f>
        <v>0</v>
      </c>
      <c r="AE620" s="70">
        <f>'RESUMEN TOTAL'!AK661</f>
        <v>0</v>
      </c>
      <c r="AF620" s="70">
        <f>'RESUMEN TOTAL'!AL661</f>
        <v>0</v>
      </c>
      <c r="AG620" s="70">
        <f>'RESUMEN TOTAL'!AM661</f>
        <v>0</v>
      </c>
      <c r="AH620" s="70">
        <f>'RESUMEN TOTAL'!AN661</f>
        <v>0</v>
      </c>
      <c r="AI620" s="70">
        <f>'RESUMEN TOTAL'!AO661</f>
        <v>0</v>
      </c>
      <c r="AJ620" s="70">
        <f>'RESUMEN TOTAL'!AP661</f>
        <v>0</v>
      </c>
    </row>
    <row r="621" spans="1:36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0">
        <f>'RESUMEN TOTAL'!L662</f>
        <v>0</v>
      </c>
      <c r="G621" s="70">
        <f>'RESUMEN TOTAL'!M662</f>
        <v>0</v>
      </c>
      <c r="H621" s="70">
        <f>'RESUMEN TOTAL'!N662</f>
        <v>0</v>
      </c>
      <c r="I621" s="70">
        <f>'RESUMEN TOTAL'!O662</f>
        <v>0</v>
      </c>
      <c r="J621" s="70">
        <f>'RESUMEN TOTAL'!P662</f>
        <v>0</v>
      </c>
      <c r="K621" s="70">
        <f>'RESUMEN TOTAL'!Q662</f>
        <v>0</v>
      </c>
      <c r="L621" s="70">
        <f>'RESUMEN TOTAL'!R662</f>
        <v>0</v>
      </c>
      <c r="M621" s="70">
        <f>'RESUMEN TOTAL'!S662</f>
        <v>0</v>
      </c>
      <c r="N621" s="70">
        <f>'RESUMEN TOTAL'!T662</f>
        <v>0</v>
      </c>
      <c r="O621" s="70">
        <f>'RESUMEN TOTAL'!U662</f>
        <v>0</v>
      </c>
      <c r="P621" s="70">
        <f>'RESUMEN TOTAL'!V662</f>
        <v>0</v>
      </c>
      <c r="Q621" s="70">
        <f>'RESUMEN TOTAL'!W662</f>
        <v>0</v>
      </c>
      <c r="R621" s="70">
        <f>'RESUMEN TOTAL'!X662</f>
        <v>0</v>
      </c>
      <c r="S621" s="70">
        <f>'RESUMEN TOTAL'!Y662</f>
        <v>0</v>
      </c>
      <c r="T621" s="70">
        <f>'RESUMEN TOTAL'!Z662</f>
        <v>0</v>
      </c>
      <c r="U621" s="70">
        <f>'RESUMEN TOTAL'!AA662</f>
        <v>0</v>
      </c>
      <c r="V621" s="70">
        <f>'RESUMEN TOTAL'!AB662</f>
        <v>0</v>
      </c>
      <c r="W621" s="70">
        <f>'RESUMEN TOTAL'!AC662</f>
        <v>0</v>
      </c>
      <c r="X621" s="70">
        <f>'RESUMEN TOTAL'!AD662</f>
        <v>0</v>
      </c>
      <c r="Y621" s="70">
        <f>'RESUMEN TOTAL'!AE662</f>
        <v>0</v>
      </c>
      <c r="Z621" s="70">
        <f>'RESUMEN TOTAL'!AF662</f>
        <v>0</v>
      </c>
      <c r="AA621" s="70">
        <f>'RESUMEN TOTAL'!AG662</f>
        <v>0</v>
      </c>
      <c r="AB621" s="70">
        <f>'RESUMEN TOTAL'!AH662</f>
        <v>0</v>
      </c>
      <c r="AC621" s="70">
        <f>'RESUMEN TOTAL'!AI662</f>
        <v>0</v>
      </c>
      <c r="AD621" s="70">
        <f>'RESUMEN TOTAL'!AJ662</f>
        <v>0</v>
      </c>
      <c r="AE621" s="70">
        <f>'RESUMEN TOTAL'!AK662</f>
        <v>0</v>
      </c>
      <c r="AF621" s="70">
        <f>'RESUMEN TOTAL'!AL662</f>
        <v>0</v>
      </c>
      <c r="AG621" s="70">
        <f>'RESUMEN TOTAL'!AM662</f>
        <v>0</v>
      </c>
      <c r="AH621" s="70">
        <f>'RESUMEN TOTAL'!AN662</f>
        <v>0</v>
      </c>
      <c r="AI621" s="70">
        <f>'RESUMEN TOTAL'!AO662</f>
        <v>0</v>
      </c>
      <c r="AJ621" s="70">
        <f>'RESUMEN TOTAL'!AP662</f>
        <v>0</v>
      </c>
    </row>
    <row r="622" spans="1:36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0">
        <f>'RESUMEN TOTAL'!L663</f>
        <v>0</v>
      </c>
      <c r="G622" s="70">
        <f>'RESUMEN TOTAL'!M663</f>
        <v>0</v>
      </c>
      <c r="H622" s="70">
        <f>'RESUMEN TOTAL'!N663</f>
        <v>0</v>
      </c>
      <c r="I622" s="70">
        <f>'RESUMEN TOTAL'!O663</f>
        <v>0</v>
      </c>
      <c r="J622" s="70">
        <f>'RESUMEN TOTAL'!P663</f>
        <v>0</v>
      </c>
      <c r="K622" s="70">
        <f>'RESUMEN TOTAL'!Q663</f>
        <v>0</v>
      </c>
      <c r="L622" s="70">
        <f>'RESUMEN TOTAL'!R663</f>
        <v>0</v>
      </c>
      <c r="M622" s="70">
        <f>'RESUMEN TOTAL'!S663</f>
        <v>0</v>
      </c>
      <c r="N622" s="70">
        <f>'RESUMEN TOTAL'!T663</f>
        <v>0</v>
      </c>
      <c r="O622" s="70">
        <f>'RESUMEN TOTAL'!U663</f>
        <v>0</v>
      </c>
      <c r="P622" s="70">
        <f>'RESUMEN TOTAL'!V663</f>
        <v>0</v>
      </c>
      <c r="Q622" s="70">
        <f>'RESUMEN TOTAL'!W663</f>
        <v>0</v>
      </c>
      <c r="R622" s="70">
        <f>'RESUMEN TOTAL'!X663</f>
        <v>0</v>
      </c>
      <c r="S622" s="70">
        <f>'RESUMEN TOTAL'!Y663</f>
        <v>0</v>
      </c>
      <c r="T622" s="70">
        <f>'RESUMEN TOTAL'!Z663</f>
        <v>0</v>
      </c>
      <c r="U622" s="70">
        <f>'RESUMEN TOTAL'!AA663</f>
        <v>0</v>
      </c>
      <c r="V622" s="70">
        <f>'RESUMEN TOTAL'!AB663</f>
        <v>0</v>
      </c>
      <c r="W622" s="70">
        <f>'RESUMEN TOTAL'!AC663</f>
        <v>0</v>
      </c>
      <c r="X622" s="70">
        <f>'RESUMEN TOTAL'!AD663</f>
        <v>0</v>
      </c>
      <c r="Y622" s="70">
        <f>'RESUMEN TOTAL'!AE663</f>
        <v>0</v>
      </c>
      <c r="Z622" s="70">
        <f>'RESUMEN TOTAL'!AF663</f>
        <v>0</v>
      </c>
      <c r="AA622" s="70">
        <f>'RESUMEN TOTAL'!AG663</f>
        <v>0</v>
      </c>
      <c r="AB622" s="70">
        <f>'RESUMEN TOTAL'!AH663</f>
        <v>0</v>
      </c>
      <c r="AC622" s="70">
        <f>'RESUMEN TOTAL'!AI663</f>
        <v>0</v>
      </c>
      <c r="AD622" s="70">
        <f>'RESUMEN TOTAL'!AJ663</f>
        <v>0</v>
      </c>
      <c r="AE622" s="70">
        <f>'RESUMEN TOTAL'!AK663</f>
        <v>0</v>
      </c>
      <c r="AF622" s="70">
        <f>'RESUMEN TOTAL'!AL663</f>
        <v>0</v>
      </c>
      <c r="AG622" s="70">
        <f>'RESUMEN TOTAL'!AM663</f>
        <v>0</v>
      </c>
      <c r="AH622" s="70">
        <f>'RESUMEN TOTAL'!AN663</f>
        <v>0</v>
      </c>
      <c r="AI622" s="70">
        <f>'RESUMEN TOTAL'!AO663</f>
        <v>0</v>
      </c>
      <c r="AJ622" s="70">
        <f>'RESUMEN TOTAL'!AP663</f>
        <v>0</v>
      </c>
    </row>
    <row r="623" spans="1:36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0">
        <f>'RESUMEN TOTAL'!L664</f>
        <v>0</v>
      </c>
      <c r="G623" s="70">
        <f>'RESUMEN TOTAL'!M664</f>
        <v>0</v>
      </c>
      <c r="H623" s="70">
        <f>'RESUMEN TOTAL'!N664</f>
        <v>0</v>
      </c>
      <c r="I623" s="70">
        <f>'RESUMEN TOTAL'!O664</f>
        <v>0</v>
      </c>
      <c r="J623" s="70">
        <f>'RESUMEN TOTAL'!P664</f>
        <v>0</v>
      </c>
      <c r="K623" s="70">
        <f>'RESUMEN TOTAL'!Q664</f>
        <v>0</v>
      </c>
      <c r="L623" s="70">
        <f>'RESUMEN TOTAL'!R664</f>
        <v>0</v>
      </c>
      <c r="M623" s="70">
        <f>'RESUMEN TOTAL'!S664</f>
        <v>0</v>
      </c>
      <c r="N623" s="70">
        <f>'RESUMEN TOTAL'!T664</f>
        <v>0</v>
      </c>
      <c r="O623" s="70">
        <f>'RESUMEN TOTAL'!U664</f>
        <v>0</v>
      </c>
      <c r="P623" s="70">
        <f>'RESUMEN TOTAL'!V664</f>
        <v>0</v>
      </c>
      <c r="Q623" s="70">
        <f>'RESUMEN TOTAL'!W664</f>
        <v>0</v>
      </c>
      <c r="R623" s="70">
        <f>'RESUMEN TOTAL'!X664</f>
        <v>0</v>
      </c>
      <c r="S623" s="70">
        <f>'RESUMEN TOTAL'!Y664</f>
        <v>0</v>
      </c>
      <c r="T623" s="70">
        <f>'RESUMEN TOTAL'!Z664</f>
        <v>0</v>
      </c>
      <c r="U623" s="70">
        <f>'RESUMEN TOTAL'!AA664</f>
        <v>0</v>
      </c>
      <c r="V623" s="70">
        <f>'RESUMEN TOTAL'!AB664</f>
        <v>0</v>
      </c>
      <c r="W623" s="70">
        <f>'RESUMEN TOTAL'!AC664</f>
        <v>0</v>
      </c>
      <c r="X623" s="70">
        <f>'RESUMEN TOTAL'!AD664</f>
        <v>0</v>
      </c>
      <c r="Y623" s="70">
        <f>'RESUMEN TOTAL'!AE664</f>
        <v>0</v>
      </c>
      <c r="Z623" s="70">
        <f>'RESUMEN TOTAL'!AF664</f>
        <v>0</v>
      </c>
      <c r="AA623" s="70">
        <f>'RESUMEN TOTAL'!AG664</f>
        <v>0</v>
      </c>
      <c r="AB623" s="70">
        <f>'RESUMEN TOTAL'!AH664</f>
        <v>0</v>
      </c>
      <c r="AC623" s="70">
        <f>'RESUMEN TOTAL'!AI664</f>
        <v>0</v>
      </c>
      <c r="AD623" s="70">
        <f>'RESUMEN TOTAL'!AJ664</f>
        <v>0</v>
      </c>
      <c r="AE623" s="70">
        <f>'RESUMEN TOTAL'!AK664</f>
        <v>0</v>
      </c>
      <c r="AF623" s="70">
        <f>'RESUMEN TOTAL'!AL664</f>
        <v>0</v>
      </c>
      <c r="AG623" s="70">
        <f>'RESUMEN TOTAL'!AM664</f>
        <v>0</v>
      </c>
      <c r="AH623" s="70">
        <f>'RESUMEN TOTAL'!AN664</f>
        <v>0</v>
      </c>
      <c r="AI623" s="70">
        <f>'RESUMEN TOTAL'!AO664</f>
        <v>0</v>
      </c>
      <c r="AJ623" s="70">
        <f>'RESUMEN TOTAL'!AP664</f>
        <v>0</v>
      </c>
    </row>
    <row r="624" spans="1:36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0">
        <f>'RESUMEN TOTAL'!L665</f>
        <v>0</v>
      </c>
      <c r="G624" s="70">
        <f>'RESUMEN TOTAL'!M665</f>
        <v>0</v>
      </c>
      <c r="H624" s="70">
        <f>'RESUMEN TOTAL'!N665</f>
        <v>0</v>
      </c>
      <c r="I624" s="70">
        <f>'RESUMEN TOTAL'!O665</f>
        <v>0</v>
      </c>
      <c r="J624" s="70">
        <f>'RESUMEN TOTAL'!P665</f>
        <v>0</v>
      </c>
      <c r="K624" s="70">
        <f>'RESUMEN TOTAL'!Q665</f>
        <v>0</v>
      </c>
      <c r="L624" s="70">
        <f>'RESUMEN TOTAL'!R665</f>
        <v>0</v>
      </c>
      <c r="M624" s="70">
        <f>'RESUMEN TOTAL'!S665</f>
        <v>0</v>
      </c>
      <c r="N624" s="70">
        <f>'RESUMEN TOTAL'!T665</f>
        <v>0</v>
      </c>
      <c r="O624" s="70">
        <f>'RESUMEN TOTAL'!U665</f>
        <v>0</v>
      </c>
      <c r="P624" s="70">
        <f>'RESUMEN TOTAL'!V665</f>
        <v>0</v>
      </c>
      <c r="Q624" s="70">
        <f>'RESUMEN TOTAL'!W665</f>
        <v>0</v>
      </c>
      <c r="R624" s="70">
        <f>'RESUMEN TOTAL'!X665</f>
        <v>0</v>
      </c>
      <c r="S624" s="70">
        <f>'RESUMEN TOTAL'!Y665</f>
        <v>0</v>
      </c>
      <c r="T624" s="70">
        <f>'RESUMEN TOTAL'!Z665</f>
        <v>0</v>
      </c>
      <c r="U624" s="70">
        <f>'RESUMEN TOTAL'!AA665</f>
        <v>0</v>
      </c>
      <c r="V624" s="70">
        <f>'RESUMEN TOTAL'!AB665</f>
        <v>0</v>
      </c>
      <c r="W624" s="70">
        <f>'RESUMEN TOTAL'!AC665</f>
        <v>0</v>
      </c>
      <c r="X624" s="70">
        <f>'RESUMEN TOTAL'!AD665</f>
        <v>0</v>
      </c>
      <c r="Y624" s="70">
        <f>'RESUMEN TOTAL'!AE665</f>
        <v>0</v>
      </c>
      <c r="Z624" s="70">
        <f>'RESUMEN TOTAL'!AF665</f>
        <v>0</v>
      </c>
      <c r="AA624" s="70">
        <f>'RESUMEN TOTAL'!AG665</f>
        <v>0</v>
      </c>
      <c r="AB624" s="70">
        <f>'RESUMEN TOTAL'!AH665</f>
        <v>0</v>
      </c>
      <c r="AC624" s="70">
        <f>'RESUMEN TOTAL'!AI665</f>
        <v>0</v>
      </c>
      <c r="AD624" s="70">
        <f>'RESUMEN TOTAL'!AJ665</f>
        <v>0</v>
      </c>
      <c r="AE624" s="70">
        <f>'RESUMEN TOTAL'!AK665</f>
        <v>0</v>
      </c>
      <c r="AF624" s="70">
        <f>'RESUMEN TOTAL'!AL665</f>
        <v>0</v>
      </c>
      <c r="AG624" s="70">
        <f>'RESUMEN TOTAL'!AM665</f>
        <v>0</v>
      </c>
      <c r="AH624" s="70">
        <f>'RESUMEN TOTAL'!AN665</f>
        <v>0</v>
      </c>
      <c r="AI624" s="70">
        <f>'RESUMEN TOTAL'!AO665</f>
        <v>0</v>
      </c>
      <c r="AJ624" s="70">
        <f>'RESUMEN TOTAL'!AP665</f>
        <v>0</v>
      </c>
    </row>
    <row r="625" spans="1:36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0">
        <f>'RESUMEN TOTAL'!L666</f>
        <v>0</v>
      </c>
      <c r="G625" s="70">
        <f>'RESUMEN TOTAL'!M666</f>
        <v>0</v>
      </c>
      <c r="H625" s="70">
        <f>'RESUMEN TOTAL'!N666</f>
        <v>0</v>
      </c>
      <c r="I625" s="70">
        <f>'RESUMEN TOTAL'!O666</f>
        <v>0</v>
      </c>
      <c r="J625" s="70">
        <f>'RESUMEN TOTAL'!P666</f>
        <v>0</v>
      </c>
      <c r="K625" s="70">
        <f>'RESUMEN TOTAL'!Q666</f>
        <v>0</v>
      </c>
      <c r="L625" s="70">
        <f>'RESUMEN TOTAL'!R666</f>
        <v>0</v>
      </c>
      <c r="M625" s="70">
        <f>'RESUMEN TOTAL'!S666</f>
        <v>0</v>
      </c>
      <c r="N625" s="70">
        <f>'RESUMEN TOTAL'!T666</f>
        <v>0</v>
      </c>
      <c r="O625" s="70">
        <f>'RESUMEN TOTAL'!U666</f>
        <v>0</v>
      </c>
      <c r="P625" s="70">
        <f>'RESUMEN TOTAL'!V666</f>
        <v>0</v>
      </c>
      <c r="Q625" s="70">
        <f>'RESUMEN TOTAL'!W666</f>
        <v>0</v>
      </c>
      <c r="R625" s="70">
        <f>'RESUMEN TOTAL'!X666</f>
        <v>0</v>
      </c>
      <c r="S625" s="70">
        <f>'RESUMEN TOTAL'!Y666</f>
        <v>0</v>
      </c>
      <c r="T625" s="70">
        <f>'RESUMEN TOTAL'!Z666</f>
        <v>0</v>
      </c>
      <c r="U625" s="70">
        <f>'RESUMEN TOTAL'!AA666</f>
        <v>0</v>
      </c>
      <c r="V625" s="70">
        <f>'RESUMEN TOTAL'!AB666</f>
        <v>0</v>
      </c>
      <c r="W625" s="70">
        <f>'RESUMEN TOTAL'!AC666</f>
        <v>0</v>
      </c>
      <c r="X625" s="70">
        <f>'RESUMEN TOTAL'!AD666</f>
        <v>0</v>
      </c>
      <c r="Y625" s="70">
        <f>'RESUMEN TOTAL'!AE666</f>
        <v>0</v>
      </c>
      <c r="Z625" s="70">
        <f>'RESUMEN TOTAL'!AF666</f>
        <v>0</v>
      </c>
      <c r="AA625" s="70">
        <f>'RESUMEN TOTAL'!AG666</f>
        <v>0</v>
      </c>
      <c r="AB625" s="70">
        <f>'RESUMEN TOTAL'!AH666</f>
        <v>0</v>
      </c>
      <c r="AC625" s="70">
        <f>'RESUMEN TOTAL'!AI666</f>
        <v>0</v>
      </c>
      <c r="AD625" s="70">
        <f>'RESUMEN TOTAL'!AJ666</f>
        <v>0</v>
      </c>
      <c r="AE625" s="70">
        <f>'RESUMEN TOTAL'!AK666</f>
        <v>0</v>
      </c>
      <c r="AF625" s="70">
        <f>'RESUMEN TOTAL'!AL666</f>
        <v>0</v>
      </c>
      <c r="AG625" s="70">
        <f>'RESUMEN TOTAL'!AM666</f>
        <v>0</v>
      </c>
      <c r="AH625" s="70">
        <f>'RESUMEN TOTAL'!AN666</f>
        <v>0</v>
      </c>
      <c r="AI625" s="70">
        <f>'RESUMEN TOTAL'!AO666</f>
        <v>0</v>
      </c>
      <c r="AJ625" s="70">
        <f>'RESUMEN TOTAL'!AP666</f>
        <v>0</v>
      </c>
    </row>
    <row r="626" spans="1:36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0">
        <f>'RESUMEN TOTAL'!L667</f>
        <v>0</v>
      </c>
      <c r="G626" s="70">
        <f>'RESUMEN TOTAL'!M667</f>
        <v>0</v>
      </c>
      <c r="H626" s="70">
        <f>'RESUMEN TOTAL'!N667</f>
        <v>0</v>
      </c>
      <c r="I626" s="70">
        <f>'RESUMEN TOTAL'!O667</f>
        <v>0</v>
      </c>
      <c r="J626" s="70">
        <f>'RESUMEN TOTAL'!P667</f>
        <v>0</v>
      </c>
      <c r="K626" s="70">
        <f>'RESUMEN TOTAL'!Q667</f>
        <v>0</v>
      </c>
      <c r="L626" s="70">
        <f>'RESUMEN TOTAL'!R667</f>
        <v>0</v>
      </c>
      <c r="M626" s="70">
        <f>'RESUMEN TOTAL'!S667</f>
        <v>0</v>
      </c>
      <c r="N626" s="70">
        <f>'RESUMEN TOTAL'!T667</f>
        <v>0</v>
      </c>
      <c r="O626" s="70">
        <f>'RESUMEN TOTAL'!U667</f>
        <v>0</v>
      </c>
      <c r="P626" s="70">
        <f>'RESUMEN TOTAL'!V667</f>
        <v>0</v>
      </c>
      <c r="Q626" s="70">
        <f>'RESUMEN TOTAL'!W667</f>
        <v>0</v>
      </c>
      <c r="R626" s="70">
        <f>'RESUMEN TOTAL'!X667</f>
        <v>0</v>
      </c>
      <c r="S626" s="70">
        <f>'RESUMEN TOTAL'!Y667</f>
        <v>0</v>
      </c>
      <c r="T626" s="70">
        <f>'RESUMEN TOTAL'!Z667</f>
        <v>0</v>
      </c>
      <c r="U626" s="70">
        <f>'RESUMEN TOTAL'!AA667</f>
        <v>0</v>
      </c>
      <c r="V626" s="70">
        <f>'RESUMEN TOTAL'!AB667</f>
        <v>0</v>
      </c>
      <c r="W626" s="70">
        <f>'RESUMEN TOTAL'!AC667</f>
        <v>0</v>
      </c>
      <c r="X626" s="70">
        <f>'RESUMEN TOTAL'!AD667</f>
        <v>0</v>
      </c>
      <c r="Y626" s="70">
        <f>'RESUMEN TOTAL'!AE667</f>
        <v>0</v>
      </c>
      <c r="Z626" s="70">
        <f>'RESUMEN TOTAL'!AF667</f>
        <v>0</v>
      </c>
      <c r="AA626" s="70">
        <f>'RESUMEN TOTAL'!AG667</f>
        <v>0</v>
      </c>
      <c r="AB626" s="70">
        <f>'RESUMEN TOTAL'!AH667</f>
        <v>0</v>
      </c>
      <c r="AC626" s="70">
        <f>'RESUMEN TOTAL'!AI667</f>
        <v>0</v>
      </c>
      <c r="AD626" s="70">
        <f>'RESUMEN TOTAL'!AJ667</f>
        <v>0</v>
      </c>
      <c r="AE626" s="70">
        <f>'RESUMEN TOTAL'!AK667</f>
        <v>0</v>
      </c>
      <c r="AF626" s="70">
        <f>'RESUMEN TOTAL'!AL667</f>
        <v>0</v>
      </c>
      <c r="AG626" s="70">
        <f>'RESUMEN TOTAL'!AM667</f>
        <v>0</v>
      </c>
      <c r="AH626" s="70">
        <f>'RESUMEN TOTAL'!AN667</f>
        <v>0</v>
      </c>
      <c r="AI626" s="70">
        <f>'RESUMEN TOTAL'!AO667</f>
        <v>0</v>
      </c>
      <c r="AJ626" s="70">
        <f>'RESUMEN TOTAL'!AP667</f>
        <v>0</v>
      </c>
    </row>
    <row r="627" spans="1:36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0">
        <f>'RESUMEN TOTAL'!L668</f>
        <v>0</v>
      </c>
      <c r="G627" s="70">
        <f>'RESUMEN TOTAL'!M668</f>
        <v>0</v>
      </c>
      <c r="H627" s="70">
        <f>'RESUMEN TOTAL'!N668</f>
        <v>0</v>
      </c>
      <c r="I627" s="70">
        <f>'RESUMEN TOTAL'!O668</f>
        <v>0</v>
      </c>
      <c r="J627" s="70">
        <f>'RESUMEN TOTAL'!P668</f>
        <v>0</v>
      </c>
      <c r="K627" s="70">
        <f>'RESUMEN TOTAL'!Q668</f>
        <v>0</v>
      </c>
      <c r="L627" s="70">
        <f>'RESUMEN TOTAL'!R668</f>
        <v>0</v>
      </c>
      <c r="M627" s="70">
        <f>'RESUMEN TOTAL'!S668</f>
        <v>0</v>
      </c>
      <c r="N627" s="70">
        <f>'RESUMEN TOTAL'!T668</f>
        <v>0</v>
      </c>
      <c r="O627" s="70">
        <f>'RESUMEN TOTAL'!U668</f>
        <v>0</v>
      </c>
      <c r="P627" s="70">
        <f>'RESUMEN TOTAL'!V668</f>
        <v>0</v>
      </c>
      <c r="Q627" s="70">
        <f>'RESUMEN TOTAL'!W668</f>
        <v>0</v>
      </c>
      <c r="R627" s="70">
        <f>'RESUMEN TOTAL'!X668</f>
        <v>0</v>
      </c>
      <c r="S627" s="70">
        <f>'RESUMEN TOTAL'!Y668</f>
        <v>0</v>
      </c>
      <c r="T627" s="70">
        <f>'RESUMEN TOTAL'!Z668</f>
        <v>0</v>
      </c>
      <c r="U627" s="70">
        <f>'RESUMEN TOTAL'!AA668</f>
        <v>0</v>
      </c>
      <c r="V627" s="70">
        <f>'RESUMEN TOTAL'!AB668</f>
        <v>0</v>
      </c>
      <c r="W627" s="70">
        <f>'RESUMEN TOTAL'!AC668</f>
        <v>0</v>
      </c>
      <c r="X627" s="70">
        <f>'RESUMEN TOTAL'!AD668</f>
        <v>0</v>
      </c>
      <c r="Y627" s="70">
        <f>'RESUMEN TOTAL'!AE668</f>
        <v>0</v>
      </c>
      <c r="Z627" s="70">
        <f>'RESUMEN TOTAL'!AF668</f>
        <v>0</v>
      </c>
      <c r="AA627" s="70">
        <f>'RESUMEN TOTAL'!AG668</f>
        <v>0</v>
      </c>
      <c r="AB627" s="70">
        <f>'RESUMEN TOTAL'!AH668</f>
        <v>0</v>
      </c>
      <c r="AC627" s="70">
        <f>'RESUMEN TOTAL'!AI668</f>
        <v>0</v>
      </c>
      <c r="AD627" s="70">
        <f>'RESUMEN TOTAL'!AJ668</f>
        <v>0</v>
      </c>
      <c r="AE627" s="70">
        <f>'RESUMEN TOTAL'!AK668</f>
        <v>0</v>
      </c>
      <c r="AF627" s="70">
        <f>'RESUMEN TOTAL'!AL668</f>
        <v>0</v>
      </c>
      <c r="AG627" s="70">
        <f>'RESUMEN TOTAL'!AM668</f>
        <v>0</v>
      </c>
      <c r="AH627" s="70">
        <f>'RESUMEN TOTAL'!AN668</f>
        <v>0</v>
      </c>
      <c r="AI627" s="70">
        <f>'RESUMEN TOTAL'!AO668</f>
        <v>0</v>
      </c>
      <c r="AJ627" s="70">
        <f>'RESUMEN TOTAL'!AP668</f>
        <v>0</v>
      </c>
    </row>
    <row r="628" spans="1:36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0">
        <f>'RESUMEN TOTAL'!L669</f>
        <v>0</v>
      </c>
      <c r="G628" s="70">
        <f>'RESUMEN TOTAL'!M669</f>
        <v>0</v>
      </c>
      <c r="H628" s="70">
        <f>'RESUMEN TOTAL'!N669</f>
        <v>0</v>
      </c>
      <c r="I628" s="70">
        <f>'RESUMEN TOTAL'!O669</f>
        <v>0</v>
      </c>
      <c r="J628" s="70">
        <f>'RESUMEN TOTAL'!P669</f>
        <v>0</v>
      </c>
      <c r="K628" s="70">
        <f>'RESUMEN TOTAL'!Q669</f>
        <v>0</v>
      </c>
      <c r="L628" s="70">
        <f>'RESUMEN TOTAL'!R669</f>
        <v>0</v>
      </c>
      <c r="M628" s="70">
        <f>'RESUMEN TOTAL'!S669</f>
        <v>0</v>
      </c>
      <c r="N628" s="70">
        <f>'RESUMEN TOTAL'!T669</f>
        <v>0</v>
      </c>
      <c r="O628" s="70">
        <f>'RESUMEN TOTAL'!U669</f>
        <v>0</v>
      </c>
      <c r="P628" s="70">
        <f>'RESUMEN TOTAL'!V669</f>
        <v>0</v>
      </c>
      <c r="Q628" s="70">
        <f>'RESUMEN TOTAL'!W669</f>
        <v>0</v>
      </c>
      <c r="R628" s="70">
        <f>'RESUMEN TOTAL'!X669</f>
        <v>0</v>
      </c>
      <c r="S628" s="70">
        <f>'RESUMEN TOTAL'!Y669</f>
        <v>0</v>
      </c>
      <c r="T628" s="70">
        <f>'RESUMEN TOTAL'!Z669</f>
        <v>0</v>
      </c>
      <c r="U628" s="70">
        <f>'RESUMEN TOTAL'!AA669</f>
        <v>0</v>
      </c>
      <c r="V628" s="70">
        <f>'RESUMEN TOTAL'!AB669</f>
        <v>0</v>
      </c>
      <c r="W628" s="70">
        <f>'RESUMEN TOTAL'!AC669</f>
        <v>0</v>
      </c>
      <c r="X628" s="70">
        <f>'RESUMEN TOTAL'!AD669</f>
        <v>0</v>
      </c>
      <c r="Y628" s="70">
        <f>'RESUMEN TOTAL'!AE669</f>
        <v>0</v>
      </c>
      <c r="Z628" s="70">
        <f>'RESUMEN TOTAL'!AF669</f>
        <v>0</v>
      </c>
      <c r="AA628" s="70">
        <f>'RESUMEN TOTAL'!AG669</f>
        <v>0</v>
      </c>
      <c r="AB628" s="70">
        <f>'RESUMEN TOTAL'!AH669</f>
        <v>0</v>
      </c>
      <c r="AC628" s="70">
        <f>'RESUMEN TOTAL'!AI669</f>
        <v>0</v>
      </c>
      <c r="AD628" s="70">
        <f>'RESUMEN TOTAL'!AJ669</f>
        <v>0</v>
      </c>
      <c r="AE628" s="70">
        <f>'RESUMEN TOTAL'!AK669</f>
        <v>0</v>
      </c>
      <c r="AF628" s="70">
        <f>'RESUMEN TOTAL'!AL669</f>
        <v>0</v>
      </c>
      <c r="AG628" s="70">
        <f>'RESUMEN TOTAL'!AM669</f>
        <v>0</v>
      </c>
      <c r="AH628" s="70">
        <f>'RESUMEN TOTAL'!AN669</f>
        <v>0</v>
      </c>
      <c r="AI628" s="70">
        <f>'RESUMEN TOTAL'!AO669</f>
        <v>0</v>
      </c>
      <c r="AJ628" s="70">
        <f>'RESUMEN TOTAL'!AP669</f>
        <v>0</v>
      </c>
    </row>
    <row r="629" spans="1:36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0">
        <f>'RESUMEN TOTAL'!L670</f>
        <v>0</v>
      </c>
      <c r="G629" s="70">
        <f>'RESUMEN TOTAL'!M670</f>
        <v>0</v>
      </c>
      <c r="H629" s="70">
        <f>'RESUMEN TOTAL'!N670</f>
        <v>0</v>
      </c>
      <c r="I629" s="70">
        <f>'RESUMEN TOTAL'!O670</f>
        <v>0</v>
      </c>
      <c r="J629" s="70">
        <f>'RESUMEN TOTAL'!P670</f>
        <v>0</v>
      </c>
      <c r="K629" s="70">
        <f>'RESUMEN TOTAL'!Q670</f>
        <v>0</v>
      </c>
      <c r="L629" s="70">
        <f>'RESUMEN TOTAL'!R670</f>
        <v>0</v>
      </c>
      <c r="M629" s="70">
        <f>'RESUMEN TOTAL'!S670</f>
        <v>0</v>
      </c>
      <c r="N629" s="70">
        <f>'RESUMEN TOTAL'!T670</f>
        <v>0</v>
      </c>
      <c r="O629" s="70">
        <f>'RESUMEN TOTAL'!U670</f>
        <v>0</v>
      </c>
      <c r="P629" s="70">
        <f>'RESUMEN TOTAL'!V670</f>
        <v>0</v>
      </c>
      <c r="Q629" s="70">
        <f>'RESUMEN TOTAL'!W670</f>
        <v>0</v>
      </c>
      <c r="R629" s="70">
        <f>'RESUMEN TOTAL'!X670</f>
        <v>0</v>
      </c>
      <c r="S629" s="70">
        <f>'RESUMEN TOTAL'!Y670</f>
        <v>0</v>
      </c>
      <c r="T629" s="70">
        <f>'RESUMEN TOTAL'!Z670</f>
        <v>0</v>
      </c>
      <c r="U629" s="70">
        <f>'RESUMEN TOTAL'!AA670</f>
        <v>0</v>
      </c>
      <c r="V629" s="70">
        <f>'RESUMEN TOTAL'!AB670</f>
        <v>0</v>
      </c>
      <c r="W629" s="70">
        <f>'RESUMEN TOTAL'!AC670</f>
        <v>0</v>
      </c>
      <c r="X629" s="70">
        <f>'RESUMEN TOTAL'!AD670</f>
        <v>0</v>
      </c>
      <c r="Y629" s="70">
        <f>'RESUMEN TOTAL'!AE670</f>
        <v>0</v>
      </c>
      <c r="Z629" s="70">
        <f>'RESUMEN TOTAL'!AF670</f>
        <v>0</v>
      </c>
      <c r="AA629" s="70">
        <f>'RESUMEN TOTAL'!AG670</f>
        <v>0</v>
      </c>
      <c r="AB629" s="70">
        <f>'RESUMEN TOTAL'!AH670</f>
        <v>0</v>
      </c>
      <c r="AC629" s="70">
        <f>'RESUMEN TOTAL'!AI670</f>
        <v>0</v>
      </c>
      <c r="AD629" s="70">
        <f>'RESUMEN TOTAL'!AJ670</f>
        <v>0</v>
      </c>
      <c r="AE629" s="70">
        <f>'RESUMEN TOTAL'!AK670</f>
        <v>0</v>
      </c>
      <c r="AF629" s="70">
        <f>'RESUMEN TOTAL'!AL670</f>
        <v>0</v>
      </c>
      <c r="AG629" s="70">
        <f>'RESUMEN TOTAL'!AM670</f>
        <v>0</v>
      </c>
      <c r="AH629" s="70">
        <f>'RESUMEN TOTAL'!AN670</f>
        <v>0</v>
      </c>
      <c r="AI629" s="70">
        <f>'RESUMEN TOTAL'!AO670</f>
        <v>0</v>
      </c>
      <c r="AJ629" s="70">
        <f>'RESUMEN TOTAL'!AP670</f>
        <v>0</v>
      </c>
    </row>
    <row r="630" spans="1:36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0">
        <f>'RESUMEN TOTAL'!L671</f>
        <v>0</v>
      </c>
      <c r="G630" s="70">
        <f>'RESUMEN TOTAL'!M671</f>
        <v>0</v>
      </c>
      <c r="H630" s="70">
        <f>'RESUMEN TOTAL'!N671</f>
        <v>0</v>
      </c>
      <c r="I630" s="70">
        <f>'RESUMEN TOTAL'!O671</f>
        <v>0</v>
      </c>
      <c r="J630" s="70">
        <f>'RESUMEN TOTAL'!P671</f>
        <v>0</v>
      </c>
      <c r="K630" s="70">
        <f>'RESUMEN TOTAL'!Q671</f>
        <v>0</v>
      </c>
      <c r="L630" s="70">
        <f>'RESUMEN TOTAL'!R671</f>
        <v>0</v>
      </c>
      <c r="M630" s="70">
        <f>'RESUMEN TOTAL'!S671</f>
        <v>0</v>
      </c>
      <c r="N630" s="70">
        <f>'RESUMEN TOTAL'!T671</f>
        <v>0</v>
      </c>
      <c r="O630" s="70">
        <f>'RESUMEN TOTAL'!U671</f>
        <v>0</v>
      </c>
      <c r="P630" s="70">
        <f>'RESUMEN TOTAL'!V671</f>
        <v>0</v>
      </c>
      <c r="Q630" s="70">
        <f>'RESUMEN TOTAL'!W671</f>
        <v>0</v>
      </c>
      <c r="R630" s="70">
        <f>'RESUMEN TOTAL'!X671</f>
        <v>0</v>
      </c>
      <c r="S630" s="70">
        <f>'RESUMEN TOTAL'!Y671</f>
        <v>0</v>
      </c>
      <c r="T630" s="70">
        <f>'RESUMEN TOTAL'!Z671</f>
        <v>0</v>
      </c>
      <c r="U630" s="70">
        <f>'RESUMEN TOTAL'!AA671</f>
        <v>0</v>
      </c>
      <c r="V630" s="70">
        <f>'RESUMEN TOTAL'!AB671</f>
        <v>0</v>
      </c>
      <c r="W630" s="70">
        <f>'RESUMEN TOTAL'!AC671</f>
        <v>0</v>
      </c>
      <c r="X630" s="70">
        <f>'RESUMEN TOTAL'!AD671</f>
        <v>0</v>
      </c>
      <c r="Y630" s="70">
        <f>'RESUMEN TOTAL'!AE671</f>
        <v>0</v>
      </c>
      <c r="Z630" s="70">
        <f>'RESUMEN TOTAL'!AF671</f>
        <v>0</v>
      </c>
      <c r="AA630" s="70">
        <f>'RESUMEN TOTAL'!AG671</f>
        <v>0</v>
      </c>
      <c r="AB630" s="70">
        <f>'RESUMEN TOTAL'!AH671</f>
        <v>0</v>
      </c>
      <c r="AC630" s="70">
        <f>'RESUMEN TOTAL'!AI671</f>
        <v>0</v>
      </c>
      <c r="AD630" s="70">
        <f>'RESUMEN TOTAL'!AJ671</f>
        <v>0</v>
      </c>
      <c r="AE630" s="70">
        <f>'RESUMEN TOTAL'!AK671</f>
        <v>0</v>
      </c>
      <c r="AF630" s="70">
        <f>'RESUMEN TOTAL'!AL671</f>
        <v>0</v>
      </c>
      <c r="AG630" s="70">
        <f>'RESUMEN TOTAL'!AM671</f>
        <v>0</v>
      </c>
      <c r="AH630" s="70">
        <f>'RESUMEN TOTAL'!AN671</f>
        <v>0</v>
      </c>
      <c r="AI630" s="70">
        <f>'RESUMEN TOTAL'!AO671</f>
        <v>0</v>
      </c>
      <c r="AJ630" s="70">
        <f>'RESUMEN TOTAL'!AP671</f>
        <v>0</v>
      </c>
    </row>
    <row r="631" spans="1:36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0">
        <f>'RESUMEN TOTAL'!L672</f>
        <v>0</v>
      </c>
      <c r="G631" s="70">
        <f>'RESUMEN TOTAL'!M672</f>
        <v>0</v>
      </c>
      <c r="H631" s="70">
        <f>'RESUMEN TOTAL'!N672</f>
        <v>0</v>
      </c>
      <c r="I631" s="70">
        <f>'RESUMEN TOTAL'!O672</f>
        <v>0</v>
      </c>
      <c r="J631" s="70">
        <f>'RESUMEN TOTAL'!P672</f>
        <v>0</v>
      </c>
      <c r="K631" s="70">
        <f>'RESUMEN TOTAL'!Q672</f>
        <v>0</v>
      </c>
      <c r="L631" s="70">
        <f>'RESUMEN TOTAL'!R672</f>
        <v>0</v>
      </c>
      <c r="M631" s="70">
        <f>'RESUMEN TOTAL'!S672</f>
        <v>0</v>
      </c>
      <c r="N631" s="70">
        <f>'RESUMEN TOTAL'!T672</f>
        <v>0</v>
      </c>
      <c r="O631" s="70">
        <f>'RESUMEN TOTAL'!U672</f>
        <v>0</v>
      </c>
      <c r="P631" s="70">
        <f>'RESUMEN TOTAL'!V672</f>
        <v>0</v>
      </c>
      <c r="Q631" s="70">
        <f>'RESUMEN TOTAL'!W672</f>
        <v>0</v>
      </c>
      <c r="R631" s="70">
        <f>'RESUMEN TOTAL'!X672</f>
        <v>0</v>
      </c>
      <c r="S631" s="70">
        <f>'RESUMEN TOTAL'!Y672</f>
        <v>0</v>
      </c>
      <c r="T631" s="70">
        <f>'RESUMEN TOTAL'!Z672</f>
        <v>0</v>
      </c>
      <c r="U631" s="70">
        <f>'RESUMEN TOTAL'!AA672</f>
        <v>0</v>
      </c>
      <c r="V631" s="70">
        <f>'RESUMEN TOTAL'!AB672</f>
        <v>0</v>
      </c>
      <c r="W631" s="70">
        <f>'RESUMEN TOTAL'!AC672</f>
        <v>0</v>
      </c>
      <c r="X631" s="70">
        <f>'RESUMEN TOTAL'!AD672</f>
        <v>0</v>
      </c>
      <c r="Y631" s="70">
        <f>'RESUMEN TOTAL'!AE672</f>
        <v>0</v>
      </c>
      <c r="Z631" s="70">
        <f>'RESUMEN TOTAL'!AF672</f>
        <v>0</v>
      </c>
      <c r="AA631" s="70">
        <f>'RESUMEN TOTAL'!AG672</f>
        <v>0</v>
      </c>
      <c r="AB631" s="70">
        <f>'RESUMEN TOTAL'!AH672</f>
        <v>0</v>
      </c>
      <c r="AC631" s="70">
        <f>'RESUMEN TOTAL'!AI672</f>
        <v>0</v>
      </c>
      <c r="AD631" s="70">
        <f>'RESUMEN TOTAL'!AJ672</f>
        <v>0</v>
      </c>
      <c r="AE631" s="70">
        <f>'RESUMEN TOTAL'!AK672</f>
        <v>0</v>
      </c>
      <c r="AF631" s="70">
        <f>'RESUMEN TOTAL'!AL672</f>
        <v>0</v>
      </c>
      <c r="AG631" s="70">
        <f>'RESUMEN TOTAL'!AM672</f>
        <v>0</v>
      </c>
      <c r="AH631" s="70">
        <f>'RESUMEN TOTAL'!AN672</f>
        <v>0</v>
      </c>
      <c r="AI631" s="70">
        <f>'RESUMEN TOTAL'!AO672</f>
        <v>0</v>
      </c>
      <c r="AJ631" s="70">
        <f>'RESUMEN TOTAL'!AP672</f>
        <v>0</v>
      </c>
    </row>
    <row r="632" spans="1:36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0">
        <f>'RESUMEN TOTAL'!L673</f>
        <v>0</v>
      </c>
      <c r="G632" s="70">
        <f>'RESUMEN TOTAL'!M673</f>
        <v>0</v>
      </c>
      <c r="H632" s="70">
        <f>'RESUMEN TOTAL'!N673</f>
        <v>0</v>
      </c>
      <c r="I632" s="70">
        <f>'RESUMEN TOTAL'!O673</f>
        <v>0</v>
      </c>
      <c r="J632" s="70">
        <f>'RESUMEN TOTAL'!P673</f>
        <v>0</v>
      </c>
      <c r="K632" s="70">
        <f>'RESUMEN TOTAL'!Q673</f>
        <v>0</v>
      </c>
      <c r="L632" s="70">
        <f>'RESUMEN TOTAL'!R673</f>
        <v>0</v>
      </c>
      <c r="M632" s="70">
        <f>'RESUMEN TOTAL'!S673</f>
        <v>0</v>
      </c>
      <c r="N632" s="70">
        <f>'RESUMEN TOTAL'!T673</f>
        <v>0</v>
      </c>
      <c r="O632" s="70">
        <f>'RESUMEN TOTAL'!U673</f>
        <v>0</v>
      </c>
      <c r="P632" s="70">
        <f>'RESUMEN TOTAL'!V673</f>
        <v>0</v>
      </c>
      <c r="Q632" s="70">
        <f>'RESUMEN TOTAL'!W673</f>
        <v>0</v>
      </c>
      <c r="R632" s="70">
        <f>'RESUMEN TOTAL'!X673</f>
        <v>0</v>
      </c>
      <c r="S632" s="70">
        <f>'RESUMEN TOTAL'!Y673</f>
        <v>0</v>
      </c>
      <c r="T632" s="70">
        <f>'RESUMEN TOTAL'!Z673</f>
        <v>0</v>
      </c>
      <c r="U632" s="70">
        <f>'RESUMEN TOTAL'!AA673</f>
        <v>0</v>
      </c>
      <c r="V632" s="70">
        <f>'RESUMEN TOTAL'!AB673</f>
        <v>0</v>
      </c>
      <c r="W632" s="70">
        <f>'RESUMEN TOTAL'!AC673</f>
        <v>0</v>
      </c>
      <c r="X632" s="70">
        <f>'RESUMEN TOTAL'!AD673</f>
        <v>0</v>
      </c>
      <c r="Y632" s="70">
        <f>'RESUMEN TOTAL'!AE673</f>
        <v>0</v>
      </c>
      <c r="Z632" s="70">
        <f>'RESUMEN TOTAL'!AF673</f>
        <v>0</v>
      </c>
      <c r="AA632" s="70">
        <f>'RESUMEN TOTAL'!AG673</f>
        <v>0</v>
      </c>
      <c r="AB632" s="70">
        <f>'RESUMEN TOTAL'!AH673</f>
        <v>0</v>
      </c>
      <c r="AC632" s="70">
        <f>'RESUMEN TOTAL'!AI673</f>
        <v>0</v>
      </c>
      <c r="AD632" s="70">
        <f>'RESUMEN TOTAL'!AJ673</f>
        <v>0</v>
      </c>
      <c r="AE632" s="70">
        <f>'RESUMEN TOTAL'!AK673</f>
        <v>0</v>
      </c>
      <c r="AF632" s="70">
        <f>'RESUMEN TOTAL'!AL673</f>
        <v>0</v>
      </c>
      <c r="AG632" s="70">
        <f>'RESUMEN TOTAL'!AM673</f>
        <v>0</v>
      </c>
      <c r="AH632" s="70">
        <f>'RESUMEN TOTAL'!AN673</f>
        <v>0</v>
      </c>
      <c r="AI632" s="70">
        <f>'RESUMEN TOTAL'!AO673</f>
        <v>0</v>
      </c>
      <c r="AJ632" s="70">
        <f>'RESUMEN TOTAL'!AP673</f>
        <v>0</v>
      </c>
    </row>
    <row r="633" spans="1:36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0">
        <f>'RESUMEN TOTAL'!L674</f>
        <v>0</v>
      </c>
      <c r="G633" s="70">
        <f>'RESUMEN TOTAL'!M674</f>
        <v>0</v>
      </c>
      <c r="H633" s="70">
        <f>'RESUMEN TOTAL'!N674</f>
        <v>0</v>
      </c>
      <c r="I633" s="70">
        <f>'RESUMEN TOTAL'!O674</f>
        <v>0</v>
      </c>
      <c r="J633" s="70">
        <f>'RESUMEN TOTAL'!P674</f>
        <v>0</v>
      </c>
      <c r="K633" s="70">
        <f>'RESUMEN TOTAL'!Q674</f>
        <v>0</v>
      </c>
      <c r="L633" s="70">
        <f>'RESUMEN TOTAL'!R674</f>
        <v>0</v>
      </c>
      <c r="M633" s="70">
        <f>'RESUMEN TOTAL'!S674</f>
        <v>0</v>
      </c>
      <c r="N633" s="70">
        <f>'RESUMEN TOTAL'!T674</f>
        <v>0</v>
      </c>
      <c r="O633" s="70">
        <f>'RESUMEN TOTAL'!U674</f>
        <v>0</v>
      </c>
      <c r="P633" s="70">
        <f>'RESUMEN TOTAL'!V674</f>
        <v>0</v>
      </c>
      <c r="Q633" s="70">
        <f>'RESUMEN TOTAL'!W674</f>
        <v>0</v>
      </c>
      <c r="R633" s="70">
        <f>'RESUMEN TOTAL'!X674</f>
        <v>0</v>
      </c>
      <c r="S633" s="70">
        <f>'RESUMEN TOTAL'!Y674</f>
        <v>0</v>
      </c>
      <c r="T633" s="70">
        <f>'RESUMEN TOTAL'!Z674</f>
        <v>0</v>
      </c>
      <c r="U633" s="70">
        <f>'RESUMEN TOTAL'!AA674</f>
        <v>0</v>
      </c>
      <c r="V633" s="70">
        <f>'RESUMEN TOTAL'!AB674</f>
        <v>0</v>
      </c>
      <c r="W633" s="70">
        <f>'RESUMEN TOTAL'!AC674</f>
        <v>0</v>
      </c>
      <c r="X633" s="70">
        <f>'RESUMEN TOTAL'!AD674</f>
        <v>0</v>
      </c>
      <c r="Y633" s="70">
        <f>'RESUMEN TOTAL'!AE674</f>
        <v>0</v>
      </c>
      <c r="Z633" s="70">
        <f>'RESUMEN TOTAL'!AF674</f>
        <v>0</v>
      </c>
      <c r="AA633" s="70">
        <f>'RESUMEN TOTAL'!AG674</f>
        <v>0</v>
      </c>
      <c r="AB633" s="70">
        <f>'RESUMEN TOTAL'!AH674</f>
        <v>0</v>
      </c>
      <c r="AC633" s="70">
        <f>'RESUMEN TOTAL'!AI674</f>
        <v>0</v>
      </c>
      <c r="AD633" s="70">
        <f>'RESUMEN TOTAL'!AJ674</f>
        <v>0</v>
      </c>
      <c r="AE633" s="70">
        <f>'RESUMEN TOTAL'!AK674</f>
        <v>0</v>
      </c>
      <c r="AF633" s="70">
        <f>'RESUMEN TOTAL'!AL674</f>
        <v>0</v>
      </c>
      <c r="AG633" s="70">
        <f>'RESUMEN TOTAL'!AM674</f>
        <v>0</v>
      </c>
      <c r="AH633" s="70">
        <f>'RESUMEN TOTAL'!AN674</f>
        <v>0</v>
      </c>
      <c r="AI633" s="70">
        <f>'RESUMEN TOTAL'!AO674</f>
        <v>0</v>
      </c>
      <c r="AJ633" s="70">
        <f>'RESUMEN TOTAL'!AP674</f>
        <v>0</v>
      </c>
    </row>
    <row r="634" spans="1:36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0">
        <f>'RESUMEN TOTAL'!L675</f>
        <v>0</v>
      </c>
      <c r="G634" s="70">
        <f>'RESUMEN TOTAL'!M675</f>
        <v>0</v>
      </c>
      <c r="H634" s="70">
        <f>'RESUMEN TOTAL'!N675</f>
        <v>0</v>
      </c>
      <c r="I634" s="70">
        <f>'RESUMEN TOTAL'!O675</f>
        <v>0</v>
      </c>
      <c r="J634" s="70">
        <f>'RESUMEN TOTAL'!P675</f>
        <v>0</v>
      </c>
      <c r="K634" s="70">
        <f>'RESUMEN TOTAL'!Q675</f>
        <v>0</v>
      </c>
      <c r="L634" s="70">
        <f>'RESUMEN TOTAL'!R675</f>
        <v>0</v>
      </c>
      <c r="M634" s="70">
        <f>'RESUMEN TOTAL'!S675</f>
        <v>0</v>
      </c>
      <c r="N634" s="70">
        <f>'RESUMEN TOTAL'!T675</f>
        <v>0</v>
      </c>
      <c r="O634" s="70">
        <f>'RESUMEN TOTAL'!U675</f>
        <v>0</v>
      </c>
      <c r="P634" s="70">
        <f>'RESUMEN TOTAL'!V675</f>
        <v>0</v>
      </c>
      <c r="Q634" s="70">
        <f>'RESUMEN TOTAL'!W675</f>
        <v>0</v>
      </c>
      <c r="R634" s="70">
        <f>'RESUMEN TOTAL'!X675</f>
        <v>0</v>
      </c>
      <c r="S634" s="70">
        <f>'RESUMEN TOTAL'!Y675</f>
        <v>0</v>
      </c>
      <c r="T634" s="70">
        <f>'RESUMEN TOTAL'!Z675</f>
        <v>0</v>
      </c>
      <c r="U634" s="70">
        <f>'RESUMEN TOTAL'!AA675</f>
        <v>0</v>
      </c>
      <c r="V634" s="70">
        <f>'RESUMEN TOTAL'!AB675</f>
        <v>0</v>
      </c>
      <c r="W634" s="70">
        <f>'RESUMEN TOTAL'!AC675</f>
        <v>0</v>
      </c>
      <c r="X634" s="70">
        <f>'RESUMEN TOTAL'!AD675</f>
        <v>0</v>
      </c>
      <c r="Y634" s="70">
        <f>'RESUMEN TOTAL'!AE675</f>
        <v>0</v>
      </c>
      <c r="Z634" s="70">
        <f>'RESUMEN TOTAL'!AF675</f>
        <v>0</v>
      </c>
      <c r="AA634" s="70">
        <f>'RESUMEN TOTAL'!AG675</f>
        <v>0</v>
      </c>
      <c r="AB634" s="70">
        <f>'RESUMEN TOTAL'!AH675</f>
        <v>0</v>
      </c>
      <c r="AC634" s="70">
        <f>'RESUMEN TOTAL'!AI675</f>
        <v>0</v>
      </c>
      <c r="AD634" s="70">
        <f>'RESUMEN TOTAL'!AJ675</f>
        <v>0</v>
      </c>
      <c r="AE634" s="70">
        <f>'RESUMEN TOTAL'!AK675</f>
        <v>0</v>
      </c>
      <c r="AF634" s="70">
        <f>'RESUMEN TOTAL'!AL675</f>
        <v>0</v>
      </c>
      <c r="AG634" s="70">
        <f>'RESUMEN TOTAL'!AM675</f>
        <v>0</v>
      </c>
      <c r="AH634" s="70">
        <f>'RESUMEN TOTAL'!AN675</f>
        <v>0</v>
      </c>
      <c r="AI634" s="70">
        <f>'RESUMEN TOTAL'!AO675</f>
        <v>0</v>
      </c>
      <c r="AJ634" s="70">
        <f>'RESUMEN TOTAL'!AP675</f>
        <v>0</v>
      </c>
    </row>
    <row r="635" spans="1:36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0">
        <f>'RESUMEN TOTAL'!L676</f>
        <v>0</v>
      </c>
      <c r="G635" s="70">
        <f>'RESUMEN TOTAL'!M676</f>
        <v>0</v>
      </c>
      <c r="H635" s="70">
        <f>'RESUMEN TOTAL'!N676</f>
        <v>0</v>
      </c>
      <c r="I635" s="70">
        <f>'RESUMEN TOTAL'!O676</f>
        <v>0</v>
      </c>
      <c r="J635" s="70">
        <f>'RESUMEN TOTAL'!P676</f>
        <v>0</v>
      </c>
      <c r="K635" s="70">
        <f>'RESUMEN TOTAL'!Q676</f>
        <v>0</v>
      </c>
      <c r="L635" s="70">
        <f>'RESUMEN TOTAL'!R676</f>
        <v>0</v>
      </c>
      <c r="M635" s="70">
        <f>'RESUMEN TOTAL'!S676</f>
        <v>0</v>
      </c>
      <c r="N635" s="70">
        <f>'RESUMEN TOTAL'!T676</f>
        <v>0</v>
      </c>
      <c r="O635" s="70">
        <f>'RESUMEN TOTAL'!U676</f>
        <v>0</v>
      </c>
      <c r="P635" s="70">
        <f>'RESUMEN TOTAL'!V676</f>
        <v>0</v>
      </c>
      <c r="Q635" s="70">
        <f>'RESUMEN TOTAL'!W676</f>
        <v>0</v>
      </c>
      <c r="R635" s="70">
        <f>'RESUMEN TOTAL'!X676</f>
        <v>0</v>
      </c>
      <c r="S635" s="70">
        <f>'RESUMEN TOTAL'!Y676</f>
        <v>0</v>
      </c>
      <c r="T635" s="70">
        <f>'RESUMEN TOTAL'!Z676</f>
        <v>0</v>
      </c>
      <c r="U635" s="70">
        <f>'RESUMEN TOTAL'!AA676</f>
        <v>0</v>
      </c>
      <c r="V635" s="70">
        <f>'RESUMEN TOTAL'!AB676</f>
        <v>0</v>
      </c>
      <c r="W635" s="70">
        <f>'RESUMEN TOTAL'!AC676</f>
        <v>0</v>
      </c>
      <c r="X635" s="70">
        <f>'RESUMEN TOTAL'!AD676</f>
        <v>0</v>
      </c>
      <c r="Y635" s="70">
        <f>'RESUMEN TOTAL'!AE676</f>
        <v>0</v>
      </c>
      <c r="Z635" s="70">
        <f>'RESUMEN TOTAL'!AF676</f>
        <v>0</v>
      </c>
      <c r="AA635" s="70">
        <f>'RESUMEN TOTAL'!AG676</f>
        <v>0</v>
      </c>
      <c r="AB635" s="70">
        <f>'RESUMEN TOTAL'!AH676</f>
        <v>0</v>
      </c>
      <c r="AC635" s="70">
        <f>'RESUMEN TOTAL'!AI676</f>
        <v>0</v>
      </c>
      <c r="AD635" s="70">
        <f>'RESUMEN TOTAL'!AJ676</f>
        <v>0</v>
      </c>
      <c r="AE635" s="70">
        <f>'RESUMEN TOTAL'!AK676</f>
        <v>0</v>
      </c>
      <c r="AF635" s="70">
        <f>'RESUMEN TOTAL'!AL676</f>
        <v>0</v>
      </c>
      <c r="AG635" s="70">
        <f>'RESUMEN TOTAL'!AM676</f>
        <v>0</v>
      </c>
      <c r="AH635" s="70">
        <f>'RESUMEN TOTAL'!AN676</f>
        <v>0</v>
      </c>
      <c r="AI635" s="70">
        <f>'RESUMEN TOTAL'!AO676</f>
        <v>0</v>
      </c>
      <c r="AJ635" s="70">
        <f>'RESUMEN TOTAL'!AP676</f>
        <v>0</v>
      </c>
    </row>
    <row r="636" spans="1:36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0">
        <f>'RESUMEN TOTAL'!L677</f>
        <v>0</v>
      </c>
      <c r="G636" s="70">
        <f>'RESUMEN TOTAL'!M677</f>
        <v>0</v>
      </c>
      <c r="H636" s="70">
        <f>'RESUMEN TOTAL'!N677</f>
        <v>0</v>
      </c>
      <c r="I636" s="70">
        <f>'RESUMEN TOTAL'!O677</f>
        <v>0</v>
      </c>
      <c r="J636" s="70">
        <f>'RESUMEN TOTAL'!P677</f>
        <v>0</v>
      </c>
      <c r="K636" s="70">
        <f>'RESUMEN TOTAL'!Q677</f>
        <v>0</v>
      </c>
      <c r="L636" s="70">
        <f>'RESUMEN TOTAL'!R677</f>
        <v>0</v>
      </c>
      <c r="M636" s="70">
        <f>'RESUMEN TOTAL'!S677</f>
        <v>0</v>
      </c>
      <c r="N636" s="70">
        <f>'RESUMEN TOTAL'!T677</f>
        <v>0</v>
      </c>
      <c r="O636" s="70">
        <f>'RESUMEN TOTAL'!U677</f>
        <v>0</v>
      </c>
      <c r="P636" s="70">
        <f>'RESUMEN TOTAL'!V677</f>
        <v>0</v>
      </c>
      <c r="Q636" s="70">
        <f>'RESUMEN TOTAL'!W677</f>
        <v>0</v>
      </c>
      <c r="R636" s="70">
        <f>'RESUMEN TOTAL'!X677</f>
        <v>0</v>
      </c>
      <c r="S636" s="70">
        <f>'RESUMEN TOTAL'!Y677</f>
        <v>0</v>
      </c>
      <c r="T636" s="70">
        <f>'RESUMEN TOTAL'!Z677</f>
        <v>0</v>
      </c>
      <c r="U636" s="70">
        <f>'RESUMEN TOTAL'!AA677</f>
        <v>0</v>
      </c>
      <c r="V636" s="70">
        <f>'RESUMEN TOTAL'!AB677</f>
        <v>0</v>
      </c>
      <c r="W636" s="70">
        <f>'RESUMEN TOTAL'!AC677</f>
        <v>0</v>
      </c>
      <c r="X636" s="70">
        <f>'RESUMEN TOTAL'!AD677</f>
        <v>0</v>
      </c>
      <c r="Y636" s="70">
        <f>'RESUMEN TOTAL'!AE677</f>
        <v>0</v>
      </c>
      <c r="Z636" s="70">
        <f>'RESUMEN TOTAL'!AF677</f>
        <v>0</v>
      </c>
      <c r="AA636" s="70">
        <f>'RESUMEN TOTAL'!AG677</f>
        <v>0</v>
      </c>
      <c r="AB636" s="70">
        <f>'RESUMEN TOTAL'!AH677</f>
        <v>0</v>
      </c>
      <c r="AC636" s="70">
        <f>'RESUMEN TOTAL'!AI677</f>
        <v>0</v>
      </c>
      <c r="AD636" s="70">
        <f>'RESUMEN TOTAL'!AJ677</f>
        <v>0</v>
      </c>
      <c r="AE636" s="70">
        <f>'RESUMEN TOTAL'!AK677</f>
        <v>0</v>
      </c>
      <c r="AF636" s="70">
        <f>'RESUMEN TOTAL'!AL677</f>
        <v>0</v>
      </c>
      <c r="AG636" s="70">
        <f>'RESUMEN TOTAL'!AM677</f>
        <v>0</v>
      </c>
      <c r="AH636" s="70">
        <f>'RESUMEN TOTAL'!AN677</f>
        <v>0</v>
      </c>
      <c r="AI636" s="70">
        <f>'RESUMEN TOTAL'!AO677</f>
        <v>0</v>
      </c>
      <c r="AJ636" s="70">
        <f>'RESUMEN TOTAL'!AP677</f>
        <v>0</v>
      </c>
    </row>
    <row r="637" spans="1:36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0">
        <f>'RESUMEN TOTAL'!L678</f>
        <v>0</v>
      </c>
      <c r="G637" s="70">
        <f>'RESUMEN TOTAL'!M678</f>
        <v>0</v>
      </c>
      <c r="H637" s="70">
        <f>'RESUMEN TOTAL'!N678</f>
        <v>0</v>
      </c>
      <c r="I637" s="70">
        <f>'RESUMEN TOTAL'!O678</f>
        <v>0</v>
      </c>
      <c r="J637" s="70">
        <f>'RESUMEN TOTAL'!P678</f>
        <v>0</v>
      </c>
      <c r="K637" s="70">
        <f>'RESUMEN TOTAL'!Q678</f>
        <v>0</v>
      </c>
      <c r="L637" s="70">
        <f>'RESUMEN TOTAL'!R678</f>
        <v>0</v>
      </c>
      <c r="M637" s="70">
        <f>'RESUMEN TOTAL'!S678</f>
        <v>0</v>
      </c>
      <c r="N637" s="70">
        <f>'RESUMEN TOTAL'!T678</f>
        <v>0</v>
      </c>
      <c r="O637" s="70">
        <f>'RESUMEN TOTAL'!U678</f>
        <v>0</v>
      </c>
      <c r="P637" s="70">
        <f>'RESUMEN TOTAL'!V678</f>
        <v>0</v>
      </c>
      <c r="Q637" s="70">
        <f>'RESUMEN TOTAL'!W678</f>
        <v>0</v>
      </c>
      <c r="R637" s="70">
        <f>'RESUMEN TOTAL'!X678</f>
        <v>0</v>
      </c>
      <c r="S637" s="70">
        <f>'RESUMEN TOTAL'!Y678</f>
        <v>0</v>
      </c>
      <c r="T637" s="70">
        <f>'RESUMEN TOTAL'!Z678</f>
        <v>0</v>
      </c>
      <c r="U637" s="70">
        <f>'RESUMEN TOTAL'!AA678</f>
        <v>0</v>
      </c>
      <c r="V637" s="70">
        <f>'RESUMEN TOTAL'!AB678</f>
        <v>0</v>
      </c>
      <c r="W637" s="70">
        <f>'RESUMEN TOTAL'!AC678</f>
        <v>0</v>
      </c>
      <c r="X637" s="70">
        <f>'RESUMEN TOTAL'!AD678</f>
        <v>0</v>
      </c>
      <c r="Y637" s="70">
        <f>'RESUMEN TOTAL'!AE678</f>
        <v>0</v>
      </c>
      <c r="Z637" s="70">
        <f>'RESUMEN TOTAL'!AF678</f>
        <v>0</v>
      </c>
      <c r="AA637" s="70">
        <f>'RESUMEN TOTAL'!AG678</f>
        <v>0</v>
      </c>
      <c r="AB637" s="70">
        <f>'RESUMEN TOTAL'!AH678</f>
        <v>0</v>
      </c>
      <c r="AC637" s="70">
        <f>'RESUMEN TOTAL'!AI678</f>
        <v>0</v>
      </c>
      <c r="AD637" s="70">
        <f>'RESUMEN TOTAL'!AJ678</f>
        <v>0</v>
      </c>
      <c r="AE637" s="70">
        <f>'RESUMEN TOTAL'!AK678</f>
        <v>0</v>
      </c>
      <c r="AF637" s="70">
        <f>'RESUMEN TOTAL'!AL678</f>
        <v>0</v>
      </c>
      <c r="AG637" s="70">
        <f>'RESUMEN TOTAL'!AM678</f>
        <v>0</v>
      </c>
      <c r="AH637" s="70">
        <f>'RESUMEN TOTAL'!AN678</f>
        <v>0</v>
      </c>
      <c r="AI637" s="70">
        <f>'RESUMEN TOTAL'!AO678</f>
        <v>0</v>
      </c>
      <c r="AJ637" s="70">
        <f>'RESUMEN TOTAL'!AP678</f>
        <v>0</v>
      </c>
    </row>
    <row r="638" spans="1:36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0">
        <f>'RESUMEN TOTAL'!L679</f>
        <v>0</v>
      </c>
      <c r="G638" s="70">
        <f>'RESUMEN TOTAL'!M679</f>
        <v>0</v>
      </c>
      <c r="H638" s="70">
        <f>'RESUMEN TOTAL'!N679</f>
        <v>0</v>
      </c>
      <c r="I638" s="70">
        <f>'RESUMEN TOTAL'!O679</f>
        <v>0</v>
      </c>
      <c r="J638" s="70">
        <f>'RESUMEN TOTAL'!P679</f>
        <v>0</v>
      </c>
      <c r="K638" s="70">
        <f>'RESUMEN TOTAL'!Q679</f>
        <v>0</v>
      </c>
      <c r="L638" s="70">
        <f>'RESUMEN TOTAL'!R679</f>
        <v>0</v>
      </c>
      <c r="M638" s="70">
        <f>'RESUMEN TOTAL'!S679</f>
        <v>0</v>
      </c>
      <c r="N638" s="70">
        <f>'RESUMEN TOTAL'!T679</f>
        <v>0</v>
      </c>
      <c r="O638" s="70">
        <f>'RESUMEN TOTAL'!U679</f>
        <v>0</v>
      </c>
      <c r="P638" s="70">
        <f>'RESUMEN TOTAL'!V679</f>
        <v>0</v>
      </c>
      <c r="Q638" s="70">
        <f>'RESUMEN TOTAL'!W679</f>
        <v>0</v>
      </c>
      <c r="R638" s="70">
        <f>'RESUMEN TOTAL'!X679</f>
        <v>0</v>
      </c>
      <c r="S638" s="70">
        <f>'RESUMEN TOTAL'!Y679</f>
        <v>0</v>
      </c>
      <c r="T638" s="70">
        <f>'RESUMEN TOTAL'!Z679</f>
        <v>0</v>
      </c>
      <c r="U638" s="70">
        <f>'RESUMEN TOTAL'!AA679</f>
        <v>0</v>
      </c>
      <c r="V638" s="70">
        <f>'RESUMEN TOTAL'!AB679</f>
        <v>0</v>
      </c>
      <c r="W638" s="70">
        <f>'RESUMEN TOTAL'!AC679</f>
        <v>0</v>
      </c>
      <c r="X638" s="70">
        <f>'RESUMEN TOTAL'!AD679</f>
        <v>0</v>
      </c>
      <c r="Y638" s="70">
        <f>'RESUMEN TOTAL'!AE679</f>
        <v>0</v>
      </c>
      <c r="Z638" s="70">
        <f>'RESUMEN TOTAL'!AF679</f>
        <v>0</v>
      </c>
      <c r="AA638" s="70">
        <f>'RESUMEN TOTAL'!AG679</f>
        <v>0</v>
      </c>
      <c r="AB638" s="70">
        <f>'RESUMEN TOTAL'!AH679</f>
        <v>0</v>
      </c>
      <c r="AC638" s="70">
        <f>'RESUMEN TOTAL'!AI679</f>
        <v>0</v>
      </c>
      <c r="AD638" s="70">
        <f>'RESUMEN TOTAL'!AJ679</f>
        <v>0</v>
      </c>
      <c r="AE638" s="70">
        <f>'RESUMEN TOTAL'!AK679</f>
        <v>0</v>
      </c>
      <c r="AF638" s="70">
        <f>'RESUMEN TOTAL'!AL679</f>
        <v>0</v>
      </c>
      <c r="AG638" s="70">
        <f>'RESUMEN TOTAL'!AM679</f>
        <v>0</v>
      </c>
      <c r="AH638" s="70">
        <f>'RESUMEN TOTAL'!AN679</f>
        <v>0</v>
      </c>
      <c r="AI638" s="70">
        <f>'RESUMEN TOTAL'!AO679</f>
        <v>0</v>
      </c>
      <c r="AJ638" s="70">
        <f>'RESUMEN TOTAL'!AP679</f>
        <v>0</v>
      </c>
    </row>
    <row r="639" spans="1:36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0">
        <f>'RESUMEN TOTAL'!L680</f>
        <v>0</v>
      </c>
      <c r="G639" s="70">
        <f>'RESUMEN TOTAL'!M680</f>
        <v>0</v>
      </c>
      <c r="H639" s="70">
        <f>'RESUMEN TOTAL'!N680</f>
        <v>0</v>
      </c>
      <c r="I639" s="70">
        <f>'RESUMEN TOTAL'!O680</f>
        <v>0</v>
      </c>
      <c r="J639" s="70">
        <f>'RESUMEN TOTAL'!P680</f>
        <v>0</v>
      </c>
      <c r="K639" s="70">
        <f>'RESUMEN TOTAL'!Q680</f>
        <v>0</v>
      </c>
      <c r="L639" s="70">
        <f>'RESUMEN TOTAL'!R680</f>
        <v>0</v>
      </c>
      <c r="M639" s="70">
        <f>'RESUMEN TOTAL'!S680</f>
        <v>0</v>
      </c>
      <c r="N639" s="70">
        <f>'RESUMEN TOTAL'!T680</f>
        <v>0</v>
      </c>
      <c r="O639" s="70">
        <f>'RESUMEN TOTAL'!U680</f>
        <v>0</v>
      </c>
      <c r="P639" s="70">
        <f>'RESUMEN TOTAL'!V680</f>
        <v>0</v>
      </c>
      <c r="Q639" s="70">
        <f>'RESUMEN TOTAL'!W680</f>
        <v>0</v>
      </c>
      <c r="R639" s="70">
        <f>'RESUMEN TOTAL'!X680</f>
        <v>0</v>
      </c>
      <c r="S639" s="70">
        <f>'RESUMEN TOTAL'!Y680</f>
        <v>0</v>
      </c>
      <c r="T639" s="70">
        <f>'RESUMEN TOTAL'!Z680</f>
        <v>0</v>
      </c>
      <c r="U639" s="70">
        <f>'RESUMEN TOTAL'!AA680</f>
        <v>0</v>
      </c>
      <c r="V639" s="70">
        <f>'RESUMEN TOTAL'!AB680</f>
        <v>0</v>
      </c>
      <c r="W639" s="70">
        <f>'RESUMEN TOTAL'!AC680</f>
        <v>0</v>
      </c>
      <c r="X639" s="70">
        <f>'RESUMEN TOTAL'!AD680</f>
        <v>0</v>
      </c>
      <c r="Y639" s="70">
        <f>'RESUMEN TOTAL'!AE680</f>
        <v>0</v>
      </c>
      <c r="Z639" s="70">
        <f>'RESUMEN TOTAL'!AF680</f>
        <v>0</v>
      </c>
      <c r="AA639" s="70">
        <f>'RESUMEN TOTAL'!AG680</f>
        <v>0</v>
      </c>
      <c r="AB639" s="70">
        <f>'RESUMEN TOTAL'!AH680</f>
        <v>0</v>
      </c>
      <c r="AC639" s="70">
        <f>'RESUMEN TOTAL'!AI680</f>
        <v>0</v>
      </c>
      <c r="AD639" s="70">
        <f>'RESUMEN TOTAL'!AJ680</f>
        <v>0</v>
      </c>
      <c r="AE639" s="70">
        <f>'RESUMEN TOTAL'!AK680</f>
        <v>0</v>
      </c>
      <c r="AF639" s="70">
        <f>'RESUMEN TOTAL'!AL680</f>
        <v>0</v>
      </c>
      <c r="AG639" s="70">
        <f>'RESUMEN TOTAL'!AM680</f>
        <v>0</v>
      </c>
      <c r="AH639" s="70">
        <f>'RESUMEN TOTAL'!AN680</f>
        <v>0</v>
      </c>
      <c r="AI639" s="70">
        <f>'RESUMEN TOTAL'!AO680</f>
        <v>0</v>
      </c>
      <c r="AJ639" s="70">
        <f>'RESUMEN TOTAL'!AP680</f>
        <v>0</v>
      </c>
    </row>
    <row r="640" spans="1:36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0">
        <f>'RESUMEN TOTAL'!L681</f>
        <v>0</v>
      </c>
      <c r="G640" s="70">
        <f>'RESUMEN TOTAL'!M681</f>
        <v>0</v>
      </c>
      <c r="H640" s="70">
        <f>'RESUMEN TOTAL'!N681</f>
        <v>0</v>
      </c>
      <c r="I640" s="70">
        <f>'RESUMEN TOTAL'!O681</f>
        <v>0</v>
      </c>
      <c r="J640" s="70">
        <f>'RESUMEN TOTAL'!P681</f>
        <v>0</v>
      </c>
      <c r="K640" s="70">
        <f>'RESUMEN TOTAL'!Q681</f>
        <v>0</v>
      </c>
      <c r="L640" s="70">
        <f>'RESUMEN TOTAL'!R681</f>
        <v>0</v>
      </c>
      <c r="M640" s="70">
        <f>'RESUMEN TOTAL'!S681</f>
        <v>0</v>
      </c>
      <c r="N640" s="70">
        <f>'RESUMEN TOTAL'!T681</f>
        <v>0</v>
      </c>
      <c r="O640" s="70">
        <f>'RESUMEN TOTAL'!U681</f>
        <v>0</v>
      </c>
      <c r="P640" s="70">
        <f>'RESUMEN TOTAL'!V681</f>
        <v>0</v>
      </c>
      <c r="Q640" s="70">
        <f>'RESUMEN TOTAL'!W681</f>
        <v>0</v>
      </c>
      <c r="R640" s="70">
        <f>'RESUMEN TOTAL'!X681</f>
        <v>0</v>
      </c>
      <c r="S640" s="70">
        <f>'RESUMEN TOTAL'!Y681</f>
        <v>0</v>
      </c>
      <c r="T640" s="70">
        <f>'RESUMEN TOTAL'!Z681</f>
        <v>0</v>
      </c>
      <c r="U640" s="70">
        <f>'RESUMEN TOTAL'!AA681</f>
        <v>0</v>
      </c>
      <c r="V640" s="70">
        <f>'RESUMEN TOTAL'!AB681</f>
        <v>0</v>
      </c>
      <c r="W640" s="70">
        <f>'RESUMEN TOTAL'!AC681</f>
        <v>0</v>
      </c>
      <c r="X640" s="70">
        <f>'RESUMEN TOTAL'!AD681</f>
        <v>0</v>
      </c>
      <c r="Y640" s="70">
        <f>'RESUMEN TOTAL'!AE681</f>
        <v>0</v>
      </c>
      <c r="Z640" s="70">
        <f>'RESUMEN TOTAL'!AF681</f>
        <v>0</v>
      </c>
      <c r="AA640" s="70">
        <f>'RESUMEN TOTAL'!AG681</f>
        <v>0</v>
      </c>
      <c r="AB640" s="70">
        <f>'RESUMEN TOTAL'!AH681</f>
        <v>0</v>
      </c>
      <c r="AC640" s="70">
        <f>'RESUMEN TOTAL'!AI681</f>
        <v>0</v>
      </c>
      <c r="AD640" s="70">
        <f>'RESUMEN TOTAL'!AJ681</f>
        <v>0</v>
      </c>
      <c r="AE640" s="70">
        <f>'RESUMEN TOTAL'!AK681</f>
        <v>0</v>
      </c>
      <c r="AF640" s="70">
        <f>'RESUMEN TOTAL'!AL681</f>
        <v>0</v>
      </c>
      <c r="AG640" s="70">
        <f>'RESUMEN TOTAL'!AM681</f>
        <v>0</v>
      </c>
      <c r="AH640" s="70">
        <f>'RESUMEN TOTAL'!AN681</f>
        <v>0</v>
      </c>
      <c r="AI640" s="70">
        <f>'RESUMEN TOTAL'!AO681</f>
        <v>0</v>
      </c>
      <c r="AJ640" s="70">
        <f>'RESUMEN TOTAL'!AP681</f>
        <v>0</v>
      </c>
    </row>
    <row r="641" spans="1:36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0">
        <f>'RESUMEN TOTAL'!L682</f>
        <v>0</v>
      </c>
      <c r="G641" s="70">
        <f>'RESUMEN TOTAL'!M682</f>
        <v>0</v>
      </c>
      <c r="H641" s="70">
        <f>'RESUMEN TOTAL'!N682</f>
        <v>0</v>
      </c>
      <c r="I641" s="70">
        <f>'RESUMEN TOTAL'!O682</f>
        <v>0</v>
      </c>
      <c r="J641" s="70">
        <f>'RESUMEN TOTAL'!P682</f>
        <v>0</v>
      </c>
      <c r="K641" s="70">
        <f>'RESUMEN TOTAL'!Q682</f>
        <v>0</v>
      </c>
      <c r="L641" s="70">
        <f>'RESUMEN TOTAL'!R682</f>
        <v>0</v>
      </c>
      <c r="M641" s="70">
        <f>'RESUMEN TOTAL'!S682</f>
        <v>0</v>
      </c>
      <c r="N641" s="70">
        <f>'RESUMEN TOTAL'!T682</f>
        <v>0</v>
      </c>
      <c r="O641" s="70">
        <f>'RESUMEN TOTAL'!U682</f>
        <v>0</v>
      </c>
      <c r="P641" s="70">
        <f>'RESUMEN TOTAL'!V682</f>
        <v>0</v>
      </c>
      <c r="Q641" s="70">
        <f>'RESUMEN TOTAL'!W682</f>
        <v>0</v>
      </c>
      <c r="R641" s="70">
        <f>'RESUMEN TOTAL'!X682</f>
        <v>0</v>
      </c>
      <c r="S641" s="70">
        <f>'RESUMEN TOTAL'!Y682</f>
        <v>0</v>
      </c>
      <c r="T641" s="70">
        <f>'RESUMEN TOTAL'!Z682</f>
        <v>0</v>
      </c>
      <c r="U641" s="70">
        <f>'RESUMEN TOTAL'!AA682</f>
        <v>0</v>
      </c>
      <c r="V641" s="70">
        <f>'RESUMEN TOTAL'!AB682</f>
        <v>0</v>
      </c>
      <c r="W641" s="70">
        <f>'RESUMEN TOTAL'!AC682</f>
        <v>0</v>
      </c>
      <c r="X641" s="70">
        <f>'RESUMEN TOTAL'!AD682</f>
        <v>0</v>
      </c>
      <c r="Y641" s="70">
        <f>'RESUMEN TOTAL'!AE682</f>
        <v>0</v>
      </c>
      <c r="Z641" s="70">
        <f>'RESUMEN TOTAL'!AF682</f>
        <v>0</v>
      </c>
      <c r="AA641" s="70">
        <f>'RESUMEN TOTAL'!AG682</f>
        <v>0</v>
      </c>
      <c r="AB641" s="70">
        <f>'RESUMEN TOTAL'!AH682</f>
        <v>0</v>
      </c>
      <c r="AC641" s="70">
        <f>'RESUMEN TOTAL'!AI682</f>
        <v>0</v>
      </c>
      <c r="AD641" s="70">
        <f>'RESUMEN TOTAL'!AJ682</f>
        <v>0</v>
      </c>
      <c r="AE641" s="70">
        <f>'RESUMEN TOTAL'!AK682</f>
        <v>0</v>
      </c>
      <c r="AF641" s="70">
        <f>'RESUMEN TOTAL'!AL682</f>
        <v>0</v>
      </c>
      <c r="AG641" s="70">
        <f>'RESUMEN TOTAL'!AM682</f>
        <v>0</v>
      </c>
      <c r="AH641" s="70">
        <f>'RESUMEN TOTAL'!AN682</f>
        <v>0</v>
      </c>
      <c r="AI641" s="70">
        <f>'RESUMEN TOTAL'!AO682</f>
        <v>0</v>
      </c>
      <c r="AJ641" s="70">
        <f>'RESUMEN TOTAL'!AP682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TOTAL'!L683</f>
        <v>0</v>
      </c>
      <c r="G642" s="70">
        <f>'RESUMEN TOTAL'!M683</f>
        <v>0</v>
      </c>
      <c r="H642" s="70">
        <f>'RESUMEN TOTAL'!N683</f>
        <v>0</v>
      </c>
      <c r="I642" s="70">
        <f>'RESUMEN TOTAL'!O683</f>
        <v>0</v>
      </c>
      <c r="J642" s="70">
        <f>'RESUMEN TOTAL'!P683</f>
        <v>0</v>
      </c>
      <c r="K642" s="70">
        <f>'RESUMEN TOTAL'!Q683</f>
        <v>0</v>
      </c>
      <c r="L642" s="70">
        <f>'RESUMEN TOTAL'!R683</f>
        <v>0</v>
      </c>
      <c r="M642" s="70">
        <f>'RESUMEN TOTAL'!S683</f>
        <v>0</v>
      </c>
      <c r="N642" s="70">
        <f>'RESUMEN TOTAL'!T683</f>
        <v>0</v>
      </c>
      <c r="O642" s="70">
        <f>'RESUMEN TOTAL'!U683</f>
        <v>0</v>
      </c>
      <c r="P642" s="70">
        <f>'RESUMEN TOTAL'!V683</f>
        <v>0</v>
      </c>
      <c r="Q642" s="70">
        <f>'RESUMEN TOTAL'!W683</f>
        <v>0</v>
      </c>
      <c r="R642" s="70">
        <f>'RESUMEN TOTAL'!X683</f>
        <v>0</v>
      </c>
      <c r="S642" s="70">
        <f>'RESUMEN TOTAL'!Y683</f>
        <v>0</v>
      </c>
      <c r="T642" s="70">
        <f>'RESUMEN TOTAL'!Z683</f>
        <v>0</v>
      </c>
      <c r="U642" s="70">
        <f>'RESUMEN TOTAL'!AA683</f>
        <v>0</v>
      </c>
      <c r="V642" s="70">
        <f>'RESUMEN TOTAL'!AB683</f>
        <v>0</v>
      </c>
      <c r="W642" s="70">
        <f>'RESUMEN TOTAL'!AC683</f>
        <v>0</v>
      </c>
      <c r="X642" s="70">
        <f>'RESUMEN TOTAL'!AD683</f>
        <v>0</v>
      </c>
      <c r="Y642" s="70">
        <f>'RESUMEN TOTAL'!AE683</f>
        <v>0</v>
      </c>
      <c r="Z642" s="70">
        <f>'RESUMEN TOTAL'!AF683</f>
        <v>0</v>
      </c>
      <c r="AA642" s="70">
        <f>'RESUMEN TOTAL'!AG683</f>
        <v>0</v>
      </c>
      <c r="AB642" s="70">
        <f>'RESUMEN TOTAL'!AH683</f>
        <v>0</v>
      </c>
      <c r="AC642" s="70">
        <f>'RESUMEN TOTAL'!AI683</f>
        <v>0</v>
      </c>
      <c r="AD642" s="70">
        <f>'RESUMEN TOTAL'!AJ683</f>
        <v>0</v>
      </c>
      <c r="AE642" s="70">
        <f>'RESUMEN TOTAL'!AK683</f>
        <v>0</v>
      </c>
      <c r="AF642" s="70">
        <f>'RESUMEN TOTAL'!AL683</f>
        <v>0</v>
      </c>
      <c r="AG642" s="70">
        <f>'RESUMEN TOTAL'!AM683</f>
        <v>0</v>
      </c>
      <c r="AH642" s="70">
        <f>'RESUMEN TOTAL'!AN683</f>
        <v>0</v>
      </c>
      <c r="AI642" s="70">
        <f>'RESUMEN TOTAL'!AO683</f>
        <v>0</v>
      </c>
      <c r="AJ642" s="70">
        <f>'RESUMEN TOTAL'!AP683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TOTAL'!L684</f>
        <v>0</v>
      </c>
      <c r="G643" s="70">
        <f>'RESUMEN TOTAL'!M684</f>
        <v>0</v>
      </c>
      <c r="H643" s="70">
        <f>'RESUMEN TOTAL'!N684</f>
        <v>0</v>
      </c>
      <c r="I643" s="70">
        <f>'RESUMEN TOTAL'!O684</f>
        <v>0</v>
      </c>
      <c r="J643" s="70">
        <f>'RESUMEN TOTAL'!P684</f>
        <v>0</v>
      </c>
      <c r="K643" s="70">
        <f>'RESUMEN TOTAL'!Q684</f>
        <v>0</v>
      </c>
      <c r="L643" s="70">
        <f>'RESUMEN TOTAL'!R684</f>
        <v>0</v>
      </c>
      <c r="M643" s="70">
        <f>'RESUMEN TOTAL'!S684</f>
        <v>0</v>
      </c>
      <c r="N643" s="70">
        <f>'RESUMEN TOTAL'!T684</f>
        <v>0</v>
      </c>
      <c r="O643" s="70">
        <f>'RESUMEN TOTAL'!U684</f>
        <v>0</v>
      </c>
      <c r="P643" s="70">
        <f>'RESUMEN TOTAL'!V684</f>
        <v>0</v>
      </c>
      <c r="Q643" s="70">
        <f>'RESUMEN TOTAL'!W684</f>
        <v>0</v>
      </c>
      <c r="R643" s="70">
        <f>'RESUMEN TOTAL'!X684</f>
        <v>0</v>
      </c>
      <c r="S643" s="70">
        <f>'RESUMEN TOTAL'!Y684</f>
        <v>0</v>
      </c>
      <c r="T643" s="70">
        <f>'RESUMEN TOTAL'!Z684</f>
        <v>0</v>
      </c>
      <c r="U643" s="70">
        <f>'RESUMEN TOTAL'!AA684</f>
        <v>0</v>
      </c>
      <c r="V643" s="70">
        <f>'RESUMEN TOTAL'!AB684</f>
        <v>0</v>
      </c>
      <c r="W643" s="70">
        <f>'RESUMEN TOTAL'!AC684</f>
        <v>0</v>
      </c>
      <c r="X643" s="70">
        <f>'RESUMEN TOTAL'!AD684</f>
        <v>0</v>
      </c>
      <c r="Y643" s="70">
        <f>'RESUMEN TOTAL'!AE684</f>
        <v>0</v>
      </c>
      <c r="Z643" s="70">
        <f>'RESUMEN TOTAL'!AF684</f>
        <v>0</v>
      </c>
      <c r="AA643" s="70">
        <f>'RESUMEN TOTAL'!AG684</f>
        <v>0</v>
      </c>
      <c r="AB643" s="70">
        <f>'RESUMEN TOTAL'!AH684</f>
        <v>0</v>
      </c>
      <c r="AC643" s="70">
        <f>'RESUMEN TOTAL'!AI684</f>
        <v>0</v>
      </c>
      <c r="AD643" s="70">
        <f>'RESUMEN TOTAL'!AJ684</f>
        <v>0</v>
      </c>
      <c r="AE643" s="70">
        <f>'RESUMEN TOTAL'!AK684</f>
        <v>0</v>
      </c>
      <c r="AF643" s="70">
        <f>'RESUMEN TOTAL'!AL684</f>
        <v>0</v>
      </c>
      <c r="AG643" s="70">
        <f>'RESUMEN TOTAL'!AM684</f>
        <v>0</v>
      </c>
      <c r="AH643" s="70">
        <f>'RESUMEN TOTAL'!AN684</f>
        <v>0</v>
      </c>
      <c r="AI643" s="70">
        <f>'RESUMEN TOTAL'!AO684</f>
        <v>0</v>
      </c>
      <c r="AJ643" s="70">
        <f>'RESUMEN TOTAL'!AP684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101" priority="97" operator="containsText" text="fija">
      <formula>NOT(ISERROR(SEARCH("fija",D4)))</formula>
    </cfRule>
    <cfRule type="containsText" dxfId="100" priority="98" operator="containsText" text="domo">
      <formula>NOT(ISERROR(SEARCH("domo",D4)))</formula>
    </cfRule>
    <cfRule type="cellIs" dxfId="99" priority="924" operator="equal">
      <formula>$D$7</formula>
    </cfRule>
  </conditionalFormatting>
  <conditionalFormatting sqref="D439">
    <cfRule type="containsText" dxfId="98" priority="69" operator="containsText" text="Radio">
      <formula>NOT(ISERROR(SEARCH("Radio",D439)))</formula>
    </cfRule>
    <cfRule type="containsText" dxfId="97" priority="68" operator="containsText" text="domo">
      <formula>NOT(ISERROR(SEARCH("domo",D439)))</formula>
    </cfRule>
    <cfRule type="containsText" dxfId="96" priority="67" operator="containsText" text="fija">
      <formula>NOT(ISERROR(SEARCH("fija",D439)))</formula>
    </cfRule>
  </conditionalFormatting>
  <conditionalFormatting sqref="D439:D440">
    <cfRule type="containsText" dxfId="95" priority="65" operator="containsText" text="domo">
      <formula>NOT(ISERROR(SEARCH("domo",D439)))</formula>
    </cfRule>
    <cfRule type="containsText" dxfId="94" priority="64" operator="containsText" text="fija">
      <formula>NOT(ISERROR(SEARCH("fija",D439)))</formula>
    </cfRule>
  </conditionalFormatting>
  <conditionalFormatting sqref="D440">
    <cfRule type="containsText" dxfId="93" priority="66" operator="containsText" text="Radio">
      <formula>NOT(ISERROR(SEARCH("Radio",D440)))</formula>
    </cfRule>
    <cfRule type="containsText" dxfId="92" priority="63" operator="containsText" text="domo">
      <formula>NOT(ISERROR(SEARCH("domo",D440)))</formula>
    </cfRule>
    <cfRule type="containsText" dxfId="91" priority="62" operator="containsText" text="fija">
      <formula>NOT(ISERROR(SEARCH("fija",D440)))</formula>
    </cfRule>
  </conditionalFormatting>
  <conditionalFormatting sqref="D443">
    <cfRule type="containsText" dxfId="90" priority="59" operator="containsText" text="fija">
      <formula>NOT(ISERROR(SEARCH("fija",D443)))</formula>
    </cfRule>
    <cfRule type="containsText" dxfId="89" priority="61" operator="containsText" text="Radio">
      <formula>NOT(ISERROR(SEARCH("Radio",D443)))</formula>
    </cfRule>
    <cfRule type="containsText" dxfId="88" priority="60" operator="containsText" text="domo">
      <formula>NOT(ISERROR(SEARCH("domo",D443)))</formula>
    </cfRule>
  </conditionalFormatting>
  <conditionalFormatting sqref="D443:D444">
    <cfRule type="containsText" dxfId="87" priority="56" operator="containsText" text="fija">
      <formula>NOT(ISERROR(SEARCH("fija",D443)))</formula>
    </cfRule>
    <cfRule type="containsText" dxfId="86" priority="57" operator="containsText" text="domo">
      <formula>NOT(ISERROR(SEARCH("domo",D443)))</formula>
    </cfRule>
  </conditionalFormatting>
  <conditionalFormatting sqref="D444:D445">
    <cfRule type="containsText" dxfId="85" priority="54" operator="containsText" text="domo">
      <formula>NOT(ISERROR(SEARCH("domo",D444)))</formula>
    </cfRule>
    <cfRule type="containsText" dxfId="84" priority="53" operator="containsText" text="fija">
      <formula>NOT(ISERROR(SEARCH("fija",D444)))</formula>
    </cfRule>
  </conditionalFormatting>
  <conditionalFormatting sqref="D445">
    <cfRule type="containsText" dxfId="83" priority="55" operator="containsText" text="Radio">
      <formula>NOT(ISERROR(SEARCH("Radio",D445)))</formula>
    </cfRule>
  </conditionalFormatting>
  <conditionalFormatting sqref="D445:D446">
    <cfRule type="containsText" dxfId="82" priority="50" operator="containsText" text="fija">
      <formula>NOT(ISERROR(SEARCH("fija",D445)))</formula>
    </cfRule>
    <cfRule type="containsText" dxfId="81" priority="51" operator="containsText" text="domo">
      <formula>NOT(ISERROR(SEARCH("domo",D445)))</formula>
    </cfRule>
  </conditionalFormatting>
  <conditionalFormatting sqref="D446">
    <cfRule type="containsText" dxfId="80" priority="48" operator="containsText" text="fija">
      <formula>NOT(ISERROR(SEARCH("fija",D446)))</formula>
    </cfRule>
    <cfRule type="containsText" dxfId="79" priority="49" operator="containsText" text="domo">
      <formula>NOT(ISERROR(SEARCH("domo",D446)))</formula>
    </cfRule>
    <cfRule type="containsText" dxfId="78" priority="52" operator="containsText" text="Radio">
      <formula>NOT(ISERROR(SEARCH("Radio",D446)))</formula>
    </cfRule>
  </conditionalFormatting>
  <conditionalFormatting sqref="D448">
    <cfRule type="containsText" dxfId="77" priority="171" operator="containsText" text="fija">
      <formula>NOT(ISERROR(SEARCH("fija",D448)))</formula>
    </cfRule>
    <cfRule type="containsText" dxfId="76" priority="172" operator="containsText" text="domo">
      <formula>NOT(ISERROR(SEARCH("domo",D448)))</formula>
    </cfRule>
  </conditionalFormatting>
  <conditionalFormatting sqref="D451:D453">
    <cfRule type="containsText" dxfId="75" priority="70" operator="containsText" text="fija">
      <formula>NOT(ISERROR(SEARCH("fija",D451)))</formula>
    </cfRule>
    <cfRule type="containsText" dxfId="74" priority="71" operator="containsText" text="domo">
      <formula>NOT(ISERROR(SEARCH("domo",D451)))</formula>
    </cfRule>
  </conditionalFormatting>
  <conditionalFormatting sqref="D642">
    <cfRule type="containsText" dxfId="73" priority="1" operator="containsText" text="Radio">
      <formula>NOT(ISERROR(SEARCH("Radio",D642)))</formula>
    </cfRule>
  </conditionalFormatting>
  <conditionalFormatting sqref="D4:E641">
    <cfRule type="containsText" dxfId="72" priority="58" operator="containsText" text="Radio">
      <formula>NOT(ISERROR(SEARCH("Radio",D4)))</formula>
    </cfRule>
  </conditionalFormatting>
  <conditionalFormatting sqref="D448:E448 D458:E641">
    <cfRule type="containsText" dxfId="71" priority="193" operator="containsText" text="Radio">
      <formula>NOT(ISERROR(SEARCH("Radio",D448)))</formula>
    </cfRule>
  </conditionalFormatting>
  <conditionalFormatting sqref="E4:E665">
    <cfRule type="cellIs" dxfId="70" priority="169" operator="equal">
      <formula>"PTP A FO"</formula>
    </cfRule>
    <cfRule type="cellIs" dxfId="69" priority="927" operator="equal">
      <formula>$E$10</formula>
    </cfRule>
    <cfRule type="cellIs" dxfId="68" priority="928" operator="equal">
      <formula>"PTP A FO"</formula>
    </cfRule>
  </conditionalFormatting>
  <conditionalFormatting sqref="E438">
    <cfRule type="cellIs" dxfId="67" priority="11" operator="equal">
      <formula>"PTP A FO"</formula>
    </cfRule>
    <cfRule type="containsText" dxfId="66" priority="10" operator="containsText" text="Radio">
      <formula>NOT(ISERROR(SEARCH("Radio",E438)))</formula>
    </cfRule>
  </conditionalFormatting>
  <conditionalFormatting sqref="E642:E665">
    <cfRule type="containsText" dxfId="65" priority="3" operator="containsText" text="Radio">
      <formula>NOT(ISERROR(SEARCH("Radio",E642)))</formula>
    </cfRule>
  </conditionalFormatting>
  <conditionalFormatting sqref="F5:AJ643">
    <cfRule type="notContainsText" dxfId="64" priority="13" operator="notContains" text="Caida">
      <formula>ISERROR(SEARCH("Caida",F5))</formula>
    </cfRule>
    <cfRule type="cellIs" dxfId="63" priority="8" operator="equal">
      <formula>"apagado"</formula>
    </cfRule>
    <cfRule type="cellIs" dxfId="62" priority="16" operator="greaterThan">
      <formula>0.8</formula>
    </cfRule>
    <cfRule type="cellIs" dxfId="61" priority="12" operator="equal">
      <formula>"APAGADO"</formula>
    </cfRule>
    <cfRule type="cellIs" dxfId="60" priority="15" operator="lessThan">
      <formula>0.8</formula>
    </cfRule>
    <cfRule type="containsText" dxfId="59" priority="14" operator="containsText" text="Caida">
      <formula>NOT(ISERROR(SEARCH("Caida",F5)))</formula>
    </cfRule>
  </conditionalFormatting>
  <conditionalFormatting sqref="H4">
    <cfRule type="cellIs" dxfId="5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43" zoomScale="80" zoomScaleNormal="80" workbookViewId="0">
      <selection activeCell="AB68" sqref="AB6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TOTAL'!L8:L615,"=APAGADO",'RESUMEN TOTAL'!C8:C615,"=BONOMO")</f>
        <v>26</v>
      </c>
      <c r="G3" s="46">
        <f>COUNTIFS('RESUMEN TOTAL'!M8:M615,"=APAGADO",'RESUMEN TOTAL'!C8:C615,"=BONOMO")</f>
        <v>40</v>
      </c>
      <c r="H3" s="46">
        <f>COUNTIFS('RESUMEN TOTAL'!N8:N615,"=APAGADO",'RESUMEN TOTAL'!C8:C615,"=BONOMO")</f>
        <v>40</v>
      </c>
      <c r="I3" s="46">
        <f>COUNTIFS('RESUMEN TOTAL'!O8:O615,"=APAGADO",'RESUMEN TOTAL'!C8:C615,"=BONOMO")</f>
        <v>30</v>
      </c>
      <c r="J3" s="46">
        <f>COUNTIFS('RESUMEN TOTAL'!P8:P615,"=APAGADO",'RESUMEN TOTAL'!C8:C615,"=BONOMO")</f>
        <v>40</v>
      </c>
      <c r="K3" s="46">
        <f>COUNTIFS('RESUMEN TOTAL'!Q8:Q615,"=APAGADO",'RESUMEN TOTAL'!C8:C615,"=BONOMO")</f>
        <v>21</v>
      </c>
      <c r="L3" s="46">
        <f>COUNTIFS('RESUMEN TOTAL'!R8:R615,"=APAGADO",'RESUMEN TOTAL'!C8:C615,"=BONOMO")</f>
        <v>41</v>
      </c>
      <c r="M3" s="46">
        <f>COUNTIFS('RESUMEN TOTAL'!S8:S615,"=APAGADO",'RESUMEN TOTAL'!C8:C615,"=BONOMO")</f>
        <v>21</v>
      </c>
      <c r="N3" s="46">
        <f>COUNTIFS('RESUMEN TOTAL'!T8:T615,"=APAGADO",'RESUMEN TOTAL'!C8:C615,"=BONOMO")</f>
        <v>28</v>
      </c>
      <c r="O3" s="46">
        <f>COUNTIFS('RESUMEN TOTAL'!U8:U615,"=APAGADO",'RESUMEN TOTAL'!C8:C615,"=BONOMO")</f>
        <v>31</v>
      </c>
      <c r="P3" s="46">
        <f>COUNTIFS('RESUMEN TOTAL'!V8:V615,"=APAGADO",'RESUMEN TOTAL'!C8:C615,"=BONOMO")</f>
        <v>28</v>
      </c>
      <c r="Q3" s="46">
        <f>COUNTIFS('RESUMEN TOTAL'!W8:W615,"=APAGADO",'RESUMEN TOTAL'!C8:C615,"=BONOMO")</f>
        <v>27</v>
      </c>
      <c r="R3" s="46">
        <f>COUNTIFS('RESUMEN TOTAL'!X8:X615,"=APAGADO",'RESUMEN TOTAL'!C8:C615,"=BONOMO")</f>
        <v>31</v>
      </c>
      <c r="S3" s="46">
        <f>COUNTIFS('RESUMEN TOTAL'!Y8:Y615,"=APAGADO",'RESUMEN TOTAL'!C8:C615,"=BONOMO")</f>
        <v>23</v>
      </c>
      <c r="T3" s="46">
        <f>COUNTIFS('RESUMEN TOTAL'!Z8:Z615,"=APAGADO",'RESUMEN TOTAL'!C8:C615,"=BONOMO")</f>
        <v>27</v>
      </c>
      <c r="U3" s="46">
        <f>COUNTIFS('RESUMEN TOTAL'!AA8:AA615,"=APAGADO",'RESUMEN TOTAL'!C8:C615,"=BONOMO")</f>
        <v>39</v>
      </c>
      <c r="V3" s="46">
        <f>COUNTIFS('RESUMEN TOTAL'!AB8:AB615,"=APAGADO",'RESUMEN TOTAL'!C8:C615,"=BONOMO")</f>
        <v>52</v>
      </c>
      <c r="W3" s="46">
        <f>COUNTIFS('RESUMEN TOTAL'!AC8:AC615,"=APAGADO",'RESUMEN TOTAL'!C8:C615,"=BONOMO")</f>
        <v>20</v>
      </c>
      <c r="X3" s="46">
        <f>COUNTIFS('RESUMEN TOTAL'!AD8:AD615,"=APAGADO",'RESUMEN TOTAL'!C8:C615,"=BONOMO")</f>
        <v>22</v>
      </c>
      <c r="Y3" s="46">
        <f>COUNTIFS('RESUMEN TOTAL'!AE8:AE615,"=APAGADO",'RESUMEN TOTAL'!C8:C615,"=BONOMO")</f>
        <v>25</v>
      </c>
      <c r="Z3" s="46">
        <f>COUNTIFS('RESUMEN TOTAL'!AF8:AF615,"=APAGADO",'RESUMEN TOTAL'!C8:C615,"=BONOMO")</f>
        <v>21</v>
      </c>
      <c r="AA3" s="46">
        <f>COUNTIFS('RESUMEN TOTAL'!AG8:AG615,"=APAGADO",'RESUMEN TOTAL'!C8:C615,"=BONOMO")</f>
        <v>26</v>
      </c>
      <c r="AB3" s="46">
        <f>COUNTIFS('RESUMEN TOTAL'!AH8:AH615,"=APAGADO",'RESUMEN TOTAL'!C8:C615,"=BONOMO")</f>
        <v>26</v>
      </c>
      <c r="AC3" s="46">
        <f>COUNTIFS('RESUMEN TOTAL'!AI8:AI615,"=APAGADO",'RESUMEN TOTAL'!C8:C615,"=BONOMO")</f>
        <v>32</v>
      </c>
      <c r="AD3" s="46">
        <f>COUNTIFS('RESUMEN TOTAL'!AJ8:AJ615,"=APAGADO",'RESUMEN TOTAL'!C8:C615,"=BONOMO")</f>
        <v>29</v>
      </c>
      <c r="AE3" s="46">
        <v>0</v>
      </c>
      <c r="AF3" s="46">
        <f>COUNTIFS('RESUMEN TOTAL'!AL8:AL615,"=APAGADO",'RESUMEN TOTAL'!C8:C615,"=BONOMO")</f>
        <v>25</v>
      </c>
      <c r="AG3" s="46">
        <f>COUNTIFS('RESUMEN TOTAL'!AM8:AM615,"=APAGADO",'RESUMEN TOTAL'!C8:C615,"=BONOMO")</f>
        <v>0</v>
      </c>
      <c r="AH3" s="46">
        <f>COUNTIFS('RESUMEN TOTAL'!AN8:AN615,"=APAGADO",'RESUMEN TOTAL'!C8:C615,"=BONOMO")</f>
        <v>0</v>
      </c>
      <c r="AI3" s="46">
        <f>COUNTIFS('RESUMEN TOTAL'!AO8:AO615,"=APAGADO",'RESUMEN TOTAL'!C8:C615,"=BONOMO")</f>
        <v>0</v>
      </c>
      <c r="AJ3" s="46">
        <f>COUNTIFS('RESUMEN TOTAL'!AP8:AP615,"=APAGADO",'RESUMEN TOTAL'!D8:D615,"=BONOMO")</f>
        <v>0</v>
      </c>
    </row>
    <row r="4" spans="1:36" ht="16.5" thickTop="1" thickBot="1" x14ac:dyDescent="0.3">
      <c r="A4" s="48" t="s">
        <v>1070</v>
      </c>
      <c r="B4" s="41">
        <f>COUNTIFS('RESUMEN TOTAL'!C8:C507,"=COSEIDI")</f>
        <v>229</v>
      </c>
      <c r="D4" s="39"/>
      <c r="E4" s="37" t="s">
        <v>1080</v>
      </c>
      <c r="F4" s="50">
        <f t="shared" ref="F4:AJ4" si="0">F3/BONOMOcam</f>
        <v>9.5940959409594101E-2</v>
      </c>
      <c r="G4" s="50">
        <f t="shared" si="0"/>
        <v>0.14760147601476015</v>
      </c>
      <c r="H4" s="50">
        <f t="shared" si="0"/>
        <v>0.14760147601476015</v>
      </c>
      <c r="I4" s="50">
        <f t="shared" si="0"/>
        <v>0.11070110701107011</v>
      </c>
      <c r="J4" s="50">
        <f t="shared" si="0"/>
        <v>0.14760147601476015</v>
      </c>
      <c r="K4" s="50">
        <f t="shared" si="0"/>
        <v>7.7490774907749083E-2</v>
      </c>
      <c r="L4" s="50">
        <f t="shared" si="0"/>
        <v>0.15129151291512916</v>
      </c>
      <c r="M4" s="50">
        <f t="shared" si="0"/>
        <v>7.7490774907749083E-2</v>
      </c>
      <c r="N4" s="50">
        <f t="shared" si="0"/>
        <v>0.10332103321033211</v>
      </c>
      <c r="O4" s="50">
        <f t="shared" si="0"/>
        <v>0.11439114391143912</v>
      </c>
      <c r="P4" s="50">
        <f t="shared" si="0"/>
        <v>0.10332103321033211</v>
      </c>
      <c r="Q4" s="50">
        <f t="shared" si="0"/>
        <v>9.9630996309963096E-2</v>
      </c>
      <c r="R4" s="50">
        <f t="shared" si="0"/>
        <v>0.11439114391143912</v>
      </c>
      <c r="S4" s="50">
        <f t="shared" si="0"/>
        <v>8.4870848708487087E-2</v>
      </c>
      <c r="T4" s="50">
        <f t="shared" si="0"/>
        <v>9.9630996309963096E-2</v>
      </c>
      <c r="U4" s="50">
        <f t="shared" si="0"/>
        <v>0.14391143911439114</v>
      </c>
      <c r="V4" s="50">
        <f t="shared" si="0"/>
        <v>0.1918819188191882</v>
      </c>
      <c r="W4" s="50">
        <f t="shared" si="0"/>
        <v>7.3800738007380073E-2</v>
      </c>
      <c r="X4" s="50">
        <f t="shared" si="0"/>
        <v>8.1180811808118078E-2</v>
      </c>
      <c r="Y4" s="50">
        <f t="shared" si="0"/>
        <v>9.2250922509225092E-2</v>
      </c>
      <c r="Z4" s="50">
        <f t="shared" si="0"/>
        <v>7.7490774907749083E-2</v>
      </c>
      <c r="AA4" s="50">
        <f t="shared" si="0"/>
        <v>9.5940959409594101E-2</v>
      </c>
      <c r="AB4" s="50">
        <f t="shared" si="0"/>
        <v>9.5940959409594101E-2</v>
      </c>
      <c r="AC4" s="50">
        <f t="shared" si="0"/>
        <v>0.11808118081180811</v>
      </c>
      <c r="AD4" s="50">
        <f t="shared" si="0"/>
        <v>0.1070110701107011</v>
      </c>
      <c r="AE4" s="50">
        <f t="shared" si="0"/>
        <v>0</v>
      </c>
      <c r="AF4" s="50">
        <f t="shared" si="0"/>
        <v>9.2250922509225092E-2</v>
      </c>
      <c r="AG4" s="50">
        <f t="shared" si="0"/>
        <v>0</v>
      </c>
      <c r="AH4" s="50">
        <f t="shared" si="0"/>
        <v>0</v>
      </c>
      <c r="AI4" s="50">
        <f t="shared" si="0"/>
        <v>0</v>
      </c>
      <c r="AJ4" s="50">
        <f t="shared" si="0"/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TOTAL'!L10:L617,"=APAGADO",'RESUMEN TOTAL'!C10:C617,"=COSEIDI")</f>
        <v>43</v>
      </c>
      <c r="G5" s="46">
        <f>COUNTIFS('RESUMEN TOTAL'!M10:M617,"=APAGADO",'RESUMEN TOTAL'!C10:C617,"=COSEIDI")</f>
        <v>45</v>
      </c>
      <c r="H5" s="46">
        <f>COUNTIFS('RESUMEN TOTAL'!N10:N617,"=APAGADO",'RESUMEN TOTAL'!C10:C617,"=COSEIDI")</f>
        <v>45</v>
      </c>
      <c r="I5" s="46">
        <f>COUNTIFS('RESUMEN TOTAL'!O10:O617,"=APAGADO",'RESUMEN TOTAL'!C10:C617,"=COSEIDI")</f>
        <v>72</v>
      </c>
      <c r="J5" s="46">
        <f>COUNTIFS('RESUMEN TOTAL'!P10:P617,"=APAGADO",'RESUMEN TOTAL'!C10:C617,"=COSEIDI")</f>
        <v>74</v>
      </c>
      <c r="K5" s="46">
        <f>COUNTIFS('RESUMEN TOTAL'!Q10:Q617,"=APAGADO",'RESUMEN TOTAL'!C10:C617,"=COSEIDI")</f>
        <v>80</v>
      </c>
      <c r="L5" s="46">
        <f>COUNTIFS('RESUMEN TOTAL'!R10:R617,"=APAGADO",'RESUMEN TOTAL'!C10:C617,"=COSEIDI")</f>
        <v>81</v>
      </c>
      <c r="M5" s="46">
        <f>COUNTIFS('RESUMEN TOTAL'!S10:S617,"=APAGADO",'RESUMEN TOTAL'!C10:C617,"=COSEIDI")</f>
        <v>77</v>
      </c>
      <c r="N5" s="46">
        <f>COUNTIFS('RESUMEN TOTAL'!T10:T617,"=APAGADO",'RESUMEN TOTAL'!C10:C617,"=COSEIDI")</f>
        <v>52</v>
      </c>
      <c r="O5" s="46">
        <f>COUNTIFS('RESUMEN TOTAL'!U10:U617,"=APAGADO",'RESUMEN TOTAL'!C10:C617,"=COSEIDI")</f>
        <v>47</v>
      </c>
      <c r="P5" s="46">
        <f>COUNTIFS('RESUMEN TOTAL'!V10:V617,"=APAGADO",'RESUMEN TOTAL'!C10:C617,"=COSEIDI")</f>
        <v>49</v>
      </c>
      <c r="Q5" s="46">
        <f>COUNTIFS('RESUMEN TOTAL'!W10:W617,"=APAGADO",'RESUMEN TOTAL'!C10:C617,"=COSEIDI")</f>
        <v>36</v>
      </c>
      <c r="R5" s="46">
        <f>COUNTIFS('RESUMEN TOTAL'!X10:X617,"=APAGADO",'RESUMEN TOTAL'!C10:C617,"=COSEIDI")</f>
        <v>37</v>
      </c>
      <c r="S5" s="46">
        <f>COUNTIFS('RESUMEN TOTAL'!Y10:Y617,"=APAGADO",'RESUMEN TOTAL'!C10:C617,"=COSEIDI")</f>
        <v>33</v>
      </c>
      <c r="T5" s="46">
        <f>COUNTIFS('RESUMEN TOTAL'!Z10:Z617,"=APAGADO",'RESUMEN TOTAL'!C10:C617,"=COSEIDI")</f>
        <v>35</v>
      </c>
      <c r="U5" s="46">
        <f>COUNTIFS('RESUMEN TOTAL'!AA10:AA617,"=APAGADO",'RESUMEN TOTAL'!C10:C617,"=COSEIDI")</f>
        <v>30</v>
      </c>
      <c r="V5" s="46">
        <f>COUNTIFS('RESUMEN TOTAL'!AB10:AB617,"=APAGADO",'RESUMEN TOTAL'!C10:C617,"=COSEIDI")</f>
        <v>42</v>
      </c>
      <c r="W5" s="46">
        <f>COUNTIFS('RESUMEN TOTAL'!AC10:AC617,"=APAGADO",'RESUMEN TOTAL'!C10:C617,"=COSEIDI")</f>
        <v>42</v>
      </c>
      <c r="X5" s="46">
        <f>COUNTIFS('RESUMEN TOTAL'!AD10:AD617,"=APAGADO",'RESUMEN TOTAL'!C10:C617,"=COSEIDI")</f>
        <v>34</v>
      </c>
      <c r="Y5" s="46">
        <f>COUNTIFS('RESUMEN TOTAL'!AE10:AE617,"=APAGADO",'RESUMEN TOTAL'!C10:C617,"=COSEIDI")</f>
        <v>45</v>
      </c>
      <c r="Z5" s="46">
        <f>COUNTIFS('RESUMEN TOTAL'!AF10:AF617,"=APAGADO",'RESUMEN TOTAL'!C10:C617,"=COSEIDI")</f>
        <v>30</v>
      </c>
      <c r="AA5" s="46">
        <f>COUNTIFS('RESUMEN TOTAL'!AG10:AG617,"=APAGADO",'RESUMEN TOTAL'!C10:C617,"=COSEIDI")</f>
        <v>27</v>
      </c>
      <c r="AB5" s="46">
        <f>COUNTIFS('RESUMEN TOTAL'!AH10:AH617,"=APAGADO",'RESUMEN TOTAL'!C10:C617,"=COSEIDI")</f>
        <v>29</v>
      </c>
      <c r="AC5" s="46">
        <f>COUNTIFS('RESUMEN TOTAL'!AI10:AI617,"=APAGADO",'RESUMEN TOTAL'!C10:C617,"=COSEIDI")</f>
        <v>26</v>
      </c>
      <c r="AD5" s="46">
        <f>COUNTIFS('RESUMEN TOTAL'!AJ10:AJ617,"=APAGADO",'RESUMEN TOTAL'!C10:C617,"=COSEIDI")</f>
        <v>34</v>
      </c>
      <c r="AE5" s="46">
        <f>COUNTIFS('RESUMEN TOTAL'!AK10:AK617,"=APAGADO",'RESUMEN TOTAL'!C10:C617,"=COSEIDI")</f>
        <v>34</v>
      </c>
      <c r="AF5" s="46">
        <f>COUNTIFS('RESUMEN TOTAL'!AL10:AL617,"=APAGADO",'RESUMEN TOTAL'!C10:C617,"=COSEIDI")</f>
        <v>32</v>
      </c>
      <c r="AG5" s="46">
        <f>COUNTIFS('RESUMEN TOTAL'!AM10:AM617,"=APAGADO",'RESUMEN TOTAL'!C10:C617,"=COSEIDI")</f>
        <v>0</v>
      </c>
      <c r="AH5" s="46">
        <f>COUNTIFS('RESUMEN TOTAL'!AN10:AN617,"=APAGADO",'RESUMEN TOTAL'!C10:C617,"=COSEIDI")</f>
        <v>0</v>
      </c>
      <c r="AI5" s="46">
        <f>COUNTIFS('RESUMEN TOTAL'!AO10:AO617,"=APAGADO",'RESUMEN TOTAL'!C10:C617,"=COSEIDI")</f>
        <v>0</v>
      </c>
      <c r="AJ5" s="46">
        <f>COUNTIFS('RESUMEN TOTAL'!AP10:AP617,"=APAGADO",'RESUMEN TOTAL'!D10:D617,"=COSEIDI")</f>
        <v>0</v>
      </c>
    </row>
    <row r="6" spans="1:36" ht="16.5" thickTop="1" thickBot="1" x14ac:dyDescent="0.3">
      <c r="D6" s="39"/>
      <c r="E6" s="37" t="s">
        <v>1081</v>
      </c>
      <c r="F6" s="50">
        <f t="shared" ref="F6:AJ6" si="1">F5/COSEIDIcam</f>
        <v>0.18777292576419213</v>
      </c>
      <c r="G6" s="50">
        <f t="shared" si="1"/>
        <v>0.1965065502183406</v>
      </c>
      <c r="H6" s="50">
        <f t="shared" si="1"/>
        <v>0.1965065502183406</v>
      </c>
      <c r="I6" s="50">
        <f t="shared" si="1"/>
        <v>0.31441048034934499</v>
      </c>
      <c r="J6" s="50">
        <f t="shared" si="1"/>
        <v>0.32314410480349343</v>
      </c>
      <c r="K6" s="50">
        <f t="shared" si="1"/>
        <v>0.34934497816593885</v>
      </c>
      <c r="L6" s="50">
        <f t="shared" si="1"/>
        <v>0.35371179039301309</v>
      </c>
      <c r="M6" s="50">
        <f t="shared" si="1"/>
        <v>0.33624454148471616</v>
      </c>
      <c r="N6" s="50">
        <f t="shared" si="1"/>
        <v>0.22707423580786026</v>
      </c>
      <c r="O6" s="50">
        <f t="shared" si="1"/>
        <v>0.20524017467248909</v>
      </c>
      <c r="P6" s="50">
        <f t="shared" si="1"/>
        <v>0.21397379912663755</v>
      </c>
      <c r="Q6" s="50">
        <f t="shared" si="1"/>
        <v>0.15720524017467249</v>
      </c>
      <c r="R6" s="50">
        <f t="shared" si="1"/>
        <v>0.16157205240174671</v>
      </c>
      <c r="S6" s="50">
        <f t="shared" si="1"/>
        <v>0.14410480349344978</v>
      </c>
      <c r="T6" s="50">
        <f t="shared" si="1"/>
        <v>0.15283842794759825</v>
      </c>
      <c r="U6" s="50">
        <f t="shared" si="1"/>
        <v>0.13100436681222707</v>
      </c>
      <c r="V6" s="50">
        <f t="shared" si="1"/>
        <v>0.18340611353711792</v>
      </c>
      <c r="W6" s="50">
        <f t="shared" si="1"/>
        <v>0.18340611353711792</v>
      </c>
      <c r="X6" s="50">
        <f t="shared" si="1"/>
        <v>0.14847161572052403</v>
      </c>
      <c r="Y6" s="50">
        <f t="shared" si="1"/>
        <v>0.1965065502183406</v>
      </c>
      <c r="Z6" s="50">
        <f t="shared" si="1"/>
        <v>0.13100436681222707</v>
      </c>
      <c r="AA6" s="50">
        <f t="shared" si="1"/>
        <v>0.11790393013100436</v>
      </c>
      <c r="AB6" s="50">
        <f t="shared" si="1"/>
        <v>0.12663755458515283</v>
      </c>
      <c r="AC6" s="50">
        <f t="shared" si="1"/>
        <v>0.11353711790393013</v>
      </c>
      <c r="AD6" s="50">
        <f t="shared" si="1"/>
        <v>0.14847161572052403</v>
      </c>
      <c r="AE6" s="50">
        <f t="shared" si="1"/>
        <v>0.14847161572052403</v>
      </c>
      <c r="AF6" s="50">
        <f t="shared" si="1"/>
        <v>0.13973799126637554</v>
      </c>
      <c r="AG6" s="50">
        <f t="shared" si="1"/>
        <v>0</v>
      </c>
      <c r="AH6" s="50">
        <f t="shared" si="1"/>
        <v>0</v>
      </c>
      <c r="AI6" s="50">
        <f t="shared" si="1"/>
        <v>0</v>
      </c>
      <c r="AJ6" s="50">
        <f t="shared" si="1"/>
        <v>0</v>
      </c>
    </row>
    <row r="7" spans="1:36" ht="15.75" thickTop="1" x14ac:dyDescent="0.25"/>
  </sheetData>
  <conditionalFormatting sqref="F4:AJ4">
    <cfRule type="cellIs" dxfId="57" priority="3" operator="greaterThan">
      <formula>0.1</formula>
    </cfRule>
    <cfRule type="cellIs" dxfId="56" priority="4" operator="greaterThan">
      <formula>10</formula>
    </cfRule>
  </conditionalFormatting>
  <conditionalFormatting sqref="F6:AJ6">
    <cfRule type="cellIs" dxfId="55" priority="1" operator="greaterThan">
      <formula>0.1</formula>
    </cfRule>
    <cfRule type="cellIs" dxfId="5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2025-07-28T10:40:16Z</dcterms:modified>
</cp:coreProperties>
</file>