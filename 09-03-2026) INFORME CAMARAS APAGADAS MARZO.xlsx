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EB00CB4D-37D0-44B6-A554-727222604825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K418" i="2"/>
  <c r="I418" i="2"/>
  <c r="K483" i="2"/>
  <c r="I483" i="2"/>
  <c r="K35" i="2"/>
  <c r="I35" i="2"/>
  <c r="K30" i="2"/>
  <c r="I30" i="2"/>
  <c r="C58" i="24" l="1"/>
  <c r="D59" i="24" s="1"/>
  <c r="D60" i="24" s="1"/>
  <c r="D61" i="24" s="1"/>
  <c r="D172" i="24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D92" i="24" s="1"/>
  <c r="D93" i="24" s="1"/>
  <c r="D94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D48" i="24" l="1"/>
  <c r="D49" i="24" s="1"/>
  <c r="D50" i="24" s="1"/>
  <c r="C259" i="24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I403" i="2"/>
  <c r="G316" i="26"/>
  <c r="G2" i="26" s="1"/>
  <c r="K403" i="2"/>
  <c r="F316" i="26"/>
  <c r="F2" i="26" s="1"/>
  <c r="C3" i="24" l="1"/>
  <c r="M1" i="2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<sst xmlns="http://schemas.openxmlformats.org/spreadsheetml/2006/main" count="5853" uniqueCount="2324">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</sst>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8.1168831168831168E-2</c:v>
                      </c:pt>
                      <c:pt idx="9">
                        <c:v>9.0909090909090912E-2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0.18115942028985507</c:v>
                      </c:pt>
                      <c:pt idx="7">
                        <c:v>0</c:v>
                      </c:pt>
                      <c:pt idx="8">
                        <c:v>0.19927536231884058</c:v>
                      </c:pt>
                      <c:pt idx="9">
                        <c:v>0.16304347826086957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8.1168831168831168E-2</c:v>
                </c:pt>
                <c:pt idx="9">
                  <c:v>9.0909090909090912E-2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0.18115942028985507</c:v>
                </c:pt>
                <c:pt idx="7">
                  <c:v>0</c:v>
                </c:pt>
                <c:pt idx="8">
                  <c:v>0.19927536231884058</c:v>
                </c:pt>
                <c:pt idx="9">
                  <c:v>0.16304347826086957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8.1168831168831168E-2</c:v>
                      </c:pt>
                      <c:pt idx="9">
                        <c:v>9.0909090909090912E-2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0.18115942028985507</c:v>
                      </c:pt>
                      <c:pt idx="7">
                        <c:v>0</c:v>
                      </c:pt>
                      <c:pt idx="8">
                        <c:v>0.19927536231884058</c:v>
                      </c:pt>
                      <c:pt idx="9">
                        <c:v>0.16304347826086957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8.1168831168831168E-2</c:v>
                </c:pt>
                <c:pt idx="9">
                  <c:v>9.0909090909090912E-2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0.18115942028985507</c:v>
                </c:pt>
                <c:pt idx="7">
                  <c:v>0</c:v>
                </c:pt>
                <c:pt idx="8">
                  <c:v>0.19927536231884058</c:v>
                </c:pt>
                <c:pt idx="9">
                  <c:v>0.16304347826086957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tabSelected="1" view="pageBreakPreview" zoomScale="130" zoomScaleNormal="80" zoomScaleSheetLayoutView="130" workbookViewId="0">
      <pane xSplit="12" ySplit="7" topLeftCell="V317" activePane="bottomRight" state="frozen"/>
      <selection pane="topRight" activeCell="M1" sqref="M1"/>
      <selection pane="bottomLeft" activeCell="A5" sqref="A5"/>
      <selection pane="bottomRight" activeCell="V323" sqref="V323"/>
    </sheetView>
  </sheetViews>
  <sheetFormatPr baseColWidth="10" defaultColWidth="11.5703125" defaultRowHeight="15" x14ac:dyDescent="0.25"/>
  <cols>
    <col min="1" max="1" width="17.28515625" hidden="1" customWidth="1"/>
    <col min="2" max="2" width="52.140625" style="30" customWidth="1"/>
    <col min="3" max="3" width="15.85546875" style="30" hidden="1" customWidth="1"/>
    <col min="4" max="4" width="43.5703125" hidden="1" customWidth="1"/>
    <col min="5" max="5" width="20.5703125" style="61" hidden="1" customWidth="1"/>
    <col min="6" max="6" width="16.85546875" style="65" hidden="1" customWidth="1"/>
    <col min="7" max="7" width="12.140625" style="65" hidden="1" customWidth="1"/>
    <col min="8" max="8" width="15.85546875" style="65" hidden="1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>(M3)/(M2+M3)</f>
        <v>0.12048192771084337</v>
      </c>
      <c r="N1" s="3">
        <f t="shared" ref="N1:Y1" si="0">(N3)/(N2+N3)</f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0.14369501466275661</v>
      </c>
      <c r="S1" s="3">
        <f t="shared" si="0"/>
        <v>0.1191553544494721</v>
      </c>
      <c r="T1" s="3">
        <f t="shared" si="0"/>
        <v>0</v>
      </c>
      <c r="U1" s="3">
        <f t="shared" si="0"/>
        <v>0.12048192771084337</v>
      </c>
      <c r="V1" s="3">
        <f t="shared" si="0"/>
        <v>0.1111111111111111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98</v>
      </c>
      <c r="S3" s="125">
        <f t="shared" si="5"/>
        <v>79</v>
      </c>
      <c r="T3" s="125">
        <f t="shared" si="5"/>
        <v>0</v>
      </c>
      <c r="U3" s="125">
        <f t="shared" si="5"/>
        <v>80</v>
      </c>
      <c r="V3" s="125">
        <f t="shared" si="5"/>
        <v>73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37</v>
      </c>
      <c r="N4" s="10">
        <f>COUNTIFS(N8:N698, "=APAGADO",F8:F698,"=Fibra Optica")</f>
        <v>39</v>
      </c>
      <c r="O4" s="10">
        <f>COUNTIFS(O8:O698, "=APAGADO",F8:F698,"=Fibra Optica")</f>
        <v>37</v>
      </c>
      <c r="P4" s="10">
        <f>COUNTIFS(P8:P698, "=APAGADO",F8:F698,"=Fibra Optica")</f>
        <v>42</v>
      </c>
      <c r="Q4" s="10">
        <f>COUNTIFS(Q8:Q698, "=APAGADO",F8:F698,"=Fibra Optica")</f>
        <v>38</v>
      </c>
      <c r="R4" s="10">
        <f>COUNTIFS(R8:R698, "=APAGADO",F8:F698,"=Fibra Optica")</f>
        <v>53</v>
      </c>
      <c r="S4" s="10">
        <f>COUNTIFS(S8:S698, "=APAGADO",F8:F698,"=Fibra Optica")</f>
        <v>39</v>
      </c>
      <c r="T4" s="10">
        <f>COUNTIFS(T8:T698, "=APAGADO",F8:F698,"=Fibra Optica")</f>
        <v>0</v>
      </c>
      <c r="U4" s="10">
        <f>COUNTIFS(U8:U698, "=APAGADO",F8:F698,"=Fibra Optica")</f>
        <v>36</v>
      </c>
      <c r="V4" s="10">
        <f>COUNTIFS(V8:V698, "=APAGADO",F8:F698,"=Fibra Optica")</f>
        <v>31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5</v>
      </c>
      <c r="S5" s="129">
        <f>COUNTIFS(S8:S698, "=APAGADO",F8:F698,"=RADIO")</f>
        <v>4</v>
      </c>
      <c r="T5" s="129">
        <f>COUNTIFS(T8:T698, "=APAGADO",F8:F698,"=RADIO")</f>
        <v>0</v>
      </c>
      <c r="U5" s="129">
        <f>COUNTIFS(U8:U698, "=APAGADO",F8:F698,"=RADIO")</f>
        <v>5</v>
      </c>
      <c r="V5" s="129">
        <f>COUNTIFS(V8:V698, "=APAGADO",F8:F698,"=RADIO")</f>
        <v>5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10</v>
      </c>
      <c r="S6" s="10">
        <f>COUNTIFS(S8:S698, "=APAGADO",F8:F698,"=PTO A FO")</f>
        <v>6</v>
      </c>
      <c r="T6" s="10">
        <f>COUNTIFS(T8:T698, "=APAGADO",F8:F698,"=PTO A FO")</f>
        <v>0</v>
      </c>
      <c r="U6" s="10">
        <f>COUNTIFS(U8:U698, "=APAGADO",F8:F698,"=PTO A FO")</f>
        <v>8</v>
      </c>
      <c r="V6" s="10">
        <f>COUNTIFS(V8:V698, "=APAGADO",F8:F698,"=PTO A FO")</f>
        <v>8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9" t="s">
        <v>2</v>
      </c>
      <c r="J7" s="19" t="s">
        <v>1655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1656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1">
        <f t="shared" si="6"/>
        <v>19</v>
      </c>
      <c r="J9" s="146" t="s">
        <v>1657</v>
      </c>
      <c r="K9" s="31">
        <f t="shared" si="7"/>
        <v>9</v>
      </c>
      <c r="L9" s="32">
        <f t="shared" si="8"/>
        <v>0.6785714285714286</v>
      </c>
      <c r="M9" s="70" t="s">
        <v>2277</v>
      </c>
      <c r="N9" s="70" t="s">
        <v>2277</v>
      </c>
      <c r="O9" s="70" t="s">
        <v>2277</v>
      </c>
      <c r="P9" s="70" t="s">
        <v>2277</v>
      </c>
      <c r="Q9" s="70" t="s">
        <v>2277</v>
      </c>
      <c r="R9" s="70" t="s">
        <v>2277</v>
      </c>
      <c r="S9" s="70" t="s">
        <v>2277</v>
      </c>
      <c r="T9" s="70"/>
      <c r="U9" s="70" t="s">
        <v>2277</v>
      </c>
      <c r="V9" s="70" t="s">
        <v>2277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141">
        <f t="shared" si="6"/>
        <v>28</v>
      </c>
      <c r="J10" s="146" t="s">
        <v>1658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141">
        <f t="shared" si="6"/>
        <v>28</v>
      </c>
      <c r="J11" s="146" t="s">
        <v>1659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141">
        <f t="shared" si="6"/>
        <v>28</v>
      </c>
      <c r="J12" s="148" t="s">
        <v>1660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141">
        <f t="shared" si="6"/>
        <v>28</v>
      </c>
      <c r="J13" s="146" t="s">
        <v>1661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1">
        <f t="shared" si="6"/>
        <v>28</v>
      </c>
      <c r="J14" s="146" t="s">
        <v>1662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1663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1664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141">
        <f t="shared" si="6"/>
        <v>28</v>
      </c>
      <c r="J17" s="149" t="s">
        <v>1665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1">
        <f t="shared" si="6"/>
        <v>28</v>
      </c>
      <c r="J18" s="87" t="s">
        <v>2148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19</v>
      </c>
      <c r="J19" s="146" t="s">
        <v>1666</v>
      </c>
      <c r="K19" s="31">
        <f t="shared" si="7"/>
        <v>9</v>
      </c>
      <c r="L19" s="32">
        <f t="shared" si="8"/>
        <v>0.6785714285714286</v>
      </c>
      <c r="M19" s="70" t="s">
        <v>2277</v>
      </c>
      <c r="N19" s="70" t="s">
        <v>2277</v>
      </c>
      <c r="O19" s="70" t="s">
        <v>2277</v>
      </c>
      <c r="P19" s="70" t="s">
        <v>2277</v>
      </c>
      <c r="Q19" s="70" t="s">
        <v>2277</v>
      </c>
      <c r="R19" s="70" t="s">
        <v>2277</v>
      </c>
      <c r="S19" s="70" t="s">
        <v>2277</v>
      </c>
      <c r="T19" s="70"/>
      <c r="U19" s="70" t="s">
        <v>2277</v>
      </c>
      <c r="V19" s="70" t="s">
        <v>2277</v>
      </c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31">
        <f t="shared" si="6"/>
        <v>19</v>
      </c>
      <c r="J20" s="146" t="s">
        <v>1667</v>
      </c>
      <c r="K20" s="31">
        <f t="shared" si="7"/>
        <v>9</v>
      </c>
      <c r="L20" s="32">
        <f t="shared" si="8"/>
        <v>0.6785714285714286</v>
      </c>
      <c r="M20" s="70" t="s">
        <v>2277</v>
      </c>
      <c r="N20" s="70" t="s">
        <v>2277</v>
      </c>
      <c r="O20" s="70" t="s">
        <v>2277</v>
      </c>
      <c r="P20" s="70" t="s">
        <v>2277</v>
      </c>
      <c r="Q20" s="70" t="s">
        <v>2277</v>
      </c>
      <c r="R20" s="70" t="s">
        <v>2277</v>
      </c>
      <c r="S20" s="70" t="s">
        <v>2277</v>
      </c>
      <c r="T20" s="70"/>
      <c r="U20" s="70" t="s">
        <v>2277</v>
      </c>
      <c r="V20" s="70" t="s">
        <v>2277</v>
      </c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31">
        <f t="shared" si="6"/>
        <v>28</v>
      </c>
      <c r="J21" s="146" t="s">
        <v>1668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1669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1">
        <f t="shared" si="6"/>
        <v>28</v>
      </c>
      <c r="J23" s="146" t="s">
        <v>1670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1">
        <f t="shared" si="6"/>
        <v>28</v>
      </c>
      <c r="J24" s="146" t="s">
        <v>1671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1">
        <f t="shared" si="6"/>
        <v>28</v>
      </c>
      <c r="J25" s="146" t="s">
        <v>1672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1">
        <f t="shared" si="6"/>
        <v>28</v>
      </c>
      <c r="J26" s="146" t="s">
        <v>1673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1">
        <f t="shared" si="6"/>
        <v>28</v>
      </c>
      <c r="J27" s="146" t="s">
        <v>1674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1">
        <f t="shared" si="6"/>
        <v>28</v>
      </c>
      <c r="J28" s="146" t="s">
        <v>1675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1">
        <f t="shared" si="6"/>
        <v>28</v>
      </c>
      <c r="J29" s="146" t="s">
        <v>1676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1190</v>
      </c>
      <c r="B30" s="85" t="s">
        <v>2317</v>
      </c>
      <c r="C30" s="73" t="s">
        <v>1058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141">
        <f t="shared" si="6"/>
        <v>27</v>
      </c>
      <c r="J30" s="146" t="s">
        <v>1677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2277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1190</v>
      </c>
      <c r="B31" s="85" t="s">
        <v>2318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141">
        <f t="shared" si="6"/>
        <v>28</v>
      </c>
      <c r="J31" s="87" t="s">
        <v>2149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1190</v>
      </c>
      <c r="B32" s="85" t="s">
        <v>2319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141">
        <f t="shared" si="6"/>
        <v>28</v>
      </c>
      <c r="J32" s="87" t="s">
        <v>2150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1190</v>
      </c>
      <c r="B33" s="85" t="s">
        <v>2320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141">
        <f t="shared" si="6"/>
        <v>28</v>
      </c>
      <c r="J33" s="87" t="s">
        <v>2151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1190</v>
      </c>
      <c r="B34" s="85" t="s">
        <v>2321</v>
      </c>
      <c r="C34" s="85" t="s">
        <v>1059</v>
      </c>
      <c r="D34" s="73" t="s">
        <v>2300</v>
      </c>
      <c r="E34" s="85" t="s">
        <v>19</v>
      </c>
      <c r="F34" s="85" t="s">
        <v>1297</v>
      </c>
      <c r="G34" s="85"/>
      <c r="H34" s="85" t="s">
        <v>2301</v>
      </c>
      <c r="I34" s="141">
        <f t="shared" si="6"/>
        <v>28</v>
      </c>
      <c r="J34" s="151" t="s">
        <v>2302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2147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3">
        <f t="shared" si="6"/>
        <v>27</v>
      </c>
      <c r="J35" s="146" t="s">
        <v>1678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2277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hidden="1" thickBot="1" x14ac:dyDescent="0.3">
      <c r="A36" s="73" t="s">
        <v>2147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141">
        <f t="shared" si="6"/>
        <v>19</v>
      </c>
      <c r="J36" s="87" t="s">
        <v>2152</v>
      </c>
      <c r="K36" s="141">
        <f t="shared" si="7"/>
        <v>9</v>
      </c>
      <c r="L36" s="142">
        <f t="shared" si="8"/>
        <v>0.6785714285714286</v>
      </c>
      <c r="M36" s="70" t="s">
        <v>2277</v>
      </c>
      <c r="N36" s="70" t="s">
        <v>2277</v>
      </c>
      <c r="O36" s="70" t="s">
        <v>2277</v>
      </c>
      <c r="P36" s="70" t="s">
        <v>2277</v>
      </c>
      <c r="Q36" s="70" t="s">
        <v>2277</v>
      </c>
      <c r="R36" s="70" t="s">
        <v>2277</v>
      </c>
      <c r="S36" s="70" t="s">
        <v>2277</v>
      </c>
      <c r="T36" s="70"/>
      <c r="U36" s="70" t="s">
        <v>2277</v>
      </c>
      <c r="V36" s="70" t="s">
        <v>2277</v>
      </c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hidden="1" thickBot="1" x14ac:dyDescent="0.3">
      <c r="A37" s="73" t="s">
        <v>2147</v>
      </c>
      <c r="B37" s="85" t="s">
        <v>2143</v>
      </c>
      <c r="C37" s="73" t="s">
        <v>1059</v>
      </c>
      <c r="D37" s="73" t="s">
        <v>2144</v>
      </c>
      <c r="E37" s="85" t="s">
        <v>19</v>
      </c>
      <c r="F37" s="85" t="s">
        <v>1297</v>
      </c>
      <c r="G37" s="85"/>
      <c r="H37" s="85" t="s">
        <v>2145</v>
      </c>
      <c r="I37" s="141">
        <f t="shared" si="6"/>
        <v>19</v>
      </c>
      <c r="J37" s="87" t="s">
        <v>2146</v>
      </c>
      <c r="K37" s="141">
        <f t="shared" si="7"/>
        <v>9</v>
      </c>
      <c r="L37" s="142">
        <f t="shared" si="8"/>
        <v>0.6785714285714286</v>
      </c>
      <c r="M37" s="70" t="s">
        <v>2277</v>
      </c>
      <c r="N37" s="70" t="s">
        <v>2277</v>
      </c>
      <c r="O37" s="70" t="s">
        <v>2277</v>
      </c>
      <c r="P37" s="70" t="s">
        <v>2277</v>
      </c>
      <c r="Q37" s="70" t="s">
        <v>2277</v>
      </c>
      <c r="R37" s="70" t="s">
        <v>2277</v>
      </c>
      <c r="S37" s="70" t="s">
        <v>2277</v>
      </c>
      <c r="T37" s="70"/>
      <c r="U37" s="70" t="s">
        <v>2277</v>
      </c>
      <c r="V37" s="70" t="s">
        <v>2277</v>
      </c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141">
        <f t="shared" si="6"/>
        <v>28</v>
      </c>
      <c r="J38" s="87" t="s">
        <v>2153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31">
        <f t="shared" si="6"/>
        <v>25</v>
      </c>
      <c r="J39" s="146" t="s">
        <v>1679</v>
      </c>
      <c r="K39" s="31">
        <f t="shared" si="7"/>
        <v>3</v>
      </c>
      <c r="L39" s="32">
        <f t="shared" si="8"/>
        <v>0.8928571428571429</v>
      </c>
      <c r="M39" s="70" t="s">
        <v>2277</v>
      </c>
      <c r="N39" s="70" t="s">
        <v>2277</v>
      </c>
      <c r="O39" s="70" t="s">
        <v>2277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31">
        <f t="shared" si="6"/>
        <v>25</v>
      </c>
      <c r="J40" s="146" t="s">
        <v>1680</v>
      </c>
      <c r="K40" s="31">
        <f t="shared" si="7"/>
        <v>3</v>
      </c>
      <c r="L40" s="32">
        <f t="shared" si="8"/>
        <v>0.8928571428571429</v>
      </c>
      <c r="M40" s="70" t="s">
        <v>2277</v>
      </c>
      <c r="N40" s="70" t="s">
        <v>2277</v>
      </c>
      <c r="O40" s="70" t="s">
        <v>2277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31">
        <f t="shared" si="6"/>
        <v>28</v>
      </c>
      <c r="J41" s="87" t="s">
        <v>2154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31">
        <f t="shared" si="6"/>
        <v>28</v>
      </c>
      <c r="J42" s="87" t="s">
        <v>2179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31">
        <f t="shared" si="6"/>
        <v>28</v>
      </c>
      <c r="J43" s="87" t="s">
        <v>2180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31">
        <f t="shared" si="6"/>
        <v>25</v>
      </c>
      <c r="J44" s="87" t="s">
        <v>2181</v>
      </c>
      <c r="K44" s="31">
        <f t="shared" si="7"/>
        <v>3</v>
      </c>
      <c r="L44" s="32">
        <f t="shared" si="8"/>
        <v>0.8928571428571429</v>
      </c>
      <c r="M44" s="70" t="s">
        <v>2277</v>
      </c>
      <c r="N44" s="70" t="s">
        <v>2277</v>
      </c>
      <c r="O44" s="70" t="s">
        <v>2277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1452</v>
      </c>
      <c r="B45" s="30" t="s">
        <v>2234</v>
      </c>
      <c r="C45" t="s">
        <v>1059</v>
      </c>
      <c r="D45" t="s">
        <v>2239</v>
      </c>
      <c r="E45" s="30" t="s">
        <v>73</v>
      </c>
      <c r="F45" s="30" t="s">
        <v>28</v>
      </c>
      <c r="G45" s="30"/>
      <c r="H45" s="85" t="s">
        <v>2235</v>
      </c>
      <c r="I45" s="31">
        <f t="shared" si="6"/>
        <v>23</v>
      </c>
      <c r="J45" s="151" t="s">
        <v>2236</v>
      </c>
      <c r="K45" s="31">
        <f t="shared" si="7"/>
        <v>5</v>
      </c>
      <c r="L45" s="32">
        <f t="shared" si="8"/>
        <v>0.8214285714285714</v>
      </c>
      <c r="M45" s="70"/>
      <c r="N45" s="70"/>
      <c r="O45" s="70"/>
      <c r="P45" s="70" t="s">
        <v>2277</v>
      </c>
      <c r="Q45" s="70" t="s">
        <v>2277</v>
      </c>
      <c r="R45" s="70" t="s">
        <v>2277</v>
      </c>
      <c r="S45" s="70" t="s">
        <v>2277</v>
      </c>
      <c r="T45" s="70"/>
      <c r="U45" s="70" t="s">
        <v>2277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1452</v>
      </c>
      <c r="B46" s="30" t="s">
        <v>2237</v>
      </c>
      <c r="C46" t="s">
        <v>1059</v>
      </c>
      <c r="D46" t="s">
        <v>2238</v>
      </c>
      <c r="E46" s="30" t="s">
        <v>73</v>
      </c>
      <c r="F46" s="30" t="s">
        <v>28</v>
      </c>
      <c r="G46" s="30"/>
      <c r="H46" s="85" t="s">
        <v>2240</v>
      </c>
      <c r="I46" s="31">
        <f t="shared" si="6"/>
        <v>23</v>
      </c>
      <c r="J46" s="151" t="s">
        <v>2241</v>
      </c>
      <c r="K46" s="31">
        <f t="shared" si="7"/>
        <v>5</v>
      </c>
      <c r="L46" s="32">
        <f t="shared" si="8"/>
        <v>0.8214285714285714</v>
      </c>
      <c r="M46" s="70"/>
      <c r="N46" s="70"/>
      <c r="O46" s="70"/>
      <c r="P46" s="70" t="s">
        <v>2277</v>
      </c>
      <c r="Q46" s="70" t="s">
        <v>2277</v>
      </c>
      <c r="R46" s="70" t="s">
        <v>2277</v>
      </c>
      <c r="S46" s="70" t="s">
        <v>2277</v>
      </c>
      <c r="T46" s="70"/>
      <c r="U46" s="70" t="s">
        <v>2277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27</v>
      </c>
      <c r="J47" s="146" t="s">
        <v>1681</v>
      </c>
      <c r="K47" s="31">
        <f t="shared" si="7"/>
        <v>1</v>
      </c>
      <c r="L47" s="32">
        <f t="shared" si="8"/>
        <v>0.9642857142857143</v>
      </c>
      <c r="M47" s="70"/>
      <c r="N47" s="70"/>
      <c r="O47" s="70"/>
      <c r="P47" s="70"/>
      <c r="Q47" s="70"/>
      <c r="R47" s="70" t="s">
        <v>2277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27</v>
      </c>
      <c r="J48" s="146" t="s">
        <v>1682</v>
      </c>
      <c r="K48" s="31">
        <f t="shared" si="7"/>
        <v>1</v>
      </c>
      <c r="L48" s="32">
        <f t="shared" si="8"/>
        <v>0.9642857142857143</v>
      </c>
      <c r="M48" s="70"/>
      <c r="N48" s="70"/>
      <c r="O48" s="70"/>
      <c r="P48" s="70"/>
      <c r="Q48" s="70"/>
      <c r="R48" s="70" t="s">
        <v>2277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1683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1684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1685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2277</v>
      </c>
      <c r="O52" s="70" t="s">
        <v>2277</v>
      </c>
      <c r="P52" s="70" t="s">
        <v>2277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1686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1687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1688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1689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1690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1691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141">
        <f t="shared" si="6"/>
        <v>28</v>
      </c>
      <c r="J59" s="146" t="s">
        <v>1692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1693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141">
        <f t="shared" si="6"/>
        <v>24</v>
      </c>
      <c r="J61" s="146" t="s">
        <v>1694</v>
      </c>
      <c r="K61" s="141">
        <f t="shared" si="7"/>
        <v>4</v>
      </c>
      <c r="L61" s="142">
        <f t="shared" si="8"/>
        <v>0.8571428571428571</v>
      </c>
      <c r="M61" s="70" t="s">
        <v>2277</v>
      </c>
      <c r="N61" s="70" t="s">
        <v>2277</v>
      </c>
      <c r="O61" s="70" t="s">
        <v>2277</v>
      </c>
      <c r="P61" s="70" t="s">
        <v>2277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1695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1">
        <f t="shared" si="6"/>
        <v>28</v>
      </c>
      <c r="J63" s="146" t="s">
        <v>1696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1697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1698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141">
        <f t="shared" si="6"/>
        <v>28</v>
      </c>
      <c r="J66" s="146" t="s">
        <v>1699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2316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141">
        <f t="shared" si="6"/>
        <v>28</v>
      </c>
      <c r="J68" s="146" t="s">
        <v>1700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1701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1">
        <f t="shared" si="6"/>
        <v>28</v>
      </c>
      <c r="J70" s="146" t="s">
        <v>1702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27</v>
      </c>
      <c r="J71" s="146" t="s">
        <v>1703</v>
      </c>
      <c r="K71" s="31">
        <f t="shared" si="7"/>
        <v>1</v>
      </c>
      <c r="L71" s="32">
        <f t="shared" si="8"/>
        <v>0.9642857142857143</v>
      </c>
      <c r="M71" s="70"/>
      <c r="N71" s="70"/>
      <c r="O71" s="70"/>
      <c r="P71" s="70"/>
      <c r="Q71" s="70"/>
      <c r="R71" s="70" t="s">
        <v>2277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1">
        <f t="shared" si="6"/>
        <v>28</v>
      </c>
      <c r="J72" s="146" t="s">
        <v>1704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1">
        <f t="shared" si="6"/>
        <v>28</v>
      </c>
      <c r="J73" s="146" t="s">
        <v>1705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1706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24</v>
      </c>
      <c r="J75" s="146" t="s">
        <v>1707</v>
      </c>
      <c r="K75" s="31">
        <f t="shared" si="7"/>
        <v>4</v>
      </c>
      <c r="L75" s="32">
        <f t="shared" si="8"/>
        <v>0.8571428571428571</v>
      </c>
      <c r="M75" s="70"/>
      <c r="N75" s="70"/>
      <c r="O75" s="70"/>
      <c r="P75" s="70" t="s">
        <v>2277</v>
      </c>
      <c r="Q75" s="70"/>
      <c r="R75" s="70" t="s">
        <v>2277</v>
      </c>
      <c r="S75" s="70" t="s">
        <v>2277</v>
      </c>
      <c r="T75" s="70"/>
      <c r="U75" s="70"/>
      <c r="V75" s="70" t="s">
        <v>2277</v>
      </c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1708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1709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1710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1711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1712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27</v>
      </c>
      <c r="J81" s="146" t="s">
        <v>1713</v>
      </c>
      <c r="K81" s="31">
        <f t="shared" si="7"/>
        <v>1</v>
      </c>
      <c r="L81" s="32">
        <f t="shared" si="8"/>
        <v>0.9642857142857143</v>
      </c>
      <c r="M81" s="70"/>
      <c r="N81" s="70"/>
      <c r="O81" s="70"/>
      <c r="P81" s="70"/>
      <c r="Q81" s="70"/>
      <c r="R81" s="70" t="s">
        <v>2277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27</v>
      </c>
      <c r="J82" s="146" t="s">
        <v>1714</v>
      </c>
      <c r="K82" s="31">
        <f t="shared" si="7"/>
        <v>1</v>
      </c>
      <c r="L82" s="32">
        <f t="shared" si="8"/>
        <v>0.9642857142857143</v>
      </c>
      <c r="M82" s="70"/>
      <c r="N82" s="70"/>
      <c r="O82" s="70"/>
      <c r="P82" s="70"/>
      <c r="Q82" s="70"/>
      <c r="R82" s="70" t="s">
        <v>2277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26</v>
      </c>
      <c r="J83" s="146" t="s">
        <v>1715</v>
      </c>
      <c r="K83" s="31">
        <f t="shared" si="7"/>
        <v>2</v>
      </c>
      <c r="L83" s="32">
        <f t="shared" si="8"/>
        <v>0.9285714285714286</v>
      </c>
      <c r="M83" s="70"/>
      <c r="N83" s="70"/>
      <c r="O83" s="70"/>
      <c r="P83" s="70"/>
      <c r="Q83" s="70"/>
      <c r="R83" s="70" t="s">
        <v>2277</v>
      </c>
      <c r="S83" s="70" t="s">
        <v>2277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27</v>
      </c>
      <c r="J84" s="146" t="s">
        <v>1716</v>
      </c>
      <c r="K84" s="31">
        <f t="shared" si="7"/>
        <v>1</v>
      </c>
      <c r="L84" s="32">
        <f t="shared" si="8"/>
        <v>0.9642857142857143</v>
      </c>
      <c r="M84" s="70"/>
      <c r="N84" s="70"/>
      <c r="O84" s="70"/>
      <c r="P84" s="70"/>
      <c r="Q84" s="70"/>
      <c r="R84" s="70" t="s">
        <v>2277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1717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1718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1719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141">
        <f t="shared" si="9"/>
        <v>28</v>
      </c>
      <c r="J88" s="146" t="s">
        <v>1720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25</v>
      </c>
      <c r="J89" s="146" t="s">
        <v>1721</v>
      </c>
      <c r="K89" s="31">
        <f t="shared" si="10"/>
        <v>3</v>
      </c>
      <c r="L89" s="32">
        <f t="shared" si="11"/>
        <v>0.8928571428571429</v>
      </c>
      <c r="M89" s="70"/>
      <c r="N89" s="70"/>
      <c r="O89" s="70"/>
      <c r="P89" s="70" t="s">
        <v>2277</v>
      </c>
      <c r="Q89" s="70"/>
      <c r="R89" s="70"/>
      <c r="S89" s="70"/>
      <c r="T89" s="70"/>
      <c r="U89" s="70" t="s">
        <v>2277</v>
      </c>
      <c r="V89" s="70" t="s">
        <v>2277</v>
      </c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21</v>
      </c>
      <c r="J90" s="146" t="s">
        <v>1722</v>
      </c>
      <c r="K90" s="31">
        <f t="shared" si="10"/>
        <v>7</v>
      </c>
      <c r="L90" s="32">
        <f t="shared" si="11"/>
        <v>0.75</v>
      </c>
      <c r="M90" s="70" t="s">
        <v>2277</v>
      </c>
      <c r="N90" s="70" t="s">
        <v>2277</v>
      </c>
      <c r="O90" s="70" t="s">
        <v>2277</v>
      </c>
      <c r="P90" s="70" t="s">
        <v>2277</v>
      </c>
      <c r="Q90" s="70"/>
      <c r="R90" s="70" t="s">
        <v>2277</v>
      </c>
      <c r="S90" s="70" t="s">
        <v>2277</v>
      </c>
      <c r="T90" s="70"/>
      <c r="U90" s="70"/>
      <c r="V90" s="70" t="s">
        <v>2277</v>
      </c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1723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1724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27</v>
      </c>
      <c r="J93" s="146" t="s">
        <v>1725</v>
      </c>
      <c r="K93" s="31">
        <f t="shared" si="10"/>
        <v>1</v>
      </c>
      <c r="L93" s="32">
        <f t="shared" si="11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 t="s">
        <v>2277</v>
      </c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141">
        <f t="shared" si="9"/>
        <v>28</v>
      </c>
      <c r="J94" s="146" t="s">
        <v>1726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1">
        <f t="shared" si="9"/>
        <v>19</v>
      </c>
      <c r="J95" s="149" t="s">
        <v>1727</v>
      </c>
      <c r="K95" s="31">
        <f t="shared" si="10"/>
        <v>9</v>
      </c>
      <c r="L95" s="32">
        <f t="shared" si="11"/>
        <v>0.6785714285714286</v>
      </c>
      <c r="M95" s="70" t="s">
        <v>2277</v>
      </c>
      <c r="N95" s="70" t="s">
        <v>2277</v>
      </c>
      <c r="O95" s="70" t="s">
        <v>2277</v>
      </c>
      <c r="P95" s="70" t="s">
        <v>2277</v>
      </c>
      <c r="Q95" s="70" t="s">
        <v>2277</v>
      </c>
      <c r="R95" s="70" t="s">
        <v>2277</v>
      </c>
      <c r="S95" s="70" t="s">
        <v>2277</v>
      </c>
      <c r="T95" s="70"/>
      <c r="U95" s="70" t="s">
        <v>2277</v>
      </c>
      <c r="V95" s="70" t="s">
        <v>2277</v>
      </c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141">
        <f t="shared" si="9"/>
        <v>27</v>
      </c>
      <c r="J96" s="146" t="s">
        <v>1728</v>
      </c>
      <c r="K96" s="141">
        <f t="shared" si="10"/>
        <v>1</v>
      </c>
      <c r="L96" s="142">
        <f t="shared" si="11"/>
        <v>0.9642857142857143</v>
      </c>
      <c r="M96" s="70" t="s">
        <v>2277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141">
        <f t="shared" si="9"/>
        <v>28</v>
      </c>
      <c r="J97" s="146" t="s">
        <v>1729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141">
        <f t="shared" si="9"/>
        <v>28</v>
      </c>
      <c r="J98" s="146" t="s">
        <v>1730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141">
        <f t="shared" si="9"/>
        <v>28</v>
      </c>
      <c r="J99" s="146" t="s">
        <v>1731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141">
        <f t="shared" si="9"/>
        <v>28</v>
      </c>
      <c r="J100" s="146" t="s">
        <v>1732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141">
        <f t="shared" si="9"/>
        <v>28</v>
      </c>
      <c r="J101" s="146" t="s">
        <v>1733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141">
        <f t="shared" si="9"/>
        <v>28</v>
      </c>
      <c r="J102" s="146" t="s">
        <v>1734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141">
        <f t="shared" si="9"/>
        <v>28</v>
      </c>
      <c r="J103" s="146" t="s">
        <v>1735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1736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141">
        <f t="shared" si="9"/>
        <v>28</v>
      </c>
      <c r="J105" s="146" t="s">
        <v>1737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1">
        <f t="shared" si="9"/>
        <v>28</v>
      </c>
      <c r="J106" s="146" t="s">
        <v>1738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141">
        <f t="shared" si="9"/>
        <v>28</v>
      </c>
      <c r="J107" s="146" t="s">
        <v>1739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1">
        <f t="shared" si="9"/>
        <v>28</v>
      </c>
      <c r="J108" s="146" t="s">
        <v>1740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1741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1742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141">
        <f t="shared" si="9"/>
        <v>28</v>
      </c>
      <c r="J111" s="146" t="s">
        <v>1743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141">
        <f t="shared" si="9"/>
        <v>28</v>
      </c>
      <c r="J112" s="146" t="s">
        <v>1743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141">
        <f t="shared" si="9"/>
        <v>28</v>
      </c>
      <c r="J113" s="146" t="s">
        <v>1745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141">
        <f t="shared" si="9"/>
        <v>28</v>
      </c>
      <c r="J114" s="146" t="s">
        <v>1744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1746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1747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141">
        <f t="shared" si="9"/>
        <v>28</v>
      </c>
      <c r="J117" s="146" t="s">
        <v>1748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1749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1750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1751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141">
        <f t="shared" si="9"/>
        <v>27</v>
      </c>
      <c r="J121" s="146" t="s">
        <v>1752</v>
      </c>
      <c r="K121" s="141">
        <f t="shared" si="10"/>
        <v>1</v>
      </c>
      <c r="L121" s="142">
        <f t="shared" si="11"/>
        <v>0.9642857142857143</v>
      </c>
      <c r="M121" s="70"/>
      <c r="N121" s="70"/>
      <c r="O121" s="70"/>
      <c r="P121" s="70"/>
      <c r="Q121" s="70"/>
      <c r="R121" s="70"/>
      <c r="S121" s="70"/>
      <c r="T121" s="70"/>
      <c r="U121" s="70" t="s">
        <v>2277</v>
      </c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1">
        <f t="shared" si="9"/>
        <v>28</v>
      </c>
      <c r="J122" s="146" t="s">
        <v>1753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1">
        <f t="shared" si="9"/>
        <v>28</v>
      </c>
      <c r="J123" s="146" t="s">
        <v>1754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1">
        <f t="shared" si="9"/>
        <v>28</v>
      </c>
      <c r="J124" s="146" t="s">
        <v>1755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1">
        <f t="shared" si="9"/>
        <v>28</v>
      </c>
      <c r="J125" s="146" t="s">
        <v>1756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1">
        <f t="shared" si="9"/>
        <v>28</v>
      </c>
      <c r="J126" s="146" t="s">
        <v>1757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1">
        <f t="shared" si="9"/>
        <v>26</v>
      </c>
      <c r="J127" s="146" t="s">
        <v>1758</v>
      </c>
      <c r="K127" s="31">
        <f t="shared" si="10"/>
        <v>2</v>
      </c>
      <c r="L127" s="32">
        <f t="shared" si="11"/>
        <v>0.9285714285714286</v>
      </c>
      <c r="M127" s="70"/>
      <c r="N127" s="70" t="s">
        <v>2277</v>
      </c>
      <c r="O127" s="70" t="s">
        <v>2277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141">
        <f t="shared" si="9"/>
        <v>27</v>
      </c>
      <c r="J128" s="147" t="s">
        <v>1759</v>
      </c>
      <c r="K128" s="141">
        <f t="shared" si="10"/>
        <v>1</v>
      </c>
      <c r="L128" s="142">
        <f t="shared" si="11"/>
        <v>0.9642857142857143</v>
      </c>
      <c r="M128" s="70" t="s">
        <v>2277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141">
        <f t="shared" si="9"/>
        <v>28</v>
      </c>
      <c r="J129" s="146" t="s">
        <v>1760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141">
        <f t="shared" si="9"/>
        <v>27</v>
      </c>
      <c r="J130" s="146" t="s">
        <v>1761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2277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1">
        <f t="shared" si="9"/>
        <v>23</v>
      </c>
      <c r="J131" s="146" t="s">
        <v>1762</v>
      </c>
      <c r="K131" s="31">
        <f t="shared" si="10"/>
        <v>5</v>
      </c>
      <c r="L131" s="32">
        <f t="shared" si="11"/>
        <v>0.8214285714285714</v>
      </c>
      <c r="M131" s="70" t="s">
        <v>2277</v>
      </c>
      <c r="N131" s="70" t="s">
        <v>2277</v>
      </c>
      <c r="O131" s="70"/>
      <c r="P131" s="70" t="s">
        <v>2277</v>
      </c>
      <c r="Q131" s="70"/>
      <c r="R131" s="70" t="s">
        <v>2277</v>
      </c>
      <c r="S131" s="70" t="s">
        <v>2277</v>
      </c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1">
        <f t="shared" si="9"/>
        <v>28</v>
      </c>
      <c r="J132" s="146" t="s">
        <v>1763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141">
        <f t="shared" si="9"/>
        <v>28</v>
      </c>
      <c r="J133" s="146" t="s">
        <v>1764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141">
        <f t="shared" si="9"/>
        <v>28</v>
      </c>
      <c r="J134" s="146" t="s">
        <v>1765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141">
        <f t="shared" si="9"/>
        <v>28</v>
      </c>
      <c r="J135" s="146" t="s">
        <v>1766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141">
        <f t="shared" si="9"/>
        <v>28</v>
      </c>
      <c r="J136" s="146" t="s">
        <v>1767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141">
        <f t="shared" si="9"/>
        <v>28</v>
      </c>
      <c r="J137" s="146" t="s">
        <v>1768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141">
        <f t="shared" si="9"/>
        <v>28</v>
      </c>
      <c r="J138" s="146" t="s">
        <v>1769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141">
        <f t="shared" si="9"/>
        <v>28</v>
      </c>
      <c r="J139" s="146" t="s">
        <v>1770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2114</v>
      </c>
      <c r="I140" s="141">
        <f t="shared" si="9"/>
        <v>28</v>
      </c>
      <c r="J140" s="87" t="s">
        <v>2182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141">
        <f t="shared" si="9"/>
        <v>27</v>
      </c>
      <c r="J141" s="146" t="s">
        <v>1771</v>
      </c>
      <c r="K141" s="141">
        <f t="shared" si="10"/>
        <v>1</v>
      </c>
      <c r="L141" s="142">
        <f t="shared" si="11"/>
        <v>0.9642857142857143</v>
      </c>
      <c r="M141" s="70"/>
      <c r="N141" s="70"/>
      <c r="O141" s="70"/>
      <c r="P141" s="70"/>
      <c r="Q141" s="70"/>
      <c r="R141" s="70" t="s">
        <v>2277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141">
        <f t="shared" si="9"/>
        <v>28</v>
      </c>
      <c r="J142" s="146" t="s">
        <v>1772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2121</v>
      </c>
      <c r="C143" s="85" t="s">
        <v>1058</v>
      </c>
      <c r="D143" s="73" t="s">
        <v>2122</v>
      </c>
      <c r="E143" s="85" t="s">
        <v>19</v>
      </c>
      <c r="F143" s="85" t="s">
        <v>1297</v>
      </c>
      <c r="G143" s="85"/>
      <c r="H143" s="85" t="s">
        <v>2183</v>
      </c>
      <c r="I143" s="141">
        <f t="shared" si="9"/>
        <v>28</v>
      </c>
      <c r="J143" s="146" t="s">
        <v>2184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2211</v>
      </c>
      <c r="C144" s="85" t="s">
        <v>1058</v>
      </c>
      <c r="D144" s="73" t="s">
        <v>2212</v>
      </c>
      <c r="E144" s="85" t="s">
        <v>19</v>
      </c>
      <c r="F144" s="85" t="s">
        <v>1297</v>
      </c>
      <c r="G144" s="85"/>
      <c r="H144" s="85" t="s">
        <v>2213</v>
      </c>
      <c r="I144" s="141">
        <f t="shared" si="9"/>
        <v>28</v>
      </c>
      <c r="J144" s="146" t="s">
        <v>2214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2249</v>
      </c>
      <c r="C145" s="85" t="s">
        <v>1058</v>
      </c>
      <c r="D145" s="73" t="s">
        <v>2250</v>
      </c>
      <c r="E145" s="85" t="s">
        <v>19</v>
      </c>
      <c r="F145" s="30" t="s">
        <v>28</v>
      </c>
      <c r="G145" s="85"/>
      <c r="H145" s="85" t="s">
        <v>2251</v>
      </c>
      <c r="I145" s="141">
        <f t="shared" si="9"/>
        <v>28</v>
      </c>
      <c r="J145" s="146" t="s">
        <v>2252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2309</v>
      </c>
      <c r="C146" s="85" t="s">
        <v>1058</v>
      </c>
      <c r="D146" s="73" t="s">
        <v>2310</v>
      </c>
      <c r="E146" s="85" t="s">
        <v>19</v>
      </c>
      <c r="F146" s="30" t="s">
        <v>28</v>
      </c>
      <c r="G146" s="85"/>
      <c r="H146" s="85" t="s">
        <v>2311</v>
      </c>
      <c r="I146" s="141">
        <f t="shared" si="9"/>
        <v>27</v>
      </c>
      <c r="J146" s="146" t="s">
        <v>2312</v>
      </c>
      <c r="K146" s="141">
        <f t="shared" si="10"/>
        <v>1</v>
      </c>
      <c r="L146" s="142">
        <f t="shared" si="11"/>
        <v>0.9642857142857143</v>
      </c>
      <c r="M146" s="70"/>
      <c r="N146" s="70"/>
      <c r="O146" s="70"/>
      <c r="P146" s="70"/>
      <c r="Q146" s="70"/>
      <c r="R146" s="70" t="s">
        <v>2277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1">
        <f t="shared" si="9"/>
        <v>28</v>
      </c>
      <c r="J147" s="146" t="s">
        <v>1773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1774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1775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2200</v>
      </c>
      <c r="I151" s="31">
        <f t="shared" si="9"/>
        <v>28</v>
      </c>
      <c r="J151" s="146" t="s">
        <v>1776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1">
        <f t="shared" si="9"/>
        <v>20</v>
      </c>
      <c r="J152" s="146" t="s">
        <v>1777</v>
      </c>
      <c r="K152" s="31">
        <f t="shared" si="10"/>
        <v>8</v>
      </c>
      <c r="L152" s="32">
        <f t="shared" si="11"/>
        <v>0.7142857142857143</v>
      </c>
      <c r="M152" s="70" t="s">
        <v>2277</v>
      </c>
      <c r="N152" s="70" t="s">
        <v>2277</v>
      </c>
      <c r="O152" s="70" t="s">
        <v>2277</v>
      </c>
      <c r="P152" s="70" t="s">
        <v>2277</v>
      </c>
      <c r="Q152" s="70" t="s">
        <v>2277</v>
      </c>
      <c r="R152" s="70" t="s">
        <v>2277</v>
      </c>
      <c r="S152" s="70"/>
      <c r="T152" s="70"/>
      <c r="U152" s="70" t="s">
        <v>2277</v>
      </c>
      <c r="V152" s="70" t="s">
        <v>2277</v>
      </c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2277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1">
        <f t="shared" si="9"/>
        <v>28</v>
      </c>
      <c r="J154" s="146" t="s">
        <v>1778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1">
        <f t="shared" si="9"/>
        <v>28</v>
      </c>
      <c r="J156" s="146" t="s">
        <v>1779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1">
        <f t="shared" si="9"/>
        <v>28</v>
      </c>
      <c r="J157" s="146" t="s">
        <v>1780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1">
        <f t="shared" si="9"/>
        <v>28</v>
      </c>
      <c r="J160" s="146" t="s">
        <v>1781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1">
        <f t="shared" si="9"/>
        <v>28</v>
      </c>
      <c r="J161" s="146" t="s">
        <v>1782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31">
        <f t="shared" si="9"/>
        <v>28</v>
      </c>
      <c r="J162" s="146" t="s">
        <v>1783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2115</v>
      </c>
      <c r="C163" s="73" t="s">
        <v>1058</v>
      </c>
      <c r="D163" s="73" t="s">
        <v>2116</v>
      </c>
      <c r="E163" s="85" t="s">
        <v>46</v>
      </c>
      <c r="F163" s="85" t="s">
        <v>1297</v>
      </c>
      <c r="G163" s="85"/>
      <c r="H163" s="85" t="s">
        <v>2119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2201</v>
      </c>
      <c r="I164" s="141">
        <f t="shared" si="9"/>
        <v>28</v>
      </c>
      <c r="J164" s="146" t="s">
        <v>1784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141">
        <f t="shared" ref="I165:I244" si="12">COUNTIF(M165:AN165,"")</f>
        <v>28</v>
      </c>
      <c r="J165" s="146" t="s">
        <v>1785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1325</v>
      </c>
      <c r="B166" s="73" t="s">
        <v>2303</v>
      </c>
      <c r="C166" s="73" t="s">
        <v>1059</v>
      </c>
      <c r="D166" s="73" t="s">
        <v>2304</v>
      </c>
      <c r="E166" s="85" t="s">
        <v>15</v>
      </c>
      <c r="F166" s="85" t="s">
        <v>1297</v>
      </c>
      <c r="G166" s="85"/>
      <c r="H166" s="85" t="s">
        <v>2305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23</v>
      </c>
      <c r="J167" s="146" t="s">
        <v>1786</v>
      </c>
      <c r="K167" s="31">
        <f t="shared" si="13"/>
        <v>5</v>
      </c>
      <c r="L167" s="32">
        <f t="shared" si="14"/>
        <v>0.8214285714285714</v>
      </c>
      <c r="M167" s="70"/>
      <c r="N167" s="70"/>
      <c r="O167" s="70"/>
      <c r="P167" s="70" t="s">
        <v>2277</v>
      </c>
      <c r="Q167" s="70" t="s">
        <v>2277</v>
      </c>
      <c r="R167" s="70" t="s">
        <v>2277</v>
      </c>
      <c r="S167" s="70" t="s">
        <v>2277</v>
      </c>
      <c r="T167" s="70"/>
      <c r="U167" s="70" t="s">
        <v>2277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23</v>
      </c>
      <c r="J168" s="146" t="s">
        <v>1787</v>
      </c>
      <c r="K168" s="31">
        <f t="shared" si="13"/>
        <v>5</v>
      </c>
      <c r="L168" s="32">
        <f t="shared" si="14"/>
        <v>0.8214285714285714</v>
      </c>
      <c r="M168" s="70"/>
      <c r="N168" s="70"/>
      <c r="O168" s="70"/>
      <c r="P168" s="70" t="s">
        <v>2277</v>
      </c>
      <c r="Q168" s="70" t="s">
        <v>2277</v>
      </c>
      <c r="R168" s="70" t="s">
        <v>2277</v>
      </c>
      <c r="S168" s="70" t="s">
        <v>2277</v>
      </c>
      <c r="T168" s="70"/>
      <c r="U168" s="70" t="s">
        <v>2277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1">
        <f t="shared" si="12"/>
        <v>23</v>
      </c>
      <c r="J169" s="146" t="s">
        <v>1788</v>
      </c>
      <c r="K169" s="31">
        <f t="shared" si="13"/>
        <v>5</v>
      </c>
      <c r="L169" s="32">
        <f t="shared" si="14"/>
        <v>0.8214285714285714</v>
      </c>
      <c r="M169" s="70"/>
      <c r="N169" s="70"/>
      <c r="O169" s="70"/>
      <c r="P169" s="70" t="s">
        <v>2277</v>
      </c>
      <c r="Q169" s="70" t="s">
        <v>2277</v>
      </c>
      <c r="R169" s="70" t="s">
        <v>2277</v>
      </c>
      <c r="S169" s="70" t="s">
        <v>2277</v>
      </c>
      <c r="T169" s="70"/>
      <c r="U169" s="70" t="s">
        <v>2277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23</v>
      </c>
      <c r="J170" s="146" t="s">
        <v>1789</v>
      </c>
      <c r="K170" s="31">
        <f t="shared" si="13"/>
        <v>5</v>
      </c>
      <c r="L170" s="32">
        <f t="shared" si="14"/>
        <v>0.8214285714285714</v>
      </c>
      <c r="M170" s="70"/>
      <c r="N170" s="70"/>
      <c r="O170" s="70"/>
      <c r="P170" s="70" t="s">
        <v>2277</v>
      </c>
      <c r="Q170" s="70" t="s">
        <v>2277</v>
      </c>
      <c r="R170" s="70" t="s">
        <v>2277</v>
      </c>
      <c r="S170" s="70" t="s">
        <v>2277</v>
      </c>
      <c r="T170" s="70"/>
      <c r="U170" s="70" t="s">
        <v>2277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1">
        <f t="shared" si="12"/>
        <v>19</v>
      </c>
      <c r="J171" s="146" t="s">
        <v>1790</v>
      </c>
      <c r="K171" s="31">
        <f t="shared" si="13"/>
        <v>9</v>
      </c>
      <c r="L171" s="32">
        <f t="shared" si="14"/>
        <v>0.6785714285714286</v>
      </c>
      <c r="M171" s="70" t="s">
        <v>2277</v>
      </c>
      <c r="N171" s="70" t="s">
        <v>2277</v>
      </c>
      <c r="O171" s="70" t="s">
        <v>2277</v>
      </c>
      <c r="P171" s="70" t="s">
        <v>2277</v>
      </c>
      <c r="Q171" s="70" t="s">
        <v>2277</v>
      </c>
      <c r="R171" s="70" t="s">
        <v>2277</v>
      </c>
      <c r="S171" s="70" t="s">
        <v>2277</v>
      </c>
      <c r="T171" s="70"/>
      <c r="U171" s="70" t="s">
        <v>2277</v>
      </c>
      <c r="V171" s="70" t="s">
        <v>2277</v>
      </c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1">
        <f t="shared" si="12"/>
        <v>19</v>
      </c>
      <c r="J172" s="146" t="s">
        <v>1791</v>
      </c>
      <c r="K172" s="31">
        <f t="shared" si="13"/>
        <v>9</v>
      </c>
      <c r="L172" s="32">
        <f t="shared" si="14"/>
        <v>0.6785714285714286</v>
      </c>
      <c r="M172" s="70" t="s">
        <v>2277</v>
      </c>
      <c r="N172" s="70" t="s">
        <v>2277</v>
      </c>
      <c r="O172" s="70" t="s">
        <v>2277</v>
      </c>
      <c r="P172" s="70" t="s">
        <v>2277</v>
      </c>
      <c r="Q172" s="70" t="s">
        <v>2277</v>
      </c>
      <c r="R172" s="70" t="s">
        <v>2277</v>
      </c>
      <c r="S172" s="70" t="s">
        <v>2277</v>
      </c>
      <c r="T172" s="70"/>
      <c r="U172" s="70" t="s">
        <v>2277</v>
      </c>
      <c r="V172" s="70" t="s">
        <v>2277</v>
      </c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1">
        <f t="shared" si="12"/>
        <v>28</v>
      </c>
      <c r="J173" s="146" t="s">
        <v>1792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1">
        <f t="shared" si="12"/>
        <v>28</v>
      </c>
      <c r="J174" s="146" t="s">
        <v>1793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1">
        <f t="shared" si="12"/>
        <v>28</v>
      </c>
      <c r="J175" s="146" t="s">
        <v>1794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1795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1796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141">
        <f t="shared" si="12"/>
        <v>25</v>
      </c>
      <c r="J178" s="146" t="s">
        <v>1797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2277</v>
      </c>
      <c r="O178" s="70" t="s">
        <v>2277</v>
      </c>
      <c r="P178" s="70"/>
      <c r="Q178" s="70" t="s">
        <v>2277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1">
        <f t="shared" si="12"/>
        <v>28</v>
      </c>
      <c r="J179" s="146" t="s">
        <v>1798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1799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1800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1801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1802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1">
        <f t="shared" si="12"/>
        <v>28</v>
      </c>
      <c r="J185" s="146" t="s">
        <v>1803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1">
        <f t="shared" si="12"/>
        <v>28</v>
      </c>
      <c r="J186" s="146" t="s">
        <v>1804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1">
        <f t="shared" si="12"/>
        <v>19</v>
      </c>
      <c r="J187" s="146" t="s">
        <v>1805</v>
      </c>
      <c r="K187" s="31">
        <f t="shared" si="13"/>
        <v>9</v>
      </c>
      <c r="L187" s="32">
        <f t="shared" si="14"/>
        <v>0.6785714285714286</v>
      </c>
      <c r="M187" s="70" t="s">
        <v>2277</v>
      </c>
      <c r="N187" s="70" t="s">
        <v>2277</v>
      </c>
      <c r="O187" s="70" t="s">
        <v>2277</v>
      </c>
      <c r="P187" s="70" t="s">
        <v>2277</v>
      </c>
      <c r="Q187" s="70" t="s">
        <v>2277</v>
      </c>
      <c r="R187" s="70" t="s">
        <v>2277</v>
      </c>
      <c r="S187" s="70" t="s">
        <v>2277</v>
      </c>
      <c r="T187" s="70"/>
      <c r="U187" s="70" t="s">
        <v>2277</v>
      </c>
      <c r="V187" s="70" t="s">
        <v>2277</v>
      </c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1">
        <f t="shared" si="12"/>
        <v>19</v>
      </c>
      <c r="J188" s="146" t="s">
        <v>1806</v>
      </c>
      <c r="K188" s="31">
        <f t="shared" si="13"/>
        <v>9</v>
      </c>
      <c r="L188" s="32">
        <f t="shared" si="14"/>
        <v>0.6785714285714286</v>
      </c>
      <c r="M188" s="70" t="s">
        <v>2277</v>
      </c>
      <c r="N188" s="70" t="s">
        <v>2277</v>
      </c>
      <c r="O188" s="70" t="s">
        <v>2277</v>
      </c>
      <c r="P188" s="70" t="s">
        <v>2277</v>
      </c>
      <c r="Q188" s="70" t="s">
        <v>2277</v>
      </c>
      <c r="R188" s="70" t="s">
        <v>2277</v>
      </c>
      <c r="S188" s="70" t="s">
        <v>2277</v>
      </c>
      <c r="T188" s="70"/>
      <c r="U188" s="70" t="s">
        <v>2277</v>
      </c>
      <c r="V188" s="70" t="s">
        <v>2277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31">
        <f t="shared" si="12"/>
        <v>28</v>
      </c>
      <c r="J190" s="146" t="s">
        <v>1807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2306</v>
      </c>
      <c r="C191" s="85" t="s">
        <v>1059</v>
      </c>
      <c r="D191" s="73" t="s">
        <v>2307</v>
      </c>
      <c r="E191" s="85" t="s">
        <v>1110</v>
      </c>
      <c r="F191" s="85" t="s">
        <v>1297</v>
      </c>
      <c r="G191" s="85"/>
      <c r="H191" s="85" t="s">
        <v>2308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2159</v>
      </c>
      <c r="C192" s="85" t="s">
        <v>1059</v>
      </c>
      <c r="D192" s="73" t="s">
        <v>2160</v>
      </c>
      <c r="E192" s="85" t="s">
        <v>19</v>
      </c>
      <c r="F192" s="85" t="s">
        <v>1297</v>
      </c>
      <c r="G192" s="85"/>
      <c r="H192" s="85" t="s">
        <v>2161</v>
      </c>
      <c r="I192" s="31">
        <f t="shared" si="12"/>
        <v>28</v>
      </c>
      <c r="J192" s="146" t="s">
        <v>2162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2225</v>
      </c>
      <c r="C193" s="85" t="s">
        <v>1059</v>
      </c>
      <c r="D193" s="73" t="s">
        <v>2226</v>
      </c>
      <c r="E193" s="85" t="s">
        <v>19</v>
      </c>
      <c r="F193" s="85" t="s">
        <v>1297</v>
      </c>
      <c r="G193" s="85"/>
      <c r="H193" s="85" t="s">
        <v>2227</v>
      </c>
      <c r="I193" s="31">
        <f t="shared" si="12"/>
        <v>28</v>
      </c>
      <c r="J193" s="146" t="s">
        <v>2162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2278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31">
        <f t="shared" si="12"/>
        <v>28</v>
      </c>
      <c r="J194" s="146" t="s">
        <v>1808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23</v>
      </c>
      <c r="J195" s="146" t="s">
        <v>1809</v>
      </c>
      <c r="K195" s="31">
        <f t="shared" si="13"/>
        <v>5</v>
      </c>
      <c r="L195" s="32">
        <f t="shared" si="14"/>
        <v>0.8214285714285714</v>
      </c>
      <c r="M195" s="70"/>
      <c r="N195" s="70"/>
      <c r="O195" s="70"/>
      <c r="P195" s="70" t="s">
        <v>2277</v>
      </c>
      <c r="Q195" s="70" t="s">
        <v>2277</v>
      </c>
      <c r="R195" s="70" t="s">
        <v>2277</v>
      </c>
      <c r="S195" s="70" t="s">
        <v>2277</v>
      </c>
      <c r="T195" s="70"/>
      <c r="U195" s="70" t="s">
        <v>2277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23</v>
      </c>
      <c r="J196" s="146" t="s">
        <v>1810</v>
      </c>
      <c r="K196" s="31">
        <f t="shared" si="13"/>
        <v>5</v>
      </c>
      <c r="L196" s="32">
        <f t="shared" si="14"/>
        <v>0.8214285714285714</v>
      </c>
      <c r="M196" s="70"/>
      <c r="N196" s="70"/>
      <c r="O196" s="70"/>
      <c r="P196" s="70" t="s">
        <v>2277</v>
      </c>
      <c r="Q196" s="70" t="s">
        <v>2277</v>
      </c>
      <c r="R196" s="70" t="s">
        <v>2277</v>
      </c>
      <c r="S196" s="70" t="s">
        <v>2277</v>
      </c>
      <c r="T196" s="70"/>
      <c r="U196" s="70" t="s">
        <v>2277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hidden="1" thickBot="1" x14ac:dyDescent="0.3">
      <c r="A197" s="136" t="s">
        <v>217</v>
      </c>
      <c r="B197" s="136" t="s">
        <v>947</v>
      </c>
      <c r="C197" s="136" t="s">
        <v>1059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19</v>
      </c>
      <c r="J197" s="87"/>
      <c r="K197" s="137">
        <f t="shared" si="13"/>
        <v>9</v>
      </c>
      <c r="L197" s="138">
        <f t="shared" si="14"/>
        <v>0.6785714285714286</v>
      </c>
      <c r="M197" s="139" t="s">
        <v>2277</v>
      </c>
      <c r="N197" s="139" t="s">
        <v>2277</v>
      </c>
      <c r="O197" s="139" t="s">
        <v>2277</v>
      </c>
      <c r="P197" s="139" t="s">
        <v>2277</v>
      </c>
      <c r="Q197" s="139" t="s">
        <v>2277</v>
      </c>
      <c r="R197" s="139" t="s">
        <v>2277</v>
      </c>
      <c r="S197" s="139" t="s">
        <v>2277</v>
      </c>
      <c r="T197" s="139"/>
      <c r="U197" s="139" t="s">
        <v>2277</v>
      </c>
      <c r="V197" s="139" t="s">
        <v>2277</v>
      </c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141">
        <f t="shared" si="12"/>
        <v>19</v>
      </c>
      <c r="J198" s="146" t="s">
        <v>1811</v>
      </c>
      <c r="K198" s="141">
        <f t="shared" si="13"/>
        <v>9</v>
      </c>
      <c r="L198" s="142">
        <f t="shared" si="14"/>
        <v>0.6785714285714286</v>
      </c>
      <c r="M198" s="70" t="s">
        <v>2277</v>
      </c>
      <c r="N198" s="70" t="s">
        <v>2277</v>
      </c>
      <c r="O198" s="70" t="s">
        <v>2277</v>
      </c>
      <c r="P198" s="70" t="s">
        <v>2277</v>
      </c>
      <c r="Q198" s="70" t="s">
        <v>2277</v>
      </c>
      <c r="R198" s="70" t="s">
        <v>2277</v>
      </c>
      <c r="S198" s="70" t="s">
        <v>2277</v>
      </c>
      <c r="T198" s="70"/>
      <c r="U198" s="70" t="s">
        <v>2277</v>
      </c>
      <c r="V198" s="70" t="s">
        <v>2277</v>
      </c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141">
        <f t="shared" si="12"/>
        <v>19</v>
      </c>
      <c r="J199" s="146" t="s">
        <v>1812</v>
      </c>
      <c r="K199" s="141">
        <f t="shared" si="13"/>
        <v>9</v>
      </c>
      <c r="L199" s="142">
        <f t="shared" si="14"/>
        <v>0.6785714285714286</v>
      </c>
      <c r="M199" s="70" t="s">
        <v>2277</v>
      </c>
      <c r="N199" s="70" t="s">
        <v>2277</v>
      </c>
      <c r="O199" s="70" t="s">
        <v>2277</v>
      </c>
      <c r="P199" s="70" t="s">
        <v>2277</v>
      </c>
      <c r="Q199" s="70" t="s">
        <v>2277</v>
      </c>
      <c r="R199" s="70" t="s">
        <v>2277</v>
      </c>
      <c r="S199" s="70" t="s">
        <v>2277</v>
      </c>
      <c r="T199" s="70"/>
      <c r="U199" s="70" t="s">
        <v>2277</v>
      </c>
      <c r="V199" s="70" t="s">
        <v>2277</v>
      </c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1">
        <f t="shared" si="12"/>
        <v>28</v>
      </c>
      <c r="J200" s="146" t="s">
        <v>1813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1">
        <f t="shared" si="12"/>
        <v>19</v>
      </c>
      <c r="J201" s="146" t="s">
        <v>1814</v>
      </c>
      <c r="K201" s="31">
        <f t="shared" si="13"/>
        <v>9</v>
      </c>
      <c r="L201" s="32">
        <f t="shared" si="14"/>
        <v>0.6785714285714286</v>
      </c>
      <c r="M201" s="70" t="s">
        <v>2277</v>
      </c>
      <c r="N201" s="70" t="s">
        <v>2277</v>
      </c>
      <c r="O201" s="70" t="s">
        <v>2277</v>
      </c>
      <c r="P201" s="70" t="s">
        <v>2277</v>
      </c>
      <c r="Q201" s="70" t="s">
        <v>2277</v>
      </c>
      <c r="R201" s="70" t="s">
        <v>2277</v>
      </c>
      <c r="S201" s="70" t="s">
        <v>2277</v>
      </c>
      <c r="T201" s="70"/>
      <c r="U201" s="70" t="s">
        <v>2277</v>
      </c>
      <c r="V201" s="70" t="s">
        <v>2277</v>
      </c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1">
        <f t="shared" si="12"/>
        <v>28</v>
      </c>
      <c r="J202" s="146" t="s">
        <v>1815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2322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141">
        <f t="shared" si="12"/>
        <v>28</v>
      </c>
      <c r="J204" s="146" t="s">
        <v>1816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1">
        <f t="shared" si="12"/>
        <v>28</v>
      </c>
      <c r="J205" s="146" t="s">
        <v>1817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1">
        <f t="shared" si="12"/>
        <v>28</v>
      </c>
      <c r="J206" s="146" t="s">
        <v>1818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141">
        <f t="shared" si="12"/>
        <v>28</v>
      </c>
      <c r="J207" s="146" t="s">
        <v>1819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1820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1">
        <f t="shared" si="12"/>
        <v>28</v>
      </c>
      <c r="J209" s="146" t="s">
        <v>1821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1">
        <f t="shared" si="12"/>
        <v>28</v>
      </c>
      <c r="J210" s="146" t="s">
        <v>1822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1">
        <f t="shared" si="12"/>
        <v>28</v>
      </c>
      <c r="J211" s="146" t="s">
        <v>1823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1">
        <f t="shared" si="12"/>
        <v>28</v>
      </c>
      <c r="J212" s="146" t="s">
        <v>1824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1">
        <f t="shared" si="12"/>
        <v>28</v>
      </c>
      <c r="J213" s="146" t="s">
        <v>1825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1">
        <f t="shared" si="12"/>
        <v>28</v>
      </c>
      <c r="J214" s="146" t="s">
        <v>1682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141">
        <f t="shared" si="12"/>
        <v>28</v>
      </c>
      <c r="J215" s="146" t="s">
        <v>1826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141">
        <f t="shared" si="12"/>
        <v>28</v>
      </c>
      <c r="J216" s="146" t="s">
        <v>1827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2196</v>
      </c>
      <c r="C217" s="73" t="s">
        <v>1058</v>
      </c>
      <c r="D217" s="73" t="s">
        <v>2197</v>
      </c>
      <c r="E217" s="85" t="s">
        <v>73</v>
      </c>
      <c r="F217" s="85" t="s">
        <v>1297</v>
      </c>
      <c r="H217" s="85" t="s">
        <v>2198</v>
      </c>
      <c r="I217" s="141">
        <f t="shared" si="12"/>
        <v>28</v>
      </c>
      <c r="J217" s="146" t="s">
        <v>2199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1">
        <f t="shared" si="12"/>
        <v>28</v>
      </c>
      <c r="J218" s="146" t="s">
        <v>1828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2279</v>
      </c>
      <c r="I219" s="141">
        <f t="shared" si="12"/>
        <v>28</v>
      </c>
      <c r="J219" s="146" t="s">
        <v>1829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141">
        <f t="shared" si="12"/>
        <v>28</v>
      </c>
      <c r="J220" s="146" t="s">
        <v>1830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141">
        <f t="shared" si="12"/>
        <v>28</v>
      </c>
      <c r="J221" s="146" t="s">
        <v>1831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2262</v>
      </c>
      <c r="C222" t="s">
        <v>1058</v>
      </c>
      <c r="D222" t="s">
        <v>2263</v>
      </c>
      <c r="E222" s="30" t="s">
        <v>15</v>
      </c>
      <c r="F222" s="85" t="s">
        <v>1297</v>
      </c>
      <c r="G222" s="30"/>
      <c r="H222" s="30" t="s">
        <v>2264</v>
      </c>
      <c r="I222" s="141">
        <f t="shared" si="12"/>
        <v>28</v>
      </c>
      <c r="J222" s="150" t="s">
        <v>2265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1">
        <f t="shared" si="12"/>
        <v>28</v>
      </c>
      <c r="J225" s="146" t="s">
        <v>1832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141">
        <f t="shared" si="12"/>
        <v>28</v>
      </c>
      <c r="J226" s="146" t="s">
        <v>1833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1834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1835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141">
        <f t="shared" si="12"/>
        <v>28</v>
      </c>
      <c r="J229" s="146" t="s">
        <v>1836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141">
        <f t="shared" si="12"/>
        <v>28</v>
      </c>
      <c r="J230" s="146" t="s">
        <v>1837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2280</v>
      </c>
      <c r="C232" s="73" t="s">
        <v>1058</v>
      </c>
      <c r="D232" s="73" t="s">
        <v>2281</v>
      </c>
      <c r="E232" s="85" t="s">
        <v>15</v>
      </c>
      <c r="F232" s="85" t="s">
        <v>1297</v>
      </c>
      <c r="G232" s="85"/>
      <c r="H232" s="85" t="s">
        <v>2282</v>
      </c>
      <c r="I232" s="141">
        <f t="shared" si="12"/>
        <v>28</v>
      </c>
      <c r="J232" s="151" t="s">
        <v>2283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141">
        <f t="shared" si="12"/>
        <v>28</v>
      </c>
      <c r="J233" s="146" t="s">
        <v>1838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141">
        <f t="shared" si="12"/>
        <v>28</v>
      </c>
      <c r="J234" s="146" t="s">
        <v>1839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141">
        <f t="shared" si="12"/>
        <v>28</v>
      </c>
      <c r="J235" s="146" t="s">
        <v>1840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2272</v>
      </c>
      <c r="C236" s="73" t="s">
        <v>1059</v>
      </c>
      <c r="D236" s="73" t="s">
        <v>2273</v>
      </c>
      <c r="E236" s="85" t="s">
        <v>15</v>
      </c>
      <c r="F236" s="85" t="s">
        <v>1297</v>
      </c>
      <c r="G236" s="85"/>
      <c r="H236" s="85" t="s">
        <v>2274</v>
      </c>
      <c r="I236" s="141">
        <f t="shared" si="12"/>
        <v>28</v>
      </c>
      <c r="J236" s="146" t="s">
        <v>2275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20</v>
      </c>
      <c r="J237" s="146" t="s">
        <v>1841</v>
      </c>
      <c r="K237" s="31">
        <f t="shared" si="13"/>
        <v>8</v>
      </c>
      <c r="L237" s="32">
        <f t="shared" si="14"/>
        <v>0.7142857142857143</v>
      </c>
      <c r="M237" s="70" t="s">
        <v>2277</v>
      </c>
      <c r="N237" s="70" t="s">
        <v>2277</v>
      </c>
      <c r="O237" s="70" t="s">
        <v>2277</v>
      </c>
      <c r="P237" s="70"/>
      <c r="Q237" s="70" t="s">
        <v>2277</v>
      </c>
      <c r="R237" s="70" t="s">
        <v>2277</v>
      </c>
      <c r="S237" s="70" t="s">
        <v>2277</v>
      </c>
      <c r="T237" s="70"/>
      <c r="U237" s="70" t="s">
        <v>2277</v>
      </c>
      <c r="V237" s="70" t="s">
        <v>2277</v>
      </c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1842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1">
        <f t="shared" si="12"/>
        <v>28</v>
      </c>
      <c r="J239" s="146" t="s">
        <v>1843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1844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1845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1846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1847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1848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1849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1850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1851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1">
        <f t="shared" si="15"/>
        <v>28</v>
      </c>
      <c r="J248" s="146" t="s">
        <v>1852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1853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19</v>
      </c>
      <c r="J250" s="146" t="s">
        <v>1854</v>
      </c>
      <c r="K250" s="31">
        <f t="shared" si="16"/>
        <v>9</v>
      </c>
      <c r="L250" s="32">
        <f t="shared" si="17"/>
        <v>0.6785714285714286</v>
      </c>
      <c r="M250" s="70" t="s">
        <v>2277</v>
      </c>
      <c r="N250" s="70" t="s">
        <v>2277</v>
      </c>
      <c r="O250" s="70" t="s">
        <v>2277</v>
      </c>
      <c r="P250" s="70" t="s">
        <v>2277</v>
      </c>
      <c r="Q250" s="70" t="s">
        <v>2277</v>
      </c>
      <c r="R250" s="70" t="s">
        <v>2277</v>
      </c>
      <c r="S250" s="70" t="s">
        <v>2277</v>
      </c>
      <c r="T250" s="70"/>
      <c r="U250" s="70" t="s">
        <v>2277</v>
      </c>
      <c r="V250" s="70" t="s">
        <v>2277</v>
      </c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1">
        <f t="shared" si="15"/>
        <v>19</v>
      </c>
      <c r="J251" s="146" t="s">
        <v>1855</v>
      </c>
      <c r="K251" s="31">
        <f t="shared" si="16"/>
        <v>9</v>
      </c>
      <c r="L251" s="32">
        <f t="shared" si="17"/>
        <v>0.6785714285714286</v>
      </c>
      <c r="M251" s="70" t="s">
        <v>2277</v>
      </c>
      <c r="N251" s="70" t="s">
        <v>2277</v>
      </c>
      <c r="O251" s="70" t="s">
        <v>2277</v>
      </c>
      <c r="P251" s="70" t="s">
        <v>2277</v>
      </c>
      <c r="Q251" s="70" t="s">
        <v>2277</v>
      </c>
      <c r="R251" s="70" t="s">
        <v>2277</v>
      </c>
      <c r="S251" s="70" t="s">
        <v>2277</v>
      </c>
      <c r="T251" s="70"/>
      <c r="U251" s="70" t="s">
        <v>2277</v>
      </c>
      <c r="V251" s="70" t="s">
        <v>2277</v>
      </c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2248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1">
        <f t="shared" si="15"/>
        <v>28</v>
      </c>
      <c r="J253" s="146" t="s">
        <v>1811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hidden="1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20</v>
      </c>
      <c r="J254" s="146" t="s">
        <v>1856</v>
      </c>
      <c r="K254" s="31">
        <f t="shared" si="16"/>
        <v>8</v>
      </c>
      <c r="L254" s="32">
        <f t="shared" si="17"/>
        <v>0.7142857142857143</v>
      </c>
      <c r="M254" s="70" t="s">
        <v>2277</v>
      </c>
      <c r="N254" s="70" t="s">
        <v>2277</v>
      </c>
      <c r="O254" s="70" t="s">
        <v>2277</v>
      </c>
      <c r="P254" s="70" t="s">
        <v>2277</v>
      </c>
      <c r="Q254" s="70" t="s">
        <v>2277</v>
      </c>
      <c r="R254" s="70" t="s">
        <v>2277</v>
      </c>
      <c r="S254" s="70" t="s">
        <v>2277</v>
      </c>
      <c r="T254" s="70"/>
      <c r="U254" s="70"/>
      <c r="V254" s="70" t="s">
        <v>2277</v>
      </c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hidden="1" thickBot="1" x14ac:dyDescent="0.3">
      <c r="A255" s="69" t="s">
        <v>287</v>
      </c>
      <c r="B255" s="69" t="s">
        <v>2290</v>
      </c>
      <c r="C255" t="s">
        <v>1059</v>
      </c>
      <c r="D255" s="69" t="s">
        <v>2291</v>
      </c>
      <c r="E255" s="30" t="s">
        <v>73</v>
      </c>
      <c r="F255" s="85" t="s">
        <v>1297</v>
      </c>
      <c r="G255" s="30"/>
      <c r="H255" s="152" t="s">
        <v>2292</v>
      </c>
      <c r="I255" s="31">
        <f t="shared" si="15"/>
        <v>19</v>
      </c>
      <c r="J255" s="146" t="s">
        <v>2293</v>
      </c>
      <c r="K255" s="31">
        <f t="shared" si="16"/>
        <v>9</v>
      </c>
      <c r="L255" s="32">
        <f t="shared" si="17"/>
        <v>0.6785714285714286</v>
      </c>
      <c r="M255" s="70" t="s">
        <v>2277</v>
      </c>
      <c r="N255" s="70" t="s">
        <v>2277</v>
      </c>
      <c r="O255" s="70" t="s">
        <v>2277</v>
      </c>
      <c r="P255" s="70" t="s">
        <v>2277</v>
      </c>
      <c r="Q255" s="70" t="s">
        <v>2277</v>
      </c>
      <c r="R255" s="70" t="s">
        <v>2277</v>
      </c>
      <c r="S255" s="70" t="s">
        <v>2277</v>
      </c>
      <c r="T255" s="70"/>
      <c r="U255" s="70" t="s">
        <v>2277</v>
      </c>
      <c r="V255" s="70" t="s">
        <v>2277</v>
      </c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2294</v>
      </c>
      <c r="C256" t="s">
        <v>1059</v>
      </c>
      <c r="D256" t="s">
        <v>2291</v>
      </c>
      <c r="E256" s="30" t="s">
        <v>15</v>
      </c>
      <c r="F256" s="85" t="s">
        <v>1297</v>
      </c>
      <c r="G256" s="30"/>
      <c r="H256" s="30" t="s">
        <v>2295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2296</v>
      </c>
      <c r="C257" t="s">
        <v>1059</v>
      </c>
      <c r="D257" t="s">
        <v>2297</v>
      </c>
      <c r="E257" s="30" t="s">
        <v>15</v>
      </c>
      <c r="F257" s="85" t="s">
        <v>1297</v>
      </c>
      <c r="G257" s="30"/>
      <c r="H257" s="30" t="s">
        <v>2298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1">
        <f t="shared" si="15"/>
        <v>28</v>
      </c>
      <c r="J259" s="146" t="s">
        <v>1857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1">
        <f t="shared" si="15"/>
        <v>28</v>
      </c>
      <c r="J260" s="146" t="s">
        <v>1858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141">
        <f t="shared" si="15"/>
        <v>28</v>
      </c>
      <c r="J261" s="146" t="s">
        <v>1859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141">
        <f t="shared" si="15"/>
        <v>28</v>
      </c>
      <c r="J262" s="146" t="s">
        <v>1860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1">
        <f t="shared" si="15"/>
        <v>28</v>
      </c>
      <c r="J263" s="146" t="s">
        <v>1861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1">
        <f t="shared" si="15"/>
        <v>27</v>
      </c>
      <c r="J265" s="146" t="s">
        <v>1862</v>
      </c>
      <c r="K265" s="31">
        <f t="shared" si="16"/>
        <v>1</v>
      </c>
      <c r="L265" s="32">
        <f t="shared" si="17"/>
        <v>0.9642857142857143</v>
      </c>
      <c r="M265" s="70"/>
      <c r="N265" s="70"/>
      <c r="O265" s="70"/>
      <c r="P265" s="70"/>
      <c r="Q265" s="70"/>
      <c r="R265" s="70" t="s">
        <v>2277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1">
        <f t="shared" si="15"/>
        <v>27</v>
      </c>
      <c r="J266" s="146" t="s">
        <v>1863</v>
      </c>
      <c r="K266" s="31">
        <f t="shared" si="16"/>
        <v>1</v>
      </c>
      <c r="L266" s="32">
        <f t="shared" si="17"/>
        <v>0.9642857142857143</v>
      </c>
      <c r="M266" s="70"/>
      <c r="N266" s="70"/>
      <c r="O266" s="70"/>
      <c r="P266" s="70"/>
      <c r="Q266" s="70"/>
      <c r="R266" s="70" t="s">
        <v>2277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141">
        <f t="shared" si="15"/>
        <v>28</v>
      </c>
      <c r="J267" s="146" t="s">
        <v>1864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1">
        <f t="shared" si="15"/>
        <v>28</v>
      </c>
      <c r="J268" s="146" t="s">
        <v>1865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1866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1853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1867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1">
        <f t="shared" si="15"/>
        <v>22</v>
      </c>
      <c r="J272" s="146" t="s">
        <v>1868</v>
      </c>
      <c r="K272" s="31">
        <f t="shared" si="16"/>
        <v>6</v>
      </c>
      <c r="L272" s="32">
        <f t="shared" si="17"/>
        <v>0.7857142857142857</v>
      </c>
      <c r="M272" s="70" t="s">
        <v>2277</v>
      </c>
      <c r="N272" s="70" t="s">
        <v>2277</v>
      </c>
      <c r="O272" s="70" t="s">
        <v>2277</v>
      </c>
      <c r="P272" s="70" t="s">
        <v>2277</v>
      </c>
      <c r="Q272" s="70" t="s">
        <v>2277</v>
      </c>
      <c r="R272" s="70" t="s">
        <v>2277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141">
        <f t="shared" si="15"/>
        <v>28</v>
      </c>
      <c r="J273" s="146" t="s">
        <v>1869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1">
        <f t="shared" si="15"/>
        <v>28</v>
      </c>
      <c r="J274" s="146" t="s">
        <v>1870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1871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2323</v>
      </c>
      <c r="I276" s="31">
        <f t="shared" si="15"/>
        <v>27</v>
      </c>
      <c r="J276" s="149" t="s">
        <v>1872</v>
      </c>
      <c r="K276" s="31">
        <f t="shared" si="16"/>
        <v>1</v>
      </c>
      <c r="L276" s="32">
        <f t="shared" si="17"/>
        <v>0.9642857142857143</v>
      </c>
      <c r="M276" s="70"/>
      <c r="N276" s="70"/>
      <c r="O276" s="70"/>
      <c r="P276" s="70"/>
      <c r="Q276" s="70"/>
      <c r="R276" s="70" t="s">
        <v>2277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1">
        <f t="shared" si="15"/>
        <v>27</v>
      </c>
      <c r="J277" s="146" t="s">
        <v>1873</v>
      </c>
      <c r="K277" s="31">
        <f t="shared" si="16"/>
        <v>1</v>
      </c>
      <c r="L277" s="32">
        <f t="shared" si="17"/>
        <v>0.9642857142857143</v>
      </c>
      <c r="M277" s="70"/>
      <c r="N277" s="70"/>
      <c r="O277" s="70"/>
      <c r="P277" s="70"/>
      <c r="Q277" s="70"/>
      <c r="R277" s="70" t="s">
        <v>2277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141">
        <f t="shared" si="15"/>
        <v>28</v>
      </c>
      <c r="J278" s="146" t="s">
        <v>1874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141">
        <f t="shared" si="15"/>
        <v>28</v>
      </c>
      <c r="J279" s="146" t="s">
        <v>1875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141">
        <f t="shared" si="15"/>
        <v>28</v>
      </c>
      <c r="J280" s="146" t="s">
        <v>1876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2202</v>
      </c>
      <c r="B281" t="s">
        <v>2203</v>
      </c>
      <c r="C281" t="s">
        <v>1059</v>
      </c>
      <c r="D281" t="s">
        <v>2204</v>
      </c>
      <c r="E281" s="30" t="s">
        <v>19</v>
      </c>
      <c r="F281" s="85" t="s">
        <v>1297</v>
      </c>
      <c r="G281" s="30"/>
      <c r="H281" s="30" t="s">
        <v>2205</v>
      </c>
      <c r="I281" s="141">
        <f t="shared" si="15"/>
        <v>28</v>
      </c>
      <c r="J281" s="146" t="s">
        <v>2206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2202</v>
      </c>
      <c r="B282" t="s">
        <v>2207</v>
      </c>
      <c r="C282" t="s">
        <v>1059</v>
      </c>
      <c r="D282" t="s">
        <v>2209</v>
      </c>
      <c r="E282" s="30" t="s">
        <v>19</v>
      </c>
      <c r="F282" s="85" t="s">
        <v>1297</v>
      </c>
      <c r="G282" s="30"/>
      <c r="H282" s="30" t="s">
        <v>2208</v>
      </c>
      <c r="I282" s="141">
        <f t="shared" si="15"/>
        <v>28</v>
      </c>
      <c r="J282" s="146" t="s">
        <v>2210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1">
        <f t="shared" si="15"/>
        <v>28</v>
      </c>
      <c r="J283" s="146" t="s">
        <v>1877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141">
        <f t="shared" si="15"/>
        <v>28</v>
      </c>
      <c r="J284" s="146" t="s">
        <v>1878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1">
        <f t="shared" si="15"/>
        <v>27</v>
      </c>
      <c r="J285" s="146" t="s">
        <v>1879</v>
      </c>
      <c r="K285" s="31">
        <f t="shared" si="16"/>
        <v>1</v>
      </c>
      <c r="L285" s="32">
        <f t="shared" si="17"/>
        <v>0.9642857142857143</v>
      </c>
      <c r="M285" s="70"/>
      <c r="N285" s="70" t="s">
        <v>2277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141">
        <f t="shared" si="15"/>
        <v>26</v>
      </c>
      <c r="J286" s="146" t="s">
        <v>1880</v>
      </c>
      <c r="K286" s="141">
        <f t="shared" si="16"/>
        <v>2</v>
      </c>
      <c r="L286" s="142">
        <f t="shared" si="17"/>
        <v>0.9285714285714286</v>
      </c>
      <c r="M286" s="70"/>
      <c r="N286" s="70"/>
      <c r="O286" s="70" t="s">
        <v>2277</v>
      </c>
      <c r="P286" s="70"/>
      <c r="Q286" s="70"/>
      <c r="R286" s="70" t="s">
        <v>2277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1">
        <f t="shared" si="15"/>
        <v>25</v>
      </c>
      <c r="J287" s="146" t="s">
        <v>1881</v>
      </c>
      <c r="K287" s="141">
        <f t="shared" si="16"/>
        <v>3</v>
      </c>
      <c r="L287" s="142">
        <f t="shared" si="17"/>
        <v>0.8928571428571429</v>
      </c>
      <c r="M287" s="70" t="s">
        <v>2277</v>
      </c>
      <c r="N287" s="70" t="s">
        <v>2277</v>
      </c>
      <c r="O287" s="70"/>
      <c r="P287" s="70"/>
      <c r="Q287" s="70"/>
      <c r="R287" s="70" t="s">
        <v>2277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1">
        <f t="shared" si="15"/>
        <v>28</v>
      </c>
      <c r="J288" s="146" t="s">
        <v>1683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1">
        <f t="shared" si="15"/>
        <v>28</v>
      </c>
      <c r="J289" s="146" t="s">
        <v>1882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141">
        <f t="shared" si="15"/>
        <v>28</v>
      </c>
      <c r="J290" s="146" t="s">
        <v>1883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141">
        <f t="shared" si="15"/>
        <v>23</v>
      </c>
      <c r="J291" s="146" t="s">
        <v>1884</v>
      </c>
      <c r="K291" s="141">
        <f t="shared" si="16"/>
        <v>5</v>
      </c>
      <c r="L291" s="142">
        <f t="shared" si="17"/>
        <v>0.8214285714285714</v>
      </c>
      <c r="M291" s="70"/>
      <c r="N291" s="70"/>
      <c r="O291" s="70" t="s">
        <v>2277</v>
      </c>
      <c r="P291" s="70" t="s">
        <v>2277</v>
      </c>
      <c r="Q291" s="70" t="s">
        <v>2277</v>
      </c>
      <c r="R291" s="70"/>
      <c r="S291" s="70" t="s">
        <v>2277</v>
      </c>
      <c r="T291" s="70"/>
      <c r="U291" s="70"/>
      <c r="V291" s="70" t="s">
        <v>2277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141">
        <f t="shared" si="15"/>
        <v>27</v>
      </c>
      <c r="J292" s="146" t="s">
        <v>1885</v>
      </c>
      <c r="K292" s="141">
        <f t="shared" si="16"/>
        <v>1</v>
      </c>
      <c r="L292" s="142">
        <f t="shared" si="17"/>
        <v>0.9642857142857143</v>
      </c>
      <c r="M292" s="70"/>
      <c r="N292" s="70"/>
      <c r="O292" s="70"/>
      <c r="P292" s="70"/>
      <c r="Q292" s="70"/>
      <c r="R292" s="70"/>
      <c r="S292" s="70" t="s">
        <v>2277</v>
      </c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141">
        <f t="shared" si="15"/>
        <v>28</v>
      </c>
      <c r="J293" s="146" t="s">
        <v>1886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141">
        <f t="shared" si="15"/>
        <v>28</v>
      </c>
      <c r="J294" s="87" t="s">
        <v>2185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1">
        <f t="shared" si="15"/>
        <v>28</v>
      </c>
      <c r="J295" s="146" t="s">
        <v>1887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1">
        <f t="shared" si="15"/>
        <v>28</v>
      </c>
      <c r="J296" s="146" t="s">
        <v>1888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1">
        <f t="shared" si="15"/>
        <v>28</v>
      </c>
      <c r="J297" s="146" t="s">
        <v>1889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1">
        <f t="shared" si="15"/>
        <v>28</v>
      </c>
      <c r="J298" s="146" t="s">
        <v>1890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1">
        <f t="shared" si="15"/>
        <v>28</v>
      </c>
      <c r="J299" s="146" t="s">
        <v>1891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1">
        <f t="shared" si="15"/>
        <v>28</v>
      </c>
      <c r="J300" s="146" t="s">
        <v>1892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1">
        <f t="shared" si="15"/>
        <v>28</v>
      </c>
      <c r="J301" s="146" t="s">
        <v>1893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1">
        <f t="shared" si="15"/>
        <v>28</v>
      </c>
      <c r="J302" s="146" t="s">
        <v>1894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1">
        <f t="shared" si="15"/>
        <v>23</v>
      </c>
      <c r="J303" s="146" t="s">
        <v>1895</v>
      </c>
      <c r="K303" s="31">
        <f t="shared" si="16"/>
        <v>5</v>
      </c>
      <c r="L303" s="32">
        <f t="shared" si="17"/>
        <v>0.8214285714285714</v>
      </c>
      <c r="M303" s="70"/>
      <c r="N303" s="70"/>
      <c r="O303" s="70"/>
      <c r="P303" s="70" t="s">
        <v>2277</v>
      </c>
      <c r="Q303" s="70" t="s">
        <v>2277</v>
      </c>
      <c r="R303" s="70" t="s">
        <v>2277</v>
      </c>
      <c r="S303" s="70" t="s">
        <v>2277</v>
      </c>
      <c r="T303" s="70"/>
      <c r="U303" s="70" t="s">
        <v>2277</v>
      </c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31">
        <f t="shared" si="15"/>
        <v>19</v>
      </c>
      <c r="J304" s="146" t="s">
        <v>1896</v>
      </c>
      <c r="K304" s="31">
        <f t="shared" si="16"/>
        <v>9</v>
      </c>
      <c r="L304" s="32">
        <f t="shared" si="17"/>
        <v>0.6785714285714286</v>
      </c>
      <c r="M304" s="70" t="s">
        <v>2277</v>
      </c>
      <c r="N304" s="70" t="s">
        <v>2277</v>
      </c>
      <c r="O304" s="70" t="s">
        <v>2277</v>
      </c>
      <c r="P304" s="70" t="s">
        <v>2277</v>
      </c>
      <c r="Q304" s="70" t="s">
        <v>2277</v>
      </c>
      <c r="R304" s="70" t="s">
        <v>2277</v>
      </c>
      <c r="S304" s="70" t="s">
        <v>2277</v>
      </c>
      <c r="T304" s="70"/>
      <c r="U304" s="70" t="s">
        <v>2277</v>
      </c>
      <c r="V304" s="70" t="s">
        <v>2277</v>
      </c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1">
        <f t="shared" si="15"/>
        <v>22</v>
      </c>
      <c r="J305" s="146" t="s">
        <v>1897</v>
      </c>
      <c r="K305" s="31">
        <f t="shared" si="16"/>
        <v>6</v>
      </c>
      <c r="L305" s="32">
        <f t="shared" si="17"/>
        <v>0.7857142857142857</v>
      </c>
      <c r="M305" s="70"/>
      <c r="N305" s="70"/>
      <c r="O305" s="70"/>
      <c r="P305" s="70" t="s">
        <v>2277</v>
      </c>
      <c r="Q305" s="70" t="s">
        <v>2277</v>
      </c>
      <c r="R305" s="70" t="s">
        <v>2277</v>
      </c>
      <c r="S305" s="70" t="s">
        <v>2277</v>
      </c>
      <c r="T305" s="70"/>
      <c r="U305" s="70" t="s">
        <v>2277</v>
      </c>
      <c r="V305" s="70" t="s">
        <v>2277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1">
        <f t="shared" si="15"/>
        <v>23</v>
      </c>
      <c r="J306" s="146" t="s">
        <v>1898</v>
      </c>
      <c r="K306" s="31">
        <f t="shared" si="16"/>
        <v>5</v>
      </c>
      <c r="L306" s="32">
        <f t="shared" si="17"/>
        <v>0.8214285714285714</v>
      </c>
      <c r="M306" s="70"/>
      <c r="N306" s="70"/>
      <c r="O306" s="70"/>
      <c r="P306" s="70" t="s">
        <v>2277</v>
      </c>
      <c r="Q306" s="70" t="s">
        <v>2277</v>
      </c>
      <c r="R306" s="70" t="s">
        <v>2277</v>
      </c>
      <c r="S306" s="70" t="s">
        <v>2277</v>
      </c>
      <c r="T306" s="70"/>
      <c r="U306" s="70" t="s">
        <v>2277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1">
        <f t="shared" si="15"/>
        <v>22</v>
      </c>
      <c r="J307" s="146" t="s">
        <v>1899</v>
      </c>
      <c r="K307" s="31">
        <f t="shared" si="16"/>
        <v>6</v>
      </c>
      <c r="L307" s="32">
        <f t="shared" si="17"/>
        <v>0.7857142857142857</v>
      </c>
      <c r="M307" s="70"/>
      <c r="N307" s="70"/>
      <c r="O307" s="70"/>
      <c r="P307" s="70" t="s">
        <v>2277</v>
      </c>
      <c r="Q307" s="70" t="s">
        <v>2277</v>
      </c>
      <c r="R307" s="70" t="s">
        <v>2277</v>
      </c>
      <c r="S307" s="70" t="s">
        <v>2277</v>
      </c>
      <c r="T307" s="70"/>
      <c r="U307" s="70" t="s">
        <v>2277</v>
      </c>
      <c r="V307" s="70" t="s">
        <v>2277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1">
        <f t="shared" si="15"/>
        <v>22</v>
      </c>
      <c r="J308" s="146" t="s">
        <v>1900</v>
      </c>
      <c r="K308" s="31">
        <f t="shared" si="16"/>
        <v>6</v>
      </c>
      <c r="L308" s="32">
        <f t="shared" si="17"/>
        <v>0.7857142857142857</v>
      </c>
      <c r="M308" s="70"/>
      <c r="N308" s="70"/>
      <c r="O308" s="70"/>
      <c r="P308" s="70" t="s">
        <v>2277</v>
      </c>
      <c r="Q308" s="70" t="s">
        <v>2277</v>
      </c>
      <c r="R308" s="70" t="s">
        <v>2277</v>
      </c>
      <c r="S308" s="70" t="s">
        <v>2277</v>
      </c>
      <c r="T308" s="70"/>
      <c r="U308" s="70" t="s">
        <v>2277</v>
      </c>
      <c r="V308" s="70" t="s">
        <v>2277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1">
        <f t="shared" si="15"/>
        <v>28</v>
      </c>
      <c r="J309" s="146" t="s">
        <v>1901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1">
        <f t="shared" si="15"/>
        <v>28</v>
      </c>
      <c r="J310" s="146" t="s">
        <v>1902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1">
        <f t="shared" si="15"/>
        <v>24</v>
      </c>
      <c r="J311" s="146" t="s">
        <v>1903</v>
      </c>
      <c r="K311" s="31">
        <f t="shared" si="16"/>
        <v>4</v>
      </c>
      <c r="L311" s="32">
        <f t="shared" si="17"/>
        <v>0.8571428571428571</v>
      </c>
      <c r="M311" s="70" t="s">
        <v>2277</v>
      </c>
      <c r="N311" s="70" t="s">
        <v>2277</v>
      </c>
      <c r="O311" s="70" t="s">
        <v>2277</v>
      </c>
      <c r="P311" s="70" t="s">
        <v>2277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5"/>
        <v>28</v>
      </c>
      <c r="J312" s="146" t="s">
        <v>1904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5"/>
        <v>28</v>
      </c>
      <c r="J313" s="146" t="s">
        <v>1905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1">
        <f t="shared" si="15"/>
        <v>28</v>
      </c>
      <c r="J314" s="146" t="s">
        <v>1906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141">
        <f t="shared" si="15"/>
        <v>19</v>
      </c>
      <c r="J316" s="146" t="s">
        <v>1907</v>
      </c>
      <c r="K316" s="141">
        <f t="shared" si="16"/>
        <v>9</v>
      </c>
      <c r="L316" s="142">
        <f t="shared" si="17"/>
        <v>0.6785714285714286</v>
      </c>
      <c r="M316" s="70" t="s">
        <v>2277</v>
      </c>
      <c r="N316" s="70" t="s">
        <v>2277</v>
      </c>
      <c r="O316" s="70" t="s">
        <v>2277</v>
      </c>
      <c r="P316" s="70" t="s">
        <v>2277</v>
      </c>
      <c r="Q316" s="70" t="s">
        <v>2277</v>
      </c>
      <c r="R316" s="70" t="s">
        <v>2277</v>
      </c>
      <c r="S316" s="70" t="s">
        <v>2277</v>
      </c>
      <c r="T316" s="70"/>
      <c r="U316" s="70" t="s">
        <v>2277</v>
      </c>
      <c r="V316" s="70" t="s">
        <v>2277</v>
      </c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141">
        <f t="shared" si="15"/>
        <v>28</v>
      </c>
      <c r="J317" s="146" t="s">
        <v>2142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31">
        <f t="shared" ref="I318:I388" si="18">COUNTIF(M318:AN318,"")</f>
        <v>19</v>
      </c>
      <c r="J318" s="146" t="s">
        <v>1908</v>
      </c>
      <c r="K318" s="31">
        <f t="shared" ref="K318:K388" si="19">COUNTIF(M318:AN318,"APAGADO")</f>
        <v>9</v>
      </c>
      <c r="L318" s="32">
        <f t="shared" ref="L318:L388" si="20">(I318)/(K318+I318)</f>
        <v>0.6785714285714286</v>
      </c>
      <c r="M318" s="70" t="s">
        <v>2277</v>
      </c>
      <c r="N318" s="70" t="s">
        <v>2277</v>
      </c>
      <c r="O318" s="70" t="s">
        <v>2277</v>
      </c>
      <c r="P318" s="70" t="s">
        <v>2277</v>
      </c>
      <c r="Q318" s="70" t="s">
        <v>2277</v>
      </c>
      <c r="R318" s="70" t="s">
        <v>2277</v>
      </c>
      <c r="S318" s="70" t="s">
        <v>2277</v>
      </c>
      <c r="T318" s="70"/>
      <c r="U318" s="70" t="s">
        <v>2277</v>
      </c>
      <c r="V318" s="70" t="s">
        <v>2277</v>
      </c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141">
        <f t="shared" si="18"/>
        <v>19</v>
      </c>
      <c r="J319" s="146" t="s">
        <v>1909</v>
      </c>
      <c r="K319" s="141">
        <f t="shared" si="19"/>
        <v>9</v>
      </c>
      <c r="L319" s="142">
        <f t="shared" si="20"/>
        <v>0.6785714285714286</v>
      </c>
      <c r="M319" s="70" t="s">
        <v>2277</v>
      </c>
      <c r="N319" s="70" t="s">
        <v>2277</v>
      </c>
      <c r="O319" s="70" t="s">
        <v>2277</v>
      </c>
      <c r="P319" s="70" t="s">
        <v>2277</v>
      </c>
      <c r="Q319" s="70" t="s">
        <v>2277</v>
      </c>
      <c r="R319" s="70" t="s">
        <v>2277</v>
      </c>
      <c r="S319" s="70" t="s">
        <v>2277</v>
      </c>
      <c r="T319" s="70"/>
      <c r="U319" s="70" t="s">
        <v>2277</v>
      </c>
      <c r="V319" s="70" t="s">
        <v>2277</v>
      </c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141">
        <f t="shared" si="18"/>
        <v>19</v>
      </c>
      <c r="J320" s="87" t="s">
        <v>2186</v>
      </c>
      <c r="K320" s="141">
        <f t="shared" si="19"/>
        <v>9</v>
      </c>
      <c r="L320" s="142">
        <f t="shared" si="20"/>
        <v>0.6785714285714286</v>
      </c>
      <c r="M320" s="70" t="s">
        <v>2277</v>
      </c>
      <c r="N320" s="70" t="s">
        <v>2277</v>
      </c>
      <c r="O320" s="70" t="s">
        <v>2277</v>
      </c>
      <c r="P320" s="70" t="s">
        <v>2277</v>
      </c>
      <c r="Q320" s="70" t="s">
        <v>2277</v>
      </c>
      <c r="R320" s="70" t="s">
        <v>2277</v>
      </c>
      <c r="S320" s="70" t="s">
        <v>2277</v>
      </c>
      <c r="T320" s="70"/>
      <c r="U320" s="70" t="s">
        <v>2277</v>
      </c>
      <c r="V320" s="70" t="s">
        <v>2277</v>
      </c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141">
        <f t="shared" si="18"/>
        <v>19</v>
      </c>
      <c r="J321" s="146" t="s">
        <v>1910</v>
      </c>
      <c r="K321" s="141">
        <f t="shared" si="19"/>
        <v>9</v>
      </c>
      <c r="L321" s="142">
        <f t="shared" si="20"/>
        <v>0.6785714285714286</v>
      </c>
      <c r="M321" s="70" t="s">
        <v>2277</v>
      </c>
      <c r="N321" s="70" t="s">
        <v>2277</v>
      </c>
      <c r="O321" s="70" t="s">
        <v>2277</v>
      </c>
      <c r="P321" s="70" t="s">
        <v>2277</v>
      </c>
      <c r="Q321" s="70" t="s">
        <v>2277</v>
      </c>
      <c r="R321" s="70" t="s">
        <v>2277</v>
      </c>
      <c r="S321" s="70" t="s">
        <v>2277</v>
      </c>
      <c r="T321" s="70"/>
      <c r="U321" s="70" t="s">
        <v>2277</v>
      </c>
      <c r="V321" s="70" t="s">
        <v>2277</v>
      </c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1">
        <f t="shared" si="18"/>
        <v>23</v>
      </c>
      <c r="J322" s="146" t="s">
        <v>1911</v>
      </c>
      <c r="K322" s="31">
        <f t="shared" si="19"/>
        <v>5</v>
      </c>
      <c r="L322" s="32">
        <f t="shared" si="20"/>
        <v>0.8214285714285714</v>
      </c>
      <c r="M322" s="70"/>
      <c r="N322" s="70" t="s">
        <v>2277</v>
      </c>
      <c r="O322" s="70" t="s">
        <v>2277</v>
      </c>
      <c r="P322" s="70"/>
      <c r="Q322" s="70"/>
      <c r="R322" s="70" t="s">
        <v>2277</v>
      </c>
      <c r="S322" s="70" t="s">
        <v>2277</v>
      </c>
      <c r="T322" s="70"/>
      <c r="U322" s="70"/>
      <c r="V322" s="70" t="s">
        <v>2277</v>
      </c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1">
        <f t="shared" si="18"/>
        <v>28</v>
      </c>
      <c r="J323" s="146" t="s">
        <v>1912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1">
        <f t="shared" si="18"/>
        <v>28</v>
      </c>
      <c r="J324" s="146" t="s">
        <v>1913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1">
        <f t="shared" si="18"/>
        <v>28</v>
      </c>
      <c r="J325" s="146" t="s">
        <v>1914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8"/>
        <v>28</v>
      </c>
      <c r="J326" s="146" t="s">
        <v>1915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1">
        <f t="shared" si="18"/>
        <v>28</v>
      </c>
      <c r="J327" s="146" t="s">
        <v>1916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1">
        <f t="shared" si="18"/>
        <v>28</v>
      </c>
      <c r="J328" s="146" t="s">
        <v>1917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1">
        <f t="shared" si="18"/>
        <v>28</v>
      </c>
      <c r="J329" s="146" t="s">
        <v>1918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1">
        <f t="shared" si="18"/>
        <v>28</v>
      </c>
      <c r="J330" s="146" t="s">
        <v>1919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1">
        <f t="shared" si="18"/>
        <v>28</v>
      </c>
      <c r="J331" s="146" t="s">
        <v>1920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1">
        <f t="shared" si="18"/>
        <v>28</v>
      </c>
      <c r="J332" s="146" t="s">
        <v>1921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1">
        <f t="shared" si="18"/>
        <v>28</v>
      </c>
      <c r="J333" s="146" t="s">
        <v>1922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1">
        <f t="shared" si="18"/>
        <v>25</v>
      </c>
      <c r="J334" s="146" t="s">
        <v>1923</v>
      </c>
      <c r="K334" s="31">
        <f t="shared" si="19"/>
        <v>3</v>
      </c>
      <c r="L334" s="32">
        <f t="shared" si="20"/>
        <v>0.8928571428571429</v>
      </c>
      <c r="M334" s="70" t="s">
        <v>2277</v>
      </c>
      <c r="N334" s="70" t="s">
        <v>2277</v>
      </c>
      <c r="O334" s="70" t="s">
        <v>2277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1">
        <f t="shared" si="18"/>
        <v>25</v>
      </c>
      <c r="J335" s="146" t="s">
        <v>1924</v>
      </c>
      <c r="K335" s="31">
        <f t="shared" si="19"/>
        <v>3</v>
      </c>
      <c r="L335" s="32">
        <f t="shared" si="20"/>
        <v>0.8928571428571429</v>
      </c>
      <c r="M335" s="70" t="s">
        <v>2277</v>
      </c>
      <c r="N335" s="70" t="s">
        <v>2277</v>
      </c>
      <c r="O335" s="70" t="s">
        <v>2277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1">
        <f t="shared" si="18"/>
        <v>25</v>
      </c>
      <c r="J336" s="146" t="s">
        <v>1925</v>
      </c>
      <c r="K336" s="31">
        <f t="shared" si="19"/>
        <v>3</v>
      </c>
      <c r="L336" s="32">
        <f t="shared" si="20"/>
        <v>0.8928571428571429</v>
      </c>
      <c r="M336" s="70" t="s">
        <v>2277</v>
      </c>
      <c r="N336" s="70" t="s">
        <v>2277</v>
      </c>
      <c r="O336" s="70" t="s">
        <v>2277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1">
        <f t="shared" si="18"/>
        <v>25</v>
      </c>
      <c r="J337" s="146" t="s">
        <v>1926</v>
      </c>
      <c r="K337" s="31">
        <f t="shared" si="19"/>
        <v>3</v>
      </c>
      <c r="L337" s="32">
        <f t="shared" si="20"/>
        <v>0.8928571428571429</v>
      </c>
      <c r="M337" s="70" t="s">
        <v>2277</v>
      </c>
      <c r="N337" s="70" t="s">
        <v>2277</v>
      </c>
      <c r="O337" s="70" t="s">
        <v>2277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2246</v>
      </c>
      <c r="C338" t="s">
        <v>1059</v>
      </c>
      <c r="D338" s="68" t="s">
        <v>2228</v>
      </c>
      <c r="E338" s="85" t="s">
        <v>15</v>
      </c>
      <c r="F338" s="30" t="s">
        <v>28</v>
      </c>
      <c r="G338" s="30"/>
      <c r="H338" s="30" t="s">
        <v>2247</v>
      </c>
      <c r="I338" s="31">
        <f t="shared" si="18"/>
        <v>25</v>
      </c>
      <c r="J338" s="151" t="s">
        <v>2229</v>
      </c>
      <c r="K338" s="31">
        <f t="shared" si="19"/>
        <v>3</v>
      </c>
      <c r="L338" s="32">
        <f t="shared" si="20"/>
        <v>0.8928571428571429</v>
      </c>
      <c r="M338" s="70" t="s">
        <v>2277</v>
      </c>
      <c r="N338" s="70" t="s">
        <v>2277</v>
      </c>
      <c r="O338" s="70" t="s">
        <v>2277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2230</v>
      </c>
      <c r="C339" t="s">
        <v>1059</v>
      </c>
      <c r="D339" s="68" t="s">
        <v>2231</v>
      </c>
      <c r="E339" s="85" t="s">
        <v>15</v>
      </c>
      <c r="F339" s="30" t="s">
        <v>28</v>
      </c>
      <c r="G339" s="30"/>
      <c r="H339" s="30" t="s">
        <v>2232</v>
      </c>
      <c r="I339" s="31">
        <f t="shared" si="18"/>
        <v>25</v>
      </c>
      <c r="J339" s="146" t="s">
        <v>2233</v>
      </c>
      <c r="K339" s="31">
        <f t="shared" si="19"/>
        <v>3</v>
      </c>
      <c r="L339" s="32">
        <f t="shared" si="20"/>
        <v>0.8928571428571429</v>
      </c>
      <c r="M339" s="70" t="s">
        <v>2277</v>
      </c>
      <c r="N339" s="70" t="s">
        <v>2277</v>
      </c>
      <c r="O339" s="70" t="s">
        <v>2277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7">
        <f t="shared" si="18"/>
        <v>28</v>
      </c>
      <c r="J340" s="146" t="s">
        <v>1927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1">
        <f t="shared" si="18"/>
        <v>28</v>
      </c>
      <c r="J341" s="146" t="s">
        <v>1928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1">
        <f t="shared" si="18"/>
        <v>28</v>
      </c>
      <c r="J342" s="146" t="s">
        <v>1929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1">
        <f t="shared" si="18"/>
        <v>28</v>
      </c>
      <c r="J343" s="146" t="s">
        <v>1930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1">
        <f t="shared" si="18"/>
        <v>28</v>
      </c>
      <c r="J344" s="146" t="s">
        <v>1931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1">
        <f t="shared" si="18"/>
        <v>28</v>
      </c>
      <c r="J345" s="146" t="s">
        <v>1932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1">
        <f t="shared" si="18"/>
        <v>28</v>
      </c>
      <c r="J346" s="146" t="s">
        <v>1933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1">
        <f t="shared" si="18"/>
        <v>28</v>
      </c>
      <c r="J347" s="146" t="s">
        <v>1934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1">
        <f t="shared" si="18"/>
        <v>28</v>
      </c>
      <c r="J348" s="146" t="s">
        <v>1935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1">
        <f t="shared" si="18"/>
        <v>28</v>
      </c>
      <c r="J349" s="146" t="s">
        <v>1936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1">
        <f t="shared" si="18"/>
        <v>28</v>
      </c>
      <c r="J350" s="146" t="s">
        <v>1937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1">
        <f t="shared" si="18"/>
        <v>28</v>
      </c>
      <c r="J351" s="146" t="s">
        <v>1938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1">
        <f t="shared" si="18"/>
        <v>28</v>
      </c>
      <c r="J352" s="146" t="s">
        <v>1939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1">
        <f t="shared" si="18"/>
        <v>28</v>
      </c>
      <c r="J355" s="146" t="s">
        <v>1940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1">
        <f t="shared" si="18"/>
        <v>28</v>
      </c>
      <c r="J358" s="146" t="s">
        <v>1941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141">
        <f t="shared" si="18"/>
        <v>28</v>
      </c>
      <c r="J359" s="146" t="s">
        <v>1942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141">
        <f t="shared" si="18"/>
        <v>28</v>
      </c>
      <c r="J360" s="146" t="s">
        <v>1943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2223</v>
      </c>
      <c r="I361" s="31">
        <f t="shared" si="18"/>
        <v>28</v>
      </c>
      <c r="J361" s="146" t="s">
        <v>1944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2224</v>
      </c>
      <c r="I362" s="31">
        <f t="shared" si="18"/>
        <v>28</v>
      </c>
      <c r="J362" s="146" t="s">
        <v>1945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1">
        <f t="shared" si="18"/>
        <v>28</v>
      </c>
      <c r="J363" s="146" t="s">
        <v>1946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1">
        <f t="shared" si="18"/>
        <v>28</v>
      </c>
      <c r="J364" s="146" t="s">
        <v>1947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1">
        <f t="shared" si="18"/>
        <v>28</v>
      </c>
      <c r="J365" s="146" t="s">
        <v>1948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1">
        <f t="shared" si="18"/>
        <v>28</v>
      </c>
      <c r="J366" s="146" t="s">
        <v>1949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1">
        <f t="shared" si="18"/>
        <v>27</v>
      </c>
      <c r="J367" s="146" t="s">
        <v>1950</v>
      </c>
      <c r="K367" s="31">
        <f t="shared" si="19"/>
        <v>1</v>
      </c>
      <c r="L367" s="32">
        <f t="shared" si="20"/>
        <v>0.9642857142857143</v>
      </c>
      <c r="M367" s="70"/>
      <c r="N367" s="70"/>
      <c r="O367" s="70"/>
      <c r="P367" s="70"/>
      <c r="Q367" s="70"/>
      <c r="R367" s="70" t="s">
        <v>2277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1">
        <f t="shared" si="18"/>
        <v>28</v>
      </c>
      <c r="J368" s="146" t="s">
        <v>1951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31">
        <f t="shared" si="18"/>
        <v>28</v>
      </c>
      <c r="J369" s="146" t="s">
        <v>1952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31">
        <f t="shared" si="18"/>
        <v>28</v>
      </c>
      <c r="J370" s="146" t="s">
        <v>1953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31">
        <f t="shared" si="18"/>
        <v>28</v>
      </c>
      <c r="J371" s="146" t="s">
        <v>1954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31">
        <f t="shared" si="18"/>
        <v>27</v>
      </c>
      <c r="J372" s="146" t="s">
        <v>2136</v>
      </c>
      <c r="K372" s="31">
        <f t="shared" si="19"/>
        <v>1</v>
      </c>
      <c r="L372" s="32">
        <f t="shared" si="20"/>
        <v>0.9642857142857143</v>
      </c>
      <c r="M372" s="70" t="s">
        <v>2277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1">
        <f t="shared" si="18"/>
        <v>28</v>
      </c>
      <c r="J373" s="146" t="s">
        <v>1955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1">
        <f t="shared" si="18"/>
        <v>28</v>
      </c>
      <c r="J374" s="146" t="s">
        <v>1956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2166</v>
      </c>
      <c r="C376" s="73" t="s">
        <v>1058</v>
      </c>
      <c r="D376" s="73" t="s">
        <v>2167</v>
      </c>
      <c r="E376" s="85" t="s">
        <v>73</v>
      </c>
      <c r="F376" s="30" t="s">
        <v>28</v>
      </c>
      <c r="G376"/>
      <c r="H376" s="85" t="s">
        <v>2168</v>
      </c>
      <c r="I376" s="141">
        <f t="shared" si="18"/>
        <v>28</v>
      </c>
      <c r="J376" s="151" t="s">
        <v>2169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1">
        <f t="shared" si="18"/>
        <v>28</v>
      </c>
      <c r="J377" s="146" t="s">
        <v>1957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1">
        <f t="shared" si="18"/>
        <v>28</v>
      </c>
      <c r="J379" s="146" t="s">
        <v>1958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1">
        <f t="shared" si="18"/>
        <v>28</v>
      </c>
      <c r="J380" s="146" t="s">
        <v>1959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1">
        <f t="shared" si="18"/>
        <v>28</v>
      </c>
      <c r="J381" s="146" t="s">
        <v>1960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31">
        <f t="shared" si="18"/>
        <v>28</v>
      </c>
      <c r="J382" s="146" t="s">
        <v>1961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31">
        <f t="shared" si="18"/>
        <v>19</v>
      </c>
      <c r="J383" s="73"/>
      <c r="K383" s="31">
        <f t="shared" si="19"/>
        <v>9</v>
      </c>
      <c r="L383" s="32">
        <f t="shared" si="20"/>
        <v>0.6785714285714286</v>
      </c>
      <c r="M383" s="70" t="s">
        <v>2277</v>
      </c>
      <c r="N383" s="70" t="s">
        <v>2277</v>
      </c>
      <c r="O383" s="70" t="s">
        <v>2277</v>
      </c>
      <c r="P383" s="70" t="s">
        <v>2277</v>
      </c>
      <c r="Q383" s="70" t="s">
        <v>2277</v>
      </c>
      <c r="R383" s="70" t="s">
        <v>2277</v>
      </c>
      <c r="S383" s="70" t="s">
        <v>2277</v>
      </c>
      <c r="T383" s="70"/>
      <c r="U383" s="70" t="s">
        <v>2277</v>
      </c>
      <c r="V383" s="70" t="s">
        <v>2277</v>
      </c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2113</v>
      </c>
      <c r="I384" s="141">
        <f t="shared" si="18"/>
        <v>22</v>
      </c>
      <c r="J384" s="146" t="s">
        <v>1962</v>
      </c>
      <c r="K384" s="141">
        <f t="shared" si="19"/>
        <v>6</v>
      </c>
      <c r="L384" s="142">
        <f t="shared" si="20"/>
        <v>0.7857142857142857</v>
      </c>
      <c r="M384" s="70" t="s">
        <v>2277</v>
      </c>
      <c r="N384" s="70" t="s">
        <v>2277</v>
      </c>
      <c r="O384" s="70" t="s">
        <v>2277</v>
      </c>
      <c r="P384" s="70" t="s">
        <v>2277</v>
      </c>
      <c r="Q384" s="70" t="s">
        <v>2277</v>
      </c>
      <c r="R384" s="70" t="s">
        <v>2277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7">
        <f t="shared" si="18"/>
        <v>28</v>
      </c>
      <c r="J385" s="146" t="s">
        <v>1963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1">
        <f t="shared" si="18"/>
        <v>28</v>
      </c>
      <c r="J386" s="146" t="s">
        <v>1964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1">
        <f t="shared" si="18"/>
        <v>28</v>
      </c>
      <c r="J387" s="146" t="s">
        <v>1965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1">
        <f t="shared" si="18"/>
        <v>28</v>
      </c>
      <c r="J388" s="146" t="s">
        <v>1966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31">
        <f t="shared" ref="I389:I470" si="21">COUNTIF(M389:AN389,"")</f>
        <v>19</v>
      </c>
      <c r="J389" s="146" t="s">
        <v>1967</v>
      </c>
      <c r="K389" s="31">
        <f t="shared" ref="K389:K470" si="22">COUNTIF(M389:AN389,"APAGADO")</f>
        <v>9</v>
      </c>
      <c r="L389" s="32">
        <f t="shared" ref="L389:L470" si="23">(I389)/(K389+I389)</f>
        <v>0.6785714285714286</v>
      </c>
      <c r="M389" s="70" t="s">
        <v>2277</v>
      </c>
      <c r="N389" s="70" t="s">
        <v>2277</v>
      </c>
      <c r="O389" s="70" t="s">
        <v>2277</v>
      </c>
      <c r="P389" s="70" t="s">
        <v>2277</v>
      </c>
      <c r="Q389" s="70" t="s">
        <v>2277</v>
      </c>
      <c r="R389" s="70" t="s">
        <v>2277</v>
      </c>
      <c r="S389" s="70" t="s">
        <v>2277</v>
      </c>
      <c r="T389" s="70"/>
      <c r="U389" s="70" t="s">
        <v>2277</v>
      </c>
      <c r="V389" s="70" t="s">
        <v>2277</v>
      </c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31">
        <f t="shared" si="21"/>
        <v>19</v>
      </c>
      <c r="J390" s="146" t="s">
        <v>1968</v>
      </c>
      <c r="K390" s="31">
        <f t="shared" si="22"/>
        <v>9</v>
      </c>
      <c r="L390" s="32">
        <f t="shared" si="23"/>
        <v>0.6785714285714286</v>
      </c>
      <c r="M390" s="70" t="s">
        <v>2277</v>
      </c>
      <c r="N390" s="70" t="s">
        <v>2277</v>
      </c>
      <c r="O390" s="70" t="s">
        <v>2277</v>
      </c>
      <c r="P390" s="70" t="s">
        <v>2277</v>
      </c>
      <c r="Q390" s="70" t="s">
        <v>2277</v>
      </c>
      <c r="R390" s="70" t="s">
        <v>2277</v>
      </c>
      <c r="S390" s="70" t="s">
        <v>2277</v>
      </c>
      <c r="T390" s="70"/>
      <c r="U390" s="70" t="s">
        <v>2277</v>
      </c>
      <c r="V390" s="70" t="s">
        <v>2277</v>
      </c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1">
        <f t="shared" si="21"/>
        <v>28</v>
      </c>
      <c r="J391" s="146" t="s">
        <v>1969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1">
        <f t="shared" si="21"/>
        <v>28</v>
      </c>
      <c r="J392" s="146" t="s">
        <v>1970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1">
        <f t="shared" si="21"/>
        <v>28</v>
      </c>
      <c r="J393" s="146" t="s">
        <v>1971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1">
        <f t="shared" si="21"/>
        <v>28</v>
      </c>
      <c r="J394" s="146" t="s">
        <v>1972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31">
        <f t="shared" si="21"/>
        <v>19</v>
      </c>
      <c r="J395" s="146" t="s">
        <v>1973</v>
      </c>
      <c r="K395" s="31">
        <f t="shared" si="22"/>
        <v>9</v>
      </c>
      <c r="L395" s="32">
        <f t="shared" si="23"/>
        <v>0.6785714285714286</v>
      </c>
      <c r="M395" s="70" t="s">
        <v>2277</v>
      </c>
      <c r="N395" s="70" t="s">
        <v>2277</v>
      </c>
      <c r="O395" s="70" t="s">
        <v>2277</v>
      </c>
      <c r="P395" s="70" t="s">
        <v>2277</v>
      </c>
      <c r="Q395" s="70" t="s">
        <v>2277</v>
      </c>
      <c r="R395" s="70" t="s">
        <v>2277</v>
      </c>
      <c r="S395" s="70" t="s">
        <v>2277</v>
      </c>
      <c r="T395" s="70"/>
      <c r="U395" s="70" t="s">
        <v>2277</v>
      </c>
      <c r="V395" s="70" t="s">
        <v>2277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31">
        <f t="shared" si="21"/>
        <v>19</v>
      </c>
      <c r="J396" s="146" t="s">
        <v>1974</v>
      </c>
      <c r="K396" s="31">
        <f t="shared" si="22"/>
        <v>9</v>
      </c>
      <c r="L396" s="32">
        <f t="shared" si="23"/>
        <v>0.6785714285714286</v>
      </c>
      <c r="M396" s="70" t="s">
        <v>2277</v>
      </c>
      <c r="N396" s="70" t="s">
        <v>2277</v>
      </c>
      <c r="O396" s="70" t="s">
        <v>2277</v>
      </c>
      <c r="P396" s="70" t="s">
        <v>2277</v>
      </c>
      <c r="Q396" s="70" t="s">
        <v>2277</v>
      </c>
      <c r="R396" s="70" t="s">
        <v>2277</v>
      </c>
      <c r="S396" s="70" t="s">
        <v>2277</v>
      </c>
      <c r="T396" s="70"/>
      <c r="U396" s="70" t="s">
        <v>2277</v>
      </c>
      <c r="V396" s="70" t="s">
        <v>2277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1">
        <f t="shared" si="21"/>
        <v>19</v>
      </c>
      <c r="J397" s="146" t="s">
        <v>1975</v>
      </c>
      <c r="K397" s="31">
        <f t="shared" si="22"/>
        <v>9</v>
      </c>
      <c r="L397" s="32">
        <f t="shared" si="23"/>
        <v>0.6785714285714286</v>
      </c>
      <c r="M397" s="70" t="s">
        <v>2277</v>
      </c>
      <c r="N397" s="70" t="s">
        <v>2277</v>
      </c>
      <c r="O397" s="70" t="s">
        <v>2277</v>
      </c>
      <c r="P397" s="70" t="s">
        <v>2277</v>
      </c>
      <c r="Q397" s="70" t="s">
        <v>2277</v>
      </c>
      <c r="R397" s="70" t="s">
        <v>2277</v>
      </c>
      <c r="S397" s="70" t="s">
        <v>2277</v>
      </c>
      <c r="T397" s="70"/>
      <c r="U397" s="70" t="s">
        <v>2277</v>
      </c>
      <c r="V397" s="70" t="s">
        <v>2277</v>
      </c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141">
        <f t="shared" si="21"/>
        <v>28</v>
      </c>
      <c r="J398" s="146" t="s">
        <v>1976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31">
        <f t="shared" si="21"/>
        <v>28</v>
      </c>
      <c r="J399" s="146" t="s">
        <v>1977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31">
        <f t="shared" si="21"/>
        <v>28</v>
      </c>
      <c r="J400" s="146" t="s">
        <v>1978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1623</v>
      </c>
      <c r="C401" t="s">
        <v>1058</v>
      </c>
      <c r="D401" t="s">
        <v>2315</v>
      </c>
      <c r="E401" s="30" t="s">
        <v>19</v>
      </c>
      <c r="F401" s="30" t="s">
        <v>28</v>
      </c>
      <c r="G401" s="30"/>
      <c r="H401" s="85" t="s">
        <v>1624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2277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2269</v>
      </c>
      <c r="C402" t="s">
        <v>1058</v>
      </c>
      <c r="D402" t="s">
        <v>2270</v>
      </c>
      <c r="E402" s="30" t="s">
        <v>19</v>
      </c>
      <c r="F402" s="85" t="s">
        <v>1297</v>
      </c>
      <c r="G402" s="30"/>
      <c r="H402" s="85" t="s">
        <v>2271</v>
      </c>
      <c r="I402" s="31">
        <f t="shared" si="21"/>
        <v>19</v>
      </c>
      <c r="J402" s="87"/>
      <c r="K402" s="31">
        <f t="shared" si="22"/>
        <v>9</v>
      </c>
      <c r="L402" s="32">
        <f t="shared" si="23"/>
        <v>0.6785714285714286</v>
      </c>
      <c r="M402" s="70" t="s">
        <v>2277</v>
      </c>
      <c r="N402" s="70" t="s">
        <v>2277</v>
      </c>
      <c r="O402" s="70" t="s">
        <v>2277</v>
      </c>
      <c r="P402" s="84" t="s">
        <v>2277</v>
      </c>
      <c r="Q402" s="84" t="s">
        <v>2277</v>
      </c>
      <c r="R402" s="84" t="s">
        <v>2277</v>
      </c>
      <c r="S402" s="84" t="s">
        <v>2277</v>
      </c>
      <c r="T402" s="84"/>
      <c r="U402" s="84" t="s">
        <v>2277</v>
      </c>
      <c r="V402" s="84" t="s">
        <v>2277</v>
      </c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1">
        <f t="shared" si="21"/>
        <v>20</v>
      </c>
      <c r="J403" s="87"/>
      <c r="K403" s="31">
        <f t="shared" si="22"/>
        <v>8</v>
      </c>
      <c r="L403" s="32">
        <f t="shared" si="23"/>
        <v>0.7142857142857143</v>
      </c>
      <c r="M403" s="70" t="s">
        <v>2277</v>
      </c>
      <c r="N403" s="70" t="s">
        <v>2277</v>
      </c>
      <c r="O403" s="70" t="s">
        <v>2277</v>
      </c>
      <c r="P403" s="70" t="s">
        <v>2277</v>
      </c>
      <c r="Q403" s="70" t="s">
        <v>2277</v>
      </c>
      <c r="R403" s="70" t="s">
        <v>2277</v>
      </c>
      <c r="S403" s="70"/>
      <c r="T403" s="70"/>
      <c r="U403" s="70" t="s">
        <v>2277</v>
      </c>
      <c r="V403" s="70" t="s">
        <v>2277</v>
      </c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141">
        <f t="shared" si="21"/>
        <v>28</v>
      </c>
      <c r="J404" s="146" t="s">
        <v>1979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7">
        <f t="shared" si="21"/>
        <v>20</v>
      </c>
      <c r="J407" s="146" t="s">
        <v>1980</v>
      </c>
      <c r="K407" s="87">
        <f t="shared" si="22"/>
        <v>8</v>
      </c>
      <c r="L407" s="88">
        <f t="shared" si="23"/>
        <v>0.7142857142857143</v>
      </c>
      <c r="M407" s="89" t="s">
        <v>2277</v>
      </c>
      <c r="N407" s="89" t="s">
        <v>2277</v>
      </c>
      <c r="O407" s="89" t="s">
        <v>2277</v>
      </c>
      <c r="P407" s="89" t="s">
        <v>2277</v>
      </c>
      <c r="Q407" s="89" t="s">
        <v>2277</v>
      </c>
      <c r="R407" s="89" t="s">
        <v>2277</v>
      </c>
      <c r="S407" s="89"/>
      <c r="T407" s="89"/>
      <c r="U407" s="89" t="s">
        <v>2277</v>
      </c>
      <c r="V407" s="89" t="s">
        <v>2277</v>
      </c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hidden="1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1">
        <f t="shared" si="21"/>
        <v>20</v>
      </c>
      <c r="J409" s="146" t="s">
        <v>1981</v>
      </c>
      <c r="K409" s="31">
        <f t="shared" si="22"/>
        <v>8</v>
      </c>
      <c r="L409" s="32">
        <f t="shared" si="23"/>
        <v>0.7142857142857143</v>
      </c>
      <c r="M409" s="70" t="s">
        <v>2277</v>
      </c>
      <c r="N409" s="70" t="s">
        <v>2277</v>
      </c>
      <c r="O409" s="70" t="s">
        <v>2277</v>
      </c>
      <c r="P409" s="70" t="s">
        <v>2277</v>
      </c>
      <c r="Q409" s="70" t="s">
        <v>2277</v>
      </c>
      <c r="R409" s="70" t="s">
        <v>2277</v>
      </c>
      <c r="S409" s="70"/>
      <c r="T409" s="70"/>
      <c r="U409" s="70" t="s">
        <v>2277</v>
      </c>
      <c r="V409" s="70" t="s">
        <v>2277</v>
      </c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hidden="1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1">
        <f t="shared" si="21"/>
        <v>20</v>
      </c>
      <c r="J410" s="146" t="s">
        <v>1982</v>
      </c>
      <c r="K410" s="31">
        <f t="shared" si="22"/>
        <v>8</v>
      </c>
      <c r="L410" s="32">
        <f t="shared" si="23"/>
        <v>0.7142857142857143</v>
      </c>
      <c r="M410" s="70" t="s">
        <v>2277</v>
      </c>
      <c r="N410" s="70" t="s">
        <v>2277</v>
      </c>
      <c r="O410" s="70" t="s">
        <v>2277</v>
      </c>
      <c r="P410" s="70" t="s">
        <v>2277</v>
      </c>
      <c r="Q410" s="70" t="s">
        <v>2277</v>
      </c>
      <c r="R410" s="70" t="s">
        <v>2277</v>
      </c>
      <c r="S410" s="70"/>
      <c r="T410" s="70"/>
      <c r="U410" s="70" t="s">
        <v>2277</v>
      </c>
      <c r="V410" s="70" t="s">
        <v>2277</v>
      </c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141">
        <f t="shared" si="21"/>
        <v>20</v>
      </c>
      <c r="J411" s="146" t="s">
        <v>1983</v>
      </c>
      <c r="K411" s="141">
        <f t="shared" si="22"/>
        <v>8</v>
      </c>
      <c r="L411" s="142">
        <f t="shared" si="23"/>
        <v>0.7142857142857143</v>
      </c>
      <c r="M411" s="70" t="s">
        <v>2277</v>
      </c>
      <c r="N411" s="70" t="s">
        <v>2277</v>
      </c>
      <c r="O411" s="70" t="s">
        <v>2277</v>
      </c>
      <c r="P411" s="70" t="s">
        <v>2277</v>
      </c>
      <c r="Q411" s="70" t="s">
        <v>2277</v>
      </c>
      <c r="R411" s="70" t="s">
        <v>2277</v>
      </c>
      <c r="S411" s="70"/>
      <c r="T411" s="70"/>
      <c r="U411" s="70" t="s">
        <v>2277</v>
      </c>
      <c r="V411" s="70" t="s">
        <v>2277</v>
      </c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141">
        <f t="shared" si="21"/>
        <v>21</v>
      </c>
      <c r="J412" s="146" t="s">
        <v>1984</v>
      </c>
      <c r="K412" s="141">
        <f t="shared" si="22"/>
        <v>7</v>
      </c>
      <c r="L412" s="142">
        <f t="shared" si="23"/>
        <v>0.75</v>
      </c>
      <c r="M412" s="70" t="s">
        <v>2277</v>
      </c>
      <c r="N412" s="70" t="s">
        <v>2277</v>
      </c>
      <c r="O412" s="70" t="s">
        <v>2277</v>
      </c>
      <c r="P412" s="70"/>
      <c r="Q412" s="70" t="s">
        <v>2277</v>
      </c>
      <c r="R412" s="70" t="s">
        <v>2277</v>
      </c>
      <c r="S412" s="70"/>
      <c r="T412" s="70"/>
      <c r="U412" s="70" t="s">
        <v>2277</v>
      </c>
      <c r="V412" s="70" t="s">
        <v>2277</v>
      </c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141">
        <f t="shared" si="21"/>
        <v>28</v>
      </c>
      <c r="J415" s="87" t="s">
        <v>2141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2137</v>
      </c>
      <c r="C416" s="73" t="s">
        <v>1059</v>
      </c>
      <c r="D416" s="73" t="s">
        <v>2138</v>
      </c>
      <c r="E416" s="91" t="s">
        <v>19</v>
      </c>
      <c r="F416" s="85" t="s">
        <v>1297</v>
      </c>
      <c r="G416" s="85"/>
      <c r="H416" s="85" t="s">
        <v>2139</v>
      </c>
      <c r="I416" s="141">
        <f t="shared" si="21"/>
        <v>28</v>
      </c>
      <c r="J416" s="87" t="s">
        <v>2140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2261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2190</v>
      </c>
      <c r="I417" s="31">
        <f t="shared" si="21"/>
        <v>28</v>
      </c>
      <c r="J417" s="87" t="s">
        <v>2191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2261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141">
        <f t="shared" si="21"/>
        <v>28</v>
      </c>
      <c r="J418" s="146" t="s">
        <v>1985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2261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141">
        <f t="shared" si="21"/>
        <v>28</v>
      </c>
      <c r="J419" s="146" t="s">
        <v>1986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2261</v>
      </c>
      <c r="B420" s="73" t="s">
        <v>2257</v>
      </c>
      <c r="C420" s="73" t="s">
        <v>1059</v>
      </c>
      <c r="D420" s="73" t="s">
        <v>2258</v>
      </c>
      <c r="E420" s="91" t="s">
        <v>19</v>
      </c>
      <c r="F420" s="85" t="s">
        <v>1297</v>
      </c>
      <c r="G420" s="85"/>
      <c r="H420" s="85" t="s">
        <v>2259</v>
      </c>
      <c r="I420" s="141">
        <f t="shared" si="21"/>
        <v>28</v>
      </c>
      <c r="J420" s="146" t="s">
        <v>2260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141">
        <f t="shared" si="21"/>
        <v>28</v>
      </c>
      <c r="J421" s="146" t="s">
        <v>1987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hidden="1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141">
        <f t="shared" si="21"/>
        <v>25</v>
      </c>
      <c r="J422" s="146" t="s">
        <v>1988</v>
      </c>
      <c r="K422" s="141">
        <f t="shared" si="22"/>
        <v>3</v>
      </c>
      <c r="L422" s="142">
        <f t="shared" si="23"/>
        <v>0.8928571428571429</v>
      </c>
      <c r="M422" s="70"/>
      <c r="N422" s="70"/>
      <c r="O422" s="70"/>
      <c r="P422" s="70"/>
      <c r="Q422" s="70"/>
      <c r="R422" s="70"/>
      <c r="S422" s="70" t="s">
        <v>2277</v>
      </c>
      <c r="T422" s="70"/>
      <c r="U422" s="70" t="s">
        <v>2277</v>
      </c>
      <c r="V422" s="70" t="s">
        <v>2277</v>
      </c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hidden="1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31">
        <f t="shared" si="21"/>
        <v>19</v>
      </c>
      <c r="J423" s="87"/>
      <c r="K423" s="31">
        <f t="shared" si="22"/>
        <v>9</v>
      </c>
      <c r="L423" s="32">
        <f t="shared" si="23"/>
        <v>0.6785714285714286</v>
      </c>
      <c r="M423" s="70" t="s">
        <v>2277</v>
      </c>
      <c r="N423" s="70" t="s">
        <v>2277</v>
      </c>
      <c r="O423" s="70" t="s">
        <v>2277</v>
      </c>
      <c r="P423" s="70" t="s">
        <v>2277</v>
      </c>
      <c r="Q423" s="70" t="s">
        <v>2277</v>
      </c>
      <c r="R423" s="70" t="s">
        <v>2277</v>
      </c>
      <c r="S423" s="70" t="s">
        <v>2277</v>
      </c>
      <c r="T423" s="70"/>
      <c r="U423" s="70" t="s">
        <v>2277</v>
      </c>
      <c r="V423" s="70" t="s">
        <v>2277</v>
      </c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141">
        <f t="shared" si="21"/>
        <v>28</v>
      </c>
      <c r="J424" s="146" t="s">
        <v>1989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1">
        <f t="shared" si="21"/>
        <v>28</v>
      </c>
      <c r="J425" s="146" t="s">
        <v>1990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141">
        <f t="shared" si="21"/>
        <v>28</v>
      </c>
      <c r="J427" s="73" t="s">
        <v>1991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1">
        <f t="shared" si="21"/>
        <v>28</v>
      </c>
      <c r="J428" s="146" t="s">
        <v>1992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1">
        <f t="shared" si="21"/>
        <v>28</v>
      </c>
      <c r="J429" s="146" t="s">
        <v>1993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31">
        <f t="shared" si="21"/>
        <v>24</v>
      </c>
      <c r="J430" s="146" t="s">
        <v>1994</v>
      </c>
      <c r="K430" s="31">
        <f t="shared" si="22"/>
        <v>4</v>
      </c>
      <c r="L430" s="32">
        <f t="shared" si="23"/>
        <v>0.8571428571428571</v>
      </c>
      <c r="M430" s="70"/>
      <c r="N430" s="70" t="s">
        <v>2277</v>
      </c>
      <c r="O430" s="70" t="s">
        <v>2277</v>
      </c>
      <c r="P430" s="70" t="s">
        <v>2277</v>
      </c>
      <c r="Q430" s="70" t="s">
        <v>2277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31">
        <f t="shared" si="21"/>
        <v>24</v>
      </c>
      <c r="J431" s="146" t="s">
        <v>1995</v>
      </c>
      <c r="K431" s="31">
        <f t="shared" si="22"/>
        <v>4</v>
      </c>
      <c r="L431" s="32">
        <f t="shared" si="23"/>
        <v>0.8571428571428571</v>
      </c>
      <c r="M431" s="70"/>
      <c r="N431" s="70" t="s">
        <v>2277</v>
      </c>
      <c r="O431" s="70" t="s">
        <v>2277</v>
      </c>
      <c r="P431" s="70" t="s">
        <v>2277</v>
      </c>
      <c r="Q431" s="70" t="s">
        <v>2277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1120</v>
      </c>
      <c r="B432" s="73" t="s">
        <v>2242</v>
      </c>
      <c r="C432" s="73" t="s">
        <v>1059</v>
      </c>
      <c r="D432" s="73" t="s">
        <v>2243</v>
      </c>
      <c r="E432" s="85" t="s">
        <v>1110</v>
      </c>
      <c r="F432" s="85"/>
      <c r="G432" s="85"/>
      <c r="H432" s="85" t="s">
        <v>2244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2277</v>
      </c>
      <c r="O432" s="70" t="s">
        <v>2277</v>
      </c>
      <c r="P432" s="70" t="s">
        <v>2277</v>
      </c>
      <c r="Q432" s="70" t="s">
        <v>2277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1">
        <f t="shared" si="21"/>
        <v>28</v>
      </c>
      <c r="J433" s="146" t="s">
        <v>1996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1">
        <f t="shared" si="21"/>
        <v>28</v>
      </c>
      <c r="J434" s="146" t="s">
        <v>1997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1">
        <f t="shared" si="21"/>
        <v>28</v>
      </c>
      <c r="J435" s="146" t="s">
        <v>1998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1">
        <f t="shared" si="21"/>
        <v>28</v>
      </c>
      <c r="J436" s="146" t="s">
        <v>1999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1">
        <f t="shared" si="21"/>
        <v>28</v>
      </c>
      <c r="J437" s="146" t="s">
        <v>2000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1">
        <f t="shared" si="21"/>
        <v>28</v>
      </c>
      <c r="J438" s="146" t="s">
        <v>2001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141">
        <f t="shared" si="21"/>
        <v>28</v>
      </c>
      <c r="J439" s="146" t="s">
        <v>2002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141">
        <f t="shared" si="21"/>
        <v>28</v>
      </c>
      <c r="J440" s="146" t="s">
        <v>2003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1">
        <f t="shared" si="21"/>
        <v>28</v>
      </c>
      <c r="J442" s="146" t="s">
        <v>2004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1">
        <f t="shared" si="21"/>
        <v>28</v>
      </c>
      <c r="J443" s="146" t="s">
        <v>2005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1">
        <f t="shared" si="21"/>
        <v>28</v>
      </c>
      <c r="J444" s="146" t="s">
        <v>2006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1">
        <f t="shared" si="21"/>
        <v>20</v>
      </c>
      <c r="J446" s="87"/>
      <c r="K446" s="31">
        <f t="shared" si="22"/>
        <v>8</v>
      </c>
      <c r="L446" s="32">
        <f t="shared" si="23"/>
        <v>0.7142857142857143</v>
      </c>
      <c r="M446" s="70"/>
      <c r="N446" s="70" t="s">
        <v>2277</v>
      </c>
      <c r="O446" s="70" t="s">
        <v>2277</v>
      </c>
      <c r="P446" s="70" t="s">
        <v>2277</v>
      </c>
      <c r="Q446" s="70" t="s">
        <v>2277</v>
      </c>
      <c r="R446" s="70" t="s">
        <v>2277</v>
      </c>
      <c r="S446" s="70" t="s">
        <v>2277</v>
      </c>
      <c r="T446" s="70"/>
      <c r="U446" s="70" t="s">
        <v>2277</v>
      </c>
      <c r="V446" s="70" t="s">
        <v>2277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1">
        <f t="shared" si="21"/>
        <v>20</v>
      </c>
      <c r="J447" s="87"/>
      <c r="K447" s="31">
        <f t="shared" si="22"/>
        <v>8</v>
      </c>
      <c r="L447" s="32">
        <f t="shared" si="23"/>
        <v>0.7142857142857143</v>
      </c>
      <c r="M447" s="70"/>
      <c r="N447" s="70" t="s">
        <v>2277</v>
      </c>
      <c r="O447" s="70" t="s">
        <v>2277</v>
      </c>
      <c r="P447" s="70" t="s">
        <v>2277</v>
      </c>
      <c r="Q447" s="70" t="s">
        <v>2277</v>
      </c>
      <c r="R447" s="70" t="s">
        <v>2277</v>
      </c>
      <c r="S447" s="70" t="s">
        <v>2277</v>
      </c>
      <c r="T447" s="70"/>
      <c r="U447" s="70" t="s">
        <v>2277</v>
      </c>
      <c r="V447" s="70" t="s">
        <v>2277</v>
      </c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1">
        <f t="shared" si="21"/>
        <v>28</v>
      </c>
      <c r="J449" s="146" t="s">
        <v>2007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hidden="1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1">
        <f t="shared" si="21"/>
        <v>19</v>
      </c>
      <c r="J450" s="146" t="s">
        <v>2008</v>
      </c>
      <c r="K450" s="31">
        <f t="shared" si="22"/>
        <v>9</v>
      </c>
      <c r="L450" s="32">
        <f t="shared" si="23"/>
        <v>0.6785714285714286</v>
      </c>
      <c r="M450" s="70" t="s">
        <v>2277</v>
      </c>
      <c r="N450" s="70" t="s">
        <v>2277</v>
      </c>
      <c r="O450" s="70" t="s">
        <v>2277</v>
      </c>
      <c r="P450" s="70" t="s">
        <v>2277</v>
      </c>
      <c r="Q450" s="70" t="s">
        <v>2277</v>
      </c>
      <c r="R450" s="70" t="s">
        <v>2277</v>
      </c>
      <c r="S450" s="70" t="s">
        <v>2277</v>
      </c>
      <c r="T450" s="70"/>
      <c r="U450" s="70" t="s">
        <v>2277</v>
      </c>
      <c r="V450" s="70" t="s">
        <v>2277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141">
        <f t="shared" si="21"/>
        <v>28</v>
      </c>
      <c r="J451" s="146" t="s">
        <v>2009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141">
        <f t="shared" si="21"/>
        <v>26</v>
      </c>
      <c r="J452" s="146" t="s">
        <v>2010</v>
      </c>
      <c r="K452" s="141">
        <f t="shared" si="22"/>
        <v>2</v>
      </c>
      <c r="L452" s="142">
        <f t="shared" si="23"/>
        <v>0.9285714285714286</v>
      </c>
      <c r="M452" s="70"/>
      <c r="N452" s="70"/>
      <c r="O452" s="70"/>
      <c r="P452" s="70"/>
      <c r="Q452" s="70"/>
      <c r="R452" s="70"/>
      <c r="S452" s="70" t="s">
        <v>2277</v>
      </c>
      <c r="T452" s="70"/>
      <c r="U452" s="70" t="s">
        <v>2277</v>
      </c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141">
        <f t="shared" si="21"/>
        <v>26</v>
      </c>
      <c r="J453" s="146" t="s">
        <v>2011</v>
      </c>
      <c r="K453" s="141">
        <f t="shared" si="22"/>
        <v>2</v>
      </c>
      <c r="L453" s="142">
        <f t="shared" si="23"/>
        <v>0.9285714285714286</v>
      </c>
      <c r="M453" s="70"/>
      <c r="N453" s="70"/>
      <c r="O453" s="70"/>
      <c r="P453" s="70"/>
      <c r="Q453" s="70"/>
      <c r="R453" s="70"/>
      <c r="S453" s="70" t="s">
        <v>2277</v>
      </c>
      <c r="T453" s="70"/>
      <c r="U453" s="70" t="s">
        <v>2277</v>
      </c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1">
        <f t="shared" si="21"/>
        <v>28</v>
      </c>
      <c r="J454" s="146" t="s">
        <v>2012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1">
        <f t="shared" si="21"/>
        <v>28</v>
      </c>
      <c r="J455" s="146" t="s">
        <v>2013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1">
        <f t="shared" si="21"/>
        <v>28</v>
      </c>
      <c r="J456" s="146" t="s">
        <v>2014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1">
        <f t="shared" si="21"/>
        <v>28</v>
      </c>
      <c r="J457" s="146" t="s">
        <v>2015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1595</v>
      </c>
      <c r="B463" s="73" t="s">
        <v>2163</v>
      </c>
      <c r="C463" s="73" t="s">
        <v>1059</v>
      </c>
      <c r="D463" s="145" t="s">
        <v>2164</v>
      </c>
      <c r="E463" s="85"/>
      <c r="F463" s="85" t="s">
        <v>1297</v>
      </c>
      <c r="G463" s="85"/>
      <c r="H463" s="85" t="s">
        <v>2165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141">
        <f t="shared" si="21"/>
        <v>19</v>
      </c>
      <c r="J464" s="146" t="s">
        <v>2016</v>
      </c>
      <c r="K464" s="141">
        <f t="shared" si="22"/>
        <v>9</v>
      </c>
      <c r="L464" s="142">
        <f t="shared" si="23"/>
        <v>0.6785714285714286</v>
      </c>
      <c r="M464" s="70" t="s">
        <v>2277</v>
      </c>
      <c r="N464" s="70" t="s">
        <v>2277</v>
      </c>
      <c r="O464" s="70" t="s">
        <v>2277</v>
      </c>
      <c r="P464" s="70" t="s">
        <v>2277</v>
      </c>
      <c r="Q464" s="70" t="s">
        <v>2277</v>
      </c>
      <c r="R464" s="70" t="s">
        <v>2277</v>
      </c>
      <c r="S464" s="70" t="s">
        <v>2277</v>
      </c>
      <c r="T464" s="70"/>
      <c r="U464" s="70" t="s">
        <v>2277</v>
      </c>
      <c r="V464" s="70" t="s">
        <v>2277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141">
        <f t="shared" si="21"/>
        <v>19</v>
      </c>
      <c r="J465" s="146" t="s">
        <v>2017</v>
      </c>
      <c r="K465" s="141">
        <f t="shared" si="22"/>
        <v>9</v>
      </c>
      <c r="L465" s="142">
        <f t="shared" si="23"/>
        <v>0.6785714285714286</v>
      </c>
      <c r="M465" s="70" t="s">
        <v>2277</v>
      </c>
      <c r="N465" s="70" t="s">
        <v>2277</v>
      </c>
      <c r="O465" s="70" t="s">
        <v>2277</v>
      </c>
      <c r="P465" s="70" t="s">
        <v>2277</v>
      </c>
      <c r="Q465" s="70" t="s">
        <v>2277</v>
      </c>
      <c r="R465" s="70" t="s">
        <v>2277</v>
      </c>
      <c r="S465" s="70" t="s">
        <v>2277</v>
      </c>
      <c r="T465" s="70"/>
      <c r="U465" s="70" t="s">
        <v>2277</v>
      </c>
      <c r="V465" s="70" t="s">
        <v>2277</v>
      </c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141">
        <f t="shared" si="21"/>
        <v>21</v>
      </c>
      <c r="J466" s="87"/>
      <c r="K466" s="141">
        <f t="shared" si="22"/>
        <v>7</v>
      </c>
      <c r="L466" s="142">
        <f t="shared" si="23"/>
        <v>0.75</v>
      </c>
      <c r="M466" s="70" t="s">
        <v>2277</v>
      </c>
      <c r="N466" s="70" t="s">
        <v>2277</v>
      </c>
      <c r="O466" s="70" t="s">
        <v>2277</v>
      </c>
      <c r="P466" s="70"/>
      <c r="Q466" s="70"/>
      <c r="R466" s="70" t="s">
        <v>2277</v>
      </c>
      <c r="S466" s="70" t="s">
        <v>2277</v>
      </c>
      <c r="T466" s="70"/>
      <c r="U466" s="70" t="s">
        <v>2277</v>
      </c>
      <c r="V466" s="70" t="s">
        <v>2277</v>
      </c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433</v>
      </c>
      <c r="B467" s="85" t="s">
        <v>2132</v>
      </c>
      <c r="C467" t="s">
        <v>1058</v>
      </c>
      <c r="D467" s="73" t="s">
        <v>2133</v>
      </c>
      <c r="E467" s="85" t="s">
        <v>15</v>
      </c>
      <c r="F467" s="85" t="s">
        <v>1297</v>
      </c>
      <c r="G467" s="85"/>
      <c r="H467" s="85" t="s">
        <v>2134</v>
      </c>
      <c r="I467" s="141">
        <f t="shared" si="21"/>
        <v>24</v>
      </c>
      <c r="J467" s="151" t="s">
        <v>2135</v>
      </c>
      <c r="K467" s="141">
        <f t="shared" si="22"/>
        <v>4</v>
      </c>
      <c r="L467" s="142">
        <f t="shared" si="23"/>
        <v>0.8571428571428571</v>
      </c>
      <c r="M467" s="70"/>
      <c r="N467" s="70"/>
      <c r="O467" s="70"/>
      <c r="P467" s="70"/>
      <c r="Q467" s="70"/>
      <c r="R467" s="70" t="s">
        <v>2277</v>
      </c>
      <c r="S467" s="70" t="s">
        <v>2277</v>
      </c>
      <c r="T467" s="70"/>
      <c r="U467" s="70" t="s">
        <v>2277</v>
      </c>
      <c r="V467" s="70" t="s">
        <v>2277</v>
      </c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2276</v>
      </c>
      <c r="C468" t="s">
        <v>1058</v>
      </c>
      <c r="D468" s="73" t="s">
        <v>2299</v>
      </c>
      <c r="E468" s="85" t="s">
        <v>73</v>
      </c>
      <c r="F468" s="85"/>
      <c r="G468" s="85"/>
      <c r="H468" s="85"/>
      <c r="I468" s="141">
        <f t="shared" si="21"/>
        <v>19</v>
      </c>
      <c r="J468" s="151"/>
      <c r="K468" s="141">
        <f t="shared" si="22"/>
        <v>9</v>
      </c>
      <c r="L468" s="142">
        <f t="shared" si="23"/>
        <v>0.6785714285714286</v>
      </c>
      <c r="M468" s="70" t="s">
        <v>2277</v>
      </c>
      <c r="N468" s="70" t="s">
        <v>2277</v>
      </c>
      <c r="O468" s="70" t="s">
        <v>2277</v>
      </c>
      <c r="P468" s="70" t="s">
        <v>2277</v>
      </c>
      <c r="Q468" s="70" t="s">
        <v>2277</v>
      </c>
      <c r="R468" s="70" t="s">
        <v>2277</v>
      </c>
      <c r="S468" s="70" t="s">
        <v>2277</v>
      </c>
      <c r="T468" s="70"/>
      <c r="U468" s="70" t="s">
        <v>2277</v>
      </c>
      <c r="V468" s="70" t="s">
        <v>2277</v>
      </c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1">
        <f t="shared" si="21"/>
        <v>28</v>
      </c>
      <c r="J469" s="146" t="s">
        <v>2018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1">
        <f t="shared" si="21"/>
        <v>19</v>
      </c>
      <c r="J470" s="146" t="s">
        <v>2019</v>
      </c>
      <c r="K470" s="31">
        <f t="shared" si="22"/>
        <v>9</v>
      </c>
      <c r="L470" s="32">
        <f t="shared" si="23"/>
        <v>0.6785714285714286</v>
      </c>
      <c r="M470" s="70" t="s">
        <v>2277</v>
      </c>
      <c r="N470" s="70" t="s">
        <v>2277</v>
      </c>
      <c r="O470" s="70" t="s">
        <v>2277</v>
      </c>
      <c r="P470" s="70" t="s">
        <v>2277</v>
      </c>
      <c r="Q470" s="70" t="s">
        <v>2277</v>
      </c>
      <c r="R470" s="70" t="s">
        <v>2277</v>
      </c>
      <c r="S470" s="70" t="s">
        <v>2277</v>
      </c>
      <c r="T470" s="70"/>
      <c r="U470" s="70" t="s">
        <v>2277</v>
      </c>
      <c r="V470" s="70" t="s">
        <v>2277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1">
        <f t="shared" ref="I471:I544" si="24">COUNTIF(M471:AN471,"")</f>
        <v>28</v>
      </c>
      <c r="J471" s="146" t="s">
        <v>2020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1">
        <f t="shared" si="24"/>
        <v>28</v>
      </c>
      <c r="J472" s="146" t="s">
        <v>2021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1">
        <f t="shared" si="24"/>
        <v>28</v>
      </c>
      <c r="J473" s="146" t="s">
        <v>2022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1">
        <f t="shared" si="24"/>
        <v>28</v>
      </c>
      <c r="J474" s="146" t="s">
        <v>2023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141">
        <f t="shared" si="24"/>
        <v>28</v>
      </c>
      <c r="J475" s="146" t="s">
        <v>2024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31">
        <f t="shared" si="24"/>
        <v>28</v>
      </c>
      <c r="J476" s="146" t="s">
        <v>2025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1">
        <f t="shared" si="24"/>
        <v>28</v>
      </c>
      <c r="J477" s="146" t="s">
        <v>2026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141">
        <f t="shared" si="24"/>
        <v>28</v>
      </c>
      <c r="J478" s="146" t="s">
        <v>2027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7">
        <f t="shared" si="24"/>
        <v>28</v>
      </c>
      <c r="J479" s="146" t="s">
        <v>2028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1">
        <f t="shared" si="24"/>
        <v>28</v>
      </c>
      <c r="J480" s="146" t="s">
        <v>2029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1">
        <f t="shared" si="24"/>
        <v>28</v>
      </c>
      <c r="J481" s="146" t="s">
        <v>2030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1">
        <f t="shared" si="24"/>
        <v>28</v>
      </c>
      <c r="J482" s="146" t="s">
        <v>2031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7">
        <f t="shared" si="24"/>
        <v>28</v>
      </c>
      <c r="J483" s="146" t="s">
        <v>2032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7">
        <f t="shared" si="24"/>
        <v>28</v>
      </c>
      <c r="J484" s="87" t="s">
        <v>2155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7">
        <f t="shared" si="24"/>
        <v>21</v>
      </c>
      <c r="J485" s="87" t="s">
        <v>2156</v>
      </c>
      <c r="K485" s="87">
        <f t="shared" si="25"/>
        <v>7</v>
      </c>
      <c r="L485" s="88">
        <f t="shared" si="26"/>
        <v>0.75</v>
      </c>
      <c r="M485" s="89" t="s">
        <v>2277</v>
      </c>
      <c r="N485" s="89" t="s">
        <v>2277</v>
      </c>
      <c r="O485" s="89" t="s">
        <v>2277</v>
      </c>
      <c r="P485" s="89"/>
      <c r="Q485" s="89"/>
      <c r="R485" s="89" t="s">
        <v>2277</v>
      </c>
      <c r="S485" s="89" t="s">
        <v>2277</v>
      </c>
      <c r="T485" s="89"/>
      <c r="U485" s="89" t="s">
        <v>2277</v>
      </c>
      <c r="V485" s="89" t="s">
        <v>2277</v>
      </c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7">
        <f t="shared" si="24"/>
        <v>28</v>
      </c>
      <c r="J486" s="87" t="s">
        <v>2157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7">
        <f t="shared" si="24"/>
        <v>28</v>
      </c>
      <c r="J487" s="87" t="s">
        <v>2158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2288</v>
      </c>
      <c r="C488" s="73" t="s">
        <v>1058</v>
      </c>
      <c r="D488" s="145" t="s">
        <v>2289</v>
      </c>
      <c r="E488" s="30" t="s">
        <v>15</v>
      </c>
      <c r="F488" s="73" t="s">
        <v>1297</v>
      </c>
      <c r="H488" s="85" t="s">
        <v>2313</v>
      </c>
      <c r="I488" s="87">
        <f t="shared" si="24"/>
        <v>28</v>
      </c>
      <c r="J488" s="151" t="s">
        <v>2314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141">
        <f t="shared" si="24"/>
        <v>28</v>
      </c>
      <c r="J489" s="146" t="s">
        <v>2033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1">
        <f t="shared" si="24"/>
        <v>28</v>
      </c>
      <c r="J495" s="146" t="s">
        <v>2034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1">
        <f t="shared" si="24"/>
        <v>28</v>
      </c>
      <c r="J496" s="146" t="s">
        <v>2035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1">
        <f t="shared" si="24"/>
        <v>28</v>
      </c>
      <c r="J497" s="146" t="s">
        <v>2036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1">
        <f t="shared" si="24"/>
        <v>28</v>
      </c>
      <c r="J498" s="146" t="s">
        <v>2037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1">
        <f t="shared" si="24"/>
        <v>28</v>
      </c>
      <c r="J499" s="146" t="s">
        <v>2038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1">
        <f t="shared" si="24"/>
        <v>27</v>
      </c>
      <c r="J500" s="146" t="s">
        <v>2039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2277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1">
        <f t="shared" si="24"/>
        <v>28</v>
      </c>
      <c r="J501" s="146" t="s">
        <v>2040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1">
        <f t="shared" si="24"/>
        <v>28</v>
      </c>
      <c r="J502" s="146" t="s">
        <v>2041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1059</v>
      </c>
      <c r="D503" t="s">
        <v>2245</v>
      </c>
      <c r="E503" s="30" t="s">
        <v>19</v>
      </c>
      <c r="F503" s="30" t="s">
        <v>28</v>
      </c>
      <c r="G503" s="30"/>
      <c r="H503" s="30" t="s">
        <v>844</v>
      </c>
      <c r="I503" s="31">
        <f t="shared" si="24"/>
        <v>28</v>
      </c>
      <c r="J503" s="146" t="s">
        <v>2042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1">
        <f t="shared" si="24"/>
        <v>28</v>
      </c>
      <c r="J504" s="146" t="s">
        <v>2043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1">
        <f t="shared" si="24"/>
        <v>28</v>
      </c>
      <c r="J505" s="146" t="s">
        <v>2044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31">
        <f t="shared" si="24"/>
        <v>28</v>
      </c>
      <c r="J506" s="146" t="s">
        <v>2045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141">
        <f t="shared" si="24"/>
        <v>28</v>
      </c>
      <c r="J507" s="146" t="s">
        <v>2046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1">
        <f t="shared" si="24"/>
        <v>28</v>
      </c>
      <c r="J508" s="146" t="s">
        <v>2047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1">
        <f t="shared" si="24"/>
        <v>28</v>
      </c>
      <c r="J509" s="146" t="s">
        <v>2048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141">
        <f t="shared" si="24"/>
        <v>28</v>
      </c>
      <c r="J510" s="146" t="s">
        <v>2049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1">
        <f t="shared" si="24"/>
        <v>28</v>
      </c>
      <c r="J511" s="146" t="s">
        <v>2050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1">
        <f t="shared" si="24"/>
        <v>28</v>
      </c>
      <c r="J512" s="146" t="s">
        <v>2051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1">
        <f t="shared" si="24"/>
        <v>28</v>
      </c>
      <c r="J513" s="146" t="s">
        <v>2052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1">
        <f t="shared" si="24"/>
        <v>21</v>
      </c>
      <c r="J514" s="146" t="s">
        <v>2053</v>
      </c>
      <c r="K514" s="31">
        <f t="shared" si="25"/>
        <v>7</v>
      </c>
      <c r="L514" s="32">
        <f t="shared" si="26"/>
        <v>0.75</v>
      </c>
      <c r="M514" s="70" t="s">
        <v>2277</v>
      </c>
      <c r="N514" s="70" t="s">
        <v>2277</v>
      </c>
      <c r="O514" s="70"/>
      <c r="P514" s="70"/>
      <c r="Q514" s="70" t="s">
        <v>2277</v>
      </c>
      <c r="R514" s="70" t="s">
        <v>2277</v>
      </c>
      <c r="S514" s="70" t="s">
        <v>2277</v>
      </c>
      <c r="T514" s="70"/>
      <c r="U514" s="70" t="s">
        <v>2277</v>
      </c>
      <c r="V514" s="70" t="s">
        <v>2277</v>
      </c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1">
        <f t="shared" si="24"/>
        <v>25</v>
      </c>
      <c r="J515" s="146" t="s">
        <v>2054</v>
      </c>
      <c r="K515" s="31">
        <f t="shared" si="25"/>
        <v>3</v>
      </c>
      <c r="L515" s="32">
        <f t="shared" si="26"/>
        <v>0.8928571428571429</v>
      </c>
      <c r="M515" s="70" t="s">
        <v>2277</v>
      </c>
      <c r="N515" s="70" t="s">
        <v>2277</v>
      </c>
      <c r="O515" s="70"/>
      <c r="P515" s="70"/>
      <c r="Q515" s="70" t="s">
        <v>2277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1">
        <f t="shared" si="24"/>
        <v>28</v>
      </c>
      <c r="J516" s="146" t="s">
        <v>2055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1">
        <f t="shared" si="24"/>
        <v>28</v>
      </c>
      <c r="J517" s="146" t="s">
        <v>2056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1">
        <f t="shared" si="24"/>
        <v>28</v>
      </c>
      <c r="J518" s="146" t="s">
        <v>2057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1">
        <f t="shared" si="24"/>
        <v>20</v>
      </c>
      <c r="J519" s="146" t="s">
        <v>2058</v>
      </c>
      <c r="K519" s="31">
        <f t="shared" si="25"/>
        <v>8</v>
      </c>
      <c r="L519" s="32">
        <f t="shared" si="26"/>
        <v>0.7142857142857143</v>
      </c>
      <c r="M519" s="70" t="s">
        <v>2277</v>
      </c>
      <c r="N519" s="70" t="s">
        <v>2277</v>
      </c>
      <c r="O519" s="70"/>
      <c r="P519" s="70" t="s">
        <v>2277</v>
      </c>
      <c r="Q519" s="70" t="s">
        <v>2277</v>
      </c>
      <c r="R519" s="70" t="s">
        <v>2277</v>
      </c>
      <c r="S519" s="70" t="s">
        <v>2277</v>
      </c>
      <c r="T519" s="70"/>
      <c r="U519" s="70" t="s">
        <v>2277</v>
      </c>
      <c r="V519" s="70" t="s">
        <v>2277</v>
      </c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1">
        <f t="shared" si="24"/>
        <v>28</v>
      </c>
      <c r="J520" s="146" t="s">
        <v>2059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141">
        <f t="shared" si="24"/>
        <v>28</v>
      </c>
      <c r="J522" s="146" t="s">
        <v>2060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1">
        <f t="shared" si="24"/>
        <v>28</v>
      </c>
      <c r="J523" s="146" t="s">
        <v>2061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1">
        <f t="shared" si="24"/>
        <v>28</v>
      </c>
      <c r="J524" s="146" t="s">
        <v>2062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2063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4"/>
        <v>28</v>
      </c>
      <c r="J526" s="146" t="s">
        <v>2064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1">
        <f t="shared" si="24"/>
        <v>28</v>
      </c>
      <c r="J527" s="146" t="s">
        <v>2065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1">
        <f t="shared" si="24"/>
        <v>28</v>
      </c>
      <c r="J528" s="146" t="s">
        <v>2066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141">
        <f t="shared" si="24"/>
        <v>28</v>
      </c>
      <c r="J529" s="146" t="s">
        <v>2067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141">
        <f t="shared" si="24"/>
        <v>28</v>
      </c>
      <c r="J530" s="146" t="s">
        <v>2068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141">
        <f t="shared" si="24"/>
        <v>28</v>
      </c>
      <c r="J531" s="146" t="s">
        <v>2069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141">
        <f t="shared" si="24"/>
        <v>28</v>
      </c>
      <c r="J532" s="146" t="s">
        <v>2070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2215</v>
      </c>
      <c r="C533" s="85" t="s">
        <v>1059</v>
      </c>
      <c r="D533" s="73" t="s">
        <v>2216</v>
      </c>
      <c r="E533" s="30" t="s">
        <v>73</v>
      </c>
      <c r="F533" s="85" t="s">
        <v>1297</v>
      </c>
      <c r="G533" s="85"/>
      <c r="H533" s="85" t="s">
        <v>2217</v>
      </c>
      <c r="I533" s="141">
        <f t="shared" si="24"/>
        <v>28</v>
      </c>
      <c r="J533" s="146" t="s">
        <v>2218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2219</v>
      </c>
      <c r="C534" s="85" t="s">
        <v>1059</v>
      </c>
      <c r="D534" s="73" t="s">
        <v>2220</v>
      </c>
      <c r="E534" s="85" t="s">
        <v>15</v>
      </c>
      <c r="F534" s="85" t="s">
        <v>1297</v>
      </c>
      <c r="G534" s="85"/>
      <c r="H534" s="85" t="s">
        <v>2221</v>
      </c>
      <c r="I534" s="141">
        <f t="shared" si="24"/>
        <v>28</v>
      </c>
      <c r="J534" s="146" t="s">
        <v>2222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1">
        <f t="shared" si="24"/>
        <v>28</v>
      </c>
      <c r="J535" s="146" t="s">
        <v>2071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1">
        <f t="shared" si="24"/>
        <v>28</v>
      </c>
      <c r="J536" s="146" t="s">
        <v>2072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1">
        <f t="shared" si="24"/>
        <v>28</v>
      </c>
      <c r="J537" s="146" t="s">
        <v>2073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1">
        <f t="shared" si="24"/>
        <v>28</v>
      </c>
      <c r="J538" s="146" t="s">
        <v>2074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1">
        <f t="shared" si="24"/>
        <v>28</v>
      </c>
      <c r="J539" s="146" t="s">
        <v>2075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1">
        <f t="shared" si="24"/>
        <v>28</v>
      </c>
      <c r="J540" s="146" t="s">
        <v>2076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31">
        <f t="shared" si="24"/>
        <v>28</v>
      </c>
      <c r="J542" s="146" t="s">
        <v>2077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141">
        <f t="shared" si="24"/>
        <v>28</v>
      </c>
      <c r="J543" s="146" t="s">
        <v>2078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1">
        <f t="shared" si="24"/>
        <v>28</v>
      </c>
      <c r="J544" s="146" t="s">
        <v>2079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141">
        <f t="shared" ref="I545:I591" si="27">COUNTIF(M545:AN545,"")</f>
        <v>19</v>
      </c>
      <c r="J545" s="146" t="s">
        <v>2080</v>
      </c>
      <c r="K545" s="141">
        <f t="shared" ref="K545:K591" si="28">COUNTIF(M545:AN545,"APAGADO")</f>
        <v>9</v>
      </c>
      <c r="L545" s="142">
        <f t="shared" ref="L545:L591" si="29">(I545)/(K545+I545)</f>
        <v>0.6785714285714286</v>
      </c>
      <c r="M545" s="70" t="s">
        <v>2277</v>
      </c>
      <c r="N545" s="70" t="s">
        <v>2277</v>
      </c>
      <c r="O545" s="70" t="s">
        <v>2277</v>
      </c>
      <c r="P545" s="70" t="s">
        <v>2277</v>
      </c>
      <c r="Q545" s="70" t="s">
        <v>2277</v>
      </c>
      <c r="R545" s="70" t="s">
        <v>2277</v>
      </c>
      <c r="S545" s="70" t="s">
        <v>2277</v>
      </c>
      <c r="T545" s="70"/>
      <c r="U545" s="70" t="s">
        <v>2277</v>
      </c>
      <c r="V545" s="70" t="s">
        <v>2277</v>
      </c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141">
        <f t="shared" si="27"/>
        <v>28</v>
      </c>
      <c r="J546" s="146" t="s">
        <v>2081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1">
        <f t="shared" si="27"/>
        <v>28</v>
      </c>
      <c r="J547" s="146" t="s">
        <v>2082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141">
        <f t="shared" si="27"/>
        <v>28</v>
      </c>
      <c r="J548" s="146" t="s">
        <v>2083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1308</v>
      </c>
      <c r="C549" t="s">
        <v>1058</v>
      </c>
      <c r="D549" t="s">
        <v>2187</v>
      </c>
      <c r="E549" s="85" t="s">
        <v>15</v>
      </c>
      <c r="F549" s="85" t="s">
        <v>1297</v>
      </c>
      <c r="G549" s="30"/>
      <c r="H549" s="30" t="s">
        <v>2188</v>
      </c>
      <c r="I549" s="31">
        <f t="shared" si="27"/>
        <v>28</v>
      </c>
      <c r="J549" s="146" t="s">
        <v>2189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2123</v>
      </c>
      <c r="C550" t="s">
        <v>1058</v>
      </c>
      <c r="D550" s="73" t="s">
        <v>2124</v>
      </c>
      <c r="E550" s="85" t="s">
        <v>15</v>
      </c>
      <c r="F550" s="85" t="s">
        <v>1297</v>
      </c>
      <c r="G550" s="30"/>
      <c r="H550" s="30" t="s">
        <v>2125</v>
      </c>
      <c r="I550" s="31">
        <f t="shared" si="27"/>
        <v>28</v>
      </c>
      <c r="J550" s="146" t="s">
        <v>2126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141">
        <f t="shared" si="27"/>
        <v>28</v>
      </c>
      <c r="J551" s="146" t="s">
        <v>2084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141">
        <f t="shared" si="27"/>
        <v>28</v>
      </c>
      <c r="J552" s="146" t="s">
        <v>2085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141">
        <f t="shared" si="27"/>
        <v>28</v>
      </c>
      <c r="J553" s="146" t="s">
        <v>2086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141">
        <f t="shared" si="27"/>
        <v>28</v>
      </c>
      <c r="J554" s="146" t="s">
        <v>2087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141">
        <f t="shared" si="27"/>
        <v>28</v>
      </c>
      <c r="J555" s="87" t="s">
        <v>2177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570</v>
      </c>
      <c r="B556" s="73" t="s">
        <v>2117</v>
      </c>
      <c r="C556" s="73" t="s">
        <v>1059</v>
      </c>
      <c r="D556" s="73" t="s">
        <v>2118</v>
      </c>
      <c r="E556" s="30" t="s">
        <v>15</v>
      </c>
      <c r="F556" s="85" t="s">
        <v>1297</v>
      </c>
      <c r="G556" s="85"/>
      <c r="H556" s="85" t="s">
        <v>2120</v>
      </c>
      <c r="I556" s="141">
        <f t="shared" si="27"/>
        <v>19</v>
      </c>
      <c r="J556" s="87"/>
      <c r="K556" s="141">
        <f t="shared" si="28"/>
        <v>9</v>
      </c>
      <c r="L556" s="142">
        <f t="shared" si="29"/>
        <v>0.6785714285714286</v>
      </c>
      <c r="M556" s="70" t="s">
        <v>2277</v>
      </c>
      <c r="N556" s="70" t="s">
        <v>2277</v>
      </c>
      <c r="O556" s="70" t="s">
        <v>2277</v>
      </c>
      <c r="P556" s="70" t="s">
        <v>2277</v>
      </c>
      <c r="Q556" s="70" t="s">
        <v>2277</v>
      </c>
      <c r="R556" s="70" t="s">
        <v>2277</v>
      </c>
      <c r="S556" s="70" t="s">
        <v>2277</v>
      </c>
      <c r="T556" s="70"/>
      <c r="U556" s="70" t="s">
        <v>2277</v>
      </c>
      <c r="V556" s="70" t="s">
        <v>2277</v>
      </c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141">
        <f t="shared" si="27"/>
        <v>19</v>
      </c>
      <c r="J557" s="87" t="s">
        <v>2178</v>
      </c>
      <c r="K557" s="141">
        <f t="shared" si="28"/>
        <v>9</v>
      </c>
      <c r="L557" s="142">
        <f t="shared" si="29"/>
        <v>0.6785714285714286</v>
      </c>
      <c r="M557" s="70" t="s">
        <v>2277</v>
      </c>
      <c r="N557" s="70" t="s">
        <v>2277</v>
      </c>
      <c r="O557" s="70" t="s">
        <v>2277</v>
      </c>
      <c r="P557" s="70" t="s">
        <v>2277</v>
      </c>
      <c r="Q557" s="70" t="s">
        <v>2277</v>
      </c>
      <c r="R557" s="70" t="s">
        <v>2277</v>
      </c>
      <c r="S557" s="70" t="s">
        <v>2277</v>
      </c>
      <c r="T557" s="70"/>
      <c r="U557" s="70" t="s">
        <v>2277</v>
      </c>
      <c r="V557" s="70" t="s">
        <v>2277</v>
      </c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1">
        <f t="shared" si="27"/>
        <v>19</v>
      </c>
      <c r="J558" s="87" t="s">
        <v>2174</v>
      </c>
      <c r="K558" s="31">
        <f t="shared" si="28"/>
        <v>9</v>
      </c>
      <c r="L558" s="32">
        <f t="shared" si="29"/>
        <v>0.6785714285714286</v>
      </c>
      <c r="M558" s="70" t="s">
        <v>2277</v>
      </c>
      <c r="N558" s="70" t="s">
        <v>2277</v>
      </c>
      <c r="O558" s="70" t="s">
        <v>2277</v>
      </c>
      <c r="P558" s="70" t="s">
        <v>2277</v>
      </c>
      <c r="Q558" s="70" t="s">
        <v>2277</v>
      </c>
      <c r="R558" s="70" t="s">
        <v>2277</v>
      </c>
      <c r="S558" s="70" t="s">
        <v>2277</v>
      </c>
      <c r="T558" s="70"/>
      <c r="U558" s="70" t="s">
        <v>2277</v>
      </c>
      <c r="V558" s="70" t="s">
        <v>2277</v>
      </c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1">
        <f t="shared" si="27"/>
        <v>28</v>
      </c>
      <c r="J559" s="146" t="s">
        <v>2088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1">
        <f t="shared" si="27"/>
        <v>19</v>
      </c>
      <c r="J560" s="87" t="s">
        <v>2175</v>
      </c>
      <c r="K560" s="31">
        <f t="shared" si="28"/>
        <v>9</v>
      </c>
      <c r="L560" s="32">
        <f t="shared" si="29"/>
        <v>0.6785714285714286</v>
      </c>
      <c r="M560" s="70" t="s">
        <v>2277</v>
      </c>
      <c r="N560" s="70" t="s">
        <v>2277</v>
      </c>
      <c r="O560" s="70" t="s">
        <v>2277</v>
      </c>
      <c r="P560" s="70" t="s">
        <v>2277</v>
      </c>
      <c r="Q560" s="70" t="s">
        <v>2277</v>
      </c>
      <c r="R560" s="70" t="s">
        <v>2277</v>
      </c>
      <c r="S560" s="70" t="s">
        <v>2277</v>
      </c>
      <c r="T560" s="70"/>
      <c r="U560" s="70" t="s">
        <v>2277</v>
      </c>
      <c r="V560" s="70" t="s">
        <v>2277</v>
      </c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1">
        <f t="shared" si="27"/>
        <v>28</v>
      </c>
      <c r="J561" s="146" t="s">
        <v>2089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141">
        <f t="shared" si="27"/>
        <v>28</v>
      </c>
      <c r="J562" s="146" t="s">
        <v>2090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2129</v>
      </c>
      <c r="B563" s="73" t="s">
        <v>2127</v>
      </c>
      <c r="C563" t="s">
        <v>1058</v>
      </c>
      <c r="D563" s="73" t="s">
        <v>2128</v>
      </c>
      <c r="E563" s="85" t="s">
        <v>15</v>
      </c>
      <c r="F563" s="85" t="s">
        <v>1297</v>
      </c>
      <c r="G563" s="85"/>
      <c r="H563" s="85" t="s">
        <v>2130</v>
      </c>
      <c r="I563" s="141">
        <f t="shared" si="27"/>
        <v>28</v>
      </c>
      <c r="J563" s="150" t="s">
        <v>2131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1">
        <f t="shared" si="27"/>
        <v>27</v>
      </c>
      <c r="J564" s="87" t="s">
        <v>2176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2277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1">
        <f t="shared" si="27"/>
        <v>28</v>
      </c>
      <c r="J565" s="146" t="s">
        <v>2091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1">
        <f t="shared" si="27"/>
        <v>28</v>
      </c>
      <c r="J566" s="146" t="s">
        <v>2092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1">
        <f t="shared" si="27"/>
        <v>28</v>
      </c>
      <c r="J567" s="146" t="s">
        <v>2093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1">
        <f t="shared" si="27"/>
        <v>19</v>
      </c>
      <c r="J568" s="146" t="s">
        <v>2094</v>
      </c>
      <c r="K568" s="31">
        <f t="shared" si="28"/>
        <v>9</v>
      </c>
      <c r="L568" s="32">
        <f t="shared" si="29"/>
        <v>0.6785714285714286</v>
      </c>
      <c r="M568" s="70" t="s">
        <v>2277</v>
      </c>
      <c r="N568" s="70" t="s">
        <v>2277</v>
      </c>
      <c r="O568" s="70" t="s">
        <v>2277</v>
      </c>
      <c r="P568" s="70" t="s">
        <v>2277</v>
      </c>
      <c r="Q568" s="70" t="s">
        <v>2277</v>
      </c>
      <c r="R568" s="70" t="s">
        <v>2277</v>
      </c>
      <c r="S568" s="70" t="s">
        <v>2277</v>
      </c>
      <c r="T568" s="70"/>
      <c r="U568" s="70" t="s">
        <v>2277</v>
      </c>
      <c r="V568" s="70" t="s">
        <v>2277</v>
      </c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1">
        <f t="shared" si="27"/>
        <v>19</v>
      </c>
      <c r="J569" s="146" t="s">
        <v>2095</v>
      </c>
      <c r="K569" s="31">
        <f t="shared" si="28"/>
        <v>9</v>
      </c>
      <c r="L569" s="32">
        <f t="shared" si="29"/>
        <v>0.6785714285714286</v>
      </c>
      <c r="M569" s="70" t="s">
        <v>2277</v>
      </c>
      <c r="N569" s="70" t="s">
        <v>2277</v>
      </c>
      <c r="O569" s="70" t="s">
        <v>2277</v>
      </c>
      <c r="P569" s="70" t="s">
        <v>2277</v>
      </c>
      <c r="Q569" s="70" t="s">
        <v>2277</v>
      </c>
      <c r="R569" s="70" t="s">
        <v>2277</v>
      </c>
      <c r="S569" s="70" t="s">
        <v>2277</v>
      </c>
      <c r="T569" s="70"/>
      <c r="U569" s="70" t="s">
        <v>2277</v>
      </c>
      <c r="V569" s="70" t="s">
        <v>2277</v>
      </c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1">
        <f t="shared" si="27"/>
        <v>19</v>
      </c>
      <c r="J570" s="146" t="s">
        <v>2096</v>
      </c>
      <c r="K570" s="31">
        <f t="shared" si="28"/>
        <v>9</v>
      </c>
      <c r="L570" s="32">
        <f t="shared" si="29"/>
        <v>0.6785714285714286</v>
      </c>
      <c r="M570" s="70" t="s">
        <v>2277</v>
      </c>
      <c r="N570" s="70" t="s">
        <v>2277</v>
      </c>
      <c r="O570" s="70" t="s">
        <v>2277</v>
      </c>
      <c r="P570" s="70" t="s">
        <v>2277</v>
      </c>
      <c r="Q570" s="70" t="s">
        <v>2277</v>
      </c>
      <c r="R570" s="70" t="s">
        <v>2277</v>
      </c>
      <c r="S570" s="70" t="s">
        <v>2277</v>
      </c>
      <c r="T570" s="70"/>
      <c r="U570" s="70" t="s">
        <v>2277</v>
      </c>
      <c r="V570" s="70" t="s">
        <v>2277</v>
      </c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1">
        <f t="shared" si="27"/>
        <v>19</v>
      </c>
      <c r="J571" s="146" t="s">
        <v>2097</v>
      </c>
      <c r="K571" s="31">
        <f t="shared" si="28"/>
        <v>9</v>
      </c>
      <c r="L571" s="32">
        <f t="shared" si="29"/>
        <v>0.6785714285714286</v>
      </c>
      <c r="M571" s="70" t="s">
        <v>2277</v>
      </c>
      <c r="N571" s="70" t="s">
        <v>2277</v>
      </c>
      <c r="O571" s="70" t="s">
        <v>2277</v>
      </c>
      <c r="P571" s="70" t="s">
        <v>2277</v>
      </c>
      <c r="Q571" s="70" t="s">
        <v>2277</v>
      </c>
      <c r="R571" s="70" t="s">
        <v>2277</v>
      </c>
      <c r="S571" s="70" t="s">
        <v>2277</v>
      </c>
      <c r="T571" s="70"/>
      <c r="U571" s="70" t="s">
        <v>2277</v>
      </c>
      <c r="V571" s="70" t="s">
        <v>2277</v>
      </c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1">
        <f t="shared" si="27"/>
        <v>19</v>
      </c>
      <c r="J572" s="146" t="s">
        <v>2098</v>
      </c>
      <c r="K572" s="31">
        <f t="shared" si="28"/>
        <v>9</v>
      </c>
      <c r="L572" s="32">
        <f t="shared" si="29"/>
        <v>0.6785714285714286</v>
      </c>
      <c r="M572" s="70" t="s">
        <v>2277</v>
      </c>
      <c r="N572" s="70" t="s">
        <v>2277</v>
      </c>
      <c r="O572" s="70" t="s">
        <v>2277</v>
      </c>
      <c r="P572" s="70" t="s">
        <v>2277</v>
      </c>
      <c r="Q572" s="70" t="s">
        <v>2277</v>
      </c>
      <c r="R572" s="70" t="s">
        <v>2277</v>
      </c>
      <c r="S572" s="70" t="s">
        <v>2277</v>
      </c>
      <c r="T572" s="70"/>
      <c r="U572" s="70" t="s">
        <v>2277</v>
      </c>
      <c r="V572" s="70" t="s">
        <v>2277</v>
      </c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141">
        <f t="shared" si="27"/>
        <v>28</v>
      </c>
      <c r="J573" s="87" t="s">
        <v>2192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2253</v>
      </c>
      <c r="C574" s="73" t="s">
        <v>1059</v>
      </c>
      <c r="D574" s="73" t="s">
        <v>2254</v>
      </c>
      <c r="E574" s="85" t="s">
        <v>15</v>
      </c>
      <c r="F574" s="85" t="s">
        <v>1297</v>
      </c>
      <c r="G574" s="85"/>
      <c r="H574" s="85" t="s">
        <v>2255</v>
      </c>
      <c r="I574" s="141">
        <f t="shared" si="27"/>
        <v>28</v>
      </c>
      <c r="J574" s="87" t="s">
        <v>2256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2266</v>
      </c>
      <c r="C575" s="73" t="s">
        <v>1059</v>
      </c>
      <c r="D575" s="73" t="s">
        <v>2267</v>
      </c>
      <c r="E575" s="85" t="s">
        <v>15</v>
      </c>
      <c r="F575" s="85"/>
      <c r="G575" s="85"/>
      <c r="H575" s="85" t="s">
        <v>2268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1">
        <f t="shared" si="27"/>
        <v>28</v>
      </c>
      <c r="J576" s="87" t="s">
        <v>2193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1">
        <f t="shared" si="27"/>
        <v>28</v>
      </c>
      <c r="J577" s="87" t="s">
        <v>2194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1">
        <f t="shared" si="27"/>
        <v>28</v>
      </c>
      <c r="J578" s="87" t="s">
        <v>2195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1">
        <f t="shared" si="27"/>
        <v>28</v>
      </c>
      <c r="J579" s="146" t="s">
        <v>2100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1">
        <f t="shared" si="27"/>
        <v>28</v>
      </c>
      <c r="J580" s="146" t="s">
        <v>2099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1">
        <f t="shared" si="27"/>
        <v>28</v>
      </c>
      <c r="J581" s="146" t="s">
        <v>2101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2170</v>
      </c>
      <c r="C582" s="73" t="s">
        <v>1058</v>
      </c>
      <c r="D582" t="s">
        <v>2171</v>
      </c>
      <c r="E582" s="85" t="s">
        <v>46</v>
      </c>
      <c r="F582" s="30" t="s">
        <v>28</v>
      </c>
      <c r="G582" s="30"/>
      <c r="H582" s="30" t="s">
        <v>2172</v>
      </c>
      <c r="I582" s="31">
        <f t="shared" si="27"/>
        <v>28</v>
      </c>
      <c r="J582" s="146" t="s">
        <v>2173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141">
        <f t="shared" si="27"/>
        <v>28</v>
      </c>
      <c r="J583" s="146" t="s">
        <v>2102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141">
        <f t="shared" si="27"/>
        <v>28</v>
      </c>
      <c r="J584" s="146" t="s">
        <v>2103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141">
        <f t="shared" si="27"/>
        <v>28</v>
      </c>
      <c r="J585" s="146" t="s">
        <v>2104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141">
        <f t="shared" si="27"/>
        <v>20</v>
      </c>
      <c r="J586" s="146" t="s">
        <v>2105</v>
      </c>
      <c r="K586" s="141">
        <f t="shared" si="28"/>
        <v>8</v>
      </c>
      <c r="L586" s="142">
        <f t="shared" si="29"/>
        <v>0.7142857142857143</v>
      </c>
      <c r="M586" s="70"/>
      <c r="N586" s="70" t="s">
        <v>2277</v>
      </c>
      <c r="O586" s="70" t="s">
        <v>2277</v>
      </c>
      <c r="P586" s="70" t="s">
        <v>2277</v>
      </c>
      <c r="Q586" s="70" t="s">
        <v>2277</v>
      </c>
      <c r="R586" s="70" t="s">
        <v>2277</v>
      </c>
      <c r="S586" s="70" t="s">
        <v>2277</v>
      </c>
      <c r="T586" s="70"/>
      <c r="U586" s="70" t="s">
        <v>2277</v>
      </c>
      <c r="V586" s="70" t="s">
        <v>2277</v>
      </c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141">
        <f t="shared" si="27"/>
        <v>28</v>
      </c>
      <c r="J587" s="146" t="s">
        <v>2106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141">
        <f t="shared" si="27"/>
        <v>28</v>
      </c>
      <c r="J588" s="146" t="s">
        <v>2107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141">
        <f t="shared" si="27"/>
        <v>28</v>
      </c>
      <c r="J589" s="146" t="s">
        <v>2108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2109</v>
      </c>
      <c r="C590" s="73" t="s">
        <v>1058</v>
      </c>
      <c r="D590" s="73" t="s">
        <v>2110</v>
      </c>
      <c r="E590" s="85" t="s">
        <v>15</v>
      </c>
      <c r="F590" s="85" t="s">
        <v>1297</v>
      </c>
      <c r="G590" s="85"/>
      <c r="H590" s="85" t="s">
        <v>2111</v>
      </c>
      <c r="I590" s="141">
        <f t="shared" si="27"/>
        <v>28</v>
      </c>
      <c r="J590" s="150" t="s">
        <v>2112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2284</v>
      </c>
      <c r="C591" s="73" t="s">
        <v>1058</v>
      </c>
      <c r="D591" s="73" t="s">
        <v>2285</v>
      </c>
      <c r="E591" s="85" t="s">
        <v>15</v>
      </c>
      <c r="F591" s="85" t="s">
        <v>1297</v>
      </c>
      <c r="G591" s="85"/>
      <c r="H591" s="85" t="s">
        <v>2286</v>
      </c>
      <c r="I591" s="141">
        <f t="shared" si="27"/>
        <v>28</v>
      </c>
      <c r="J591" s="150" t="s">
        <v>2287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 t="str">
        <f>'RESUMEN TOTAL'!R47</f>
        <v>APAGADO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 t="str">
        <f>'RESUMEN TOTAL'!R48</f>
        <v>APAGADO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 t="str">
        <f>'RESUMEN TOTAL'!R71</f>
        <v>APAGADO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 t="str">
        <f>'RESUMEN TOTAL'!R75</f>
        <v>APAGADO</v>
      </c>
      <c r="L53" s="70" t="str">
        <f>'RESUMEN TOTAL'!S75</f>
        <v>APAGADO</v>
      </c>
      <c r="M53" s="70">
        <f>'RESUMEN TOTAL'!T75</f>
        <v>0</v>
      </c>
      <c r="N53" s="70">
        <f>'RESUMEN TOTAL'!U75</f>
        <v>0</v>
      </c>
      <c r="O53" s="70" t="str">
        <f>'RESUMEN TOTAL'!V75</f>
        <v>APAGADO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 t="str">
        <f>'RESUMEN TOTAL'!R81</f>
        <v>APAGADO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 t="str">
        <f>'RESUMEN TOTAL'!R82</f>
        <v>APAGADO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 t="str">
        <f>'RESUMEN TOTAL'!R83</f>
        <v>APAGADO</v>
      </c>
      <c r="L61" s="70" t="str">
        <f>'RESUMEN TOTAL'!S83</f>
        <v>APAGADO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 t="str">
        <f>'RESUMEN TOTAL'!R84</f>
        <v>APAGADO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 t="str">
        <f>'RESUMEN TOTAL'!U89</f>
        <v>APAGADO</v>
      </c>
      <c r="O67" s="70" t="str">
        <f>'RESUMEN TOTAL'!V89</f>
        <v>APAGADO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>
        <f>'RESUMEN TOTAL'!U90</f>
        <v>0</v>
      </c>
      <c r="O68" s="70" t="str">
        <f>'RESUMEN TOTAL'!V90</f>
        <v>APAGADO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 t="str">
        <f>'RESUMEN TOTAL'!V93</f>
        <v>APAGADO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 t="str">
        <f>'RESUMEN TOTAL'!R95</f>
        <v>APAGADO</v>
      </c>
      <c r="L73" s="70" t="str">
        <f>'RESUMEN TOTAL'!S95</f>
        <v>APAGADO</v>
      </c>
      <c r="M73" s="70">
        <f>'RESUMEN TOTAL'!T95</f>
        <v>0</v>
      </c>
      <c r="N73" s="70" t="str">
        <f>'RESUMEN TOTAL'!U95</f>
        <v>APAGADO</v>
      </c>
      <c r="O73" s="70" t="str">
        <f>'RESUMEN TOTAL'!V95</f>
        <v>APAGADO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 t="str">
        <f>'RESUMEN TOTAL'!R131</f>
        <v>APAGADO</v>
      </c>
      <c r="L109" s="70" t="str">
        <f>'RESUMEN TOTAL'!S131</f>
        <v>APAGADO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 t="str">
        <f>'RESUMEN TOTAL'!R152</f>
        <v>APAGADO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 t="str">
        <f>'RESUMEN TOTAL'!R167</f>
        <v>APAGADO</v>
      </c>
      <c r="L126" s="70" t="str">
        <f>'RESUMEN TOTAL'!S167</f>
        <v>APAGADO</v>
      </c>
      <c r="M126" s="70">
        <f>'RESUMEN TOTAL'!T167</f>
        <v>0</v>
      </c>
      <c r="N126" s="70" t="str">
        <f>'RESUMEN TOTAL'!U167</f>
        <v>APAGADO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 t="str">
        <f>'RESUMEN TOTAL'!R168</f>
        <v>APAGADO</v>
      </c>
      <c r="L127" s="70" t="str">
        <f>'RESUMEN TOTAL'!S168</f>
        <v>APAGADO</v>
      </c>
      <c r="M127" s="70">
        <f>'RESUMEN TOTAL'!T168</f>
        <v>0</v>
      </c>
      <c r="N127" s="70" t="str">
        <f>'RESUMEN TOTAL'!U168</f>
        <v>APAGADO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 t="str">
        <f>'RESUMEN TOTAL'!R169</f>
        <v>APAGADO</v>
      </c>
      <c r="L128" s="70" t="str">
        <f>'RESUMEN TOTAL'!S169</f>
        <v>APAGADO</v>
      </c>
      <c r="M128" s="70">
        <f>'RESUMEN TOTAL'!T169</f>
        <v>0</v>
      </c>
      <c r="N128" s="70" t="str">
        <f>'RESUMEN TOTAL'!U169</f>
        <v>APAGADO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 t="str">
        <f>'RESUMEN TOTAL'!R170</f>
        <v>APAGADO</v>
      </c>
      <c r="L129" s="70" t="str">
        <f>'RESUMEN TOTAL'!S170</f>
        <v>APAGADO</v>
      </c>
      <c r="M129" s="70">
        <f>'RESUMEN TOTAL'!T170</f>
        <v>0</v>
      </c>
      <c r="N129" s="70" t="str">
        <f>'RESUMEN TOTAL'!U170</f>
        <v>APAGADO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 t="str">
        <f>'RESUMEN TOTAL'!R187</f>
        <v>APAGADO</v>
      </c>
      <c r="L144" s="70" t="str">
        <f>'RESUMEN TOTAL'!S187</f>
        <v>APAGADO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 t="str">
        <f>'RESUMEN TOTAL'!R188</f>
        <v>APAGADO</v>
      </c>
      <c r="L145" s="70" t="str">
        <f>'RESUMEN TOTAL'!S188</f>
        <v>APAGADO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 t="str">
        <f>'RESUMEN TOTAL'!R195</f>
        <v>APAGADO</v>
      </c>
      <c r="L146" s="70" t="str">
        <f>'RESUMEN TOTAL'!S195</f>
        <v>APAGADO</v>
      </c>
      <c r="M146" s="70">
        <f>'RESUMEN TOTAL'!T195</f>
        <v>0</v>
      </c>
      <c r="N146" s="70" t="str">
        <f>'RESUMEN TOTAL'!U195</f>
        <v>APAGADO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 t="str">
        <f>'RESUMEN TOTAL'!R196</f>
        <v>APAGADO</v>
      </c>
      <c r="L147" s="70" t="str">
        <f>'RESUMEN TOTAL'!S196</f>
        <v>APAGADO</v>
      </c>
      <c r="M147" s="70">
        <f>'RESUMEN TOTAL'!T196</f>
        <v>0</v>
      </c>
      <c r="N147" s="70" t="str">
        <f>'RESUMEN TOTAL'!U196</f>
        <v>APAGADO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 t="str">
        <f>'RESUMEN TOTAL'!R197</f>
        <v>APAGADO</v>
      </c>
      <c r="L148" s="70" t="str">
        <f>'RESUMEN TOTAL'!S197</f>
        <v>APAGADO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 t="str">
        <f>'RESUMEN TOTAL'!S198</f>
        <v>APAGADO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 t="str">
        <f>'RESUMEN TOTAL'!R199</f>
        <v>APAGADO</v>
      </c>
      <c r="L150" s="70" t="str">
        <f>'RESUMEN TOTAL'!S199</f>
        <v>APAGADO</v>
      </c>
      <c r="M150" s="70">
        <f>'RESUMEN TOTAL'!T199</f>
        <v>0</v>
      </c>
      <c r="N150" s="70" t="str">
        <f>'RESUMEN TOTAL'!U199</f>
        <v>APAGADO</v>
      </c>
      <c r="O150" s="70" t="str">
        <f>'RESUMEN TOTAL'!V199</f>
        <v>APAGADO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 t="str">
        <f>'RESUMEN TOTAL'!S201</f>
        <v>APAGADO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 t="str">
        <f>'RESUMEN TOTAL'!R237</f>
        <v>APAGADO</v>
      </c>
      <c r="L179" s="70" t="str">
        <f>'RESUMEN TOTAL'!S237</f>
        <v>APAGADO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 t="str">
        <f>'RESUMEN TOTAL'!R250</f>
        <v>APAGADO</v>
      </c>
      <c r="L192" s="70" t="str">
        <f>'RESUMEN TOTAL'!S250</f>
        <v>APAGADO</v>
      </c>
      <c r="M192" s="70">
        <f>'RESUMEN TOTAL'!T250</f>
        <v>0</v>
      </c>
      <c r="N192" s="70" t="str">
        <f>'RESUMEN TOTAL'!U250</f>
        <v>APAGADO</v>
      </c>
      <c r="O192" s="70" t="str">
        <f>'RESUMEN TOTAL'!V250</f>
        <v>APAGADO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 t="str">
        <f>'RESUMEN TOTAL'!S251</f>
        <v>APAGADO</v>
      </c>
      <c r="M193" s="70">
        <f>'RESUMEN TOTAL'!T251</f>
        <v>0</v>
      </c>
      <c r="N193" s="70" t="str">
        <f>'RESUMEN TOTAL'!U251</f>
        <v>APAGADO</v>
      </c>
      <c r="O193" s="70" t="str">
        <f>'RESUMEN TOTAL'!V251</f>
        <v>APAGADO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 t="str">
        <f>'RESUMEN TOTAL'!S254</f>
        <v>APAGADO</v>
      </c>
      <c r="M196" s="70">
        <f>'RESUMEN TOTAL'!T254</f>
        <v>0</v>
      </c>
      <c r="N196" s="70">
        <f>'RESUMEN TOTAL'!U254</f>
        <v>0</v>
      </c>
      <c r="O196" s="70" t="str">
        <f>'RESUMEN TOTAL'!V254</f>
        <v>APAGADO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 t="str">
        <f>'RESUMEN TOTAL'!R265</f>
        <v>APAGADO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 t="str">
        <f>'RESUMEN TOTAL'!R276</f>
        <v>APAGADO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 t="str">
        <f>'RESUMEN TOTAL'!R277</f>
        <v>APAGADO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 t="str">
        <f>'RESUMEN TOTAL'!R286</f>
        <v>APAGADO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 t="str">
        <f>'RESUMEN TOTAL'!R287</f>
        <v>APAGADO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 t="str">
        <f>'RESUMEN TOTAL'!S291</f>
        <v>APAGADO</v>
      </c>
      <c r="M226" s="70">
        <f>'RESUMEN TOTAL'!T291</f>
        <v>0</v>
      </c>
      <c r="N226" s="70">
        <f>'RESUMEN TOTAL'!U291</f>
        <v>0</v>
      </c>
      <c r="O226" s="70" t="str">
        <f>'RESUMEN TOTAL'!V291</f>
        <v>APAGADO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 t="str">
        <f>'RESUMEN TOTAL'!R303</f>
        <v>APAGADO</v>
      </c>
      <c r="L235" s="70" t="str">
        <f>'RESUMEN TOTAL'!S303</f>
        <v>APAGADO</v>
      </c>
      <c r="M235" s="70">
        <f>'RESUMEN TOTAL'!T303</f>
        <v>0</v>
      </c>
      <c r="N235" s="70" t="str">
        <f>'RESUMEN TOTAL'!U303</f>
        <v>APAGADO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 t="str">
        <f>'RESUMEN TOTAL'!S304</f>
        <v>APAGADO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 t="str">
        <f>'RESUMEN TOTAL'!R305</f>
        <v>APAGADO</v>
      </c>
      <c r="L237" s="70" t="str">
        <f>'RESUMEN TOTAL'!S305</f>
        <v>APAGADO</v>
      </c>
      <c r="M237" s="70">
        <f>'RESUMEN TOTAL'!T305</f>
        <v>0</v>
      </c>
      <c r="N237" s="70" t="str">
        <f>'RESUMEN TOTAL'!U305</f>
        <v>APAGADO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 t="str">
        <f>'RESUMEN TOTAL'!R306</f>
        <v>APAGADO</v>
      </c>
      <c r="L238" s="70" t="str">
        <f>'RESUMEN TOTAL'!S306</f>
        <v>APAGADO</v>
      </c>
      <c r="M238" s="70">
        <f>'RESUMEN TOTAL'!T306</f>
        <v>0</v>
      </c>
      <c r="N238" s="70" t="str">
        <f>'RESUMEN TOTAL'!U306</f>
        <v>APAGADO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 t="str">
        <f>'RESUMEN TOTAL'!R307</f>
        <v>APAGADO</v>
      </c>
      <c r="L239" s="70" t="str">
        <f>'RESUMEN TOTAL'!S307</f>
        <v>APAGADO</v>
      </c>
      <c r="M239" s="70">
        <f>'RESUMEN TOTAL'!T307</f>
        <v>0</v>
      </c>
      <c r="N239" s="70" t="str">
        <f>'RESUMEN TOTAL'!U307</f>
        <v>APAGADO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 t="str">
        <f>'RESUMEN TOTAL'!R308</f>
        <v>APAGADO</v>
      </c>
      <c r="L240" s="70" t="str">
        <f>'RESUMEN TOTAL'!S308</f>
        <v>APAGADO</v>
      </c>
      <c r="M240" s="70">
        <f>'RESUMEN TOTAL'!T308</f>
        <v>0</v>
      </c>
      <c r="N240" s="70" t="str">
        <f>'RESUMEN TOTAL'!U308</f>
        <v>APAGADO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 t="str">
        <f>'RESUMEN TOTAL'!S316</f>
        <v>APAGADO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 t="str">
        <f>'RESUMEN TOTAL'!S318</f>
        <v>APAGADO</v>
      </c>
      <c r="M250" s="70">
        <f>'RESUMEN TOTAL'!T318</f>
        <v>0</v>
      </c>
      <c r="N250" s="70" t="str">
        <f>'RESUMEN TOTAL'!U318</f>
        <v>APAGADO</v>
      </c>
      <c r="O250" s="70" t="str">
        <f>'RESUMEN TOTAL'!V318</f>
        <v>APAGADO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 t="str">
        <f>'RESUMEN TOTAL'!S319</f>
        <v>APAGADO</v>
      </c>
      <c r="M251" s="70">
        <f>'RESUMEN TOTAL'!T319</f>
        <v>0</v>
      </c>
      <c r="N251" s="70" t="str">
        <f>'RESUMEN TOTAL'!U319</f>
        <v>APAGADO</v>
      </c>
      <c r="O251" s="70" t="str">
        <f>'RESUMEN TOTAL'!V319</f>
        <v>APAGADO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 t="str">
        <f>'RESUMEN TOTAL'!S320</f>
        <v>APAGADO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 t="str">
        <f>'RESUMEN TOTAL'!S321</f>
        <v>APAGADO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 t="str">
        <f>'RESUMEN TOTAL'!R322</f>
        <v>APAGADO</v>
      </c>
      <c r="L254" s="70" t="str">
        <f>'RESUMEN TOTAL'!S322</f>
        <v>APAGADO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 t="str">
        <f>'RESUMEN TOTAL'!R367</f>
        <v>APAGADO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 t="str">
        <f>'RESUMEN TOTAL'!S383</f>
        <v>APAGADO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 t="str">
        <f>'RESUMEN TOTAL'!S389</f>
        <v>APAGADO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 t="str">
        <f>'RESUMEN TOTAL'!S390</f>
        <v>APAGADO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 t="str">
        <f>'RESUMEN TOTAL'!S395</f>
        <v>APAGADO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 t="str">
        <f>'RESUMEN TOTAL'!S396</f>
        <v>APAGADO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 t="str">
        <f>'RESUMEN TOTAL'!R397</f>
        <v>APAGADO</v>
      </c>
      <c r="L315" s="70" t="str">
        <f>'RESUMEN TOTAL'!S397</f>
        <v>APAGADO</v>
      </c>
      <c r="M315" s="70">
        <f>'RESUMEN TOTAL'!T397</f>
        <v>0</v>
      </c>
      <c r="N315" s="70" t="str">
        <f>'RESUMEN TOTAL'!U397</f>
        <v>APAGADO</v>
      </c>
      <c r="O315" s="70" t="str">
        <f>'RESUMEN TOTAL'!V397</f>
        <v>APAGADO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 t="str">
        <f>'RESUMEN TOTAL'!R403</f>
        <v>APAGADO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 t="str">
        <f>'RESUMEN TOTAL'!U407</f>
        <v>APAGADO</v>
      </c>
      <c r="O320" s="70" t="str">
        <f>'RESUMEN TOTAL'!V407</f>
        <v>APAGADO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 t="str">
        <f>'RESUMEN TOTAL'!R411</f>
        <v>APAGADO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 t="str">
        <f>'RESUMEN TOTAL'!R412</f>
        <v>APAGADO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 t="str">
        <f>'RESUMEN TOTAL'!S422</f>
        <v>APAGADO</v>
      </c>
      <c r="M328" s="70">
        <f>'RESUMEN TOTAL'!T422</f>
        <v>0</v>
      </c>
      <c r="N328" s="70" t="str">
        <f>'RESUMEN TOTAL'!U422</f>
        <v>APAGADO</v>
      </c>
      <c r="O328" s="70" t="str">
        <f>'RESUMEN TOTAL'!V422</f>
        <v>APAGADO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 t="str">
        <f>'RESUMEN TOTAL'!S423</f>
        <v>APAGADO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 t="str">
        <f>'RESUMEN TOTAL'!R446</f>
        <v>APAGADO</v>
      </c>
      <c r="L349" s="70" t="str">
        <f>'RESUMEN TOTAL'!S446</f>
        <v>APAGADO</v>
      </c>
      <c r="M349" s="70">
        <f>'RESUMEN TOTAL'!T446</f>
        <v>0</v>
      </c>
      <c r="N349" s="70" t="str">
        <f>'RESUMEN TOTAL'!U446</f>
        <v>APAGADO</v>
      </c>
      <c r="O349" s="70" t="str">
        <f>'RESUMEN TOTAL'!V446</f>
        <v>APAGADO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 t="str">
        <f>'RESUMEN TOTAL'!R447</f>
        <v>APAGADO</v>
      </c>
      <c r="L350" s="70" t="str">
        <f>'RESUMEN TOTAL'!S447</f>
        <v>APAGADO</v>
      </c>
      <c r="M350" s="70">
        <f>'RESUMEN TOTAL'!T447</f>
        <v>0</v>
      </c>
      <c r="N350" s="70" t="str">
        <f>'RESUMEN TOTAL'!U447</f>
        <v>APAGADO</v>
      </c>
      <c r="O350" s="70" t="str">
        <f>'RESUMEN TOTAL'!V447</f>
        <v>APAGADO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 t="str">
        <f>'RESUMEN TOTAL'!S450</f>
        <v>APAGADO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 t="str">
        <f>'RESUMEN TOTAL'!S452</f>
        <v>APAGADO</v>
      </c>
      <c r="M355" s="70">
        <f>'RESUMEN TOTAL'!T452</f>
        <v>0</v>
      </c>
      <c r="N355" s="70" t="str">
        <f>'RESUMEN TOTAL'!U452</f>
        <v>APAGADO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 t="str">
        <f>'RESUMEN TOTAL'!S453</f>
        <v>APAGADO</v>
      </c>
      <c r="M356" s="70">
        <f>'RESUMEN TOTAL'!T453</f>
        <v>0</v>
      </c>
      <c r="N356" s="70" t="str">
        <f>'RESUMEN TOTAL'!U453</f>
        <v>APAGADO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 t="str">
        <f>'RESUMEN TOTAL'!S464</f>
        <v>APAGADO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 t="str">
        <f>'RESUMEN TOTAL'!S465</f>
        <v>APAGADO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 t="str">
        <f>'RESUMEN TOTAL'!R466</f>
        <v>APAGADO</v>
      </c>
      <c r="L363" s="70" t="str">
        <f>'RESUMEN TOTAL'!S466</f>
        <v>APAGADO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 t="str">
        <f>'RESUMEN TOTAL'!S470</f>
        <v>APAGADO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 t="str">
        <f>'RESUMEN TOTAL'!R514</f>
        <v>APAGADO</v>
      </c>
      <c r="L402" s="70" t="str">
        <f>'RESUMEN TOTAL'!S514</f>
        <v>APAGADO</v>
      </c>
      <c r="M402" s="70">
        <f>'RESUMEN TOTAL'!T514</f>
        <v>0</v>
      </c>
      <c r="N402" s="70" t="str">
        <f>'RESUMEN TOTAL'!U514</f>
        <v>APAGADO</v>
      </c>
      <c r="O402" s="70" t="str">
        <f>'RESUMEN TOTAL'!V514</f>
        <v>APAGADO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 t="str">
        <f>'RESUMEN TOTAL'!S519</f>
        <v>APAGADO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 t="str">
        <f>'RESUMEN TOTAL'!R545</f>
        <v>APAGADO</v>
      </c>
      <c r="L427" s="70" t="str">
        <f>'RESUMEN TOTAL'!S545</f>
        <v>APAGADO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 t="str">
        <f>'RESUMEN TOTAL'!S558</f>
        <v>APAGADO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 t="str">
        <f>'RESUMEN TOTAL'!S560</f>
        <v>APAGADO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 t="str">
        <f>'RESUMEN TOTAL'!S568</f>
        <v>APAGADO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 t="str">
        <f>'RESUMEN TOTAL'!S569</f>
        <v>APAGADO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 t="str">
        <f>'RESUMEN TOTAL'!S570</f>
        <v>APAGADO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 t="str">
        <f>'RESUMEN TOTAL'!S571</f>
        <v>APAGADO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 t="str">
        <f>'RESUMEN TOTAL'!S572</f>
        <v>APAGADO</v>
      </c>
      <c r="M449" s="70">
        <f>'RESUMEN TOTAL'!T572</f>
        <v>0</v>
      </c>
      <c r="N449" s="70" t="str">
        <f>'RESUMEN TOTAL'!U572</f>
        <v>APAGADO</v>
      </c>
      <c r="O449" s="70" t="str">
        <f>'RESUMEN TOTAL'!V572</f>
        <v>APAGADO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 t="str">
        <f>'RESUMEN TOTAL'!S586</f>
        <v>APAGADO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44</v>
      </c>
      <c r="L3" s="46">
        <v>0</v>
      </c>
      <c r="M3" s="46">
        <v>0</v>
      </c>
      <c r="N3" s="46">
        <f>COUNTIFS('RESUMEN TOTAL'!U8:U698,"=APAGADO",'RESUMEN TOTAL'!C8:C698,"=BONOMO")</f>
        <v>25</v>
      </c>
      <c r="O3" s="46">
        <f>COUNTIFS('RESUMEN TOTAL'!V8:V698,"=APAGADO",'RESUMEN TOTAL'!C8:C698,"=BONOMO")</f>
        <v>28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276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0.14285714285714285</v>
      </c>
      <c r="L4" s="50">
        <f t="shared" si="0"/>
        <v>0</v>
      </c>
      <c r="M4" s="50">
        <v>0</v>
      </c>
      <c r="N4" s="50">
        <f t="shared" si="0"/>
        <v>8.1168831168831168E-2</v>
      </c>
      <c r="O4" s="50">
        <f t="shared" si="0"/>
        <v>9.0909090909090912E-2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59</v>
      </c>
      <c r="K5" s="46">
        <f>COUNTIFS('RESUMEN TOTAL'!R10:R700,"=APAGADO",'RESUMEN TOTAL'!C10:C700,"=COSEIDI")</f>
        <v>54</v>
      </c>
      <c r="L5" s="46">
        <f>COUNTIFS('RESUMEN TOTAL'!S10:S700,"=APAGADO",'RESUMEN TOTAL'!C10:C700,"=COSEIDI")</f>
        <v>50</v>
      </c>
      <c r="M5" s="46">
        <v>0</v>
      </c>
      <c r="N5" s="46">
        <f>COUNTIFS('RESUMEN TOTAL'!U10:U700,"=APAGADO",'RESUMEN TOTAL'!C10:C700,"=COSEIDI")</f>
        <v>55</v>
      </c>
      <c r="O5" s="46">
        <f>COUNTIFS('RESUMEN TOTAL'!V10:V700,"=APAGADO",'RESUMEN TOTAL'!C10:C700,"=COSEIDI")</f>
        <v>45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0.19565217391304349</v>
      </c>
      <c r="L6" s="50">
        <f t="shared" si="3"/>
        <v>0.18115942028985507</v>
      </c>
      <c r="M6" s="50">
        <v>0</v>
      </c>
      <c r="N6" s="50">
        <f t="shared" si="3"/>
        <v>0.19927536231884058</v>
      </c>
      <c r="O6" s="50">
        <f t="shared" si="3"/>
        <v>0.16304347826086957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85" zoomScaleNormal="100" workbookViewId="0">
      <selection activeCell="I97" sqref="I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276</v>
      </c>
      <c r="D43" s="112">
        <f>Hoja1!I5</f>
        <v>56</v>
      </c>
      <c r="E43" s="113">
        <f>D43/C43</f>
        <v>0.20289855072463769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276</v>
      </c>
      <c r="D54" s="112">
        <f>Hoja1!J5</f>
        <v>59</v>
      </c>
      <c r="E54" s="113">
        <f>D54/C54</f>
        <v>0.21376811594202899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TOTAL'!R3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TOTAL'!R5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276</v>
      </c>
      <c r="D65" s="112">
        <f>Hoja1!K5</f>
        <v>54</v>
      </c>
      <c r="E65" s="113">
        <f>D65/C65</f>
        <v>0.19565217391304349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TOTAL'!S3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TOTAL'!S5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276</v>
      </c>
      <c r="D76" s="112">
        <f>Hoja1!L5</f>
        <v>50</v>
      </c>
      <c r="E76" s="113">
        <f>D76/C76</f>
        <v>0.18115942028985507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276</v>
      </c>
      <c r="D98" s="112">
        <f>Hoja1!N5</f>
        <v>55</v>
      </c>
      <c r="E98" s="113">
        <f>D98/C98</f>
        <v>0.19927536231884058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TOTAL'!V3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0</v>
      </c>
      <c r="D103" s="102">
        <f>C102-C103</f>
        <v>73</v>
      </c>
      <c r="E103" s="55">
        <f>D103/C101</f>
        <v>0.125</v>
      </c>
      <c r="F103" s="156"/>
    </row>
    <row r="104" spans="1:6" x14ac:dyDescent="0.25">
      <c r="B104" s="53" t="s">
        <v>1240</v>
      </c>
      <c r="C104" s="67">
        <v>0</v>
      </c>
      <c r="D104" s="102">
        <f>D103-C104</f>
        <v>73</v>
      </c>
      <c r="E104" s="55">
        <f>D104/C101</f>
        <v>0.125</v>
      </c>
      <c r="F104" s="156"/>
    </row>
    <row r="105" spans="1:6" x14ac:dyDescent="0.25">
      <c r="A105" t="s">
        <v>1469</v>
      </c>
      <c r="B105" s="53" t="s">
        <v>16</v>
      </c>
      <c r="C105" s="93">
        <v>0</v>
      </c>
      <c r="D105" s="102">
        <f>D104-C105</f>
        <v>73</v>
      </c>
      <c r="E105" s="55">
        <f>D105/C101</f>
        <v>0.125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276</v>
      </c>
      <c r="D109" s="112">
        <f>Hoja1!O5</f>
        <v>45</v>
      </c>
      <c r="E109" s="113">
        <f>D109/C109</f>
        <v>0.16304347826086957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1239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1240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1059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1239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1240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1059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1239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1240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1059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2026-03-10T11:57:43Z</dcterms:modified>
</cp:coreProperties>
</file>