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8_{58A53358-89DC-4586-B438-4A9877D492B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59" i="24" l="1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E16" i="24" l="1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<sst xmlns="http://schemas.openxmlformats.org/spreadsheetml/2006/main" count="5183" uniqueCount="2324">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</sst>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92"/>
  <sheetViews>
    <sheetView tabSelected="1" view="pageBreakPreview" zoomScale="56" zoomScaleNormal="80" zoomScaleSheetLayoutView="56" workbookViewId="0">
      <pane xSplit="12" ySplit="7" topLeftCell="M300" activePane="bottomRight" state="frozen"/>
      <selection pane="topRight" activeCell="M1" sqref="M1"/>
      <selection pane="bottomLeft" activeCell="A5" sqref="A5"/>
      <selection pane="bottomRight" activeCell="M321" sqref="M321"/>
    </sheetView>
  </sheetViews>
  <sheetFormatPr baseColWidth="10" defaultColWidth="11.5703125" defaultRowHeight="15" x14ac:dyDescent="0.25"/>
  <cols>
    <col min="1" max="1" width="12.28515625" hidden="1" customWidth="1"/>
    <col min="2" max="2" width="42.42578125" style="30" customWidth="1"/>
    <col min="3" max="3" width="15.85546875" style="30" customWidth="1"/>
    <col min="4" max="4" width="70.7109375" bestFit="1" customWidth="1"/>
    <col min="5" max="5" width="20.5703125" style="61" bestFit="1" customWidth="1"/>
    <col min="6" max="6" width="16.85546875" style="65" customWidth="1"/>
    <col min="7" max="7" width="12.140625" style="65" customWidth="1"/>
    <col min="8" max="8" width="15.85546875" style="65" bestFit="1" customWidth="1"/>
    <col min="9" max="9" width="28.140625" bestFit="1" customWidth="1"/>
    <col min="10" max="10" width="22.42578125" bestFit="1" customWidth="1"/>
    <col min="11" max="11" width="19.140625" bestFit="1" customWidth="1"/>
    <col min="12" max="12" width="20.28515625" style="4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0.12048192771084337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>COUNTIF(M7:M744, "apagado")</f>
        <v>80</v>
      </c>
      <c r="N3" s="125">
        <f>COUNTIF(N7:N744, "apagado")</f>
        <v>0</v>
      </c>
      <c r="O3" s="125">
        <f>COUNTIF(O7:O744, "apagado")</f>
        <v>0</v>
      </c>
      <c r="P3" s="125">
        <f>COUNTIF(P7:P744, "apagado")</f>
        <v>0</v>
      </c>
      <c r="Q3" s="125">
        <f>COUNTIF(Q7:Q744, "apagado")</f>
        <v>0</v>
      </c>
      <c r="R3" s="125">
        <f>COUNTIF(R7:R744, "apagado")</f>
        <v>0</v>
      </c>
      <c r="S3" s="125">
        <f>COUNTIF(S7:S744, "apagado")</f>
        <v>0</v>
      </c>
      <c r="T3" s="125">
        <f>COUNTIF(T7:T744, "apagado")</f>
        <v>0</v>
      </c>
      <c r="U3" s="125">
        <f>COUNTIF(U7:U744, "apagado")</f>
        <v>0</v>
      </c>
      <c r="V3" s="125">
        <f>COUNTIF(V7:V744, "apagado")</f>
        <v>0</v>
      </c>
      <c r="W3" s="125">
        <f>COUNTIF(W7:W744, "apagado")</f>
        <v>0</v>
      </c>
      <c r="X3" s="125">
        <f>COUNTIF(X7:X744, "apagado")</f>
        <v>0</v>
      </c>
      <c r="Y3" s="125">
        <f>COUNTIF(Y7:Y744, "apagado")</f>
        <v>0</v>
      </c>
      <c r="Z3" s="125">
        <f>COUNTIF(Z7:Z744, "apagado")</f>
        <v>0</v>
      </c>
      <c r="AA3" s="125">
        <f>COUNTIF(AA7:AA744, "apagado")</f>
        <v>0</v>
      </c>
      <c r="AB3" s="125">
        <f>COUNTIF(AB7:AB744, "apagado")</f>
        <v>0</v>
      </c>
      <c r="AC3" s="125">
        <f>COUNTIF(AC7:AC744, "apagado")</f>
        <v>0</v>
      </c>
      <c r="AD3" s="125">
        <f>COUNTIF(AD7:AD744, "apagado")</f>
        <v>0</v>
      </c>
      <c r="AE3" s="125">
        <f>COUNTIF(AE7:AE744, "apagado")</f>
        <v>0</v>
      </c>
      <c r="AF3" s="125">
        <f>COUNTIF(AF7:AF744, "apagado")</f>
        <v>0</v>
      </c>
      <c r="AG3" s="125">
        <f>COUNTIF(AG7:AG744, "apagado")</f>
        <v>0</v>
      </c>
      <c r="AH3" s="125">
        <f>COUNTIF(AH7:AH744, "apagado")</f>
        <v>0</v>
      </c>
      <c r="AI3" s="125">
        <f>COUNTIF(AI7:AI744, "apagado")</f>
        <v>0</v>
      </c>
      <c r="AJ3" s="125">
        <f>COUNTIF(AJ7:AJ744, "apagado")</f>
        <v>0</v>
      </c>
      <c r="AK3" s="125">
        <f>COUNTIF(AK7:AK744, "apagado")</f>
        <v>0</v>
      </c>
      <c r="AL3" s="125">
        <f>COUNTIF(AL7:AL744, "apagado")</f>
        <v>0</v>
      </c>
      <c r="AM3" s="125">
        <f>COUNTIF(AM7:AM744, "apagado")</f>
        <v>0</v>
      </c>
      <c r="AN3" s="125">
        <f>COUNTIF(AN7:AN744, "apagado")</f>
        <v>0</v>
      </c>
      <c r="AO3" s="125">
        <f>COUNTIF(AO7:AO744, "apagado")</f>
        <v>0</v>
      </c>
      <c r="AP3" s="125">
        <f>COUNTIF(AP7:AP744, "apagado")</f>
        <v>0</v>
      </c>
      <c r="AQ3" s="125">
        <f>COUNTIF(AQ7:AQ744, "apagado")</f>
        <v>0</v>
      </c>
    </row>
    <row r="4" spans="1:43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38</v>
      </c>
      <c r="N4" s="10">
        <f>COUNTIFS(N8:N698, "=APAGADO",F8:F698,"=Fibra Optica")</f>
        <v>0</v>
      </c>
      <c r="O4" s="10">
        <f>COUNTIFS(O8:O698, "=APAGADO",F8:F698,"=Fibra Optica")</f>
        <v>0</v>
      </c>
      <c r="P4" s="10">
        <f>COUNTIFS(P8:P698, "=APAGADO",F8:F698,"=Fibra Optica")</f>
        <v>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0</v>
      </c>
      <c r="O5" s="129">
        <f>COUNTIFS(O8:O698, "=APAGADO",F8:F698,"=RADIO")</f>
        <v>0</v>
      </c>
      <c r="P5" s="129">
        <f>COUNTIFS(P8:P698, "=APAGADO",F8:F698,"=RADIO")</f>
        <v>0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0</v>
      </c>
      <c r="O6" s="10">
        <f>COUNTIFS(O8:O698, "=APAGADO",F8:F698,"=PTO A FO")</f>
        <v>0</v>
      </c>
      <c r="P6" s="10">
        <f>COUNTIFS(P8:P698, "=APAGADO",F8:F698,"=PTO A FO")</f>
        <v>0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5">COUNTIF(M8:AN8,"")</f>
        <v>28</v>
      </c>
      <c r="J8" s="146" t="s">
        <v>1657</v>
      </c>
      <c r="K8" s="31">
        <f t="shared" ref="K8:K86" si="6">COUNTIF(M8:AN8,"APAGADO")</f>
        <v>0</v>
      </c>
      <c r="L8" s="32">
        <f t="shared" ref="L8:L86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5"/>
        <v>27</v>
      </c>
      <c r="J9" s="146" t="s">
        <v>1658</v>
      </c>
      <c r="K9" s="31">
        <f t="shared" si="6"/>
        <v>1</v>
      </c>
      <c r="L9" s="32">
        <f t="shared" si="7"/>
        <v>0.9642857142857143</v>
      </c>
      <c r="M9" s="70" t="s">
        <v>2278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5"/>
        <v>28</v>
      </c>
      <c r="J10" s="146" t="s">
        <v>1659</v>
      </c>
      <c r="K10" s="141">
        <f t="shared" si="6"/>
        <v>0</v>
      </c>
      <c r="L10" s="142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5"/>
        <v>28</v>
      </c>
      <c r="J11" s="146" t="s">
        <v>1660</v>
      </c>
      <c r="K11" s="141">
        <f t="shared" si="6"/>
        <v>0</v>
      </c>
      <c r="L11" s="142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5"/>
        <v>28</v>
      </c>
      <c r="J12" s="148" t="s">
        <v>1661</v>
      </c>
      <c r="K12" s="141">
        <f t="shared" si="6"/>
        <v>0</v>
      </c>
      <c r="L12" s="142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5"/>
        <v>28</v>
      </c>
      <c r="J13" s="146" t="s">
        <v>1662</v>
      </c>
      <c r="K13" s="141">
        <f t="shared" si="6"/>
        <v>0</v>
      </c>
      <c r="L13" s="142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5"/>
        <v>28</v>
      </c>
      <c r="J14" s="146" t="s">
        <v>1663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6" t="s">
        <v>1664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6" t="s">
        <v>1665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5"/>
        <v>28</v>
      </c>
      <c r="J17" s="149" t="s">
        <v>1666</v>
      </c>
      <c r="K17" s="141">
        <f t="shared" si="6"/>
        <v>0</v>
      </c>
      <c r="L17" s="142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5"/>
        <v>28</v>
      </c>
      <c r="J18" s="87" t="s">
        <v>2149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27</v>
      </c>
      <c r="J19" s="146" t="s">
        <v>1667</v>
      </c>
      <c r="K19" s="31">
        <f t="shared" si="6"/>
        <v>1</v>
      </c>
      <c r="L19" s="32">
        <f t="shared" si="7"/>
        <v>0.9642857142857143</v>
      </c>
      <c r="M19" s="70" t="s">
        <v>2278</v>
      </c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5"/>
        <v>27</v>
      </c>
      <c r="J20" s="146" t="s">
        <v>1668</v>
      </c>
      <c r="K20" s="31">
        <f t="shared" si="6"/>
        <v>1</v>
      </c>
      <c r="L20" s="32">
        <f t="shared" si="7"/>
        <v>0.9642857142857143</v>
      </c>
      <c r="M20" s="70" t="s">
        <v>2278</v>
      </c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5"/>
        <v>28</v>
      </c>
      <c r="J21" s="146" t="s">
        <v>1669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6" t="s">
        <v>1670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5"/>
        <v>28</v>
      </c>
      <c r="J23" s="146" t="s">
        <v>1671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5"/>
        <v>28</v>
      </c>
      <c r="J24" s="146" t="s">
        <v>1672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5"/>
        <v>28</v>
      </c>
      <c r="J25" s="146" t="s">
        <v>1673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5"/>
        <v>28</v>
      </c>
      <c r="J26" s="146" t="s">
        <v>1674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5"/>
        <v>28</v>
      </c>
      <c r="J27" s="146" t="s">
        <v>1675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5"/>
        <v>28</v>
      </c>
      <c r="J28" s="146" t="s">
        <v>1676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5"/>
        <v>28</v>
      </c>
      <c r="J29" s="146" t="s">
        <v>1677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5"/>
        <v>28</v>
      </c>
      <c r="J30" s="146" t="s">
        <v>1678</v>
      </c>
      <c r="K30" s="141">
        <f t="shared" si="6"/>
        <v>0</v>
      </c>
      <c r="L30" s="142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5"/>
        <v>28</v>
      </c>
      <c r="J31" s="87" t="s">
        <v>2150</v>
      </c>
      <c r="K31" s="141">
        <f t="shared" si="6"/>
        <v>0</v>
      </c>
      <c r="L31" s="142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5"/>
        <v>28</v>
      </c>
      <c r="J32" s="87" t="s">
        <v>2151</v>
      </c>
      <c r="K32" s="141">
        <f t="shared" si="6"/>
        <v>0</v>
      </c>
      <c r="L32" s="142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5"/>
        <v>28</v>
      </c>
      <c r="J33" s="87" t="s">
        <v>2152</v>
      </c>
      <c r="K33" s="141">
        <f t="shared" si="6"/>
        <v>0</v>
      </c>
      <c r="L33" s="142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5"/>
        <v>28</v>
      </c>
      <c r="J34" s="151" t="s">
        <v>2303</v>
      </c>
      <c r="K34" s="141">
        <f t="shared" si="6"/>
        <v>0</v>
      </c>
      <c r="L34" s="142">
        <f t="shared" si="7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5"/>
        <v>28</v>
      </c>
      <c r="J35" s="146" t="s">
        <v>1679</v>
      </c>
      <c r="K35" s="133">
        <f t="shared" si="6"/>
        <v>0</v>
      </c>
      <c r="L35" s="134">
        <f t="shared" si="7"/>
        <v>1</v>
      </c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5"/>
        <v>27</v>
      </c>
      <c r="J36" s="87" t="s">
        <v>2153</v>
      </c>
      <c r="K36" s="141">
        <f t="shared" si="6"/>
        <v>1</v>
      </c>
      <c r="L36" s="142">
        <f t="shared" si="7"/>
        <v>0.9642857142857143</v>
      </c>
      <c r="M36" s="70" t="s">
        <v>2278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5"/>
        <v>27</v>
      </c>
      <c r="J37" s="87" t="s">
        <v>2147</v>
      </c>
      <c r="K37" s="141">
        <f t="shared" si="6"/>
        <v>1</v>
      </c>
      <c r="L37" s="142">
        <f t="shared" si="7"/>
        <v>0.9642857142857143</v>
      </c>
      <c r="M37" s="70" t="s">
        <v>2278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5"/>
        <v>28</v>
      </c>
      <c r="J38" s="87" t="s">
        <v>2154</v>
      </c>
      <c r="K38" s="141">
        <f t="shared" si="6"/>
        <v>0</v>
      </c>
      <c r="L38" s="14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5"/>
        <v>27</v>
      </c>
      <c r="J39" s="146" t="s">
        <v>1680</v>
      </c>
      <c r="K39" s="31">
        <f t="shared" si="6"/>
        <v>1</v>
      </c>
      <c r="L39" s="32">
        <f t="shared" si="7"/>
        <v>0.9642857142857143</v>
      </c>
      <c r="M39" s="70" t="s">
        <v>2278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5"/>
        <v>27</v>
      </c>
      <c r="J40" s="146" t="s">
        <v>1681</v>
      </c>
      <c r="K40" s="31">
        <f t="shared" si="6"/>
        <v>1</v>
      </c>
      <c r="L40" s="32">
        <f t="shared" si="7"/>
        <v>0.9642857142857143</v>
      </c>
      <c r="M40" s="70" t="s">
        <v>2278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5"/>
        <v>28</v>
      </c>
      <c r="J41" s="87" t="s">
        <v>2155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5"/>
        <v>28</v>
      </c>
      <c r="J42" s="87" t="s">
        <v>2180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5"/>
        <v>28</v>
      </c>
      <c r="J43" s="87" t="s">
        <v>2181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5"/>
        <v>27</v>
      </c>
      <c r="J44" s="87" t="s">
        <v>2182</v>
      </c>
      <c r="K44" s="31">
        <f t="shared" si="6"/>
        <v>1</v>
      </c>
      <c r="L44" s="32">
        <f t="shared" si="7"/>
        <v>0.9642857142857143</v>
      </c>
      <c r="M44" s="70" t="s">
        <v>2278</v>
      </c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5"/>
        <v>28</v>
      </c>
      <c r="J45" s="151" t="s">
        <v>2237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5"/>
        <v>28</v>
      </c>
      <c r="J46" s="151" t="s">
        <v>2242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5"/>
        <v>28</v>
      </c>
      <c r="J47" s="146" t="s">
        <v>1682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5"/>
        <v>28</v>
      </c>
      <c r="J48" s="146" t="s">
        <v>1683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5"/>
        <v>28</v>
      </c>
      <c r="J49" s="146" t="s">
        <v>1684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5"/>
        <v>28</v>
      </c>
      <c r="J50" s="146" t="s">
        <v>1685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5"/>
        <v>28</v>
      </c>
      <c r="J51" s="146" t="s">
        <v>1686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5"/>
        <v>28</v>
      </c>
      <c r="J52" s="146"/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5"/>
        <v>28</v>
      </c>
      <c r="J53" s="146" t="s">
        <v>1687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5"/>
        <v>28</v>
      </c>
      <c r="J54" s="146" t="s">
        <v>1688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5"/>
        <v>28</v>
      </c>
      <c r="J55" s="146" t="s">
        <v>1689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5"/>
        <v>28</v>
      </c>
      <c r="J56" s="146" t="s">
        <v>1690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5"/>
        <v>28</v>
      </c>
      <c r="J57" s="146" t="s">
        <v>1691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5"/>
        <v>28</v>
      </c>
      <c r="J58" s="146" t="s">
        <v>1692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5"/>
        <v>28</v>
      </c>
      <c r="J59" s="146" t="s">
        <v>1693</v>
      </c>
      <c r="K59" s="141">
        <f t="shared" si="6"/>
        <v>0</v>
      </c>
      <c r="L59" s="14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5"/>
        <v>28</v>
      </c>
      <c r="J60" s="146" t="s">
        <v>1694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5"/>
        <v>27</v>
      </c>
      <c r="J61" s="146" t="s">
        <v>1695</v>
      </c>
      <c r="K61" s="141">
        <f t="shared" si="6"/>
        <v>1</v>
      </c>
      <c r="L61" s="142">
        <f t="shared" si="7"/>
        <v>0.9642857142857143</v>
      </c>
      <c r="M61" s="70" t="s">
        <v>2278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5"/>
        <v>28</v>
      </c>
      <c r="J62" s="146" t="s">
        <v>1696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5"/>
        <v>28</v>
      </c>
      <c r="J63" s="146" t="s">
        <v>1697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5"/>
        <v>28</v>
      </c>
      <c r="J64" s="146" t="s">
        <v>1698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5"/>
        <v>28</v>
      </c>
      <c r="J65" s="146" t="s">
        <v>1699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5"/>
        <v>28</v>
      </c>
      <c r="J66" s="146" t="s">
        <v>1700</v>
      </c>
      <c r="K66" s="141">
        <f t="shared" si="6"/>
        <v>0</v>
      </c>
      <c r="L66" s="14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5"/>
        <v>28</v>
      </c>
      <c r="J67" s="87"/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5"/>
        <v>28</v>
      </c>
      <c r="J68" s="146" t="s">
        <v>1701</v>
      </c>
      <c r="K68" s="141">
        <f t="shared" si="6"/>
        <v>0</v>
      </c>
      <c r="L68" s="14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5"/>
        <v>28</v>
      </c>
      <c r="J69" s="146" t="s">
        <v>1702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5"/>
        <v>28</v>
      </c>
      <c r="J70" s="146" t="s">
        <v>1703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5"/>
        <v>28</v>
      </c>
      <c r="J71" s="146" t="s">
        <v>1704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5"/>
        <v>28</v>
      </c>
      <c r="J72" s="146" t="s">
        <v>1705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5"/>
        <v>28</v>
      </c>
      <c r="J73" s="146" t="s">
        <v>1706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5"/>
        <v>28</v>
      </c>
      <c r="J74" s="146" t="s">
        <v>1707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5"/>
        <v>28</v>
      </c>
      <c r="J75" s="146" t="s">
        <v>1708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5"/>
        <v>28</v>
      </c>
      <c r="J76" s="146" t="s">
        <v>1709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5"/>
        <v>28</v>
      </c>
      <c r="J77" s="146" t="s">
        <v>1710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5"/>
        <v>28</v>
      </c>
      <c r="J78" s="146" t="s">
        <v>1711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5"/>
        <v>28</v>
      </c>
      <c r="J79" s="146" t="s">
        <v>1712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5"/>
        <v>28</v>
      </c>
      <c r="J80" s="146" t="s">
        <v>1713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5"/>
        <v>28</v>
      </c>
      <c r="J81" s="146" t="s">
        <v>1714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5"/>
        <v>28</v>
      </c>
      <c r="J82" s="146" t="s">
        <v>1715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5"/>
        <v>28</v>
      </c>
      <c r="J83" s="146" t="s">
        <v>1716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5"/>
        <v>28</v>
      </c>
      <c r="J84" s="146" t="s">
        <v>1717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5"/>
        <v>28</v>
      </c>
      <c r="J85" s="146" t="s">
        <v>1718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5"/>
        <v>28</v>
      </c>
      <c r="J86" s="146" t="s">
        <v>1719</v>
      </c>
      <c r="K86" s="31">
        <f t="shared" si="6"/>
        <v>0</v>
      </c>
      <c r="L86" s="32">
        <f t="shared" si="7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8">COUNTIF(M87:AN87,"")</f>
        <v>28</v>
      </c>
      <c r="J87" s="146" t="s">
        <v>1720</v>
      </c>
      <c r="K87" s="31">
        <f t="shared" ref="K87:K164" si="9">COUNTIF(M87:AN87,"APAGADO")</f>
        <v>0</v>
      </c>
      <c r="L87" s="32">
        <f t="shared" ref="L87:L164" si="10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8"/>
        <v>28</v>
      </c>
      <c r="J88" s="146" t="s">
        <v>1721</v>
      </c>
      <c r="K88" s="141">
        <f t="shared" si="9"/>
        <v>0</v>
      </c>
      <c r="L88" s="14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8"/>
        <v>28</v>
      </c>
      <c r="J89" s="146" t="s">
        <v>1722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8"/>
        <v>27</v>
      </c>
      <c r="J90" s="146" t="s">
        <v>1723</v>
      </c>
      <c r="K90" s="31">
        <f t="shared" si="9"/>
        <v>1</v>
      </c>
      <c r="L90" s="32">
        <f t="shared" si="10"/>
        <v>0.9642857142857143</v>
      </c>
      <c r="M90" s="70" t="s">
        <v>2278</v>
      </c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8"/>
        <v>28</v>
      </c>
      <c r="J91" s="146" t="s">
        <v>1724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8"/>
        <v>28</v>
      </c>
      <c r="J92" s="146" t="s">
        <v>1725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8"/>
        <v>28</v>
      </c>
      <c r="J93" s="146" t="s">
        <v>1726</v>
      </c>
      <c r="K93" s="31">
        <f t="shared" si="9"/>
        <v>0</v>
      </c>
      <c r="L93" s="32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8"/>
        <v>28</v>
      </c>
      <c r="J94" s="146" t="s">
        <v>1727</v>
      </c>
      <c r="K94" s="141">
        <f t="shared" si="9"/>
        <v>0</v>
      </c>
      <c r="L94" s="14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8"/>
        <v>27</v>
      </c>
      <c r="J95" s="149" t="s">
        <v>1728</v>
      </c>
      <c r="K95" s="31">
        <f t="shared" si="9"/>
        <v>1</v>
      </c>
      <c r="L95" s="32">
        <f t="shared" si="10"/>
        <v>0.9642857142857143</v>
      </c>
      <c r="M95" s="70" t="s">
        <v>2278</v>
      </c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8"/>
        <v>27</v>
      </c>
      <c r="J96" s="146" t="s">
        <v>1729</v>
      </c>
      <c r="K96" s="141">
        <f t="shared" si="9"/>
        <v>1</v>
      </c>
      <c r="L96" s="142">
        <f t="shared" si="10"/>
        <v>0.9642857142857143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8"/>
        <v>28</v>
      </c>
      <c r="J97" s="146" t="s">
        <v>1730</v>
      </c>
      <c r="K97" s="141">
        <f t="shared" si="9"/>
        <v>0</v>
      </c>
      <c r="L97" s="142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8"/>
        <v>28</v>
      </c>
      <c r="J98" s="146" t="s">
        <v>1731</v>
      </c>
      <c r="K98" s="141">
        <f t="shared" si="9"/>
        <v>0</v>
      </c>
      <c r="L98" s="142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8"/>
        <v>28</v>
      </c>
      <c r="J99" s="146" t="s">
        <v>1732</v>
      </c>
      <c r="K99" s="141">
        <f t="shared" si="9"/>
        <v>0</v>
      </c>
      <c r="L99" s="142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8"/>
        <v>28</v>
      </c>
      <c r="J100" s="146" t="s">
        <v>1733</v>
      </c>
      <c r="K100" s="141">
        <f t="shared" si="9"/>
        <v>0</v>
      </c>
      <c r="L100" s="14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8"/>
        <v>28</v>
      </c>
      <c r="J101" s="146" t="s">
        <v>1734</v>
      </c>
      <c r="K101" s="141">
        <f t="shared" si="9"/>
        <v>0</v>
      </c>
      <c r="L101" s="14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8"/>
        <v>28</v>
      </c>
      <c r="J102" s="146" t="s">
        <v>1735</v>
      </c>
      <c r="K102" s="141">
        <f t="shared" si="9"/>
        <v>0</v>
      </c>
      <c r="L102" s="14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8"/>
        <v>28</v>
      </c>
      <c r="J103" s="146" t="s">
        <v>1736</v>
      </c>
      <c r="K103" s="141">
        <f t="shared" si="9"/>
        <v>0</v>
      </c>
      <c r="L103" s="14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8"/>
        <v>28</v>
      </c>
      <c r="J104" s="146" t="s">
        <v>1737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8"/>
        <v>28</v>
      </c>
      <c r="J105" s="146" t="s">
        <v>1738</v>
      </c>
      <c r="K105" s="141">
        <f t="shared" si="9"/>
        <v>0</v>
      </c>
      <c r="L105" s="14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8"/>
        <v>28</v>
      </c>
      <c r="J106" s="146" t="s">
        <v>1739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8"/>
        <v>28</v>
      </c>
      <c r="J107" s="146" t="s">
        <v>1740</v>
      </c>
      <c r="K107" s="141">
        <f t="shared" si="9"/>
        <v>0</v>
      </c>
      <c r="L107" s="14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8"/>
        <v>28</v>
      </c>
      <c r="J108" s="146" t="s">
        <v>1741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8"/>
        <v>28</v>
      </c>
      <c r="J109" s="146" t="s">
        <v>1742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8"/>
        <v>28</v>
      </c>
      <c r="J110" s="146" t="s">
        <v>1743</v>
      </c>
      <c r="K110" s="31">
        <f t="shared" si="9"/>
        <v>0</v>
      </c>
      <c r="L110" s="32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8"/>
        <v>28</v>
      </c>
      <c r="J111" s="146" t="s">
        <v>1744</v>
      </c>
      <c r="K111" s="141">
        <f t="shared" si="9"/>
        <v>0</v>
      </c>
      <c r="L111" s="14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8"/>
        <v>28</v>
      </c>
      <c r="J112" s="146" t="s">
        <v>1744</v>
      </c>
      <c r="K112" s="141">
        <f t="shared" si="9"/>
        <v>0</v>
      </c>
      <c r="L112" s="14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8"/>
        <v>28</v>
      </c>
      <c r="J113" s="146" t="s">
        <v>1746</v>
      </c>
      <c r="K113" s="141">
        <f t="shared" si="9"/>
        <v>0</v>
      </c>
      <c r="L113" s="14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8"/>
        <v>28</v>
      </c>
      <c r="J114" s="146" t="s">
        <v>1745</v>
      </c>
      <c r="K114" s="141">
        <f t="shared" si="9"/>
        <v>0</v>
      </c>
      <c r="L114" s="14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8"/>
        <v>28</v>
      </c>
      <c r="J115" s="146" t="s">
        <v>1747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8"/>
        <v>28</v>
      </c>
      <c r="J116" s="146" t="s">
        <v>1748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8"/>
        <v>28</v>
      </c>
      <c r="J117" s="146" t="s">
        <v>1749</v>
      </c>
      <c r="K117" s="141">
        <f t="shared" si="9"/>
        <v>0</v>
      </c>
      <c r="L117" s="14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8"/>
        <v>28</v>
      </c>
      <c r="J118" s="146" t="s">
        <v>1750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8"/>
        <v>28</v>
      </c>
      <c r="J119" s="146" t="s">
        <v>1751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8"/>
        <v>28</v>
      </c>
      <c r="J120" s="146" t="s">
        <v>1752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8"/>
        <v>28</v>
      </c>
      <c r="J121" s="146" t="s">
        <v>1753</v>
      </c>
      <c r="K121" s="141">
        <f t="shared" si="9"/>
        <v>0</v>
      </c>
      <c r="L121" s="14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8"/>
        <v>28</v>
      </c>
      <c r="J122" s="146" t="s">
        <v>1754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8"/>
        <v>28</v>
      </c>
      <c r="J123" s="146" t="s">
        <v>1755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8"/>
        <v>28</v>
      </c>
      <c r="J124" s="146" t="s">
        <v>1756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8"/>
        <v>28</v>
      </c>
      <c r="J125" s="146" t="s">
        <v>1757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8"/>
        <v>28</v>
      </c>
      <c r="J126" s="146" t="s">
        <v>1758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8"/>
        <v>28</v>
      </c>
      <c r="J127" s="146" t="s">
        <v>1759</v>
      </c>
      <c r="K127" s="31">
        <f t="shared" si="9"/>
        <v>0</v>
      </c>
      <c r="L127" s="32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8"/>
        <v>27</v>
      </c>
      <c r="J128" s="147" t="s">
        <v>1760</v>
      </c>
      <c r="K128" s="141">
        <f t="shared" si="9"/>
        <v>1</v>
      </c>
      <c r="L128" s="142">
        <f t="shared" si="10"/>
        <v>0.9642857142857143</v>
      </c>
      <c r="M128" s="70" t="s">
        <v>2278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8"/>
        <v>28</v>
      </c>
      <c r="J129" s="146" t="s">
        <v>1761</v>
      </c>
      <c r="K129" s="141">
        <f t="shared" si="9"/>
        <v>0</v>
      </c>
      <c r="L129" s="14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8"/>
        <v>28</v>
      </c>
      <c r="J130" s="146" t="s">
        <v>1762</v>
      </c>
      <c r="K130" s="141">
        <f t="shared" si="9"/>
        <v>0</v>
      </c>
      <c r="L130" s="14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8"/>
        <v>27</v>
      </c>
      <c r="J131" s="146" t="s">
        <v>1763</v>
      </c>
      <c r="K131" s="31">
        <f t="shared" si="9"/>
        <v>1</v>
      </c>
      <c r="L131" s="32">
        <f t="shared" si="10"/>
        <v>0.9642857142857143</v>
      </c>
      <c r="M131" s="70" t="s">
        <v>2278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8"/>
        <v>28</v>
      </c>
      <c r="J132" s="146" t="s">
        <v>1764</v>
      </c>
      <c r="K132" s="31">
        <f t="shared" si="9"/>
        <v>0</v>
      </c>
      <c r="L132" s="32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8"/>
        <v>28</v>
      </c>
      <c r="J133" s="146" t="s">
        <v>1765</v>
      </c>
      <c r="K133" s="141">
        <f t="shared" si="9"/>
        <v>0</v>
      </c>
      <c r="L133" s="142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8"/>
        <v>28</v>
      </c>
      <c r="J134" s="146" t="s">
        <v>1766</v>
      </c>
      <c r="K134" s="141">
        <f t="shared" si="9"/>
        <v>0</v>
      </c>
      <c r="L134" s="142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8"/>
        <v>28</v>
      </c>
      <c r="J135" s="146" t="s">
        <v>1767</v>
      </c>
      <c r="K135" s="141">
        <f t="shared" si="9"/>
        <v>0</v>
      </c>
      <c r="L135" s="142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8"/>
        <v>28</v>
      </c>
      <c r="J136" s="146" t="s">
        <v>1768</v>
      </c>
      <c r="K136" s="141">
        <f t="shared" si="9"/>
        <v>0</v>
      </c>
      <c r="L136" s="142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8"/>
        <v>28</v>
      </c>
      <c r="J137" s="146" t="s">
        <v>1769</v>
      </c>
      <c r="K137" s="141">
        <f t="shared" si="9"/>
        <v>0</v>
      </c>
      <c r="L137" s="142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8"/>
        <v>28</v>
      </c>
      <c r="J138" s="146" t="s">
        <v>1770</v>
      </c>
      <c r="K138" s="141">
        <f t="shared" si="9"/>
        <v>0</v>
      </c>
      <c r="L138" s="142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8"/>
        <v>28</v>
      </c>
      <c r="J139" s="146" t="s">
        <v>1771</v>
      </c>
      <c r="K139" s="141">
        <f t="shared" si="9"/>
        <v>0</v>
      </c>
      <c r="L139" s="14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8"/>
        <v>28</v>
      </c>
      <c r="J140" s="87" t="s">
        <v>2183</v>
      </c>
      <c r="K140" s="141">
        <f t="shared" si="9"/>
        <v>0</v>
      </c>
      <c r="L140" s="14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8"/>
        <v>28</v>
      </c>
      <c r="J141" s="146" t="s">
        <v>1772</v>
      </c>
      <c r="K141" s="141">
        <f t="shared" si="9"/>
        <v>0</v>
      </c>
      <c r="L141" s="14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8"/>
        <v>28</v>
      </c>
      <c r="J142" s="146" t="s">
        <v>1773</v>
      </c>
      <c r="K142" s="141">
        <f t="shared" si="9"/>
        <v>0</v>
      </c>
      <c r="L142" s="14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8"/>
        <v>28</v>
      </c>
      <c r="J143" s="146" t="s">
        <v>2185</v>
      </c>
      <c r="K143" s="141">
        <f t="shared" si="9"/>
        <v>0</v>
      </c>
      <c r="L143" s="14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8"/>
        <v>28</v>
      </c>
      <c r="J144" s="146" t="s">
        <v>2215</v>
      </c>
      <c r="K144" s="141">
        <f t="shared" si="9"/>
        <v>0</v>
      </c>
      <c r="L144" s="14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8"/>
        <v>28</v>
      </c>
      <c r="J145" s="146" t="s">
        <v>2253</v>
      </c>
      <c r="K145" s="141">
        <f t="shared" si="9"/>
        <v>0</v>
      </c>
      <c r="L145" s="14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8"/>
        <v>28</v>
      </c>
      <c r="J146" s="146" t="s">
        <v>2313</v>
      </c>
      <c r="K146" s="141">
        <f t="shared" si="9"/>
        <v>0</v>
      </c>
      <c r="L146" s="14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8"/>
        <v>28</v>
      </c>
      <c r="J147" s="146" t="s">
        <v>1774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8"/>
        <v>28</v>
      </c>
      <c r="J148" s="87"/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8"/>
        <v>28</v>
      </c>
      <c r="J149" s="146" t="s">
        <v>1775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8"/>
        <v>28</v>
      </c>
      <c r="J150" s="146" t="s">
        <v>1776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8"/>
        <v>28</v>
      </c>
      <c r="J151" s="146" t="s">
        <v>1777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8"/>
        <v>27</v>
      </c>
      <c r="J152" s="146" t="s">
        <v>1778</v>
      </c>
      <c r="K152" s="31">
        <f t="shared" si="9"/>
        <v>1</v>
      </c>
      <c r="L152" s="32">
        <f t="shared" si="10"/>
        <v>0.9642857142857143</v>
      </c>
      <c r="M152" s="70" t="s">
        <v>2278</v>
      </c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8"/>
        <v>28</v>
      </c>
      <c r="J153" s="87"/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8"/>
        <v>28</v>
      </c>
      <c r="J154" s="146" t="s">
        <v>1779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8"/>
        <v>28</v>
      </c>
      <c r="J155" s="87"/>
      <c r="K155" s="87">
        <f t="shared" si="9"/>
        <v>0</v>
      </c>
      <c r="L155" s="140">
        <f t="shared" si="10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8"/>
        <v>28</v>
      </c>
      <c r="J156" s="146" t="s">
        <v>1780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8"/>
        <v>28</v>
      </c>
      <c r="J157" s="146" t="s">
        <v>1781</v>
      </c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8"/>
        <v>28</v>
      </c>
      <c r="J158" s="87"/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8"/>
        <v>28</v>
      </c>
      <c r="J159" s="87"/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8"/>
        <v>28</v>
      </c>
      <c r="J160" s="146" t="s">
        <v>1782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8"/>
        <v>28</v>
      </c>
      <c r="J161" s="146" t="s">
        <v>1783</v>
      </c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8"/>
        <v>28</v>
      </c>
      <c r="J162" s="146" t="s">
        <v>1784</v>
      </c>
      <c r="K162" s="31">
        <f t="shared" si="9"/>
        <v>0</v>
      </c>
      <c r="L162" s="32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8"/>
        <v>28</v>
      </c>
      <c r="J163" s="146"/>
      <c r="K163" s="31">
        <f t="shared" si="9"/>
        <v>0</v>
      </c>
      <c r="L163" s="32">
        <f t="shared" si="10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8"/>
        <v>28</v>
      </c>
      <c r="J164" s="146" t="s">
        <v>1785</v>
      </c>
      <c r="K164" s="141">
        <f t="shared" si="9"/>
        <v>0</v>
      </c>
      <c r="L164" s="142">
        <f t="shared" si="10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1">COUNTIF(M165:AN165,"")</f>
        <v>28</v>
      </c>
      <c r="J165" s="146" t="s">
        <v>1786</v>
      </c>
      <c r="K165" s="141">
        <f t="shared" ref="K165:K244" si="12">COUNTIF(M165:AN165,"APAGADO")</f>
        <v>0</v>
      </c>
      <c r="L165" s="142">
        <f t="shared" ref="L165:L244" si="13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1"/>
        <v>28</v>
      </c>
      <c r="J166" s="146"/>
      <c r="K166" s="141">
        <f t="shared" si="12"/>
        <v>0</v>
      </c>
      <c r="L166" s="14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1"/>
        <v>28</v>
      </c>
      <c r="J167" s="146" t="s">
        <v>1787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1"/>
        <v>28</v>
      </c>
      <c r="J168" s="146" t="s">
        <v>1788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1"/>
        <v>28</v>
      </c>
      <c r="J169" s="146" t="s">
        <v>1789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1"/>
        <v>28</v>
      </c>
      <c r="J170" s="146" t="s">
        <v>1790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1"/>
        <v>27</v>
      </c>
      <c r="J171" s="146" t="s">
        <v>1791</v>
      </c>
      <c r="K171" s="31">
        <f t="shared" si="12"/>
        <v>1</v>
      </c>
      <c r="L171" s="32">
        <f t="shared" si="13"/>
        <v>0.9642857142857143</v>
      </c>
      <c r="M171" s="70" t="s">
        <v>2278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1"/>
        <v>27</v>
      </c>
      <c r="J172" s="146" t="s">
        <v>1792</v>
      </c>
      <c r="K172" s="31">
        <f t="shared" si="12"/>
        <v>1</v>
      </c>
      <c r="L172" s="32">
        <f t="shared" si="13"/>
        <v>0.9642857142857143</v>
      </c>
      <c r="M172" s="70" t="s">
        <v>2278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1"/>
        <v>28</v>
      </c>
      <c r="J173" s="146" t="s">
        <v>1793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1"/>
        <v>28</v>
      </c>
      <c r="J174" s="146" t="s">
        <v>1794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1"/>
        <v>28</v>
      </c>
      <c r="J175" s="146" t="s">
        <v>1795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1"/>
        <v>28</v>
      </c>
      <c r="J176" s="146" t="s">
        <v>1796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1"/>
        <v>28</v>
      </c>
      <c r="J177" s="146" t="s">
        <v>1797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1"/>
        <v>28</v>
      </c>
      <c r="J178" s="146" t="s">
        <v>1798</v>
      </c>
      <c r="K178" s="141">
        <f t="shared" si="12"/>
        <v>0</v>
      </c>
      <c r="L178" s="14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1"/>
        <v>28</v>
      </c>
      <c r="J179" s="146" t="s">
        <v>1799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1"/>
        <v>28</v>
      </c>
      <c r="J180" s="87"/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1"/>
        <v>28</v>
      </c>
      <c r="J181" s="146" t="s">
        <v>1800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1"/>
        <v>28</v>
      </c>
      <c r="J182" s="146" t="s">
        <v>1801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1"/>
        <v>28</v>
      </c>
      <c r="J183" s="146" t="s">
        <v>1802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1"/>
        <v>28</v>
      </c>
      <c r="J184" s="146" t="s">
        <v>1803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1"/>
        <v>28</v>
      </c>
      <c r="J185" s="146" t="s">
        <v>1804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1"/>
        <v>28</v>
      </c>
      <c r="J186" s="146" t="s">
        <v>1805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1"/>
        <v>27</v>
      </c>
      <c r="J187" s="146" t="s">
        <v>1806</v>
      </c>
      <c r="K187" s="31">
        <f t="shared" si="12"/>
        <v>1</v>
      </c>
      <c r="L187" s="32">
        <f t="shared" si="13"/>
        <v>0.9642857142857143</v>
      </c>
      <c r="M187" s="70" t="s">
        <v>2278</v>
      </c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1"/>
        <v>27</v>
      </c>
      <c r="J188" s="146" t="s">
        <v>1807</v>
      </c>
      <c r="K188" s="31">
        <f t="shared" si="12"/>
        <v>1</v>
      </c>
      <c r="L188" s="32">
        <f t="shared" si="13"/>
        <v>0.9642857142857143</v>
      </c>
      <c r="M188" s="70" t="s">
        <v>2278</v>
      </c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1"/>
        <v>28</v>
      </c>
      <c r="J189" s="87"/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1"/>
        <v>28</v>
      </c>
      <c r="J190" s="146" t="s">
        <v>1808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1"/>
        <v>28</v>
      </c>
      <c r="J191" s="146"/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1"/>
        <v>28</v>
      </c>
      <c r="J192" s="146" t="s">
        <v>2163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1"/>
        <v>28</v>
      </c>
      <c r="J193" s="146" t="s">
        <v>2163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1"/>
        <v>28</v>
      </c>
      <c r="J194" s="146" t="s">
        <v>1809</v>
      </c>
      <c r="K194" s="31">
        <f t="shared" si="12"/>
        <v>0</v>
      </c>
      <c r="L194" s="32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1"/>
        <v>28</v>
      </c>
      <c r="J195" s="146" t="s">
        <v>1810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1"/>
        <v>28</v>
      </c>
      <c r="J196" s="146" t="s">
        <v>1811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1"/>
        <v>27</v>
      </c>
      <c r="J197" s="87"/>
      <c r="K197" s="137">
        <f t="shared" si="12"/>
        <v>1</v>
      </c>
      <c r="L197" s="138">
        <f t="shared" si="13"/>
        <v>0.9642857142857143</v>
      </c>
      <c r="M197" s="139" t="s">
        <v>2278</v>
      </c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1"/>
        <v>27</v>
      </c>
      <c r="J198" s="146" t="s">
        <v>1812</v>
      </c>
      <c r="K198" s="141">
        <f t="shared" si="12"/>
        <v>1</v>
      </c>
      <c r="L198" s="142">
        <f t="shared" si="13"/>
        <v>0.9642857142857143</v>
      </c>
      <c r="M198" s="70" t="s">
        <v>2278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1"/>
        <v>27</v>
      </c>
      <c r="J199" s="146" t="s">
        <v>1813</v>
      </c>
      <c r="K199" s="141">
        <f t="shared" si="12"/>
        <v>1</v>
      </c>
      <c r="L199" s="142">
        <f t="shared" si="13"/>
        <v>0.9642857142857143</v>
      </c>
      <c r="M199" s="70" t="s">
        <v>2278</v>
      </c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1"/>
        <v>28</v>
      </c>
      <c r="J200" s="146" t="s">
        <v>1814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1"/>
        <v>27</v>
      </c>
      <c r="J201" s="146" t="s">
        <v>1815</v>
      </c>
      <c r="K201" s="31">
        <f t="shared" si="12"/>
        <v>1</v>
      </c>
      <c r="L201" s="32">
        <f t="shared" si="13"/>
        <v>0.9642857142857143</v>
      </c>
      <c r="M201" s="70" t="s">
        <v>2278</v>
      </c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1"/>
        <v>28</v>
      </c>
      <c r="J202" s="146" t="s">
        <v>1816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1"/>
        <v>28</v>
      </c>
      <c r="J203" s="87"/>
      <c r="K203" s="31">
        <f t="shared" si="12"/>
        <v>0</v>
      </c>
      <c r="L203" s="32">
        <f t="shared" si="13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1"/>
        <v>28</v>
      </c>
      <c r="J204" s="146" t="s">
        <v>1817</v>
      </c>
      <c r="K204" s="141">
        <f t="shared" si="12"/>
        <v>0</v>
      </c>
      <c r="L204" s="14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1"/>
        <v>28</v>
      </c>
      <c r="J205" s="146" t="s">
        <v>1818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1"/>
        <v>28</v>
      </c>
      <c r="J206" s="146" t="s">
        <v>1819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1"/>
        <v>28</v>
      </c>
      <c r="J207" s="146" t="s">
        <v>1820</v>
      </c>
      <c r="K207" s="141">
        <f t="shared" si="12"/>
        <v>0</v>
      </c>
      <c r="L207" s="14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1"/>
        <v>28</v>
      </c>
      <c r="J208" s="146" t="s">
        <v>1821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1"/>
        <v>28</v>
      </c>
      <c r="J209" s="146" t="s">
        <v>1822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1"/>
        <v>28</v>
      </c>
      <c r="J210" s="146" t="s">
        <v>1823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1"/>
        <v>28</v>
      </c>
      <c r="J211" s="146" t="s">
        <v>1824</v>
      </c>
      <c r="K211" s="31">
        <f t="shared" si="12"/>
        <v>0</v>
      </c>
      <c r="L211" s="32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1"/>
        <v>28</v>
      </c>
      <c r="J212" s="146" t="s">
        <v>1825</v>
      </c>
      <c r="K212" s="31">
        <f t="shared" si="12"/>
        <v>0</v>
      </c>
      <c r="L212" s="32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1"/>
        <v>28</v>
      </c>
      <c r="J213" s="146" t="s">
        <v>1826</v>
      </c>
      <c r="K213" s="31">
        <f t="shared" si="12"/>
        <v>0</v>
      </c>
      <c r="L213" s="3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1"/>
        <v>28</v>
      </c>
      <c r="J214" s="146" t="s">
        <v>1683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1"/>
        <v>28</v>
      </c>
      <c r="J215" s="146" t="s">
        <v>1827</v>
      </c>
      <c r="K215" s="141">
        <f t="shared" si="12"/>
        <v>0</v>
      </c>
      <c r="L215" s="142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1"/>
        <v>28</v>
      </c>
      <c r="J216" s="146" t="s">
        <v>1828</v>
      </c>
      <c r="K216" s="141">
        <f t="shared" si="12"/>
        <v>0</v>
      </c>
      <c r="L216" s="142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1"/>
        <v>28</v>
      </c>
      <c r="J217" s="146" t="s">
        <v>2200</v>
      </c>
      <c r="K217" s="141">
        <f t="shared" si="12"/>
        <v>0</v>
      </c>
      <c r="L217" s="142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1"/>
        <v>28</v>
      </c>
      <c r="J218" s="146" t="s">
        <v>1829</v>
      </c>
      <c r="K218" s="31">
        <f t="shared" si="12"/>
        <v>0</v>
      </c>
      <c r="L218" s="32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1"/>
        <v>28</v>
      </c>
      <c r="J219" s="146" t="s">
        <v>1830</v>
      </c>
      <c r="K219" s="141">
        <f t="shared" si="12"/>
        <v>0</v>
      </c>
      <c r="L219" s="142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1"/>
        <v>28</v>
      </c>
      <c r="J220" s="146" t="s">
        <v>1831</v>
      </c>
      <c r="K220" s="141">
        <f t="shared" si="12"/>
        <v>0</v>
      </c>
      <c r="L220" s="14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1"/>
        <v>28</v>
      </c>
      <c r="J221" s="146" t="s">
        <v>1832</v>
      </c>
      <c r="K221" s="141">
        <f t="shared" si="12"/>
        <v>0</v>
      </c>
      <c r="L221" s="14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1"/>
        <v>28</v>
      </c>
      <c r="J222" s="150" t="s">
        <v>2266</v>
      </c>
      <c r="K222" s="141">
        <f t="shared" si="12"/>
        <v>0</v>
      </c>
      <c r="L222" s="14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1"/>
        <v>28</v>
      </c>
      <c r="J223" s="87"/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1"/>
        <v>28</v>
      </c>
      <c r="J224" s="87"/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1"/>
        <v>28</v>
      </c>
      <c r="J225" s="146" t="s">
        <v>1833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1"/>
        <v>28</v>
      </c>
      <c r="J226" s="146" t="s">
        <v>1834</v>
      </c>
      <c r="K226" s="141">
        <f t="shared" si="12"/>
        <v>0</v>
      </c>
      <c r="L226" s="14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1"/>
        <v>28</v>
      </c>
      <c r="J227" s="146" t="s">
        <v>1835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1"/>
        <v>28</v>
      </c>
      <c r="J228" s="146" t="s">
        <v>1836</v>
      </c>
      <c r="K228" s="31">
        <f t="shared" si="12"/>
        <v>0</v>
      </c>
      <c r="L228" s="32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1"/>
        <v>28</v>
      </c>
      <c r="J229" s="146" t="s">
        <v>1837</v>
      </c>
      <c r="K229" s="141">
        <f t="shared" si="12"/>
        <v>0</v>
      </c>
      <c r="L229" s="142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1"/>
        <v>28</v>
      </c>
      <c r="J230" s="146" t="s">
        <v>1838</v>
      </c>
      <c r="K230" s="141">
        <f t="shared" si="12"/>
        <v>0</v>
      </c>
      <c r="L230" s="142">
        <f t="shared" si="13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1"/>
        <v>28</v>
      </c>
      <c r="J231" s="87"/>
      <c r="K231" s="141">
        <f t="shared" si="12"/>
        <v>0</v>
      </c>
      <c r="L231" s="142">
        <f t="shared" si="13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1"/>
        <v>28</v>
      </c>
      <c r="J232" s="151" t="s">
        <v>2284</v>
      </c>
      <c r="K232" s="141">
        <f t="shared" si="12"/>
        <v>0</v>
      </c>
      <c r="L232" s="142">
        <f t="shared" si="13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1"/>
        <v>28</v>
      </c>
      <c r="J233" s="146" t="s">
        <v>1839</v>
      </c>
      <c r="K233" s="141">
        <f t="shared" si="12"/>
        <v>0</v>
      </c>
      <c r="L233" s="14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1"/>
        <v>28</v>
      </c>
      <c r="J234" s="146" t="s">
        <v>1840</v>
      </c>
      <c r="K234" s="141">
        <f t="shared" si="12"/>
        <v>0</v>
      </c>
      <c r="L234" s="14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1"/>
        <v>28</v>
      </c>
      <c r="J235" s="146" t="s">
        <v>1841</v>
      </c>
      <c r="K235" s="141">
        <f t="shared" si="12"/>
        <v>0</v>
      </c>
      <c r="L235" s="14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1"/>
        <v>28</v>
      </c>
      <c r="J236" s="146" t="s">
        <v>2276</v>
      </c>
      <c r="K236" s="141">
        <f t="shared" si="12"/>
        <v>0</v>
      </c>
      <c r="L236" s="14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1"/>
        <v>27</v>
      </c>
      <c r="J237" s="146" t="s">
        <v>1842</v>
      </c>
      <c r="K237" s="31">
        <f t="shared" si="12"/>
        <v>1</v>
      </c>
      <c r="L237" s="32">
        <f t="shared" si="13"/>
        <v>0.9642857142857143</v>
      </c>
      <c r="M237" s="70" t="s">
        <v>2278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1"/>
        <v>28</v>
      </c>
      <c r="J238" s="146" t="s">
        <v>1843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1"/>
        <v>28</v>
      </c>
      <c r="J239" s="146" t="s">
        <v>1844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1"/>
        <v>28</v>
      </c>
      <c r="J240" s="146" t="s">
        <v>1845</v>
      </c>
      <c r="K240" s="31">
        <f t="shared" si="12"/>
        <v>0</v>
      </c>
      <c r="L240" s="32">
        <f t="shared" si="13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1"/>
        <v>28</v>
      </c>
      <c r="J241" s="146" t="s">
        <v>1846</v>
      </c>
      <c r="K241" s="31">
        <f t="shared" si="12"/>
        <v>0</v>
      </c>
      <c r="L241" s="32">
        <f t="shared" si="13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1"/>
        <v>28</v>
      </c>
      <c r="J242" s="146" t="s">
        <v>1847</v>
      </c>
      <c r="K242" s="31">
        <f t="shared" si="12"/>
        <v>0</v>
      </c>
      <c r="L242" s="32">
        <f t="shared" si="13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1"/>
        <v>28</v>
      </c>
      <c r="J243" s="146" t="s">
        <v>1848</v>
      </c>
      <c r="K243" s="31">
        <f t="shared" si="12"/>
        <v>0</v>
      </c>
      <c r="L243" s="32">
        <f t="shared" si="13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1"/>
        <v>28</v>
      </c>
      <c r="J244" s="146" t="s">
        <v>1849</v>
      </c>
      <c r="K244" s="31">
        <f t="shared" si="12"/>
        <v>0</v>
      </c>
      <c r="L244" s="32">
        <f t="shared" si="13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4">COUNTIF(M245:AN245,"")</f>
        <v>28</v>
      </c>
      <c r="J245" s="146" t="s">
        <v>1850</v>
      </c>
      <c r="K245" s="31">
        <f t="shared" ref="K245:K317" si="15">COUNTIF(M245:AN245,"APAGADO")</f>
        <v>0</v>
      </c>
      <c r="L245" s="32">
        <f t="shared" ref="L245:L317" si="16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4"/>
        <v>28</v>
      </c>
      <c r="J246" s="146" t="s">
        <v>1851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4"/>
        <v>28</v>
      </c>
      <c r="J247" s="146" t="s">
        <v>1852</v>
      </c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4"/>
        <v>28</v>
      </c>
      <c r="J248" s="146" t="s">
        <v>1853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4"/>
        <v>28</v>
      </c>
      <c r="J249" s="146" t="s">
        <v>1854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4"/>
        <v>27</v>
      </c>
      <c r="J250" s="146" t="s">
        <v>1855</v>
      </c>
      <c r="K250" s="31">
        <f t="shared" si="15"/>
        <v>1</v>
      </c>
      <c r="L250" s="32">
        <f t="shared" si="16"/>
        <v>0.9642857142857143</v>
      </c>
      <c r="M250" s="70" t="s">
        <v>2278</v>
      </c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4"/>
        <v>27</v>
      </c>
      <c r="J251" s="146" t="s">
        <v>1856</v>
      </c>
      <c r="K251" s="31">
        <f t="shared" si="15"/>
        <v>1</v>
      </c>
      <c r="L251" s="32">
        <f t="shared" si="16"/>
        <v>0.9642857142857143</v>
      </c>
      <c r="M251" s="70" t="s">
        <v>2278</v>
      </c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4"/>
        <v>28</v>
      </c>
      <c r="J252" s="87"/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4"/>
        <v>28</v>
      </c>
      <c r="J253" s="146" t="s">
        <v>1812</v>
      </c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4"/>
        <v>27</v>
      </c>
      <c r="J254" s="146" t="s">
        <v>1857</v>
      </c>
      <c r="K254" s="31">
        <f t="shared" si="15"/>
        <v>1</v>
      </c>
      <c r="L254" s="32">
        <f t="shared" si="16"/>
        <v>0.9642857142857143</v>
      </c>
      <c r="M254" s="70" t="s">
        <v>2278</v>
      </c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4"/>
        <v>27</v>
      </c>
      <c r="J255" s="146" t="s">
        <v>2294</v>
      </c>
      <c r="K255" s="31">
        <f t="shared" si="15"/>
        <v>1</v>
      </c>
      <c r="L255" s="32">
        <f t="shared" si="16"/>
        <v>0.9642857142857143</v>
      </c>
      <c r="M255" s="70" t="s">
        <v>2278</v>
      </c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4"/>
        <v>28</v>
      </c>
      <c r="J256" s="150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4"/>
        <v>28</v>
      </c>
      <c r="J257" s="150"/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4"/>
        <v>28</v>
      </c>
      <c r="J258" s="87"/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4"/>
        <v>28</v>
      </c>
      <c r="J259" s="146" t="s">
        <v>1858</v>
      </c>
      <c r="K259" s="31">
        <f t="shared" si="15"/>
        <v>0</v>
      </c>
      <c r="L259" s="32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4"/>
        <v>28</v>
      </c>
      <c r="J260" s="146" t="s">
        <v>1859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4"/>
        <v>28</v>
      </c>
      <c r="J261" s="146" t="s">
        <v>1860</v>
      </c>
      <c r="K261" s="141">
        <f t="shared" si="15"/>
        <v>0</v>
      </c>
      <c r="L261" s="14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4"/>
        <v>28</v>
      </c>
      <c r="J262" s="146" t="s">
        <v>1861</v>
      </c>
      <c r="K262" s="141">
        <f t="shared" si="15"/>
        <v>0</v>
      </c>
      <c r="L262" s="14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4"/>
        <v>28</v>
      </c>
      <c r="J263" s="146" t="s">
        <v>1862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4"/>
        <v>28</v>
      </c>
      <c r="J264" s="87"/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4"/>
        <v>28</v>
      </c>
      <c r="J265" s="146" t="s">
        <v>1863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4"/>
        <v>28</v>
      </c>
      <c r="J266" s="146" t="s">
        <v>1864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4"/>
        <v>28</v>
      </c>
      <c r="J267" s="146" t="s">
        <v>1865</v>
      </c>
      <c r="K267" s="141">
        <f t="shared" si="15"/>
        <v>0</v>
      </c>
      <c r="L267" s="14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4"/>
        <v>28</v>
      </c>
      <c r="J268" s="146" t="s">
        <v>1866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4"/>
        <v>28</v>
      </c>
      <c r="J269" s="146" t="s">
        <v>1867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4"/>
        <v>28</v>
      </c>
      <c r="J270" s="146" t="s">
        <v>1854</v>
      </c>
      <c r="K270" s="31">
        <f t="shared" si="15"/>
        <v>0</v>
      </c>
      <c r="L270" s="32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4"/>
        <v>28</v>
      </c>
      <c r="J271" s="146" t="s">
        <v>1868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4"/>
        <v>27</v>
      </c>
      <c r="J272" s="146" t="s">
        <v>1869</v>
      </c>
      <c r="K272" s="31">
        <f t="shared" si="15"/>
        <v>1</v>
      </c>
      <c r="L272" s="32">
        <f t="shared" si="16"/>
        <v>0.9642857142857143</v>
      </c>
      <c r="M272" s="70" t="s">
        <v>2278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4"/>
        <v>28</v>
      </c>
      <c r="J273" s="146" t="s">
        <v>1870</v>
      </c>
      <c r="K273" s="141">
        <f t="shared" si="15"/>
        <v>0</v>
      </c>
      <c r="L273" s="14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4"/>
        <v>28</v>
      </c>
      <c r="J274" s="146" t="s">
        <v>1871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4"/>
        <v>28</v>
      </c>
      <c r="J275" s="146" t="s">
        <v>1872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4"/>
        <v>28</v>
      </c>
      <c r="J276" s="149" t="s">
        <v>1873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4"/>
        <v>28</v>
      </c>
      <c r="J277" s="146" t="s">
        <v>1874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4"/>
        <v>28</v>
      </c>
      <c r="J278" s="146" t="s">
        <v>1875</v>
      </c>
      <c r="K278" s="141">
        <f t="shared" si="15"/>
        <v>0</v>
      </c>
      <c r="L278" s="14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4"/>
        <v>28</v>
      </c>
      <c r="J279" s="146" t="s">
        <v>1876</v>
      </c>
      <c r="K279" s="141">
        <f t="shared" si="15"/>
        <v>0</v>
      </c>
      <c r="L279" s="14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4"/>
        <v>28</v>
      </c>
      <c r="J280" s="146" t="s">
        <v>1877</v>
      </c>
      <c r="K280" s="141">
        <f t="shared" si="15"/>
        <v>0</v>
      </c>
      <c r="L280" s="14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4"/>
        <v>28</v>
      </c>
      <c r="J281" s="146" t="s">
        <v>2207</v>
      </c>
      <c r="K281" s="141">
        <f t="shared" si="15"/>
        <v>0</v>
      </c>
      <c r="L281" s="14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4"/>
        <v>28</v>
      </c>
      <c r="J282" s="146" t="s">
        <v>2211</v>
      </c>
      <c r="K282" s="141">
        <f t="shared" si="15"/>
        <v>0</v>
      </c>
      <c r="L282" s="14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4"/>
        <v>28</v>
      </c>
      <c r="J283" s="146" t="s">
        <v>1878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4"/>
        <v>28</v>
      </c>
      <c r="J284" s="146" t="s">
        <v>1879</v>
      </c>
      <c r="K284" s="141">
        <f t="shared" si="15"/>
        <v>0</v>
      </c>
      <c r="L284" s="14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4"/>
        <v>28</v>
      </c>
      <c r="J285" s="146" t="s">
        <v>1880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4"/>
        <v>28</v>
      </c>
      <c r="J286" s="146" t="s">
        <v>1881</v>
      </c>
      <c r="K286" s="141">
        <f t="shared" si="15"/>
        <v>0</v>
      </c>
      <c r="L286" s="14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4"/>
        <v>27</v>
      </c>
      <c r="J287" s="146" t="s">
        <v>1882</v>
      </c>
      <c r="K287" s="141">
        <f t="shared" si="15"/>
        <v>1</v>
      </c>
      <c r="L287" s="142">
        <f t="shared" si="16"/>
        <v>0.9642857142857143</v>
      </c>
      <c r="M287" s="70" t="s">
        <v>2278</v>
      </c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4"/>
        <v>28</v>
      </c>
      <c r="J288" s="146" t="s">
        <v>1684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4"/>
        <v>28</v>
      </c>
      <c r="J289" s="146" t="s">
        <v>1883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4"/>
        <v>28</v>
      </c>
      <c r="J290" s="146" t="s">
        <v>1884</v>
      </c>
      <c r="K290" s="141">
        <f t="shared" si="15"/>
        <v>0</v>
      </c>
      <c r="L290" s="14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4"/>
        <v>28</v>
      </c>
      <c r="J291" s="146" t="s">
        <v>1885</v>
      </c>
      <c r="K291" s="141">
        <f t="shared" si="15"/>
        <v>0</v>
      </c>
      <c r="L291" s="14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4"/>
        <v>28</v>
      </c>
      <c r="J292" s="146" t="s">
        <v>1886</v>
      </c>
      <c r="K292" s="141">
        <f t="shared" si="15"/>
        <v>0</v>
      </c>
      <c r="L292" s="14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4"/>
        <v>28</v>
      </c>
      <c r="J293" s="146" t="s">
        <v>1887</v>
      </c>
      <c r="K293" s="141">
        <f t="shared" si="15"/>
        <v>0</v>
      </c>
      <c r="L293" s="14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4"/>
        <v>28</v>
      </c>
      <c r="J294" s="87" t="s">
        <v>2186</v>
      </c>
      <c r="K294" s="141">
        <f t="shared" si="15"/>
        <v>0</v>
      </c>
      <c r="L294" s="14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4"/>
        <v>28</v>
      </c>
      <c r="J295" s="146" t="s">
        <v>1888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4"/>
        <v>28</v>
      </c>
      <c r="J296" s="146" t="s">
        <v>1889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4"/>
        <v>28</v>
      </c>
      <c r="J297" s="146" t="s">
        <v>1890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4"/>
        <v>28</v>
      </c>
      <c r="J298" s="146" t="s">
        <v>1891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4"/>
        <v>28</v>
      </c>
      <c r="J299" s="146" t="s">
        <v>1892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4"/>
        <v>28</v>
      </c>
      <c r="J300" s="146" t="s">
        <v>1893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4"/>
        <v>28</v>
      </c>
      <c r="J301" s="146" t="s">
        <v>1894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4"/>
        <v>28</v>
      </c>
      <c r="J302" s="146" t="s">
        <v>1895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4"/>
        <v>28</v>
      </c>
      <c r="J303" s="146" t="s">
        <v>1896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4"/>
        <v>27</v>
      </c>
      <c r="J304" s="146" t="s">
        <v>1897</v>
      </c>
      <c r="K304" s="31">
        <f t="shared" si="15"/>
        <v>1</v>
      </c>
      <c r="L304" s="32">
        <f t="shared" si="16"/>
        <v>0.9642857142857143</v>
      </c>
      <c r="M304" s="70" t="s">
        <v>2278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4"/>
        <v>28</v>
      </c>
      <c r="J305" s="146" t="s">
        <v>1898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4"/>
        <v>28</v>
      </c>
      <c r="J306" s="146" t="s">
        <v>1899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4"/>
        <v>28</v>
      </c>
      <c r="J307" s="146" t="s">
        <v>1900</v>
      </c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4"/>
        <v>28</v>
      </c>
      <c r="J308" s="146" t="s">
        <v>1901</v>
      </c>
      <c r="K308" s="31">
        <f t="shared" si="15"/>
        <v>0</v>
      </c>
      <c r="L308" s="32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4"/>
        <v>28</v>
      </c>
      <c r="J309" s="146" t="s">
        <v>1902</v>
      </c>
      <c r="K309" s="31">
        <f t="shared" si="15"/>
        <v>0</v>
      </c>
      <c r="L309" s="32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4"/>
        <v>28</v>
      </c>
      <c r="J310" s="146" t="s">
        <v>1903</v>
      </c>
      <c r="K310" s="31">
        <f t="shared" si="15"/>
        <v>0</v>
      </c>
      <c r="L310" s="32">
        <f t="shared" si="16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4"/>
        <v>27</v>
      </c>
      <c r="J311" s="146" t="s">
        <v>1904</v>
      </c>
      <c r="K311" s="31">
        <f t="shared" si="15"/>
        <v>1</v>
      </c>
      <c r="L311" s="32">
        <f t="shared" si="16"/>
        <v>0.9642857142857143</v>
      </c>
      <c r="M311" s="70" t="s">
        <v>2278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4"/>
        <v>28</v>
      </c>
      <c r="J312" s="146" t="s">
        <v>1905</v>
      </c>
      <c r="K312" s="31">
        <f t="shared" si="15"/>
        <v>0</v>
      </c>
      <c r="L312" s="32">
        <f t="shared" si="16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4"/>
        <v>28</v>
      </c>
      <c r="J313" s="146" t="s">
        <v>1906</v>
      </c>
      <c r="K313" s="31">
        <f t="shared" si="15"/>
        <v>0</v>
      </c>
      <c r="L313" s="32">
        <f t="shared" si="16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4"/>
        <v>28</v>
      </c>
      <c r="J314" s="146" t="s">
        <v>1907</v>
      </c>
      <c r="K314" s="31">
        <f t="shared" si="15"/>
        <v>0</v>
      </c>
      <c r="L314" s="32">
        <f t="shared" si="16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4"/>
        <v>28</v>
      </c>
      <c r="J315" s="87"/>
      <c r="K315" s="31">
        <f t="shared" si="15"/>
        <v>0</v>
      </c>
      <c r="L315" s="32">
        <f t="shared" si="16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4"/>
        <v>27</v>
      </c>
      <c r="J316" s="146" t="s">
        <v>1908</v>
      </c>
      <c r="K316" s="141">
        <f t="shared" si="15"/>
        <v>1</v>
      </c>
      <c r="L316" s="142">
        <f t="shared" si="16"/>
        <v>0.9642857142857143</v>
      </c>
      <c r="M316" s="70" t="s">
        <v>2278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4"/>
        <v>28</v>
      </c>
      <c r="J317" s="146" t="s">
        <v>2143</v>
      </c>
      <c r="K317" s="141">
        <f t="shared" si="15"/>
        <v>0</v>
      </c>
      <c r="L317" s="142">
        <f t="shared" si="16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7">COUNTIF(M318:AN318,"")</f>
        <v>27</v>
      </c>
      <c r="J318" s="146" t="s">
        <v>1909</v>
      </c>
      <c r="K318" s="31">
        <f t="shared" ref="K318:K388" si="18">COUNTIF(M318:AN318,"APAGADO")</f>
        <v>1</v>
      </c>
      <c r="L318" s="32">
        <f t="shared" ref="L318:L388" si="19">(I318)/(K318+I318)</f>
        <v>0.9642857142857143</v>
      </c>
      <c r="M318" s="70" t="s">
        <v>2278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7"/>
        <v>27</v>
      </c>
      <c r="J319" s="146" t="s">
        <v>1910</v>
      </c>
      <c r="K319" s="141">
        <f t="shared" si="18"/>
        <v>1</v>
      </c>
      <c r="L319" s="142">
        <f t="shared" si="19"/>
        <v>0.9642857142857143</v>
      </c>
      <c r="M319" s="70" t="s">
        <v>2278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7"/>
        <v>27</v>
      </c>
      <c r="J320" s="87" t="s">
        <v>2187</v>
      </c>
      <c r="K320" s="141">
        <f t="shared" si="18"/>
        <v>1</v>
      </c>
      <c r="L320" s="142">
        <f t="shared" si="19"/>
        <v>0.9642857142857143</v>
      </c>
      <c r="M320" s="70" t="s">
        <v>2278</v>
      </c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7"/>
        <v>27</v>
      </c>
      <c r="J321" s="146" t="s">
        <v>1911</v>
      </c>
      <c r="K321" s="141">
        <f t="shared" si="18"/>
        <v>1</v>
      </c>
      <c r="L321" s="142">
        <f t="shared" si="19"/>
        <v>0.9642857142857143</v>
      </c>
      <c r="M321" s="70" t="s">
        <v>2278</v>
      </c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7"/>
        <v>28</v>
      </c>
      <c r="J322" s="146" t="s">
        <v>1912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7"/>
        <v>28</v>
      </c>
      <c r="J323" s="146" t="s">
        <v>1913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7"/>
        <v>28</v>
      </c>
      <c r="J324" s="146" t="s">
        <v>1914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7"/>
        <v>28</v>
      </c>
      <c r="J325" s="146" t="s">
        <v>1915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7"/>
        <v>28</v>
      </c>
      <c r="J326" s="146" t="s">
        <v>1916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7"/>
        <v>28</v>
      </c>
      <c r="J327" s="146" t="s">
        <v>1917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7"/>
        <v>28</v>
      </c>
      <c r="J328" s="146" t="s">
        <v>1918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7"/>
        <v>28</v>
      </c>
      <c r="J329" s="146" t="s">
        <v>1919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7"/>
        <v>28</v>
      </c>
      <c r="J330" s="146" t="s">
        <v>1920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7"/>
        <v>28</v>
      </c>
      <c r="J331" s="146" t="s">
        <v>1921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7"/>
        <v>28</v>
      </c>
      <c r="J332" s="146" t="s">
        <v>1922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7"/>
        <v>28</v>
      </c>
      <c r="J333" s="146" t="s">
        <v>1923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7"/>
        <v>27</v>
      </c>
      <c r="J334" s="146" t="s">
        <v>1924</v>
      </c>
      <c r="K334" s="31">
        <f t="shared" si="18"/>
        <v>1</v>
      </c>
      <c r="L334" s="32">
        <f t="shared" si="19"/>
        <v>0.9642857142857143</v>
      </c>
      <c r="M334" s="70" t="s">
        <v>2278</v>
      </c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7"/>
        <v>27</v>
      </c>
      <c r="J335" s="146" t="s">
        <v>1925</v>
      </c>
      <c r="K335" s="31">
        <f t="shared" si="18"/>
        <v>1</v>
      </c>
      <c r="L335" s="32">
        <f t="shared" si="19"/>
        <v>0.9642857142857143</v>
      </c>
      <c r="M335" s="70" t="s">
        <v>2278</v>
      </c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7"/>
        <v>27</v>
      </c>
      <c r="J336" s="146" t="s">
        <v>1926</v>
      </c>
      <c r="K336" s="31">
        <f t="shared" si="18"/>
        <v>1</v>
      </c>
      <c r="L336" s="32">
        <f t="shared" si="19"/>
        <v>0.9642857142857143</v>
      </c>
      <c r="M336" s="70" t="s">
        <v>2278</v>
      </c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7"/>
        <v>27</v>
      </c>
      <c r="J337" s="146" t="s">
        <v>1927</v>
      </c>
      <c r="K337" s="31">
        <f t="shared" si="18"/>
        <v>1</v>
      </c>
      <c r="L337" s="32">
        <f t="shared" si="19"/>
        <v>0.9642857142857143</v>
      </c>
      <c r="M337" s="70" t="s">
        <v>2278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7"/>
        <v>27</v>
      </c>
      <c r="J338" s="151" t="s">
        <v>2230</v>
      </c>
      <c r="K338" s="31">
        <f t="shared" si="18"/>
        <v>1</v>
      </c>
      <c r="L338" s="32">
        <f t="shared" si="19"/>
        <v>0.9642857142857143</v>
      </c>
      <c r="M338" s="70" t="s">
        <v>2278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7"/>
        <v>27</v>
      </c>
      <c r="J339" s="146" t="s">
        <v>2234</v>
      </c>
      <c r="K339" s="31">
        <f t="shared" si="18"/>
        <v>1</v>
      </c>
      <c r="L339" s="32">
        <f t="shared" si="19"/>
        <v>0.9642857142857143</v>
      </c>
      <c r="M339" s="70" t="s">
        <v>2278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7"/>
        <v>28</v>
      </c>
      <c r="J340" s="146" t="s">
        <v>1928</v>
      </c>
      <c r="K340" s="87">
        <f t="shared" si="18"/>
        <v>0</v>
      </c>
      <c r="L340" s="88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7"/>
        <v>28</v>
      </c>
      <c r="J341" s="146" t="s">
        <v>1929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7"/>
        <v>28</v>
      </c>
      <c r="J342" s="146" t="s">
        <v>1930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7"/>
        <v>28</v>
      </c>
      <c r="J343" s="146" t="s">
        <v>1931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7"/>
        <v>28</v>
      </c>
      <c r="J344" s="146" t="s">
        <v>1932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7"/>
        <v>28</v>
      </c>
      <c r="J345" s="146" t="s">
        <v>1933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7"/>
        <v>28</v>
      </c>
      <c r="J346" s="146" t="s">
        <v>1934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7"/>
        <v>28</v>
      </c>
      <c r="J347" s="146" t="s">
        <v>1935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7"/>
        <v>28</v>
      </c>
      <c r="J348" s="146" t="s">
        <v>1936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7"/>
        <v>28</v>
      </c>
      <c r="J349" s="146" t="s">
        <v>1937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7"/>
        <v>28</v>
      </c>
      <c r="J350" s="146" t="s">
        <v>1938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7"/>
        <v>28</v>
      </c>
      <c r="J351" s="146" t="s">
        <v>1939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7"/>
        <v>28</v>
      </c>
      <c r="J352" s="146" t="s">
        <v>1940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7"/>
        <v>28</v>
      </c>
      <c r="J354" s="87"/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7"/>
        <v>28</v>
      </c>
      <c r="J355" s="146" t="s">
        <v>1941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7"/>
        <v>28</v>
      </c>
      <c r="J356" s="87"/>
      <c r="K356" s="141">
        <f t="shared" si="18"/>
        <v>0</v>
      </c>
      <c r="L356" s="14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7"/>
        <v>28</v>
      </c>
      <c r="J357" s="87"/>
      <c r="K357" s="141">
        <f t="shared" si="18"/>
        <v>0</v>
      </c>
      <c r="L357" s="14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7"/>
        <v>28</v>
      </c>
      <c r="J358" s="146" t="s">
        <v>1942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7"/>
        <v>28</v>
      </c>
      <c r="J359" s="146" t="s">
        <v>1943</v>
      </c>
      <c r="K359" s="141">
        <f t="shared" si="18"/>
        <v>0</v>
      </c>
      <c r="L359" s="14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7"/>
        <v>28</v>
      </c>
      <c r="J360" s="146" t="s">
        <v>1944</v>
      </c>
      <c r="K360" s="141">
        <f t="shared" si="18"/>
        <v>0</v>
      </c>
      <c r="L360" s="14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7"/>
        <v>28</v>
      </c>
      <c r="J361" s="146" t="s">
        <v>1945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7"/>
        <v>28</v>
      </c>
      <c r="J362" s="146" t="s">
        <v>1946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7"/>
        <v>28</v>
      </c>
      <c r="J363" s="146" t="s">
        <v>1947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7"/>
        <v>28</v>
      </c>
      <c r="J364" s="146" t="s">
        <v>1948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7"/>
        <v>28</v>
      </c>
      <c r="J365" s="146" t="s">
        <v>1949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7"/>
        <v>28</v>
      </c>
      <c r="J366" s="146" t="s">
        <v>1950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7"/>
        <v>28</v>
      </c>
      <c r="J367" s="146" t="s">
        <v>1951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7"/>
        <v>28</v>
      </c>
      <c r="J368" s="146" t="s">
        <v>1952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7"/>
        <v>28</v>
      </c>
      <c r="J369" s="146" t="s">
        <v>1953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7"/>
        <v>28</v>
      </c>
      <c r="J370" s="146" t="s">
        <v>1954</v>
      </c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7"/>
        <v>28</v>
      </c>
      <c r="J371" s="146" t="s">
        <v>1955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7"/>
        <v>27</v>
      </c>
      <c r="J372" s="146" t="s">
        <v>2137</v>
      </c>
      <c r="K372" s="31">
        <f t="shared" si="18"/>
        <v>1</v>
      </c>
      <c r="L372" s="32">
        <f t="shared" si="19"/>
        <v>0.9642857142857143</v>
      </c>
      <c r="M372" s="70" t="s">
        <v>2278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7"/>
        <v>28</v>
      </c>
      <c r="J373" s="146" t="s">
        <v>1956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7"/>
        <v>28</v>
      </c>
      <c r="J374" s="146" t="s">
        <v>1957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7"/>
        <v>28</v>
      </c>
      <c r="J375" s="87"/>
      <c r="K375" s="141">
        <f t="shared" si="18"/>
        <v>0</v>
      </c>
      <c r="L375" s="142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7"/>
        <v>28</v>
      </c>
      <c r="J376" s="151" t="s">
        <v>2170</v>
      </c>
      <c r="K376" s="141">
        <f t="shared" si="18"/>
        <v>0</v>
      </c>
      <c r="L376" s="142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7"/>
        <v>28</v>
      </c>
      <c r="J377" s="146" t="s">
        <v>1958</v>
      </c>
      <c r="K377" s="31">
        <f t="shared" si="18"/>
        <v>0</v>
      </c>
      <c r="L377" s="32">
        <f t="shared" si="19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7"/>
        <v>28</v>
      </c>
      <c r="J378" s="87"/>
      <c r="K378" s="31">
        <f t="shared" si="18"/>
        <v>0</v>
      </c>
      <c r="L378" s="32">
        <f t="shared" si="19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7"/>
        <v>28</v>
      </c>
      <c r="J379" s="146" t="s">
        <v>1959</v>
      </c>
      <c r="K379" s="31">
        <f t="shared" si="18"/>
        <v>0</v>
      </c>
      <c r="L379" s="32">
        <f t="shared" si="19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7"/>
        <v>28</v>
      </c>
      <c r="J380" s="146" t="s">
        <v>1960</v>
      </c>
      <c r="K380" s="31">
        <f t="shared" si="18"/>
        <v>0</v>
      </c>
      <c r="L380" s="32">
        <f t="shared" si="19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7"/>
        <v>28</v>
      </c>
      <c r="J381" s="146" t="s">
        <v>1961</v>
      </c>
      <c r="K381" s="31">
        <f t="shared" si="18"/>
        <v>0</v>
      </c>
      <c r="L381" s="32">
        <f t="shared" si="19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7"/>
        <v>28</v>
      </c>
      <c r="J382" s="146" t="s">
        <v>1962</v>
      </c>
      <c r="K382" s="31">
        <f t="shared" si="18"/>
        <v>0</v>
      </c>
      <c r="L382" s="32">
        <f t="shared" si="19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7"/>
        <v>27</v>
      </c>
      <c r="J383" s="73"/>
      <c r="K383" s="31">
        <f t="shared" si="18"/>
        <v>1</v>
      </c>
      <c r="L383" s="32">
        <f t="shared" si="19"/>
        <v>0.9642857142857143</v>
      </c>
      <c r="M383" s="70" t="s">
        <v>2278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7"/>
        <v>27</v>
      </c>
      <c r="J384" s="146" t="s">
        <v>1963</v>
      </c>
      <c r="K384" s="141">
        <f t="shared" si="18"/>
        <v>1</v>
      </c>
      <c r="L384" s="142">
        <f t="shared" si="19"/>
        <v>0.9642857142857143</v>
      </c>
      <c r="M384" s="70" t="s">
        <v>2278</v>
      </c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7"/>
        <v>28</v>
      </c>
      <c r="J385" s="146" t="s">
        <v>1964</v>
      </c>
      <c r="K385" s="87">
        <f t="shared" si="18"/>
        <v>0</v>
      </c>
      <c r="L385" s="88">
        <f t="shared" si="19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7"/>
        <v>28</v>
      </c>
      <c r="J386" s="146" t="s">
        <v>1965</v>
      </c>
      <c r="K386" s="31">
        <f t="shared" si="18"/>
        <v>0</v>
      </c>
      <c r="L386" s="32">
        <f t="shared" si="19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7"/>
        <v>28</v>
      </c>
      <c r="J387" s="146" t="s">
        <v>1966</v>
      </c>
      <c r="K387" s="31">
        <f t="shared" si="18"/>
        <v>0</v>
      </c>
      <c r="L387" s="32">
        <f t="shared" si="19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7"/>
        <v>28</v>
      </c>
      <c r="J388" s="146" t="s">
        <v>1967</v>
      </c>
      <c r="K388" s="31">
        <f t="shared" si="18"/>
        <v>0</v>
      </c>
      <c r="L388" s="32">
        <f t="shared" si="19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20">COUNTIF(M389:AN389,"")</f>
        <v>27</v>
      </c>
      <c r="J389" s="146" t="s">
        <v>1968</v>
      </c>
      <c r="K389" s="31">
        <f t="shared" ref="K389:K470" si="21">COUNTIF(M389:AN389,"APAGADO")</f>
        <v>1</v>
      </c>
      <c r="L389" s="32">
        <f t="shared" ref="L389:L470" si="22">(I389)/(K389+I389)</f>
        <v>0.9642857142857143</v>
      </c>
      <c r="M389" s="70" t="s">
        <v>2278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20"/>
        <v>27</v>
      </c>
      <c r="J390" s="146" t="s">
        <v>1969</v>
      </c>
      <c r="K390" s="31">
        <f t="shared" si="21"/>
        <v>1</v>
      </c>
      <c r="L390" s="32">
        <f t="shared" si="22"/>
        <v>0.9642857142857143</v>
      </c>
      <c r="M390" s="70" t="s">
        <v>2278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20"/>
        <v>28</v>
      </c>
      <c r="J391" s="146" t="s">
        <v>1970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20"/>
        <v>28</v>
      </c>
      <c r="J392" s="146" t="s">
        <v>1971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20"/>
        <v>28</v>
      </c>
      <c r="J393" s="146" t="s">
        <v>1972</v>
      </c>
      <c r="K393" s="31">
        <f t="shared" si="21"/>
        <v>0</v>
      </c>
      <c r="L393" s="32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20"/>
        <v>28</v>
      </c>
      <c r="J394" s="146" t="s">
        <v>1973</v>
      </c>
      <c r="K394" s="31">
        <f t="shared" si="21"/>
        <v>0</v>
      </c>
      <c r="L394" s="32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20"/>
        <v>27</v>
      </c>
      <c r="J395" s="146" t="s">
        <v>1974</v>
      </c>
      <c r="K395" s="31">
        <f t="shared" si="21"/>
        <v>1</v>
      </c>
      <c r="L395" s="32">
        <f t="shared" si="22"/>
        <v>0.9642857142857143</v>
      </c>
      <c r="M395" s="70" t="s">
        <v>2278</v>
      </c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20"/>
        <v>27</v>
      </c>
      <c r="J396" s="146" t="s">
        <v>1975</v>
      </c>
      <c r="K396" s="31">
        <f t="shared" si="21"/>
        <v>1</v>
      </c>
      <c r="L396" s="32">
        <f t="shared" si="22"/>
        <v>0.9642857142857143</v>
      </c>
      <c r="M396" s="70" t="s">
        <v>2278</v>
      </c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20"/>
        <v>27</v>
      </c>
      <c r="J397" s="146" t="s">
        <v>1976</v>
      </c>
      <c r="K397" s="31">
        <f t="shared" si="21"/>
        <v>1</v>
      </c>
      <c r="L397" s="32">
        <f t="shared" si="22"/>
        <v>0.9642857142857143</v>
      </c>
      <c r="M397" s="70" t="s">
        <v>2278</v>
      </c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20"/>
        <v>28</v>
      </c>
      <c r="J398" s="146" t="s">
        <v>1977</v>
      </c>
      <c r="K398" s="141">
        <f t="shared" si="21"/>
        <v>0</v>
      </c>
      <c r="L398" s="142">
        <f t="shared" si="22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20"/>
        <v>28</v>
      </c>
      <c r="J399" s="146" t="s">
        <v>1978</v>
      </c>
      <c r="K399" s="31">
        <f t="shared" si="21"/>
        <v>0</v>
      </c>
      <c r="L399" s="32">
        <f t="shared" si="22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20"/>
        <v>28</v>
      </c>
      <c r="J400" s="146" t="s">
        <v>1979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20"/>
        <v>27</v>
      </c>
      <c r="J401" s="87"/>
      <c r="K401" s="31">
        <f t="shared" si="21"/>
        <v>1</v>
      </c>
      <c r="L401" s="32">
        <f t="shared" si="22"/>
        <v>0.9642857142857143</v>
      </c>
      <c r="M401" s="70" t="s">
        <v>2278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20"/>
        <v>27</v>
      </c>
      <c r="J402" s="87"/>
      <c r="K402" s="31">
        <f t="shared" si="21"/>
        <v>1</v>
      </c>
      <c r="L402" s="32">
        <f t="shared" si="22"/>
        <v>0.9642857142857143</v>
      </c>
      <c r="M402" s="70" t="s">
        <v>2278</v>
      </c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20"/>
        <v>27</v>
      </c>
      <c r="J403" s="87"/>
      <c r="K403" s="31">
        <f t="shared" si="21"/>
        <v>1</v>
      </c>
      <c r="L403" s="32">
        <f t="shared" si="22"/>
        <v>0.9642857142857143</v>
      </c>
      <c r="M403" s="70" t="s">
        <v>2278</v>
      </c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20"/>
        <v>28</v>
      </c>
      <c r="J404" s="146" t="s">
        <v>1980</v>
      </c>
      <c r="K404" s="141">
        <f t="shared" si="21"/>
        <v>0</v>
      </c>
      <c r="L404" s="14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20"/>
        <v>28</v>
      </c>
      <c r="J406" s="87"/>
      <c r="K406" s="31">
        <f t="shared" si="21"/>
        <v>0</v>
      </c>
      <c r="L406" s="32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20"/>
        <v>27</v>
      </c>
      <c r="J407" s="146" t="s">
        <v>1981</v>
      </c>
      <c r="K407" s="87">
        <f t="shared" si="21"/>
        <v>1</v>
      </c>
      <c r="L407" s="88">
        <f t="shared" si="22"/>
        <v>0.9642857142857143</v>
      </c>
      <c r="M407" s="89" t="s">
        <v>2278</v>
      </c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20"/>
        <v>28</v>
      </c>
      <c r="J408" s="87"/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20"/>
        <v>27</v>
      </c>
      <c r="J409" s="146" t="s">
        <v>1982</v>
      </c>
      <c r="K409" s="31">
        <f t="shared" si="21"/>
        <v>1</v>
      </c>
      <c r="L409" s="32">
        <f t="shared" si="22"/>
        <v>0.9642857142857143</v>
      </c>
      <c r="M409" s="70" t="s">
        <v>2278</v>
      </c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20"/>
        <v>27</v>
      </c>
      <c r="J410" s="146" t="s">
        <v>1983</v>
      </c>
      <c r="K410" s="31">
        <f t="shared" si="21"/>
        <v>1</v>
      </c>
      <c r="L410" s="32">
        <f t="shared" si="22"/>
        <v>0.9642857142857143</v>
      </c>
      <c r="M410" s="70" t="s">
        <v>2278</v>
      </c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20"/>
        <v>27</v>
      </c>
      <c r="J411" s="146" t="s">
        <v>1984</v>
      </c>
      <c r="K411" s="141">
        <f t="shared" si="21"/>
        <v>1</v>
      </c>
      <c r="L411" s="142">
        <f t="shared" si="22"/>
        <v>0.9642857142857143</v>
      </c>
      <c r="M411" s="70" t="s">
        <v>2278</v>
      </c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20"/>
        <v>27</v>
      </c>
      <c r="J412" s="146" t="s">
        <v>1985</v>
      </c>
      <c r="K412" s="141">
        <f t="shared" si="21"/>
        <v>1</v>
      </c>
      <c r="L412" s="142">
        <f t="shared" si="22"/>
        <v>0.9642857142857143</v>
      </c>
      <c r="M412" s="70" t="s">
        <v>2278</v>
      </c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20"/>
        <v>28</v>
      </c>
      <c r="J413" s="87"/>
      <c r="K413" s="141">
        <f t="shared" si="21"/>
        <v>0</v>
      </c>
      <c r="L413" s="14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20"/>
        <v>28</v>
      </c>
      <c r="J414" s="87"/>
      <c r="K414" s="141">
        <f t="shared" si="21"/>
        <v>0</v>
      </c>
      <c r="L414" s="14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20"/>
        <v>28</v>
      </c>
      <c r="J415" s="87" t="s">
        <v>2142</v>
      </c>
      <c r="K415" s="141">
        <f t="shared" si="21"/>
        <v>0</v>
      </c>
      <c r="L415" s="14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20"/>
        <v>28</v>
      </c>
      <c r="J416" s="87" t="s">
        <v>2141</v>
      </c>
      <c r="K416" s="141">
        <f t="shared" si="21"/>
        <v>0</v>
      </c>
      <c r="L416" s="14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20"/>
        <v>28</v>
      </c>
      <c r="J417" s="87" t="s">
        <v>2192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20"/>
        <v>28</v>
      </c>
      <c r="J418" s="146" t="s">
        <v>1986</v>
      </c>
      <c r="K418" s="141">
        <f t="shared" si="21"/>
        <v>0</v>
      </c>
      <c r="L418" s="14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20"/>
        <v>28</v>
      </c>
      <c r="J419" s="146" t="s">
        <v>1987</v>
      </c>
      <c r="K419" s="141">
        <f t="shared" si="21"/>
        <v>0</v>
      </c>
      <c r="L419" s="142">
        <f t="shared" si="22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20"/>
        <v>28</v>
      </c>
      <c r="J420" s="146" t="s">
        <v>2261</v>
      </c>
      <c r="K420" s="141">
        <f t="shared" si="21"/>
        <v>0</v>
      </c>
      <c r="L420" s="142">
        <f t="shared" si="22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20"/>
        <v>28</v>
      </c>
      <c r="J421" s="146" t="s">
        <v>1988</v>
      </c>
      <c r="K421" s="141">
        <f t="shared" si="21"/>
        <v>0</v>
      </c>
      <c r="L421" s="14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20"/>
        <v>28</v>
      </c>
      <c r="J422" s="146" t="s">
        <v>1989</v>
      </c>
      <c r="K422" s="141">
        <f t="shared" si="21"/>
        <v>0</v>
      </c>
      <c r="L422" s="14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20"/>
        <v>27</v>
      </c>
      <c r="J423" s="87"/>
      <c r="K423" s="31">
        <f t="shared" si="21"/>
        <v>1</v>
      </c>
      <c r="L423" s="32">
        <f t="shared" si="22"/>
        <v>0.9642857142857143</v>
      </c>
      <c r="M423" s="70" t="s">
        <v>2278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20"/>
        <v>28</v>
      </c>
      <c r="J424" s="146" t="s">
        <v>1990</v>
      </c>
      <c r="K424" s="141">
        <f t="shared" si="21"/>
        <v>0</v>
      </c>
      <c r="L424" s="14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20"/>
        <v>28</v>
      </c>
      <c r="J425" s="146" t="s">
        <v>1991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20"/>
        <v>28</v>
      </c>
      <c r="J427" s="73" t="s">
        <v>1992</v>
      </c>
      <c r="K427" s="141">
        <f t="shared" si="21"/>
        <v>0</v>
      </c>
      <c r="L427" s="14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20"/>
        <v>28</v>
      </c>
      <c r="J428" s="146" t="s">
        <v>1993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20"/>
        <v>28</v>
      </c>
      <c r="J429" s="146" t="s">
        <v>1994</v>
      </c>
      <c r="K429" s="31">
        <f t="shared" si="21"/>
        <v>0</v>
      </c>
      <c r="L429" s="32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20"/>
        <v>28</v>
      </c>
      <c r="J430" s="146" t="s">
        <v>1995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20"/>
        <v>28</v>
      </c>
      <c r="J431" s="146" t="s">
        <v>1996</v>
      </c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20"/>
        <v>28</v>
      </c>
      <c r="J432" s="146"/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20"/>
        <v>28</v>
      </c>
      <c r="J433" s="146" t="s">
        <v>1997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20"/>
        <v>28</v>
      </c>
      <c r="J434" s="146" t="s">
        <v>1998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20"/>
        <v>28</v>
      </c>
      <c r="J435" s="146" t="s">
        <v>1999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20"/>
        <v>28</v>
      </c>
      <c r="J436" s="146" t="s">
        <v>2000</v>
      </c>
      <c r="K436" s="31">
        <f t="shared" si="21"/>
        <v>0</v>
      </c>
      <c r="L436" s="32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20"/>
        <v>28</v>
      </c>
      <c r="J437" s="146" t="s">
        <v>2001</v>
      </c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20"/>
        <v>28</v>
      </c>
      <c r="J438" s="146" t="s">
        <v>2002</v>
      </c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20"/>
        <v>28</v>
      </c>
      <c r="J439" s="146" t="s">
        <v>2003</v>
      </c>
      <c r="K439" s="141">
        <f t="shared" si="21"/>
        <v>0</v>
      </c>
      <c r="L439" s="14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20"/>
        <v>28</v>
      </c>
      <c r="J440" s="146" t="s">
        <v>2004</v>
      </c>
      <c r="K440" s="141">
        <f t="shared" si="21"/>
        <v>0</v>
      </c>
      <c r="L440" s="14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20"/>
        <v>28</v>
      </c>
      <c r="J441" s="87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20"/>
        <v>28</v>
      </c>
      <c r="J442" s="146" t="s">
        <v>2005</v>
      </c>
      <c r="K442" s="31">
        <f t="shared" si="21"/>
        <v>0</v>
      </c>
      <c r="L442" s="32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20"/>
        <v>28</v>
      </c>
      <c r="J443" s="146" t="s">
        <v>2006</v>
      </c>
      <c r="K443" s="31">
        <f t="shared" si="21"/>
        <v>0</v>
      </c>
      <c r="L443" s="32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20"/>
        <v>28</v>
      </c>
      <c r="J444" s="146" t="s">
        <v>2007</v>
      </c>
      <c r="K444" s="31">
        <f t="shared" si="21"/>
        <v>0</v>
      </c>
      <c r="L444" s="32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20"/>
        <v>28</v>
      </c>
      <c r="J445" s="87"/>
      <c r="K445" s="31">
        <f t="shared" si="21"/>
        <v>0</v>
      </c>
      <c r="L445" s="32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20"/>
        <v>28</v>
      </c>
      <c r="J446" s="87"/>
      <c r="K446" s="31">
        <f t="shared" si="21"/>
        <v>0</v>
      </c>
      <c r="L446" s="32">
        <f t="shared" si="22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20"/>
        <v>28</v>
      </c>
      <c r="J447" s="87"/>
      <c r="K447" s="31">
        <f t="shared" si="21"/>
        <v>0</v>
      </c>
      <c r="L447" s="32">
        <f t="shared" si="22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20"/>
        <v>28</v>
      </c>
      <c r="J449" s="146" t="s">
        <v>2008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20"/>
        <v>27</v>
      </c>
      <c r="J450" s="146" t="s">
        <v>2009</v>
      </c>
      <c r="K450" s="31">
        <f t="shared" si="21"/>
        <v>1</v>
      </c>
      <c r="L450" s="32">
        <f t="shared" si="22"/>
        <v>0.9642857142857143</v>
      </c>
      <c r="M450" s="70" t="s">
        <v>2278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20"/>
        <v>28</v>
      </c>
      <c r="J451" s="146" t="s">
        <v>2010</v>
      </c>
      <c r="K451" s="141">
        <f t="shared" si="21"/>
        <v>0</v>
      </c>
      <c r="L451" s="14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20"/>
        <v>28</v>
      </c>
      <c r="J452" s="146" t="s">
        <v>2011</v>
      </c>
      <c r="K452" s="141">
        <f t="shared" si="21"/>
        <v>0</v>
      </c>
      <c r="L452" s="14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20"/>
        <v>28</v>
      </c>
      <c r="J453" s="146" t="s">
        <v>2012</v>
      </c>
      <c r="K453" s="141">
        <f t="shared" si="21"/>
        <v>0</v>
      </c>
      <c r="L453" s="14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20"/>
        <v>28</v>
      </c>
      <c r="J454" s="146" t="s">
        <v>2013</v>
      </c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20"/>
        <v>28</v>
      </c>
      <c r="J455" s="146" t="s">
        <v>2014</v>
      </c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20"/>
        <v>28</v>
      </c>
      <c r="J456" s="146" t="s">
        <v>2015</v>
      </c>
      <c r="K456" s="31">
        <f t="shared" si="21"/>
        <v>0</v>
      </c>
      <c r="L456" s="32">
        <f t="shared" si="22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20"/>
        <v>28</v>
      </c>
      <c r="J457" s="146" t="s">
        <v>2016</v>
      </c>
      <c r="K457" s="31">
        <f t="shared" si="21"/>
        <v>0</v>
      </c>
      <c r="L457" s="32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20"/>
        <v>28</v>
      </c>
      <c r="J458" s="87"/>
      <c r="K458" s="31">
        <f t="shared" si="21"/>
        <v>0</v>
      </c>
      <c r="L458" s="32">
        <f t="shared" si="22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20"/>
        <v>28</v>
      </c>
      <c r="J459" s="87"/>
      <c r="K459" s="31">
        <f t="shared" si="21"/>
        <v>0</v>
      </c>
      <c r="L459" s="32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20"/>
        <v>28</v>
      </c>
      <c r="J460" s="87"/>
      <c r="K460" s="31">
        <f t="shared" si="21"/>
        <v>0</v>
      </c>
      <c r="L460" s="32">
        <f t="shared" si="22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20"/>
        <v>28</v>
      </c>
      <c r="J461" s="87"/>
      <c r="K461" s="31">
        <f t="shared" si="21"/>
        <v>0</v>
      </c>
      <c r="L461" s="32">
        <f t="shared" si="22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20"/>
        <v>28</v>
      </c>
      <c r="J462" s="87"/>
      <c r="K462" s="31">
        <f t="shared" si="21"/>
        <v>0</v>
      </c>
      <c r="L462" s="32">
        <f t="shared" si="22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20"/>
        <v>28</v>
      </c>
      <c r="J463" s="151"/>
      <c r="K463" s="31">
        <f t="shared" si="21"/>
        <v>0</v>
      </c>
      <c r="L463" s="32">
        <f t="shared" si="22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20"/>
        <v>27</v>
      </c>
      <c r="J464" s="146" t="s">
        <v>2017</v>
      </c>
      <c r="K464" s="141">
        <f t="shared" si="21"/>
        <v>1</v>
      </c>
      <c r="L464" s="142">
        <f t="shared" si="22"/>
        <v>0.9642857142857143</v>
      </c>
      <c r="M464" s="70" t="s">
        <v>2278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20"/>
        <v>27</v>
      </c>
      <c r="J465" s="146" t="s">
        <v>2018</v>
      </c>
      <c r="K465" s="141">
        <f t="shared" si="21"/>
        <v>1</v>
      </c>
      <c r="L465" s="142">
        <f t="shared" si="22"/>
        <v>0.9642857142857143</v>
      </c>
      <c r="M465" s="70" t="s">
        <v>2278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20"/>
        <v>27</v>
      </c>
      <c r="J466" s="87"/>
      <c r="K466" s="141">
        <f t="shared" si="21"/>
        <v>1</v>
      </c>
      <c r="L466" s="142">
        <f t="shared" si="22"/>
        <v>0.9642857142857143</v>
      </c>
      <c r="M466" s="70" t="s">
        <v>2278</v>
      </c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20"/>
        <v>28</v>
      </c>
      <c r="J467" s="151" t="s">
        <v>2136</v>
      </c>
      <c r="K467" s="141">
        <f t="shared" si="21"/>
        <v>0</v>
      </c>
      <c r="L467" s="142">
        <f t="shared" si="22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20"/>
        <v>27</v>
      </c>
      <c r="J468" s="151"/>
      <c r="K468" s="141">
        <f t="shared" si="21"/>
        <v>1</v>
      </c>
      <c r="L468" s="142">
        <f t="shared" si="22"/>
        <v>0.9642857142857143</v>
      </c>
      <c r="M468" s="70" t="s">
        <v>2278</v>
      </c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20"/>
        <v>28</v>
      </c>
      <c r="J469" s="146" t="s">
        <v>2019</v>
      </c>
      <c r="K469" s="31">
        <f t="shared" si="21"/>
        <v>0</v>
      </c>
      <c r="L469" s="32">
        <f t="shared" si="22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20"/>
        <v>27</v>
      </c>
      <c r="J470" s="146" t="s">
        <v>2020</v>
      </c>
      <c r="K470" s="31">
        <f t="shared" si="21"/>
        <v>1</v>
      </c>
      <c r="L470" s="32">
        <f t="shared" si="22"/>
        <v>0.9642857142857143</v>
      </c>
      <c r="M470" s="70" t="s">
        <v>2278</v>
      </c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3">COUNTIF(M471:AN471,"")</f>
        <v>28</v>
      </c>
      <c r="J471" s="146" t="s">
        <v>2021</v>
      </c>
      <c r="K471" s="31">
        <f t="shared" ref="K471:K544" si="24">COUNTIF(M471:AN471,"APAGADO")</f>
        <v>0</v>
      </c>
      <c r="L471" s="32">
        <f t="shared" ref="L471:L544" si="25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3"/>
        <v>28</v>
      </c>
      <c r="J472" s="146" t="s">
        <v>2022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3"/>
        <v>28</v>
      </c>
      <c r="J473" s="146" t="s">
        <v>2023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3"/>
        <v>28</v>
      </c>
      <c r="J474" s="146" t="s">
        <v>2024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3"/>
        <v>28</v>
      </c>
      <c r="J475" s="146" t="s">
        <v>2025</v>
      </c>
      <c r="K475" s="141">
        <f t="shared" si="24"/>
        <v>0</v>
      </c>
      <c r="L475" s="14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3"/>
        <v>28</v>
      </c>
      <c r="J476" s="146" t="s">
        <v>2026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3"/>
        <v>28</v>
      </c>
      <c r="J477" s="146" t="s">
        <v>2027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3"/>
        <v>28</v>
      </c>
      <c r="J478" s="146" t="s">
        <v>2028</v>
      </c>
      <c r="K478" s="141">
        <f t="shared" si="24"/>
        <v>0</v>
      </c>
      <c r="L478" s="14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3"/>
        <v>28</v>
      </c>
      <c r="J479" s="146" t="s">
        <v>2029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3"/>
        <v>28</v>
      </c>
      <c r="J480" s="146" t="s">
        <v>2030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3"/>
        <v>28</v>
      </c>
      <c r="J481" s="146" t="s">
        <v>2031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3"/>
        <v>28</v>
      </c>
      <c r="J482" s="146" t="s">
        <v>2032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3"/>
        <v>28</v>
      </c>
      <c r="J483" s="146" t="s">
        <v>2033</v>
      </c>
      <c r="K483" s="87">
        <f t="shared" si="24"/>
        <v>0</v>
      </c>
      <c r="L483" s="88">
        <f t="shared" si="25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3"/>
        <v>28</v>
      </c>
      <c r="J484" s="87" t="s">
        <v>2156</v>
      </c>
      <c r="K484" s="87">
        <f t="shared" si="24"/>
        <v>0</v>
      </c>
      <c r="L484" s="88">
        <f t="shared" si="25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3"/>
        <v>27</v>
      </c>
      <c r="J485" s="87" t="s">
        <v>2157</v>
      </c>
      <c r="K485" s="87">
        <f t="shared" si="24"/>
        <v>1</v>
      </c>
      <c r="L485" s="88">
        <f t="shared" si="25"/>
        <v>0.9642857142857143</v>
      </c>
      <c r="M485" s="89" t="s">
        <v>2278</v>
      </c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3"/>
        <v>28</v>
      </c>
      <c r="J486" s="87" t="s">
        <v>2158</v>
      </c>
      <c r="K486" s="87">
        <f t="shared" si="24"/>
        <v>0</v>
      </c>
      <c r="L486" s="88">
        <f t="shared" si="25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3"/>
        <v>28</v>
      </c>
      <c r="J487" s="87" t="s">
        <v>2159</v>
      </c>
      <c r="K487" s="87">
        <f t="shared" si="24"/>
        <v>0</v>
      </c>
      <c r="L487" s="88">
        <f t="shared" si="25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3"/>
        <v>28</v>
      </c>
      <c r="J488" s="151" t="s">
        <v>2315</v>
      </c>
      <c r="K488" s="87">
        <f t="shared" si="24"/>
        <v>0</v>
      </c>
      <c r="L488" s="88">
        <f t="shared" si="25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3"/>
        <v>28</v>
      </c>
      <c r="J489" s="146" t="s">
        <v>2034</v>
      </c>
      <c r="K489" s="141">
        <f t="shared" si="24"/>
        <v>0</v>
      </c>
      <c r="L489" s="14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3"/>
        <v>28</v>
      </c>
      <c r="J490" s="87"/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3"/>
        <v>28</v>
      </c>
      <c r="J491" s="87"/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3"/>
        <v>28</v>
      </c>
      <c r="J492" s="87"/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3"/>
        <v>28</v>
      </c>
      <c r="J493" s="87"/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3"/>
        <v>28</v>
      </c>
      <c r="J494" s="87"/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3"/>
        <v>28</v>
      </c>
      <c r="J495" s="146" t="s">
        <v>2035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3"/>
        <v>28</v>
      </c>
      <c r="J496" s="146" t="s">
        <v>2036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3"/>
        <v>28</v>
      </c>
      <c r="J497" s="146" t="s">
        <v>2037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3"/>
        <v>28</v>
      </c>
      <c r="J498" s="146" t="s">
        <v>2038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3"/>
        <v>28</v>
      </c>
      <c r="J499" s="146" t="s">
        <v>2039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3"/>
        <v>28</v>
      </c>
      <c r="J500" s="146" t="s">
        <v>2040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3"/>
        <v>28</v>
      </c>
      <c r="J501" s="146" t="s">
        <v>2041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3"/>
        <v>28</v>
      </c>
      <c r="J502" s="146" t="s">
        <v>2042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3"/>
        <v>28</v>
      </c>
      <c r="J503" s="146" t="s">
        <v>2043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3"/>
        <v>28</v>
      </c>
      <c r="J504" s="146" t="s">
        <v>2044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3"/>
        <v>28</v>
      </c>
      <c r="J505" s="146" t="s">
        <v>2045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3"/>
        <v>28</v>
      </c>
      <c r="J506" s="146" t="s">
        <v>2046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3"/>
        <v>28</v>
      </c>
      <c r="J507" s="146" t="s">
        <v>2047</v>
      </c>
      <c r="K507" s="141">
        <f t="shared" si="24"/>
        <v>0</v>
      </c>
      <c r="L507" s="14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3"/>
        <v>28</v>
      </c>
      <c r="J508" s="146" t="s">
        <v>2048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3"/>
        <v>28</v>
      </c>
      <c r="J509" s="146" t="s">
        <v>2049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3"/>
        <v>28</v>
      </c>
      <c r="J510" s="146" t="s">
        <v>2050</v>
      </c>
      <c r="K510" s="141">
        <f t="shared" si="24"/>
        <v>0</v>
      </c>
      <c r="L510" s="14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3"/>
        <v>28</v>
      </c>
      <c r="J511" s="146" t="s">
        <v>2051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3"/>
        <v>28</v>
      </c>
      <c r="J512" s="146" t="s">
        <v>2052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3"/>
        <v>28</v>
      </c>
      <c r="J513" s="146" t="s">
        <v>2053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3"/>
        <v>27</v>
      </c>
      <c r="J514" s="146" t="s">
        <v>2054</v>
      </c>
      <c r="K514" s="31">
        <f t="shared" si="24"/>
        <v>1</v>
      </c>
      <c r="L514" s="32">
        <f t="shared" si="25"/>
        <v>0.9642857142857143</v>
      </c>
      <c r="M514" s="70" t="s">
        <v>2278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3"/>
        <v>27</v>
      </c>
      <c r="J515" s="146" t="s">
        <v>2055</v>
      </c>
      <c r="K515" s="31">
        <f t="shared" si="24"/>
        <v>1</v>
      </c>
      <c r="L515" s="32">
        <f t="shared" si="25"/>
        <v>0.9642857142857143</v>
      </c>
      <c r="M515" s="70" t="s">
        <v>2278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3"/>
        <v>28</v>
      </c>
      <c r="J516" s="146" t="s">
        <v>2056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3"/>
        <v>28</v>
      </c>
      <c r="J517" s="146" t="s">
        <v>2057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3"/>
        <v>28</v>
      </c>
      <c r="J518" s="146" t="s">
        <v>2058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3"/>
        <v>27</v>
      </c>
      <c r="J519" s="146" t="s">
        <v>2059</v>
      </c>
      <c r="K519" s="31">
        <f t="shared" si="24"/>
        <v>1</v>
      </c>
      <c r="L519" s="32">
        <f t="shared" si="25"/>
        <v>0.9642857142857143</v>
      </c>
      <c r="M519" s="70" t="s">
        <v>2278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3"/>
        <v>28</v>
      </c>
      <c r="J520" s="146" t="s">
        <v>2060</v>
      </c>
      <c r="K520" s="31">
        <f t="shared" si="24"/>
        <v>0</v>
      </c>
      <c r="L520" s="32">
        <f t="shared" si="25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3"/>
        <v>28</v>
      </c>
      <c r="J521" s="73"/>
      <c r="K521" s="31">
        <f t="shared" si="24"/>
        <v>0</v>
      </c>
      <c r="L521" s="32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3"/>
        <v>28</v>
      </c>
      <c r="J522" s="146" t="s">
        <v>2061</v>
      </c>
      <c r="K522" s="141">
        <f t="shared" si="24"/>
        <v>0</v>
      </c>
      <c r="L522" s="14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3"/>
        <v>28</v>
      </c>
      <c r="J523" s="146" t="s">
        <v>2062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3"/>
        <v>28</v>
      </c>
      <c r="J524" s="146" t="s">
        <v>2063</v>
      </c>
      <c r="K524" s="31">
        <f t="shared" si="24"/>
        <v>0</v>
      </c>
      <c r="L524" s="32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3"/>
        <v>28</v>
      </c>
      <c r="J525" s="146" t="s">
        <v>2064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3"/>
        <v>28</v>
      </c>
      <c r="J526" s="146" t="s">
        <v>2065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3"/>
        <v>28</v>
      </c>
      <c r="J527" s="146" t="s">
        <v>2066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3"/>
        <v>28</v>
      </c>
      <c r="J528" s="146" t="s">
        <v>2067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3"/>
        <v>28</v>
      </c>
      <c r="J529" s="146" t="s">
        <v>2068</v>
      </c>
      <c r="K529" s="141">
        <f t="shared" si="24"/>
        <v>0</v>
      </c>
      <c r="L529" s="14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3"/>
        <v>28</v>
      </c>
      <c r="J530" s="146" t="s">
        <v>2069</v>
      </c>
      <c r="K530" s="141">
        <f t="shared" si="24"/>
        <v>0</v>
      </c>
      <c r="L530" s="142">
        <f t="shared" si="25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3"/>
        <v>28</v>
      </c>
      <c r="J531" s="146" t="s">
        <v>2070</v>
      </c>
      <c r="K531" s="141">
        <f t="shared" si="24"/>
        <v>0</v>
      </c>
      <c r="L531" s="142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3"/>
        <v>28</v>
      </c>
      <c r="J532" s="146" t="s">
        <v>2071</v>
      </c>
      <c r="K532" s="141">
        <f t="shared" si="24"/>
        <v>0</v>
      </c>
      <c r="L532" s="14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3"/>
        <v>28</v>
      </c>
      <c r="J533" s="146" t="s">
        <v>2219</v>
      </c>
      <c r="K533" s="141">
        <f t="shared" si="24"/>
        <v>0</v>
      </c>
      <c r="L533" s="142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3"/>
        <v>28</v>
      </c>
      <c r="J534" s="146" t="s">
        <v>2223</v>
      </c>
      <c r="K534" s="141">
        <f t="shared" si="24"/>
        <v>0</v>
      </c>
      <c r="L534" s="14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3"/>
        <v>28</v>
      </c>
      <c r="J535" s="146" t="s">
        <v>2072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3"/>
        <v>28</v>
      </c>
      <c r="J536" s="146" t="s">
        <v>2073</v>
      </c>
      <c r="K536" s="31">
        <f t="shared" si="24"/>
        <v>0</v>
      </c>
      <c r="L536" s="32">
        <f t="shared" si="25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3"/>
        <v>28</v>
      </c>
      <c r="J537" s="146" t="s">
        <v>2074</v>
      </c>
      <c r="K537" s="31">
        <f t="shared" si="24"/>
        <v>0</v>
      </c>
      <c r="L537" s="32">
        <f t="shared" si="25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3"/>
        <v>28</v>
      </c>
      <c r="J538" s="146" t="s">
        <v>2075</v>
      </c>
      <c r="K538" s="31">
        <f t="shared" si="24"/>
        <v>0</v>
      </c>
      <c r="L538" s="32">
        <f t="shared" si="25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3"/>
        <v>28</v>
      </c>
      <c r="J539" s="146" t="s">
        <v>2076</v>
      </c>
      <c r="K539" s="31">
        <f t="shared" si="24"/>
        <v>0</v>
      </c>
      <c r="L539" s="32">
        <f t="shared" si="25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3"/>
        <v>28</v>
      </c>
      <c r="J540" s="146" t="s">
        <v>2077</v>
      </c>
      <c r="K540" s="31">
        <f t="shared" si="24"/>
        <v>0</v>
      </c>
      <c r="L540" s="32">
        <f t="shared" si="25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3"/>
        <v>28</v>
      </c>
      <c r="J541" s="73"/>
      <c r="K541" s="31">
        <f t="shared" si="24"/>
        <v>0</v>
      </c>
      <c r="L541" s="32">
        <f t="shared" si="25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3"/>
        <v>28</v>
      </c>
      <c r="J542" s="146" t="s">
        <v>2078</v>
      </c>
      <c r="K542" s="31">
        <f t="shared" si="24"/>
        <v>0</v>
      </c>
      <c r="L542" s="32">
        <f t="shared" si="25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3"/>
        <v>28</v>
      </c>
      <c r="J543" s="146" t="s">
        <v>2079</v>
      </c>
      <c r="K543" s="141">
        <f t="shared" si="24"/>
        <v>0</v>
      </c>
      <c r="L543" s="142">
        <f t="shared" si="25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3"/>
        <v>28</v>
      </c>
      <c r="J544" s="146" t="s">
        <v>2080</v>
      </c>
      <c r="K544" s="31">
        <f t="shared" si="24"/>
        <v>0</v>
      </c>
      <c r="L544" s="32">
        <f t="shared" si="25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6">COUNTIF(M545:AN545,"")</f>
        <v>27</v>
      </c>
      <c r="J545" s="146" t="s">
        <v>2081</v>
      </c>
      <c r="K545" s="141">
        <f t="shared" ref="K545:K591" si="27">COUNTIF(M545:AN545,"APAGADO")</f>
        <v>1</v>
      </c>
      <c r="L545" s="142">
        <f t="shared" ref="L545:L591" si="28">(I545)/(K545+I545)</f>
        <v>0.9642857142857143</v>
      </c>
      <c r="M545" s="70" t="s">
        <v>2278</v>
      </c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6"/>
        <v>28</v>
      </c>
      <c r="J546" s="146" t="s">
        <v>2082</v>
      </c>
      <c r="K546" s="141">
        <f t="shared" si="27"/>
        <v>0</v>
      </c>
      <c r="L546" s="14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6"/>
        <v>28</v>
      </c>
      <c r="J547" s="146" t="s">
        <v>2083</v>
      </c>
      <c r="K547" s="31">
        <f t="shared" si="27"/>
        <v>0</v>
      </c>
      <c r="L547" s="32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6"/>
        <v>28</v>
      </c>
      <c r="J548" s="146" t="s">
        <v>2084</v>
      </c>
      <c r="K548" s="141">
        <f t="shared" si="27"/>
        <v>0</v>
      </c>
      <c r="L548" s="14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6"/>
        <v>28</v>
      </c>
      <c r="J549" s="146" t="s">
        <v>2190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6"/>
        <v>28</v>
      </c>
      <c r="J550" s="146" t="s">
        <v>2127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6"/>
        <v>28</v>
      </c>
      <c r="J551" s="146" t="s">
        <v>2085</v>
      </c>
      <c r="K551" s="141">
        <f t="shared" si="27"/>
        <v>0</v>
      </c>
      <c r="L551" s="142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6"/>
        <v>28</v>
      </c>
      <c r="J552" s="146" t="s">
        <v>2086</v>
      </c>
      <c r="K552" s="141">
        <f t="shared" si="27"/>
        <v>0</v>
      </c>
      <c r="L552" s="142">
        <f t="shared" si="28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6"/>
        <v>28</v>
      </c>
      <c r="J553" s="146" t="s">
        <v>2087</v>
      </c>
      <c r="K553" s="141">
        <f t="shared" si="27"/>
        <v>0</v>
      </c>
      <c r="L553" s="14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6"/>
        <v>28</v>
      </c>
      <c r="J554" s="146" t="s">
        <v>2088</v>
      </c>
      <c r="K554" s="141">
        <f t="shared" si="27"/>
        <v>0</v>
      </c>
      <c r="L554" s="14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6"/>
        <v>28</v>
      </c>
      <c r="J555" s="87" t="s">
        <v>2178</v>
      </c>
      <c r="K555" s="141">
        <f t="shared" si="27"/>
        <v>0</v>
      </c>
      <c r="L555" s="14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6"/>
        <v>27</v>
      </c>
      <c r="J556" s="87"/>
      <c r="K556" s="141">
        <f t="shared" si="27"/>
        <v>1</v>
      </c>
      <c r="L556" s="142">
        <f t="shared" si="28"/>
        <v>0.9642857142857143</v>
      </c>
      <c r="M556" s="70" t="s">
        <v>2278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6"/>
        <v>27</v>
      </c>
      <c r="J557" s="87" t="s">
        <v>2179</v>
      </c>
      <c r="K557" s="141">
        <f t="shared" si="27"/>
        <v>1</v>
      </c>
      <c r="L557" s="142">
        <f t="shared" si="28"/>
        <v>0.9642857142857143</v>
      </c>
      <c r="M557" s="70" t="s">
        <v>2278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6"/>
        <v>27</v>
      </c>
      <c r="J558" s="87" t="s">
        <v>2175</v>
      </c>
      <c r="K558" s="31">
        <f t="shared" si="27"/>
        <v>1</v>
      </c>
      <c r="L558" s="32">
        <f t="shared" si="28"/>
        <v>0.9642857142857143</v>
      </c>
      <c r="M558" s="70" t="s">
        <v>2278</v>
      </c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6"/>
        <v>28</v>
      </c>
      <c r="J559" s="146" t="s">
        <v>2089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6"/>
        <v>27</v>
      </c>
      <c r="J560" s="87" t="s">
        <v>2176</v>
      </c>
      <c r="K560" s="31">
        <f t="shared" si="27"/>
        <v>1</v>
      </c>
      <c r="L560" s="32">
        <f t="shared" si="28"/>
        <v>0.9642857142857143</v>
      </c>
      <c r="M560" s="70" t="s">
        <v>2278</v>
      </c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6"/>
        <v>28</v>
      </c>
      <c r="J561" s="146" t="s">
        <v>2090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6"/>
        <v>28</v>
      </c>
      <c r="J562" s="146" t="s">
        <v>2091</v>
      </c>
      <c r="K562" s="141">
        <f t="shared" si="27"/>
        <v>0</v>
      </c>
      <c r="L562" s="14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6"/>
        <v>28</v>
      </c>
      <c r="J563" s="150" t="s">
        <v>2132</v>
      </c>
      <c r="K563" s="141">
        <f t="shared" si="27"/>
        <v>0</v>
      </c>
      <c r="L563" s="14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6"/>
        <v>28</v>
      </c>
      <c r="J564" s="87" t="s">
        <v>2177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6"/>
        <v>28</v>
      </c>
      <c r="J565" s="146" t="s">
        <v>2092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6"/>
        <v>28</v>
      </c>
      <c r="J566" s="146" t="s">
        <v>2093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6"/>
        <v>28</v>
      </c>
      <c r="J567" s="146" t="s">
        <v>2094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6"/>
        <v>27</v>
      </c>
      <c r="J568" s="146" t="s">
        <v>2095</v>
      </c>
      <c r="K568" s="31">
        <f t="shared" si="27"/>
        <v>1</v>
      </c>
      <c r="L568" s="32">
        <f t="shared" si="28"/>
        <v>0.9642857142857143</v>
      </c>
      <c r="M568" s="70" t="s">
        <v>2278</v>
      </c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6"/>
        <v>27</v>
      </c>
      <c r="J569" s="146" t="s">
        <v>2096</v>
      </c>
      <c r="K569" s="31">
        <f t="shared" si="27"/>
        <v>1</v>
      </c>
      <c r="L569" s="32">
        <f t="shared" si="28"/>
        <v>0.9642857142857143</v>
      </c>
      <c r="M569" s="70" t="s">
        <v>2278</v>
      </c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6"/>
        <v>27</v>
      </c>
      <c r="J570" s="146" t="s">
        <v>2097</v>
      </c>
      <c r="K570" s="31">
        <f t="shared" si="27"/>
        <v>1</v>
      </c>
      <c r="L570" s="32">
        <f t="shared" si="28"/>
        <v>0.9642857142857143</v>
      </c>
      <c r="M570" s="70" t="s">
        <v>2278</v>
      </c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6"/>
        <v>27</v>
      </c>
      <c r="J571" s="146" t="s">
        <v>2098</v>
      </c>
      <c r="K571" s="31">
        <f t="shared" si="27"/>
        <v>1</v>
      </c>
      <c r="L571" s="32">
        <f t="shared" si="28"/>
        <v>0.9642857142857143</v>
      </c>
      <c r="M571" s="70" t="s">
        <v>2278</v>
      </c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6"/>
        <v>27</v>
      </c>
      <c r="J572" s="146" t="s">
        <v>2099</v>
      </c>
      <c r="K572" s="31">
        <f t="shared" si="27"/>
        <v>1</v>
      </c>
      <c r="L572" s="32">
        <f t="shared" si="28"/>
        <v>0.9642857142857143</v>
      </c>
      <c r="M572" s="70" t="s">
        <v>2278</v>
      </c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6"/>
        <v>28</v>
      </c>
      <c r="J573" s="87" t="s">
        <v>2193</v>
      </c>
      <c r="K573" s="141">
        <f t="shared" si="27"/>
        <v>0</v>
      </c>
      <c r="L573" s="14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6"/>
        <v>28</v>
      </c>
      <c r="J574" s="87" t="s">
        <v>2257</v>
      </c>
      <c r="K574" s="141">
        <f t="shared" si="27"/>
        <v>0</v>
      </c>
      <c r="L574" s="142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6"/>
        <v>28</v>
      </c>
      <c r="J575" s="87"/>
      <c r="K575" s="141">
        <f t="shared" si="27"/>
        <v>0</v>
      </c>
      <c r="L575" s="142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6"/>
        <v>28</v>
      </c>
      <c r="J576" s="87" t="s">
        <v>2194</v>
      </c>
      <c r="K576" s="31">
        <f t="shared" si="27"/>
        <v>0</v>
      </c>
      <c r="L576" s="32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6"/>
        <v>28</v>
      </c>
      <c r="J577" s="87" t="s">
        <v>2195</v>
      </c>
      <c r="K577" s="31">
        <f t="shared" si="27"/>
        <v>0</v>
      </c>
      <c r="L577" s="32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6"/>
        <v>28</v>
      </c>
      <c r="J578" s="87" t="s">
        <v>2196</v>
      </c>
      <c r="K578" s="31">
        <f t="shared" si="27"/>
        <v>0</v>
      </c>
      <c r="L578" s="32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6"/>
        <v>28</v>
      </c>
      <c r="J579" s="146" t="s">
        <v>2101</v>
      </c>
      <c r="K579" s="31">
        <f t="shared" si="27"/>
        <v>0</v>
      </c>
      <c r="L579" s="32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6"/>
        <v>28</v>
      </c>
      <c r="J580" s="146" t="s">
        <v>2100</v>
      </c>
      <c r="K580" s="31">
        <f t="shared" si="27"/>
        <v>0</v>
      </c>
      <c r="L580" s="32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6"/>
        <v>28</v>
      </c>
      <c r="J581" s="146" t="s">
        <v>2102</v>
      </c>
      <c r="K581" s="31">
        <f t="shared" si="27"/>
        <v>0</v>
      </c>
      <c r="L581" s="32">
        <f t="shared" si="28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6"/>
        <v>28</v>
      </c>
      <c r="J582" s="146" t="s">
        <v>2174</v>
      </c>
      <c r="K582" s="31">
        <f t="shared" si="27"/>
        <v>0</v>
      </c>
      <c r="L582" s="32">
        <f t="shared" si="28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6"/>
        <v>28</v>
      </c>
      <c r="J583" s="146" t="s">
        <v>2103</v>
      </c>
      <c r="K583" s="141">
        <f t="shared" si="27"/>
        <v>0</v>
      </c>
      <c r="L583" s="142">
        <f t="shared" si="28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6"/>
        <v>28</v>
      </c>
      <c r="J584" s="146" t="s">
        <v>2104</v>
      </c>
      <c r="K584" s="141">
        <f t="shared" si="27"/>
        <v>0</v>
      </c>
      <c r="L584" s="142">
        <f t="shared" si="28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6"/>
        <v>28</v>
      </c>
      <c r="J585" s="146" t="s">
        <v>2105</v>
      </c>
      <c r="K585" s="141">
        <f t="shared" si="27"/>
        <v>0</v>
      </c>
      <c r="L585" s="142">
        <f t="shared" si="28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6"/>
        <v>28</v>
      </c>
      <c r="J586" s="146" t="s">
        <v>2106</v>
      </c>
      <c r="K586" s="141">
        <f t="shared" si="27"/>
        <v>0</v>
      </c>
      <c r="L586" s="142">
        <f t="shared" si="28"/>
        <v>1</v>
      </c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6"/>
        <v>28</v>
      </c>
      <c r="J587" s="146" t="s">
        <v>2107</v>
      </c>
      <c r="K587" s="141">
        <f t="shared" si="27"/>
        <v>0</v>
      </c>
      <c r="L587" s="142">
        <f t="shared" si="28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6"/>
        <v>28</v>
      </c>
      <c r="J588" s="146" t="s">
        <v>2108</v>
      </c>
      <c r="K588" s="141">
        <f t="shared" si="27"/>
        <v>0</v>
      </c>
      <c r="L588" s="142">
        <f t="shared" si="28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6"/>
        <v>28</v>
      </c>
      <c r="J589" s="146" t="s">
        <v>2109</v>
      </c>
      <c r="K589" s="141">
        <f t="shared" si="27"/>
        <v>0</v>
      </c>
      <c r="L589" s="142">
        <f t="shared" si="28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6"/>
        <v>28</v>
      </c>
      <c r="J590" s="150" t="s">
        <v>2113</v>
      </c>
      <c r="K590" s="141">
        <f t="shared" si="27"/>
        <v>0</v>
      </c>
      <c r="L590" s="142">
        <f t="shared" si="28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6"/>
        <v>28</v>
      </c>
      <c r="J591" s="150" t="s">
        <v>2288</v>
      </c>
      <c r="K591" s="141">
        <f t="shared" si="27"/>
        <v>0</v>
      </c>
      <c r="L591" s="142">
        <f t="shared" si="28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7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D20:D21 D130:D146 D154 D162:D163 D215:D217 D221:D224 D229:D232 D257 D265:D266 D273 C274:D274 C275:C591 D279:D282 D292:D294 D367:D372 D381 C382:D382 D398:D402 D414:D416 D419:D420 D478:D481 D549:D550 C673:C1048576 C1:C273">
    <cfRule type="cellIs" dxfId="143" priority="529" operator="equal">
      <formula>$C$276</formula>
    </cfRule>
  </conditionalFormatting>
  <conditionalFormatting sqref="D20:D21 D162:D163 D221:D224 D257 C274:D274 C275:C591 D279:D282 D292:D294 C382:D382 D398:D402 D414:D416 D419:D420 C673:C1048576 D130:D146 D154 D215:D217 D229:D232 D265:D266 D273 D367:D372 D381 D478:D481 D549:D550 C1:C273">
    <cfRule type="cellIs" dxfId="142" priority="528" operator="equal">
      <formula>$C$295</formula>
    </cfRule>
  </conditionalFormatting>
  <conditionalFormatting sqref="D20:D21 D162:D163 D221:D222 D257 D279:D282 D292:D294 D398:D402 D414:D416 D419:D420 C673:C1048576 C1:C591">
    <cfRule type="cellIs" dxfId="141" priority="74" operator="equal">
      <formula>"IPCOMS"</formula>
    </cfRule>
  </conditionalFormatting>
  <conditionalFormatting sqref="E578:E591 E673:E1048576 E1:E563">
    <cfRule type="containsText" dxfId="140" priority="534" operator="containsText" text="fija">
      <formula>NOT(ISERROR(SEARCH("fija",E1)))</formula>
    </cfRule>
    <cfRule type="containsText" dxfId="139" priority="535" operator="containsText" text="domo">
      <formula>NOT(ISERROR(SEARCH("domo",E1)))</formula>
    </cfRule>
  </conditionalFormatting>
  <conditionalFormatting sqref="E673:E1048576 E1:E591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5" operator="containsText" text="fija">
      <formula>NOT(ISERROR(SEARCH("fija",E565)))</formula>
    </cfRule>
    <cfRule type="containsText" dxfId="133" priority="476" operator="containsText" text="domo">
      <formula>NOT(ISERROR(SEARCH("domo",E565)))</formula>
    </cfRule>
    <cfRule type="containsText" dxfId="132" priority="477" operator="containsText" text="Radio">
      <formula>NOT(ISERROR(SEARCH("Radio",E565)))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69" operator="containsText" text="domo">
      <formula>NOT(ISERROR(SEARCH("domo",E566)))</formula>
    </cfRule>
    <cfRule type="containsText" dxfId="127" priority="472" operator="containsText" text="Radio">
      <formula>NOT(ISERROR(SEARCH("Radio",E566)))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0" operator="containsText" text="fija">
      <formula>NOT(ISERROR(SEARCH("fija",E569)))</formula>
    </cfRule>
    <cfRule type="containsText" dxfId="122" priority="461" operator="containsText" text="domo">
      <formula>NOT(ISERROR(SEARCH("domo",E569)))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5" operator="containsText" text="fija">
      <formula>NOT(ISERROR(SEARCH("fija",E570)))</formula>
    </cfRule>
    <cfRule type="containsText" dxfId="119" priority="456" operator="containsText" text="domo">
      <formula>NOT(ISERROR(SEARCH("domo",E570)))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48" operator="containsText" text="fija">
      <formula>NOT(ISERROR(SEARCH("fija",E572)))</formula>
    </cfRule>
    <cfRule type="containsText" dxfId="114" priority="449" operator="containsText" text="domo">
      <formula>NOT(ISERROR(SEARCH("domo",E572)))</formula>
    </cfRule>
    <cfRule type="containsText" dxfId="113" priority="452" operator="containsText" text="Radio">
      <formula>NOT(ISERROR(SEARCH("Radio",E572)))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8" operator="containsText" text="fija">
      <formula>NOT(ISERROR(SEARCH("fija",E579)))</formula>
    </cfRule>
    <cfRule type="containsText" dxfId="109" priority="479" operator="containsText" text="domo">
      <formula>NOT(ISERROR(SEARCH("domo",E579)))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673:F1048576 F160:F591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ontainsText" dxfId="99" priority="65" operator="containsText" text="Radio">
      <formula>NOT(ISERROR(SEARCH("Radio",F138)))</formula>
    </cfRule>
    <cfRule type="cellIs" dxfId="98" priority="66" operator="equal">
      <formula>$F$13</formula>
    </cfRule>
    <cfRule type="cellIs" dxfId="97" priority="67" operator="equal">
      <formula>"PTP A FO"</formula>
    </cfRule>
    <cfRule type="cellIs" dxfId="96" priority="68" operator="equal">
      <formula>"PTP A FO"</formula>
    </cfRule>
  </conditionalFormatting>
  <conditionalFormatting sqref="F141:F148">
    <cfRule type="containsText" dxfId="95" priority="40" operator="containsText" text="Radio">
      <formula>NOT(ISERROR(SEARCH("Radio",F141)))</formula>
    </cfRule>
    <cfRule type="cellIs" dxfId="94" priority="41" operator="equal">
      <formula>$F$13</formula>
    </cfRule>
    <cfRule type="cellIs" dxfId="93" priority="42" operator="equal">
      <formula>"PTP A FO"</formula>
    </cfRule>
    <cfRule type="cellIs" dxfId="92" priority="43" operator="equal">
      <formula>"PTP A FO"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ontainsText" dxfId="89" priority="3" operator="containsText" text="Radio">
      <formula>NOT(ISERROR(SEARCH("Radio",F145)))</formula>
    </cfRule>
    <cfRule type="cellIs" dxfId="88" priority="4" operator="equal">
      <formula>$F$13</formula>
    </cfRule>
    <cfRule type="cellIs" dxfId="87" priority="5" operator="equal">
      <formula>"PTP A FO"</formula>
    </cfRule>
    <cfRule type="cellIs" dxfId="86" priority="6" operator="equal">
      <formula>"PTP A FO"</formula>
    </cfRule>
  </conditionalFormatting>
  <conditionalFormatting sqref="F230:F232">
    <cfRule type="cellIs" dxfId="85" priority="54" operator="equal">
      <formula>$F$13</formula>
    </cfRule>
    <cfRule type="cellIs" dxfId="84" priority="55" operator="equal">
      <formula>"PTP A FO"</formula>
    </cfRule>
    <cfRule type="cellIs" dxfId="83" priority="56" operator="equal">
      <formula>"PTP A FO"</formula>
    </cfRule>
  </conditionalFormatting>
  <conditionalFormatting sqref="F231:F232">
    <cfRule type="cellIs" dxfId="82" priority="50" operator="equal">
      <formula>$F$13</formula>
    </cfRule>
    <cfRule type="cellIs" dxfId="81" priority="51" operator="equal">
      <formula>"PTP A FO"</formula>
    </cfRule>
    <cfRule type="cellIs" dxfId="80" priority="52" operator="equal">
      <formula>"PTP A FO"</formula>
    </cfRule>
  </conditionalFormatting>
  <conditionalFormatting sqref="F419:F420">
    <cfRule type="containsText" dxfId="79" priority="59" operator="containsText" text="Radio">
      <formula>NOT(ISERROR(SEARCH("Radio",F419)))</formula>
    </cfRule>
    <cfRule type="cellIs" dxfId="78" priority="60" operator="equal">
      <formula>$F$13</formula>
    </cfRule>
    <cfRule type="cellIs" dxfId="77" priority="61" operator="equal">
      <formula>"PTP A FO"</formula>
    </cfRule>
    <cfRule type="cellIs" dxfId="76" priority="62" operator="equal">
      <formula>"PTP A FO"</formula>
    </cfRule>
  </conditionalFormatting>
  <conditionalFormatting sqref="F564">
    <cfRule type="containsText" dxfId="75" priority="125" operator="containsText" text="Radio">
      <formula>NOT(ISERROR(SEARCH("Radio",F564)))</formula>
    </cfRule>
    <cfRule type="cellIs" dxfId="74" priority="126" operator="equal">
      <formula>"PTP A FO"</formula>
    </cfRule>
  </conditionalFormatting>
  <conditionalFormatting sqref="F1:G133 F134:F135 F160:G229 F419:F420 F421:G563 F576:G576 F577 F578:G591 F673:G1048576 F233:G418">
    <cfRule type="cellIs" dxfId="73" priority="727" operator="equal">
      <formula>"PTP A FO"</formula>
    </cfRule>
  </conditionalFormatting>
  <conditionalFormatting sqref="F1:G133 F134:F135 F160:G229 F419:F420 F421:G591 F673:G1048576 F233:G418">
    <cfRule type="cellIs" dxfId="72" priority="531" operator="equal">
      <formula>$F$13</formula>
    </cfRule>
    <cfRule type="cellIs" dxfId="71" priority="532" operator="equal">
      <formula>"PTP A FO"</formula>
    </cfRule>
  </conditionalFormatting>
  <conditionalFormatting sqref="F148:G159">
    <cfRule type="cellIs" dxfId="70" priority="11" operator="equal">
      <formula>$F$13</formula>
    </cfRule>
    <cfRule type="cellIs" dxfId="69" priority="12" operator="equal">
      <formula>"PTP A FO"</formula>
    </cfRule>
    <cfRule type="cellIs" dxfId="68" priority="13" operator="equal">
      <formula>"PTP A FO"</formula>
    </cfRule>
  </conditionalFormatting>
  <conditionalFormatting sqref="G147">
    <cfRule type="cellIs" dxfId="67" priority="17" operator="equal">
      <formula>$F$13</formula>
    </cfRule>
    <cfRule type="cellIs" dxfId="66" priority="18" operator="equal">
      <formula>"PTP A FO"</formula>
    </cfRule>
    <cfRule type="cellIs" dxfId="65" priority="19" operator="equal">
      <formula>"PTP A FO"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323:U323 W323:AN323 M324:AN346 M347:AB347 AD347:AN347 M348:AN397 N398:O398 M398:M402 N399:N402 O399:O403 M403:N403 P403:AN403 M404:AN411 O412:AN418 M412:N420 AO8:AQ229 AO403:AQ418 M421:AQ591 AI673:AQ1048576 M233:AN322 AO233:AQ397">
    <cfRule type="cellIs" dxfId="61" priority="108" operator="equal">
      <formula>"APAGADO"</formula>
    </cfRule>
  </conditionalFormatting>
  <conditionalFormatting sqref="W673:AH1048576 M673:AQ749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notContainsText" dxfId="57" priority="288" operator="notContains" text="Caida">
      <formula>ISERROR(SEARCH("Caida",O673))</formula>
    </cfRule>
    <cfRule type="containsText" dxfId="56" priority="289" operator="containsText" text="Caida">
      <formula>NOT(ISERROR(SEARCH("Caida",O673)))</formula>
    </cfRule>
    <cfRule type="cellIs" dxfId="55" priority="290" operator="lessThan">
      <formula>0.8</formula>
    </cfRule>
    <cfRule type="cellIs" dxfId="54" priority="291" operator="greaterThan">
      <formula>0.8</formula>
    </cfRule>
    <cfRule type="cellIs" dxfId="53" priority="314" operator="greaterThan">
      <formula>0.8</formula>
    </cfRule>
    <cfRule type="cellIs" dxfId="52" priority="418" operator="equal">
      <formula>"APAGADO"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>
        <f>'RESUMEN TOTAL'!N90</f>
        <v>0</v>
      </c>
      <c r="H68" s="70">
        <f>'RESUMEN TOTAL'!O90</f>
        <v>0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>
        <f>'RESUMEN TOTAL'!N131</f>
        <v>0</v>
      </c>
      <c r="H109" s="70">
        <f>'RESUMEN TOTAL'!O131</f>
        <v>0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>
        <f>'RESUMEN TOTAL'!N152</f>
        <v>0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>
        <f>'RESUMEN TOTAL'!N197</f>
        <v>0</v>
      </c>
      <c r="H148" s="70">
        <f>'RESUMEN TOTAL'!O197</f>
        <v>0</v>
      </c>
      <c r="I148" s="70">
        <f>'RESUMEN TOTAL'!P197</f>
        <v>0</v>
      </c>
      <c r="J148" s="70">
        <f>'RESUMEN TOTAL'!Q197</f>
        <v>0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>
        <f>'RESUMEN TOTAL'!N198</f>
        <v>0</v>
      </c>
      <c r="H149" s="70">
        <f>'RESUMEN TOTAL'!O198</f>
        <v>0</v>
      </c>
      <c r="I149" s="70">
        <f>'RESUMEN TOTAL'!P198</f>
        <v>0</v>
      </c>
      <c r="J149" s="70">
        <f>'RESUMEN TOTAL'!Q198</f>
        <v>0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>
        <f>'RESUMEN TOTAL'!N201</f>
        <v>0</v>
      </c>
      <c r="H152" s="70">
        <f>'RESUMEN TOTAL'!O201</f>
        <v>0</v>
      </c>
      <c r="I152" s="70">
        <f>'RESUMEN TOTAL'!P201</f>
        <v>0</v>
      </c>
      <c r="J152" s="70">
        <f>'RESUMEN TOTAL'!Q201</f>
        <v>0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>
        <f>'RESUMEN TOTAL'!N237</f>
        <v>0</v>
      </c>
      <c r="H179" s="70">
        <f>'RESUMEN TOTAL'!O237</f>
        <v>0</v>
      </c>
      <c r="I179" s="70">
        <f>'RESUMEN TOTAL'!P237</f>
        <v>0</v>
      </c>
      <c r="J179" s="70">
        <f>'RESUMEN TOTAL'!Q237</f>
        <v>0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>
        <f>'RESUMEN TOTAL'!N251</f>
        <v>0</v>
      </c>
      <c r="H193" s="70">
        <f>'RESUMEN TOTAL'!O251</f>
        <v>0</v>
      </c>
      <c r="I193" s="70">
        <f>'RESUMEN TOTAL'!P251</f>
        <v>0</v>
      </c>
      <c r="J193" s="70">
        <f>'RESUMEN TOTAL'!Q251</f>
        <v>0</v>
      </c>
      <c r="K193" s="70">
        <f>'RESUMEN TOTAL'!R251</f>
        <v>0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>
        <f>'RESUMEN TOTAL'!N254</f>
        <v>0</v>
      </c>
      <c r="H196" s="70">
        <f>'RESUMEN TOTAL'!O254</f>
        <v>0</v>
      </c>
      <c r="I196" s="70">
        <f>'RESUMEN TOTAL'!P254</f>
        <v>0</v>
      </c>
      <c r="J196" s="70">
        <f>'RESUMEN TOTAL'!Q254</f>
        <v>0</v>
      </c>
      <c r="K196" s="70">
        <f>'RESUMEN TOTAL'!R254</f>
        <v>0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>
        <f>'RESUMEN TOTAL'!R266</f>
        <v>0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>
        <f>'RESUMEN TOTAL'!N272</f>
        <v>0</v>
      </c>
      <c r="H211" s="70">
        <f>'RESUMEN TOTAL'!O272</f>
        <v>0</v>
      </c>
      <c r="I211" s="70">
        <f>'RESUMEN TOTAL'!P272</f>
        <v>0</v>
      </c>
      <c r="J211" s="70">
        <f>'RESUMEN TOTAL'!Q272</f>
        <v>0</v>
      </c>
      <c r="K211" s="70">
        <f>'RESUMEN TOTAL'!R272</f>
        <v>0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>
        <f>'RESUMEN TOTAL'!O291</f>
        <v>0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>
        <f>'RESUMEN TOTAL'!N304</f>
        <v>0</v>
      </c>
      <c r="H236" s="70">
        <f>'RESUMEN TOTAL'!O304</f>
        <v>0</v>
      </c>
      <c r="I236" s="70">
        <f>'RESUMEN TOTAL'!P304</f>
        <v>0</v>
      </c>
      <c r="J236" s="70">
        <f>'RESUMEN TOTAL'!Q304</f>
        <v>0</v>
      </c>
      <c r="K236" s="70">
        <f>'RESUMEN TOTAL'!R304</f>
        <v>0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>
        <f>'RESUMEN TOTAL'!N316</f>
        <v>0</v>
      </c>
      <c r="H248" s="70">
        <f>'RESUMEN TOTAL'!O316</f>
        <v>0</v>
      </c>
      <c r="I248" s="70">
        <f>'RESUMEN TOTAL'!P316</f>
        <v>0</v>
      </c>
      <c r="J248" s="70">
        <f>'RESUMEN TOTAL'!Q316</f>
        <v>0</v>
      </c>
      <c r="K248" s="70">
        <f>'RESUMEN TOTAL'!R316</f>
        <v>0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>
        <f>'RESUMEN TOTAL'!N318</f>
        <v>0</v>
      </c>
      <c r="H250" s="70">
        <f>'RESUMEN TOTAL'!O318</f>
        <v>0</v>
      </c>
      <c r="I250" s="70">
        <f>'RESUMEN TOTAL'!P318</f>
        <v>0</v>
      </c>
      <c r="J250" s="70">
        <f>'RESUMEN TOTAL'!Q318</f>
        <v>0</v>
      </c>
      <c r="K250" s="70">
        <f>'RESUMEN TOTAL'!R318</f>
        <v>0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>
        <f>'RESUMEN TOTAL'!N319</f>
        <v>0</v>
      </c>
      <c r="H251" s="70">
        <f>'RESUMEN TOTAL'!O319</f>
        <v>0</v>
      </c>
      <c r="I251" s="70">
        <f>'RESUMEN TOTAL'!P319</f>
        <v>0</v>
      </c>
      <c r="J251" s="70">
        <f>'RESUMEN TOTAL'!Q319</f>
        <v>0</v>
      </c>
      <c r="K251" s="70">
        <f>'RESUMEN TOTAL'!R319</f>
        <v>0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>
        <f>'RESUMEN TOTAL'!N320</f>
        <v>0</v>
      </c>
      <c r="H252" s="70">
        <f>'RESUMEN TOTAL'!O320</f>
        <v>0</v>
      </c>
      <c r="I252" s="70">
        <f>'RESUMEN TOTAL'!P320</f>
        <v>0</v>
      </c>
      <c r="J252" s="70">
        <f>'RESUMEN TOTAL'!Q320</f>
        <v>0</v>
      </c>
      <c r="K252" s="70">
        <f>'RESUMEN TOTAL'!R320</f>
        <v>0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>
        <f>'RESUMEN TOTAL'!N321</f>
        <v>0</v>
      </c>
      <c r="H253" s="70">
        <f>'RESUMEN TOTAL'!O321</f>
        <v>0</v>
      </c>
      <c r="I253" s="70">
        <f>'RESUMEN TOTAL'!P321</f>
        <v>0</v>
      </c>
      <c r="J253" s="70">
        <f>'RESUMEN TOTAL'!Q321</f>
        <v>0</v>
      </c>
      <c r="K253" s="70">
        <f>'RESUMEN TOTAL'!R321</f>
        <v>0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>
        <f>'RESUMEN TOTAL'!N322</f>
        <v>0</v>
      </c>
      <c r="H254" s="70">
        <f>'RESUMEN TOTAL'!O322</f>
        <v>0</v>
      </c>
      <c r="I254" s="70">
        <f>'RESUMEN TOTAL'!P322</f>
        <v>0</v>
      </c>
      <c r="J254" s="70">
        <f>'RESUMEN TOTAL'!Q322</f>
        <v>0</v>
      </c>
      <c r="K254" s="70">
        <f>'RESUMEN TOTAL'!R322</f>
        <v>0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>
        <f>'RESUMEN TOTAL'!N383</f>
        <v>0</v>
      </c>
      <c r="H301" s="70">
        <f>'RESUMEN TOTAL'!O383</f>
        <v>0</v>
      </c>
      <c r="I301" s="70">
        <f>'RESUMEN TOTAL'!P383</f>
        <v>0</v>
      </c>
      <c r="J301" s="70">
        <f>'RESUMEN TOTAL'!Q383</f>
        <v>0</v>
      </c>
      <c r="K301" s="70">
        <f>'RESUMEN TOTAL'!R383</f>
        <v>0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>
        <f>'RESUMEN TOTAL'!N384</f>
        <v>0</v>
      </c>
      <c r="H302" s="70">
        <f>'RESUMEN TOTAL'!O384</f>
        <v>0</v>
      </c>
      <c r="I302" s="70">
        <f>'RESUMEN TOTAL'!P384</f>
        <v>0</v>
      </c>
      <c r="J302" s="70">
        <f>'RESUMEN TOTAL'!Q384</f>
        <v>0</v>
      </c>
      <c r="K302" s="70">
        <f>'RESUMEN TOTAL'!R384</f>
        <v>0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>
        <f>'RESUMEN TOTAL'!N389</f>
        <v>0</v>
      </c>
      <c r="H307" s="70">
        <f>'RESUMEN TOTAL'!O389</f>
        <v>0</v>
      </c>
      <c r="I307" s="70">
        <f>'RESUMEN TOTAL'!P389</f>
        <v>0</v>
      </c>
      <c r="J307" s="70">
        <f>'RESUMEN TOTAL'!Q389</f>
        <v>0</v>
      </c>
      <c r="K307" s="70">
        <f>'RESUMEN TOTAL'!R389</f>
        <v>0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>
        <f>'RESUMEN TOTAL'!N390</f>
        <v>0</v>
      </c>
      <c r="H308" s="70">
        <f>'RESUMEN TOTAL'!O390</f>
        <v>0</v>
      </c>
      <c r="I308" s="70">
        <f>'RESUMEN TOTAL'!P390</f>
        <v>0</v>
      </c>
      <c r="J308" s="70">
        <f>'RESUMEN TOTAL'!Q390</f>
        <v>0</v>
      </c>
      <c r="K308" s="70">
        <f>'RESUMEN TOTAL'!R390</f>
        <v>0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>
        <f>'RESUMEN TOTAL'!N395</f>
        <v>0</v>
      </c>
      <c r="H313" s="70">
        <f>'RESUMEN TOTAL'!O395</f>
        <v>0</v>
      </c>
      <c r="I313" s="70">
        <f>'RESUMEN TOTAL'!P395</f>
        <v>0</v>
      </c>
      <c r="J313" s="70">
        <f>'RESUMEN TOTAL'!Q395</f>
        <v>0</v>
      </c>
      <c r="K313" s="70">
        <f>'RESUMEN TOTAL'!R395</f>
        <v>0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>
        <f>'RESUMEN TOTAL'!N396</f>
        <v>0</v>
      </c>
      <c r="H314" s="70">
        <f>'RESUMEN TOTAL'!O396</f>
        <v>0</v>
      </c>
      <c r="I314" s="70">
        <f>'RESUMEN TOTAL'!P396</f>
        <v>0</v>
      </c>
      <c r="J314" s="70">
        <f>'RESUMEN TOTAL'!Q396</f>
        <v>0</v>
      </c>
      <c r="K314" s="70">
        <f>'RESUMEN TOTAL'!R396</f>
        <v>0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 t="str">
        <f>'RESUMEN TOTAL'!M397</f>
        <v>APAGADO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>
        <f>'RESUMEN TOTAL'!N407</f>
        <v>0</v>
      </c>
      <c r="H320" s="70">
        <f>'RESUMEN TOTAL'!O407</f>
        <v>0</v>
      </c>
      <c r="I320" s="70">
        <f>'RESUMEN TOTAL'!P407</f>
        <v>0</v>
      </c>
      <c r="J320" s="70">
        <f>'RESUMEN TOTAL'!Q407</f>
        <v>0</v>
      </c>
      <c r="K320" s="70">
        <f>'RESUMEN TOTAL'!R407</f>
        <v>0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>
        <f>'RESUMEN TOTAL'!N409</f>
        <v>0</v>
      </c>
      <c r="H322" s="70">
        <f>'RESUMEN TOTAL'!P409</f>
        <v>0</v>
      </c>
      <c r="I322" s="70">
        <v>0</v>
      </c>
      <c r="J322" s="70">
        <f>'RESUMEN TOTAL'!Q409</f>
        <v>0</v>
      </c>
      <c r="K322" s="70">
        <f>'RESUMEN TOTAL'!R409</f>
        <v>0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>
        <f>'RESUMEN TOTAL'!N410</f>
        <v>0</v>
      </c>
      <c r="H323" s="70">
        <f>'RESUMEN TOTAL'!P410</f>
        <v>0</v>
      </c>
      <c r="I323" s="70">
        <v>0</v>
      </c>
      <c r="J323" s="70">
        <f>'RESUMEN TOTAL'!Q410</f>
        <v>0</v>
      </c>
      <c r="K323" s="70">
        <f>'RESUMEN TOTAL'!R410</f>
        <v>0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>
        <f>'RESUMEN TOTAL'!N423</f>
        <v>0</v>
      </c>
      <c r="H329" s="70">
        <f>'RESUMEN TOTAL'!O423</f>
        <v>0</v>
      </c>
      <c r="I329" s="70">
        <f>'RESUMEN TOTAL'!P423</f>
        <v>0</v>
      </c>
      <c r="J329" s="70">
        <f>'RESUMEN TOTAL'!Q423</f>
        <v>0</v>
      </c>
      <c r="K329" s="70">
        <f>'RESUMEN TOTAL'!R423</f>
        <v>0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>
        <f>'RESUMEN TOTAL'!N450</f>
        <v>0</v>
      </c>
      <c r="H353" s="70">
        <f>'RESUMEN TOTAL'!O450</f>
        <v>0</v>
      </c>
      <c r="I353" s="70">
        <f>'RESUMEN TOTAL'!P450</f>
        <v>0</v>
      </c>
      <c r="J353" s="70">
        <f>'RESUMEN TOTAL'!Q450</f>
        <v>0</v>
      </c>
      <c r="K353" s="70">
        <f>'RESUMEN TOTAL'!R450</f>
        <v>0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>
        <f>'RESUMEN TOTAL'!N464</f>
        <v>0</v>
      </c>
      <c r="H361" s="70">
        <f>'RESUMEN TOTAL'!O464</f>
        <v>0</v>
      </c>
      <c r="I361" s="70">
        <f>'RESUMEN TOTAL'!P464</f>
        <v>0</v>
      </c>
      <c r="J361" s="70">
        <f>'RESUMEN TOTAL'!Q464</f>
        <v>0</v>
      </c>
      <c r="K361" s="70">
        <f>'RESUMEN TOTAL'!R464</f>
        <v>0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>
        <f>'RESUMEN TOTAL'!N465</f>
        <v>0</v>
      </c>
      <c r="H362" s="70">
        <f>'RESUMEN TOTAL'!O465</f>
        <v>0</v>
      </c>
      <c r="I362" s="70">
        <f>'RESUMEN TOTAL'!P465</f>
        <v>0</v>
      </c>
      <c r="J362" s="70">
        <f>'RESUMEN TOTAL'!Q465</f>
        <v>0</v>
      </c>
      <c r="K362" s="70">
        <f>'RESUMEN TOTAL'!R465</f>
        <v>0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>
        <f>'RESUMEN TOTAL'!N466</f>
        <v>0</v>
      </c>
      <c r="H363" s="70">
        <f>'RESUMEN TOTAL'!O466</f>
        <v>0</v>
      </c>
      <c r="I363" s="70">
        <f>'RESUMEN TOTAL'!P466</f>
        <v>0</v>
      </c>
      <c r="J363" s="70">
        <f>'RESUMEN TOTAL'!Q466</f>
        <v>0</v>
      </c>
      <c r="K363" s="70">
        <f>'RESUMEN TOTAL'!R466</f>
        <v>0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>
        <f>'RESUMEN TOTAL'!N470</f>
        <v>0</v>
      </c>
      <c r="H365" s="70">
        <f>'RESUMEN TOTAL'!O470</f>
        <v>0</v>
      </c>
      <c r="I365" s="70">
        <f>'RESUMEN TOTAL'!P470</f>
        <v>0</v>
      </c>
      <c r="J365" s="70">
        <f>'RESUMEN TOTAL'!Q470</f>
        <v>0</v>
      </c>
      <c r="K365" s="70">
        <f>'RESUMEN TOTAL'!R470</f>
        <v>0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>
        <f>'RESUMEN TOTAL'!N519</f>
        <v>0</v>
      </c>
      <c r="H407" s="70">
        <f>'RESUMEN TOTAL'!O519</f>
        <v>0</v>
      </c>
      <c r="I407" s="70">
        <f>'RESUMEN TOTAL'!P519</f>
        <v>0</v>
      </c>
      <c r="J407" s="70">
        <f>'RESUMEN TOTAL'!Q519</f>
        <v>0</v>
      </c>
      <c r="K407" s="70">
        <f>'RESUMEN TOTAL'!R519</f>
        <v>0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>
        <f>'RESUMEN TOTAL'!R545</f>
        <v>0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>
        <f>'RESUMEN TOTAL'!N558</f>
        <v>0</v>
      </c>
      <c r="H436" s="70">
        <f>'RESUMEN TOTAL'!O558</f>
        <v>0</v>
      </c>
      <c r="I436" s="70">
        <f>'RESUMEN TOTAL'!P558</f>
        <v>0</v>
      </c>
      <c r="J436" s="70">
        <f>'RESUMEN TOTAL'!Q558</f>
        <v>0</v>
      </c>
      <c r="K436" s="70">
        <f>'RESUMEN TOTAL'!R558</f>
        <v>0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>
        <f>'RESUMEN TOTAL'!N560</f>
        <v>0</v>
      </c>
      <c r="H438" s="70">
        <f>'RESUMEN TOTAL'!O560</f>
        <v>0</v>
      </c>
      <c r="I438" s="70">
        <f>'RESUMEN TOTAL'!P560</f>
        <v>0</v>
      </c>
      <c r="J438" s="70">
        <f>'RESUMEN TOTAL'!Q560</f>
        <v>0</v>
      </c>
      <c r="K438" s="70">
        <f>'RESUMEN TOTAL'!R560</f>
        <v>0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>
        <f>'RESUMEN TOTAL'!N568</f>
        <v>0</v>
      </c>
      <c r="H445" s="70">
        <f>'RESUMEN TOTAL'!O568</f>
        <v>0</v>
      </c>
      <c r="I445" s="70">
        <f>'RESUMEN TOTAL'!P568</f>
        <v>0</v>
      </c>
      <c r="J445" s="70">
        <f>'RESUMEN TOTAL'!Q568</f>
        <v>0</v>
      </c>
      <c r="K445" s="70">
        <f>'RESUMEN TOTAL'!R568</f>
        <v>0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>
        <f>'RESUMEN TOTAL'!N569</f>
        <v>0</v>
      </c>
      <c r="H446" s="70">
        <f>'RESUMEN TOTAL'!O569</f>
        <v>0</v>
      </c>
      <c r="I446" s="70">
        <f>'RESUMEN TOTAL'!P569</f>
        <v>0</v>
      </c>
      <c r="J446" s="70">
        <f>'RESUMEN TOTAL'!Q569</f>
        <v>0</v>
      </c>
      <c r="K446" s="70">
        <f>'RESUMEN TOTAL'!R569</f>
        <v>0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>
        <f>'RESUMEN TOTAL'!N570</f>
        <v>0</v>
      </c>
      <c r="H447" s="70">
        <f>'RESUMEN TOTAL'!O570</f>
        <v>0</v>
      </c>
      <c r="I447" s="70">
        <f>'RESUMEN TOTAL'!P570</f>
        <v>0</v>
      </c>
      <c r="J447" s="70">
        <f>'RESUMEN TOTAL'!Q570</f>
        <v>0</v>
      </c>
      <c r="K447" s="70">
        <f>'RESUMEN TOTAL'!R570</f>
        <v>0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>
        <f>'RESUMEN TOTAL'!N571</f>
        <v>0</v>
      </c>
      <c r="H448" s="70">
        <f>'RESUMEN TOTAL'!O571</f>
        <v>0</v>
      </c>
      <c r="I448" s="70">
        <f>'RESUMEN TOTAL'!P571</f>
        <v>0</v>
      </c>
      <c r="J448" s="70">
        <f>'RESUMEN TOTAL'!Q571</f>
        <v>0</v>
      </c>
      <c r="K448" s="70">
        <f>'RESUMEN TOTAL'!R571</f>
        <v>0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>
        <f>'RESUMEN TOTAL'!N572</f>
        <v>0</v>
      </c>
      <c r="H449" s="70">
        <f>'RESUMEN TOTAL'!O572</f>
        <v>0</v>
      </c>
      <c r="I449" s="70">
        <f>'RESUMEN TOTAL'!P572</f>
        <v>0</v>
      </c>
      <c r="J449" s="70">
        <f>'RESUMEN TOTAL'!Q572</f>
        <v>0</v>
      </c>
      <c r="K449" s="70">
        <f>'RESUMEN TOTAL'!R572</f>
        <v>0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>
        <f>'RESUMEN TOTAL'!N586</f>
        <v>0</v>
      </c>
      <c r="H460" s="70">
        <f>'RESUMEN TOTAL'!O586</f>
        <v>0</v>
      </c>
      <c r="I460" s="70">
        <f>'RESUMEN TOTAL'!P586</f>
        <v>0</v>
      </c>
      <c r="J460" s="70">
        <f>'RESUMEN TOTAL'!Q586</f>
        <v>0</v>
      </c>
      <c r="K460" s="70">
        <f>'RESUMEN TOTAL'!R586</f>
        <v>0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I10" sqref="AI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1067</v>
      </c>
      <c r="C1" s="36">
        <v>45992</v>
      </c>
    </row>
    <row r="2" spans="1:36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0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f>COUNTIFS('RESUMEN TOTAL'!V8:V698,"=APAGADO",'RESUMEN TOTAL'!C8:C698,"=BONOMO")</f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0</v>
      </c>
      <c r="K5" s="46">
        <f>COUNTIFS('RESUMEN TOTAL'!R10:R700,"=APAGADO",'RESUMEN TOTAL'!C10:C700,"=COSEIDI")</f>
        <v>0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f>COUNTIFS('RESUMEN TOTAL'!V10:V700,"=APAGADO",'RESUMEN TOTAL'!C10:C700,"=COSEIDI")</f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3">K5/COSEIDIcam</f>
        <v>0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25" zoomScaleNormal="100" workbookViewId="0">
      <selection activeCell="H335" sqref="H33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1472</v>
      </c>
      <c r="B14" s="53" t="s">
        <v>6</v>
      </c>
      <c r="C14" s="66">
        <v>0</v>
      </c>
      <c r="D14" s="54"/>
      <c r="E14" s="55">
        <f>C14/C13</f>
        <v>0</v>
      </c>
      <c r="F14" s="156"/>
    </row>
    <row r="15" spans="1:6" x14ac:dyDescent="0.25">
      <c r="B15" s="53" t="s">
        <v>1240</v>
      </c>
      <c r="C15" s="67">
        <v>0</v>
      </c>
      <c r="D15" s="102">
        <v>0</v>
      </c>
      <c r="E15" s="55">
        <f>D15/C13</f>
        <v>0</v>
      </c>
      <c r="F15" s="156"/>
    </row>
    <row r="16" spans="1:6" x14ac:dyDescent="0.25">
      <c r="B16" s="53" t="s">
        <v>1241</v>
      </c>
      <c r="C16" s="67">
        <v>0</v>
      </c>
      <c r="D16" s="102">
        <v>0</v>
      </c>
      <c r="E16" s="55">
        <f>D16/C13</f>
        <v>0</v>
      </c>
      <c r="F16" s="156"/>
    </row>
    <row r="17" spans="1:6" x14ac:dyDescent="0.25">
      <c r="A17" t="s">
        <v>1472</v>
      </c>
      <c r="B17" s="53" t="s">
        <v>16</v>
      </c>
      <c r="C17" s="93">
        <v>0</v>
      </c>
      <c r="D17" s="102">
        <v>0</v>
      </c>
      <c r="E17" s="55">
        <f>D17/C13</f>
        <v>0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0</v>
      </c>
      <c r="E20" s="104">
        <f>D20/C20</f>
        <v>0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0</v>
      </c>
      <c r="E21" s="113">
        <f>D21/C21</f>
        <v>0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1465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6"/>
    </row>
    <row r="26" spans="1:6" x14ac:dyDescent="0.25">
      <c r="B26" s="53" t="s">
        <v>1240</v>
      </c>
      <c r="C26" s="67">
        <v>0</v>
      </c>
      <c r="D26" s="102">
        <f>C25-C26</f>
        <v>0</v>
      </c>
      <c r="E26" s="55">
        <f>D26/C24</f>
        <v>0</v>
      </c>
      <c r="F26" s="156"/>
    </row>
    <row r="27" spans="1:6" x14ac:dyDescent="0.25">
      <c r="B27" s="53" t="s">
        <v>1241</v>
      </c>
      <c r="C27" s="67">
        <v>0</v>
      </c>
      <c r="D27" s="102">
        <f>D26-C27</f>
        <v>0</v>
      </c>
      <c r="E27" s="55">
        <f>D27/C24</f>
        <v>0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0</v>
      </c>
      <c r="D28" s="102">
        <f>D27-C28</f>
        <v>0</v>
      </c>
      <c r="E28" s="55">
        <f>D28/C24</f>
        <v>0</v>
      </c>
      <c r="F28" s="156"/>
    </row>
    <row r="29" spans="1:6" ht="15.75" thickBot="1" x14ac:dyDescent="0.3">
      <c r="B29" s="56"/>
      <c r="C29" s="130">
        <v>0</v>
      </c>
      <c r="D29" s="103">
        <f>D28-C29</f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0</v>
      </c>
      <c r="E31" s="104">
        <f>D31/C31</f>
        <v>0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0</v>
      </c>
      <c r="E32" s="113">
        <f>D32/C32</f>
        <v>0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1464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6"/>
    </row>
    <row r="37" spans="1:6" x14ac:dyDescent="0.25">
      <c r="B37" s="53" t="s">
        <v>1240</v>
      </c>
      <c r="C37" s="67">
        <v>0</v>
      </c>
      <c r="D37" s="102">
        <v>0</v>
      </c>
      <c r="E37" s="55">
        <f>D37/C35</f>
        <v>0</v>
      </c>
      <c r="F37" s="156"/>
    </row>
    <row r="38" spans="1:6" x14ac:dyDescent="0.25">
      <c r="B38" s="53" t="s">
        <v>1241</v>
      </c>
      <c r="C38" s="67">
        <v>0</v>
      </c>
      <c r="D38" s="102">
        <v>0</v>
      </c>
      <c r="E38" s="55">
        <f>D38/C35</f>
        <v>0</v>
      </c>
      <c r="F38" s="156"/>
    </row>
    <row r="39" spans="1:6" x14ac:dyDescent="0.25">
      <c r="A39" t="s">
        <v>1464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v>0</v>
      </c>
      <c r="E42" s="104">
        <f>D42/C42</f>
        <v>0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0</v>
      </c>
      <c r="E43" s="113">
        <v>0.24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1466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6"/>
    </row>
    <row r="48" spans="1:6" x14ac:dyDescent="0.25">
      <c r="B48" s="53" t="s">
        <v>1240</v>
      </c>
      <c r="C48" s="67">
        <v>0</v>
      </c>
      <c r="D48" s="102">
        <v>0</v>
      </c>
      <c r="E48" s="55">
        <f>D48/C46</f>
        <v>0</v>
      </c>
      <c r="F48" s="156"/>
    </row>
    <row r="49" spans="1:6" x14ac:dyDescent="0.25">
      <c r="B49" s="53" t="s">
        <v>1241</v>
      </c>
      <c r="C49" s="67">
        <v>0</v>
      </c>
      <c r="D49" s="102">
        <v>0</v>
      </c>
      <c r="E49" s="55">
        <f>D49/C46</f>
        <v>0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0</v>
      </c>
      <c r="D50" s="102">
        <v>0</v>
      </c>
      <c r="E50" s="55">
        <f>D50/C46</f>
        <v>0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v>0</v>
      </c>
      <c r="E53" s="104">
        <v>0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0</v>
      </c>
      <c r="E54" s="113">
        <v>0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1467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6"/>
    </row>
    <row r="59" spans="1:6" x14ac:dyDescent="0.25">
      <c r="B59" s="53" t="s">
        <v>1240</v>
      </c>
      <c r="C59" s="67">
        <v>0</v>
      </c>
      <c r="D59" s="102">
        <v>0</v>
      </c>
      <c r="E59" s="55">
        <f>D59/C57</f>
        <v>0</v>
      </c>
      <c r="F59" s="156"/>
    </row>
    <row r="60" spans="1:6" x14ac:dyDescent="0.25">
      <c r="B60" s="53" t="s">
        <v>1241</v>
      </c>
      <c r="C60" s="67">
        <v>0</v>
      </c>
      <c r="D60" s="102">
        <v>0</v>
      </c>
      <c r="E60" s="55">
        <f>D60/C57</f>
        <v>0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0</v>
      </c>
      <c r="E64" s="104">
        <f>D64/C64</f>
        <v>0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0</v>
      </c>
      <c r="E65" s="113">
        <f>D65/C65</f>
        <v>0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1469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6"/>
    </row>
    <row r="92" spans="1:6" x14ac:dyDescent="0.25">
      <c r="B92" s="53" t="s">
        <v>1240</v>
      </c>
      <c r="C92" s="67">
        <v>0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0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0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1470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6"/>
    </row>
    <row r="103" spans="1:6" x14ac:dyDescent="0.25">
      <c r="B103" s="53" t="s">
        <v>1240</v>
      </c>
      <c r="C103" s="67">
        <v>0</v>
      </c>
      <c r="D103" s="102">
        <f>C102-C103</f>
        <v>0</v>
      </c>
      <c r="E103" s="55">
        <f>D103/C101</f>
        <v>0</v>
      </c>
      <c r="F103" s="156"/>
    </row>
    <row r="104" spans="1:6" x14ac:dyDescent="0.25">
      <c r="B104" s="53" t="s">
        <v>1241</v>
      </c>
      <c r="C104" s="67">
        <v>0</v>
      </c>
      <c r="D104" s="102">
        <f>D103-C104</f>
        <v>0</v>
      </c>
      <c r="E104" s="55">
        <f>D104/C101</f>
        <v>0</v>
      </c>
      <c r="F104" s="156"/>
    </row>
    <row r="105" spans="1:6" x14ac:dyDescent="0.25">
      <c r="A105" t="s">
        <v>1470</v>
      </c>
      <c r="B105" s="53" t="s">
        <v>16</v>
      </c>
      <c r="C105" s="93">
        <v>0</v>
      </c>
      <c r="D105" s="102">
        <f>D104-C105</f>
        <v>0</v>
      </c>
      <c r="E105" s="55">
        <f>D105/C101</f>
        <v>0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1240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1241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1240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1241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1240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1241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1240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1241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1240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1241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1240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1241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1240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1241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1240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1241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1240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1241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1240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1241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909</v>
      </c>
      <c r="D313" s="107" t="s">
        <v>1459</v>
      </c>
      <c r="E313" s="108" t="s">
        <v>910</v>
      </c>
    </row>
    <row r="314" spans="2:6" ht="15.75" thickTop="1" x14ac:dyDescent="0.25">
      <c r="B314" s="52" t="s">
        <v>1239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1240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1241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909</v>
      </c>
      <c r="D320" s="95" t="s">
        <v>1459</v>
      </c>
      <c r="E320" s="101" t="s">
        <v>910</v>
      </c>
      <c r="F320" s="156"/>
    </row>
    <row r="321" spans="2:6" ht="16.5" thickTop="1" thickBot="1" x14ac:dyDescent="0.3">
      <c r="B321" s="97" t="s">
        <v>1059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1060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909</v>
      </c>
      <c r="D324" s="107" t="s">
        <v>1459</v>
      </c>
      <c r="E324" s="108" t="s">
        <v>910</v>
      </c>
    </row>
    <row r="325" spans="2:6" ht="15.75" thickTop="1" x14ac:dyDescent="0.25">
      <c r="B325" s="52" t="s">
        <v>1239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1240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1241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909</v>
      </c>
      <c r="D331" s="95" t="s">
        <v>1459</v>
      </c>
      <c r="E331" s="101" t="s">
        <v>910</v>
      </c>
      <c r="F331" s="156"/>
    </row>
    <row r="332" spans="2:6" ht="16.5" thickTop="1" thickBot="1" x14ac:dyDescent="0.3">
      <c r="B332" s="97" t="s">
        <v>1059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1060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909</v>
      </c>
      <c r="D336" s="107" t="s">
        <v>1459</v>
      </c>
      <c r="E336" s="108" t="s">
        <v>910</v>
      </c>
    </row>
    <row r="337" spans="2:6" ht="15.75" thickTop="1" x14ac:dyDescent="0.25">
      <c r="B337" s="52" t="s">
        <v>1239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1240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1241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909</v>
      </c>
      <c r="D343" s="95" t="s">
        <v>1459</v>
      </c>
      <c r="E343" s="101" t="s">
        <v>910</v>
      </c>
      <c r="F343" s="156"/>
    </row>
    <row r="344" spans="2:6" ht="16.5" thickTop="1" thickBot="1" x14ac:dyDescent="0.3">
      <c r="B344" s="97" t="s">
        <v>1059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1060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2026-03-02T11:29:45Z</dcterms:modified>
</cp:coreProperties>
</file>