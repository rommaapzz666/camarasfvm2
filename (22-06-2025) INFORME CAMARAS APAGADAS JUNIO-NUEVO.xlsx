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113022FA-D5DE-449E-827E-89ACF160077C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<sst xmlns="http://schemas.openxmlformats.org/spreadsheetml/2006/main" count="4974" uniqueCount="1523">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</sst>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70" zoomScaleNormal="70" workbookViewId="0">
      <pane xSplit="11" ySplit="7" topLeftCell="AD242" activePane="bottomRight" state="frozen"/>
      <selection pane="topRight" activeCell="M1" sqref="M1"/>
      <selection pane="bottomLeft" activeCell="A5" sqref="A5"/>
      <selection pane="bottomRight" activeCell="AG264" sqref="AG26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8.3175803402646506E-2</v>
      </c>
      <c r="AE1" s="3">
        <f t="shared" si="1"/>
        <v>0.12296564195298372</v>
      </c>
      <c r="AF1" s="3">
        <f t="shared" si="1"/>
        <v>8.6629001883239173E-2</v>
      </c>
      <c r="AG1" s="3">
        <f t="shared" si="1"/>
        <v>0.13392857142857142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28</v>
      </c>
      <c r="AE4" s="10">
        <f>COUNTIFS(AE8:AE600, "=APAGADO",F8:F600,"=Fibra Optica")</f>
        <v>52</v>
      </c>
      <c r="AF4" s="10">
        <f>COUNTIFS(AF8:AF600, "=APAGADO",F8:F600,"=Fibra Optica")</f>
        <v>29</v>
      </c>
      <c r="AG4" s="10">
        <f>COUNTIFS(AG8:AG600, "=APAGADO",F8:F600,"=Fibra Optica")</f>
        <v>56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20</v>
      </c>
      <c r="AC5" s="136">
        <f>COUNTIFS(AC8:AC600, "=APAGADO",F8:F600,"=RADIO")</f>
        <v>15</v>
      </c>
      <c r="AD5" s="136">
        <f>COUNTIFS(AD8:AD600, "=APAGADO",F8:F600,"=RADIO")</f>
        <v>10</v>
      </c>
      <c r="AE5" s="136">
        <f>COUNTIFS(AE8:AE600, "=APAGADO",F8:F600,"=RADIO")</f>
        <v>9</v>
      </c>
      <c r="AF5" s="136">
        <f>COUNTIFS(AF8:AF600, "=APAGADO",F8:F600,"=RADIO")</f>
        <v>11</v>
      </c>
      <c r="AG5" s="136">
        <f>COUNTIFS(AG8:AG600, "=APAGADO",F8:F600,"=RADIO")</f>
        <v>10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6</v>
      </c>
      <c r="AE6" s="10">
        <f>COUNTIFS(AE8:AE600, "=APAGADO",F8:F600,"=PTO A FO")</f>
        <v>7</v>
      </c>
      <c r="AF6" s="10">
        <f>COUNTIFS(AF8:AF600, "=APAGADO",F8:F600,"=PTO A FO")</f>
        <v>6</v>
      </c>
      <c r="AG6" s="10">
        <f>COUNTIFS(AG8:AG600, "=APAGADO",F8:F600,"=PTO A FO")</f>
        <v>9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9</v>
      </c>
      <c r="J10" s="31">
        <f t="shared" si="6"/>
        <v>19</v>
      </c>
      <c r="K10" s="32">
        <f t="shared" si="7"/>
        <v>0.32142857142857145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 t="s">
        <v>1489</v>
      </c>
      <c r="AE10" s="72" t="s">
        <v>1489</v>
      </c>
      <c r="AF10" s="72" t="s">
        <v>1489</v>
      </c>
      <c r="AG10" s="72" t="s">
        <v>1489</v>
      </c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9</v>
      </c>
      <c r="J11" s="31">
        <f t="shared" si="6"/>
        <v>19</v>
      </c>
      <c r="K11" s="32">
        <f t="shared" si="7"/>
        <v>0.32142857142857145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 t="s">
        <v>1489</v>
      </c>
      <c r="AE11" s="72" t="s">
        <v>1489</v>
      </c>
      <c r="AF11" s="72" t="s">
        <v>1489</v>
      </c>
      <c r="AG11" s="72" t="s">
        <v>1489</v>
      </c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9</v>
      </c>
      <c r="J13" s="31">
        <f t="shared" si="6"/>
        <v>19</v>
      </c>
      <c r="K13" s="32">
        <f t="shared" si="7"/>
        <v>0.32142857142857145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 t="s">
        <v>1489</v>
      </c>
      <c r="AE13" s="72" t="s">
        <v>1489</v>
      </c>
      <c r="AF13" s="72" t="s">
        <v>1489</v>
      </c>
      <c r="AG13" s="72" t="s">
        <v>1489</v>
      </c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26</v>
      </c>
      <c r="J18" s="31">
        <f t="shared" si="6"/>
        <v>2</v>
      </c>
      <c r="K18" s="32">
        <f t="shared" si="7"/>
        <v>0.9285714285714286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1489</v>
      </c>
      <c r="AG18" s="72" t="s">
        <v>1489</v>
      </c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13</v>
      </c>
      <c r="J28" s="31">
        <f t="shared" si="6"/>
        <v>15</v>
      </c>
      <c r="K28" s="32">
        <f t="shared" si="7"/>
        <v>0.4642857142857143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 t="s">
        <v>1489</v>
      </c>
      <c r="AE28" s="72" t="s">
        <v>1489</v>
      </c>
      <c r="AF28" s="72"/>
      <c r="AG28" s="72" t="s">
        <v>1489</v>
      </c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10</v>
      </c>
      <c r="J29" s="31">
        <f t="shared" si="6"/>
        <v>18</v>
      </c>
      <c r="K29" s="32">
        <f t="shared" si="7"/>
        <v>0.35714285714285715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 t="s">
        <v>1489</v>
      </c>
      <c r="AE29" s="72" t="s">
        <v>1489</v>
      </c>
      <c r="AF29" s="72"/>
      <c r="AG29" s="72" t="s">
        <v>1489</v>
      </c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10</v>
      </c>
      <c r="J30" s="31">
        <f t="shared" si="6"/>
        <v>18</v>
      </c>
      <c r="K30" s="32">
        <f t="shared" si="7"/>
        <v>0.35714285714285715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 t="s">
        <v>1489</v>
      </c>
      <c r="AE30" s="72" t="s">
        <v>1489</v>
      </c>
      <c r="AF30" s="72" t="s">
        <v>1489</v>
      </c>
      <c r="AG30" s="72" t="s">
        <v>1489</v>
      </c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10</v>
      </c>
      <c r="J31" s="31">
        <f t="shared" si="6"/>
        <v>18</v>
      </c>
      <c r="K31" s="32">
        <f t="shared" si="7"/>
        <v>0.35714285714285715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 t="s">
        <v>1489</v>
      </c>
      <c r="AE31" s="72" t="s">
        <v>1489</v>
      </c>
      <c r="AF31" s="72" t="s">
        <v>1489</v>
      </c>
      <c r="AG31" s="72" t="s">
        <v>1489</v>
      </c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9</v>
      </c>
      <c r="J37" s="31">
        <f t="shared" si="6"/>
        <v>19</v>
      </c>
      <c r="K37" s="32">
        <f t="shared" si="7"/>
        <v>0.32142857142857145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 t="s">
        <v>1489</v>
      </c>
      <c r="AE37" s="72" t="s">
        <v>1489</v>
      </c>
      <c r="AF37" s="72" t="s">
        <v>1489</v>
      </c>
      <c r="AG37" s="72" t="s">
        <v>1489</v>
      </c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 t="s">
        <v>1489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22</v>
      </c>
      <c r="J49" s="31">
        <f t="shared" si="6"/>
        <v>6</v>
      </c>
      <c r="K49" s="32">
        <f t="shared" si="7"/>
        <v>0.7857142857142857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1489</v>
      </c>
      <c r="AF49" s="72"/>
      <c r="AG49" s="72" t="s">
        <v>1489</v>
      </c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11</v>
      </c>
      <c r="J52" s="31">
        <f t="shared" si="6"/>
        <v>17</v>
      </c>
      <c r="K52" s="32">
        <f t="shared" si="7"/>
        <v>0.39285714285714285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 t="s">
        <v>1489</v>
      </c>
      <c r="AE52" s="99" t="s">
        <v>1489</v>
      </c>
      <c r="AF52" s="99" t="s">
        <v>1489</v>
      </c>
      <c r="AG52" s="99" t="s">
        <v>1489</v>
      </c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23</v>
      </c>
      <c r="J54" s="31">
        <f t="shared" si="6"/>
        <v>5</v>
      </c>
      <c r="K54" s="32">
        <f t="shared" si="7"/>
        <v>0.8214285714285714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1489</v>
      </c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22</v>
      </c>
      <c r="J55" s="31">
        <f t="shared" si="6"/>
        <v>6</v>
      </c>
      <c r="K55" s="32">
        <f t="shared" si="7"/>
        <v>0.7857142857142857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1489</v>
      </c>
      <c r="AF55" s="72"/>
      <c r="AG55" s="72" t="s">
        <v>1489</v>
      </c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9</v>
      </c>
      <c r="J56" s="31">
        <f t="shared" si="6"/>
        <v>19</v>
      </c>
      <c r="K56" s="32">
        <f t="shared" si="7"/>
        <v>0.32142857142857145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 t="s">
        <v>1489</v>
      </c>
      <c r="AE56" s="72" t="s">
        <v>1489</v>
      </c>
      <c r="AF56" s="72" t="s">
        <v>1489</v>
      </c>
      <c r="AG56" s="72" t="s">
        <v>1489</v>
      </c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21</v>
      </c>
      <c r="J57" s="31">
        <f t="shared" si="6"/>
        <v>7</v>
      </c>
      <c r="K57" s="32">
        <f t="shared" si="7"/>
        <v>0.75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 t="s">
        <v>1489</v>
      </c>
      <c r="AF57" s="72"/>
      <c r="AG57" s="72" t="s">
        <v>1489</v>
      </c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22</v>
      </c>
      <c r="J58" s="31">
        <f t="shared" si="6"/>
        <v>6</v>
      </c>
      <c r="K58" s="32">
        <f t="shared" si="7"/>
        <v>0.7857142857142857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1489</v>
      </c>
      <c r="AF58" s="72"/>
      <c r="AG58" s="72" t="s">
        <v>1489</v>
      </c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22</v>
      </c>
      <c r="J59" s="31">
        <f t="shared" si="6"/>
        <v>6</v>
      </c>
      <c r="K59" s="32">
        <f t="shared" si="7"/>
        <v>0.7857142857142857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1489</v>
      </c>
      <c r="AF59" s="72"/>
      <c r="AG59" s="72" t="s">
        <v>1489</v>
      </c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22</v>
      </c>
      <c r="J60" s="31">
        <f t="shared" si="6"/>
        <v>6</v>
      </c>
      <c r="K60" s="32">
        <f t="shared" si="7"/>
        <v>0.7857142857142857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1489</v>
      </c>
      <c r="AF60" s="72"/>
      <c r="AG60" s="72" t="s">
        <v>1489</v>
      </c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22</v>
      </c>
      <c r="J61" s="31">
        <f t="shared" si="6"/>
        <v>6</v>
      </c>
      <c r="K61" s="32">
        <f t="shared" si="7"/>
        <v>0.7857142857142857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1489</v>
      </c>
      <c r="AF61" s="72"/>
      <c r="AG61" s="72" t="s">
        <v>1489</v>
      </c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22</v>
      </c>
      <c r="J62" s="31">
        <f t="shared" si="6"/>
        <v>6</v>
      </c>
      <c r="K62" s="32">
        <f t="shared" si="7"/>
        <v>0.7857142857142857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1489</v>
      </c>
      <c r="AF62" s="72"/>
      <c r="AG62" s="72" t="s">
        <v>1489</v>
      </c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23</v>
      </c>
      <c r="J63" s="31">
        <f t="shared" si="6"/>
        <v>5</v>
      </c>
      <c r="K63" s="32">
        <f t="shared" si="7"/>
        <v>0.8214285714285714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1489</v>
      </c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19</v>
      </c>
      <c r="J74" s="31">
        <f t="shared" si="9"/>
        <v>9</v>
      </c>
      <c r="K74" s="32">
        <f t="shared" si="10"/>
        <v>0.6785714285714286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 t="s">
        <v>1489</v>
      </c>
      <c r="AF74" s="72"/>
      <c r="AG74" s="72" t="s">
        <v>1489</v>
      </c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20</v>
      </c>
      <c r="J75" s="31">
        <f t="shared" si="9"/>
        <v>8</v>
      </c>
      <c r="K75" s="32">
        <f t="shared" si="10"/>
        <v>0.7142857142857143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 t="s">
        <v>1489</v>
      </c>
      <c r="AF75" s="72"/>
      <c r="AG75" s="72" t="s">
        <v>1489</v>
      </c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20</v>
      </c>
      <c r="J78" s="31">
        <f t="shared" si="9"/>
        <v>8</v>
      </c>
      <c r="K78" s="32">
        <f t="shared" si="10"/>
        <v>0.7142857142857143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1489</v>
      </c>
      <c r="AF78" s="72"/>
      <c r="AG78" s="72" t="s">
        <v>1489</v>
      </c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 t="s">
        <v>1489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1489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22</v>
      </c>
      <c r="J107" s="31">
        <f t="shared" si="9"/>
        <v>6</v>
      </c>
      <c r="K107" s="32">
        <f t="shared" si="10"/>
        <v>0.7857142857142857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1489</v>
      </c>
      <c r="AF107" s="72"/>
      <c r="AG107" s="72" t="s">
        <v>1489</v>
      </c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22</v>
      </c>
      <c r="J108" s="31">
        <f t="shared" si="9"/>
        <v>6</v>
      </c>
      <c r="K108" s="32">
        <f t="shared" si="10"/>
        <v>0.7857142857142857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1489</v>
      </c>
      <c r="AF108" s="72"/>
      <c r="AG108" s="72" t="s">
        <v>1489</v>
      </c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22</v>
      </c>
      <c r="J109" s="31">
        <f t="shared" si="9"/>
        <v>6</v>
      </c>
      <c r="K109" s="32">
        <f t="shared" si="10"/>
        <v>0.7857142857142857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1489</v>
      </c>
      <c r="AF109" s="72"/>
      <c r="AG109" s="72" t="s">
        <v>1489</v>
      </c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 t="s">
        <v>1489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9</v>
      </c>
      <c r="J121" s="31">
        <f t="shared" si="9"/>
        <v>19</v>
      </c>
      <c r="K121" s="32">
        <f t="shared" si="10"/>
        <v>0.32142857142857145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 t="s">
        <v>1489</v>
      </c>
      <c r="AE121" s="72" t="s">
        <v>1489</v>
      </c>
      <c r="AF121" s="72" t="s">
        <v>1489</v>
      </c>
      <c r="AG121" s="72" t="s">
        <v>1489</v>
      </c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9</v>
      </c>
      <c r="J128" s="31">
        <f t="shared" si="9"/>
        <v>18</v>
      </c>
      <c r="K128" s="32">
        <f t="shared" si="10"/>
        <v>0.33333333333333331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 t="s">
        <v>1489</v>
      </c>
      <c r="AE128" s="99" t="s">
        <v>1522</v>
      </c>
      <c r="AF128" s="99" t="s">
        <v>1489</v>
      </c>
      <c r="AG128" s="99" t="s">
        <v>1489</v>
      </c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9</v>
      </c>
      <c r="J131" s="31">
        <f t="shared" si="9"/>
        <v>19</v>
      </c>
      <c r="K131" s="32">
        <f t="shared" si="10"/>
        <v>0.32142857142857145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 t="s">
        <v>1489</v>
      </c>
      <c r="AE131" s="99" t="s">
        <v>1489</v>
      </c>
      <c r="AF131" s="99" t="s">
        <v>1489</v>
      </c>
      <c r="AG131" s="99" t="s">
        <v>1489</v>
      </c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9</v>
      </c>
      <c r="J132" s="31">
        <f t="shared" si="9"/>
        <v>19</v>
      </c>
      <c r="K132" s="32">
        <f t="shared" si="10"/>
        <v>0.32142857142857145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 t="s">
        <v>1489</v>
      </c>
      <c r="AE132" s="99" t="s">
        <v>1489</v>
      </c>
      <c r="AF132" s="99" t="s">
        <v>1489</v>
      </c>
      <c r="AG132" s="99" t="s">
        <v>1489</v>
      </c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24</v>
      </c>
      <c r="J142" s="31">
        <f t="shared" si="12"/>
        <v>4</v>
      </c>
      <c r="K142" s="32">
        <f t="shared" si="13"/>
        <v>0.8571428571428571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 t="s">
        <v>1489</v>
      </c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24</v>
      </c>
      <c r="J143" s="31">
        <f t="shared" si="12"/>
        <v>4</v>
      </c>
      <c r="K143" s="32">
        <f t="shared" si="13"/>
        <v>0.8571428571428571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 t="s">
        <v>1489</v>
      </c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24</v>
      </c>
      <c r="J151" s="31">
        <f t="shared" si="12"/>
        <v>4</v>
      </c>
      <c r="K151" s="32">
        <f t="shared" si="13"/>
        <v>0.8571428571428571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 t="s">
        <v>1489</v>
      </c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24</v>
      </c>
      <c r="J152" s="31">
        <f t="shared" si="12"/>
        <v>4</v>
      </c>
      <c r="K152" s="32">
        <f t="shared" si="13"/>
        <v>0.8571428571428571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 t="s">
        <v>1489</v>
      </c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24</v>
      </c>
      <c r="J153" s="31">
        <f t="shared" si="12"/>
        <v>4</v>
      </c>
      <c r="K153" s="32">
        <f t="shared" si="13"/>
        <v>0.8571428571428571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1489</v>
      </c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25</v>
      </c>
      <c r="J154" s="31">
        <f t="shared" si="12"/>
        <v>3</v>
      </c>
      <c r="K154" s="32">
        <f t="shared" si="13"/>
        <v>0.8928571428571429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1489</v>
      </c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9</v>
      </c>
      <c r="J159" s="31">
        <f t="shared" si="12"/>
        <v>19</v>
      </c>
      <c r="K159" s="32">
        <f t="shared" si="13"/>
        <v>0.32142857142857145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 t="s">
        <v>1489</v>
      </c>
      <c r="AE159" s="99" t="s">
        <v>1489</v>
      </c>
      <c r="AF159" s="99" t="s">
        <v>1489</v>
      </c>
      <c r="AG159" s="99" t="s">
        <v>1489</v>
      </c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19</v>
      </c>
      <c r="J165" s="31">
        <f t="shared" si="12"/>
        <v>9</v>
      </c>
      <c r="K165" s="32">
        <f t="shared" si="13"/>
        <v>0.6785714285714286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 t="s">
        <v>1489</v>
      </c>
      <c r="AF165" s="99" t="s">
        <v>1489</v>
      </c>
      <c r="AG165" s="99" t="s">
        <v>1489</v>
      </c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23</v>
      </c>
      <c r="J169" s="31">
        <f t="shared" si="12"/>
        <v>5</v>
      </c>
      <c r="K169" s="32">
        <f t="shared" si="13"/>
        <v>0.8214285714285714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 t="s">
        <v>1489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19</v>
      </c>
      <c r="J177" s="31">
        <f t="shared" si="12"/>
        <v>9</v>
      </c>
      <c r="K177" s="32">
        <f t="shared" si="13"/>
        <v>0.6785714285714286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 t="s">
        <v>1489</v>
      </c>
      <c r="AF177" s="72"/>
      <c r="AG177" s="72" t="s">
        <v>1489</v>
      </c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10</v>
      </c>
      <c r="J207" s="31">
        <f t="shared" si="15"/>
        <v>18</v>
      </c>
      <c r="K207" s="32">
        <f t="shared" si="16"/>
        <v>0.35714285714285715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 t="s">
        <v>1489</v>
      </c>
      <c r="AE207" s="99" t="s">
        <v>1489</v>
      </c>
      <c r="AF207" s="99" t="s">
        <v>1489</v>
      </c>
      <c r="AG207" s="99" t="s">
        <v>1489</v>
      </c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26</v>
      </c>
      <c r="J209" s="31">
        <f t="shared" si="15"/>
        <v>2</v>
      </c>
      <c r="K209" s="32">
        <f t="shared" si="16"/>
        <v>0.9285714285714286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 t="s">
        <v>1489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9</v>
      </c>
      <c r="J210" s="31">
        <f t="shared" si="15"/>
        <v>19</v>
      </c>
      <c r="K210" s="32">
        <f t="shared" si="16"/>
        <v>0.32142857142857145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 t="s">
        <v>1489</v>
      </c>
      <c r="AE210" s="72" t="s">
        <v>1489</v>
      </c>
      <c r="AF210" s="72" t="s">
        <v>1489</v>
      </c>
      <c r="AG210" s="72" t="s">
        <v>1489</v>
      </c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21</v>
      </c>
      <c r="J231" s="31">
        <f t="shared" si="15"/>
        <v>7</v>
      </c>
      <c r="K231" s="32">
        <f t="shared" si="16"/>
        <v>0.75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 t="s">
        <v>1489</v>
      </c>
      <c r="AF231" s="72" t="s">
        <v>1489</v>
      </c>
      <c r="AG231" s="72" t="s">
        <v>1489</v>
      </c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22</v>
      </c>
      <c r="J233" s="31">
        <f t="shared" si="15"/>
        <v>6</v>
      </c>
      <c r="K233" s="32">
        <f t="shared" si="16"/>
        <v>0.7857142857142857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 t="s">
        <v>1489</v>
      </c>
      <c r="AF233" s="72"/>
      <c r="AG233" s="72" t="s">
        <v>1489</v>
      </c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22</v>
      </c>
      <c r="J236" s="31">
        <f t="shared" si="15"/>
        <v>6</v>
      </c>
      <c r="K236" s="32">
        <f t="shared" si="16"/>
        <v>0.7857142857142857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 t="s">
        <v>1489</v>
      </c>
      <c r="AF236" s="72"/>
      <c r="AG236" s="72" t="s">
        <v>1489</v>
      </c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26</v>
      </c>
      <c r="J247" s="31">
        <f t="shared" si="15"/>
        <v>2</v>
      </c>
      <c r="K247" s="32">
        <f t="shared" si="16"/>
        <v>0.9285714285714286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 t="s">
        <v>1489</v>
      </c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13</v>
      </c>
      <c r="J249" s="31">
        <f t="shared" si="15"/>
        <v>15</v>
      </c>
      <c r="K249" s="32">
        <f t="shared" si="16"/>
        <v>0.4642857142857143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 t="s">
        <v>1489</v>
      </c>
      <c r="AE249" s="72"/>
      <c r="AF249" s="72"/>
      <c r="AG249" s="72" t="s">
        <v>1489</v>
      </c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26</v>
      </c>
      <c r="J255" s="31">
        <f t="shared" si="15"/>
        <v>2</v>
      </c>
      <c r="K255" s="32">
        <f t="shared" si="16"/>
        <v>0.9285714285714286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 t="s">
        <v>1489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26</v>
      </c>
      <c r="J256" s="31">
        <f t="shared" si="15"/>
        <v>2</v>
      </c>
      <c r="K256" s="32">
        <f t="shared" si="16"/>
        <v>0.9285714285714286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 t="s">
        <v>1489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 t="s">
        <v>1489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10</v>
      </c>
      <c r="J263" s="31">
        <f t="shared" si="15"/>
        <v>18</v>
      </c>
      <c r="K263" s="32">
        <f t="shared" si="16"/>
        <v>0.35714285714285715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 t="s">
        <v>1489</v>
      </c>
      <c r="AE263" s="99" t="s">
        <v>1489</v>
      </c>
      <c r="AF263" s="99" t="s">
        <v>1489</v>
      </c>
      <c r="AG263" s="99" t="s">
        <v>1489</v>
      </c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25</v>
      </c>
      <c r="J281" s="31">
        <f t="shared" si="18"/>
        <v>3</v>
      </c>
      <c r="K281" s="32">
        <f t="shared" si="19"/>
        <v>0.8928571428571429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 t="s">
        <v>1489</v>
      </c>
      <c r="AF281" s="72" t="s">
        <v>1489</v>
      </c>
      <c r="AG281" s="72" t="s">
        <v>1489</v>
      </c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25</v>
      </c>
      <c r="J282" s="31">
        <f t="shared" si="18"/>
        <v>3</v>
      </c>
      <c r="K282" s="32">
        <f t="shared" si="19"/>
        <v>0.8928571428571429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 t="s">
        <v>1489</v>
      </c>
      <c r="AF282" s="72" t="s">
        <v>1489</v>
      </c>
      <c r="AG282" s="72" t="s">
        <v>1489</v>
      </c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27</v>
      </c>
      <c r="J283" s="31">
        <f t="shared" si="18"/>
        <v>1</v>
      </c>
      <c r="K283" s="32">
        <f t="shared" si="19"/>
        <v>0.9642857142857143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 t="s">
        <v>1489</v>
      </c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9</v>
      </c>
      <c r="J297" s="31">
        <f t="shared" si="18"/>
        <v>19</v>
      </c>
      <c r="K297" s="32">
        <f t="shared" si="19"/>
        <v>0.32142857142857145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 t="s">
        <v>1489</v>
      </c>
      <c r="AE297" s="72" t="s">
        <v>1489</v>
      </c>
      <c r="AF297" s="72" t="s">
        <v>1489</v>
      </c>
      <c r="AG297" s="72" t="s">
        <v>1489</v>
      </c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9</v>
      </c>
      <c r="J298" s="31">
        <f t="shared" si="18"/>
        <v>19</v>
      </c>
      <c r="K298" s="32">
        <f t="shared" si="19"/>
        <v>0.32142857142857145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 t="s">
        <v>1489</v>
      </c>
      <c r="AE298" s="72" t="s">
        <v>1489</v>
      </c>
      <c r="AF298" s="72" t="s">
        <v>1489</v>
      </c>
      <c r="AG298" s="72" t="s">
        <v>1489</v>
      </c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9</v>
      </c>
      <c r="J299" s="31">
        <f t="shared" si="18"/>
        <v>19</v>
      </c>
      <c r="K299" s="32">
        <f t="shared" si="19"/>
        <v>0.32142857142857145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 t="s">
        <v>1489</v>
      </c>
      <c r="AE299" s="72" t="s">
        <v>1489</v>
      </c>
      <c r="AF299" s="72" t="s">
        <v>1489</v>
      </c>
      <c r="AG299" s="72" t="s">
        <v>1489</v>
      </c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9</v>
      </c>
      <c r="J300" s="31">
        <f t="shared" si="18"/>
        <v>19</v>
      </c>
      <c r="K300" s="32">
        <f t="shared" si="19"/>
        <v>0.32142857142857145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 t="s">
        <v>1489</v>
      </c>
      <c r="AE300" s="72" t="s">
        <v>1489</v>
      </c>
      <c r="AF300" s="72" t="s">
        <v>1489</v>
      </c>
      <c r="AG300" s="72" t="s">
        <v>1489</v>
      </c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9</v>
      </c>
      <c r="J301" s="31">
        <f t="shared" si="18"/>
        <v>19</v>
      </c>
      <c r="K301" s="32">
        <f t="shared" si="19"/>
        <v>0.32142857142857145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 t="s">
        <v>1489</v>
      </c>
      <c r="AE301" s="72" t="s">
        <v>1489</v>
      </c>
      <c r="AF301" s="72" t="s">
        <v>1489</v>
      </c>
      <c r="AG301" s="72" t="s">
        <v>1489</v>
      </c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21</v>
      </c>
      <c r="J304" s="31">
        <f t="shared" si="18"/>
        <v>7</v>
      </c>
      <c r="K304" s="32">
        <f t="shared" si="19"/>
        <v>0.75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 t="s">
        <v>1489</v>
      </c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9</v>
      </c>
      <c r="J317" s="31">
        <f t="shared" si="18"/>
        <v>19</v>
      </c>
      <c r="K317" s="32">
        <f t="shared" si="19"/>
        <v>0.32142857142857145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 t="s">
        <v>1489</v>
      </c>
      <c r="AE317" s="72" t="s">
        <v>1489</v>
      </c>
      <c r="AF317" s="72" t="s">
        <v>1489</v>
      </c>
      <c r="AG317" s="72" t="s">
        <v>1489</v>
      </c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9</v>
      </c>
      <c r="J322" s="31">
        <f t="shared" si="18"/>
        <v>19</v>
      </c>
      <c r="K322" s="32">
        <f t="shared" si="19"/>
        <v>0.32142857142857145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 t="s">
        <v>1489</v>
      </c>
      <c r="AE322" s="99" t="s">
        <v>1489</v>
      </c>
      <c r="AF322" s="99" t="s">
        <v>1489</v>
      </c>
      <c r="AG322" s="99" t="s">
        <v>1489</v>
      </c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11</v>
      </c>
      <c r="J323" s="31">
        <f t="shared" si="18"/>
        <v>17</v>
      </c>
      <c r="K323" s="32">
        <f t="shared" si="19"/>
        <v>0.39285714285714285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 t="s">
        <v>1489</v>
      </c>
      <c r="AG323" s="99" t="s">
        <v>1489</v>
      </c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9</v>
      </c>
      <c r="J350" s="31">
        <f t="shared" si="21"/>
        <v>19</v>
      </c>
      <c r="K350" s="32">
        <f t="shared" si="22"/>
        <v>0.32142857142857145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 t="s">
        <v>1489</v>
      </c>
      <c r="AE350" s="99" t="s">
        <v>1489</v>
      </c>
      <c r="AF350" s="99" t="s">
        <v>1489</v>
      </c>
      <c r="AG350" s="99" t="s">
        <v>1489</v>
      </c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9</v>
      </c>
      <c r="J355" s="31">
        <f t="shared" si="21"/>
        <v>19</v>
      </c>
      <c r="K355" s="32">
        <f t="shared" si="22"/>
        <v>0.32142857142857145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 t="s">
        <v>1489</v>
      </c>
      <c r="AE355" s="99" t="s">
        <v>1489</v>
      </c>
      <c r="AF355" s="99" t="s">
        <v>1489</v>
      </c>
      <c r="AG355" s="99" t="s">
        <v>1489</v>
      </c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9</v>
      </c>
      <c r="J358" s="31">
        <f t="shared" si="21"/>
        <v>19</v>
      </c>
      <c r="K358" s="32">
        <f t="shared" si="22"/>
        <v>0.32142857142857145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 t="s">
        <v>1489</v>
      </c>
      <c r="AE358" s="72" t="s">
        <v>1489</v>
      </c>
      <c r="AF358" s="72" t="s">
        <v>1489</v>
      </c>
      <c r="AG358" s="72" t="s">
        <v>1489</v>
      </c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9</v>
      </c>
      <c r="J359" s="31">
        <f t="shared" si="21"/>
        <v>19</v>
      </c>
      <c r="K359" s="32">
        <f t="shared" si="22"/>
        <v>0.32142857142857145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 t="s">
        <v>1489</v>
      </c>
      <c r="AE359" s="72" t="s">
        <v>1489</v>
      </c>
      <c r="AF359" s="72" t="s">
        <v>1489</v>
      </c>
      <c r="AG359" s="72" t="s">
        <v>1489</v>
      </c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23</v>
      </c>
      <c r="J371" s="31">
        <f t="shared" si="21"/>
        <v>5</v>
      </c>
      <c r="K371" s="32">
        <f t="shared" si="22"/>
        <v>0.8214285714285714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 t="s">
        <v>1489</v>
      </c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24</v>
      </c>
      <c r="J372" s="31">
        <f t="shared" si="21"/>
        <v>4</v>
      </c>
      <c r="K372" s="32">
        <f t="shared" si="22"/>
        <v>0.8571428571428571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 t="s">
        <v>1489</v>
      </c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23</v>
      </c>
      <c r="J373" s="31">
        <f t="shared" si="21"/>
        <v>5</v>
      </c>
      <c r="K373" s="32">
        <f t="shared" si="22"/>
        <v>0.8214285714285714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 t="s">
        <v>1489</v>
      </c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17</v>
      </c>
      <c r="J376" s="31">
        <f t="shared" si="21"/>
        <v>11</v>
      </c>
      <c r="K376" s="32">
        <f t="shared" si="22"/>
        <v>0.6071428571428571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 t="s">
        <v>1489</v>
      </c>
      <c r="AE376" s="72" t="s">
        <v>1489</v>
      </c>
      <c r="AF376" s="72" t="s">
        <v>1489</v>
      </c>
      <c r="AG376" s="72" t="s">
        <v>1489</v>
      </c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25</v>
      </c>
      <c r="J379" s="31">
        <f t="shared" si="21"/>
        <v>3</v>
      </c>
      <c r="K379" s="32">
        <f t="shared" si="22"/>
        <v>0.8928571428571429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 t="s">
        <v>1489</v>
      </c>
      <c r="AE379" s="72" t="s">
        <v>1489</v>
      </c>
      <c r="AF379" s="72" t="s">
        <v>1489</v>
      </c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19</v>
      </c>
      <c r="J385" s="31">
        <f t="shared" si="21"/>
        <v>9</v>
      </c>
      <c r="K385" s="32">
        <f t="shared" si="22"/>
        <v>0.6785714285714286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 t="s">
        <v>1489</v>
      </c>
      <c r="AF385" s="72" t="s">
        <v>1489</v>
      </c>
      <c r="AG385" s="72" t="s">
        <v>1489</v>
      </c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23</v>
      </c>
      <c r="J386" s="31">
        <f t="shared" si="21"/>
        <v>5</v>
      </c>
      <c r="K386" s="32">
        <f t="shared" si="22"/>
        <v>0.8214285714285714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 t="s">
        <v>1489</v>
      </c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10</v>
      </c>
      <c r="J389" s="31">
        <f t="shared" si="21"/>
        <v>18</v>
      </c>
      <c r="K389" s="32">
        <f t="shared" si="22"/>
        <v>0.35714285714285715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 t="s">
        <v>1489</v>
      </c>
      <c r="AE389" s="72" t="s">
        <v>1489</v>
      </c>
      <c r="AF389" s="72" t="s">
        <v>1489</v>
      </c>
      <c r="AG389" s="72" t="s">
        <v>1489</v>
      </c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20</v>
      </c>
      <c r="J399" s="31">
        <f t="shared" si="24"/>
        <v>8</v>
      </c>
      <c r="K399" s="32">
        <f t="shared" si="25"/>
        <v>0.7142857142857143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 t="s">
        <v>1489</v>
      </c>
      <c r="AE399" s="72" t="s">
        <v>1489</v>
      </c>
      <c r="AF399" s="72" t="s">
        <v>1489</v>
      </c>
      <c r="AG399" s="72" t="s">
        <v>1489</v>
      </c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20</v>
      </c>
      <c r="J400" s="31">
        <f t="shared" si="24"/>
        <v>8</v>
      </c>
      <c r="K400" s="32">
        <f t="shared" si="25"/>
        <v>0.7142857142857143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 t="s">
        <v>1489</v>
      </c>
      <c r="AE400" s="72" t="s">
        <v>1489</v>
      </c>
      <c r="AF400" s="72" t="s">
        <v>1489</v>
      </c>
      <c r="AG400" s="72" t="s">
        <v>1489</v>
      </c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27</v>
      </c>
      <c r="J412" s="31">
        <f t="shared" si="24"/>
        <v>1</v>
      </c>
      <c r="K412" s="32">
        <f t="shared" si="25"/>
        <v>0.9642857142857143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 t="s">
        <v>1489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27</v>
      </c>
      <c r="J413" s="31">
        <f t="shared" si="24"/>
        <v>1</v>
      </c>
      <c r="K413" s="32">
        <f t="shared" si="25"/>
        <v>0.9642857142857143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 t="s">
        <v>1489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9</v>
      </c>
      <c r="J452" s="31">
        <f t="shared" si="24"/>
        <v>19</v>
      </c>
      <c r="K452" s="32">
        <f t="shared" si="25"/>
        <v>0.32142857142857145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 t="s">
        <v>1489</v>
      </c>
      <c r="AE452" s="99" t="s">
        <v>1489</v>
      </c>
      <c r="AF452" s="99" t="s">
        <v>1489</v>
      </c>
      <c r="AG452" s="99" t="s">
        <v>1489</v>
      </c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9</v>
      </c>
      <c r="J453" s="31">
        <f t="shared" si="24"/>
        <v>19</v>
      </c>
      <c r="K453" s="32">
        <f t="shared" si="25"/>
        <v>0.32142857142857145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 t="s">
        <v>1489</v>
      </c>
      <c r="AE453" s="99" t="s">
        <v>1489</v>
      </c>
      <c r="AF453" s="99" t="s">
        <v>1489</v>
      </c>
      <c r="AG453" s="99" t="s">
        <v>1489</v>
      </c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9</v>
      </c>
      <c r="J465" s="31">
        <f t="shared" si="27"/>
        <v>19</v>
      </c>
      <c r="K465" s="32">
        <f t="shared" si="28"/>
        <v>0.32142857142857145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 t="s">
        <v>1489</v>
      </c>
      <c r="AE465" s="72" t="s">
        <v>1489</v>
      </c>
      <c r="AF465" s="72" t="s">
        <v>1489</v>
      </c>
      <c r="AG465" s="72" t="s">
        <v>1489</v>
      </c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9</v>
      </c>
      <c r="J467" s="31">
        <f t="shared" si="27"/>
        <v>19</v>
      </c>
      <c r="K467" s="32">
        <f t="shared" si="28"/>
        <v>0.32142857142857145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 t="s">
        <v>1489</v>
      </c>
      <c r="AE467" s="72" t="s">
        <v>1489</v>
      </c>
      <c r="AF467" s="72" t="s">
        <v>1489</v>
      </c>
      <c r="AG467" s="72" t="s">
        <v>1489</v>
      </c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26</v>
      </c>
      <c r="J491" s="31">
        <f t="shared" si="27"/>
        <v>2</v>
      </c>
      <c r="K491" s="32">
        <f t="shared" si="28"/>
        <v>0.9285714285714286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 t="s">
        <v>1489</v>
      </c>
      <c r="AG491" s="72" t="s">
        <v>1489</v>
      </c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26</v>
      </c>
      <c r="J492" s="31">
        <f t="shared" si="27"/>
        <v>2</v>
      </c>
      <c r="K492" s="32">
        <f t="shared" si="28"/>
        <v>0.9285714285714286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 t="s">
        <v>1489</v>
      </c>
      <c r="AG492" s="72" t="s">
        <v>1489</v>
      </c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91" zoomScale="110" zoomScaleNormal="110" workbookViewId="0">
      <selection activeCell="G204" sqref="G20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20</v>
      </c>
      <c r="D182" s="109">
        <f>D181-C182</f>
        <v>22</v>
      </c>
      <c r="E182" s="57">
        <f>D182/C178</f>
        <v>4.536082474226804E-2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12</v>
      </c>
      <c r="E183" s="76">
        <f>D183/C178</f>
        <v>2.4742268041237112E-2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9.0721649484536079E-2</v>
      </c>
      <c r="F201" s="139"/>
    </row>
    <row r="202" spans="2:6" x14ac:dyDescent="0.25">
      <c r="B202" s="55" t="s">
        <v>1254</v>
      </c>
      <c r="C202" s="69">
        <v>2</v>
      </c>
      <c r="D202" s="109">
        <f>C201-C202</f>
        <v>42</v>
      </c>
      <c r="E202" s="57">
        <f>D202/C200</f>
        <v>8.6597938144329895E-2</v>
      </c>
      <c r="F202" s="139"/>
    </row>
    <row r="203" spans="2:6" x14ac:dyDescent="0.25">
      <c r="B203" s="55" t="s">
        <v>1255</v>
      </c>
      <c r="C203" s="69">
        <v>6</v>
      </c>
      <c r="D203" s="109">
        <f>D202-C203</f>
        <v>36</v>
      </c>
      <c r="E203" s="57">
        <f>D203/C200</f>
        <v>7.422680412371134E-2</v>
      </c>
      <c r="F203" s="139"/>
    </row>
    <row r="204" spans="2:6" x14ac:dyDescent="0.25">
      <c r="B204" s="55" t="s">
        <v>16</v>
      </c>
      <c r="C204" s="100">
        <f>'RESUMEN TOTAL'!AC5</f>
        <v>15</v>
      </c>
      <c r="D204" s="109">
        <f>D203-C204</f>
        <v>21</v>
      </c>
      <c r="E204" s="57">
        <f>D204/C200</f>
        <v>4.3298969072164947E-2</v>
      </c>
      <c r="F204" s="139"/>
    </row>
    <row r="205" spans="2:6" ht="15.75" thickBot="1" x14ac:dyDescent="0.3">
      <c r="B205" s="58" t="s">
        <v>1492</v>
      </c>
      <c r="C205" s="137">
        <v>10</v>
      </c>
      <c r="D205" s="110">
        <f>D204-C205</f>
        <v>11</v>
      </c>
      <c r="E205" s="76">
        <f>D205/C200</f>
        <v>2.268041237113402E-2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v>19</v>
      </c>
      <c r="E207" s="111">
        <f>D207/C207</f>
        <v>7.2243346007604556E-2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68</v>
      </c>
      <c r="D212" s="56"/>
      <c r="E212" s="57">
        <f>C212/C211</f>
        <v>0.14020618556701031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68</v>
      </c>
      <c r="E213" s="57">
        <f>D213/C211</f>
        <v>0.14020618556701031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68</v>
      </c>
      <c r="E214" s="57">
        <f>D214/C211</f>
        <v>0.14020618556701031</v>
      </c>
      <c r="F214" s="139"/>
    </row>
    <row r="215" spans="2:6" x14ac:dyDescent="0.25">
      <c r="B215" s="55" t="s">
        <v>16</v>
      </c>
      <c r="C215" s="100">
        <f>'RESUMEN TOTAL'!AE5</f>
        <v>9</v>
      </c>
      <c r="D215" s="109">
        <f>D214-C215</f>
        <v>59</v>
      </c>
      <c r="E215" s="57">
        <f>D215/C211</f>
        <v>0.12164948453608247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59</v>
      </c>
      <c r="E216" s="76">
        <f>D216/C211</f>
        <v>0.12164948453608247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41</v>
      </c>
      <c r="E218" s="111">
        <f>D218/C218</f>
        <v>0.155893536121673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27</v>
      </c>
      <c r="E219" s="120">
        <f>D219/C219</f>
        <v>0.12162162162162163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120" zoomScaleNormal="120" workbookViewId="0">
      <selection activeCell="X6" sqref="X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19</v>
      </c>
      <c r="Y3" s="47">
        <f>COUNTIFS('RESUMEN TOTAL'!AE8:AE600,"=APAGADO",'RESUMEN TOTAL'!C8:C600,"=BONOMO")</f>
        <v>41</v>
      </c>
      <c r="Z3" s="47">
        <f>COUNTIFS('RESUMEN TOTAL'!AF8:AF600,"=APAGADO",'RESUMEN TOTAL'!C8:C600,"=BONOMO")</f>
        <v>25</v>
      </c>
      <c r="AA3" s="47">
        <f>COUNTIFS('RESUMEN TOTAL'!AG8:AG600,"=APAGADO",'RESUMEN TOTAL'!C8:C600,"=BONOMO")</f>
        <v>42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 t="s">
        <v>1520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25</v>
      </c>
      <c r="Y5" s="47">
        <f>COUNTIFS('RESUMEN TOTAL'!AE10:AE602,"=APAGADO",'RESUMEN TOTAL'!C10:C602,"=COSEIDI")</f>
        <v>27</v>
      </c>
      <c r="Z5" s="47">
        <f>COUNTIFS('RESUMEN TOTAL'!AF10:AF602,"=APAGADO",'RESUMEN TOTAL'!C10:C602,"=COSEIDI")</f>
        <v>21</v>
      </c>
      <c r="AA5" s="47">
        <f>COUNTIFS('RESUMEN TOTAL'!AG10:AG602,"=APAGADO",'RESUMEN TOTAL'!C10:C602,"=COSEIDI")</f>
        <v>33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 t="s">
        <v>1521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 t="str">
        <f>'RESUMEN TOTAL'!AD121</f>
        <v>APAGADO</v>
      </c>
      <c r="Y111" s="72" t="str">
        <f>'RESUMEN TOTAL'!AE121</f>
        <v>APAGADO</v>
      </c>
      <c r="Z111" s="72" t="str">
        <f>'RESUMEN TOTAL'!AF121</f>
        <v>APAGADO</v>
      </c>
      <c r="AA111" s="72" t="str">
        <f>'RESUMEN TOTAL'!AG121</f>
        <v>APAGADO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 t="str">
        <f>'RESUMEN TOTAL'!AD128</f>
        <v>APAGADO</v>
      </c>
      <c r="Y118" s="72" t="str">
        <f>'RESUMEN TOTAL'!AE128</f>
        <v>APÁGADO</v>
      </c>
      <c r="Z118" s="72" t="str">
        <f>'RESUMEN TOTAL'!AF128</f>
        <v>APAGADO</v>
      </c>
      <c r="AA118" s="72" t="str">
        <f>'RESUMEN TOTAL'!AG128</f>
        <v>APAGADO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 t="str">
        <f>'RESUMEN TOTAL'!AD131</f>
        <v>APAGADO</v>
      </c>
      <c r="Y121" s="72" t="str">
        <f>'RESUMEN TOTAL'!AE131</f>
        <v>APAGADO</v>
      </c>
      <c r="Z121" s="72" t="str">
        <f>'RESUMEN TOTAL'!AF131</f>
        <v>APAGADO</v>
      </c>
      <c r="AA121" s="72" t="str">
        <f>'RESUMEN TOTAL'!AG131</f>
        <v>APAGADO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 t="str">
        <f>'RESUMEN TOTAL'!AD132</f>
        <v>APAGADO</v>
      </c>
      <c r="Y122" s="72" t="str">
        <f>'RESUMEN TOTAL'!AE132</f>
        <v>APAGADO</v>
      </c>
      <c r="Z122" s="72" t="str">
        <f>'RESUMEN TOTAL'!AF132</f>
        <v>APAGADO</v>
      </c>
      <c r="AA122" s="72" t="str">
        <f>'RESUMEN TOTAL'!AG132</f>
        <v>APAGADO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 t="str">
        <f>'RESUMEN TOTAL'!AG142</f>
        <v>APAGADO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 t="str">
        <f>'RESUMEN TOTAL'!AG143</f>
        <v>APAGADO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 t="str">
        <f>'RESUMEN TOTAL'!AG151</f>
        <v>APAGADO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 t="str">
        <f>'RESUMEN TOTAL'!AG152</f>
        <v>APAGADO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 t="str">
        <f>'RESUMEN TOTAL'!AG153</f>
        <v>APAGADO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 t="str">
        <f>'RESUMEN TOTAL'!AG154</f>
        <v>APAGADO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 t="str">
        <f>'RESUMEN TOTAL'!AD159</f>
        <v>APAGADO</v>
      </c>
      <c r="Y147" s="72" t="str">
        <f>'RESUMEN TOTAL'!AE159</f>
        <v>APAGADO</v>
      </c>
      <c r="Z147" s="72" t="str">
        <f>'RESUMEN TOTAL'!AF159</f>
        <v>APAGADO</v>
      </c>
      <c r="AA147" s="72" t="str">
        <f>'RESUMEN TOTAL'!AG159</f>
        <v>APAGADO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 t="str">
        <f>'RESUMEN TOTAL'!AE165</f>
        <v>APAGADO</v>
      </c>
      <c r="Z153" s="72" t="str">
        <f>'RESUMEN TOTAL'!AF165</f>
        <v>APAGADO</v>
      </c>
      <c r="AA153" s="72" t="str">
        <f>'RESUMEN TOTAL'!AG165</f>
        <v>APAGADO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 t="str">
        <f>'RESUMEN TOTAL'!AD169</f>
        <v>APAGADO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 t="str">
        <f>'RESUMEN TOTAL'!AE177</f>
        <v>APAGADO</v>
      </c>
      <c r="Z165" s="72">
        <f>'RESUMEN TOTAL'!AF177</f>
        <v>0</v>
      </c>
      <c r="AA165" s="72" t="str">
        <f>'RESUMEN TOTAL'!AG177</f>
        <v>APAGADO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 t="str">
        <f>'RESUMEN TOTAL'!AD207</f>
        <v>APAGADO</v>
      </c>
      <c r="Y193" s="72" t="str">
        <f>'RESUMEN TOTAL'!AE207</f>
        <v>APAGADO</v>
      </c>
      <c r="Z193" s="72" t="str">
        <f>'RESUMEN TOTAL'!AF207</f>
        <v>APAGADO</v>
      </c>
      <c r="AA193" s="72" t="str">
        <f>'RESUMEN TOTAL'!AG207</f>
        <v>APAGADO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 t="str">
        <f>'RESUMEN TOTAL'!AE209</f>
        <v>APAGADO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 t="str">
        <f>'RESUMEN TOTAL'!AD210</f>
        <v>APAGADO</v>
      </c>
      <c r="Y196" s="72" t="str">
        <f>'RESUMEN TOTAL'!AE210</f>
        <v>APAGADO</v>
      </c>
      <c r="Z196" s="72" t="str">
        <f>'RESUMEN TOTAL'!AF210</f>
        <v>APAGADO</v>
      </c>
      <c r="AA196" s="72" t="str">
        <f>'RESUMEN TOTAL'!AG210</f>
        <v>APAGADO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 t="str">
        <f>'RESUMEN TOTAL'!AE231</f>
        <v>APAGADO</v>
      </c>
      <c r="Z217" s="72" t="str">
        <f>'RESUMEN TOTAL'!AF231</f>
        <v>APAGADO</v>
      </c>
      <c r="AA217" s="72" t="str">
        <f>'RESUMEN TOTAL'!AG231</f>
        <v>APAGADO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 t="str">
        <f>'RESUMEN TOTAL'!AE233</f>
        <v>APAGADO</v>
      </c>
      <c r="Z219" s="72">
        <f>'RESUMEN TOTAL'!AF233</f>
        <v>0</v>
      </c>
      <c r="AA219" s="72" t="str">
        <f>'RESUMEN TOTAL'!AG233</f>
        <v>APAGADO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 t="str">
        <f>'RESUMEN TOTAL'!AE236</f>
        <v>APAGADO</v>
      </c>
      <c r="Z222" s="72">
        <f>'RESUMEN TOTAL'!AF236</f>
        <v>0</v>
      </c>
      <c r="AA222" s="72" t="str">
        <f>'RESUMEN TOTAL'!AG236</f>
        <v>APAGADO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 t="str">
        <f>'RESUMEN TOTAL'!AG247</f>
        <v>APAGADO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 t="str">
        <f>'RESUMEN TOTAL'!AD249</f>
        <v>APAGADO</v>
      </c>
      <c r="Y234" s="72">
        <f>'RESUMEN TOTAL'!AE249</f>
        <v>0</v>
      </c>
      <c r="Z234" s="72">
        <f>'RESUMEN TOTAL'!AF249</f>
        <v>0</v>
      </c>
      <c r="AA234" s="72" t="str">
        <f>'RESUMEN TOTAL'!AG249</f>
        <v>APAGADO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 t="str">
        <f>'RESUMEN TOTAL'!AE255</f>
        <v>APAGADO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 t="str">
        <f>'RESUMEN TOTAL'!AE256</f>
        <v>APAGADO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 t="str">
        <f>'RESUMEN TOTAL'!AE257</f>
        <v>APAGADO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 t="str">
        <f>'RESUMEN TOTAL'!AD263</f>
        <v>APAGADO</v>
      </c>
      <c r="Y248" s="72" t="str">
        <f>'RESUMEN TOTAL'!AE263</f>
        <v>APAGADO</v>
      </c>
      <c r="Z248" s="72" t="str">
        <f>'RESUMEN TOTAL'!AF263</f>
        <v>APAGADO</v>
      </c>
      <c r="AA248" s="72" t="str">
        <f>'RESUMEN TOTAL'!AG263</f>
        <v>APAGADO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 t="str">
        <f>'RESUMEN TOTAL'!AD300</f>
        <v>APAGADO</v>
      </c>
      <c r="Y278" s="72" t="str">
        <f>'RESUMEN TOTAL'!AE300</f>
        <v>APAGADO</v>
      </c>
      <c r="Z278" s="72" t="str">
        <f>'RESUMEN TOTAL'!AF300</f>
        <v>APAGADO</v>
      </c>
      <c r="AA278" s="72" t="str">
        <f>'RESUMEN TOTAL'!AG300</f>
        <v>APAGADO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 t="str">
        <f>'RESUMEN TOTAL'!AD301</f>
        <v>APAGADO</v>
      </c>
      <c r="Y279" s="72" t="str">
        <f>'RESUMEN TOTAL'!AE301</f>
        <v>APAGADO</v>
      </c>
      <c r="Z279" s="72" t="str">
        <f>'RESUMEN TOTAL'!AF301</f>
        <v>APAGADO</v>
      </c>
      <c r="AA279" s="72" t="str">
        <f>'RESUMEN TOTAL'!AG301</f>
        <v>APAGADO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 t="str">
        <f>'RESUMEN TOTAL'!AF304</f>
        <v>APAGADO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 t="str">
        <f>'RESUMEN TOTAL'!AD317</f>
        <v>APAGADO</v>
      </c>
      <c r="Y295" s="72" t="str">
        <f>'RESUMEN TOTAL'!AE317</f>
        <v>APAGADO</v>
      </c>
      <c r="Z295" s="72" t="str">
        <f>'RESUMEN TOTAL'!AF317</f>
        <v>APAGADO</v>
      </c>
      <c r="AA295" s="72" t="str">
        <f>'RESUMEN TOTAL'!AG317</f>
        <v>APAGADO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 t="str">
        <f>'RESUMEN TOTAL'!AD322</f>
        <v>APAGADO</v>
      </c>
      <c r="Y300" s="72" t="str">
        <f>'RESUMEN TOTAL'!AE322</f>
        <v>APAGADO</v>
      </c>
      <c r="Z300" s="72" t="str">
        <f>'RESUMEN TOTAL'!AF322</f>
        <v>APAGADO</v>
      </c>
      <c r="AA300" s="72" t="str">
        <f>'RESUMEN TOTAL'!AG322</f>
        <v>APAGADO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 t="str">
        <f>'RESUMEN TOTAL'!AF323</f>
        <v>APAGADO</v>
      </c>
      <c r="AA301" s="72" t="str">
        <f>'RESUMEN TOTAL'!AG323</f>
        <v>APAGADO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 t="str">
        <f>'RESUMEN TOTAL'!AD350</f>
        <v>APAGADO</v>
      </c>
      <c r="Y325" s="72" t="str">
        <f>'RESUMEN TOTAL'!AE350</f>
        <v>APAGADO</v>
      </c>
      <c r="Z325" s="72" t="str">
        <f>'RESUMEN TOTAL'!AF350</f>
        <v>APAGADO</v>
      </c>
      <c r="AA325" s="72" t="str">
        <f>'RESUMEN TOTAL'!AG350</f>
        <v>APAGADO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 t="str">
        <f>'RESUMEN TOTAL'!AD355</f>
        <v>APAGADO</v>
      </c>
      <c r="Y328" s="72" t="str">
        <f>'RESUMEN TOTAL'!AE355</f>
        <v>APAGADO</v>
      </c>
      <c r="Z328" s="72" t="str">
        <f>'RESUMEN TOTAL'!AF355</f>
        <v>APAGADO</v>
      </c>
      <c r="AA328" s="72" t="str">
        <f>'RESUMEN TOTAL'!AG355</f>
        <v>APAGADO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 t="str">
        <f>'RESUMEN TOTAL'!AD358</f>
        <v>APAGADO</v>
      </c>
      <c r="Y331" s="72" t="str">
        <f>'RESUMEN TOTAL'!AE358</f>
        <v>APAGADO</v>
      </c>
      <c r="Z331" s="72" t="str">
        <f>'RESUMEN TOTAL'!AF358</f>
        <v>APAGADO</v>
      </c>
      <c r="AA331" s="72" t="str">
        <f>'RESUMEN TOTAL'!AG358</f>
        <v>APAGADO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 t="str">
        <f>'RESUMEN TOTAL'!AD359</f>
        <v>APAGADO</v>
      </c>
      <c r="Y332" s="72" t="str">
        <f>'RESUMEN TOTAL'!AE359</f>
        <v>APAGADO</v>
      </c>
      <c r="Z332" s="72" t="str">
        <f>'RESUMEN TOTAL'!AF359</f>
        <v>APAGADO</v>
      </c>
      <c r="AA332" s="72" t="str">
        <f>'RESUMEN TOTAL'!AG359</f>
        <v>APAGADO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 t="str">
        <f>'RESUMEN TOTAL'!AG371</f>
        <v>APAGADO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 t="str">
        <f>'RESUMEN TOTAL'!AG372</f>
        <v>APAGADO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 t="str">
        <f>'RESUMEN TOTAL'!AG373</f>
        <v>APAGADO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 t="str">
        <f>'RESUMEN TOTAL'!AD376</f>
        <v>APAGADO</v>
      </c>
      <c r="Y349" s="72" t="str">
        <f>'RESUMEN TOTAL'!AE376</f>
        <v>APAGADO</v>
      </c>
      <c r="Z349" s="72" t="str">
        <f>'RESUMEN TOTAL'!AF376</f>
        <v>APAGADO</v>
      </c>
      <c r="AA349" s="72" t="str">
        <f>'RESUMEN TOTAL'!AG376</f>
        <v>APAGADO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 t="str">
        <f>'RESUMEN TOTAL'!AD379</f>
        <v>APAGADO</v>
      </c>
      <c r="Y352" s="72" t="str">
        <f>'RESUMEN TOTAL'!AE379</f>
        <v>APAGADO</v>
      </c>
      <c r="Z352" s="72" t="str">
        <f>'RESUMEN TOTAL'!AF379</f>
        <v>APAGADO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 t="str">
        <f>'RESUMEN TOTAL'!AE385</f>
        <v>APAGADO</v>
      </c>
      <c r="Z358" s="72" t="str">
        <f>'RESUMEN TOTAL'!AF385</f>
        <v>APAGADO</v>
      </c>
      <c r="AA358" s="72" t="str">
        <f>'RESUMEN TOTAL'!AG385</f>
        <v>APAGADO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 t="str">
        <f>'RESUMEN TOTAL'!AG386</f>
        <v>APAGADO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 t="str">
        <f>'RESUMEN TOTAL'!AD389</f>
        <v>APAGADO</v>
      </c>
      <c r="Y362" s="72" t="str">
        <f>'RESUMEN TOTAL'!AE389</f>
        <v>APAGADO</v>
      </c>
      <c r="Z362" s="72" t="str">
        <f>'RESUMEN TOTAL'!AF389</f>
        <v>APAGADO</v>
      </c>
      <c r="AA362" s="72" t="str">
        <f>'RESUMEN TOTAL'!AG389</f>
        <v>APAGADO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 t="str">
        <f>'RESUMEN TOTAL'!AD399</f>
        <v>APAGADO</v>
      </c>
      <c r="Y372" s="72" t="str">
        <f>'RESUMEN TOTAL'!AE399</f>
        <v>APAGADO</v>
      </c>
      <c r="Z372" s="72" t="str">
        <f>'RESUMEN TOTAL'!AF399</f>
        <v>APAGADO</v>
      </c>
      <c r="AA372" s="72" t="str">
        <f>'RESUMEN TOTAL'!AG399</f>
        <v>APAGADO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 t="str">
        <f>'RESUMEN TOTAL'!AD400</f>
        <v>APAGADO</v>
      </c>
      <c r="Y373" s="72" t="str">
        <f>'RESUMEN TOTAL'!AE400</f>
        <v>APAGADO</v>
      </c>
      <c r="Z373" s="72" t="str">
        <f>'RESUMEN TOTAL'!AF400</f>
        <v>APAGADO</v>
      </c>
      <c r="AA373" s="72" t="str">
        <f>'RESUMEN TOTAL'!AG400</f>
        <v>APAGADO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 t="str">
        <f>'RESUMEN TOTAL'!AD412</f>
        <v>APAGADO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 t="str">
        <f>'RESUMEN TOTAL'!AD413</f>
        <v>APAGADO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 t="str">
        <f>'RESUMEN TOTAL'!AD452</f>
        <v>APAGADO</v>
      </c>
      <c r="Y423" s="72" t="str">
        <f>'RESUMEN TOTAL'!AE452</f>
        <v>APAGADO</v>
      </c>
      <c r="Z423" s="72" t="str">
        <f>'RESUMEN TOTAL'!AF452</f>
        <v>APAGADO</v>
      </c>
      <c r="AA423" s="72" t="str">
        <f>'RESUMEN TOTAL'!AG452</f>
        <v>APAGADO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 t="str">
        <f>'RESUMEN TOTAL'!AD453</f>
        <v>APAGADO</v>
      </c>
      <c r="Y424" s="72" t="str">
        <f>'RESUMEN TOTAL'!AE453</f>
        <v>APAGADO</v>
      </c>
      <c r="Z424" s="72" t="str">
        <f>'RESUMEN TOTAL'!AF453</f>
        <v>APAGADO</v>
      </c>
      <c r="AA424" s="72" t="str">
        <f>'RESUMEN TOTAL'!AG453</f>
        <v>APAGADO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 t="str">
        <f>'RESUMEN TOTAL'!AD465</f>
        <v>APAGADO</v>
      </c>
      <c r="Y435" s="72" t="str">
        <f>'RESUMEN TOTAL'!AE465</f>
        <v>APAGADO</v>
      </c>
      <c r="Z435" s="72" t="str">
        <f>'RESUMEN TOTAL'!AF465</f>
        <v>APAGADO</v>
      </c>
      <c r="AA435" s="72" t="str">
        <f>'RESUMEN TOTAL'!AG465</f>
        <v>APAGADO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 t="str">
        <f>'RESUMEN TOTAL'!AD467</f>
        <v>APAGADO</v>
      </c>
      <c r="Y437" s="72" t="str">
        <f>'RESUMEN TOTAL'!AE467</f>
        <v>APAGADO</v>
      </c>
      <c r="Z437" s="72" t="str">
        <f>'RESUMEN TOTAL'!AF467</f>
        <v>APAGADO</v>
      </c>
      <c r="AA437" s="72" t="str">
        <f>'RESUMEN TOTAL'!AG467</f>
        <v>APAGADO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2025-06-23T10:43:17Z</dcterms:modified>
</cp:coreProperties>
</file>