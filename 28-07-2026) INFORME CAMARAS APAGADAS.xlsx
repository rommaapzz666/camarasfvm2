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65C91789-795C-4C3E-B7A8-7C6CFA16804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TOTAL'!$A$7:$AV$615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9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<sst xmlns="http://schemas.openxmlformats.org/spreadsheetml/2006/main" count="7052" uniqueCount="2513">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</sst>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7"/>
  <sheetViews>
    <sheetView tabSelected="1" zoomScale="110" zoomScaleNormal="110" zoomScaleSheetLayoutView="140" workbookViewId="0">
      <pane xSplit="18" ySplit="7" topLeftCell="S360" activePane="bottomRight" state="frozen"/>
      <selection activeCell="G1" sqref="G1"/>
      <selection pane="topRight" activeCell="S1" sqref="S1"/>
      <selection pane="bottomLeft" activeCell="G8" sqref="G8"/>
      <selection pane="bottomRight" activeCell="G436" sqref="G29:G436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2" style="8" customWidth="1"/>
    <col min="5" max="5" width="16.85546875" style="8" customWidth="1"/>
    <col min="6" max="6" width="15.85546875" hidden="1" customWidth="1"/>
    <col min="7" max="7" width="44.42578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18.140625" style="65" customWidth="1"/>
    <col min="13" max="13" width="15.5703125" style="65" customWidth="1"/>
    <col min="14" max="14" width="11.42578125" style="65" customWidth="1"/>
    <col min="15" max="15" width="16.28515625" customWidth="1"/>
    <col min="16" max="16" width="17.5703125" customWidth="1"/>
    <col min="17" max="17" width="15.5703125" customWidth="1"/>
    <col min="18" max="18" width="14.140625" style="4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0.28515625" style="14" customWidth="1"/>
    <col min="44" max="44" width="12.85546875" style="14" customWidth="1"/>
    <col min="45" max="45" width="10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9.3655589123867067E-2</v>
      </c>
      <c r="T1" s="3">
        <f t="shared" ref="T1:AE1" si="0">(T3)/(T2+T3)</f>
        <v>0.12790697674418605</v>
      </c>
      <c r="U1" s="3">
        <f t="shared" si="0"/>
        <v>0.14529914529914531</v>
      </c>
      <c r="V1" s="3">
        <f t="shared" si="0"/>
        <v>0</v>
      </c>
      <c r="W1" s="3">
        <f t="shared" si="0"/>
        <v>0</v>
      </c>
      <c r="X1" s="3">
        <f t="shared" si="0"/>
        <v>9.90990990990991E-2</v>
      </c>
      <c r="Y1" s="3">
        <f t="shared" si="0"/>
        <v>0.11894273127753303</v>
      </c>
      <c r="Z1" s="3">
        <f t="shared" si="0"/>
        <v>0.12663755458515283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0.15134370579915135</v>
      </c>
      <c r="AF1" s="3"/>
      <c r="AG1" s="3">
        <f t="shared" ref="AG1:AT1" si="1">(AG3)/(AG2+AG3)</f>
        <v>8.1163859111791734E-2</v>
      </c>
      <c r="AH1" s="3">
        <f t="shared" si="1"/>
        <v>7.6923076923076927E-2</v>
      </c>
      <c r="AI1" s="3">
        <f t="shared" si="1"/>
        <v>8.5365853658536592E-2</v>
      </c>
      <c r="AJ1" s="3">
        <f t="shared" si="1"/>
        <v>0</v>
      </c>
      <c r="AK1" s="3">
        <f t="shared" si="1"/>
        <v>0</v>
      </c>
      <c r="AL1" s="3">
        <f t="shared" si="1"/>
        <v>9.7744360902255634E-2</v>
      </c>
      <c r="AM1" s="3">
        <f t="shared" si="1"/>
        <v>8.5365853658536592E-2</v>
      </c>
      <c r="AN1" s="3">
        <f t="shared" si="1"/>
        <v>9.0909090909090912E-2</v>
      </c>
      <c r="AO1" s="3">
        <f t="shared" si="1"/>
        <v>8.5365853658536592E-2</v>
      </c>
      <c r="AP1" s="3">
        <f t="shared" si="1"/>
        <v>7.2642967542503864E-2</v>
      </c>
      <c r="AQ1" s="3">
        <f t="shared" si="1"/>
        <v>0</v>
      </c>
      <c r="AR1" s="3">
        <f t="shared" si="1"/>
        <v>0</v>
      </c>
      <c r="AS1" s="3">
        <f t="shared" si="1"/>
        <v>9.5022624434389136E-2</v>
      </c>
      <c r="AT1" s="3">
        <f t="shared" si="1"/>
        <v>7.9754601226993863E-2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65</v>
      </c>
      <c r="AM3" s="123">
        <f t="shared" si="3"/>
        <v>56</v>
      </c>
      <c r="AN3" s="123">
        <f t="shared" si="3"/>
        <v>60</v>
      </c>
      <c r="AO3" s="123">
        <f t="shared" si="3"/>
        <v>56</v>
      </c>
      <c r="AP3" s="123">
        <f t="shared" si="3"/>
        <v>47</v>
      </c>
      <c r="AQ3" s="123">
        <f t="shared" si="3"/>
        <v>0</v>
      </c>
      <c r="AR3" s="123">
        <f t="shared" si="3"/>
        <v>0</v>
      </c>
      <c r="AS3" s="123">
        <f t="shared" si="3"/>
        <v>63</v>
      </c>
      <c r="AT3" s="123">
        <f t="shared" si="3"/>
        <v>52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7</v>
      </c>
      <c r="T4" s="10">
        <f>COUNTIFS(T8:T715, "=APAGADO",K8:K715,"=Fibra Optica")</f>
        <v>31</v>
      </c>
      <c r="U4" s="10">
        <f>COUNTIFS(U8:U715, "=APAGADO",K8:K715,"=Fibra Optica")</f>
        <v>46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13</v>
      </c>
      <c r="Y4" s="10">
        <f>COUNTIFS(Y8:Y715, "=APAGADO",K8:K715,"=Fibra Optica")</f>
        <v>27</v>
      </c>
      <c r="Z4" s="10">
        <f>COUNTIFS(Z8:Z715, "=APAGADO",K8:K715,"=Fibra Optica")</f>
        <v>23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36</v>
      </c>
      <c r="AF4" s="10">
        <f>COUNTIFS(AF8:AF715, "=APAGADO",K8:K715,"=Fibra Optica")</f>
        <v>10</v>
      </c>
      <c r="AG4" s="10">
        <f>COUNTIFS(AG8:AG715, "=APAGADO",K8:K715,"=Fibra Optica")</f>
        <v>11</v>
      </c>
      <c r="AH4" s="10">
        <f>COUNTIFS(AH8:AH715, "=APAGADO",K8:K715,"=Fibra Optica")</f>
        <v>11</v>
      </c>
      <c r="AI4" s="10">
        <f>COUNTIFS(AI8:AI715, "=APAGADO",K8:K715,"=Fibra Optica")</f>
        <v>13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20</v>
      </c>
      <c r="AM4" s="10">
        <f>COUNTIFS(AM8:AM715, "=APAGADO",K8:K715,"=Fibra Optica")</f>
        <v>18</v>
      </c>
      <c r="AN4" s="10">
        <f>COUNTIFS(AN8:AN715, "=APAGADO",K8:K715,"=Fibra Optica")</f>
        <v>22</v>
      </c>
      <c r="AO4" s="10">
        <f>COUNTIFS(AO8:AO715, "=APAGADO",K8:K715,"=Fibra Optica")</f>
        <v>14</v>
      </c>
      <c r="AP4" s="10">
        <f>COUNTIFS(AP8:AP715, "=APAGADO",K8:K715,"=Fibra Optica")</f>
        <v>7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17</v>
      </c>
      <c r="AT4" s="10">
        <f>COUNTIFS(AT8:AT715, "=APAGADO",K8:K715,"=Fibra Optica")</f>
        <v>13</v>
      </c>
      <c r="AU4" s="10">
        <f>COUNTIFS(AU8:AU715, "=APAGADO",L8:L715,"=Fibra Optica")</f>
        <v>0</v>
      </c>
      <c r="AV4" s="10">
        <f>COUNTIFS(AV8:AV715, "=APAGADO",M8:M715,"=Fibra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1</v>
      </c>
      <c r="T5" s="127">
        <f>COUNTIFS(T8:T715, "=APAGADO",K8:K715,"=RADIO")</f>
        <v>1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2</v>
      </c>
      <c r="Y5" s="127">
        <f>COUNTIFS(Y8:Y715, "=APAGADO",K8:K715,"=RADIO")</f>
        <v>2</v>
      </c>
      <c r="Z5" s="127">
        <f>COUNTIFS(Z8:Z715, "=APAGADO",K8:K715,"=RADIO")</f>
        <v>7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6</v>
      </c>
      <c r="AF5" s="127">
        <f>COUNTIFS(AF8:AF715, "=APAGADO",K8:K715,"=RADIO")</f>
        <v>2</v>
      </c>
      <c r="AG5" s="127">
        <f>COUNTIFS(AG8:AG715, "=APAGADO",K8:K715,"=RADIO")</f>
        <v>2</v>
      </c>
      <c r="AH5" s="127">
        <f>COUNTIFS(AH8:AH715, "=APAGADO",K8:K715,"=RADIO")</f>
        <v>2</v>
      </c>
      <c r="AI5" s="127">
        <f>COUNTIFS(AI8:AI715, "=APAGADO",K8:K715,"=RADIO")</f>
        <v>1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1</v>
      </c>
      <c r="AM5" s="127">
        <f>COUNTIFS(AM8:AM715, "=APAGADO",K8:K715,"=RADIO")</f>
        <v>1</v>
      </c>
      <c r="AN5" s="127">
        <f>COUNTIFS(AN8:AN715, "=APAGADO",K8:K715,"=RADIO")</f>
        <v>1</v>
      </c>
      <c r="AO5" s="127">
        <f>COUNTIFS(AO8:AO715, "=APAGADO",K8:K715,"=RADIO")</f>
        <v>1</v>
      </c>
      <c r="AP5" s="127">
        <f>COUNTIFS(AP8:AP715, "=APAGADO",K8:K715,"=RADIO")</f>
        <v>1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1</v>
      </c>
      <c r="AT5" s="127">
        <f>COUNTIFS(AT8:AT715, "=APAGADO",K8:K715,"=RADIO")</f>
        <v>1</v>
      </c>
      <c r="AU5" s="127">
        <f>COUNTIFS(AU8:AU715, "=APAGADO",L8:L715,"=RADIO")</f>
        <v>0</v>
      </c>
      <c r="AV5" s="127">
        <f>COUNTIFS(AV8:AV715, "=APAGADO",M8:M715,"=RADIO")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6</v>
      </c>
      <c r="T6" s="10">
        <f>COUNTIFS(T8:T715, "=APAGADO",K8:K715,"=PTO A FO")</f>
        <v>11</v>
      </c>
      <c r="U6" s="10">
        <f>COUNTIFS(U8:U715, "=APAGADO",K8:K715,"=PTO A FO")</f>
        <v>15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14</v>
      </c>
      <c r="Y6" s="10">
        <f>COUNTIFS(Y8:Y715, "=APAGADO",K8:K715,"=PTO A FO")</f>
        <v>14</v>
      </c>
      <c r="Z6" s="10">
        <f>COUNTIFS(Z8:Z715, "=APAGADO",K8:K715,"=PTO A FO")</f>
        <v>15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13</v>
      </c>
      <c r="AF6" s="10">
        <f>COUNTIFS(AF8:AF715, "=APAGADO",K8:K715,"=PTO A FO")</f>
        <v>11</v>
      </c>
      <c r="AG6" s="10">
        <f>COUNTIFS(AG8:AG715, "=APAGADO",K8:K715,"=PTO A FO")</f>
        <v>9</v>
      </c>
      <c r="AH6" s="10">
        <f>COUNTIFS(AH8:AH715, "=APAGADO",K8:K715,"=PTO A FO")</f>
        <v>6</v>
      </c>
      <c r="AI6" s="10">
        <f>COUNTIFS(AI8:AI715, "=APAGADO",K8:K715,"=PTO A FO")</f>
        <v>8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7</v>
      </c>
      <c r="AM6" s="10">
        <f>COUNTIFS(AM8:AM715, "=APAGADO",K8:K715,"=PTO A FO")</f>
        <v>5</v>
      </c>
      <c r="AN6" s="10">
        <f>COUNTIFS(AN8:AN715, "=APAGADO",K8:K715,"=PTO A FO")</f>
        <v>5</v>
      </c>
      <c r="AO6" s="10">
        <f>COUNTIFS(AO8:AO715, "=APAGADO",K8:K715,"=PTO A FO")</f>
        <v>8</v>
      </c>
      <c r="AP6" s="10">
        <f>COUNTIFS(AP8:AP715, "=APAGADO",K8:K715,"=PTO A FO")</f>
        <v>9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8</v>
      </c>
      <c r="AT6" s="10">
        <f>COUNTIFS(AT8:AT715, "=APAGADO",K8:K715,"=PTO A FO")</f>
        <v>6</v>
      </c>
      <c r="AU6" s="10">
        <f>COUNTIFS(AU8:AU715, "=APAGADO",L8:L715,"=PTO A FO")</f>
        <v>0</v>
      </c>
      <c r="AV6" s="10">
        <f>COUNTIFS(AV8:AV715, "=APAGADO",M8:M715,"=PTO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hidden="1" customHeight="1" thickBot="1" x14ac:dyDescent="0.3">
      <c r="E8" s="150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4">COUNTIF(S8:AT8,"")</f>
        <v>28</v>
      </c>
      <c r="P8" s="136" t="s">
        <v>1622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0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4"/>
        <v>28</v>
      </c>
      <c r="P9" s="136" t="s">
        <v>1623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0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4"/>
        <v>28</v>
      </c>
      <c r="P10" s="136" t="s">
        <v>1625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0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4"/>
        <v>28</v>
      </c>
      <c r="P11" s="136" t="s">
        <v>1627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0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4"/>
        <v>28</v>
      </c>
      <c r="P12" s="136" t="s">
        <v>1628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0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4"/>
        <v>28</v>
      </c>
      <c r="P13" s="136" t="s">
        <v>1629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0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4"/>
        <v>28</v>
      </c>
      <c r="P14" s="136" t="s">
        <v>2098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4"/>
        <v>27</v>
      </c>
      <c r="P15" s="136" t="s">
        <v>1620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2208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4"/>
        <v>27</v>
      </c>
      <c r="P16" s="136" t="s">
        <v>1621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2208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0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4"/>
        <v>28</v>
      </c>
      <c r="P17" s="136" t="s">
        <v>1624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4"/>
        <v>27</v>
      </c>
      <c r="P18" s="136" t="s">
        <v>1626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2208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0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4"/>
        <v>28</v>
      </c>
      <c r="P19" s="136" t="s">
        <v>1630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0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4"/>
        <v>28</v>
      </c>
      <c r="P20" s="136" t="s">
        <v>1631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0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4"/>
        <v>28</v>
      </c>
      <c r="P21" s="136" t="s">
        <v>1632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4"/>
        <v>28</v>
      </c>
      <c r="P22" s="136" t="s">
        <v>2254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4"/>
        <v>28</v>
      </c>
      <c r="P23" s="136" t="s">
        <v>1633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0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4"/>
        <v>28</v>
      </c>
      <c r="P24" s="136" t="s">
        <v>1640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0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4"/>
        <v>28</v>
      </c>
      <c r="P25" s="136" t="s">
        <v>2099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0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4"/>
        <v>28</v>
      </c>
      <c r="P26" s="136" t="s">
        <v>2100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0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4"/>
        <v>28</v>
      </c>
      <c r="P27" s="136" t="s">
        <v>2101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0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4"/>
        <v>28</v>
      </c>
      <c r="P28" s="136" t="s">
        <v>2229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7">COUNTIF(S30:AT30,"")</f>
        <v>24</v>
      </c>
      <c r="P30" s="136" t="s">
        <v>1634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2208</v>
      </c>
      <c r="V30" s="70"/>
      <c r="W30" s="70"/>
      <c r="X30" s="70" t="s">
        <v>2208</v>
      </c>
      <c r="Y30" s="70" t="s">
        <v>2208</v>
      </c>
      <c r="Z30" s="70" t="s">
        <v>2208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7"/>
        <v>24</v>
      </c>
      <c r="P31" s="136" t="s">
        <v>1635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2208</v>
      </c>
      <c r="V31" s="70"/>
      <c r="W31" s="70"/>
      <c r="X31" s="70" t="s">
        <v>2208</v>
      </c>
      <c r="Y31" s="70" t="s">
        <v>2208</v>
      </c>
      <c r="Z31" s="70" t="s">
        <v>2208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7"/>
        <v>19</v>
      </c>
      <c r="P32" s="136" t="s">
        <v>1636</v>
      </c>
      <c r="Q32" s="31">
        <f t="shared" si="8"/>
        <v>9</v>
      </c>
      <c r="R32" s="32">
        <f t="shared" si="9"/>
        <v>0.6785714285714286</v>
      </c>
      <c r="S32" s="70"/>
      <c r="T32" s="70" t="s">
        <v>2208</v>
      </c>
      <c r="U32" s="70" t="s">
        <v>2208</v>
      </c>
      <c r="V32" s="70"/>
      <c r="W32" s="70"/>
      <c r="X32" s="70" t="s">
        <v>2208</v>
      </c>
      <c r="Y32" s="70" t="s">
        <v>2208</v>
      </c>
      <c r="Z32" s="70" t="s">
        <v>2208</v>
      </c>
      <c r="AA32" s="70"/>
      <c r="AB32" s="70"/>
      <c r="AC32" s="70"/>
      <c r="AD32" s="70"/>
      <c r="AE32" s="70" t="s">
        <v>2208</v>
      </c>
      <c r="AF32" s="70" t="s">
        <v>2208</v>
      </c>
      <c r="AG32" s="70"/>
      <c r="AH32" s="70"/>
      <c r="AI32" s="70"/>
      <c r="AJ32" s="70"/>
      <c r="AK32" s="70"/>
      <c r="AL32" s="70"/>
      <c r="AM32" s="70"/>
      <c r="AN32" s="70"/>
      <c r="AO32" s="70" t="s">
        <v>2208</v>
      </c>
      <c r="AP32" s="70" t="s">
        <v>2208</v>
      </c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7"/>
        <v>19</v>
      </c>
      <c r="P33" s="136" t="s">
        <v>1637</v>
      </c>
      <c r="Q33" s="31">
        <f t="shared" si="8"/>
        <v>9</v>
      </c>
      <c r="R33" s="32">
        <f t="shared" si="9"/>
        <v>0.6785714285714286</v>
      </c>
      <c r="S33" s="70"/>
      <c r="T33" s="70" t="s">
        <v>2208</v>
      </c>
      <c r="U33" s="70" t="s">
        <v>2208</v>
      </c>
      <c r="V33" s="70"/>
      <c r="W33" s="70"/>
      <c r="X33" s="70" t="s">
        <v>2208</v>
      </c>
      <c r="Y33" s="70" t="s">
        <v>2208</v>
      </c>
      <c r="Z33" s="70" t="s">
        <v>2208</v>
      </c>
      <c r="AA33" s="70"/>
      <c r="AB33" s="70"/>
      <c r="AC33" s="70"/>
      <c r="AD33" s="70"/>
      <c r="AE33" s="70" t="s">
        <v>2208</v>
      </c>
      <c r="AF33" s="70" t="s">
        <v>2208</v>
      </c>
      <c r="AG33" s="70"/>
      <c r="AH33" s="70"/>
      <c r="AI33" s="70"/>
      <c r="AJ33" s="70"/>
      <c r="AK33" s="70"/>
      <c r="AL33" s="70"/>
      <c r="AM33" s="70"/>
      <c r="AN33" s="70"/>
      <c r="AO33" s="70" t="s">
        <v>2208</v>
      </c>
      <c r="AP33" s="70" t="s">
        <v>2208</v>
      </c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7"/>
        <v>26</v>
      </c>
      <c r="P34" s="136" t="s">
        <v>1638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2208</v>
      </c>
      <c r="V34" s="70"/>
      <c r="W34" s="70"/>
      <c r="X34" s="70" t="s">
        <v>2208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7"/>
        <v>27</v>
      </c>
      <c r="P35" s="136" t="s">
        <v>1639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7"/>
        <v>27</v>
      </c>
      <c r="P36" s="136" t="s">
        <v>1642</v>
      </c>
      <c r="Q36" s="31">
        <f t="shared" si="8"/>
        <v>1</v>
      </c>
      <c r="R36" s="32">
        <f t="shared" si="9"/>
        <v>0.9642857142857143</v>
      </c>
      <c r="S36" s="70"/>
      <c r="T36" s="70" t="s">
        <v>2208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7"/>
        <v>27</v>
      </c>
      <c r="P37" s="136" t="s">
        <v>1643</v>
      </c>
      <c r="Q37" s="31">
        <f t="shared" si="8"/>
        <v>1</v>
      </c>
      <c r="R37" s="32">
        <f t="shared" si="9"/>
        <v>0.9642857142857143</v>
      </c>
      <c r="S37" s="70"/>
      <c r="T37" s="70" t="s">
        <v>2208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0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7"/>
        <v>26</v>
      </c>
      <c r="P38" s="136" t="s">
        <v>2104</v>
      </c>
      <c r="Q38" s="31">
        <f t="shared" si="8"/>
        <v>2</v>
      </c>
      <c r="R38" s="32">
        <f t="shared" si="9"/>
        <v>0.9285714285714286</v>
      </c>
      <c r="S38" s="70" t="s">
        <v>2208</v>
      </c>
      <c r="T38" s="70" t="s">
        <v>2208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hidden="1" thickBot="1" x14ac:dyDescent="0.3">
      <c r="A39"/>
      <c r="B39"/>
      <c r="C39"/>
      <c r="D39"/>
      <c r="E39" s="150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7"/>
        <v>26</v>
      </c>
      <c r="P39" s="136" t="s">
        <v>2128</v>
      </c>
      <c r="Q39" s="31">
        <f t="shared" si="8"/>
        <v>2</v>
      </c>
      <c r="R39" s="32">
        <f t="shared" si="9"/>
        <v>0.9285714285714286</v>
      </c>
      <c r="S39" s="70" t="s">
        <v>2208</v>
      </c>
      <c r="T39" s="70" t="s">
        <v>2208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hidden="1" thickBot="1" x14ac:dyDescent="0.3">
      <c r="A40"/>
      <c r="B40"/>
      <c r="C40"/>
      <c r="D40"/>
      <c r="E40" s="150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7"/>
        <v>26</v>
      </c>
      <c r="P40" s="136" t="s">
        <v>2129</v>
      </c>
      <c r="Q40" s="31">
        <f t="shared" si="8"/>
        <v>2</v>
      </c>
      <c r="R40" s="32">
        <f t="shared" si="9"/>
        <v>0.9285714285714286</v>
      </c>
      <c r="S40" s="70" t="s">
        <v>2208</v>
      </c>
      <c r="T40" s="70" t="s">
        <v>2208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hidden="1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7"/>
        <v>27</v>
      </c>
      <c r="P41" s="136" t="s">
        <v>2130</v>
      </c>
      <c r="Q41" s="31">
        <f t="shared" si="8"/>
        <v>1</v>
      </c>
      <c r="R41" s="32">
        <f t="shared" si="9"/>
        <v>0.9642857142857143</v>
      </c>
      <c r="S41" s="70"/>
      <c r="T41" s="70" t="s">
        <v>2208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7"/>
        <v>23</v>
      </c>
      <c r="P42" s="136" t="s">
        <v>2172</v>
      </c>
      <c r="Q42" s="31">
        <f t="shared" si="8"/>
        <v>5</v>
      </c>
      <c r="R42" s="32">
        <f t="shared" si="9"/>
        <v>0.8214285714285714</v>
      </c>
      <c r="S42" s="70"/>
      <c r="T42" s="70" t="s">
        <v>2208</v>
      </c>
      <c r="U42" s="70" t="s">
        <v>2208</v>
      </c>
      <c r="V42" s="70"/>
      <c r="W42" s="70"/>
      <c r="X42" s="70" t="s">
        <v>2208</v>
      </c>
      <c r="Y42" s="70" t="s">
        <v>2208</v>
      </c>
      <c r="Z42" s="70" t="s">
        <v>2208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7"/>
        <v>23</v>
      </c>
      <c r="P43" s="136" t="s">
        <v>2176</v>
      </c>
      <c r="Q43" s="31">
        <f t="shared" si="8"/>
        <v>5</v>
      </c>
      <c r="R43" s="32">
        <f t="shared" si="9"/>
        <v>0.8214285714285714</v>
      </c>
      <c r="S43" s="70"/>
      <c r="T43" s="70" t="s">
        <v>2208</v>
      </c>
      <c r="U43" s="70" t="s">
        <v>2208</v>
      </c>
      <c r="V43" s="70"/>
      <c r="W43" s="70"/>
      <c r="X43" s="70" t="s">
        <v>2208</v>
      </c>
      <c r="Y43" s="70" t="s">
        <v>2208</v>
      </c>
      <c r="Z43" s="70" t="s">
        <v>2208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7"/>
        <v>28</v>
      </c>
      <c r="P44" s="136" t="s">
        <v>1648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7"/>
        <v>28</v>
      </c>
      <c r="P45" s="136" t="s">
        <v>1654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0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7"/>
        <v>28</v>
      </c>
      <c r="P46" s="136" t="s">
        <v>1655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7"/>
        <v>27</v>
      </c>
      <c r="P47" s="136" t="s">
        <v>1677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2208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0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7"/>
        <v>28</v>
      </c>
      <c r="P48" s="136" t="s">
        <v>1690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7"/>
        <v>28</v>
      </c>
      <c r="P49" s="136" t="s">
        <v>1691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7"/>
        <v>28</v>
      </c>
      <c r="P50" s="136" t="s">
        <v>1693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7"/>
        <v>28</v>
      </c>
      <c r="P51" s="136" t="s">
        <v>1694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7"/>
        <v>28</v>
      </c>
      <c r="P52" s="136" t="s">
        <v>1695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7"/>
        <v>28</v>
      </c>
      <c r="P53" s="136" t="s">
        <v>1696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7"/>
        <v>28</v>
      </c>
      <c r="P54" s="136" t="s">
        <v>1697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7"/>
        <v>28</v>
      </c>
      <c r="P55" s="136" t="s">
        <v>1698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7"/>
        <v>28</v>
      </c>
      <c r="P56" s="136" t="s">
        <v>1700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7"/>
        <v>27</v>
      </c>
      <c r="P57" s="136" t="s">
        <v>1701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2208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0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7"/>
        <v>28</v>
      </c>
      <c r="P58" s="136" t="s">
        <v>1705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7"/>
        <v>28</v>
      </c>
      <c r="P59" s="136" t="s">
        <v>1709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7"/>
        <v>28</v>
      </c>
      <c r="P60" s="136" t="s">
        <v>1710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7"/>
        <v>28</v>
      </c>
      <c r="P61" s="136" t="s">
        <v>1711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0">COUNTIF(S62:AT62,"")</f>
        <v>28</v>
      </c>
      <c r="P62" s="136" t="s">
        <v>1714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0"/>
        <v>28</v>
      </c>
      <c r="P63" s="136" t="s">
        <v>1715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0"/>
        <v>27</v>
      </c>
      <c r="P64" s="136" t="s">
        <v>1716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2208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0"/>
        <v>28</v>
      </c>
      <c r="P65" s="136" t="s">
        <v>1717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0"/>
        <v>27</v>
      </c>
      <c r="P66" s="136" t="s">
        <v>1718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2208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0"/>
        <v>27</v>
      </c>
      <c r="P67" s="136" t="s">
        <v>1719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2208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0"/>
        <v>27</v>
      </c>
      <c r="P68" s="136" t="s">
        <v>1720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2208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0"/>
        <v>28</v>
      </c>
      <c r="P69" s="136" t="s">
        <v>1721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0"/>
        <v>28</v>
      </c>
      <c r="P70" s="136" t="s">
        <v>1723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0"/>
        <v>24</v>
      </c>
      <c r="P71" s="136" t="s">
        <v>1724</v>
      </c>
      <c r="Q71" s="31">
        <f t="shared" si="11"/>
        <v>4</v>
      </c>
      <c r="R71" s="32">
        <f t="shared" si="12"/>
        <v>0.8571428571428571</v>
      </c>
      <c r="S71" s="70"/>
      <c r="T71" s="70"/>
      <c r="U71" s="70"/>
      <c r="V71" s="70"/>
      <c r="W71" s="70"/>
      <c r="X71" s="70"/>
      <c r="Y71" s="70"/>
      <c r="Z71" s="70" t="s">
        <v>2208</v>
      </c>
      <c r="AA71" s="70"/>
      <c r="AB71" s="70"/>
      <c r="AC71" s="70"/>
      <c r="AD71" s="70"/>
      <c r="AE71" s="70"/>
      <c r="AF71" s="70"/>
      <c r="AG71" s="70"/>
      <c r="AH71" s="70"/>
      <c r="AI71" s="70" t="s">
        <v>2208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 t="s">
        <v>2208</v>
      </c>
      <c r="AT71" s="70" t="s">
        <v>2208</v>
      </c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0"/>
        <v>28</v>
      </c>
      <c r="P72" s="136" t="s">
        <v>1725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0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0"/>
        <v>28</v>
      </c>
      <c r="P73" s="136" t="s">
        <v>1644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0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0"/>
        <v>28</v>
      </c>
      <c r="P74" s="136" t="s">
        <v>1645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0"/>
        <v>28</v>
      </c>
      <c r="P75" s="136" t="s">
        <v>2461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0"/>
        <v>28</v>
      </c>
      <c r="P76" s="136" t="s">
        <v>1647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0"/>
        <v>10</v>
      </c>
      <c r="P77" s="136" t="s">
        <v>2414</v>
      </c>
      <c r="Q77" s="31">
        <f t="shared" si="11"/>
        <v>18</v>
      </c>
      <c r="R77" s="32">
        <f t="shared" si="12"/>
        <v>0.35714285714285715</v>
      </c>
      <c r="S77" s="70" t="s">
        <v>2208</v>
      </c>
      <c r="T77" s="70" t="s">
        <v>2208</v>
      </c>
      <c r="U77" s="70" t="s">
        <v>2208</v>
      </c>
      <c r="V77" s="70"/>
      <c r="W77" s="70"/>
      <c r="X77" s="70" t="s">
        <v>2208</v>
      </c>
      <c r="Y77" s="70" t="s">
        <v>2208</v>
      </c>
      <c r="Z77" s="70" t="s">
        <v>2208</v>
      </c>
      <c r="AA77" s="70"/>
      <c r="AB77" s="70"/>
      <c r="AC77" s="70"/>
      <c r="AD77" s="70"/>
      <c r="AE77" s="70" t="s">
        <v>2208</v>
      </c>
      <c r="AF77" s="70" t="s">
        <v>2208</v>
      </c>
      <c r="AG77" s="70" t="s">
        <v>2208</v>
      </c>
      <c r="AH77" s="70" t="s">
        <v>2208</v>
      </c>
      <c r="AI77" s="70" t="s">
        <v>2208</v>
      </c>
      <c r="AJ77" s="70"/>
      <c r="AK77" s="70"/>
      <c r="AL77" s="70" t="s">
        <v>2208</v>
      </c>
      <c r="AM77" s="70" t="s">
        <v>2208</v>
      </c>
      <c r="AN77" s="70" t="s">
        <v>2208</v>
      </c>
      <c r="AO77" s="70" t="s">
        <v>2208</v>
      </c>
      <c r="AP77" s="70" t="s">
        <v>2208</v>
      </c>
      <c r="AQ77" s="70"/>
      <c r="AR77" s="70"/>
      <c r="AS77" s="70" t="s">
        <v>2208</v>
      </c>
      <c r="AT77" s="70" t="s">
        <v>2208</v>
      </c>
      <c r="AU77" s="70"/>
      <c r="AV77" s="138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0"/>
        <v>28</v>
      </c>
      <c r="P78" s="136" t="s">
        <v>1649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0"/>
        <v>28</v>
      </c>
      <c r="P79" s="136" t="s">
        <v>1650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0"/>
        <v>28</v>
      </c>
      <c r="P80" s="136" t="s">
        <v>1651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0"/>
        <v>28</v>
      </c>
      <c r="P81" s="136" t="s">
        <v>1652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0"/>
        <v>28</v>
      </c>
      <c r="P82" s="136" t="s">
        <v>2239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0"/>
        <v>28</v>
      </c>
      <c r="P83" s="136" t="s">
        <v>1653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0"/>
        <v>27</v>
      </c>
      <c r="P84" s="136" t="s">
        <v>1656</v>
      </c>
      <c r="Q84" s="31">
        <f t="shared" si="11"/>
        <v>1</v>
      </c>
      <c r="R84" s="32">
        <f t="shared" si="12"/>
        <v>0.9642857142857143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 t="s">
        <v>2208</v>
      </c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0"/>
        <v>28</v>
      </c>
      <c r="P85" s="136" t="s">
        <v>1657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0"/>
        <v>28</v>
      </c>
      <c r="P86" s="136" t="s">
        <v>1658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0"/>
        <v>28</v>
      </c>
      <c r="P87" s="136" t="s">
        <v>1659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0"/>
        <v>28</v>
      </c>
      <c r="P88" s="136" t="s">
        <v>1660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0"/>
        <v>28</v>
      </c>
      <c r="P89" s="136" t="s">
        <v>1661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0"/>
        <v>28</v>
      </c>
      <c r="P90" s="136" t="s">
        <v>1662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0"/>
        <v>28</v>
      </c>
      <c r="P91" s="136" t="s">
        <v>2292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0"/>
        <v>28</v>
      </c>
      <c r="P92" s="136" t="s">
        <v>1663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0"/>
        <v>28</v>
      </c>
      <c r="P93" s="136" t="s">
        <v>1664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3">COUNTIF(S94:AT94,"")</f>
        <v>28</v>
      </c>
      <c r="P94" s="136" t="s">
        <v>1665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0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3"/>
        <v>28</v>
      </c>
      <c r="P95" s="136" t="s">
        <v>1666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3"/>
        <v>28</v>
      </c>
      <c r="P96" s="136" t="s">
        <v>2378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3"/>
        <v>28</v>
      </c>
      <c r="P97" s="136" t="s">
        <v>1667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3"/>
        <v>27</v>
      </c>
      <c r="P98" s="136" t="s">
        <v>1668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2208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3"/>
        <v>28</v>
      </c>
      <c r="P99" s="136" t="s">
        <v>1669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3"/>
        <v>28</v>
      </c>
      <c r="P100" s="136" t="s">
        <v>1670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3"/>
        <v>27</v>
      </c>
      <c r="P101" s="136" t="s">
        <v>1671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2208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3"/>
        <v>28</v>
      </c>
      <c r="P102" s="136" t="s">
        <v>1672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3"/>
        <v>28</v>
      </c>
      <c r="P103" s="136" t="s">
        <v>1673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3"/>
        <v>27</v>
      </c>
      <c r="P104" s="136" t="s">
        <v>1674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2208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3"/>
        <v>27</v>
      </c>
      <c r="P105" s="136" t="s">
        <v>1675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2208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3"/>
        <v>28</v>
      </c>
      <c r="P106" s="136" t="s">
        <v>1676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3"/>
        <v>28</v>
      </c>
      <c r="P107" s="136" t="s">
        <v>1678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3"/>
        <v>27</v>
      </c>
      <c r="P108" s="136" t="s">
        <v>1679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2208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3"/>
        <v>28</v>
      </c>
      <c r="P109" s="136" t="s">
        <v>1680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3"/>
        <v>19</v>
      </c>
      <c r="P110" s="136" t="s">
        <v>1681</v>
      </c>
      <c r="Q110" s="31">
        <f t="shared" si="14"/>
        <v>9</v>
      </c>
      <c r="R110" s="32">
        <f t="shared" si="15"/>
        <v>0.6785714285714286</v>
      </c>
      <c r="S110" s="70" t="s">
        <v>2208</v>
      </c>
      <c r="T110" s="70" t="s">
        <v>2208</v>
      </c>
      <c r="U110" s="70" t="s">
        <v>2208</v>
      </c>
      <c r="V110" s="70"/>
      <c r="W110" s="70"/>
      <c r="X110" s="70" t="s">
        <v>2208</v>
      </c>
      <c r="Y110" s="70"/>
      <c r="Z110" s="70"/>
      <c r="AA110" s="70"/>
      <c r="AB110" s="70"/>
      <c r="AC110" s="70"/>
      <c r="AD110" s="70"/>
      <c r="AE110" s="70" t="s">
        <v>2208</v>
      </c>
      <c r="AF110" s="70"/>
      <c r="AG110" s="70"/>
      <c r="AH110" s="70" t="s">
        <v>2208</v>
      </c>
      <c r="AI110" s="70"/>
      <c r="AJ110" s="70"/>
      <c r="AK110" s="70"/>
      <c r="AL110" s="70"/>
      <c r="AM110" s="70"/>
      <c r="AN110" s="70"/>
      <c r="AO110" s="70" t="s">
        <v>2208</v>
      </c>
      <c r="AP110" s="70"/>
      <c r="AQ110" s="70"/>
      <c r="AR110" s="70"/>
      <c r="AS110" s="70" t="s">
        <v>2208</v>
      </c>
      <c r="AT110" s="70" t="s">
        <v>2208</v>
      </c>
      <c r="AU110" s="70"/>
      <c r="AV110" s="138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3"/>
        <v>23</v>
      </c>
      <c r="P111" s="136" t="s">
        <v>1682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2208</v>
      </c>
      <c r="Y111" s="70" t="s">
        <v>2208</v>
      </c>
      <c r="Z111" s="70" t="s">
        <v>2208</v>
      </c>
      <c r="AA111" s="70"/>
      <c r="AB111" s="70"/>
      <c r="AC111" s="70"/>
      <c r="AD111" s="70"/>
      <c r="AE111" s="70" t="s">
        <v>2208</v>
      </c>
      <c r="AF111" s="70" t="s">
        <v>2208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3"/>
        <v>28</v>
      </c>
      <c r="P112" s="136" t="s">
        <v>1683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3"/>
        <v>28</v>
      </c>
      <c r="P113" s="136" t="s">
        <v>1684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3"/>
        <v>28</v>
      </c>
      <c r="P114" s="136" t="s">
        <v>1685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3"/>
        <v>28</v>
      </c>
      <c r="P115" s="136" t="s">
        <v>1686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3"/>
        <v>28</v>
      </c>
      <c r="P116" s="136" t="s">
        <v>1687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3"/>
        <v>28</v>
      </c>
      <c r="P117" s="136" t="s">
        <v>1688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3"/>
        <v>27</v>
      </c>
      <c r="P118" s="136" t="s">
        <v>1689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2208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0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3"/>
        <v>28</v>
      </c>
      <c r="P119" s="136" t="s">
        <v>1692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3"/>
        <v>28</v>
      </c>
      <c r="P120" s="136" t="s">
        <v>1699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3"/>
        <v>28</v>
      </c>
      <c r="P121" s="136" t="s">
        <v>1702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0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3"/>
        <v>28</v>
      </c>
      <c r="P122" s="136" t="s">
        <v>1703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3"/>
        <v>28</v>
      </c>
      <c r="P123" s="136" t="s">
        <v>1704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0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3"/>
        <v>28</v>
      </c>
      <c r="P124" s="136" t="s">
        <v>1705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3"/>
        <v>28</v>
      </c>
      <c r="P125" s="136" t="s">
        <v>1707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6">COUNTIF(S126:AT126,"")</f>
        <v>28</v>
      </c>
      <c r="P126" s="136" t="s">
        <v>1706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6"/>
        <v>28</v>
      </c>
      <c r="P127" s="136" t="s">
        <v>1708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6"/>
        <v>28</v>
      </c>
      <c r="P128" s="136" t="s">
        <v>1712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0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6"/>
        <v>28</v>
      </c>
      <c r="P129" s="136" t="s">
        <v>1713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6"/>
        <v>28</v>
      </c>
      <c r="P130" s="136" t="s">
        <v>1722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6"/>
        <v>10</v>
      </c>
      <c r="P131" s="136" t="s">
        <v>1726</v>
      </c>
      <c r="Q131" s="131">
        <f t="shared" si="17"/>
        <v>18</v>
      </c>
      <c r="R131" s="132">
        <f t="shared" si="18"/>
        <v>0.35714285714285715</v>
      </c>
      <c r="S131" s="70" t="s">
        <v>2208</v>
      </c>
      <c r="T131" s="70" t="s">
        <v>2208</v>
      </c>
      <c r="U131" s="70" t="s">
        <v>2208</v>
      </c>
      <c r="V131" s="70"/>
      <c r="W131" s="70"/>
      <c r="X131" s="70" t="s">
        <v>2208</v>
      </c>
      <c r="Y131" s="70" t="s">
        <v>2208</v>
      </c>
      <c r="Z131" s="70" t="s">
        <v>2208</v>
      </c>
      <c r="AA131" s="70"/>
      <c r="AB131" s="70"/>
      <c r="AC131" s="70"/>
      <c r="AD131" s="70"/>
      <c r="AE131" s="70" t="s">
        <v>2208</v>
      </c>
      <c r="AF131" s="70" t="s">
        <v>2208</v>
      </c>
      <c r="AG131" s="70" t="s">
        <v>2208</v>
      </c>
      <c r="AH131" s="70" t="s">
        <v>2208</v>
      </c>
      <c r="AI131" s="70" t="s">
        <v>2208</v>
      </c>
      <c r="AJ131" s="70"/>
      <c r="AK131" s="70"/>
      <c r="AL131" s="70" t="s">
        <v>2208</v>
      </c>
      <c r="AM131" s="70" t="s">
        <v>2208</v>
      </c>
      <c r="AN131" s="70" t="s">
        <v>2208</v>
      </c>
      <c r="AO131" s="70" t="s">
        <v>2208</v>
      </c>
      <c r="AP131" s="70" t="s">
        <v>2208</v>
      </c>
      <c r="AQ131" s="70"/>
      <c r="AR131" s="70"/>
      <c r="AS131" s="70" t="s">
        <v>2208</v>
      </c>
      <c r="AT131" s="70" t="s">
        <v>2208</v>
      </c>
      <c r="AU131" s="70"/>
      <c r="AV131" s="138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6"/>
        <v>28</v>
      </c>
      <c r="P132" s="136" t="s">
        <v>1727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6"/>
        <v>28</v>
      </c>
      <c r="P133" s="136" t="s">
        <v>1728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6"/>
        <v>28</v>
      </c>
      <c r="P134" s="136" t="s">
        <v>1729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6"/>
        <v>28</v>
      </c>
      <c r="P135" s="136" t="s">
        <v>1730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6"/>
        <v>28</v>
      </c>
      <c r="P136" s="136" t="s">
        <v>1731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6"/>
        <v>28</v>
      </c>
      <c r="P137" s="136" t="s">
        <v>1732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6"/>
        <v>19</v>
      </c>
      <c r="P138" s="136" t="s">
        <v>2131</v>
      </c>
      <c r="Q138" s="131">
        <f t="shared" si="17"/>
        <v>9</v>
      </c>
      <c r="R138" s="132">
        <f t="shared" si="18"/>
        <v>0.6785714285714286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2208</v>
      </c>
      <c r="AI138" s="70" t="s">
        <v>2208</v>
      </c>
      <c r="AJ138" s="70"/>
      <c r="AK138" s="70"/>
      <c r="AL138" s="70" t="s">
        <v>2208</v>
      </c>
      <c r="AM138" s="70" t="s">
        <v>2208</v>
      </c>
      <c r="AN138" s="70" t="s">
        <v>2208</v>
      </c>
      <c r="AO138" s="70" t="s">
        <v>2208</v>
      </c>
      <c r="AP138" s="70" t="s">
        <v>2208</v>
      </c>
      <c r="AQ138" s="70"/>
      <c r="AR138" s="70"/>
      <c r="AS138" s="70" t="s">
        <v>2208</v>
      </c>
      <c r="AT138" s="70" t="s">
        <v>2208</v>
      </c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6"/>
        <v>28</v>
      </c>
      <c r="P139" s="136" t="s">
        <v>1733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6"/>
        <v>28</v>
      </c>
      <c r="P140" s="136" t="s">
        <v>1734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6"/>
        <v>28</v>
      </c>
      <c r="P141" s="136" t="s">
        <v>2133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6"/>
        <v>28</v>
      </c>
      <c r="P142" s="136" t="s">
        <v>2156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0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6"/>
        <v>28</v>
      </c>
      <c r="P143" s="136" t="s">
        <v>2186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6"/>
        <v>28</v>
      </c>
      <c r="P144" s="136" t="s">
        <v>1735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2208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6"/>
        <v>27</v>
      </c>
      <c r="P146" s="136" t="s">
        <v>1736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6"/>
        <v>28</v>
      </c>
      <c r="P147" s="136" t="s">
        <v>1737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6"/>
        <v>26</v>
      </c>
      <c r="P148" s="136" t="s">
        <v>1738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2208</v>
      </c>
      <c r="Z148" s="70" t="s">
        <v>2208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6"/>
        <v>14</v>
      </c>
      <c r="P149" s="136" t="s">
        <v>1739</v>
      </c>
      <c r="Q149" s="31">
        <f t="shared" si="17"/>
        <v>14</v>
      </c>
      <c r="R149" s="32">
        <f t="shared" si="18"/>
        <v>0.5</v>
      </c>
      <c r="S149" s="70" t="s">
        <v>2208</v>
      </c>
      <c r="T149" s="70" t="s">
        <v>2208</v>
      </c>
      <c r="U149" s="70" t="s">
        <v>2208</v>
      </c>
      <c r="V149" s="70"/>
      <c r="W149" s="70"/>
      <c r="X149" s="70"/>
      <c r="Y149" s="70" t="s">
        <v>2208</v>
      </c>
      <c r="Z149" s="70" t="s">
        <v>2208</v>
      </c>
      <c r="AA149" s="70"/>
      <c r="AB149" s="70"/>
      <c r="AC149" s="70"/>
      <c r="AD149" s="70"/>
      <c r="AE149" s="70" t="s">
        <v>2208</v>
      </c>
      <c r="AF149" s="70"/>
      <c r="AG149" s="70" t="s">
        <v>2208</v>
      </c>
      <c r="AH149" s="70" t="s">
        <v>2208</v>
      </c>
      <c r="AI149" s="70" t="s">
        <v>2208</v>
      </c>
      <c r="AJ149" s="70"/>
      <c r="AK149" s="70"/>
      <c r="AL149" s="70" t="s">
        <v>2208</v>
      </c>
      <c r="AM149" s="70"/>
      <c r="AN149" s="70"/>
      <c r="AO149" s="70" t="s">
        <v>2208</v>
      </c>
      <c r="AP149" s="70" t="s">
        <v>2208</v>
      </c>
      <c r="AQ149" s="70"/>
      <c r="AR149" s="70"/>
      <c r="AS149" s="70" t="s">
        <v>2208</v>
      </c>
      <c r="AT149" s="70" t="s">
        <v>2208</v>
      </c>
      <c r="AU149" s="70"/>
      <c r="AV149" s="138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6"/>
        <v>21</v>
      </c>
      <c r="P150" s="136" t="s">
        <v>1738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2208</v>
      </c>
      <c r="V150" s="70"/>
      <c r="W150" s="70"/>
      <c r="X150" s="70" t="s">
        <v>2208</v>
      </c>
      <c r="Y150" s="70" t="s">
        <v>2208</v>
      </c>
      <c r="Z150" s="70" t="s">
        <v>2208</v>
      </c>
      <c r="AA150" s="70"/>
      <c r="AB150" s="70"/>
      <c r="AC150" s="70"/>
      <c r="AD150" s="70"/>
      <c r="AE150" s="70" t="s">
        <v>2208</v>
      </c>
      <c r="AF150" s="70" t="s">
        <v>2208</v>
      </c>
      <c r="AG150" s="70" t="s">
        <v>2208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6"/>
        <v>26</v>
      </c>
      <c r="P151" s="136" t="s">
        <v>1740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2208</v>
      </c>
      <c r="Z151" s="70" t="s">
        <v>2208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 t="s">
        <v>2208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19">COUNTIF(S153:AT153,"")</f>
        <v>28</v>
      </c>
      <c r="P153" s="136" t="s">
        <v>2103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19"/>
        <v>28</v>
      </c>
      <c r="P154" s="136" t="s">
        <v>1744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19"/>
        <v>28</v>
      </c>
      <c r="P155" s="136" t="s">
        <v>2297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19"/>
        <v>28</v>
      </c>
      <c r="P156" s="136" t="s">
        <v>2298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hidden="1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hidden="1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19"/>
        <v>28</v>
      </c>
      <c r="P158" s="136" t="s">
        <v>1743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hidden="1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19"/>
        <v>28</v>
      </c>
      <c r="P159" s="136" t="s">
        <v>1741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hidden="1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19"/>
        <v>28</v>
      </c>
      <c r="P160" s="136" t="s">
        <v>1742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hidden="1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19"/>
        <v>28</v>
      </c>
      <c r="P161" s="136" t="s">
        <v>2295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hidden="1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19"/>
        <v>28</v>
      </c>
      <c r="P162" s="136" t="s">
        <v>2296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hidden="1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19"/>
        <v>28</v>
      </c>
      <c r="P163" s="136" t="s">
        <v>2294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hidden="1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19"/>
        <v>27</v>
      </c>
      <c r="P164" s="136" t="s">
        <v>1746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2208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hidden="1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19"/>
        <v>28</v>
      </c>
      <c r="P165" s="136" t="s">
        <v>2299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19"/>
        <v>27</v>
      </c>
      <c r="P166" s="136" t="s">
        <v>1745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2208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19"/>
        <v>18</v>
      </c>
      <c r="P167" s="136" t="s">
        <v>1747</v>
      </c>
      <c r="Q167" s="31">
        <f t="shared" si="20"/>
        <v>10</v>
      </c>
      <c r="R167" s="32">
        <f t="shared" si="21"/>
        <v>0.6428571428571429</v>
      </c>
      <c r="S167" s="70"/>
      <c r="T167" s="70" t="s">
        <v>2208</v>
      </c>
      <c r="U167" s="70" t="s">
        <v>2208</v>
      </c>
      <c r="V167" s="70"/>
      <c r="W167" s="70"/>
      <c r="X167" s="70" t="s">
        <v>2208</v>
      </c>
      <c r="Y167" s="70"/>
      <c r="Z167" s="70"/>
      <c r="AA167" s="70"/>
      <c r="AB167" s="70"/>
      <c r="AC167" s="70"/>
      <c r="AD167" s="70"/>
      <c r="AE167" s="70"/>
      <c r="AF167" s="70" t="s">
        <v>2208</v>
      </c>
      <c r="AG167" s="70" t="s">
        <v>2208</v>
      </c>
      <c r="AH167" s="70" t="s">
        <v>2208</v>
      </c>
      <c r="AI167" s="70" t="s">
        <v>2208</v>
      </c>
      <c r="AJ167" s="70"/>
      <c r="AK167" s="70"/>
      <c r="AL167" s="70" t="s">
        <v>2208</v>
      </c>
      <c r="AM167" s="70" t="s">
        <v>2208</v>
      </c>
      <c r="AN167" s="70" t="s">
        <v>2208</v>
      </c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19"/>
        <v>23</v>
      </c>
      <c r="P168" s="136" t="s">
        <v>1748</v>
      </c>
      <c r="Q168" s="31">
        <f t="shared" si="20"/>
        <v>5</v>
      </c>
      <c r="R168" s="32">
        <f t="shared" si="21"/>
        <v>0.8214285714285714</v>
      </c>
      <c r="S168" s="70"/>
      <c r="T168" s="70" t="s">
        <v>2208</v>
      </c>
      <c r="U168" s="70" t="s">
        <v>2208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2208</v>
      </c>
      <c r="AM168" s="70" t="s">
        <v>2208</v>
      </c>
      <c r="AN168" s="70" t="s">
        <v>2208</v>
      </c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19"/>
        <v>23</v>
      </c>
      <c r="P169" s="136" t="s">
        <v>1749</v>
      </c>
      <c r="Q169" s="31">
        <f t="shared" si="20"/>
        <v>5</v>
      </c>
      <c r="R169" s="32">
        <f t="shared" si="21"/>
        <v>0.8214285714285714</v>
      </c>
      <c r="S169" s="70"/>
      <c r="T169" s="70" t="s">
        <v>2208</v>
      </c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2208</v>
      </c>
      <c r="AM169" s="70" t="s">
        <v>2208</v>
      </c>
      <c r="AN169" s="70" t="s">
        <v>2208</v>
      </c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19"/>
        <v>23</v>
      </c>
      <c r="P170" s="136" t="s">
        <v>1750</v>
      </c>
      <c r="Q170" s="31">
        <f t="shared" si="20"/>
        <v>5</v>
      </c>
      <c r="R170" s="32">
        <f t="shared" si="21"/>
        <v>0.8214285714285714</v>
      </c>
      <c r="S170" s="70"/>
      <c r="T170" s="70" t="s">
        <v>2208</v>
      </c>
      <c r="U170" s="70" t="s">
        <v>2208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2208</v>
      </c>
      <c r="AM170" s="70" t="s">
        <v>2208</v>
      </c>
      <c r="AN170" s="70" t="s">
        <v>2208</v>
      </c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19"/>
        <v>23</v>
      </c>
      <c r="P171" s="136" t="s">
        <v>1751</v>
      </c>
      <c r="Q171" s="31">
        <f t="shared" si="20"/>
        <v>5</v>
      </c>
      <c r="R171" s="32">
        <f t="shared" si="21"/>
        <v>0.8214285714285714</v>
      </c>
      <c r="S171" s="70"/>
      <c r="T171" s="70" t="s">
        <v>2208</v>
      </c>
      <c r="U171" s="70" t="s">
        <v>2208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2208</v>
      </c>
      <c r="AM171" s="70" t="s">
        <v>2208</v>
      </c>
      <c r="AN171" s="70" t="s">
        <v>2208</v>
      </c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19"/>
        <v>10</v>
      </c>
      <c r="P172" s="140" t="s">
        <v>1752</v>
      </c>
      <c r="Q172" s="139">
        <f t="shared" si="20"/>
        <v>18</v>
      </c>
      <c r="R172" s="141">
        <f t="shared" si="21"/>
        <v>0.35714285714285715</v>
      </c>
      <c r="S172" s="70" t="s">
        <v>2208</v>
      </c>
      <c r="T172" s="70" t="s">
        <v>2208</v>
      </c>
      <c r="U172" s="70" t="s">
        <v>2208</v>
      </c>
      <c r="V172" s="70"/>
      <c r="W172" s="70"/>
      <c r="X172" s="70" t="s">
        <v>2208</v>
      </c>
      <c r="Y172" s="70" t="s">
        <v>2208</v>
      </c>
      <c r="Z172" s="70" t="s">
        <v>2208</v>
      </c>
      <c r="AA172" s="70"/>
      <c r="AB172" s="70"/>
      <c r="AC172" s="70"/>
      <c r="AD172" s="70"/>
      <c r="AE172" s="70" t="s">
        <v>2208</v>
      </c>
      <c r="AF172" s="70" t="s">
        <v>2208</v>
      </c>
      <c r="AG172" s="70" t="s">
        <v>2208</v>
      </c>
      <c r="AH172" s="70" t="s">
        <v>2208</v>
      </c>
      <c r="AI172" s="70" t="s">
        <v>2208</v>
      </c>
      <c r="AJ172" s="70"/>
      <c r="AK172" s="70"/>
      <c r="AL172" s="70" t="s">
        <v>2208</v>
      </c>
      <c r="AM172" s="70" t="s">
        <v>2208</v>
      </c>
      <c r="AN172" s="70" t="s">
        <v>2208</v>
      </c>
      <c r="AO172" s="70" t="s">
        <v>2208</v>
      </c>
      <c r="AP172" s="70" t="s">
        <v>2208</v>
      </c>
      <c r="AQ172" s="142"/>
      <c r="AR172" s="70"/>
      <c r="AS172" s="70" t="s">
        <v>2208</v>
      </c>
      <c r="AT172" s="70" t="s">
        <v>2208</v>
      </c>
      <c r="AU172" s="70"/>
      <c r="AV172" s="138"/>
    </row>
    <row r="173" spans="1:49" s="69" customFormat="1" ht="15.75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 t="s">
        <v>2208</v>
      </c>
      <c r="U173" s="70" t="s">
        <v>2208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2208</v>
      </c>
      <c r="AN173" s="70" t="s">
        <v>2208</v>
      </c>
      <c r="AO173" s="70"/>
      <c r="AP173" s="70"/>
      <c r="AQ173" s="70"/>
      <c r="AR173" s="70"/>
      <c r="AS173" s="70"/>
      <c r="AT173" s="70"/>
      <c r="AU173" s="70"/>
      <c r="AV173" s="70"/>
      <c r="AW173"/>
    </row>
    <row r="174" spans="1:49" ht="15.75" hidden="1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19"/>
        <v>28</v>
      </c>
      <c r="P174" s="136" t="s">
        <v>2362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hidden="1" thickBot="1" x14ac:dyDescent="0.3">
      <c r="A175"/>
      <c r="B175"/>
      <c r="C175"/>
      <c r="D175"/>
      <c r="E175" s="150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19"/>
        <v>26</v>
      </c>
      <c r="P175" s="136" t="s">
        <v>1764</v>
      </c>
      <c r="Q175" s="31">
        <f t="shared" si="20"/>
        <v>2</v>
      </c>
      <c r="R175" s="32">
        <f t="shared" si="21"/>
        <v>0.9285714285714286</v>
      </c>
      <c r="S175" s="70" t="s">
        <v>2208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2208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hidden="1" thickBot="1" x14ac:dyDescent="0.3">
      <c r="A176"/>
      <c r="B176"/>
      <c r="C176"/>
      <c r="D176"/>
      <c r="E176" s="150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19"/>
        <v>26</v>
      </c>
      <c r="P176" s="136" t="s">
        <v>2433</v>
      </c>
      <c r="Q176" s="31">
        <f t="shared" si="20"/>
        <v>2</v>
      </c>
      <c r="R176" s="32">
        <f t="shared" si="21"/>
        <v>0.9285714285714286</v>
      </c>
      <c r="S176" s="70" t="s">
        <v>2208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2208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19"/>
        <v>27</v>
      </c>
      <c r="P177" s="136" t="s">
        <v>1765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19"/>
        <v>27</v>
      </c>
      <c r="P178" s="136" t="s">
        <v>1766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2208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hidden="1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19"/>
        <v>27</v>
      </c>
      <c r="P179" s="136" t="s">
        <v>2363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2208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19"/>
        <v>28</v>
      </c>
      <c r="P180" s="136" t="s">
        <v>1767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hidden="1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19"/>
        <v>28</v>
      </c>
      <c r="P181" s="136" t="s">
        <v>2364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hidden="1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19"/>
        <v>27</v>
      </c>
      <c r="P182" s="136" t="s">
        <v>1753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hidden="1" thickBot="1" x14ac:dyDescent="0.3">
      <c r="A183"/>
      <c r="B183"/>
      <c r="C183"/>
      <c r="D183"/>
      <c r="E183" s="150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19"/>
        <v>20</v>
      </c>
      <c r="P183" s="136" t="s">
        <v>1754</v>
      </c>
      <c r="Q183" s="31">
        <f t="shared" si="20"/>
        <v>8</v>
      </c>
      <c r="R183" s="32">
        <f t="shared" si="21"/>
        <v>0.7142857142857143</v>
      </c>
      <c r="S183" s="70" t="s">
        <v>2208</v>
      </c>
      <c r="T183" s="70" t="s">
        <v>2208</v>
      </c>
      <c r="U183" s="70" t="s">
        <v>2208</v>
      </c>
      <c r="V183" s="70"/>
      <c r="W183" s="70"/>
      <c r="X183" s="70" t="s">
        <v>2208</v>
      </c>
      <c r="Y183" s="70" t="s">
        <v>2208</v>
      </c>
      <c r="Z183" s="70" t="s">
        <v>2208</v>
      </c>
      <c r="AA183" s="70"/>
      <c r="AB183" s="70"/>
      <c r="AC183" s="70"/>
      <c r="AD183" s="70"/>
      <c r="AE183" s="70" t="s">
        <v>2208</v>
      </c>
      <c r="AF183" s="70" t="s">
        <v>2208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hidden="1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19"/>
        <v>28</v>
      </c>
      <c r="P184" s="136" t="s">
        <v>1755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hidden="1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19"/>
        <v>27</v>
      </c>
      <c r="P185" s="136" t="s">
        <v>1756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19"/>
        <v>26</v>
      </c>
      <c r="P186" s="136" t="s">
        <v>1757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2208</v>
      </c>
      <c r="Z186" s="70"/>
      <c r="AA186" s="70"/>
      <c r="AB186" s="70"/>
      <c r="AC186" s="70"/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2">COUNTIF(S187:AT187,"")</f>
        <v>28</v>
      </c>
      <c r="P187" s="136" t="s">
        <v>1758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/>
      <c r="B188"/>
      <c r="C188"/>
      <c r="D188"/>
      <c r="E188" s="150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2"/>
        <v>27</v>
      </c>
      <c r="P188" s="136" t="s">
        <v>1759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2208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2"/>
        <v>27</v>
      </c>
      <c r="P189" s="136" t="s">
        <v>1760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2"/>
        <v>27</v>
      </c>
      <c r="P190" s="136" t="s">
        <v>1761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hidden="1" thickBot="1" x14ac:dyDescent="0.3">
      <c r="A191"/>
      <c r="B191"/>
      <c r="C191"/>
      <c r="D191"/>
      <c r="E191" s="150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2"/>
        <v>27</v>
      </c>
      <c r="P191" s="136" t="s">
        <v>1762</v>
      </c>
      <c r="Q191" s="31">
        <f t="shared" si="23"/>
        <v>1</v>
      </c>
      <c r="R191" s="32">
        <f t="shared" si="24"/>
        <v>0.9642857142857143</v>
      </c>
      <c r="S191" s="70" t="s">
        <v>2208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hidden="1" thickBot="1" x14ac:dyDescent="0.3">
      <c r="A192"/>
      <c r="B192"/>
      <c r="C192"/>
      <c r="D192"/>
      <c r="E192" s="150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2"/>
        <v>27</v>
      </c>
      <c r="P192" s="136" t="s">
        <v>1763</v>
      </c>
      <c r="Q192" s="31">
        <f t="shared" si="23"/>
        <v>1</v>
      </c>
      <c r="R192" s="32">
        <f t="shared" si="24"/>
        <v>0.9642857142857143</v>
      </c>
      <c r="S192" s="70" t="s">
        <v>2208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hidden="1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2"/>
        <v>28</v>
      </c>
      <c r="P193" s="136" t="s">
        <v>2112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2"/>
        <v>27</v>
      </c>
      <c r="P194" s="136" t="s">
        <v>2112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hidden="1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2"/>
        <v>28</v>
      </c>
      <c r="P195" s="136" t="s">
        <v>1768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2"/>
        <v>23</v>
      </c>
      <c r="P196" s="136" t="s">
        <v>1769</v>
      </c>
      <c r="Q196" s="31">
        <f t="shared" si="23"/>
        <v>5</v>
      </c>
      <c r="R196" s="32">
        <f t="shared" si="24"/>
        <v>0.8214285714285714</v>
      </c>
      <c r="S196" s="70"/>
      <c r="T196" s="70" t="s">
        <v>2208</v>
      </c>
      <c r="U196" s="70" t="s">
        <v>2208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2208</v>
      </c>
      <c r="AM196" s="70" t="s">
        <v>2208</v>
      </c>
      <c r="AN196" s="70" t="s">
        <v>2208</v>
      </c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2"/>
        <v>23</v>
      </c>
      <c r="P197" s="136" t="s">
        <v>1770</v>
      </c>
      <c r="Q197" s="31">
        <f t="shared" si="23"/>
        <v>5</v>
      </c>
      <c r="R197" s="32">
        <f t="shared" si="24"/>
        <v>0.8214285714285714</v>
      </c>
      <c r="S197" s="70"/>
      <c r="T197" s="70" t="s">
        <v>2208</v>
      </c>
      <c r="U197" s="70" t="s">
        <v>2208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2208</v>
      </c>
      <c r="AM197" s="70" t="s">
        <v>2208</v>
      </c>
      <c r="AN197" s="70" t="s">
        <v>2208</v>
      </c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hidden="1" thickBot="1" x14ac:dyDescent="0.3">
      <c r="A198" s="69"/>
      <c r="B198" s="69"/>
      <c r="C198" s="69"/>
      <c r="D198" s="69"/>
      <c r="E198" s="151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2"/>
        <v>10</v>
      </c>
      <c r="P198" s="140"/>
      <c r="Q198" s="139">
        <f t="shared" si="23"/>
        <v>18</v>
      </c>
      <c r="R198" s="141">
        <f t="shared" si="24"/>
        <v>0.35714285714285715</v>
      </c>
      <c r="S198" s="70" t="s">
        <v>2208</v>
      </c>
      <c r="T198" s="70" t="s">
        <v>2208</v>
      </c>
      <c r="U198" s="70" t="s">
        <v>2208</v>
      </c>
      <c r="V198" s="70"/>
      <c r="W198" s="70"/>
      <c r="X198" s="70" t="s">
        <v>2208</v>
      </c>
      <c r="Y198" s="70" t="s">
        <v>2208</v>
      </c>
      <c r="Z198" s="70" t="s">
        <v>2208</v>
      </c>
      <c r="AA198" s="70"/>
      <c r="AB198" s="70"/>
      <c r="AC198" s="70"/>
      <c r="AD198" s="70"/>
      <c r="AE198" s="70" t="s">
        <v>2208</v>
      </c>
      <c r="AF198" s="70" t="s">
        <v>2208</v>
      </c>
      <c r="AG198" s="70" t="s">
        <v>2208</v>
      </c>
      <c r="AH198" s="70" t="s">
        <v>2208</v>
      </c>
      <c r="AI198" s="70" t="s">
        <v>2208</v>
      </c>
      <c r="AJ198" s="70"/>
      <c r="AK198" s="70"/>
      <c r="AL198" s="70" t="s">
        <v>2208</v>
      </c>
      <c r="AM198" s="70" t="s">
        <v>2208</v>
      </c>
      <c r="AN198" s="70" t="s">
        <v>2208</v>
      </c>
      <c r="AO198" s="70" t="s">
        <v>2208</v>
      </c>
      <c r="AP198" s="70" t="s">
        <v>2208</v>
      </c>
      <c r="AQ198" s="142"/>
      <c r="AR198" s="70"/>
      <c r="AS198" s="70" t="s">
        <v>2208</v>
      </c>
      <c r="AT198" s="70" t="s">
        <v>2208</v>
      </c>
      <c r="AU198" s="70"/>
      <c r="AV198" s="138"/>
      <c r="AW198" s="69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2"/>
        <v>28</v>
      </c>
      <c r="P199" s="136" t="s">
        <v>1776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hidden="1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2"/>
        <v>28</v>
      </c>
      <c r="P200" s="136" t="s">
        <v>1779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hidden="1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2"/>
        <v>28</v>
      </c>
      <c r="P201" s="136" t="s">
        <v>1781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2"/>
        <v>28</v>
      </c>
      <c r="P202" s="136" t="s">
        <v>1782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hidden="1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2"/>
        <v>28</v>
      </c>
      <c r="P203" s="136" t="s">
        <v>1783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2"/>
        <v>28</v>
      </c>
      <c r="P204" s="136" t="s">
        <v>1784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hidden="1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2"/>
        <v>28</v>
      </c>
      <c r="P205" s="136" t="s">
        <v>1785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2"/>
        <v>28</v>
      </c>
      <c r="P206" s="136" t="s">
        <v>1645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hidden="1" thickBot="1" x14ac:dyDescent="0.3">
      <c r="A207"/>
      <c r="B207"/>
      <c r="C207"/>
      <c r="D207"/>
      <c r="E207" s="150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2"/>
        <v>28</v>
      </c>
      <c r="P207" s="136" t="s">
        <v>1786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hidden="1" thickBot="1" x14ac:dyDescent="0.3">
      <c r="A208"/>
      <c r="B208"/>
      <c r="C208"/>
      <c r="D208"/>
      <c r="E208" s="150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 t="s">
        <v>2208</v>
      </c>
      <c r="U208" s="70" t="s">
        <v>2208</v>
      </c>
      <c r="V208" s="70"/>
      <c r="W208" s="70"/>
      <c r="X208" s="70" t="s">
        <v>2208</v>
      </c>
      <c r="Y208" s="70" t="s">
        <v>2208</v>
      </c>
      <c r="Z208" s="70" t="s">
        <v>2208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hidden="1" thickBot="1" x14ac:dyDescent="0.3">
      <c r="A209"/>
      <c r="B209"/>
      <c r="C209"/>
      <c r="D209"/>
      <c r="E209" s="150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5">COUNTIF(S209:AT209,"")</f>
        <v>27</v>
      </c>
      <c r="P209" s="136" t="s">
        <v>1771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2208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hidden="1" thickBot="1" x14ac:dyDescent="0.3">
      <c r="A210"/>
      <c r="B210"/>
      <c r="C210"/>
      <c r="D210"/>
      <c r="E210" s="150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5"/>
        <v>18</v>
      </c>
      <c r="P210" s="136" t="s">
        <v>1772</v>
      </c>
      <c r="Q210" s="131">
        <f t="shared" si="26"/>
        <v>10</v>
      </c>
      <c r="R210" s="132">
        <f t="shared" si="27"/>
        <v>0.6428571428571429</v>
      </c>
      <c r="S210" s="70" t="s">
        <v>2208</v>
      </c>
      <c r="T210" s="70" t="s">
        <v>2208</v>
      </c>
      <c r="U210" s="70" t="s">
        <v>2208</v>
      </c>
      <c r="V210" s="70"/>
      <c r="W210" s="70"/>
      <c r="X210" s="70" t="s">
        <v>2208</v>
      </c>
      <c r="Y210" s="70" t="s">
        <v>2208</v>
      </c>
      <c r="Z210" s="70" t="s">
        <v>2208</v>
      </c>
      <c r="AA210" s="70"/>
      <c r="AB210" s="70"/>
      <c r="AC210" s="70"/>
      <c r="AD210" s="70"/>
      <c r="AE210" s="70" t="s">
        <v>2208</v>
      </c>
      <c r="AF210" s="70" t="s">
        <v>2208</v>
      </c>
      <c r="AG210" s="70" t="s">
        <v>2208</v>
      </c>
      <c r="AH210" s="70" t="s">
        <v>2208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hidden="1" thickBot="1" x14ac:dyDescent="0.3">
      <c r="A211"/>
      <c r="B211"/>
      <c r="C211"/>
      <c r="D211"/>
      <c r="E211" s="150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5"/>
        <v>28</v>
      </c>
      <c r="P211" s="136" t="s">
        <v>1773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hidden="1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5"/>
        <v>25</v>
      </c>
      <c r="P212" s="136" t="s">
        <v>1774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2208</v>
      </c>
      <c r="Y212" s="70"/>
      <c r="Z212" s="70"/>
      <c r="AA212" s="70"/>
      <c r="AB212" s="70"/>
      <c r="AC212" s="70"/>
      <c r="AD212" s="70"/>
      <c r="AE212" s="70"/>
      <c r="AF212" s="70" t="s">
        <v>2208</v>
      </c>
      <c r="AG212" s="70" t="s">
        <v>2208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hidden="1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5"/>
        <v>24</v>
      </c>
      <c r="P213" s="136" t="s">
        <v>1775</v>
      </c>
      <c r="Q213" s="31">
        <f t="shared" si="26"/>
        <v>4</v>
      </c>
      <c r="R213" s="32">
        <f t="shared" si="27"/>
        <v>0.8571428571428571</v>
      </c>
      <c r="S213" s="70"/>
      <c r="T213" s="70"/>
      <c r="U213" s="70"/>
      <c r="V213" s="70"/>
      <c r="W213" s="70"/>
      <c r="X213" s="70" t="s">
        <v>2208</v>
      </c>
      <c r="Y213" s="70"/>
      <c r="Z213" s="70"/>
      <c r="AA213" s="70"/>
      <c r="AB213" s="70"/>
      <c r="AC213" s="70"/>
      <c r="AD213" s="70"/>
      <c r="AE213" s="70"/>
      <c r="AF213" s="70" t="s">
        <v>2208</v>
      </c>
      <c r="AG213" s="70" t="s">
        <v>2208</v>
      </c>
      <c r="AH213" s="70"/>
      <c r="AI213" s="70"/>
      <c r="AJ213" s="70"/>
      <c r="AK213" s="70"/>
      <c r="AL213" s="70"/>
      <c r="AM213" s="70"/>
      <c r="AN213" s="70"/>
      <c r="AO213" s="70"/>
      <c r="AP213" s="70" t="s">
        <v>2208</v>
      </c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s="150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5"/>
        <v>28</v>
      </c>
      <c r="P214" s="136" t="s">
        <v>2365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hidden="1" thickBot="1" x14ac:dyDescent="0.3">
      <c r="E215" s="150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5"/>
        <v>20</v>
      </c>
      <c r="P215" s="136" t="s">
        <v>1777</v>
      </c>
      <c r="Q215" s="31">
        <f t="shared" si="26"/>
        <v>8</v>
      </c>
      <c r="R215" s="32">
        <f t="shared" si="27"/>
        <v>0.7142857142857143</v>
      </c>
      <c r="S215" s="70" t="s">
        <v>2208</v>
      </c>
      <c r="T215" s="70" t="s">
        <v>2208</v>
      </c>
      <c r="U215" s="70" t="s">
        <v>2208</v>
      </c>
      <c r="V215" s="70"/>
      <c r="W215" s="70"/>
      <c r="X215" s="70" t="s">
        <v>2208</v>
      </c>
      <c r="Y215" s="70" t="s">
        <v>2208</v>
      </c>
      <c r="Z215" s="70" t="s">
        <v>2208</v>
      </c>
      <c r="AA215" s="70"/>
      <c r="AB215" s="70"/>
      <c r="AC215" s="70"/>
      <c r="AD215" s="70"/>
      <c r="AE215" s="70" t="s">
        <v>2208</v>
      </c>
      <c r="AF215" s="70" t="s">
        <v>2208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hidden="1" thickBot="1" x14ac:dyDescent="0.3">
      <c r="A216"/>
      <c r="B216"/>
      <c r="C216"/>
      <c r="D216"/>
      <c r="E216" s="150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5"/>
        <v>28</v>
      </c>
      <c r="P216" s="136" t="s">
        <v>1778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0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5"/>
        <v>26</v>
      </c>
      <c r="P217" s="136" t="s">
        <v>1780</v>
      </c>
      <c r="Q217" s="31">
        <f t="shared" si="26"/>
        <v>2</v>
      </c>
      <c r="R217" s="32">
        <f t="shared" si="27"/>
        <v>0.9285714285714286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 t="s">
        <v>2208</v>
      </c>
      <c r="AT217" s="70" t="s">
        <v>2208</v>
      </c>
      <c r="AU217" s="70"/>
      <c r="AV217" s="70"/>
      <c r="AW217" s="73"/>
    </row>
    <row r="218" spans="1:49" ht="15.75" hidden="1" thickBot="1" x14ac:dyDescent="0.3">
      <c r="A218"/>
      <c r="B218"/>
      <c r="C218"/>
      <c r="D218"/>
      <c r="E218" s="150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5"/>
        <v>28</v>
      </c>
      <c r="P218" s="136" t="s">
        <v>1787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hidden="1" thickBot="1" x14ac:dyDescent="0.3">
      <c r="A219"/>
      <c r="B219"/>
      <c r="C219"/>
      <c r="D219"/>
      <c r="E219" s="150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5"/>
        <v>28</v>
      </c>
      <c r="P219" s="136" t="s">
        <v>2147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hidden="1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5"/>
        <v>10</v>
      </c>
      <c r="P220" s="136" t="s">
        <v>1788</v>
      </c>
      <c r="Q220" s="31">
        <f t="shared" si="26"/>
        <v>18</v>
      </c>
      <c r="R220" s="32">
        <f t="shared" si="27"/>
        <v>0.35714285714285715</v>
      </c>
      <c r="S220" s="70" t="s">
        <v>2208</v>
      </c>
      <c r="T220" s="70" t="s">
        <v>2208</v>
      </c>
      <c r="U220" s="70" t="s">
        <v>2208</v>
      </c>
      <c r="V220" s="70"/>
      <c r="W220" s="70"/>
      <c r="X220" s="70" t="s">
        <v>2208</v>
      </c>
      <c r="Y220" s="70" t="s">
        <v>2208</v>
      </c>
      <c r="Z220" s="70" t="s">
        <v>2208</v>
      </c>
      <c r="AA220" s="70"/>
      <c r="AB220" s="70"/>
      <c r="AC220" s="70"/>
      <c r="AD220" s="70"/>
      <c r="AE220" s="70" t="s">
        <v>2208</v>
      </c>
      <c r="AF220" s="70" t="s">
        <v>2208</v>
      </c>
      <c r="AG220" s="70" t="s">
        <v>2208</v>
      </c>
      <c r="AH220" s="70" t="s">
        <v>2208</v>
      </c>
      <c r="AI220" s="70" t="s">
        <v>2208</v>
      </c>
      <c r="AJ220" s="70"/>
      <c r="AK220" s="70"/>
      <c r="AL220" s="70" t="s">
        <v>2208</v>
      </c>
      <c r="AM220" s="70" t="s">
        <v>2208</v>
      </c>
      <c r="AN220" s="70" t="s">
        <v>2208</v>
      </c>
      <c r="AO220" s="70" t="s">
        <v>2208</v>
      </c>
      <c r="AP220" s="70" t="s">
        <v>2208</v>
      </c>
      <c r="AQ220" s="70"/>
      <c r="AR220" s="70"/>
      <c r="AS220" s="70" t="s">
        <v>2208</v>
      </c>
      <c r="AT220" s="70" t="s">
        <v>2208</v>
      </c>
      <c r="AU220" s="70"/>
      <c r="AV220" s="138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5"/>
        <v>27</v>
      </c>
      <c r="P221" s="136" t="s">
        <v>1789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2208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hidden="1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5"/>
        <v>28</v>
      </c>
      <c r="P222" s="136" t="s">
        <v>1790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hidden="1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5"/>
        <v>28</v>
      </c>
      <c r="P223" s="136" t="s">
        <v>1791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hidden="1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5"/>
        <v>28</v>
      </c>
      <c r="P224" s="136" t="s">
        <v>2199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hidden="1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5"/>
        <v>28</v>
      </c>
      <c r="P225" s="136" t="s">
        <v>2366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5"/>
        <v>28</v>
      </c>
      <c r="P226" s="136" t="s">
        <v>2367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hidden="1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5"/>
        <v>27</v>
      </c>
      <c r="P227" s="136" t="s">
        <v>1792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2208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5"/>
        <v>28</v>
      </c>
      <c r="P228" s="136" t="s">
        <v>1793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hidden="1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5"/>
        <v>28</v>
      </c>
      <c r="P229" s="136" t="s">
        <v>1794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hidden="1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5"/>
        <v>28</v>
      </c>
      <c r="P230" s="136" t="s">
        <v>1795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hidden="1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5"/>
        <v>21</v>
      </c>
      <c r="P231" s="136" t="s">
        <v>1796</v>
      </c>
      <c r="Q231" s="131">
        <f t="shared" si="26"/>
        <v>7</v>
      </c>
      <c r="R231" s="132">
        <f t="shared" si="27"/>
        <v>0.75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2208</v>
      </c>
      <c r="AM231" s="70" t="s">
        <v>2208</v>
      </c>
      <c r="AN231" s="70" t="s">
        <v>2208</v>
      </c>
      <c r="AO231" s="70" t="s">
        <v>2208</v>
      </c>
      <c r="AP231" s="70" t="s">
        <v>2208</v>
      </c>
      <c r="AQ231" s="70"/>
      <c r="AR231" s="70"/>
      <c r="AS231" s="70" t="s">
        <v>2208</v>
      </c>
      <c r="AT231" s="70" t="s">
        <v>2208</v>
      </c>
      <c r="AU231" s="70"/>
      <c r="AV231" s="70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5"/>
        <v>28</v>
      </c>
      <c r="P232" s="136" t="s">
        <v>1797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hidden="1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5"/>
        <v>28</v>
      </c>
      <c r="P233" s="136" t="s">
        <v>2415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hidden="1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5"/>
        <v>28</v>
      </c>
      <c r="P234" s="136" t="s">
        <v>2212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5"/>
        <v>28</v>
      </c>
      <c r="P235" s="136" t="s">
        <v>1798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5"/>
        <v>28</v>
      </c>
      <c r="P236" s="136" t="s">
        <v>2467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5"/>
        <v>28</v>
      </c>
      <c r="P237" s="136" t="s">
        <v>1799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hidden="1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5"/>
        <v>28</v>
      </c>
      <c r="P238" s="136" t="s">
        <v>2206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5"/>
        <v>28</v>
      </c>
      <c r="P239" s="136" t="s">
        <v>1800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5"/>
        <v>28</v>
      </c>
      <c r="P240" s="136" t="s">
        <v>1801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hidden="1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8">COUNTIF(S241:AT241,"")</f>
        <v>28</v>
      </c>
      <c r="P241" s="136" t="s">
        <v>1802</v>
      </c>
      <c r="Q241" s="31">
        <f t="shared" ref="Q241:Q265" si="29">COUNTIF(S241:AT241,"APAGADO")</f>
        <v>0</v>
      </c>
      <c r="R241" s="32">
        <f t="shared" ref="R241:R265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8"/>
        <v>28</v>
      </c>
      <c r="P242" s="136" t="s">
        <v>1803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8"/>
        <v>28</v>
      </c>
      <c r="P243" s="136" t="s">
        <v>1804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hidden="1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8"/>
        <v>28</v>
      </c>
      <c r="P244" s="136" t="s">
        <v>1805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8"/>
        <v>28</v>
      </c>
      <c r="P245" s="136" t="s">
        <v>1806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hidden="1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8"/>
        <v>27</v>
      </c>
      <c r="P246" s="136" t="s">
        <v>1807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2208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8"/>
        <v>28</v>
      </c>
      <c r="P247" s="136" t="s">
        <v>1808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8"/>
        <v>28</v>
      </c>
      <c r="P248" s="136" t="s">
        <v>1809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8"/>
        <v>28</v>
      </c>
      <c r="P249" s="136" t="s">
        <v>1810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8"/>
        <v>28</v>
      </c>
      <c r="P250" s="136" t="s">
        <v>1811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8"/>
        <v>28</v>
      </c>
      <c r="P251" s="136" t="s">
        <v>1812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8"/>
        <v>28</v>
      </c>
      <c r="P252" s="136" t="s">
        <v>1813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8"/>
        <v>10</v>
      </c>
      <c r="P253" s="136" t="s">
        <v>1814</v>
      </c>
      <c r="Q253" s="31">
        <f t="shared" si="29"/>
        <v>18</v>
      </c>
      <c r="R253" s="32">
        <f t="shared" si="30"/>
        <v>0.35714285714285715</v>
      </c>
      <c r="S253" s="70" t="s">
        <v>2208</v>
      </c>
      <c r="T253" s="70" t="s">
        <v>2208</v>
      </c>
      <c r="U253" s="70" t="s">
        <v>2208</v>
      </c>
      <c r="V253" s="70"/>
      <c r="W253" s="70"/>
      <c r="X253" s="70" t="s">
        <v>2208</v>
      </c>
      <c r="Y253" s="70" t="s">
        <v>2208</v>
      </c>
      <c r="Z253" s="70" t="s">
        <v>2208</v>
      </c>
      <c r="AA253" s="70"/>
      <c r="AB253" s="70"/>
      <c r="AC253" s="70"/>
      <c r="AD253" s="70"/>
      <c r="AE253" s="70" t="s">
        <v>2208</v>
      </c>
      <c r="AF253" s="70" t="s">
        <v>2208</v>
      </c>
      <c r="AG253" s="70" t="s">
        <v>2208</v>
      </c>
      <c r="AH253" s="70" t="s">
        <v>2208</v>
      </c>
      <c r="AI253" s="70" t="s">
        <v>2208</v>
      </c>
      <c r="AJ253" s="70"/>
      <c r="AK253" s="70"/>
      <c r="AL253" s="70" t="s">
        <v>2208</v>
      </c>
      <c r="AM253" s="70" t="s">
        <v>2208</v>
      </c>
      <c r="AN253" s="70" t="s">
        <v>2208</v>
      </c>
      <c r="AO253" s="70" t="s">
        <v>2208</v>
      </c>
      <c r="AP253" s="70" t="s">
        <v>2208</v>
      </c>
      <c r="AQ253" s="70"/>
      <c r="AR253" s="70"/>
      <c r="AS253" s="70" t="s">
        <v>2208</v>
      </c>
      <c r="AT253" s="70" t="s">
        <v>2208</v>
      </c>
      <c r="AU253" s="70"/>
      <c r="AV253" s="138"/>
    </row>
    <row r="254" spans="1:49" ht="15.75" hidden="1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8"/>
        <v>28</v>
      </c>
      <c r="P254" s="136" t="s">
        <v>2291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hidden="1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8"/>
        <v>13</v>
      </c>
      <c r="P255" s="136" t="s">
        <v>1771</v>
      </c>
      <c r="Q255" s="31">
        <f t="shared" si="29"/>
        <v>15</v>
      </c>
      <c r="R255" s="32">
        <f t="shared" si="30"/>
        <v>0.4642857142857143</v>
      </c>
      <c r="S255" s="70"/>
      <c r="T255" s="70"/>
      <c r="U255" s="70"/>
      <c r="V255" s="70"/>
      <c r="W255" s="70"/>
      <c r="X255" s="70" t="s">
        <v>2208</v>
      </c>
      <c r="Y255" s="70" t="s">
        <v>2208</v>
      </c>
      <c r="Z255" s="70" t="s">
        <v>2208</v>
      </c>
      <c r="AA255" s="70"/>
      <c r="AB255" s="70"/>
      <c r="AC255" s="70"/>
      <c r="AD255" s="70"/>
      <c r="AE255" s="70" t="s">
        <v>2208</v>
      </c>
      <c r="AF255" s="70" t="s">
        <v>2208</v>
      </c>
      <c r="AG255" s="70" t="s">
        <v>2208</v>
      </c>
      <c r="AH255" s="70" t="s">
        <v>2208</v>
      </c>
      <c r="AI255" s="70" t="s">
        <v>2208</v>
      </c>
      <c r="AJ255" s="70"/>
      <c r="AK255" s="70"/>
      <c r="AL255" s="70" t="s">
        <v>2208</v>
      </c>
      <c r="AM255" s="70" t="s">
        <v>2208</v>
      </c>
      <c r="AN255" s="70" t="s">
        <v>2208</v>
      </c>
      <c r="AO255" s="70" t="s">
        <v>2208</v>
      </c>
      <c r="AP255" s="70" t="s">
        <v>2208</v>
      </c>
      <c r="AQ255" s="70"/>
      <c r="AR255" s="70"/>
      <c r="AS255" s="70" t="s">
        <v>2208</v>
      </c>
      <c r="AT255" s="70" t="s">
        <v>2208</v>
      </c>
      <c r="AU255" s="70"/>
      <c r="AV255" s="70"/>
    </row>
    <row r="256" spans="1:49" ht="15.75" hidden="1" thickBot="1" x14ac:dyDescent="0.3">
      <c r="A256" s="69"/>
      <c r="B256" s="69"/>
      <c r="C256" s="69"/>
      <c r="D256" s="69"/>
      <c r="E256" s="151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8"/>
        <v>10</v>
      </c>
      <c r="P256" s="140" t="s">
        <v>1815</v>
      </c>
      <c r="Q256" s="139">
        <f t="shared" si="29"/>
        <v>18</v>
      </c>
      <c r="R256" s="141">
        <f t="shared" si="30"/>
        <v>0.35714285714285715</v>
      </c>
      <c r="S256" s="70" t="s">
        <v>2208</v>
      </c>
      <c r="T256" s="70" t="s">
        <v>2208</v>
      </c>
      <c r="U256" s="70" t="s">
        <v>2208</v>
      </c>
      <c r="V256" s="70"/>
      <c r="W256" s="70"/>
      <c r="X256" s="70" t="s">
        <v>2208</v>
      </c>
      <c r="Y256" s="70" t="s">
        <v>2208</v>
      </c>
      <c r="Z256" s="70" t="s">
        <v>2208</v>
      </c>
      <c r="AA256" s="70"/>
      <c r="AB256" s="70"/>
      <c r="AC256" s="70"/>
      <c r="AD256" s="70"/>
      <c r="AE256" s="70" t="s">
        <v>2208</v>
      </c>
      <c r="AF256" s="70" t="s">
        <v>2208</v>
      </c>
      <c r="AG256" s="70" t="s">
        <v>2208</v>
      </c>
      <c r="AH256" s="70" t="s">
        <v>2208</v>
      </c>
      <c r="AI256" s="70" t="s">
        <v>2208</v>
      </c>
      <c r="AJ256" s="70"/>
      <c r="AK256" s="70"/>
      <c r="AL256" s="70" t="s">
        <v>2208</v>
      </c>
      <c r="AM256" s="70" t="s">
        <v>2208</v>
      </c>
      <c r="AN256" s="70" t="s">
        <v>2208</v>
      </c>
      <c r="AO256" s="70" t="s">
        <v>2208</v>
      </c>
      <c r="AP256" s="70" t="s">
        <v>2208</v>
      </c>
      <c r="AQ256" s="142"/>
      <c r="AR256" s="70"/>
      <c r="AS256" s="70" t="s">
        <v>2208</v>
      </c>
      <c r="AT256" s="70" t="s">
        <v>2208</v>
      </c>
      <c r="AU256" s="70"/>
      <c r="AV256" s="138"/>
    </row>
    <row r="257" spans="1:49" s="88" customFormat="1" ht="15.75" hidden="1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8"/>
        <v>10</v>
      </c>
      <c r="P257" s="140" t="s">
        <v>2222</v>
      </c>
      <c r="Q257" s="139">
        <f t="shared" si="29"/>
        <v>18</v>
      </c>
      <c r="R257" s="141">
        <f t="shared" si="30"/>
        <v>0.35714285714285715</v>
      </c>
      <c r="S257" s="70" t="s">
        <v>2208</v>
      </c>
      <c r="T257" s="70" t="s">
        <v>2208</v>
      </c>
      <c r="U257" s="70" t="s">
        <v>2208</v>
      </c>
      <c r="V257" s="70"/>
      <c r="W257" s="70"/>
      <c r="X257" s="70" t="s">
        <v>2208</v>
      </c>
      <c r="Y257" s="70" t="s">
        <v>2208</v>
      </c>
      <c r="Z257" s="70" t="s">
        <v>2208</v>
      </c>
      <c r="AA257" s="70"/>
      <c r="AB257" s="70"/>
      <c r="AC257" s="70"/>
      <c r="AD257" s="70"/>
      <c r="AE257" s="70" t="s">
        <v>2208</v>
      </c>
      <c r="AF257" s="70" t="s">
        <v>2208</v>
      </c>
      <c r="AG257" s="70" t="s">
        <v>2208</v>
      </c>
      <c r="AH257" s="70" t="s">
        <v>2208</v>
      </c>
      <c r="AI257" s="70" t="s">
        <v>2208</v>
      </c>
      <c r="AJ257" s="70"/>
      <c r="AK257" s="70"/>
      <c r="AL257" s="70" t="s">
        <v>2208</v>
      </c>
      <c r="AM257" s="70" t="s">
        <v>2208</v>
      </c>
      <c r="AN257" s="70" t="s">
        <v>2208</v>
      </c>
      <c r="AO257" s="70" t="s">
        <v>2208</v>
      </c>
      <c r="AP257" s="70" t="s">
        <v>2208</v>
      </c>
      <c r="AQ257" s="142"/>
      <c r="AR257" s="70"/>
      <c r="AS257" s="70" t="s">
        <v>2208</v>
      </c>
      <c r="AT257" s="70" t="s">
        <v>2208</v>
      </c>
      <c r="AU257" s="70"/>
      <c r="AV257" s="138"/>
      <c r="AW257"/>
    </row>
    <row r="258" spans="1:49" ht="15.75" hidden="1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8"/>
        <v>28</v>
      </c>
      <c r="P258" s="136" t="s">
        <v>2380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hidden="1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8"/>
        <v>28</v>
      </c>
      <c r="P259" s="136" t="s">
        <v>2381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hidden="1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8"/>
        <v>28</v>
      </c>
      <c r="P260" s="136" t="s">
        <v>2151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hidden="1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8"/>
        <v>28</v>
      </c>
      <c r="P261" s="136" t="s">
        <v>2153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hidden="1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3"/>
    </row>
    <row r="263" spans="1:49" ht="15.75" hidden="1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8"/>
        <v>25</v>
      </c>
      <c r="P263" s="136" t="s">
        <v>2382</v>
      </c>
      <c r="Q263" s="31">
        <f t="shared" si="29"/>
        <v>3</v>
      </c>
      <c r="R263" s="32">
        <f t="shared" si="30"/>
        <v>0.8928571428571429</v>
      </c>
      <c r="S263" s="70" t="s">
        <v>2208</v>
      </c>
      <c r="T263" s="70" t="s">
        <v>2208</v>
      </c>
      <c r="U263" s="70" t="s">
        <v>2208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8"/>
        <v>27</v>
      </c>
      <c r="P264" s="136" t="s">
        <v>1816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2208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8"/>
        <v>27</v>
      </c>
      <c r="P265" s="136" t="s">
        <v>1817</v>
      </c>
      <c r="Q265" s="31">
        <f t="shared" si="29"/>
        <v>1</v>
      </c>
      <c r="R265" s="32">
        <f t="shared" si="30"/>
        <v>0.9642857142857143</v>
      </c>
      <c r="S265" s="70"/>
      <c r="T265" s="70"/>
      <c r="U265" s="70" t="s">
        <v>2208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hidden="1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 t="s">
        <v>2208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ht="15.75" hidden="1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1">COUNTIF(S268:AT268,"")</f>
        <v>28</v>
      </c>
      <c r="P268" s="136" t="s">
        <v>1818</v>
      </c>
      <c r="Q268" s="131">
        <f t="shared" ref="Q268:Q335" si="32">COUNTIF(S268:AT268,"APAGADO")</f>
        <v>0</v>
      </c>
      <c r="R268" s="132">
        <f t="shared" ref="R268:R335" si="33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s="73" customFormat="1" ht="15.75" hidden="1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1"/>
        <v>28</v>
      </c>
      <c r="P269" s="136" t="s">
        <v>1819</v>
      </c>
      <c r="Q269" s="131">
        <f t="shared" si="32"/>
        <v>0</v>
      </c>
      <c r="R269" s="1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s="73" customFormat="1" ht="15.75" hidden="1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1"/>
        <v>28</v>
      </c>
      <c r="P270" s="136" t="s">
        <v>1820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/>
    </row>
    <row r="271" spans="1:49" ht="15.75" hidden="1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1"/>
        <v>28</v>
      </c>
      <c r="P271" s="136" t="s">
        <v>2384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3.5" hidden="1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1"/>
        <v>28</v>
      </c>
      <c r="P272" s="136" t="s">
        <v>1821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</row>
    <row r="273" spans="1:49" ht="14.25" hidden="1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1"/>
        <v>27</v>
      </c>
      <c r="P273" s="136" t="s">
        <v>1822</v>
      </c>
      <c r="Q273" s="31">
        <f t="shared" si="32"/>
        <v>1</v>
      </c>
      <c r="R273" s="32">
        <f t="shared" si="33"/>
        <v>0.9642857142857143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 t="s">
        <v>2208</v>
      </c>
      <c r="AU273" s="70"/>
      <c r="AV273" s="70"/>
    </row>
    <row r="274" spans="1:49" ht="15" hidden="1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1"/>
        <v>28</v>
      </c>
      <c r="P274" s="136" t="s">
        <v>1823</v>
      </c>
      <c r="Q274" s="131">
        <f t="shared" si="32"/>
        <v>0</v>
      </c>
      <c r="R274" s="1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s="73" customFormat="1" ht="15.75" hidden="1" thickBot="1" x14ac:dyDescent="0.3">
      <c r="A275"/>
      <c r="B275"/>
      <c r="C275"/>
      <c r="D275"/>
      <c r="E275" s="150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1"/>
        <v>27</v>
      </c>
      <c r="P275" s="136" t="s">
        <v>1825</v>
      </c>
      <c r="Q275" s="31">
        <f t="shared" si="32"/>
        <v>1</v>
      </c>
      <c r="R275" s="32">
        <f t="shared" si="33"/>
        <v>0.9642857142857143</v>
      </c>
      <c r="S275" s="70"/>
      <c r="T275" s="70" t="s">
        <v>2208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/>
    </row>
    <row r="276" spans="1:49" ht="15.75" hidden="1" thickBot="1" x14ac:dyDescent="0.3">
      <c r="A276"/>
      <c r="B276"/>
      <c r="C276"/>
      <c r="D276"/>
      <c r="E276" s="150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1"/>
        <v>26</v>
      </c>
      <c r="P276" s="136" t="s">
        <v>1826</v>
      </c>
      <c r="Q276" s="31">
        <f t="shared" si="32"/>
        <v>2</v>
      </c>
      <c r="R276" s="32">
        <f t="shared" si="33"/>
        <v>0.9285714285714286</v>
      </c>
      <c r="S276" s="70"/>
      <c r="T276" s="70" t="s">
        <v>2208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2208</v>
      </c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1"/>
        <v>26</v>
      </c>
      <c r="P277" s="136" t="s">
        <v>1828</v>
      </c>
      <c r="Q277" s="131">
        <f t="shared" si="32"/>
        <v>2</v>
      </c>
      <c r="R277" s="132">
        <f t="shared" si="33"/>
        <v>0.9285714285714286</v>
      </c>
      <c r="S277" s="70"/>
      <c r="T277" s="70" t="s">
        <v>2208</v>
      </c>
      <c r="U277" s="70" t="s">
        <v>2208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1"/>
        <v>26</v>
      </c>
      <c r="P278" s="136" t="s">
        <v>1829</v>
      </c>
      <c r="Q278" s="31">
        <f t="shared" si="32"/>
        <v>2</v>
      </c>
      <c r="R278" s="32">
        <f t="shared" si="33"/>
        <v>0.9285714285714286</v>
      </c>
      <c r="S278" s="70"/>
      <c r="T278" s="70" t="s">
        <v>2208</v>
      </c>
      <c r="U278" s="70" t="s">
        <v>2208</v>
      </c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1"/>
        <v>28</v>
      </c>
      <c r="P279" s="136" t="s">
        <v>1824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1"/>
        <v>28</v>
      </c>
      <c r="P280" s="136" t="s">
        <v>1812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s="73" customFormat="1" ht="15.75" hidden="1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1"/>
        <v>25</v>
      </c>
      <c r="P281" s="136" t="s">
        <v>1827</v>
      </c>
      <c r="Q281" s="31">
        <f t="shared" si="32"/>
        <v>3</v>
      </c>
      <c r="R281" s="32">
        <f t="shared" si="33"/>
        <v>0.8928571428571429</v>
      </c>
      <c r="S281" s="70"/>
      <c r="T281" s="70" t="s">
        <v>2208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 t="s">
        <v>2208</v>
      </c>
      <c r="AF281" s="70"/>
      <c r="AG281" s="70"/>
      <c r="AH281" s="70"/>
      <c r="AI281" s="70" t="s">
        <v>2208</v>
      </c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9" ht="15.75" hidden="1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1"/>
        <v>28</v>
      </c>
      <c r="P282" s="136" t="s">
        <v>1830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1"/>
        <v>27</v>
      </c>
      <c r="P283" s="136" t="s">
        <v>1831</v>
      </c>
      <c r="Q283" s="31">
        <f t="shared" si="32"/>
        <v>1</v>
      </c>
      <c r="R283" s="32">
        <f t="shared" si="33"/>
        <v>0.9642857142857143</v>
      </c>
      <c r="S283" s="70" t="s">
        <v>2208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73"/>
    </row>
    <row r="284" spans="1:49" ht="15.75" hidden="1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1"/>
        <v>28</v>
      </c>
      <c r="P284" s="136" t="s">
        <v>1832</v>
      </c>
      <c r="Q284" s="31">
        <f t="shared" si="32"/>
        <v>0</v>
      </c>
      <c r="R284" s="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ht="15.75" hidden="1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1"/>
        <v>27</v>
      </c>
      <c r="P285" s="136" t="s">
        <v>1833</v>
      </c>
      <c r="Q285" s="131">
        <f t="shared" si="32"/>
        <v>1</v>
      </c>
      <c r="R285" s="132">
        <f t="shared" si="33"/>
        <v>0.9642857142857143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 t="s">
        <v>2208</v>
      </c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3"/>
    </row>
    <row r="286" spans="1:49" s="73" customFormat="1" ht="15.75" hidden="1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1"/>
        <v>28</v>
      </c>
      <c r="P286" s="136" t="s">
        <v>1834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1"/>
        <v>28</v>
      </c>
      <c r="P287" s="136" t="s">
        <v>1835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hidden="1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2208</v>
      </c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hidden="1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69"/>
    </row>
    <row r="290" spans="1:49" ht="15.75" hidden="1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1"/>
        <v>27</v>
      </c>
      <c r="P290" s="136" t="s">
        <v>1836</v>
      </c>
      <c r="Q290" s="31">
        <f t="shared" si="32"/>
        <v>1</v>
      </c>
      <c r="R290" s="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 t="s">
        <v>2208</v>
      </c>
      <c r="AT290" s="70"/>
      <c r="AU290" s="70"/>
      <c r="AV290" s="129"/>
    </row>
    <row r="291" spans="1:49" ht="15.75" hidden="1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1"/>
        <v>28</v>
      </c>
      <c r="P291" s="136" t="s">
        <v>1842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hidden="1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1"/>
        <v>28</v>
      </c>
      <c r="P292" s="136" t="s">
        <v>1837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ht="15.75" hidden="1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1"/>
        <v>27</v>
      </c>
      <c r="P293" s="136" t="s">
        <v>1838</v>
      </c>
      <c r="Q293" s="31">
        <f t="shared" si="32"/>
        <v>1</v>
      </c>
      <c r="R293" s="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 t="s">
        <v>2208</v>
      </c>
      <c r="AT293" s="70"/>
      <c r="AU293" s="70"/>
      <c r="AV293" s="70"/>
    </row>
    <row r="294" spans="1:49" s="73" customFormat="1" ht="15.75" hidden="1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1"/>
        <v>27</v>
      </c>
      <c r="P294" s="136" t="s">
        <v>1839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2208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ht="15.75" hidden="1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1"/>
        <v>27</v>
      </c>
      <c r="P295" s="136" t="s">
        <v>1840</v>
      </c>
      <c r="Q295" s="131">
        <f t="shared" si="32"/>
        <v>1</v>
      </c>
      <c r="R295" s="1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2208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1"/>
        <v>26</v>
      </c>
      <c r="P296" s="136" t="s">
        <v>1646</v>
      </c>
      <c r="Q296" s="31">
        <f t="shared" si="32"/>
        <v>2</v>
      </c>
      <c r="R296" s="32">
        <f t="shared" si="33"/>
        <v>0.9285714285714286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2208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 t="s">
        <v>2208</v>
      </c>
      <c r="AT296" s="70"/>
      <c r="AU296" s="70"/>
      <c r="AV296" s="70"/>
      <c r="AW296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1"/>
        <v>26</v>
      </c>
      <c r="P297" s="136" t="s">
        <v>1841</v>
      </c>
      <c r="Q297" s="31">
        <f t="shared" si="32"/>
        <v>2</v>
      </c>
      <c r="R297" s="32">
        <f t="shared" si="33"/>
        <v>0.9285714285714286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 t="s">
        <v>2208</v>
      </c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 t="s">
        <v>2208</v>
      </c>
      <c r="AU297" s="70"/>
      <c r="AV297" s="70"/>
      <c r="AW297"/>
    </row>
    <row r="298" spans="1:49" ht="15.75" hidden="1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1"/>
        <v>28</v>
      </c>
      <c r="P298" s="136" t="s">
        <v>1843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</row>
    <row r="299" spans="1:49" ht="15.75" hidden="1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1"/>
        <v>28</v>
      </c>
      <c r="P299" s="136" t="s">
        <v>1844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9" s="73" customFormat="1" ht="15.75" hidden="1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1"/>
        <v>28</v>
      </c>
      <c r="P300" s="136" t="s">
        <v>1845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69"/>
    </row>
    <row r="301" spans="1:49" s="73" customFormat="1" ht="15.75" hidden="1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1"/>
        <v>26</v>
      </c>
      <c r="P301" s="136" t="s">
        <v>2134</v>
      </c>
      <c r="Q301" s="131">
        <f t="shared" si="32"/>
        <v>2</v>
      </c>
      <c r="R301" s="132">
        <f t="shared" si="33"/>
        <v>0.9285714285714286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 t="s">
        <v>2208</v>
      </c>
      <c r="AT301" s="70" t="s">
        <v>2208</v>
      </c>
      <c r="AU301" s="70"/>
      <c r="AV301" s="70"/>
      <c r="AW301"/>
    </row>
    <row r="302" spans="1:49" s="73" customFormat="1" ht="14.25" hidden="1" customHeight="1" thickBot="1" x14ac:dyDescent="0.3">
      <c r="A302" s="8"/>
      <c r="B302" s="8"/>
      <c r="C302" s="8"/>
      <c r="D302" s="8"/>
      <c r="E302" s="150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1"/>
        <v>28</v>
      </c>
      <c r="P302" s="143" t="s">
        <v>1641</v>
      </c>
      <c r="Q302" s="139">
        <f t="shared" si="32"/>
        <v>0</v>
      </c>
      <c r="R302" s="141">
        <f t="shared" si="33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/>
    </row>
    <row r="303" spans="1:49" s="73" customFormat="1" ht="15.75" hidden="1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1"/>
        <v>10</v>
      </c>
      <c r="P303" s="136" t="s">
        <v>2102</v>
      </c>
      <c r="Q303" s="131">
        <f t="shared" si="32"/>
        <v>18</v>
      </c>
      <c r="R303" s="132">
        <f t="shared" si="33"/>
        <v>0.35714285714285715</v>
      </c>
      <c r="S303" s="70" t="s">
        <v>2208</v>
      </c>
      <c r="T303" s="70" t="s">
        <v>2208</v>
      </c>
      <c r="U303" s="70" t="s">
        <v>2208</v>
      </c>
      <c r="V303" s="70"/>
      <c r="W303" s="70"/>
      <c r="X303" s="70" t="s">
        <v>2208</v>
      </c>
      <c r="Y303" s="70" t="s">
        <v>2208</v>
      </c>
      <c r="Z303" s="70" t="s">
        <v>2208</v>
      </c>
      <c r="AA303" s="70"/>
      <c r="AB303" s="70"/>
      <c r="AC303" s="70"/>
      <c r="AD303" s="70"/>
      <c r="AE303" s="70" t="s">
        <v>2208</v>
      </c>
      <c r="AF303" s="70" t="s">
        <v>2208</v>
      </c>
      <c r="AG303" s="70" t="s">
        <v>2208</v>
      </c>
      <c r="AH303" s="70" t="s">
        <v>2208</v>
      </c>
      <c r="AI303" s="70" t="s">
        <v>2208</v>
      </c>
      <c r="AJ303" s="70"/>
      <c r="AK303" s="70"/>
      <c r="AL303" s="70" t="s">
        <v>2208</v>
      </c>
      <c r="AM303" s="70" t="s">
        <v>2208</v>
      </c>
      <c r="AN303" s="70" t="s">
        <v>2208</v>
      </c>
      <c r="AO303" s="70" t="s">
        <v>2208</v>
      </c>
      <c r="AP303" s="70" t="s">
        <v>2208</v>
      </c>
      <c r="AQ303" s="70"/>
      <c r="AR303" s="70"/>
      <c r="AS303" s="70" t="s">
        <v>2208</v>
      </c>
      <c r="AT303" s="70" t="s">
        <v>2208</v>
      </c>
      <c r="AU303" s="70"/>
      <c r="AV303" s="70"/>
      <c r="AW303"/>
    </row>
    <row r="304" spans="1:49" s="73" customFormat="1" ht="15.75" hidden="1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1"/>
        <v>10</v>
      </c>
      <c r="P304" s="136" t="s">
        <v>2096</v>
      </c>
      <c r="Q304" s="131">
        <f t="shared" si="32"/>
        <v>18</v>
      </c>
      <c r="R304" s="132">
        <f t="shared" si="33"/>
        <v>0.35714285714285715</v>
      </c>
      <c r="S304" s="70" t="s">
        <v>2208</v>
      </c>
      <c r="T304" s="70" t="s">
        <v>2208</v>
      </c>
      <c r="U304" s="70" t="s">
        <v>2208</v>
      </c>
      <c r="V304" s="70"/>
      <c r="W304" s="70"/>
      <c r="X304" s="70" t="s">
        <v>2208</v>
      </c>
      <c r="Y304" s="70" t="s">
        <v>2208</v>
      </c>
      <c r="Z304" s="70" t="s">
        <v>2208</v>
      </c>
      <c r="AA304" s="70"/>
      <c r="AB304" s="70"/>
      <c r="AC304" s="70"/>
      <c r="AD304" s="70"/>
      <c r="AE304" s="70" t="s">
        <v>2208</v>
      </c>
      <c r="AF304" s="70" t="s">
        <v>2208</v>
      </c>
      <c r="AG304" s="70" t="s">
        <v>2208</v>
      </c>
      <c r="AH304" s="70" t="s">
        <v>2208</v>
      </c>
      <c r="AI304" s="70" t="s">
        <v>2208</v>
      </c>
      <c r="AJ304" s="70"/>
      <c r="AK304" s="70"/>
      <c r="AL304" s="70" t="s">
        <v>2208</v>
      </c>
      <c r="AM304" s="70" t="s">
        <v>2208</v>
      </c>
      <c r="AN304" s="70" t="s">
        <v>2208</v>
      </c>
      <c r="AO304" s="70" t="s">
        <v>2208</v>
      </c>
      <c r="AP304" s="70" t="s">
        <v>2208</v>
      </c>
      <c r="AQ304" s="70"/>
      <c r="AR304" s="70"/>
      <c r="AS304" s="70" t="s">
        <v>2208</v>
      </c>
      <c r="AT304" s="70" t="s">
        <v>2208</v>
      </c>
      <c r="AU304" s="70"/>
      <c r="AV304" s="70"/>
      <c r="AW304"/>
    </row>
    <row r="305" spans="1:49" ht="15.75" hidden="1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1"/>
        <v>25</v>
      </c>
      <c r="P305" s="136" t="s">
        <v>1846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 t="s">
        <v>2208</v>
      </c>
      <c r="Z305" s="70" t="s">
        <v>2208</v>
      </c>
      <c r="AA305" s="70"/>
      <c r="AB305" s="70"/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1"/>
        <v>26</v>
      </c>
      <c r="P306" s="136" t="s">
        <v>1847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2208</v>
      </c>
      <c r="Z306" s="70" t="s">
        <v>2208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hidden="1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1"/>
        <v>26</v>
      </c>
      <c r="P307" s="136" t="s">
        <v>1848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2208</v>
      </c>
      <c r="Z307" s="70" t="s">
        <v>2208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hidden="1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1"/>
        <v>22</v>
      </c>
      <c r="P308" s="136" t="s">
        <v>1849</v>
      </c>
      <c r="Q308" s="31">
        <f t="shared" si="32"/>
        <v>6</v>
      </c>
      <c r="R308" s="32">
        <f t="shared" si="33"/>
        <v>0.7857142857142857</v>
      </c>
      <c r="S308" s="70"/>
      <c r="T308" s="70"/>
      <c r="U308" s="70"/>
      <c r="V308" s="70"/>
      <c r="W308" s="70"/>
      <c r="X308" s="70"/>
      <c r="Y308" s="70" t="s">
        <v>2208</v>
      </c>
      <c r="Z308" s="70" t="s">
        <v>2208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2208</v>
      </c>
      <c r="AM308" s="70" t="s">
        <v>2208</v>
      </c>
      <c r="AN308" s="70" t="s">
        <v>2208</v>
      </c>
      <c r="AO308" s="70" t="s">
        <v>2208</v>
      </c>
      <c r="AP308" s="70"/>
      <c r="AQ308" s="70"/>
      <c r="AR308" s="70"/>
      <c r="AS308" s="70"/>
      <c r="AT308" s="70"/>
      <c r="AU308" s="70"/>
      <c r="AV308" s="70"/>
    </row>
    <row r="309" spans="1:49" ht="15.75" hidden="1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1"/>
        <v>24</v>
      </c>
      <c r="P309" s="136" t="s">
        <v>1850</v>
      </c>
      <c r="Q309" s="31">
        <f t="shared" si="32"/>
        <v>4</v>
      </c>
      <c r="R309" s="32">
        <f t="shared" si="33"/>
        <v>0.8571428571428571</v>
      </c>
      <c r="S309" s="70"/>
      <c r="T309" s="70"/>
      <c r="U309" s="70"/>
      <c r="V309" s="70"/>
      <c r="W309" s="70"/>
      <c r="X309" s="70"/>
      <c r="Y309" s="70" t="s">
        <v>2208</v>
      </c>
      <c r="Z309" s="70" t="s">
        <v>2208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 t="s">
        <v>2208</v>
      </c>
      <c r="AM309" s="70" t="s">
        <v>2208</v>
      </c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9" ht="15.75" hidden="1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1"/>
        <v>28</v>
      </c>
      <c r="P311" s="136" t="s">
        <v>1851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5.75" hidden="1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1"/>
        <v>27</v>
      </c>
      <c r="P312" s="136" t="s">
        <v>1852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1"/>
        <v>20</v>
      </c>
      <c r="P313" s="136" t="s">
        <v>1854</v>
      </c>
      <c r="Q313" s="31">
        <f t="shared" si="32"/>
        <v>8</v>
      </c>
      <c r="R313" s="32">
        <f t="shared" si="33"/>
        <v>0.7142857142857143</v>
      </c>
      <c r="S313" s="70"/>
      <c r="T313" s="70" t="s">
        <v>2208</v>
      </c>
      <c r="U313" s="70" t="s">
        <v>2208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2208</v>
      </c>
      <c r="AF313" s="70"/>
      <c r="AG313" s="70"/>
      <c r="AH313" s="70"/>
      <c r="AI313" s="70"/>
      <c r="AJ313" s="70"/>
      <c r="AK313" s="70"/>
      <c r="AL313" s="70" t="s">
        <v>2208</v>
      </c>
      <c r="AM313" s="70" t="s">
        <v>2208</v>
      </c>
      <c r="AN313" s="70" t="s">
        <v>2208</v>
      </c>
      <c r="AO313" s="70" t="s">
        <v>2208</v>
      </c>
      <c r="AP313" s="70"/>
      <c r="AQ313" s="70"/>
      <c r="AR313" s="70"/>
      <c r="AS313" s="70" t="s">
        <v>2208</v>
      </c>
      <c r="AT313" s="70"/>
      <c r="AU313" s="70"/>
      <c r="AV313" s="70"/>
      <c r="AW313" s="73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1"/>
        <v>21</v>
      </c>
      <c r="P314" s="140" t="s">
        <v>1855</v>
      </c>
      <c r="Q314" s="31">
        <f t="shared" si="32"/>
        <v>7</v>
      </c>
      <c r="R314" s="157">
        <f t="shared" si="33"/>
        <v>0.75</v>
      </c>
      <c r="S314" s="138"/>
      <c r="T314" s="70" t="s">
        <v>2208</v>
      </c>
      <c r="U314" s="70" t="s">
        <v>2208</v>
      </c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 t="s">
        <v>2208</v>
      </c>
      <c r="AM314" s="70" t="s">
        <v>2208</v>
      </c>
      <c r="AN314" s="70" t="s">
        <v>2208</v>
      </c>
      <c r="AO314" s="70" t="s">
        <v>2208</v>
      </c>
      <c r="AP314" s="138"/>
      <c r="AQ314" s="138"/>
      <c r="AR314" s="138"/>
      <c r="AS314" s="70" t="s">
        <v>2208</v>
      </c>
      <c r="AT314" s="138"/>
      <c r="AU314" s="138"/>
      <c r="AV314" s="13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1"/>
        <v>21</v>
      </c>
      <c r="P315" s="136" t="s">
        <v>1856</v>
      </c>
      <c r="Q315" s="31">
        <f t="shared" si="32"/>
        <v>7</v>
      </c>
      <c r="R315" s="32">
        <f t="shared" si="33"/>
        <v>0.75</v>
      </c>
      <c r="S315" s="70"/>
      <c r="T315" s="70" t="s">
        <v>2208</v>
      </c>
      <c r="U315" s="70" t="s">
        <v>2208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 t="s">
        <v>2208</v>
      </c>
      <c r="AM315" s="70" t="s">
        <v>2208</v>
      </c>
      <c r="AN315" s="70" t="s">
        <v>2208</v>
      </c>
      <c r="AO315" s="70" t="s">
        <v>2208</v>
      </c>
      <c r="AP315" s="70"/>
      <c r="AQ315" s="70"/>
      <c r="AR315" s="70"/>
      <c r="AS315" s="70" t="s">
        <v>2208</v>
      </c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1"/>
        <v>26</v>
      </c>
      <c r="P316" s="136" t="s">
        <v>1859</v>
      </c>
      <c r="Q316" s="31">
        <f t="shared" si="32"/>
        <v>2</v>
      </c>
      <c r="R316" s="32">
        <f t="shared" si="33"/>
        <v>0.9285714285714286</v>
      </c>
      <c r="S316" s="70"/>
      <c r="T316" s="70" t="s">
        <v>2208</v>
      </c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1"/>
        <v>26</v>
      </c>
      <c r="P317" s="136" t="s">
        <v>1857</v>
      </c>
      <c r="Q317" s="31">
        <f t="shared" si="32"/>
        <v>2</v>
      </c>
      <c r="R317" s="32">
        <f t="shared" si="33"/>
        <v>0.9285714285714286</v>
      </c>
      <c r="S317" s="70"/>
      <c r="T317" s="70" t="s">
        <v>2208</v>
      </c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1"/>
        <v>26</v>
      </c>
      <c r="P318" s="136" t="s">
        <v>1858</v>
      </c>
      <c r="Q318" s="31">
        <f t="shared" si="32"/>
        <v>2</v>
      </c>
      <c r="R318" s="32">
        <f t="shared" si="33"/>
        <v>0.9285714285714286</v>
      </c>
      <c r="S318" s="70"/>
      <c r="T318" s="70" t="s">
        <v>2208</v>
      </c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hidden="1" thickBot="1" x14ac:dyDescent="0.3">
      <c r="A319"/>
      <c r="B319"/>
      <c r="C319"/>
      <c r="D319"/>
      <c r="E319" s="150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1"/>
        <v>27</v>
      </c>
      <c r="P319" s="136" t="s">
        <v>1860</v>
      </c>
      <c r="Q319" s="31">
        <f t="shared" si="32"/>
        <v>1</v>
      </c>
      <c r="R319" s="32">
        <f t="shared" si="33"/>
        <v>0.9642857142857143</v>
      </c>
      <c r="S319" s="70" t="s">
        <v>2208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hidden="1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1"/>
        <v>25</v>
      </c>
      <c r="P320" s="136" t="s">
        <v>1863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2208</v>
      </c>
      <c r="AF320" s="70"/>
      <c r="AG320" s="70"/>
      <c r="AH320" s="70"/>
      <c r="AI320" s="70"/>
      <c r="AJ320" s="70"/>
      <c r="AK320" s="70"/>
      <c r="AL320" s="70"/>
      <c r="AM320" s="70"/>
      <c r="AN320" s="70" t="s">
        <v>2208</v>
      </c>
      <c r="AO320" s="70" t="s">
        <v>2208</v>
      </c>
      <c r="AP320" s="70"/>
      <c r="AQ320" s="70"/>
      <c r="AR320" s="70"/>
      <c r="AS320" s="70"/>
      <c r="AT320" s="70"/>
      <c r="AU320" s="70"/>
      <c r="AV320" s="70"/>
    </row>
    <row r="321" spans="1:49" ht="15.75" hidden="1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1"/>
        <v>28</v>
      </c>
      <c r="P321" s="136" t="s">
        <v>1864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3"/>
    </row>
    <row r="322" spans="1:49" ht="15.75" hidden="1" thickBot="1" x14ac:dyDescent="0.3">
      <c r="A322"/>
      <c r="B322"/>
      <c r="C322"/>
      <c r="D322"/>
      <c r="E322" s="150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1"/>
        <v>28</v>
      </c>
      <c r="P322" s="143"/>
      <c r="Q322" s="31">
        <f t="shared" si="32"/>
        <v>0</v>
      </c>
      <c r="R322" s="157">
        <f t="shared" si="33"/>
        <v>1</v>
      </c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</row>
    <row r="323" spans="1:49" ht="15.75" hidden="1" thickBot="1" x14ac:dyDescent="0.3">
      <c r="A323"/>
      <c r="B323"/>
      <c r="C323"/>
      <c r="D323"/>
      <c r="E323" s="150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7"/>
      <c r="S323" s="138"/>
      <c r="T323" s="138"/>
      <c r="U323" s="138"/>
      <c r="V323" s="138"/>
      <c r="W323" s="138"/>
      <c r="X323" s="138"/>
      <c r="Y323" s="138"/>
      <c r="Z323" s="70" t="s">
        <v>2208</v>
      </c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</row>
    <row r="324" spans="1:49" s="69" customFormat="1" ht="15.75" hidden="1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1"/>
        <v>10</v>
      </c>
      <c r="P324" s="136" t="s">
        <v>1866</v>
      </c>
      <c r="Q324" s="131">
        <f t="shared" si="32"/>
        <v>18</v>
      </c>
      <c r="R324" s="132">
        <f t="shared" si="33"/>
        <v>0.35714285714285715</v>
      </c>
      <c r="S324" s="70" t="s">
        <v>2208</v>
      </c>
      <c r="T324" s="70" t="s">
        <v>2208</v>
      </c>
      <c r="U324" s="70" t="s">
        <v>2208</v>
      </c>
      <c r="V324" s="70"/>
      <c r="W324" s="70"/>
      <c r="X324" s="70" t="s">
        <v>2208</v>
      </c>
      <c r="Y324" s="70" t="s">
        <v>2208</v>
      </c>
      <c r="Z324" s="70" t="s">
        <v>2208</v>
      </c>
      <c r="AA324" s="70"/>
      <c r="AB324" s="70"/>
      <c r="AC324" s="70"/>
      <c r="AD324" s="70"/>
      <c r="AE324" s="70" t="s">
        <v>2208</v>
      </c>
      <c r="AF324" s="70" t="s">
        <v>2208</v>
      </c>
      <c r="AG324" s="70" t="s">
        <v>2208</v>
      </c>
      <c r="AH324" s="70" t="s">
        <v>2208</v>
      </c>
      <c r="AI324" s="70" t="s">
        <v>2208</v>
      </c>
      <c r="AJ324" s="70"/>
      <c r="AK324" s="70"/>
      <c r="AL324" s="70" t="s">
        <v>2208</v>
      </c>
      <c r="AM324" s="70" t="s">
        <v>2208</v>
      </c>
      <c r="AN324" s="70" t="s">
        <v>2208</v>
      </c>
      <c r="AO324" s="70" t="s">
        <v>2208</v>
      </c>
      <c r="AP324" s="70" t="s">
        <v>2208</v>
      </c>
      <c r="AQ324" s="142"/>
      <c r="AR324" s="70"/>
      <c r="AS324" s="70" t="s">
        <v>2208</v>
      </c>
      <c r="AT324" s="70" t="s">
        <v>2208</v>
      </c>
      <c r="AU324" s="70"/>
      <c r="AV324" s="70"/>
    </row>
    <row r="325" spans="1:49" ht="15.75" hidden="1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1"/>
        <v>28</v>
      </c>
      <c r="P325" s="136" t="s">
        <v>2093</v>
      </c>
      <c r="Q325" s="131">
        <f t="shared" si="32"/>
        <v>0</v>
      </c>
      <c r="R325" s="1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69" customFormat="1" ht="15.75" hidden="1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1"/>
        <v>10</v>
      </c>
      <c r="P326" s="136" t="s">
        <v>2135</v>
      </c>
      <c r="Q326" s="131">
        <f t="shared" si="32"/>
        <v>18</v>
      </c>
      <c r="R326" s="132">
        <f t="shared" si="33"/>
        <v>0.35714285714285715</v>
      </c>
      <c r="S326" s="70" t="s">
        <v>2208</v>
      </c>
      <c r="T326" s="70" t="s">
        <v>2208</v>
      </c>
      <c r="U326" s="70" t="s">
        <v>2208</v>
      </c>
      <c r="V326" s="70"/>
      <c r="W326" s="70"/>
      <c r="X326" s="70" t="s">
        <v>2208</v>
      </c>
      <c r="Y326" s="70" t="s">
        <v>2208</v>
      </c>
      <c r="Z326" s="70" t="s">
        <v>2208</v>
      </c>
      <c r="AA326" s="70"/>
      <c r="AB326" s="70"/>
      <c r="AC326" s="70"/>
      <c r="AD326" s="70"/>
      <c r="AE326" s="70" t="s">
        <v>2208</v>
      </c>
      <c r="AF326" s="70" t="s">
        <v>2208</v>
      </c>
      <c r="AG326" s="70" t="s">
        <v>2208</v>
      </c>
      <c r="AH326" s="70" t="s">
        <v>2208</v>
      </c>
      <c r="AI326" s="70" t="s">
        <v>2208</v>
      </c>
      <c r="AJ326" s="70"/>
      <c r="AK326" s="70"/>
      <c r="AL326" s="70" t="s">
        <v>2208</v>
      </c>
      <c r="AM326" s="70" t="s">
        <v>2208</v>
      </c>
      <c r="AN326" s="70" t="s">
        <v>2208</v>
      </c>
      <c r="AO326" s="70" t="s">
        <v>2208</v>
      </c>
      <c r="AP326" s="70" t="s">
        <v>2208</v>
      </c>
      <c r="AQ326" s="142"/>
      <c r="AR326" s="70"/>
      <c r="AS326" s="70" t="s">
        <v>2208</v>
      </c>
      <c r="AT326" s="70" t="s">
        <v>2208</v>
      </c>
      <c r="AU326" s="70"/>
      <c r="AV326" s="70"/>
    </row>
    <row r="327" spans="1:49" s="69" customFormat="1" ht="15.75" hidden="1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1"/>
        <v>12</v>
      </c>
      <c r="P327" s="136" t="s">
        <v>1870</v>
      </c>
      <c r="Q327" s="31">
        <f t="shared" si="32"/>
        <v>16</v>
      </c>
      <c r="R327" s="32">
        <f t="shared" si="33"/>
        <v>0.42857142857142855</v>
      </c>
      <c r="S327" s="70" t="s">
        <v>2208</v>
      </c>
      <c r="T327" s="70" t="s">
        <v>2208</v>
      </c>
      <c r="U327" s="70" t="s">
        <v>2208</v>
      </c>
      <c r="V327" s="70"/>
      <c r="W327" s="70"/>
      <c r="X327" s="70" t="s">
        <v>2208</v>
      </c>
      <c r="Y327" s="70" t="s">
        <v>2208</v>
      </c>
      <c r="Z327" s="70" t="s">
        <v>2208</v>
      </c>
      <c r="AA327" s="70"/>
      <c r="AB327" s="70"/>
      <c r="AC327" s="70"/>
      <c r="AD327" s="70"/>
      <c r="AE327" s="70"/>
      <c r="AF327" s="70" t="s">
        <v>2208</v>
      </c>
      <c r="AG327" s="70" t="s">
        <v>2208</v>
      </c>
      <c r="AH327" s="70" t="s">
        <v>2208</v>
      </c>
      <c r="AI327" s="70" t="s">
        <v>2208</v>
      </c>
      <c r="AJ327" s="70"/>
      <c r="AK327" s="70"/>
      <c r="AL327" s="70" t="s">
        <v>2208</v>
      </c>
      <c r="AM327" s="70" t="s">
        <v>2208</v>
      </c>
      <c r="AN327" s="70" t="s">
        <v>2208</v>
      </c>
      <c r="AO327" s="70" t="s">
        <v>2208</v>
      </c>
      <c r="AP327" s="70" t="s">
        <v>2208</v>
      </c>
      <c r="AQ327" s="70"/>
      <c r="AR327" s="70"/>
      <c r="AS327" s="70" t="s">
        <v>2208</v>
      </c>
      <c r="AT327" s="70"/>
      <c r="AU327" s="70"/>
      <c r="AV327" s="70"/>
      <c r="AW327"/>
    </row>
    <row r="328" spans="1:49" s="73" customFormat="1" ht="15.75" hidden="1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1"/>
        <v>25</v>
      </c>
      <c r="P328" s="136" t="s">
        <v>1871</v>
      </c>
      <c r="Q328" s="31">
        <f t="shared" si="32"/>
        <v>3</v>
      </c>
      <c r="R328" s="32">
        <f t="shared" si="33"/>
        <v>0.8928571428571429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 t="s">
        <v>2208</v>
      </c>
      <c r="AJ328" s="70"/>
      <c r="AK328" s="70"/>
      <c r="AL328" s="70" t="s">
        <v>2208</v>
      </c>
      <c r="AM328" s="70"/>
      <c r="AN328" s="70"/>
      <c r="AO328" s="70"/>
      <c r="AP328" s="70"/>
      <c r="AQ328" s="70"/>
      <c r="AR328" s="70"/>
      <c r="AS328" s="70" t="s">
        <v>2208</v>
      </c>
      <c r="AT328" s="70"/>
      <c r="AU328" s="70"/>
      <c r="AV328" s="70"/>
    </row>
    <row r="329" spans="1:49" s="73" customFormat="1" ht="15.75" hidden="1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1"/>
        <v>28</v>
      </c>
      <c r="P329" s="136" t="s">
        <v>1853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hidden="1" thickBot="1" x14ac:dyDescent="0.3">
      <c r="A330"/>
      <c r="B330"/>
      <c r="C330"/>
      <c r="D330"/>
      <c r="E330" s="150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1"/>
        <v>27</v>
      </c>
      <c r="P330" s="136" t="s">
        <v>1861</v>
      </c>
      <c r="Q330" s="31">
        <f t="shared" si="32"/>
        <v>1</v>
      </c>
      <c r="R330" s="32">
        <f t="shared" si="33"/>
        <v>0.9642857142857143</v>
      </c>
      <c r="S330" s="70" t="s">
        <v>2208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73" customFormat="1" ht="15.75" hidden="1" thickBot="1" x14ac:dyDescent="0.3">
      <c r="A331"/>
      <c r="B331"/>
      <c r="C331"/>
      <c r="D331"/>
      <c r="E331" s="150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1"/>
        <v>27</v>
      </c>
      <c r="P331" s="136" t="s">
        <v>1862</v>
      </c>
      <c r="Q331" s="31">
        <f t="shared" si="32"/>
        <v>1</v>
      </c>
      <c r="R331" s="32">
        <f t="shared" si="33"/>
        <v>0.9642857142857143</v>
      </c>
      <c r="S331" s="70" t="s">
        <v>2208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/>
    </row>
    <row r="332" spans="1:49" s="73" customFormat="1" ht="15.75" hidden="1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1"/>
        <v>28</v>
      </c>
      <c r="P332" s="136" t="s">
        <v>1865</v>
      </c>
      <c r="Q332" s="31">
        <f t="shared" si="32"/>
        <v>0</v>
      </c>
      <c r="R332" s="32">
        <f t="shared" si="33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/>
    </row>
    <row r="333" spans="1:49" s="69" customFormat="1" ht="15.75" hidden="1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1"/>
        <v>10</v>
      </c>
      <c r="P333" s="136" t="s">
        <v>1867</v>
      </c>
      <c r="Q333" s="31">
        <f t="shared" si="32"/>
        <v>18</v>
      </c>
      <c r="R333" s="32">
        <f t="shared" si="33"/>
        <v>0.35714285714285715</v>
      </c>
      <c r="S333" s="70" t="s">
        <v>2208</v>
      </c>
      <c r="T333" s="70" t="s">
        <v>2208</v>
      </c>
      <c r="U333" s="70" t="s">
        <v>2208</v>
      </c>
      <c r="V333" s="70"/>
      <c r="W333" s="70"/>
      <c r="X333" s="70" t="s">
        <v>2208</v>
      </c>
      <c r="Y333" s="70" t="s">
        <v>2208</v>
      </c>
      <c r="Z333" s="70" t="s">
        <v>2208</v>
      </c>
      <c r="AA333" s="70"/>
      <c r="AB333" s="70"/>
      <c r="AC333" s="70"/>
      <c r="AD333" s="70"/>
      <c r="AE333" s="70" t="s">
        <v>2208</v>
      </c>
      <c r="AF333" s="70" t="s">
        <v>2208</v>
      </c>
      <c r="AG333" s="70" t="s">
        <v>2208</v>
      </c>
      <c r="AH333" s="70" t="s">
        <v>2208</v>
      </c>
      <c r="AI333" s="70" t="s">
        <v>2208</v>
      </c>
      <c r="AJ333" s="70"/>
      <c r="AK333" s="70"/>
      <c r="AL333" s="70" t="s">
        <v>2208</v>
      </c>
      <c r="AM333" s="70" t="s">
        <v>2208</v>
      </c>
      <c r="AN333" s="70" t="s">
        <v>2208</v>
      </c>
      <c r="AO333" s="70" t="s">
        <v>2208</v>
      </c>
      <c r="AP333" s="70" t="s">
        <v>2208</v>
      </c>
      <c r="AQ333" s="142"/>
      <c r="AR333" s="70"/>
      <c r="AS333" s="70" t="s">
        <v>2208</v>
      </c>
      <c r="AT333" s="70" t="s">
        <v>2208</v>
      </c>
      <c r="AU333" s="70"/>
      <c r="AV333" s="70"/>
    </row>
    <row r="334" spans="1:49" s="69" customFormat="1" ht="15.75" hidden="1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1"/>
        <v>10</v>
      </c>
      <c r="P334" s="136" t="s">
        <v>1868</v>
      </c>
      <c r="Q334" s="131">
        <f t="shared" si="32"/>
        <v>18</v>
      </c>
      <c r="R334" s="132">
        <f t="shared" si="33"/>
        <v>0.35714285714285715</v>
      </c>
      <c r="S334" s="70" t="s">
        <v>2208</v>
      </c>
      <c r="T334" s="70" t="s">
        <v>2208</v>
      </c>
      <c r="U334" s="70" t="s">
        <v>2208</v>
      </c>
      <c r="V334" s="70"/>
      <c r="W334" s="70"/>
      <c r="X334" s="70" t="s">
        <v>2208</v>
      </c>
      <c r="Y334" s="70" t="s">
        <v>2208</v>
      </c>
      <c r="Z334" s="70" t="s">
        <v>2208</v>
      </c>
      <c r="AA334" s="70"/>
      <c r="AB334" s="70"/>
      <c r="AC334" s="70"/>
      <c r="AD334" s="70"/>
      <c r="AE334" s="70" t="s">
        <v>2208</v>
      </c>
      <c r="AF334" s="70" t="s">
        <v>2208</v>
      </c>
      <c r="AG334" s="70" t="s">
        <v>2208</v>
      </c>
      <c r="AH334" s="70" t="s">
        <v>2208</v>
      </c>
      <c r="AI334" s="70" t="s">
        <v>2208</v>
      </c>
      <c r="AJ334" s="70"/>
      <c r="AK334" s="70"/>
      <c r="AL334" s="70" t="s">
        <v>2208</v>
      </c>
      <c r="AM334" s="70" t="s">
        <v>2208</v>
      </c>
      <c r="AN334" s="70" t="s">
        <v>2208</v>
      </c>
      <c r="AO334" s="70" t="s">
        <v>2208</v>
      </c>
      <c r="AP334" s="70" t="s">
        <v>2208</v>
      </c>
      <c r="AQ334" s="142"/>
      <c r="AR334" s="70"/>
      <c r="AS334" s="70" t="s">
        <v>2208</v>
      </c>
      <c r="AT334" s="70" t="s">
        <v>2208</v>
      </c>
      <c r="AU334" s="70"/>
      <c r="AV334" s="70"/>
    </row>
    <row r="335" spans="1:49" s="69" customFormat="1" ht="15.75" hidden="1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1"/>
        <v>10</v>
      </c>
      <c r="P335" s="136" t="s">
        <v>1869</v>
      </c>
      <c r="Q335" s="131">
        <f t="shared" si="32"/>
        <v>18</v>
      </c>
      <c r="R335" s="132">
        <f t="shared" si="33"/>
        <v>0.35714285714285715</v>
      </c>
      <c r="S335" s="70" t="s">
        <v>2208</v>
      </c>
      <c r="T335" s="70" t="s">
        <v>2208</v>
      </c>
      <c r="U335" s="70" t="s">
        <v>2208</v>
      </c>
      <c r="V335" s="70"/>
      <c r="W335" s="70"/>
      <c r="X335" s="70" t="s">
        <v>2208</v>
      </c>
      <c r="Y335" s="70" t="s">
        <v>2208</v>
      </c>
      <c r="Z335" s="70" t="s">
        <v>2208</v>
      </c>
      <c r="AA335" s="70"/>
      <c r="AB335" s="70"/>
      <c r="AC335" s="70"/>
      <c r="AD335" s="70"/>
      <c r="AE335" s="70" t="s">
        <v>2208</v>
      </c>
      <c r="AF335" s="70" t="s">
        <v>2208</v>
      </c>
      <c r="AG335" s="70" t="s">
        <v>2208</v>
      </c>
      <c r="AH335" s="70" t="s">
        <v>2208</v>
      </c>
      <c r="AI335" s="70" t="s">
        <v>2208</v>
      </c>
      <c r="AJ335" s="70"/>
      <c r="AK335" s="70"/>
      <c r="AL335" s="70" t="s">
        <v>2208</v>
      </c>
      <c r="AM335" s="70" t="s">
        <v>2208</v>
      </c>
      <c r="AN335" s="70" t="s">
        <v>2208</v>
      </c>
      <c r="AO335" s="70" t="s">
        <v>2208</v>
      </c>
      <c r="AP335" s="70" t="s">
        <v>2208</v>
      </c>
      <c r="AQ335" s="142"/>
      <c r="AR335" s="70"/>
      <c r="AS335" s="70" t="s">
        <v>2208</v>
      </c>
      <c r="AT335" s="70" t="s">
        <v>2208</v>
      </c>
      <c r="AU335" s="70"/>
      <c r="AV335" s="70"/>
    </row>
    <row r="336" spans="1:49" ht="15.75" hidden="1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4">COUNTIF(S336:AT336,"")</f>
        <v>24</v>
      </c>
      <c r="P336" s="136" t="s">
        <v>1872</v>
      </c>
      <c r="Q336" s="31">
        <f t="shared" ref="Q336:Q401" si="35">COUNTIF(S336:AT336,"APAGADO")</f>
        <v>4</v>
      </c>
      <c r="R336" s="32">
        <f t="shared" ref="R336:R401" si="36">(O336)/(Q336+O336)</f>
        <v>0.8571428571428571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2208</v>
      </c>
      <c r="AJ336" s="70"/>
      <c r="AK336" s="70"/>
      <c r="AL336" s="70" t="s">
        <v>2208</v>
      </c>
      <c r="AM336" s="70"/>
      <c r="AN336" s="70"/>
      <c r="AO336" s="70"/>
      <c r="AP336" s="70"/>
      <c r="AQ336" s="70"/>
      <c r="AR336" s="70"/>
      <c r="AS336" s="70" t="s">
        <v>2208</v>
      </c>
      <c r="AT336" s="70" t="s">
        <v>2208</v>
      </c>
      <c r="AU336" s="70"/>
      <c r="AV336" s="70"/>
    </row>
    <row r="337" spans="1:49" ht="15.75" hidden="1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4"/>
        <v>28</v>
      </c>
      <c r="P337" s="136" t="s">
        <v>1873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4"/>
        <v>20</v>
      </c>
      <c r="P338" s="136" t="s">
        <v>1874</v>
      </c>
      <c r="Q338" s="31">
        <f t="shared" si="35"/>
        <v>8</v>
      </c>
      <c r="R338" s="32">
        <f t="shared" si="36"/>
        <v>0.7142857142857143</v>
      </c>
      <c r="S338" s="70"/>
      <c r="T338" s="70" t="s">
        <v>2208</v>
      </c>
      <c r="U338" s="70" t="s">
        <v>2208</v>
      </c>
      <c r="V338" s="70"/>
      <c r="W338" s="70"/>
      <c r="X338" s="70" t="s">
        <v>2208</v>
      </c>
      <c r="Y338" s="70"/>
      <c r="Z338" s="70" t="s">
        <v>2208</v>
      </c>
      <c r="AA338" s="70"/>
      <c r="AB338" s="70"/>
      <c r="AC338" s="70"/>
      <c r="AD338" s="70"/>
      <c r="AE338" s="70" t="s">
        <v>2208</v>
      </c>
      <c r="AF338" s="70" t="s">
        <v>2208</v>
      </c>
      <c r="AG338" s="70"/>
      <c r="AH338" s="70"/>
      <c r="AI338" s="70"/>
      <c r="AJ338" s="70"/>
      <c r="AK338" s="70"/>
      <c r="AL338" s="70"/>
      <c r="AM338" s="70"/>
      <c r="AN338" s="70" t="s">
        <v>2208</v>
      </c>
      <c r="AO338" s="70" t="s">
        <v>2208</v>
      </c>
      <c r="AP338" s="70"/>
      <c r="AQ338" s="70"/>
      <c r="AR338" s="70"/>
      <c r="AS338" s="70"/>
      <c r="AT338" s="70"/>
      <c r="AU338" s="70"/>
      <c r="AV338" s="70"/>
    </row>
    <row r="339" spans="1:49" ht="15.75" hidden="1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4"/>
        <v>28</v>
      </c>
      <c r="P339" s="136" t="s">
        <v>1875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4"/>
        <v>27</v>
      </c>
      <c r="P340" s="136" t="s">
        <v>1876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2208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4"/>
        <v>27</v>
      </c>
      <c r="P341" s="136" t="s">
        <v>1877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2208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4"/>
        <v>27</v>
      </c>
      <c r="P342" s="136" t="s">
        <v>1878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2208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4"/>
        <v>26</v>
      </c>
      <c r="P343" s="136" t="s">
        <v>1879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 t="s">
        <v>2208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 t="s">
        <v>2208</v>
      </c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4"/>
        <v>16</v>
      </c>
      <c r="P344" s="136" t="s">
        <v>1880</v>
      </c>
      <c r="Q344" s="31">
        <f t="shared" si="35"/>
        <v>12</v>
      </c>
      <c r="R344" s="32">
        <f t="shared" si="36"/>
        <v>0.5714285714285714</v>
      </c>
      <c r="S344" s="70"/>
      <c r="T344" s="70"/>
      <c r="U344" s="70" t="s">
        <v>2208</v>
      </c>
      <c r="V344" s="70"/>
      <c r="W344" s="70"/>
      <c r="X344" s="70"/>
      <c r="Y344" s="70"/>
      <c r="Z344" s="70" t="s">
        <v>2208</v>
      </c>
      <c r="AA344" s="70"/>
      <c r="AB344" s="70"/>
      <c r="AC344" s="70"/>
      <c r="AD344" s="70"/>
      <c r="AE344" s="70" t="s">
        <v>2208</v>
      </c>
      <c r="AF344" s="70" t="s">
        <v>2208</v>
      </c>
      <c r="AG344" s="70" t="s">
        <v>2208</v>
      </c>
      <c r="AH344" s="70" t="s">
        <v>2208</v>
      </c>
      <c r="AI344" s="70" t="s">
        <v>2208</v>
      </c>
      <c r="AJ344" s="70"/>
      <c r="AK344" s="70"/>
      <c r="AL344" s="70"/>
      <c r="AM344" s="70"/>
      <c r="AN344" s="70" t="s">
        <v>2208</v>
      </c>
      <c r="AO344" s="70" t="s">
        <v>2208</v>
      </c>
      <c r="AP344" s="70" t="s">
        <v>2208</v>
      </c>
      <c r="AQ344" s="70"/>
      <c r="AR344" s="70"/>
      <c r="AS344" s="70" t="s">
        <v>2208</v>
      </c>
      <c r="AT344" s="70" t="s">
        <v>2208</v>
      </c>
      <c r="AU344" s="70"/>
      <c r="AV344" s="70"/>
      <c r="AW344" s="73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4"/>
        <v>16</v>
      </c>
      <c r="P345" s="136" t="s">
        <v>1881</v>
      </c>
      <c r="Q345" s="31">
        <f t="shared" si="35"/>
        <v>12</v>
      </c>
      <c r="R345" s="32">
        <f t="shared" si="36"/>
        <v>0.5714285714285714</v>
      </c>
      <c r="S345" s="70"/>
      <c r="T345" s="70"/>
      <c r="U345" s="70" t="s">
        <v>2208</v>
      </c>
      <c r="V345" s="70"/>
      <c r="W345" s="70"/>
      <c r="X345" s="70"/>
      <c r="Y345" s="70"/>
      <c r="Z345" s="70" t="s">
        <v>2208</v>
      </c>
      <c r="AA345" s="70"/>
      <c r="AB345" s="70"/>
      <c r="AC345" s="70"/>
      <c r="AD345" s="70"/>
      <c r="AE345" s="70" t="s">
        <v>2208</v>
      </c>
      <c r="AF345" s="70" t="s">
        <v>2208</v>
      </c>
      <c r="AG345" s="70" t="s">
        <v>2208</v>
      </c>
      <c r="AH345" s="70" t="s">
        <v>2208</v>
      </c>
      <c r="AI345" s="70" t="s">
        <v>2208</v>
      </c>
      <c r="AJ345" s="70"/>
      <c r="AK345" s="70"/>
      <c r="AL345" s="70"/>
      <c r="AM345" s="70"/>
      <c r="AN345" s="70" t="s">
        <v>2208</v>
      </c>
      <c r="AO345" s="70" t="s">
        <v>2208</v>
      </c>
      <c r="AP345" s="70" t="s">
        <v>2208</v>
      </c>
      <c r="AQ345" s="70"/>
      <c r="AR345" s="70"/>
      <c r="AS345" s="70" t="s">
        <v>2208</v>
      </c>
      <c r="AT345" s="70" t="s">
        <v>2208</v>
      </c>
      <c r="AU345" s="70"/>
      <c r="AV345" s="70"/>
      <c r="AW345" s="73"/>
    </row>
    <row r="346" spans="1:49" ht="15.75" hidden="1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3"/>
    </row>
    <row r="347" spans="1:49" ht="15.75" hidden="1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4"/>
        <v>21</v>
      </c>
      <c r="P347" s="136" t="s">
        <v>1882</v>
      </c>
      <c r="Q347" s="31">
        <f t="shared" si="35"/>
        <v>7</v>
      </c>
      <c r="R347" s="32">
        <f t="shared" si="36"/>
        <v>0.75</v>
      </c>
      <c r="S347" s="70" t="s">
        <v>2208</v>
      </c>
      <c r="T347" s="70" t="s">
        <v>2208</v>
      </c>
      <c r="U347" s="70" t="s">
        <v>2208</v>
      </c>
      <c r="V347" s="70"/>
      <c r="W347" s="70"/>
      <c r="X347" s="70" t="s">
        <v>2208</v>
      </c>
      <c r="Y347" s="70" t="s">
        <v>2208</v>
      </c>
      <c r="Z347" s="70" t="s">
        <v>2208</v>
      </c>
      <c r="AA347" s="70"/>
      <c r="AB347" s="70"/>
      <c r="AC347" s="70"/>
      <c r="AD347" s="70"/>
      <c r="AE347" s="70"/>
      <c r="AF347" s="70"/>
      <c r="AG347" s="70" t="s">
        <v>2208</v>
      </c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hidden="1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4"/>
        <v>27</v>
      </c>
      <c r="P348" s="136" t="s">
        <v>1883</v>
      </c>
      <c r="Q348" s="31">
        <f t="shared" si="35"/>
        <v>1</v>
      </c>
      <c r="R348" s="32">
        <f t="shared" si="36"/>
        <v>0.9642857142857143</v>
      </c>
      <c r="S348" s="70"/>
      <c r="T348" s="70" t="s">
        <v>2208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4"/>
        <v>27</v>
      </c>
      <c r="P349" s="136" t="s">
        <v>1884</v>
      </c>
      <c r="Q349" s="31">
        <f t="shared" si="35"/>
        <v>1</v>
      </c>
      <c r="R349" s="32">
        <f t="shared" si="36"/>
        <v>0.9642857142857143</v>
      </c>
      <c r="S349" s="70"/>
      <c r="T349" s="70" t="s">
        <v>2208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4"/>
        <v>27</v>
      </c>
      <c r="P350" s="136" t="s">
        <v>1885</v>
      </c>
      <c r="Q350" s="31">
        <f t="shared" si="35"/>
        <v>1</v>
      </c>
      <c r="R350" s="32">
        <f t="shared" si="36"/>
        <v>0.9642857142857143</v>
      </c>
      <c r="S350" s="70"/>
      <c r="T350" s="70" t="s">
        <v>2208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4"/>
        <v>27</v>
      </c>
      <c r="P351" s="136" t="s">
        <v>2167</v>
      </c>
      <c r="Q351" s="31">
        <f t="shared" si="35"/>
        <v>1</v>
      </c>
      <c r="R351" s="32">
        <f t="shared" si="36"/>
        <v>0.9642857142857143</v>
      </c>
      <c r="S351" s="70"/>
      <c r="T351" s="70" t="s">
        <v>2208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4"/>
        <v>27</v>
      </c>
      <c r="P352" s="136" t="s">
        <v>2170</v>
      </c>
      <c r="Q352" s="31">
        <f t="shared" si="35"/>
        <v>1</v>
      </c>
      <c r="R352" s="32">
        <f t="shared" si="36"/>
        <v>0.9642857142857143</v>
      </c>
      <c r="S352" s="70"/>
      <c r="T352" s="70" t="s">
        <v>2208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4"/>
        <v>27</v>
      </c>
      <c r="P353" s="136" t="s">
        <v>1890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2208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4"/>
        <v>24</v>
      </c>
      <c r="P354" s="136" t="s">
        <v>1891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2208</v>
      </c>
      <c r="V354" s="70"/>
      <c r="W354" s="70"/>
      <c r="X354" s="70" t="s">
        <v>2208</v>
      </c>
      <c r="Y354" s="70" t="s">
        <v>2208</v>
      </c>
      <c r="Z354" s="70" t="s">
        <v>2208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69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4"/>
        <v>27</v>
      </c>
      <c r="P355" s="136" t="s">
        <v>1892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2208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69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4"/>
        <v>27</v>
      </c>
      <c r="P356" s="136" t="s">
        <v>1893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2208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4"/>
        <v>24</v>
      </c>
      <c r="P357" s="136" t="s">
        <v>1894</v>
      </c>
      <c r="Q357" s="31">
        <f t="shared" si="35"/>
        <v>4</v>
      </c>
      <c r="R357" s="32">
        <f t="shared" si="36"/>
        <v>0.8571428571428571</v>
      </c>
      <c r="S357" s="70"/>
      <c r="T357" s="70"/>
      <c r="U357" s="70" t="s">
        <v>2208</v>
      </c>
      <c r="V357" s="70"/>
      <c r="W357" s="70"/>
      <c r="X357" s="70" t="s">
        <v>2208</v>
      </c>
      <c r="Y357" s="70" t="s">
        <v>2208</v>
      </c>
      <c r="Z357" s="70" t="s">
        <v>2208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8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4"/>
        <v>27</v>
      </c>
      <c r="P358" s="136" t="s">
        <v>1895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2208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4"/>
        <v>27</v>
      </c>
      <c r="P359" s="136" t="s">
        <v>1896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2208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4"/>
        <v>27</v>
      </c>
      <c r="P360" s="136" t="s">
        <v>1897</v>
      </c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2208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4"/>
        <v>27</v>
      </c>
      <c r="P361" s="136" t="s">
        <v>1898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2208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4"/>
        <v>27</v>
      </c>
      <c r="P362" s="136"/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2208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4"/>
        <v>27</v>
      </c>
      <c r="P363" s="136"/>
      <c r="Q363" s="31">
        <f t="shared" si="35"/>
        <v>1</v>
      </c>
      <c r="R363" s="32">
        <f t="shared" si="36"/>
        <v>0.9642857142857143</v>
      </c>
      <c r="S363" s="70"/>
      <c r="T363" s="70"/>
      <c r="U363" s="70" t="s">
        <v>2208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4"/>
        <v>27</v>
      </c>
      <c r="P364" s="136" t="s">
        <v>1899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2208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hidden="1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 t="s">
        <v>2208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4"/>
        <v>27</v>
      </c>
      <c r="P366" s="136" t="s">
        <v>1886</v>
      </c>
      <c r="Q366" s="85">
        <f t="shared" si="35"/>
        <v>1</v>
      </c>
      <c r="R366" s="86">
        <f t="shared" si="36"/>
        <v>0.9642857142857143</v>
      </c>
      <c r="S366" s="70"/>
      <c r="T366" s="70"/>
      <c r="U366" s="70" t="s">
        <v>2208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4"/>
        <v>27</v>
      </c>
      <c r="P367" s="136" t="s">
        <v>1887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2208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4"/>
        <v>27</v>
      </c>
      <c r="P368" s="136" t="s">
        <v>1888</v>
      </c>
      <c r="Q368" s="31">
        <f t="shared" si="35"/>
        <v>1</v>
      </c>
      <c r="R368" s="32">
        <f t="shared" si="36"/>
        <v>0.9642857142857143</v>
      </c>
      <c r="S368" s="70"/>
      <c r="T368" s="70"/>
      <c r="U368" s="70" t="s">
        <v>2208</v>
      </c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4"/>
        <v>27</v>
      </c>
      <c r="P369" s="136" t="s">
        <v>1889</v>
      </c>
      <c r="Q369" s="31">
        <f t="shared" si="35"/>
        <v>1</v>
      </c>
      <c r="R369" s="32">
        <f t="shared" si="36"/>
        <v>0.9642857142857143</v>
      </c>
      <c r="S369" s="70"/>
      <c r="T369" s="70"/>
      <c r="U369" s="70" t="s">
        <v>2208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hidden="1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4"/>
        <v>28</v>
      </c>
      <c r="P370" s="136" t="s">
        <v>2385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hidden="1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4"/>
        <v>28</v>
      </c>
      <c r="P371" s="136" t="s">
        <v>2386</v>
      </c>
      <c r="Q371" s="131">
        <f t="shared" si="35"/>
        <v>0</v>
      </c>
      <c r="R371" s="1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ht="15.75" hidden="1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4"/>
        <v>17</v>
      </c>
      <c r="P372" s="136" t="s">
        <v>1901</v>
      </c>
      <c r="Q372" s="131">
        <f t="shared" si="35"/>
        <v>11</v>
      </c>
      <c r="R372" s="132">
        <f t="shared" si="36"/>
        <v>0.6071428571428571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2208</v>
      </c>
      <c r="AG372" s="70" t="s">
        <v>2208</v>
      </c>
      <c r="AH372" s="70" t="s">
        <v>2208</v>
      </c>
      <c r="AI372" s="70" t="s">
        <v>2208</v>
      </c>
      <c r="AJ372" s="70"/>
      <c r="AK372" s="70"/>
      <c r="AL372" s="70" t="s">
        <v>2208</v>
      </c>
      <c r="AM372" s="70" t="s">
        <v>2208</v>
      </c>
      <c r="AN372" s="70" t="s">
        <v>2208</v>
      </c>
      <c r="AO372" s="70" t="s">
        <v>2208</v>
      </c>
      <c r="AP372" s="70" t="s">
        <v>2208</v>
      </c>
      <c r="AQ372" s="70"/>
      <c r="AR372" s="70"/>
      <c r="AS372" s="70" t="s">
        <v>2208</v>
      </c>
      <c r="AT372" s="70" t="s">
        <v>2208</v>
      </c>
      <c r="AU372" s="70"/>
      <c r="AV372" s="70"/>
    </row>
    <row r="373" spans="1:49" s="73" customFormat="1" ht="15.75" hidden="1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4"/>
        <v>16</v>
      </c>
      <c r="P373" s="136" t="s">
        <v>1902</v>
      </c>
      <c r="Q373" s="131">
        <f t="shared" si="35"/>
        <v>12</v>
      </c>
      <c r="R373" s="132">
        <f t="shared" si="36"/>
        <v>0.5714285714285714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2208</v>
      </c>
      <c r="AF373" s="70" t="s">
        <v>2208</v>
      </c>
      <c r="AG373" s="70" t="s">
        <v>2208</v>
      </c>
      <c r="AH373" s="70" t="s">
        <v>2208</v>
      </c>
      <c r="AI373" s="70" t="s">
        <v>2208</v>
      </c>
      <c r="AJ373" s="70"/>
      <c r="AK373" s="70"/>
      <c r="AL373" s="70" t="s">
        <v>2208</v>
      </c>
      <c r="AM373" s="70" t="s">
        <v>2208</v>
      </c>
      <c r="AN373" s="70" t="s">
        <v>2208</v>
      </c>
      <c r="AO373" s="70" t="s">
        <v>2208</v>
      </c>
      <c r="AP373" s="70" t="s">
        <v>2208</v>
      </c>
      <c r="AQ373" s="70"/>
      <c r="AR373" s="70"/>
      <c r="AS373" s="70" t="s">
        <v>2208</v>
      </c>
      <c r="AT373" s="70" t="s">
        <v>2208</v>
      </c>
      <c r="AU373" s="70"/>
      <c r="AV373" s="70"/>
      <c r="AW373"/>
    </row>
    <row r="374" spans="1:49" s="73" customFormat="1" ht="15.75" hidden="1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4"/>
        <v>27</v>
      </c>
      <c r="P374" s="136" t="s">
        <v>1903</v>
      </c>
      <c r="Q374" s="31">
        <f t="shared" si="35"/>
        <v>1</v>
      </c>
      <c r="R374" s="32">
        <f t="shared" si="36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ht="15.75" hidden="1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4"/>
        <v>27</v>
      </c>
      <c r="P375" s="136" t="s">
        <v>1904</v>
      </c>
      <c r="Q375" s="31">
        <f t="shared" si="35"/>
        <v>1</v>
      </c>
      <c r="R375" s="32">
        <f t="shared" si="36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hidden="1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4"/>
        <v>28</v>
      </c>
      <c r="P376" s="136" t="s">
        <v>1905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hidden="1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4"/>
        <v>28</v>
      </c>
      <c r="P377" s="136" t="s">
        <v>1906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hidden="1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4"/>
        <v>27</v>
      </c>
      <c r="P378" s="136" t="s">
        <v>1907</v>
      </c>
      <c r="Q378" s="31">
        <f t="shared" si="35"/>
        <v>1</v>
      </c>
      <c r="R378" s="32">
        <f t="shared" si="36"/>
        <v>0.9642857142857143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hidden="1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4"/>
        <v>27</v>
      </c>
      <c r="P379" s="136" t="s">
        <v>1908</v>
      </c>
      <c r="Q379" s="31">
        <f t="shared" si="35"/>
        <v>1</v>
      </c>
      <c r="R379" s="32">
        <f t="shared" si="36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hidden="1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4"/>
        <v>28</v>
      </c>
      <c r="P380" s="136" t="s">
        <v>1909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3"/>
    </row>
    <row r="381" spans="1:49" ht="15.75" hidden="1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4"/>
        <v>28</v>
      </c>
      <c r="P381" s="136" t="s">
        <v>1910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3"/>
    </row>
    <row r="382" spans="1:49" ht="15.75" hidden="1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4"/>
        <v>28</v>
      </c>
      <c r="P382" s="136" t="s">
        <v>1911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hidden="1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4"/>
        <v>28</v>
      </c>
      <c r="P383" s="136" t="s">
        <v>1912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hidden="1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4"/>
        <v>28</v>
      </c>
      <c r="P384" s="136" t="s">
        <v>1913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s="73" customFormat="1" ht="15.75" hidden="1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4"/>
        <v>25</v>
      </c>
      <c r="P385" s="136" t="s">
        <v>2088</v>
      </c>
      <c r="Q385" s="31">
        <f t="shared" si="35"/>
        <v>3</v>
      </c>
      <c r="R385" s="32">
        <f t="shared" si="36"/>
        <v>0.8928571428571429</v>
      </c>
      <c r="S385" s="70"/>
      <c r="T385" s="70"/>
      <c r="U385" s="70"/>
      <c r="V385" s="70"/>
      <c r="W385" s="70"/>
      <c r="X385" s="70"/>
      <c r="Y385" s="70"/>
      <c r="Z385" s="70" t="s">
        <v>2208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 t="s">
        <v>2208</v>
      </c>
      <c r="AT385" s="70" t="s">
        <v>2208</v>
      </c>
      <c r="AU385" s="70"/>
      <c r="AV385" s="70"/>
      <c r="AW385"/>
    </row>
    <row r="386" spans="1:49" s="73" customFormat="1" ht="15.75" hidden="1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4"/>
        <v>28</v>
      </c>
      <c r="P386" s="136" t="s">
        <v>1900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ht="15.75" hidden="1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4"/>
        <v>27</v>
      </c>
      <c r="P387" s="136" t="s">
        <v>1914</v>
      </c>
      <c r="Q387" s="31">
        <f t="shared" si="35"/>
        <v>1</v>
      </c>
      <c r="R387" s="32">
        <f t="shared" si="36"/>
        <v>0.9642857142857143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 t="s">
        <v>2208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hidden="1" thickBot="1" x14ac:dyDescent="0.3">
      <c r="A388"/>
      <c r="B388"/>
      <c r="C388"/>
      <c r="D388"/>
      <c r="E388" s="150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4"/>
        <v>28</v>
      </c>
      <c r="P388" s="136" t="s">
        <v>1915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73" customFormat="1" ht="15.75" hidden="1" thickBot="1" x14ac:dyDescent="0.3">
      <c r="A389"/>
      <c r="B389"/>
      <c r="C389"/>
      <c r="D389"/>
      <c r="E389" s="150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4"/>
        <v>28</v>
      </c>
      <c r="P389" s="136" t="s">
        <v>2387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/>
      <c r="B390"/>
      <c r="C390"/>
      <c r="D390"/>
      <c r="E390" s="150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4"/>
        <v>28</v>
      </c>
      <c r="P390" s="136" t="s">
        <v>2118</v>
      </c>
      <c r="Q390" s="131">
        <f t="shared" si="35"/>
        <v>0</v>
      </c>
      <c r="R390" s="1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hidden="1" thickBot="1" x14ac:dyDescent="0.3">
      <c r="A391"/>
      <c r="B391"/>
      <c r="C391"/>
      <c r="D391"/>
      <c r="E391" s="150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4"/>
        <v>27</v>
      </c>
      <c r="P391" s="136" t="s">
        <v>2388</v>
      </c>
      <c r="Q391" s="31">
        <f t="shared" si="35"/>
        <v>1</v>
      </c>
      <c r="R391" s="32">
        <f t="shared" si="36"/>
        <v>0.9642857142857143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2208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hidden="1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4"/>
        <v>28</v>
      </c>
      <c r="P392" s="136" t="s">
        <v>1916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hidden="1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4"/>
        <v>28</v>
      </c>
      <c r="P393" s="136" t="s">
        <v>1917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ht="15.75" hidden="1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4"/>
        <v>28</v>
      </c>
      <c r="P394" s="136" t="s">
        <v>1918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3"/>
    </row>
    <row r="395" spans="1:49" ht="15.75" hidden="1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4"/>
        <v>28</v>
      </c>
      <c r="P395" s="136" t="s">
        <v>1919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s="73" customFormat="1" ht="15.75" hidden="1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4"/>
        <v>27</v>
      </c>
      <c r="P396" s="136" t="s">
        <v>2253</v>
      </c>
      <c r="Q396" s="131">
        <f t="shared" si="35"/>
        <v>1</v>
      </c>
      <c r="R396" s="132">
        <f t="shared" si="36"/>
        <v>0.9642857142857143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2208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</row>
    <row r="397" spans="1:49" s="88" customFormat="1" ht="15.75" hidden="1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4"/>
        <v>28</v>
      </c>
      <c r="P397" s="136" t="s">
        <v>1921</v>
      </c>
      <c r="Q397" s="85">
        <f t="shared" si="35"/>
        <v>0</v>
      </c>
      <c r="R397" s="86">
        <f t="shared" si="36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/>
    </row>
    <row r="398" spans="1:49" s="73" customFormat="1" ht="15.75" hidden="1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4"/>
        <v>28</v>
      </c>
      <c r="P398" s="136" t="s">
        <v>1922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73" customFormat="1" ht="15.75" hidden="1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4"/>
        <v>28</v>
      </c>
      <c r="P399" s="136" t="s">
        <v>1923</v>
      </c>
      <c r="Q399" s="31">
        <f t="shared" si="35"/>
        <v>0</v>
      </c>
      <c r="R399" s="32">
        <f t="shared" si="36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/>
    </row>
    <row r="400" spans="1:49" ht="15.75" hidden="1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4"/>
        <v>28</v>
      </c>
      <c r="P400" s="136" t="s">
        <v>1924</v>
      </c>
      <c r="Q400" s="31">
        <f t="shared" si="35"/>
        <v>0</v>
      </c>
      <c r="R400" s="32">
        <f t="shared" si="36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</row>
    <row r="401" spans="1:49" ht="15.75" hidden="1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4"/>
        <v>28</v>
      </c>
      <c r="P401" s="140" t="s">
        <v>1931</v>
      </c>
      <c r="Q401" s="139">
        <f t="shared" si="35"/>
        <v>0</v>
      </c>
      <c r="R401" s="141">
        <f t="shared" si="36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7">COUNTIF(S402:AT402,"")</f>
        <v>28</v>
      </c>
      <c r="P402" s="143" t="s">
        <v>1932</v>
      </c>
      <c r="Q402" s="31">
        <f t="shared" ref="Q402:Q465" si="38">COUNTIF(S402:AT402,"APAGADO")</f>
        <v>0</v>
      </c>
      <c r="R402" s="157">
        <f t="shared" ref="R402:R465" si="39">(O402)/(Q402+O402)</f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s="69" customFormat="1" ht="15.75" hidden="1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7"/>
        <v>28</v>
      </c>
      <c r="P403" s="136" t="s">
        <v>1933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/>
    </row>
    <row r="404" spans="1:49" s="69" customFormat="1" ht="15.75" hidden="1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7"/>
        <v>28</v>
      </c>
      <c r="P404" s="136" t="s">
        <v>1934</v>
      </c>
      <c r="Q404" s="131">
        <f t="shared" si="38"/>
        <v>0</v>
      </c>
      <c r="R404" s="132">
        <f t="shared" si="39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3"/>
    </row>
    <row r="405" spans="1:49" ht="15.75" hidden="1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7"/>
        <v>28</v>
      </c>
      <c r="P405" s="136" t="s">
        <v>1935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</row>
    <row r="406" spans="1:49" ht="15.75" hidden="1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7"/>
        <v>28</v>
      </c>
      <c r="P406" s="136" t="s">
        <v>1936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</row>
    <row r="407" spans="1:49" ht="15.75" hidden="1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7"/>
        <v>28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136"/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29"/>
      <c r="AW407" s="73"/>
    </row>
    <row r="408" spans="1:49" ht="15.75" hidden="1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7"/>
        <v>27</v>
      </c>
      <c r="P408" s="136" t="s">
        <v>2392</v>
      </c>
      <c r="Q408" s="31">
        <f t="shared" si="38"/>
        <v>1</v>
      </c>
      <c r="R408" s="32">
        <f t="shared" si="39"/>
        <v>0.9642857142857143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70" t="s">
        <v>2208</v>
      </c>
      <c r="AU408" s="147"/>
      <c r="AV408" s="70"/>
    </row>
    <row r="409" spans="1:49" ht="15.75" hidden="1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7"/>
        <v>28</v>
      </c>
      <c r="P409" s="136"/>
      <c r="Q409" s="31">
        <f t="shared" si="38"/>
        <v>0</v>
      </c>
      <c r="R409" s="32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ht="15.75" hidden="1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7"/>
        <v>28</v>
      </c>
      <c r="P410" s="143" t="s">
        <v>1925</v>
      </c>
      <c r="Q410" s="139">
        <f t="shared" si="38"/>
        <v>0</v>
      </c>
      <c r="R410" s="141">
        <f t="shared" si="39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</row>
    <row r="411" spans="1:49" ht="15.75" hidden="1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7"/>
        <v>28</v>
      </c>
      <c r="P411" s="143" t="s">
        <v>1926</v>
      </c>
      <c r="Q411" s="139">
        <f t="shared" si="38"/>
        <v>0</v>
      </c>
      <c r="R411" s="141">
        <f t="shared" si="39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</row>
    <row r="412" spans="1:49" s="73" customFormat="1" ht="15.75" hidden="1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7"/>
        <v>28</v>
      </c>
      <c r="P412" s="136" t="s">
        <v>1927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49"/>
    </row>
    <row r="413" spans="1:49" ht="15.75" hidden="1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7"/>
        <v>28</v>
      </c>
      <c r="P413" s="136" t="s">
        <v>1928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3"/>
    </row>
    <row r="414" spans="1:49" ht="15.75" hidden="1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7"/>
        <v>28</v>
      </c>
      <c r="P414" s="136" t="s">
        <v>1929</v>
      </c>
      <c r="Q414" s="31">
        <f t="shared" si="38"/>
        <v>0</v>
      </c>
      <c r="R414" s="32">
        <f t="shared" si="39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69"/>
    </row>
    <row r="415" spans="1:49" ht="15.75" hidden="1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7"/>
        <v>28</v>
      </c>
      <c r="P415" s="136" t="s">
        <v>1930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</row>
    <row r="416" spans="1:49" ht="15.75" hidden="1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7"/>
        <v>10</v>
      </c>
      <c r="P416" s="140"/>
      <c r="Q416" s="139">
        <f t="shared" si="38"/>
        <v>18</v>
      </c>
      <c r="R416" s="141">
        <f t="shared" si="39"/>
        <v>0.35714285714285715</v>
      </c>
      <c r="S416" s="70" t="s">
        <v>2208</v>
      </c>
      <c r="T416" s="70" t="s">
        <v>2208</v>
      </c>
      <c r="U416" s="70" t="s">
        <v>2208</v>
      </c>
      <c r="V416" s="70"/>
      <c r="W416" s="70"/>
      <c r="X416" s="70" t="s">
        <v>2208</v>
      </c>
      <c r="Y416" s="70" t="s">
        <v>2208</v>
      </c>
      <c r="Z416" s="70" t="s">
        <v>2208</v>
      </c>
      <c r="AA416" s="70"/>
      <c r="AB416" s="70"/>
      <c r="AC416" s="70"/>
      <c r="AD416" s="70"/>
      <c r="AE416" s="70" t="s">
        <v>2208</v>
      </c>
      <c r="AF416" s="70" t="s">
        <v>2208</v>
      </c>
      <c r="AG416" s="70" t="s">
        <v>2208</v>
      </c>
      <c r="AH416" s="70" t="s">
        <v>2208</v>
      </c>
      <c r="AI416" s="70" t="s">
        <v>2208</v>
      </c>
      <c r="AJ416" s="70"/>
      <c r="AK416" s="70"/>
      <c r="AL416" s="70" t="s">
        <v>2208</v>
      </c>
      <c r="AM416" s="70" t="s">
        <v>2208</v>
      </c>
      <c r="AN416" s="70" t="s">
        <v>2208</v>
      </c>
      <c r="AO416" s="70" t="s">
        <v>2208</v>
      </c>
      <c r="AP416" s="70" t="s">
        <v>2208</v>
      </c>
      <c r="AQ416" s="148"/>
      <c r="AR416" s="70"/>
      <c r="AS416" s="70" t="s">
        <v>2208</v>
      </c>
      <c r="AT416" s="70" t="s">
        <v>2208</v>
      </c>
      <c r="AU416" s="70"/>
      <c r="AV416" s="70"/>
    </row>
    <row r="417" spans="1:49" s="69" customFormat="1" ht="15.75" hidden="1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7"/>
        <v>25</v>
      </c>
      <c r="P417" s="136" t="s">
        <v>1937</v>
      </c>
      <c r="Q417" s="131">
        <f t="shared" si="38"/>
        <v>3</v>
      </c>
      <c r="R417" s="132">
        <f t="shared" si="39"/>
        <v>0.8928571428571429</v>
      </c>
      <c r="S417" s="70"/>
      <c r="T417" s="70"/>
      <c r="U417" s="70"/>
      <c r="V417" s="70"/>
      <c r="W417" s="70"/>
      <c r="X417" s="70" t="s">
        <v>2208</v>
      </c>
      <c r="Y417" s="70" t="s">
        <v>2208</v>
      </c>
      <c r="Z417" s="70" t="s">
        <v>2208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s="73" customFormat="1" ht="15.75" hidden="1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7"/>
        <v>27</v>
      </c>
      <c r="P418" s="136" t="s">
        <v>2393</v>
      </c>
      <c r="Q418" s="31">
        <f t="shared" si="38"/>
        <v>1</v>
      </c>
      <c r="R418" s="32">
        <f t="shared" si="39"/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hidden="1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7"/>
        <v>28</v>
      </c>
      <c r="P419" s="136" t="s">
        <v>2394</v>
      </c>
      <c r="Q419" s="31">
        <f t="shared" si="38"/>
        <v>0</v>
      </c>
      <c r="R419" s="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3"/>
    </row>
    <row r="420" spans="1:49" ht="15.75" hidden="1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7"/>
        <v>10</v>
      </c>
      <c r="P420" s="136" t="s">
        <v>1938</v>
      </c>
      <c r="Q420" s="85">
        <f t="shared" si="38"/>
        <v>18</v>
      </c>
      <c r="R420" s="86">
        <f t="shared" si="39"/>
        <v>0.35714285714285715</v>
      </c>
      <c r="S420" s="70" t="s">
        <v>2208</v>
      </c>
      <c r="T420" s="70" t="s">
        <v>2208</v>
      </c>
      <c r="U420" s="70" t="s">
        <v>2208</v>
      </c>
      <c r="V420" s="70"/>
      <c r="W420" s="70"/>
      <c r="X420" s="70" t="s">
        <v>2208</v>
      </c>
      <c r="Y420" s="70" t="s">
        <v>2208</v>
      </c>
      <c r="Z420" s="70" t="s">
        <v>2208</v>
      </c>
      <c r="AA420" s="70"/>
      <c r="AB420" s="70"/>
      <c r="AC420" s="70"/>
      <c r="AD420" s="70"/>
      <c r="AE420" s="70" t="s">
        <v>2208</v>
      </c>
      <c r="AF420" s="70" t="s">
        <v>2208</v>
      </c>
      <c r="AG420" s="70" t="s">
        <v>2208</v>
      </c>
      <c r="AH420" s="70" t="s">
        <v>2208</v>
      </c>
      <c r="AI420" s="70" t="s">
        <v>2208</v>
      </c>
      <c r="AJ420" s="70"/>
      <c r="AK420" s="70"/>
      <c r="AL420" s="70" t="s">
        <v>2208</v>
      </c>
      <c r="AM420" s="70" t="s">
        <v>2208</v>
      </c>
      <c r="AN420" s="70" t="s">
        <v>2208</v>
      </c>
      <c r="AO420" s="70" t="s">
        <v>2208</v>
      </c>
      <c r="AP420" s="70" t="s">
        <v>2208</v>
      </c>
      <c r="AQ420" s="87"/>
      <c r="AR420" s="70"/>
      <c r="AS420" s="70" t="s">
        <v>2208</v>
      </c>
      <c r="AT420" s="70" t="s">
        <v>2208</v>
      </c>
      <c r="AU420" s="70"/>
      <c r="AV420" s="70"/>
      <c r="AW420" s="73"/>
    </row>
    <row r="421" spans="1:49" s="73" customFormat="1" ht="15.75" hidden="1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7"/>
        <v>27</v>
      </c>
      <c r="P421" s="136" t="s">
        <v>1842</v>
      </c>
      <c r="Q421" s="31">
        <f t="shared" si="38"/>
        <v>1</v>
      </c>
      <c r="R421" s="32">
        <f t="shared" si="39"/>
        <v>0.9642857142857143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 t="s">
        <v>2208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hidden="1" thickBot="1" x14ac:dyDescent="0.3">
      <c r="A422"/>
      <c r="B422"/>
      <c r="C422"/>
      <c r="D422"/>
      <c r="E422" s="150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7"/>
        <v>10</v>
      </c>
      <c r="P422" s="136" t="s">
        <v>1939</v>
      </c>
      <c r="Q422" s="31">
        <f t="shared" si="38"/>
        <v>18</v>
      </c>
      <c r="R422" s="32">
        <f t="shared" si="39"/>
        <v>0.35714285714285715</v>
      </c>
      <c r="S422" s="70" t="s">
        <v>2208</v>
      </c>
      <c r="T422" s="70" t="s">
        <v>2208</v>
      </c>
      <c r="U422" s="70" t="s">
        <v>2208</v>
      </c>
      <c r="V422" s="70"/>
      <c r="W422" s="70"/>
      <c r="X422" s="70" t="s">
        <v>2208</v>
      </c>
      <c r="Y422" s="70" t="s">
        <v>2208</v>
      </c>
      <c r="Z422" s="70" t="s">
        <v>2208</v>
      </c>
      <c r="AA422" s="70"/>
      <c r="AB422" s="70"/>
      <c r="AC422" s="70"/>
      <c r="AD422" s="70"/>
      <c r="AE422" s="70" t="s">
        <v>2208</v>
      </c>
      <c r="AF422" s="70" t="s">
        <v>2208</v>
      </c>
      <c r="AG422" s="70" t="s">
        <v>2208</v>
      </c>
      <c r="AH422" s="70" t="s">
        <v>2208</v>
      </c>
      <c r="AI422" s="70" t="s">
        <v>2208</v>
      </c>
      <c r="AJ422" s="70"/>
      <c r="AK422" s="70"/>
      <c r="AL422" s="70" t="s">
        <v>2208</v>
      </c>
      <c r="AM422" s="70" t="s">
        <v>2208</v>
      </c>
      <c r="AN422" s="70" t="s">
        <v>2208</v>
      </c>
      <c r="AO422" s="70" t="s">
        <v>2208</v>
      </c>
      <c r="AP422" s="70" t="s">
        <v>2208</v>
      </c>
      <c r="AQ422" s="70"/>
      <c r="AR422" s="70"/>
      <c r="AS422" s="70" t="s">
        <v>2208</v>
      </c>
      <c r="AT422" s="70" t="s">
        <v>2208</v>
      </c>
      <c r="AU422" s="70"/>
      <c r="AV422" s="70"/>
    </row>
    <row r="423" spans="1:49" ht="15.75" hidden="1" thickBot="1" x14ac:dyDescent="0.3">
      <c r="A423"/>
      <c r="B423"/>
      <c r="C423"/>
      <c r="D423"/>
      <c r="E423" s="150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7"/>
        <v>10</v>
      </c>
      <c r="P423" s="136" t="s">
        <v>1940</v>
      </c>
      <c r="Q423" s="31">
        <f t="shared" si="38"/>
        <v>18</v>
      </c>
      <c r="R423" s="32">
        <f t="shared" si="39"/>
        <v>0.35714285714285715</v>
      </c>
      <c r="S423" s="70" t="s">
        <v>2208</v>
      </c>
      <c r="T423" s="70" t="s">
        <v>2208</v>
      </c>
      <c r="U423" s="70" t="s">
        <v>2208</v>
      </c>
      <c r="V423" s="70"/>
      <c r="W423" s="70"/>
      <c r="X423" s="70" t="s">
        <v>2208</v>
      </c>
      <c r="Y423" s="70" t="s">
        <v>2208</v>
      </c>
      <c r="Z423" s="70" t="s">
        <v>2208</v>
      </c>
      <c r="AA423" s="70"/>
      <c r="AB423" s="70"/>
      <c r="AC423" s="70"/>
      <c r="AD423" s="70"/>
      <c r="AE423" s="70" t="s">
        <v>2208</v>
      </c>
      <c r="AF423" s="70" t="s">
        <v>2208</v>
      </c>
      <c r="AG423" s="70" t="s">
        <v>2208</v>
      </c>
      <c r="AH423" s="70" t="s">
        <v>2208</v>
      </c>
      <c r="AI423" s="70" t="s">
        <v>2208</v>
      </c>
      <c r="AJ423" s="70"/>
      <c r="AK423" s="70"/>
      <c r="AL423" s="70" t="s">
        <v>2208</v>
      </c>
      <c r="AM423" s="70" t="s">
        <v>2208</v>
      </c>
      <c r="AN423" s="70" t="s">
        <v>2208</v>
      </c>
      <c r="AO423" s="70" t="s">
        <v>2208</v>
      </c>
      <c r="AP423" s="70" t="s">
        <v>2208</v>
      </c>
      <c r="AQ423" s="70"/>
      <c r="AR423" s="70"/>
      <c r="AS423" s="70" t="s">
        <v>2208</v>
      </c>
      <c r="AT423" s="70" t="s">
        <v>2208</v>
      </c>
      <c r="AU423" s="70"/>
      <c r="AV423" s="70"/>
    </row>
    <row r="424" spans="1:49" ht="15.75" hidden="1" thickBot="1" x14ac:dyDescent="0.3">
      <c r="A424"/>
      <c r="B424"/>
      <c r="C424"/>
      <c r="D424"/>
      <c r="E424" s="150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7"/>
        <v>13</v>
      </c>
      <c r="P424" s="136" t="s">
        <v>1941</v>
      </c>
      <c r="Q424" s="131">
        <f t="shared" si="38"/>
        <v>15</v>
      </c>
      <c r="R424" s="132">
        <f t="shared" si="39"/>
        <v>0.4642857142857143</v>
      </c>
      <c r="S424" s="70"/>
      <c r="T424" s="70"/>
      <c r="U424" s="70"/>
      <c r="V424" s="70"/>
      <c r="W424" s="70"/>
      <c r="X424" s="70" t="s">
        <v>2208</v>
      </c>
      <c r="Y424" s="70" t="s">
        <v>2208</v>
      </c>
      <c r="Z424" s="70" t="s">
        <v>2208</v>
      </c>
      <c r="AA424" s="70"/>
      <c r="AB424" s="70"/>
      <c r="AC424" s="70"/>
      <c r="AD424" s="70"/>
      <c r="AE424" s="70" t="s">
        <v>2208</v>
      </c>
      <c r="AF424" s="70" t="s">
        <v>2208</v>
      </c>
      <c r="AG424" s="70" t="s">
        <v>2208</v>
      </c>
      <c r="AH424" s="70" t="s">
        <v>2208</v>
      </c>
      <c r="AI424" s="70" t="s">
        <v>2208</v>
      </c>
      <c r="AJ424" s="70"/>
      <c r="AK424" s="70"/>
      <c r="AL424" s="70" t="s">
        <v>2208</v>
      </c>
      <c r="AM424" s="70" t="s">
        <v>2208</v>
      </c>
      <c r="AN424" s="70" t="s">
        <v>2208</v>
      </c>
      <c r="AO424" s="70" t="s">
        <v>2208</v>
      </c>
      <c r="AP424" s="70" t="s">
        <v>2208</v>
      </c>
      <c r="AQ424" s="70"/>
      <c r="AR424" s="70"/>
      <c r="AS424" s="70" t="s">
        <v>2208</v>
      </c>
      <c r="AT424" s="70" t="s">
        <v>2208</v>
      </c>
      <c r="AU424" s="70"/>
      <c r="AV424" s="70"/>
    </row>
    <row r="425" spans="1:49" s="73" customFormat="1" ht="15.75" hidden="1" thickBot="1" x14ac:dyDescent="0.3">
      <c r="A425"/>
      <c r="B425"/>
      <c r="C425"/>
      <c r="D425"/>
      <c r="E425" s="150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7"/>
        <v>13</v>
      </c>
      <c r="P425" s="136" t="s">
        <v>1942</v>
      </c>
      <c r="Q425" s="131">
        <f t="shared" si="38"/>
        <v>15</v>
      </c>
      <c r="R425" s="132">
        <f t="shared" si="39"/>
        <v>0.4642857142857143</v>
      </c>
      <c r="S425" s="70"/>
      <c r="T425" s="70"/>
      <c r="U425" s="70"/>
      <c r="V425" s="70"/>
      <c r="W425" s="70"/>
      <c r="X425" s="70" t="s">
        <v>2208</v>
      </c>
      <c r="Y425" s="70" t="s">
        <v>2208</v>
      </c>
      <c r="Z425" s="70" t="s">
        <v>2208</v>
      </c>
      <c r="AA425" s="70"/>
      <c r="AB425" s="70"/>
      <c r="AC425" s="70"/>
      <c r="AD425" s="70"/>
      <c r="AE425" s="70" t="s">
        <v>2208</v>
      </c>
      <c r="AF425" s="70" t="s">
        <v>2208</v>
      </c>
      <c r="AG425" s="70" t="s">
        <v>2208</v>
      </c>
      <c r="AH425" s="70" t="s">
        <v>2208</v>
      </c>
      <c r="AI425" s="70" t="s">
        <v>2208</v>
      </c>
      <c r="AJ425" s="70"/>
      <c r="AK425" s="70"/>
      <c r="AL425" s="70" t="s">
        <v>2208</v>
      </c>
      <c r="AM425" s="70" t="s">
        <v>2208</v>
      </c>
      <c r="AN425" s="70" t="s">
        <v>2208</v>
      </c>
      <c r="AO425" s="70" t="s">
        <v>2208</v>
      </c>
      <c r="AP425" s="70" t="s">
        <v>2208</v>
      </c>
      <c r="AQ425" s="70"/>
      <c r="AR425" s="70"/>
      <c r="AS425" s="70" t="s">
        <v>2208</v>
      </c>
      <c r="AT425" s="70" t="s">
        <v>2208</v>
      </c>
      <c r="AU425" s="70"/>
      <c r="AV425" s="70"/>
      <c r="AW425"/>
    </row>
    <row r="426" spans="1:49" s="73" customFormat="1" ht="17.25" hidden="1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7"/>
        <v>28</v>
      </c>
      <c r="P426" s="136" t="s">
        <v>2289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7"/>
        <v>28</v>
      </c>
      <c r="P427" s="136" t="s">
        <v>2290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7"/>
        <v>28</v>
      </c>
      <c r="P428" s="136" t="s">
        <v>2092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7"/>
        <v>24</v>
      </c>
      <c r="P429" s="136" t="s">
        <v>2091</v>
      </c>
      <c r="Q429" s="131">
        <f t="shared" si="38"/>
        <v>4</v>
      </c>
      <c r="R429" s="132">
        <f t="shared" si="39"/>
        <v>0.8571428571428571</v>
      </c>
      <c r="S429" s="70"/>
      <c r="T429" s="70" t="s">
        <v>2208</v>
      </c>
      <c r="U429" s="70" t="s">
        <v>2208</v>
      </c>
      <c r="V429" s="70"/>
      <c r="W429" s="70"/>
      <c r="X429" s="70"/>
      <c r="Y429" s="70"/>
      <c r="Z429" s="70" t="s">
        <v>2208</v>
      </c>
      <c r="AA429" s="70"/>
      <c r="AB429" s="70"/>
      <c r="AC429" s="70"/>
      <c r="AD429" s="70"/>
      <c r="AE429" s="70" t="s">
        <v>2208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7"/>
        <v>28</v>
      </c>
      <c r="P430" s="136" t="s">
        <v>2139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/>
    </row>
    <row r="431" spans="1:49" s="88" customFormat="1" ht="15.75" hidden="1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7"/>
        <v>28</v>
      </c>
      <c r="P431" s="136" t="s">
        <v>1943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73" customFormat="1" ht="15.75" hidden="1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7"/>
        <v>28</v>
      </c>
      <c r="P432" s="136" t="s">
        <v>1944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hidden="1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7"/>
        <v>28</v>
      </c>
      <c r="P433" s="136" t="s">
        <v>2194</v>
      </c>
      <c r="Q433" s="131">
        <f t="shared" si="38"/>
        <v>0</v>
      </c>
      <c r="R433" s="132">
        <f t="shared" si="39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</row>
    <row r="434" spans="1:49" ht="15.75" hidden="1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7"/>
        <v>28</v>
      </c>
      <c r="P434" s="136" t="s">
        <v>2471</v>
      </c>
      <c r="Q434" s="31">
        <f t="shared" si="38"/>
        <v>0</v>
      </c>
      <c r="R434" s="32">
        <f t="shared" si="39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</row>
    <row r="435" spans="1:49" s="73" customFormat="1" ht="15.75" hidden="1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7"/>
        <v>27</v>
      </c>
      <c r="P435" s="136" t="s">
        <v>1947</v>
      </c>
      <c r="Q435" s="131">
        <f t="shared" si="38"/>
        <v>1</v>
      </c>
      <c r="R435" s="132">
        <f t="shared" si="39"/>
        <v>0.9642857142857143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2208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7"/>
        <v>27</v>
      </c>
      <c r="P436" s="136" t="s">
        <v>2395</v>
      </c>
      <c r="Q436" s="31">
        <f t="shared" si="38"/>
        <v>1</v>
      </c>
      <c r="R436" s="32">
        <f t="shared" si="39"/>
        <v>0.9642857142857143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 t="s">
        <v>2208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88" customFormat="1" ht="15.75" hidden="1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7"/>
        <v>22</v>
      </c>
      <c r="P437" s="136" t="s">
        <v>1949</v>
      </c>
      <c r="Q437" s="131">
        <f t="shared" si="38"/>
        <v>6</v>
      </c>
      <c r="R437" s="132">
        <f t="shared" si="39"/>
        <v>0.7857142857142857</v>
      </c>
      <c r="S437" s="70" t="s">
        <v>2208</v>
      </c>
      <c r="T437" s="70" t="s">
        <v>2208</v>
      </c>
      <c r="U437" s="70" t="s">
        <v>2208</v>
      </c>
      <c r="V437" s="70"/>
      <c r="W437" s="70"/>
      <c r="X437" s="70" t="s">
        <v>2208</v>
      </c>
      <c r="Y437" s="70" t="s">
        <v>2208</v>
      </c>
      <c r="Z437" s="70" t="s">
        <v>2208</v>
      </c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5.75" hidden="1" thickBot="1" x14ac:dyDescent="0.3">
      <c r="A438"/>
      <c r="B438"/>
      <c r="C438"/>
      <c r="D438"/>
      <c r="E438" s="150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7"/>
        <v>28</v>
      </c>
      <c r="P438" s="136" t="s">
        <v>1950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hidden="1" thickBot="1" x14ac:dyDescent="0.3">
      <c r="A439"/>
      <c r="B439"/>
      <c r="C439"/>
      <c r="D439"/>
      <c r="E439" s="150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7"/>
        <v>28</v>
      </c>
      <c r="P439" s="136" t="s">
        <v>1951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69"/>
    </row>
    <row r="440" spans="1:49" ht="15.75" hidden="1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7"/>
        <v>27</v>
      </c>
      <c r="P440" s="136" t="s">
        <v>1945</v>
      </c>
      <c r="Q440" s="131">
        <f t="shared" si="38"/>
        <v>1</v>
      </c>
      <c r="R440" s="1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2208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5.75" hidden="1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7"/>
        <v>10</v>
      </c>
      <c r="P441" s="136" t="s">
        <v>1946</v>
      </c>
      <c r="Q441" s="131">
        <f t="shared" si="38"/>
        <v>18</v>
      </c>
      <c r="R441" s="132">
        <f t="shared" si="39"/>
        <v>0.35714285714285715</v>
      </c>
      <c r="S441" s="70" t="s">
        <v>2208</v>
      </c>
      <c r="T441" s="70" t="s">
        <v>2208</v>
      </c>
      <c r="U441" s="70" t="s">
        <v>2208</v>
      </c>
      <c r="V441" s="70"/>
      <c r="W441" s="70"/>
      <c r="X441" s="70" t="s">
        <v>2208</v>
      </c>
      <c r="Y441" s="70" t="s">
        <v>2208</v>
      </c>
      <c r="Z441" s="70" t="s">
        <v>2208</v>
      </c>
      <c r="AA441" s="70"/>
      <c r="AB441" s="70"/>
      <c r="AC441" s="70"/>
      <c r="AD441" s="70"/>
      <c r="AE441" s="70" t="s">
        <v>2208</v>
      </c>
      <c r="AF441" s="70" t="s">
        <v>2208</v>
      </c>
      <c r="AG441" s="70" t="s">
        <v>2208</v>
      </c>
      <c r="AH441" s="70" t="s">
        <v>2208</v>
      </c>
      <c r="AI441" s="70" t="s">
        <v>2208</v>
      </c>
      <c r="AJ441" s="70"/>
      <c r="AK441" s="70"/>
      <c r="AL441" s="70" t="s">
        <v>2208</v>
      </c>
      <c r="AM441" s="70" t="s">
        <v>2208</v>
      </c>
      <c r="AN441" s="70" t="s">
        <v>2208</v>
      </c>
      <c r="AO441" s="70" t="s">
        <v>2208</v>
      </c>
      <c r="AP441" s="70" t="s">
        <v>2208</v>
      </c>
      <c r="AQ441" s="70"/>
      <c r="AR441" s="70"/>
      <c r="AS441" s="70" t="s">
        <v>2208</v>
      </c>
      <c r="AT441" s="70" t="s">
        <v>2208</v>
      </c>
      <c r="AU441" s="70"/>
      <c r="AV441" s="70"/>
      <c r="AW441"/>
    </row>
    <row r="442" spans="1:49" ht="15.75" hidden="1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7"/>
        <v>28</v>
      </c>
      <c r="P442" s="136" t="s">
        <v>1948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6.899999999999999" hidden="1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7"/>
        <v>25</v>
      </c>
      <c r="P443" s="136" t="s">
        <v>1920</v>
      </c>
      <c r="Q443" s="31">
        <f t="shared" si="38"/>
        <v>3</v>
      </c>
      <c r="R443" s="32">
        <f t="shared" si="39"/>
        <v>0.8928571428571429</v>
      </c>
      <c r="S443" s="70"/>
      <c r="T443" s="70"/>
      <c r="U443" s="70"/>
      <c r="V443" s="70"/>
      <c r="W443" s="70"/>
      <c r="X443" s="70" t="s">
        <v>2208</v>
      </c>
      <c r="Y443" s="70" t="s">
        <v>2208</v>
      </c>
      <c r="Z443" s="70" t="s">
        <v>2208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hidden="1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7"/>
        <v>27</v>
      </c>
      <c r="P444" s="136" t="s">
        <v>1952</v>
      </c>
      <c r="Q444" s="31">
        <f t="shared" si="38"/>
        <v>1</v>
      </c>
      <c r="R444" s="32">
        <f t="shared" si="39"/>
        <v>0.9642857142857143</v>
      </c>
      <c r="S444" s="70" t="s">
        <v>2208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/>
    </row>
    <row r="445" spans="1:49" s="73" customFormat="1" ht="16.899999999999999" hidden="1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7"/>
        <v>27</v>
      </c>
      <c r="P445" s="136" t="s">
        <v>1953</v>
      </c>
      <c r="Q445" s="31">
        <f t="shared" si="38"/>
        <v>1</v>
      </c>
      <c r="R445" s="32">
        <f t="shared" si="39"/>
        <v>0.9642857142857143</v>
      </c>
      <c r="S445" s="70" t="s">
        <v>2208</v>
      </c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s="73" customFormat="1" ht="16.899999999999999" hidden="1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7"/>
        <v>27</v>
      </c>
      <c r="P446" s="136" t="s">
        <v>2402</v>
      </c>
      <c r="Q446" s="31">
        <f t="shared" si="38"/>
        <v>1</v>
      </c>
      <c r="R446" s="32">
        <f t="shared" si="39"/>
        <v>0.9642857142857143</v>
      </c>
      <c r="S446" s="70" t="s">
        <v>2208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7"/>
        <v>28</v>
      </c>
      <c r="P447" s="136" t="s">
        <v>1956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hidden="1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7"/>
        <v>28</v>
      </c>
      <c r="P448" s="136" t="s">
        <v>1957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3"/>
    </row>
    <row r="449" spans="1:49" ht="15.75" hidden="1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7"/>
        <v>28</v>
      </c>
      <c r="P449" s="136" t="s">
        <v>1954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3"/>
    </row>
    <row r="450" spans="1:49" ht="15.75" hidden="1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7"/>
        <v>28</v>
      </c>
      <c r="P450" s="136" t="s">
        <v>1955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7"/>
        <v>28</v>
      </c>
      <c r="P451" s="136" t="s">
        <v>1961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hidden="1" thickBot="1" x14ac:dyDescent="0.3">
      <c r="A452"/>
      <c r="B452"/>
      <c r="C452"/>
      <c r="D452"/>
      <c r="E452" s="150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7"/>
        <v>28</v>
      </c>
      <c r="P452" s="136" t="s">
        <v>1964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88"/>
    </row>
    <row r="453" spans="1:49" ht="15.75" hidden="1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7"/>
        <v>27</v>
      </c>
      <c r="P453" s="143"/>
      <c r="Q453" s="139">
        <f t="shared" si="38"/>
        <v>1</v>
      </c>
      <c r="R453" s="141">
        <f t="shared" si="39"/>
        <v>0.9642857142857143</v>
      </c>
      <c r="S453" s="138"/>
      <c r="T453" s="138"/>
      <c r="U453" s="138"/>
      <c r="V453" s="138"/>
      <c r="W453" s="138"/>
      <c r="X453" s="70" t="s">
        <v>2208</v>
      </c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38"/>
    </row>
    <row r="454" spans="1:49" s="73" customFormat="1" ht="15.75" hidden="1" thickBot="1" x14ac:dyDescent="0.3">
      <c r="A454"/>
      <c r="B454"/>
      <c r="C454"/>
      <c r="D454"/>
      <c r="E454" s="150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7"/>
        <v>25</v>
      </c>
      <c r="P454" s="136" t="s">
        <v>1965</v>
      </c>
      <c r="Q454" s="31">
        <f t="shared" si="38"/>
        <v>3</v>
      </c>
      <c r="R454" s="32">
        <f t="shared" si="39"/>
        <v>0.8928571428571429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2208</v>
      </c>
      <c r="AJ454" s="70"/>
      <c r="AK454" s="70"/>
      <c r="AL454" s="70" t="s">
        <v>2208</v>
      </c>
      <c r="AM454" s="70"/>
      <c r="AN454" s="70"/>
      <c r="AO454" s="70"/>
      <c r="AP454" s="70"/>
      <c r="AQ454" s="70"/>
      <c r="AR454" s="70"/>
      <c r="AS454" s="70" t="s">
        <v>2208</v>
      </c>
      <c r="AT454" s="70"/>
      <c r="AU454" s="70"/>
      <c r="AV454" s="129"/>
      <c r="AW454"/>
    </row>
    <row r="455" spans="1:49" ht="15.75" hidden="1" thickBot="1" x14ac:dyDescent="0.3">
      <c r="A455"/>
      <c r="B455"/>
      <c r="C455"/>
      <c r="D455"/>
      <c r="E455" s="150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7"/>
        <v>25</v>
      </c>
      <c r="P455" s="136" t="s">
        <v>1966</v>
      </c>
      <c r="Q455" s="31">
        <f t="shared" si="38"/>
        <v>3</v>
      </c>
      <c r="R455" s="32">
        <f t="shared" si="39"/>
        <v>0.8928571428571429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 t="s">
        <v>2208</v>
      </c>
      <c r="AJ455" s="70"/>
      <c r="AK455" s="70"/>
      <c r="AL455" s="70" t="s">
        <v>2208</v>
      </c>
      <c r="AM455" s="70"/>
      <c r="AN455" s="70"/>
      <c r="AO455" s="70"/>
      <c r="AP455" s="70"/>
      <c r="AQ455" s="70"/>
      <c r="AR455" s="70"/>
      <c r="AS455" s="70" t="s">
        <v>2208</v>
      </c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s="150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7"/>
        <v>23</v>
      </c>
      <c r="P456" s="136" t="s">
        <v>1970</v>
      </c>
      <c r="Q456" s="31">
        <f t="shared" si="38"/>
        <v>5</v>
      </c>
      <c r="R456" s="32">
        <f t="shared" si="39"/>
        <v>0.8214285714285714</v>
      </c>
      <c r="S456" s="70" t="s">
        <v>2208</v>
      </c>
      <c r="T456" s="70" t="s">
        <v>2208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2208</v>
      </c>
      <c r="AJ456" s="70"/>
      <c r="AK456" s="70"/>
      <c r="AL456" s="70" t="s">
        <v>2208</v>
      </c>
      <c r="AM456" s="70"/>
      <c r="AN456" s="70"/>
      <c r="AO456" s="70"/>
      <c r="AP456" s="70"/>
      <c r="AQ456" s="70"/>
      <c r="AR456" s="70"/>
      <c r="AS456" s="70" t="s">
        <v>2208</v>
      </c>
      <c r="AT456" s="70"/>
      <c r="AU456" s="70"/>
      <c r="AV456" s="70"/>
      <c r="AW456" s="88"/>
    </row>
    <row r="457" spans="1:49" ht="15.75" hidden="1" thickBot="1" x14ac:dyDescent="0.3">
      <c r="A457"/>
      <c r="B457"/>
      <c r="C457"/>
      <c r="D457"/>
      <c r="E457" s="150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7"/>
        <v>23</v>
      </c>
      <c r="P457" s="136" t="s">
        <v>1971</v>
      </c>
      <c r="Q457" s="31">
        <f t="shared" si="38"/>
        <v>5</v>
      </c>
      <c r="R457" s="32">
        <f t="shared" si="39"/>
        <v>0.8214285714285714</v>
      </c>
      <c r="S457" s="70" t="s">
        <v>2208</v>
      </c>
      <c r="T457" s="70" t="s">
        <v>2208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2208</v>
      </c>
      <c r="AJ457" s="70"/>
      <c r="AK457" s="70"/>
      <c r="AL457" s="70" t="s">
        <v>2208</v>
      </c>
      <c r="AM457" s="70"/>
      <c r="AN457" s="70"/>
      <c r="AO457" s="70"/>
      <c r="AP457" s="70"/>
      <c r="AQ457" s="70"/>
      <c r="AR457" s="70"/>
      <c r="AS457" s="70" t="s">
        <v>2208</v>
      </c>
      <c r="AT457" s="70"/>
      <c r="AU457" s="70"/>
      <c r="AV457" s="70"/>
    </row>
    <row r="458" spans="1:49" ht="15.75" hidden="1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7"/>
        <v>25</v>
      </c>
      <c r="P458" s="136" t="s">
        <v>1958</v>
      </c>
      <c r="Q458" s="31">
        <f t="shared" si="38"/>
        <v>3</v>
      </c>
      <c r="R458" s="32">
        <f t="shared" si="39"/>
        <v>0.8928571428571429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 t="s">
        <v>2208</v>
      </c>
      <c r="AJ458" s="70"/>
      <c r="AK458" s="70"/>
      <c r="AL458" s="70" t="s">
        <v>2208</v>
      </c>
      <c r="AM458" s="70"/>
      <c r="AN458" s="70"/>
      <c r="AO458" s="70"/>
      <c r="AP458" s="70"/>
      <c r="AQ458" s="70"/>
      <c r="AR458" s="70"/>
      <c r="AS458" s="70" t="s">
        <v>2208</v>
      </c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s="150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7"/>
        <v>25</v>
      </c>
      <c r="P459" s="136" t="s">
        <v>1959</v>
      </c>
      <c r="Q459" s="31">
        <f t="shared" si="38"/>
        <v>3</v>
      </c>
      <c r="R459" s="32">
        <f t="shared" si="39"/>
        <v>0.8928571428571429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 t="s">
        <v>2208</v>
      </c>
      <c r="AJ459" s="70"/>
      <c r="AK459" s="70"/>
      <c r="AL459" s="70" t="s">
        <v>2208</v>
      </c>
      <c r="AM459" s="70"/>
      <c r="AN459" s="70"/>
      <c r="AO459" s="70"/>
      <c r="AP459" s="70"/>
      <c r="AQ459" s="70"/>
      <c r="AR459" s="70"/>
      <c r="AS459" s="70" t="s">
        <v>2208</v>
      </c>
      <c r="AT459" s="70"/>
      <c r="AU459" s="70"/>
      <c r="AV459" s="70"/>
    </row>
    <row r="460" spans="1:49" s="69" customFormat="1" ht="15.75" hidden="1" thickBot="1" x14ac:dyDescent="0.3">
      <c r="A460"/>
      <c r="B460"/>
      <c r="C460"/>
      <c r="D460"/>
      <c r="E460" s="150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7"/>
        <v>28</v>
      </c>
      <c r="P460" s="136" t="s">
        <v>1960</v>
      </c>
      <c r="Q460" s="131">
        <f t="shared" si="38"/>
        <v>0</v>
      </c>
      <c r="R460" s="1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/>
    </row>
    <row r="461" spans="1:49" s="69" customFormat="1" ht="15.75" hidden="1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7"/>
        <v>26</v>
      </c>
      <c r="P461" s="136" t="s">
        <v>2396</v>
      </c>
      <c r="Q461" s="31">
        <f t="shared" si="38"/>
        <v>2</v>
      </c>
      <c r="R461" s="32">
        <f t="shared" si="39"/>
        <v>0.9285714285714286</v>
      </c>
      <c r="S461" s="70"/>
      <c r="T461" s="70"/>
      <c r="U461" s="70"/>
      <c r="V461" s="70"/>
      <c r="W461" s="70"/>
      <c r="X461" s="70"/>
      <c r="Y461" s="70"/>
      <c r="Z461" s="70" t="s">
        <v>2208</v>
      </c>
      <c r="AA461" s="70"/>
      <c r="AB461" s="70"/>
      <c r="AC461" s="70"/>
      <c r="AD461" s="70"/>
      <c r="AE461" s="70" t="s">
        <v>2208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/>
    </row>
    <row r="462" spans="1:49" ht="15.75" hidden="1" thickBot="1" x14ac:dyDescent="0.3">
      <c r="A462"/>
      <c r="B462"/>
      <c r="C462"/>
      <c r="D462"/>
      <c r="E462" s="150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7"/>
        <v>28</v>
      </c>
      <c r="P462" s="136" t="s">
        <v>1962</v>
      </c>
      <c r="Q462" s="31">
        <f t="shared" si="38"/>
        <v>0</v>
      </c>
      <c r="R462" s="32">
        <f t="shared" si="39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hidden="1" thickBot="1" x14ac:dyDescent="0.3">
      <c r="A463"/>
      <c r="B463"/>
      <c r="C463"/>
      <c r="D463"/>
      <c r="E463" s="150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7"/>
        <v>28</v>
      </c>
      <c r="P463" s="136" t="s">
        <v>1963</v>
      </c>
      <c r="Q463" s="31">
        <f t="shared" si="38"/>
        <v>0</v>
      </c>
      <c r="R463" s="32">
        <f t="shared" si="39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ht="15.75" hidden="1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7"/>
        <v>27</v>
      </c>
      <c r="P464" s="136" t="s">
        <v>2397</v>
      </c>
      <c r="Q464" s="31">
        <f t="shared" si="38"/>
        <v>1</v>
      </c>
      <c r="R464" s="32">
        <f t="shared" si="39"/>
        <v>0.9642857142857143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 t="s">
        <v>2208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69" customFormat="1" ht="15.75" hidden="1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7"/>
        <v>10</v>
      </c>
      <c r="P465" s="140"/>
      <c r="Q465" s="139">
        <f t="shared" si="38"/>
        <v>18</v>
      </c>
      <c r="R465" s="141">
        <f t="shared" si="39"/>
        <v>0.35714285714285715</v>
      </c>
      <c r="S465" s="70" t="s">
        <v>2208</v>
      </c>
      <c r="T465" s="70" t="s">
        <v>2208</v>
      </c>
      <c r="U465" s="70" t="s">
        <v>2208</v>
      </c>
      <c r="V465" s="142"/>
      <c r="W465" s="142"/>
      <c r="X465" s="70" t="s">
        <v>2208</v>
      </c>
      <c r="Y465" s="70" t="s">
        <v>2208</v>
      </c>
      <c r="Z465" s="70" t="s">
        <v>2208</v>
      </c>
      <c r="AA465" s="142"/>
      <c r="AB465" s="142"/>
      <c r="AC465" s="142"/>
      <c r="AD465" s="142"/>
      <c r="AE465" s="70" t="s">
        <v>2208</v>
      </c>
      <c r="AF465" s="70" t="s">
        <v>2208</v>
      </c>
      <c r="AG465" s="70" t="s">
        <v>2208</v>
      </c>
      <c r="AH465" s="70" t="s">
        <v>2208</v>
      </c>
      <c r="AI465" s="70" t="s">
        <v>2208</v>
      </c>
      <c r="AJ465" s="142"/>
      <c r="AK465" s="142"/>
      <c r="AL465" s="70" t="s">
        <v>2208</v>
      </c>
      <c r="AM465" s="70" t="s">
        <v>2208</v>
      </c>
      <c r="AN465" s="70" t="s">
        <v>2208</v>
      </c>
      <c r="AO465" s="70" t="s">
        <v>2208</v>
      </c>
      <c r="AP465" s="142" t="s">
        <v>2208</v>
      </c>
      <c r="AQ465" s="142"/>
      <c r="AR465" s="142"/>
      <c r="AS465" s="70" t="s">
        <v>2208</v>
      </c>
      <c r="AT465" s="70" t="s">
        <v>2208</v>
      </c>
      <c r="AU465" s="142"/>
      <c r="AV465" s="142"/>
    </row>
    <row r="466" spans="1:49" s="73" customFormat="1" ht="15.75" hidden="1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0">COUNTIF(S466:AT466,"")</f>
        <v>28</v>
      </c>
      <c r="P466" s="136" t="s">
        <v>2398</v>
      </c>
      <c r="Q466" s="31">
        <f t="shared" ref="Q466:Q529" si="41">COUNTIF(S466:AT466,"APAGADO")</f>
        <v>0</v>
      </c>
      <c r="R466" s="32">
        <f t="shared" ref="R466:R529" si="42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0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0"/>
        <v>27</v>
      </c>
      <c r="P467" s="136" t="s">
        <v>1967</v>
      </c>
      <c r="Q467" s="131">
        <f t="shared" si="41"/>
        <v>1</v>
      </c>
      <c r="R467" s="132">
        <f t="shared" si="42"/>
        <v>0.9642857142857143</v>
      </c>
      <c r="S467" s="70"/>
      <c r="T467" s="70" t="s">
        <v>2208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ht="15.75" hidden="1" thickBot="1" x14ac:dyDescent="0.3">
      <c r="A468"/>
      <c r="B468"/>
      <c r="C468"/>
      <c r="D468"/>
      <c r="E468" s="150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0"/>
        <v>10</v>
      </c>
      <c r="P468" s="136" t="s">
        <v>1968</v>
      </c>
      <c r="Q468" s="131">
        <f t="shared" si="41"/>
        <v>18</v>
      </c>
      <c r="R468" s="132">
        <f t="shared" si="42"/>
        <v>0.35714285714285715</v>
      </c>
      <c r="S468" s="70" t="s">
        <v>2208</v>
      </c>
      <c r="T468" s="70" t="s">
        <v>2208</v>
      </c>
      <c r="U468" s="70" t="s">
        <v>2208</v>
      </c>
      <c r="V468" s="70"/>
      <c r="W468" s="70"/>
      <c r="X468" s="70" t="s">
        <v>2208</v>
      </c>
      <c r="Y468" s="70" t="s">
        <v>2208</v>
      </c>
      <c r="Z468" s="70" t="s">
        <v>2208</v>
      </c>
      <c r="AA468" s="70"/>
      <c r="AB468" s="70"/>
      <c r="AC468" s="70"/>
      <c r="AD468" s="70"/>
      <c r="AE468" s="70" t="s">
        <v>2208</v>
      </c>
      <c r="AF468" s="70" t="s">
        <v>2208</v>
      </c>
      <c r="AG468" s="70" t="s">
        <v>2208</v>
      </c>
      <c r="AH468" s="70" t="s">
        <v>2208</v>
      </c>
      <c r="AI468" s="70" t="s">
        <v>2208</v>
      </c>
      <c r="AJ468" s="70"/>
      <c r="AK468" s="70"/>
      <c r="AL468" s="70" t="s">
        <v>2208</v>
      </c>
      <c r="AM468" s="70" t="s">
        <v>2208</v>
      </c>
      <c r="AN468" s="70" t="s">
        <v>2208</v>
      </c>
      <c r="AO468" s="70" t="s">
        <v>2208</v>
      </c>
      <c r="AP468" s="70" t="s">
        <v>2208</v>
      </c>
      <c r="AQ468" s="70"/>
      <c r="AR468" s="70"/>
      <c r="AS468" s="70" t="s">
        <v>2208</v>
      </c>
      <c r="AT468" s="70" t="s">
        <v>2208</v>
      </c>
      <c r="AU468" s="70"/>
      <c r="AV468" s="70"/>
      <c r="AW468" s="73"/>
    </row>
    <row r="469" spans="1:49" ht="15.75" hidden="1" thickBot="1" x14ac:dyDescent="0.3">
      <c r="A469"/>
      <c r="B469"/>
      <c r="C469"/>
      <c r="D469"/>
      <c r="E469" s="150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0"/>
        <v>10</v>
      </c>
      <c r="P469" s="136" t="s">
        <v>1969</v>
      </c>
      <c r="Q469" s="131">
        <f t="shared" si="41"/>
        <v>18</v>
      </c>
      <c r="R469" s="132">
        <f t="shared" si="42"/>
        <v>0.35714285714285715</v>
      </c>
      <c r="S469" s="70" t="s">
        <v>2208</v>
      </c>
      <c r="T469" s="70" t="s">
        <v>2208</v>
      </c>
      <c r="U469" s="70" t="s">
        <v>2208</v>
      </c>
      <c r="V469" s="70"/>
      <c r="W469" s="70"/>
      <c r="X469" s="70" t="s">
        <v>2208</v>
      </c>
      <c r="Y469" s="70" t="s">
        <v>2208</v>
      </c>
      <c r="Z469" s="70" t="s">
        <v>2208</v>
      </c>
      <c r="AA469" s="70"/>
      <c r="AB469" s="70"/>
      <c r="AC469" s="70"/>
      <c r="AD469" s="70"/>
      <c r="AE469" s="70" t="s">
        <v>2208</v>
      </c>
      <c r="AF469" s="70" t="s">
        <v>2208</v>
      </c>
      <c r="AG469" s="70" t="s">
        <v>2208</v>
      </c>
      <c r="AH469" s="70" t="s">
        <v>2208</v>
      </c>
      <c r="AI469" s="70" t="s">
        <v>2208</v>
      </c>
      <c r="AJ469" s="70"/>
      <c r="AK469" s="70"/>
      <c r="AL469" s="70" t="s">
        <v>2208</v>
      </c>
      <c r="AM469" s="70" t="s">
        <v>2208</v>
      </c>
      <c r="AN469" s="70" t="s">
        <v>2208</v>
      </c>
      <c r="AO469" s="70" t="s">
        <v>2208</v>
      </c>
      <c r="AP469" s="70" t="s">
        <v>2208</v>
      </c>
      <c r="AQ469" s="70"/>
      <c r="AR469" s="70"/>
      <c r="AS469" s="70" t="s">
        <v>2208</v>
      </c>
      <c r="AT469" s="70" t="s">
        <v>2208</v>
      </c>
      <c r="AU469" s="70"/>
      <c r="AV469" s="70"/>
      <c r="AW469" s="73"/>
    </row>
    <row r="470" spans="1:49" ht="15.75" hidden="1" thickBot="1" x14ac:dyDescent="0.3">
      <c r="A470"/>
      <c r="B470"/>
      <c r="C470"/>
      <c r="D470"/>
      <c r="E470" s="150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0"/>
        <v>28</v>
      </c>
      <c r="P470" s="136" t="s">
        <v>1972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3"/>
    </row>
    <row r="471" spans="1:49" ht="15.75" hidden="1" thickBot="1" x14ac:dyDescent="0.3">
      <c r="A471"/>
      <c r="B471"/>
      <c r="C471"/>
      <c r="D471"/>
      <c r="E471" s="150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0"/>
        <v>28</v>
      </c>
      <c r="P471" s="136" t="s">
        <v>1973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3"/>
    </row>
    <row r="472" spans="1:49" s="73" customFormat="1" ht="15.75" hidden="1" thickBot="1" x14ac:dyDescent="0.3">
      <c r="A472"/>
      <c r="B472"/>
      <c r="C472"/>
      <c r="D472"/>
      <c r="E472" s="150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0"/>
        <v>28</v>
      </c>
      <c r="P472" s="136" t="s">
        <v>2399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 s="150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0"/>
        <v>27</v>
      </c>
      <c r="P473" s="136" t="s">
        <v>2400</v>
      </c>
      <c r="Q473" s="31">
        <f t="shared" si="41"/>
        <v>1</v>
      </c>
      <c r="R473" s="32">
        <f t="shared" si="42"/>
        <v>0.9642857142857143</v>
      </c>
      <c r="S473" s="70"/>
      <c r="T473" s="70"/>
      <c r="U473" s="70"/>
      <c r="V473" s="70"/>
      <c r="W473" s="70"/>
      <c r="X473" s="70"/>
      <c r="Y473" s="70"/>
      <c r="Z473" s="70" t="s">
        <v>2208</v>
      </c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 s="150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0"/>
        <v>27</v>
      </c>
      <c r="P474" s="136" t="s">
        <v>2403</v>
      </c>
      <c r="Q474" s="31">
        <f t="shared" si="41"/>
        <v>1</v>
      </c>
      <c r="R474" s="32">
        <f t="shared" si="42"/>
        <v>0.9642857142857143</v>
      </c>
      <c r="S474" s="70"/>
      <c r="T474" s="70"/>
      <c r="U474" s="70"/>
      <c r="V474" s="70"/>
      <c r="W474" s="70"/>
      <c r="X474" s="70"/>
      <c r="Y474" s="70"/>
      <c r="Z474" s="70" t="s">
        <v>2208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hidden="1" thickBot="1" x14ac:dyDescent="0.3">
      <c r="A475"/>
      <c r="B475"/>
      <c r="C475"/>
      <c r="D475"/>
      <c r="E475" s="150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0"/>
        <v>28</v>
      </c>
      <c r="P475" s="136" t="s">
        <v>2404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/>
    </row>
    <row r="476" spans="1:49" s="73" customFormat="1" ht="15.75" hidden="1" thickBot="1" x14ac:dyDescent="0.3">
      <c r="A476"/>
      <c r="B476"/>
      <c r="C476"/>
      <c r="D476"/>
      <c r="E476" s="150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0"/>
        <v>28</v>
      </c>
      <c r="P476" s="136" t="s">
        <v>2405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hidden="1" thickBot="1" x14ac:dyDescent="0.3">
      <c r="A477"/>
      <c r="B477"/>
      <c r="C477"/>
      <c r="D477"/>
      <c r="E477" s="150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0"/>
        <v>28</v>
      </c>
      <c r="P477" s="136" t="s">
        <v>2406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hidden="1" thickBot="1" x14ac:dyDescent="0.3">
      <c r="A478"/>
      <c r="B478"/>
      <c r="C478"/>
      <c r="D478"/>
      <c r="E478" s="150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hidden="1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0"/>
        <v>10</v>
      </c>
      <c r="P479" s="136" t="s">
        <v>1974</v>
      </c>
      <c r="Q479" s="131">
        <f t="shared" si="41"/>
        <v>18</v>
      </c>
      <c r="R479" s="132">
        <f t="shared" si="42"/>
        <v>0.35714285714285715</v>
      </c>
      <c r="S479" s="70" t="s">
        <v>2208</v>
      </c>
      <c r="T479" s="70" t="s">
        <v>2208</v>
      </c>
      <c r="U479" s="70" t="s">
        <v>2208</v>
      </c>
      <c r="V479" s="70"/>
      <c r="W479" s="70"/>
      <c r="X479" s="70" t="s">
        <v>2208</v>
      </c>
      <c r="Y479" s="70" t="s">
        <v>2208</v>
      </c>
      <c r="Z479" s="70" t="s">
        <v>2208</v>
      </c>
      <c r="AA479" s="70"/>
      <c r="AB479" s="70"/>
      <c r="AC479" s="70"/>
      <c r="AD479" s="70"/>
      <c r="AE479" s="70" t="s">
        <v>2208</v>
      </c>
      <c r="AF479" s="70" t="s">
        <v>2208</v>
      </c>
      <c r="AG479" s="70" t="s">
        <v>2208</v>
      </c>
      <c r="AH479" s="70" t="s">
        <v>2208</v>
      </c>
      <c r="AI479" s="70" t="s">
        <v>2208</v>
      </c>
      <c r="AJ479" s="70"/>
      <c r="AK479" s="70"/>
      <c r="AL479" s="70" t="s">
        <v>2208</v>
      </c>
      <c r="AM479" s="70" t="s">
        <v>2208</v>
      </c>
      <c r="AN479" s="70" t="s">
        <v>2208</v>
      </c>
      <c r="AO479" s="70" t="s">
        <v>2208</v>
      </c>
      <c r="AP479" s="70" t="s">
        <v>2208</v>
      </c>
      <c r="AQ479" s="70"/>
      <c r="AR479" s="70"/>
      <c r="AS479" s="70" t="s">
        <v>2208</v>
      </c>
      <c r="AT479" s="70" t="s">
        <v>2208</v>
      </c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0"/>
        <v>10</v>
      </c>
      <c r="P480" s="136" t="s">
        <v>1975</v>
      </c>
      <c r="Q480" s="131">
        <f t="shared" si="41"/>
        <v>18</v>
      </c>
      <c r="R480" s="132">
        <f t="shared" si="42"/>
        <v>0.35714285714285715</v>
      </c>
      <c r="S480" s="70" t="s">
        <v>2208</v>
      </c>
      <c r="T480" s="70" t="s">
        <v>2208</v>
      </c>
      <c r="U480" s="70" t="s">
        <v>2208</v>
      </c>
      <c r="V480" s="70"/>
      <c r="W480" s="70"/>
      <c r="X480" s="70" t="s">
        <v>2208</v>
      </c>
      <c r="Y480" s="70" t="s">
        <v>2208</v>
      </c>
      <c r="Z480" s="70" t="s">
        <v>2208</v>
      </c>
      <c r="AA480" s="70"/>
      <c r="AB480" s="70"/>
      <c r="AC480" s="70"/>
      <c r="AD480" s="70"/>
      <c r="AE480" s="70" t="s">
        <v>2208</v>
      </c>
      <c r="AF480" s="70" t="s">
        <v>2208</v>
      </c>
      <c r="AG480" s="70" t="s">
        <v>2208</v>
      </c>
      <c r="AH480" s="70" t="s">
        <v>2208</v>
      </c>
      <c r="AI480" s="70" t="s">
        <v>2208</v>
      </c>
      <c r="AJ480" s="70"/>
      <c r="AK480" s="70"/>
      <c r="AL480" s="70" t="s">
        <v>2208</v>
      </c>
      <c r="AM480" s="70" t="s">
        <v>2208</v>
      </c>
      <c r="AN480" s="70" t="s">
        <v>2208</v>
      </c>
      <c r="AO480" s="70" t="s">
        <v>2208</v>
      </c>
      <c r="AP480" s="70" t="s">
        <v>2208</v>
      </c>
      <c r="AQ480" s="70"/>
      <c r="AR480" s="70"/>
      <c r="AS480" s="70" t="s">
        <v>2208</v>
      </c>
      <c r="AT480" s="70" t="s">
        <v>2208</v>
      </c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0"/>
        <v>11</v>
      </c>
      <c r="P481" s="136"/>
      <c r="Q481" s="131">
        <f t="shared" si="41"/>
        <v>17</v>
      </c>
      <c r="R481" s="132">
        <f t="shared" si="42"/>
        <v>0.39285714285714285</v>
      </c>
      <c r="S481" s="70" t="s">
        <v>2208</v>
      </c>
      <c r="T481" s="70" t="s">
        <v>2208</v>
      </c>
      <c r="U481" s="70" t="s">
        <v>2208</v>
      </c>
      <c r="V481" s="70"/>
      <c r="W481" s="70"/>
      <c r="X481" s="70" t="s">
        <v>2208</v>
      </c>
      <c r="Y481" s="70" t="s">
        <v>2208</v>
      </c>
      <c r="Z481" s="70" t="s">
        <v>2208</v>
      </c>
      <c r="AA481" s="70"/>
      <c r="AB481" s="70"/>
      <c r="AC481" s="70"/>
      <c r="AD481" s="70"/>
      <c r="AE481" s="70" t="s">
        <v>2208</v>
      </c>
      <c r="AF481" s="70" t="s">
        <v>2208</v>
      </c>
      <c r="AG481" s="70" t="s">
        <v>2208</v>
      </c>
      <c r="AH481" s="70" t="s">
        <v>2208</v>
      </c>
      <c r="AI481" s="70" t="s">
        <v>2208</v>
      </c>
      <c r="AJ481" s="70"/>
      <c r="AK481" s="70"/>
      <c r="AL481" s="70" t="s">
        <v>2208</v>
      </c>
      <c r="AM481" s="70" t="s">
        <v>2208</v>
      </c>
      <c r="AN481" s="70" t="s">
        <v>2208</v>
      </c>
      <c r="AO481" s="70" t="s">
        <v>2208</v>
      </c>
      <c r="AP481" s="70" t="s">
        <v>2208</v>
      </c>
      <c r="AQ481" s="70"/>
      <c r="AR481" s="70"/>
      <c r="AS481" s="70" t="s">
        <v>2208</v>
      </c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0"/>
        <v>28</v>
      </c>
      <c r="P482" s="136" t="s">
        <v>2087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0"/>
        <v>27</v>
      </c>
      <c r="P483" s="136" t="s">
        <v>1976</v>
      </c>
      <c r="Q483" s="31">
        <f t="shared" si="41"/>
        <v>1</v>
      </c>
      <c r="R483" s="32">
        <f t="shared" si="42"/>
        <v>0.9642857142857143</v>
      </c>
      <c r="S483" s="70"/>
      <c r="T483" s="70"/>
      <c r="U483" s="70"/>
      <c r="V483" s="70"/>
      <c r="W483" s="70"/>
      <c r="X483" s="70"/>
      <c r="Y483" s="70" t="s">
        <v>2208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ht="15.75" hidden="1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0"/>
        <v>22</v>
      </c>
      <c r="P484" s="136" t="s">
        <v>1977</v>
      </c>
      <c r="Q484" s="31">
        <f t="shared" si="41"/>
        <v>6</v>
      </c>
      <c r="R484" s="32">
        <f t="shared" si="42"/>
        <v>0.7857142857142857</v>
      </c>
      <c r="S484" s="70"/>
      <c r="T484" s="70"/>
      <c r="U484" s="70"/>
      <c r="V484" s="70"/>
      <c r="W484" s="70"/>
      <c r="X484" s="70" t="s">
        <v>2208</v>
      </c>
      <c r="Y484" s="70" t="s">
        <v>2208</v>
      </c>
      <c r="Z484" s="70" t="s">
        <v>2208</v>
      </c>
      <c r="AA484" s="70"/>
      <c r="AB484" s="70"/>
      <c r="AC484" s="70"/>
      <c r="AD484" s="70"/>
      <c r="AE484" s="70" t="s">
        <v>2208</v>
      </c>
      <c r="AF484" s="70" t="s">
        <v>2208</v>
      </c>
      <c r="AG484" s="70" t="s">
        <v>2208</v>
      </c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ht="15.75" hidden="1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0"/>
        <v>28</v>
      </c>
      <c r="P485" s="136" t="s">
        <v>1978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0"/>
        <v>27</v>
      </c>
      <c r="P486" s="136" t="s">
        <v>1979</v>
      </c>
      <c r="Q486" s="31">
        <f t="shared" si="41"/>
        <v>1</v>
      </c>
      <c r="R486" s="32">
        <f t="shared" si="42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 t="s">
        <v>2208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0"/>
        <v>27</v>
      </c>
      <c r="P487" s="136" t="s">
        <v>1980</v>
      </c>
      <c r="Q487" s="31">
        <f t="shared" si="41"/>
        <v>1</v>
      </c>
      <c r="R487" s="32">
        <f t="shared" si="42"/>
        <v>0.9642857142857143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2208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hidden="1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0"/>
        <v>28</v>
      </c>
      <c r="P488" s="136" t="s">
        <v>1981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0"/>
        <v>28</v>
      </c>
      <c r="P489" s="136" t="s">
        <v>1982</v>
      </c>
      <c r="Q489" s="131">
        <f t="shared" si="41"/>
        <v>0</v>
      </c>
      <c r="R489" s="1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 s="150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0"/>
        <v>28</v>
      </c>
      <c r="P490" s="136" t="s">
        <v>1983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ht="15.75" hidden="1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0"/>
        <v>28</v>
      </c>
      <c r="P491" s="136" t="s">
        <v>1984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s="73" customFormat="1" ht="15.75" hidden="1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0"/>
        <v>28</v>
      </c>
      <c r="P492" s="136" t="s">
        <v>1985</v>
      </c>
      <c r="Q492" s="131">
        <f t="shared" si="41"/>
        <v>0</v>
      </c>
      <c r="R492" s="1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/>
    </row>
    <row r="493" spans="1:49" s="73" customFormat="1" ht="15.75" hidden="1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0"/>
        <v>28</v>
      </c>
      <c r="P493" s="136" t="s">
        <v>1986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ht="15.75" hidden="1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0"/>
        <v>28</v>
      </c>
      <c r="P494" s="136" t="s">
        <v>1987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ht="15.75" hidden="1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0"/>
        <v>28</v>
      </c>
      <c r="P495" s="136" t="s">
        <v>1988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3"/>
    </row>
    <row r="496" spans="1:49" ht="15.75" hidden="1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0"/>
        <v>28</v>
      </c>
      <c r="P496" s="136" t="s">
        <v>1989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s="73" customFormat="1" ht="15.75" hidden="1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0"/>
        <v>28</v>
      </c>
      <c r="P497" s="136" t="s">
        <v>1990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hidden="1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0"/>
        <v>28</v>
      </c>
      <c r="P498" s="136" t="s">
        <v>2105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hidden="1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0"/>
        <v>28</v>
      </c>
      <c r="P499" s="136" t="s">
        <v>2106</v>
      </c>
      <c r="Q499" s="85">
        <f t="shared" si="41"/>
        <v>0</v>
      </c>
      <c r="R499" s="86">
        <f t="shared" si="42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hidden="1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0"/>
        <v>28</v>
      </c>
      <c r="P500" s="136" t="s">
        <v>2107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</row>
    <row r="501" spans="1:49" s="73" customFormat="1" ht="15.75" hidden="1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0"/>
        <v>28</v>
      </c>
      <c r="P501" s="136" t="s">
        <v>2108</v>
      </c>
      <c r="Q501" s="85">
        <f t="shared" si="41"/>
        <v>0</v>
      </c>
      <c r="R501" s="86">
        <f t="shared" si="42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</row>
    <row r="502" spans="1:49" s="73" customFormat="1" ht="15.75" hidden="1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0"/>
        <v>28</v>
      </c>
      <c r="P502" s="136" t="s">
        <v>2241</v>
      </c>
      <c r="Q502" s="85">
        <f t="shared" si="41"/>
        <v>0</v>
      </c>
      <c r="R502" s="86">
        <f t="shared" si="42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/>
    </row>
    <row r="503" spans="1:49" s="73" customFormat="1" ht="15.75" hidden="1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0"/>
        <v>26</v>
      </c>
      <c r="P503" s="136" t="s">
        <v>1991</v>
      </c>
      <c r="Q503" s="131">
        <f t="shared" si="41"/>
        <v>2</v>
      </c>
      <c r="R503" s="132">
        <f t="shared" si="42"/>
        <v>0.9285714285714286</v>
      </c>
      <c r="S503" s="70"/>
      <c r="T503" s="70"/>
      <c r="U503" s="70" t="s">
        <v>2208</v>
      </c>
      <c r="V503" s="70"/>
      <c r="W503" s="70"/>
      <c r="X503" s="70"/>
      <c r="Y503" s="70"/>
      <c r="Z503" s="70"/>
      <c r="AA503" s="70"/>
      <c r="AB503" s="70"/>
      <c r="AC503" s="70"/>
      <c r="AD503" s="70"/>
      <c r="AE503" s="70" t="s">
        <v>2208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/>
    </row>
    <row r="504" spans="1:49" ht="15.75" hidden="1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0"/>
        <v>28</v>
      </c>
      <c r="P504" s="136" t="s">
        <v>2407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hidden="1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0"/>
        <v>28</v>
      </c>
      <c r="P505" s="136" t="s">
        <v>1993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0"/>
        <v>28</v>
      </c>
      <c r="P506" s="136" t="s">
        <v>1994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hidden="1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0"/>
        <v>27</v>
      </c>
      <c r="P507" s="136" t="s">
        <v>2408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2208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0"/>
        <v>27</v>
      </c>
      <c r="P508" s="136" t="s">
        <v>2409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2208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0"/>
        <v>27</v>
      </c>
      <c r="P509" s="136" t="s">
        <v>2410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2208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0"/>
        <v>27</v>
      </c>
      <c r="P510" s="136" t="s">
        <v>2411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2208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0"/>
        <v>25</v>
      </c>
      <c r="P511" s="136" t="s">
        <v>1992</v>
      </c>
      <c r="Q511" s="31">
        <f t="shared" si="41"/>
        <v>3</v>
      </c>
      <c r="R511" s="32">
        <f t="shared" si="42"/>
        <v>0.8928571428571429</v>
      </c>
      <c r="S511" s="70"/>
      <c r="T511" s="70"/>
      <c r="U511" s="70"/>
      <c r="V511" s="70"/>
      <c r="W511" s="70"/>
      <c r="X511" s="70" t="s">
        <v>2208</v>
      </c>
      <c r="Y511" s="70"/>
      <c r="Z511" s="70"/>
      <c r="AA511" s="70"/>
      <c r="AB511" s="70"/>
      <c r="AC511" s="70"/>
      <c r="AD511" s="70"/>
      <c r="AE511" s="70"/>
      <c r="AF511" s="70" t="s">
        <v>2208</v>
      </c>
      <c r="AG511" s="70" t="s">
        <v>2208</v>
      </c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hidden="1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0"/>
        <v>28</v>
      </c>
      <c r="P512" s="136" t="s">
        <v>1995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hidden="1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0"/>
        <v>28</v>
      </c>
      <c r="P513" s="136" t="s">
        <v>1996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hidden="1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0"/>
        <v>28</v>
      </c>
      <c r="P514" s="136" t="s">
        <v>1997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hidden="1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0"/>
        <v>28</v>
      </c>
      <c r="P515" s="136" t="s">
        <v>1998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3"/>
    </row>
    <row r="516" spans="1:49" ht="15.75" hidden="1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0"/>
        <v>28</v>
      </c>
      <c r="P516" s="136" t="s">
        <v>1999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hidden="1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0"/>
        <v>28</v>
      </c>
      <c r="P517" s="136" t="s">
        <v>2009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0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0"/>
        <v>28</v>
      </c>
      <c r="P518" s="136" t="s">
        <v>2013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3"/>
    </row>
    <row r="519" spans="1:49" ht="15.75" hidden="1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0"/>
        <v>28</v>
      </c>
      <c r="P519" s="136" t="s">
        <v>2014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0"/>
        <v>28</v>
      </c>
      <c r="P520" s="136" t="s">
        <v>2015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s="73" customFormat="1" ht="15.75" hidden="1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0"/>
        <v>27</v>
      </c>
      <c r="P521" s="136" t="s">
        <v>2016</v>
      </c>
      <c r="Q521" s="31">
        <f t="shared" si="41"/>
        <v>1</v>
      </c>
      <c r="R521" s="32">
        <f t="shared" si="42"/>
        <v>0.9642857142857143</v>
      </c>
      <c r="S521" s="70"/>
      <c r="T521" s="70" t="s">
        <v>2208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/>
    </row>
    <row r="522" spans="1:49" ht="15.75" hidden="1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0"/>
        <v>28</v>
      </c>
      <c r="P522" s="136" t="s">
        <v>2018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0"/>
        <v>28</v>
      </c>
      <c r="P523" s="136" t="s">
        <v>2019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s="73" customFormat="1" ht="15.75" hidden="1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0"/>
        <v>28</v>
      </c>
      <c r="P524" s="136" t="s">
        <v>2020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 s="150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0"/>
        <v>27</v>
      </c>
      <c r="P525" s="136" t="s">
        <v>2023</v>
      </c>
      <c r="Q525" s="31">
        <f t="shared" si="41"/>
        <v>1</v>
      </c>
      <c r="R525" s="32">
        <f t="shared" si="42"/>
        <v>0.9642857142857143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 t="s">
        <v>2208</v>
      </c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 s="150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0"/>
        <v>27</v>
      </c>
      <c r="P526" s="136" t="s">
        <v>2024</v>
      </c>
      <c r="Q526" s="31">
        <f t="shared" si="41"/>
        <v>1</v>
      </c>
      <c r="R526" s="32">
        <f t="shared" si="42"/>
        <v>0.9642857142857143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 t="s">
        <v>2208</v>
      </c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0"/>
        <v>28</v>
      </c>
      <c r="P527" s="136" t="s">
        <v>2025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hidden="1" thickBot="1" x14ac:dyDescent="0.3">
      <c r="A528"/>
      <c r="B528"/>
      <c r="C528"/>
      <c r="D528"/>
      <c r="E528" s="150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0"/>
        <v>28</v>
      </c>
      <c r="P528" s="136" t="s">
        <v>2026</v>
      </c>
      <c r="Q528" s="131">
        <f t="shared" si="41"/>
        <v>0</v>
      </c>
      <c r="R528" s="132">
        <f t="shared" si="42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0"/>
        <v>28</v>
      </c>
      <c r="P529" s="136" t="s">
        <v>2027</v>
      </c>
      <c r="Q529" s="131">
        <f t="shared" si="41"/>
        <v>0</v>
      </c>
      <c r="R529" s="132">
        <f t="shared" si="42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 s="150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3">COUNTIF(S530:AT530,"")</f>
        <v>27</v>
      </c>
      <c r="P530" s="136" t="s">
        <v>2000</v>
      </c>
      <c r="Q530" s="31">
        <f t="shared" ref="Q530:Q595" si="44">COUNTIF(S530:AT530,"APAGADO")</f>
        <v>1</v>
      </c>
      <c r="R530" s="32">
        <f t="shared" ref="R530:R595" si="45">(O530)/(Q530+O530)</f>
        <v>0.9642857142857143</v>
      </c>
      <c r="S530" s="70"/>
      <c r="T530" s="70" t="s">
        <v>2208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3"/>
        <v>28</v>
      </c>
      <c r="P531" s="136" t="s">
        <v>2001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3"/>
        <v>28</v>
      </c>
      <c r="P532" s="136" t="s">
        <v>2002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3"/>
        <v>28</v>
      </c>
      <c r="P533" s="136" t="s">
        <v>2003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3"/>
        <v>28</v>
      </c>
      <c r="P534" s="136" t="s">
        <v>2004</v>
      </c>
      <c r="Q534" s="131">
        <f t="shared" si="44"/>
        <v>0</v>
      </c>
      <c r="R534" s="1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hidden="1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3"/>
        <v>28</v>
      </c>
      <c r="P535" s="136" t="s">
        <v>2005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hidden="1" thickBot="1" x14ac:dyDescent="0.3">
      <c r="A536"/>
      <c r="B536"/>
      <c r="C536"/>
      <c r="D536"/>
      <c r="E536" s="150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3"/>
        <v>28</v>
      </c>
      <c r="P536" s="136" t="s">
        <v>2006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hidden="1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3"/>
        <v>10</v>
      </c>
      <c r="P537" s="136" t="s">
        <v>2007</v>
      </c>
      <c r="Q537" s="131">
        <f t="shared" si="44"/>
        <v>18</v>
      </c>
      <c r="R537" s="132">
        <f t="shared" si="45"/>
        <v>0.35714285714285715</v>
      </c>
      <c r="S537" s="70" t="s">
        <v>2208</v>
      </c>
      <c r="T537" s="70" t="s">
        <v>2208</v>
      </c>
      <c r="U537" s="70" t="s">
        <v>2208</v>
      </c>
      <c r="V537" s="70"/>
      <c r="W537" s="70"/>
      <c r="X537" s="70" t="s">
        <v>2208</v>
      </c>
      <c r="Y537" s="70" t="s">
        <v>2208</v>
      </c>
      <c r="Z537" s="70" t="s">
        <v>2208</v>
      </c>
      <c r="AA537" s="70"/>
      <c r="AB537" s="70"/>
      <c r="AC537" s="70"/>
      <c r="AD537" s="70"/>
      <c r="AE537" s="70" t="s">
        <v>2208</v>
      </c>
      <c r="AF537" s="70" t="s">
        <v>2208</v>
      </c>
      <c r="AG537" s="70" t="s">
        <v>2208</v>
      </c>
      <c r="AH537" s="70" t="s">
        <v>2208</v>
      </c>
      <c r="AI537" s="70" t="s">
        <v>2208</v>
      </c>
      <c r="AJ537" s="70"/>
      <c r="AK537" s="70"/>
      <c r="AL537" s="70" t="s">
        <v>2208</v>
      </c>
      <c r="AM537" s="70" t="s">
        <v>2208</v>
      </c>
      <c r="AN537" s="70" t="s">
        <v>2208</v>
      </c>
      <c r="AO537" s="70" t="s">
        <v>2208</v>
      </c>
      <c r="AP537" s="70" t="s">
        <v>2208</v>
      </c>
      <c r="AQ537" s="70"/>
      <c r="AR537" s="70"/>
      <c r="AS537" s="70" t="s">
        <v>2208</v>
      </c>
      <c r="AT537" s="70" t="s">
        <v>2208</v>
      </c>
      <c r="AU537" s="70"/>
      <c r="AV537" s="70"/>
    </row>
    <row r="538" spans="1:49" ht="15.75" hidden="1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3"/>
        <v>28</v>
      </c>
      <c r="P538" s="136" t="s">
        <v>2008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hidden="1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3"/>
        <v>28</v>
      </c>
      <c r="P539" s="136" t="s">
        <v>2010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hidden="1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3"/>
        <v>10</v>
      </c>
      <c r="P540" s="136" t="s">
        <v>2011</v>
      </c>
      <c r="Q540" s="31">
        <f t="shared" si="44"/>
        <v>18</v>
      </c>
      <c r="R540" s="32">
        <f t="shared" si="45"/>
        <v>0.35714285714285715</v>
      </c>
      <c r="S540" s="70" t="s">
        <v>2208</v>
      </c>
      <c r="T540" s="70" t="s">
        <v>2208</v>
      </c>
      <c r="U540" s="70" t="s">
        <v>2208</v>
      </c>
      <c r="V540" s="70"/>
      <c r="W540" s="70"/>
      <c r="X540" s="70" t="s">
        <v>2208</v>
      </c>
      <c r="Y540" s="70" t="s">
        <v>2208</v>
      </c>
      <c r="Z540" s="70" t="s">
        <v>2208</v>
      </c>
      <c r="AA540" s="70"/>
      <c r="AB540" s="70"/>
      <c r="AC540" s="70"/>
      <c r="AD540" s="70"/>
      <c r="AE540" s="70" t="s">
        <v>2208</v>
      </c>
      <c r="AF540" s="70" t="s">
        <v>2208</v>
      </c>
      <c r="AG540" s="70" t="s">
        <v>2208</v>
      </c>
      <c r="AH540" s="70" t="s">
        <v>2208</v>
      </c>
      <c r="AI540" s="70" t="s">
        <v>2208</v>
      </c>
      <c r="AJ540" s="70"/>
      <c r="AK540" s="70"/>
      <c r="AL540" s="70" t="s">
        <v>2208</v>
      </c>
      <c r="AM540" s="70" t="s">
        <v>2208</v>
      </c>
      <c r="AN540" s="70" t="s">
        <v>2208</v>
      </c>
      <c r="AO540" s="70" t="s">
        <v>2208</v>
      </c>
      <c r="AP540" s="70" t="s">
        <v>2208</v>
      </c>
      <c r="AQ540" s="70"/>
      <c r="AR540" s="70"/>
      <c r="AS540" s="70" t="s">
        <v>2208</v>
      </c>
      <c r="AT540" s="70" t="s">
        <v>2208</v>
      </c>
      <c r="AU540" s="70"/>
      <c r="AV540" s="70"/>
    </row>
    <row r="541" spans="1:49" ht="15.75" hidden="1" thickBot="1" x14ac:dyDescent="0.3">
      <c r="A541"/>
      <c r="B541"/>
      <c r="C541"/>
      <c r="D541"/>
      <c r="E541" s="150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3"/>
        <v>10</v>
      </c>
      <c r="P541" s="136" t="s">
        <v>2012</v>
      </c>
      <c r="Q541" s="31">
        <f t="shared" si="44"/>
        <v>18</v>
      </c>
      <c r="R541" s="32">
        <f t="shared" si="45"/>
        <v>0.35714285714285715</v>
      </c>
      <c r="S541" s="70" t="s">
        <v>2208</v>
      </c>
      <c r="T541" s="70" t="s">
        <v>2208</v>
      </c>
      <c r="U541" s="70" t="s">
        <v>2208</v>
      </c>
      <c r="V541" s="70"/>
      <c r="W541" s="70"/>
      <c r="X541" s="70" t="s">
        <v>2208</v>
      </c>
      <c r="Y541" s="70" t="s">
        <v>2208</v>
      </c>
      <c r="Z541" s="70" t="s">
        <v>2208</v>
      </c>
      <c r="AA541" s="70"/>
      <c r="AB541" s="70"/>
      <c r="AC541" s="70"/>
      <c r="AD541" s="70"/>
      <c r="AE541" s="70" t="s">
        <v>2208</v>
      </c>
      <c r="AF541" s="70" t="s">
        <v>2208</v>
      </c>
      <c r="AG541" s="70" t="s">
        <v>2208</v>
      </c>
      <c r="AH541" s="70" t="s">
        <v>2208</v>
      </c>
      <c r="AI541" s="70" t="s">
        <v>2208</v>
      </c>
      <c r="AJ541" s="70"/>
      <c r="AK541" s="70"/>
      <c r="AL541" s="70" t="s">
        <v>2208</v>
      </c>
      <c r="AM541" s="70" t="s">
        <v>2208</v>
      </c>
      <c r="AN541" s="70" t="s">
        <v>2208</v>
      </c>
      <c r="AO541" s="70" t="s">
        <v>2208</v>
      </c>
      <c r="AP541" s="70" t="s">
        <v>2208</v>
      </c>
      <c r="AQ541" s="70"/>
      <c r="AR541" s="70"/>
      <c r="AS541" s="70" t="s">
        <v>2208</v>
      </c>
      <c r="AT541" s="70" t="s">
        <v>2208</v>
      </c>
      <c r="AU541" s="70"/>
      <c r="AV541" s="70"/>
    </row>
    <row r="542" spans="1:49" ht="15.75" hidden="1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3"/>
        <v>28</v>
      </c>
      <c r="P542" s="136" t="s">
        <v>2017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hidden="1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3"/>
        <v>28</v>
      </c>
      <c r="P543" s="136" t="s">
        <v>2412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ht="15.75" hidden="1" thickBot="1" x14ac:dyDescent="0.3">
      <c r="A544"/>
      <c r="B544"/>
      <c r="C544"/>
      <c r="D544"/>
      <c r="E544" s="150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3"/>
        <v>28</v>
      </c>
      <c r="P544" s="136" t="s">
        <v>2021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s="73" customFormat="1" ht="15.75" hidden="1" thickBot="1" x14ac:dyDescent="0.3">
      <c r="A545"/>
      <c r="B545"/>
      <c r="C545"/>
      <c r="D545"/>
      <c r="E545" s="150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3"/>
        <v>28</v>
      </c>
      <c r="P545" s="136" t="s">
        <v>2022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88"/>
    </row>
    <row r="546" spans="1:49" s="73" customFormat="1" ht="15.75" hidden="1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3"/>
        <v>28</v>
      </c>
      <c r="P546" s="136" t="s">
        <v>2028</v>
      </c>
      <c r="Q546" s="131">
        <f t="shared" si="44"/>
        <v>0</v>
      </c>
      <c r="R546" s="1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73" customFormat="1" ht="15.75" hidden="1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3"/>
        <v>10</v>
      </c>
      <c r="P547" s="136" t="s">
        <v>2159</v>
      </c>
      <c r="Q547" s="131">
        <f t="shared" si="44"/>
        <v>18</v>
      </c>
      <c r="R547" s="132">
        <f t="shared" si="45"/>
        <v>0.35714285714285715</v>
      </c>
      <c r="S547" s="70" t="s">
        <v>2208</v>
      </c>
      <c r="T547" s="70" t="s">
        <v>2208</v>
      </c>
      <c r="U547" s="70" t="s">
        <v>2208</v>
      </c>
      <c r="V547" s="70"/>
      <c r="W547" s="70"/>
      <c r="X547" s="70" t="s">
        <v>2208</v>
      </c>
      <c r="Y547" s="70" t="s">
        <v>2208</v>
      </c>
      <c r="Z547" s="70" t="s">
        <v>2208</v>
      </c>
      <c r="AA547" s="70"/>
      <c r="AB547" s="70"/>
      <c r="AC547" s="70"/>
      <c r="AD547" s="70"/>
      <c r="AE547" s="70" t="s">
        <v>2208</v>
      </c>
      <c r="AF547" s="70" t="s">
        <v>2208</v>
      </c>
      <c r="AG547" s="70" t="s">
        <v>2208</v>
      </c>
      <c r="AH547" s="70" t="s">
        <v>2208</v>
      </c>
      <c r="AI547" s="70" t="s">
        <v>2208</v>
      </c>
      <c r="AJ547" s="70"/>
      <c r="AK547" s="70"/>
      <c r="AL547" s="70" t="s">
        <v>2208</v>
      </c>
      <c r="AM547" s="70" t="s">
        <v>2208</v>
      </c>
      <c r="AN547" s="70" t="s">
        <v>2208</v>
      </c>
      <c r="AO547" s="70" t="s">
        <v>2208</v>
      </c>
      <c r="AP547" s="70" t="s">
        <v>2208</v>
      </c>
      <c r="AQ547" s="70"/>
      <c r="AR547" s="70"/>
      <c r="AS547" s="70" t="s">
        <v>2208</v>
      </c>
      <c r="AT547" s="70" t="s">
        <v>2208</v>
      </c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3"/>
        <v>10</v>
      </c>
      <c r="P548" s="136" t="s">
        <v>2162</v>
      </c>
      <c r="Q548" s="131">
        <f t="shared" si="44"/>
        <v>18</v>
      </c>
      <c r="R548" s="132">
        <f t="shared" si="45"/>
        <v>0.35714285714285715</v>
      </c>
      <c r="S548" s="70" t="s">
        <v>2208</v>
      </c>
      <c r="T548" s="70" t="s">
        <v>2208</v>
      </c>
      <c r="U548" s="70" t="s">
        <v>2208</v>
      </c>
      <c r="V548" s="70"/>
      <c r="W548" s="70"/>
      <c r="X548" s="70" t="s">
        <v>2208</v>
      </c>
      <c r="Y548" s="70" t="s">
        <v>2208</v>
      </c>
      <c r="Z548" s="70" t="s">
        <v>2208</v>
      </c>
      <c r="AA548" s="70"/>
      <c r="AB548" s="70"/>
      <c r="AC548" s="70"/>
      <c r="AD548" s="70"/>
      <c r="AE548" s="70" t="s">
        <v>2208</v>
      </c>
      <c r="AF548" s="70" t="s">
        <v>2208</v>
      </c>
      <c r="AG548" s="70" t="s">
        <v>2208</v>
      </c>
      <c r="AH548" s="70" t="s">
        <v>2208</v>
      </c>
      <c r="AI548" s="70" t="s">
        <v>2208</v>
      </c>
      <c r="AJ548" s="70"/>
      <c r="AK548" s="70"/>
      <c r="AL548" s="70" t="s">
        <v>2208</v>
      </c>
      <c r="AM548" s="70" t="s">
        <v>2208</v>
      </c>
      <c r="AN548" s="70" t="s">
        <v>2208</v>
      </c>
      <c r="AO548" s="70" t="s">
        <v>2208</v>
      </c>
      <c r="AP548" s="70" t="s">
        <v>2208</v>
      </c>
      <c r="AQ548" s="70"/>
      <c r="AR548" s="70"/>
      <c r="AS548" s="70" t="s">
        <v>2208</v>
      </c>
      <c r="AT548" s="70" t="s">
        <v>2208</v>
      </c>
      <c r="AU548" s="70"/>
      <c r="AV548" s="70"/>
      <c r="AW548"/>
    </row>
    <row r="549" spans="1:49" ht="15.75" hidden="1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3"/>
        <v>28</v>
      </c>
      <c r="P549" s="136" t="s">
        <v>2029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ht="15.75" hidden="1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3"/>
        <v>28</v>
      </c>
      <c r="P550" s="136" t="s">
        <v>2030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hidden="1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3"/>
        <v>26</v>
      </c>
      <c r="P551" s="136" t="s">
        <v>2460</v>
      </c>
      <c r="Q551" s="31">
        <f t="shared" si="44"/>
        <v>2</v>
      </c>
      <c r="R551" s="32">
        <f t="shared" si="45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2208</v>
      </c>
      <c r="AF551" s="70" t="s">
        <v>2208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hidden="1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3"/>
        <v>28</v>
      </c>
      <c r="P552" s="136" t="s">
        <v>2031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ht="15.75" hidden="1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3"/>
        <v>28</v>
      </c>
      <c r="P553" s="136" t="s">
        <v>2032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3"/>
    </row>
    <row r="554" spans="1:49" ht="15.75" hidden="1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3"/>
        <v>28</v>
      </c>
      <c r="P554" s="136" t="s">
        <v>2033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88" customFormat="1" ht="15.75" hidden="1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3"/>
        <v>28</v>
      </c>
      <c r="P555" s="136" t="s">
        <v>2034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88" customFormat="1" ht="15.75" hidden="1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3"/>
        <v>28</v>
      </c>
      <c r="P556" s="136" t="s">
        <v>2035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 s="150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3"/>
        <v>28</v>
      </c>
      <c r="P557" s="136" t="s">
        <v>2122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hidden="1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3"/>
        <v>28</v>
      </c>
      <c r="P558" s="136" t="s">
        <v>2036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s="73" customFormat="1" ht="15.75" hidden="1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3"/>
        <v>27</v>
      </c>
      <c r="P559" s="136" t="s">
        <v>2037</v>
      </c>
      <c r="Q559" s="31">
        <f t="shared" si="44"/>
        <v>1</v>
      </c>
      <c r="R559" s="32">
        <f t="shared" si="45"/>
        <v>0.9642857142857143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2208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3"/>
        <v>10</v>
      </c>
      <c r="P560" s="136" t="s">
        <v>2038</v>
      </c>
      <c r="Q560" s="131">
        <f t="shared" si="44"/>
        <v>18</v>
      </c>
      <c r="R560" s="132">
        <f t="shared" si="45"/>
        <v>0.35714285714285715</v>
      </c>
      <c r="S560" s="70" t="s">
        <v>2208</v>
      </c>
      <c r="T560" s="70" t="s">
        <v>2208</v>
      </c>
      <c r="U560" s="70" t="s">
        <v>2208</v>
      </c>
      <c r="V560" s="70"/>
      <c r="W560" s="70"/>
      <c r="X560" s="70" t="s">
        <v>2208</v>
      </c>
      <c r="Y560" s="70" t="s">
        <v>2208</v>
      </c>
      <c r="Z560" s="70" t="s">
        <v>2208</v>
      </c>
      <c r="AA560" s="70"/>
      <c r="AB560" s="70"/>
      <c r="AC560" s="70"/>
      <c r="AD560" s="70"/>
      <c r="AE560" s="70" t="s">
        <v>2208</v>
      </c>
      <c r="AF560" s="70" t="s">
        <v>2208</v>
      </c>
      <c r="AG560" s="70" t="s">
        <v>2208</v>
      </c>
      <c r="AH560" s="70" t="s">
        <v>2208</v>
      </c>
      <c r="AI560" s="70" t="s">
        <v>2208</v>
      </c>
      <c r="AJ560" s="70"/>
      <c r="AK560" s="70"/>
      <c r="AL560" s="70" t="s">
        <v>2208</v>
      </c>
      <c r="AM560" s="70" t="s">
        <v>2208</v>
      </c>
      <c r="AN560" s="70" t="s">
        <v>2208</v>
      </c>
      <c r="AO560" s="70" t="s">
        <v>2208</v>
      </c>
      <c r="AP560" s="70" t="s">
        <v>2208</v>
      </c>
      <c r="AQ560" s="70"/>
      <c r="AR560" s="70"/>
      <c r="AS560" s="70" t="s">
        <v>2208</v>
      </c>
      <c r="AT560" s="70" t="s">
        <v>2208</v>
      </c>
      <c r="AU560" s="70"/>
      <c r="AV560" s="70"/>
      <c r="AW560"/>
    </row>
    <row r="561" spans="1:49" ht="15.75" hidden="1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3"/>
        <v>28</v>
      </c>
      <c r="P561" s="136" t="s">
        <v>2039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s="73" customFormat="1" ht="15.75" hidden="1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3"/>
        <v>28</v>
      </c>
      <c r="P562" s="136" t="s">
        <v>2040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3"/>
        <v>28</v>
      </c>
      <c r="P563" s="136" t="s">
        <v>2041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3"/>
        <v>28</v>
      </c>
      <c r="P564" s="136" t="s">
        <v>2137</v>
      </c>
      <c r="Q564" s="31">
        <f t="shared" si="44"/>
        <v>0</v>
      </c>
      <c r="R564" s="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s="73" customFormat="1" ht="15.75" hidden="1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3"/>
        <v>28</v>
      </c>
      <c r="P565" s="136" t="s">
        <v>2080</v>
      </c>
      <c r="Q565" s="31">
        <f t="shared" si="44"/>
        <v>0</v>
      </c>
      <c r="R565" s="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hidden="1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3"/>
        <v>28</v>
      </c>
      <c r="P566" s="136" t="s">
        <v>2084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hidden="1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3"/>
        <v>27</v>
      </c>
      <c r="P567" s="136" t="s">
        <v>2042</v>
      </c>
      <c r="Q567" s="131">
        <f t="shared" si="44"/>
        <v>1</v>
      </c>
      <c r="R567" s="132">
        <f t="shared" si="45"/>
        <v>0.9642857142857143</v>
      </c>
      <c r="S567" s="70"/>
      <c r="T567" s="70"/>
      <c r="U567" s="70" t="s">
        <v>2208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hidden="1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3"/>
        <v>20</v>
      </c>
      <c r="P568" s="136" t="s">
        <v>2043</v>
      </c>
      <c r="Q568" s="131">
        <f t="shared" si="44"/>
        <v>8</v>
      </c>
      <c r="R568" s="132">
        <f t="shared" si="45"/>
        <v>0.7142857142857143</v>
      </c>
      <c r="S568" s="70" t="s">
        <v>2208</v>
      </c>
      <c r="T568" s="70" t="s">
        <v>2208</v>
      </c>
      <c r="U568" s="70" t="s">
        <v>2208</v>
      </c>
      <c r="V568" s="70"/>
      <c r="W568" s="70"/>
      <c r="X568" s="70" t="s">
        <v>2208</v>
      </c>
      <c r="Y568" s="70" t="s">
        <v>2208</v>
      </c>
      <c r="Z568" s="70" t="s">
        <v>2208</v>
      </c>
      <c r="AA568" s="70"/>
      <c r="AB568" s="70"/>
      <c r="AC568" s="70"/>
      <c r="AD568" s="70"/>
      <c r="AE568" s="70" t="s">
        <v>2208</v>
      </c>
      <c r="AF568" s="70" t="s">
        <v>2208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hidden="1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3"/>
        <v>28</v>
      </c>
      <c r="P569" s="136" t="s">
        <v>2044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s="73" customFormat="1" ht="15.75" hidden="1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3"/>
        <v>28</v>
      </c>
      <c r="P570" s="136" t="s">
        <v>2045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s="73" customFormat="1" ht="15.75" hidden="1" thickBot="1" x14ac:dyDescent="0.3">
      <c r="A571"/>
      <c r="B571"/>
      <c r="C571"/>
      <c r="D571"/>
      <c r="E571" s="150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3"/>
        <v>26</v>
      </c>
      <c r="P571" s="136" t="s">
        <v>2126</v>
      </c>
      <c r="Q571" s="131">
        <f t="shared" si="44"/>
        <v>2</v>
      </c>
      <c r="R571" s="132">
        <f t="shared" si="45"/>
        <v>0.9285714285714286</v>
      </c>
      <c r="S571" s="70" t="s">
        <v>2208</v>
      </c>
      <c r="T571" s="70" t="s">
        <v>2208</v>
      </c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hidden="1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3"/>
        <v>17</v>
      </c>
      <c r="P572" s="136"/>
      <c r="Q572" s="131">
        <f t="shared" si="44"/>
        <v>11</v>
      </c>
      <c r="R572" s="132">
        <f t="shared" si="45"/>
        <v>0.6071428571428571</v>
      </c>
      <c r="S572" s="70" t="s">
        <v>2208</v>
      </c>
      <c r="T572" s="70" t="s">
        <v>2208</v>
      </c>
      <c r="U572" s="70" t="s">
        <v>2208</v>
      </c>
      <c r="V572" s="70"/>
      <c r="W572" s="70"/>
      <c r="X572" s="70" t="s">
        <v>2208</v>
      </c>
      <c r="Y572" s="70" t="s">
        <v>2208</v>
      </c>
      <c r="Z572" s="70" t="s">
        <v>2208</v>
      </c>
      <c r="AA572" s="70"/>
      <c r="AB572" s="70"/>
      <c r="AC572" s="70"/>
      <c r="AD572" s="70"/>
      <c r="AE572" s="70" t="s">
        <v>2208</v>
      </c>
      <c r="AF572" s="70" t="s">
        <v>2208</v>
      </c>
      <c r="AG572" s="70" t="s">
        <v>2208</v>
      </c>
      <c r="AH572" s="70" t="s">
        <v>2208</v>
      </c>
      <c r="AI572" s="70"/>
      <c r="AJ572" s="70"/>
      <c r="AK572" s="70"/>
      <c r="AL572" s="70"/>
      <c r="AM572" s="70"/>
      <c r="AN572" s="70"/>
      <c r="AO572" s="70" t="s">
        <v>2208</v>
      </c>
      <c r="AP572" s="70"/>
      <c r="AQ572" s="70"/>
      <c r="AR572" s="70"/>
      <c r="AS572" s="70"/>
      <c r="AT572" s="70"/>
      <c r="AU572" s="70"/>
      <c r="AV572" s="70"/>
    </row>
    <row r="573" spans="1:49" ht="15.75" hidden="1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3"/>
        <v>28</v>
      </c>
      <c r="P573" s="136" t="s">
        <v>2127</v>
      </c>
      <c r="Q573" s="131">
        <f t="shared" si="44"/>
        <v>0</v>
      </c>
      <c r="R573" s="1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ht="15.75" hidden="1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9" ht="15.75" hidden="1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5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3"/>
        <v>28</v>
      </c>
      <c r="P575" s="136" t="s">
        <v>2123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3"/>
        <v>28</v>
      </c>
      <c r="P576" s="136" t="s">
        <v>2046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s="73" customFormat="1" ht="15.75" hidden="1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3"/>
        <v>28</v>
      </c>
      <c r="P577" s="136" t="s">
        <v>2124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3"/>
        <v>28</v>
      </c>
      <c r="P578" s="136" t="s">
        <v>2047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ht="15.75" hidden="1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3"/>
        <v>28</v>
      </c>
      <c r="P579" s="136" t="s">
        <v>2048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hidden="1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6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3"/>
        <v>28</v>
      </c>
      <c r="P580" s="136" t="s">
        <v>2125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hidden="1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3"/>
        <v>23</v>
      </c>
      <c r="P581" s="136" t="s">
        <v>2049</v>
      </c>
      <c r="Q581" s="31">
        <f t="shared" si="44"/>
        <v>5</v>
      </c>
      <c r="R581" s="32">
        <f t="shared" si="45"/>
        <v>0.8214285714285714</v>
      </c>
      <c r="S581" s="70"/>
      <c r="T581" s="70"/>
      <c r="U581" s="70"/>
      <c r="V581" s="70"/>
      <c r="W581" s="70"/>
      <c r="X581" s="70"/>
      <c r="Y581" s="70" t="s">
        <v>2208</v>
      </c>
      <c r="Z581" s="70" t="s">
        <v>2208</v>
      </c>
      <c r="AA581" s="70"/>
      <c r="AB581" s="70"/>
      <c r="AC581" s="70"/>
      <c r="AD581" s="70"/>
      <c r="AE581" s="70"/>
      <c r="AF581" s="70"/>
      <c r="AG581" s="70" t="s">
        <v>2208</v>
      </c>
      <c r="AH581" s="70" t="s">
        <v>2208</v>
      </c>
      <c r="AI581" s="70" t="s">
        <v>2208</v>
      </c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hidden="1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6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3"/>
        <v>23</v>
      </c>
      <c r="P582" s="136" t="s">
        <v>2050</v>
      </c>
      <c r="Q582" s="31">
        <f t="shared" si="44"/>
        <v>5</v>
      </c>
      <c r="R582" s="32">
        <f t="shared" si="45"/>
        <v>0.8214285714285714</v>
      </c>
      <c r="S582" s="70"/>
      <c r="T582" s="70"/>
      <c r="U582" s="70"/>
      <c r="V582" s="70"/>
      <c r="W582" s="70"/>
      <c r="X582" s="70"/>
      <c r="Y582" s="70" t="s">
        <v>2208</v>
      </c>
      <c r="Z582" s="70" t="s">
        <v>2208</v>
      </c>
      <c r="AA582" s="70"/>
      <c r="AB582" s="70"/>
      <c r="AC582" s="70"/>
      <c r="AD582" s="70"/>
      <c r="AE582" s="70"/>
      <c r="AF582" s="70"/>
      <c r="AG582" s="70" t="s">
        <v>2208</v>
      </c>
      <c r="AH582" s="70" t="s">
        <v>2208</v>
      </c>
      <c r="AI582" s="70" t="s">
        <v>2208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hidden="1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3"/>
        <v>27</v>
      </c>
      <c r="P583" s="136" t="s">
        <v>2051</v>
      </c>
      <c r="Q583" s="31">
        <f t="shared" si="44"/>
        <v>1</v>
      </c>
      <c r="R583" s="32">
        <f t="shared" si="45"/>
        <v>0.9642857142857143</v>
      </c>
      <c r="S583" s="70"/>
      <c r="T583" s="70"/>
      <c r="U583" s="70"/>
      <c r="V583" s="70"/>
      <c r="W583" s="70"/>
      <c r="X583" s="70"/>
      <c r="Y583" s="70" t="s">
        <v>2208</v>
      </c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6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3"/>
        <v>10</v>
      </c>
      <c r="P584" s="136" t="s">
        <v>2052</v>
      </c>
      <c r="Q584" s="31">
        <f t="shared" si="44"/>
        <v>18</v>
      </c>
      <c r="R584" s="32">
        <f t="shared" si="45"/>
        <v>0.35714285714285715</v>
      </c>
      <c r="S584" s="70" t="s">
        <v>2208</v>
      </c>
      <c r="T584" s="70" t="s">
        <v>2208</v>
      </c>
      <c r="U584" s="70" t="s">
        <v>2208</v>
      </c>
      <c r="V584" s="70"/>
      <c r="W584" s="70"/>
      <c r="X584" s="70" t="s">
        <v>2208</v>
      </c>
      <c r="Y584" s="70" t="s">
        <v>2208</v>
      </c>
      <c r="Z584" s="70" t="s">
        <v>2208</v>
      </c>
      <c r="AA584" s="70"/>
      <c r="AB584" s="70"/>
      <c r="AC584" s="70"/>
      <c r="AD584" s="70"/>
      <c r="AE584" s="70" t="s">
        <v>2208</v>
      </c>
      <c r="AF584" s="70" t="s">
        <v>2208</v>
      </c>
      <c r="AG584" s="70" t="s">
        <v>2208</v>
      </c>
      <c r="AH584" s="70" t="s">
        <v>2208</v>
      </c>
      <c r="AI584" s="70" t="s">
        <v>2208</v>
      </c>
      <c r="AJ584" s="70"/>
      <c r="AK584" s="70"/>
      <c r="AL584" s="70" t="s">
        <v>2208</v>
      </c>
      <c r="AM584" s="70" t="s">
        <v>2208</v>
      </c>
      <c r="AN584" s="70" t="s">
        <v>2208</v>
      </c>
      <c r="AO584" s="70" t="s">
        <v>2208</v>
      </c>
      <c r="AP584" s="70" t="s">
        <v>2208</v>
      </c>
      <c r="AQ584" s="70"/>
      <c r="AR584" s="70"/>
      <c r="AS584" s="70" t="s">
        <v>2208</v>
      </c>
      <c r="AT584" s="70" t="s">
        <v>2208</v>
      </c>
      <c r="AU584" s="70"/>
      <c r="AV584" s="70"/>
      <c r="AW584" s="73"/>
    </row>
    <row r="585" spans="1:49" ht="15.75" hidden="1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6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3"/>
        <v>28</v>
      </c>
      <c r="P585" s="136" t="s">
        <v>2054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6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3"/>
        <v>24</v>
      </c>
      <c r="P586" s="136" t="s">
        <v>2055</v>
      </c>
      <c r="Q586" s="31">
        <f t="shared" si="44"/>
        <v>4</v>
      </c>
      <c r="R586" s="32">
        <f t="shared" si="45"/>
        <v>0.8571428571428571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2208</v>
      </c>
      <c r="AM586" s="70" t="s">
        <v>2208</v>
      </c>
      <c r="AN586" s="70" t="s">
        <v>2208</v>
      </c>
      <c r="AO586" s="70" t="s">
        <v>2208</v>
      </c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3"/>
        <v>28</v>
      </c>
      <c r="P587" s="136" t="s">
        <v>2053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s="73" customFormat="1" ht="15.75" hidden="1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3"/>
        <v>24</v>
      </c>
      <c r="P588" s="136" t="s">
        <v>2056</v>
      </c>
      <c r="Q588" s="31">
        <f t="shared" si="44"/>
        <v>4</v>
      </c>
      <c r="R588" s="32">
        <f t="shared" si="45"/>
        <v>0.8571428571428571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 t="s">
        <v>2208</v>
      </c>
      <c r="AM588" s="70" t="s">
        <v>2208</v>
      </c>
      <c r="AN588" s="70" t="s">
        <v>2208</v>
      </c>
      <c r="AO588" s="70" t="s">
        <v>2208</v>
      </c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4"/>
      <c r="O589" s="152">
        <f t="shared" si="43"/>
        <v>28</v>
      </c>
      <c r="P589" s="153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3"/>
        <v>27</v>
      </c>
      <c r="P590" s="136" t="s">
        <v>2140</v>
      </c>
      <c r="Q590" s="131">
        <f t="shared" si="44"/>
        <v>1</v>
      </c>
      <c r="R590" s="132">
        <f t="shared" si="45"/>
        <v>0.9642857142857143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 t="s">
        <v>2208</v>
      </c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6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3"/>
        <v>28</v>
      </c>
      <c r="P591" s="136" t="s">
        <v>2190</v>
      </c>
      <c r="Q591" s="131">
        <f t="shared" si="44"/>
        <v>0</v>
      </c>
      <c r="R591" s="132">
        <f t="shared" si="45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ht="14.25" hidden="1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6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3"/>
        <v>28</v>
      </c>
      <c r="P592" s="136" t="s">
        <v>2413</v>
      </c>
      <c r="Q592" s="131">
        <f t="shared" si="44"/>
        <v>0</v>
      </c>
      <c r="R592" s="1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hidden="1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3"/>
        <v>26</v>
      </c>
      <c r="P593" s="136" t="s">
        <v>2142</v>
      </c>
      <c r="Q593" s="31">
        <f t="shared" si="44"/>
        <v>2</v>
      </c>
      <c r="R593" s="32">
        <f t="shared" si="45"/>
        <v>0.9285714285714286</v>
      </c>
      <c r="S593" s="70"/>
      <c r="T593" s="70"/>
      <c r="U593" s="70" t="s">
        <v>2208</v>
      </c>
      <c r="V593" s="70"/>
      <c r="W593" s="70"/>
      <c r="X593" s="70"/>
      <c r="Y593" s="70"/>
      <c r="Z593" s="70"/>
      <c r="AA593" s="70"/>
      <c r="AB593" s="70"/>
      <c r="AC593" s="70"/>
      <c r="AD593" s="70"/>
      <c r="AE593" s="70" t="s">
        <v>2208</v>
      </c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hidden="1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3"/>
        <v>28</v>
      </c>
      <c r="P594" s="136" t="s">
        <v>2143</v>
      </c>
      <c r="Q594" s="31">
        <f t="shared" si="44"/>
        <v>0</v>
      </c>
      <c r="R594" s="32">
        <f t="shared" si="45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ht="15.75" hidden="1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3"/>
        <v>28</v>
      </c>
      <c r="P595" s="136" t="s">
        <v>2058</v>
      </c>
      <c r="Q595" s="31">
        <f t="shared" si="44"/>
        <v>0</v>
      </c>
      <c r="R595" s="32">
        <f t="shared" si="45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3"/>
    </row>
    <row r="596" spans="1:49" ht="15.75" hidden="1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6">COUNTIF(S596:AT596,"")</f>
        <v>28</v>
      </c>
      <c r="P596" s="136" t="s">
        <v>2057</v>
      </c>
      <c r="Q596" s="31">
        <f t="shared" ref="Q596:Q607" si="47">COUNTIF(S596:AT596,"APAGADO")</f>
        <v>0</v>
      </c>
      <c r="R596" s="32">
        <f t="shared" ref="R596:R607" si="48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ht="15.75" hidden="1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6"/>
        <v>28</v>
      </c>
      <c r="P597" s="136" t="s">
        <v>2059</v>
      </c>
      <c r="Q597" s="31">
        <f t="shared" si="47"/>
        <v>0</v>
      </c>
      <c r="R597" s="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ht="15.75" hidden="1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6"/>
        <v>28</v>
      </c>
      <c r="P598" s="136" t="s">
        <v>2141</v>
      </c>
      <c r="Q598" s="31">
        <f t="shared" si="47"/>
        <v>0</v>
      </c>
      <c r="R598" s="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3"/>
    </row>
    <row r="599" spans="1:49" s="73" customFormat="1" ht="15.75" hidden="1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6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6"/>
        <v>28</v>
      </c>
      <c r="P599" s="136" t="s">
        <v>2063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hidden="1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5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6"/>
        <v>28</v>
      </c>
      <c r="P600" s="136" t="s">
        <v>2064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/>
    </row>
    <row r="601" spans="1:49" s="73" customFormat="1" ht="15.75" hidden="1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6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6"/>
        <v>28</v>
      </c>
      <c r="P601" s="136" t="s">
        <v>2065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/>
    </row>
    <row r="602" spans="1:49" s="73" customFormat="1" ht="15.75" hidden="1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6"/>
        <v>28</v>
      </c>
      <c r="P602" s="136" t="s">
        <v>2066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hidden="1" thickBot="1" x14ac:dyDescent="0.3">
      <c r="A603"/>
      <c r="B603"/>
      <c r="C603"/>
      <c r="D603"/>
      <c r="E603" s="150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6"/>
        <v>28</v>
      </c>
      <c r="P603" s="136" t="s">
        <v>2069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hidden="1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6"/>
        <v>28</v>
      </c>
      <c r="P604" s="136" t="s">
        <v>2216</v>
      </c>
      <c r="Q604" s="131">
        <f t="shared" si="47"/>
        <v>0</v>
      </c>
      <c r="R604" s="132">
        <f t="shared" si="48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</row>
    <row r="605" spans="1:49" s="73" customFormat="1" ht="15.75" hidden="1" thickBot="1" x14ac:dyDescent="0.3">
      <c r="A605"/>
      <c r="B605"/>
      <c r="C605"/>
      <c r="D605"/>
      <c r="E605" s="150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6"/>
        <v>28</v>
      </c>
      <c r="P605" s="136" t="s">
        <v>2060</v>
      </c>
      <c r="Q605" s="131">
        <f t="shared" si="47"/>
        <v>0</v>
      </c>
      <c r="R605" s="132">
        <f t="shared" si="48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</row>
    <row r="606" spans="1:49" s="73" customFormat="1" ht="15.75" hidden="1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6"/>
        <v>26</v>
      </c>
      <c r="P606" s="136" t="s">
        <v>2061</v>
      </c>
      <c r="Q606" s="131">
        <f t="shared" si="47"/>
        <v>2</v>
      </c>
      <c r="R606" s="132">
        <f t="shared" si="48"/>
        <v>0.9285714285714286</v>
      </c>
      <c r="S606" s="71"/>
      <c r="T606" s="71"/>
      <c r="U606" s="71"/>
      <c r="V606" s="71"/>
      <c r="W606" s="71"/>
      <c r="X606" s="71"/>
      <c r="Y606" s="71"/>
      <c r="Z606" s="70" t="s">
        <v>2208</v>
      </c>
      <c r="AA606" s="71"/>
      <c r="AB606" s="71"/>
      <c r="AC606" s="71"/>
      <c r="AD606" s="71"/>
      <c r="AE606" s="70" t="s">
        <v>2208</v>
      </c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/>
    </row>
    <row r="607" spans="1:49" ht="17.25" hidden="1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6"/>
        <v>28</v>
      </c>
      <c r="P607" s="136" t="s">
        <v>2062</v>
      </c>
      <c r="Q607" s="131">
        <f t="shared" si="47"/>
        <v>0</v>
      </c>
      <c r="R607" s="132">
        <f t="shared" si="48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</row>
    <row r="608" spans="1:49" ht="17.25" hidden="1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</row>
    <row r="609" spans="1:19" hidden="1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hidden="1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hidden="1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hidden="1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hidden="1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hidden="1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hidden="1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50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V615" xr:uid="{00000000-0001-0000-0000-000000000000}">
    <filterColumn colId="4">
      <filters>
        <filter val="TUNEL COSEIDI"/>
      </filters>
    </filterColumn>
    <sortState xmlns:xlrd2="http://schemas.microsoft.com/office/spreadsheetml/2017/richdata2" ref="A8:AV607">
      <sortCondition descending="1" ref="G7:G60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209" priority="2899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208" priority="2900" operator="equal">
      <formula>$H$284</formula>
    </cfRule>
  </conditionalFormatting>
  <conditionalFormatting sqref="H1:H608">
    <cfRule type="cellIs" dxfId="207" priority="2896" operator="equal">
      <formula>"IPCOMS"</formula>
    </cfRule>
  </conditionalFormatting>
  <conditionalFormatting sqref="I20:I21">
    <cfRule type="cellIs" dxfId="206" priority="5563" operator="equal">
      <formula>$H$284</formula>
    </cfRule>
    <cfRule type="cellIs" dxfId="205" priority="5562" operator="equal">
      <formula>$H$305</formula>
    </cfRule>
  </conditionalFormatting>
  <conditionalFormatting sqref="I165:I166 I226:I227 I263 I287:I292 I302:I304 I412:I416 I428:I430 I433:I434 H690:H1048576 I20:I21">
    <cfRule type="cellIs" dxfId="204" priority="5108" operator="equal">
      <formula>"IPCOMS"</formula>
    </cfRule>
  </conditionalFormatting>
  <conditionalFormatting sqref="J1:J578 J594:J608 J690:J1048576">
    <cfRule type="containsText" dxfId="203" priority="5569" operator="containsText" text="domo">
      <formula>NOT(ISERROR(SEARCH("domo",J1)))</formula>
    </cfRule>
  </conditionalFormatting>
  <conditionalFormatting sqref="J1:J589">
    <cfRule type="cellIs" dxfId="202" priority="2901" operator="equal">
      <formula>$J$10</formula>
    </cfRule>
  </conditionalFormatting>
  <conditionalFormatting sqref="J34:J35 J158:N234 J238:N410 J435:N578">
    <cfRule type="containsText" dxfId="201" priority="5036" operator="containsText" text="Radio">
      <formula>NOT(ISERROR(SEARCH("Radio",J34)))</formula>
    </cfRule>
  </conditionalFormatting>
  <conditionalFormatting sqref="J135:J148 L148:N148">
    <cfRule type="containsText" dxfId="200" priority="5050" operator="containsText" text="Radio">
      <formula>NOT(ISERROR(SEARCH("Radio",J135)))</formula>
    </cfRule>
  </conditionalFormatting>
  <conditionalFormatting sqref="J412:J416">
    <cfRule type="containsText" dxfId="199" priority="5069" operator="containsText" text="Radio">
      <formula>NOT(ISERROR(SEARCH("Radio",J412)))</formula>
    </cfRule>
  </conditionalFormatting>
  <conditionalFormatting sqref="J580">
    <cfRule type="containsText" dxfId="198" priority="5510" operator="containsText" text="domo">
      <formula>NOT(ISERROR(SEARCH("domo",J580)))</formula>
    </cfRule>
    <cfRule type="containsText" dxfId="197" priority="5509" operator="containsText" text="fija">
      <formula>NOT(ISERROR(SEARCH("fija",J580)))</formula>
    </cfRule>
    <cfRule type="containsText" dxfId="196" priority="5511" operator="containsText" text="Radio">
      <formula>NOT(ISERROR(SEARCH("Radio",J580)))</formula>
    </cfRule>
  </conditionalFormatting>
  <conditionalFormatting sqref="J580:J581">
    <cfRule type="containsText" dxfId="195" priority="5505" operator="containsText" text="domo">
      <formula>NOT(ISERROR(SEARCH("domo",J580)))</formula>
    </cfRule>
    <cfRule type="containsText" dxfId="194" priority="5504" operator="containsText" text="fija">
      <formula>NOT(ISERROR(SEARCH("fija",J580)))</formula>
    </cfRule>
  </conditionalFormatting>
  <conditionalFormatting sqref="J581">
    <cfRule type="containsText" dxfId="193" priority="5503" operator="containsText" text="domo">
      <formula>NOT(ISERROR(SEARCH("domo",J581)))</formula>
    </cfRule>
    <cfRule type="containsText" dxfId="192" priority="5506" operator="containsText" text="Radio">
      <formula>NOT(ISERROR(SEARCH("Radio",J581)))</formula>
    </cfRule>
    <cfRule type="containsText" dxfId="191" priority="5502" operator="containsText" text="fija">
      <formula>NOT(ISERROR(SEARCH("fija",J581)))</formula>
    </cfRule>
  </conditionalFormatting>
  <conditionalFormatting sqref="J584">
    <cfRule type="containsText" dxfId="190" priority="5500" operator="containsText" text="domo">
      <formula>NOT(ISERROR(SEARCH("domo",J584)))</formula>
    </cfRule>
    <cfRule type="containsText" dxfId="189" priority="5499" operator="containsText" text="fija">
      <formula>NOT(ISERROR(SEARCH("fija",J584)))</formula>
    </cfRule>
    <cfRule type="containsText" dxfId="188" priority="5501" operator="containsText" text="Radio">
      <formula>NOT(ISERROR(SEARCH("Radio",J584)))</formula>
    </cfRule>
  </conditionalFormatting>
  <conditionalFormatting sqref="J584:J585">
    <cfRule type="containsText" dxfId="187" priority="5495" operator="containsText" text="domo">
      <formula>NOT(ISERROR(SEARCH("domo",J584)))</formula>
    </cfRule>
    <cfRule type="containsText" dxfId="186" priority="5494" operator="containsText" text="fija">
      <formula>NOT(ISERROR(SEARCH("fija",J584)))</formula>
    </cfRule>
  </conditionalFormatting>
  <conditionalFormatting sqref="J585 J48:N134 K135:K136 J236:K237 J411:K411 K412:K416 J417:N432 J433:K434 J690:N1048576 J594:N608 M411:N411 L411:L416">
    <cfRule type="containsText" dxfId="185" priority="5496" operator="containsText" text="Radio">
      <formula>NOT(ISERROR(SEARCH("Radio",J48)))</formula>
    </cfRule>
  </conditionalFormatting>
  <conditionalFormatting sqref="J585:J586">
    <cfRule type="containsText" dxfId="184" priority="5490" operator="containsText" text="domo">
      <formula>NOT(ISERROR(SEARCH("domo",J585)))</formula>
    </cfRule>
    <cfRule type="containsText" dxfId="183" priority="5489" operator="containsText" text="fija">
      <formula>NOT(ISERROR(SEARCH("fija",J585)))</formula>
    </cfRule>
  </conditionalFormatting>
  <conditionalFormatting sqref="J586">
    <cfRule type="containsText" dxfId="182" priority="5491" operator="containsText" text="Radio">
      <formula>NOT(ISERROR(SEARCH("Radio",J586)))</formula>
    </cfRule>
  </conditionalFormatting>
  <conditionalFormatting sqref="J586:J587">
    <cfRule type="containsText" dxfId="181" priority="5485" operator="containsText" text="domo">
      <formula>NOT(ISERROR(SEARCH("domo",J586)))</formula>
    </cfRule>
    <cfRule type="containsText" dxfId="180" priority="5484" operator="containsText" text="fija">
      <formula>NOT(ISERROR(SEARCH("fija",J586)))</formula>
    </cfRule>
  </conditionalFormatting>
  <conditionalFormatting sqref="J587">
    <cfRule type="containsText" dxfId="179" priority="5486" operator="containsText" text="Radio">
      <formula>NOT(ISERROR(SEARCH("Radio",J587)))</formula>
    </cfRule>
    <cfRule type="containsText" dxfId="178" priority="5483" operator="containsText" text="domo">
      <formula>NOT(ISERROR(SEARCH("domo",J587)))</formula>
    </cfRule>
    <cfRule type="containsText" dxfId="177" priority="5482" operator="containsText" text="fija">
      <formula>NOT(ISERROR(SEARCH("fija",J587)))</formula>
    </cfRule>
  </conditionalFormatting>
  <conditionalFormatting sqref="J590:J608 J690:J1048576">
    <cfRule type="cellIs" dxfId="176" priority="5564" operator="equal">
      <formula>$J$10</formula>
    </cfRule>
  </conditionalFormatting>
  <conditionalFormatting sqref="J592">
    <cfRule type="containsText" dxfId="175" priority="5781" operator="containsText" text="domo">
      <formula>NOT(ISERROR(SEARCH("domo",J592)))</formula>
    </cfRule>
    <cfRule type="containsText" dxfId="174" priority="5780" operator="containsText" text="fija">
      <formula>NOT(ISERROR(SEARCH("fija",J592)))</formula>
    </cfRule>
  </conditionalFormatting>
  <conditionalFormatting sqref="J594:J608 J690:J1048576 J1:J578">
    <cfRule type="containsText" dxfId="173" priority="5568" operator="containsText" text="fija">
      <formula>NOT(ISERROR(SEARCH("fija",J1)))</formula>
    </cfRule>
  </conditionalFormatting>
  <conditionalFormatting sqref="J595:J598">
    <cfRule type="containsText" dxfId="172" priority="5512" operator="containsText" text="fija">
      <formula>NOT(ISERROR(SEARCH("fija",J595)))</formula>
    </cfRule>
    <cfRule type="containsText" dxfId="171" priority="5513" operator="containsText" text="domo">
      <formula>NOT(ISERROR(SEARCH("domo",J595)))</formula>
    </cfRule>
  </conditionalFormatting>
  <conditionalFormatting sqref="J235:K235">
    <cfRule type="containsText" dxfId="170" priority="5071" operator="containsText" text="Radio">
      <formula>NOT(ISERROR(SEARCH("Radio",J235)))</formula>
    </cfRule>
  </conditionalFormatting>
  <conditionalFormatting sqref="J37:L47">
    <cfRule type="containsText" dxfId="169" priority="5041" operator="containsText" text="Radio">
      <formula>NOT(ISERROR(SEARCH("Radio",J37)))</formula>
    </cfRule>
  </conditionalFormatting>
  <conditionalFormatting sqref="J1:N36">
    <cfRule type="containsText" dxfId="168" priority="5106" operator="containsText" text="Radio">
      <formula>NOT(ISERROR(SEARCH("Radio",J1)))</formula>
    </cfRule>
  </conditionalFormatting>
  <conditionalFormatting sqref="J149:N156 J157">
    <cfRule type="containsText" dxfId="167" priority="5044" operator="containsText" text="Radio">
      <formula>NOT(ISERROR(SEARCH("Radio",J149)))</formula>
    </cfRule>
  </conditionalFormatting>
  <conditionalFormatting sqref="J592:N592 K593">
    <cfRule type="containsText" dxfId="166" priority="6037" operator="containsText" text="Radio">
      <formula>NOT(ISERROR(SEARCH("Radio",J592)))</formula>
    </cfRule>
  </conditionalFormatting>
  <conditionalFormatting sqref="K1:K136 K163:K588 K690:K1048576">
    <cfRule type="cellIs" dxfId="165" priority="5109" operator="equal">
      <formula>"GPON"</formula>
    </cfRule>
    <cfRule type="cellIs" dxfId="164" priority="5110" operator="equal">
      <formula>"GPON"</formula>
    </cfRule>
  </conditionalFormatting>
  <conditionalFormatting sqref="K139">
    <cfRule type="cellIs" dxfId="163" priority="5102" operator="equal">
      <formula>"PTP A FO"</formula>
    </cfRule>
    <cfRule type="cellIs" dxfId="162" priority="5100" operator="equal">
      <formula>$K$13</formula>
    </cfRule>
    <cfRule type="containsText" dxfId="161" priority="5099" operator="containsText" text="Radio">
      <formula>NOT(ISERROR(SEARCH("Radio",K139)))</formula>
    </cfRule>
    <cfRule type="cellIs" dxfId="160" priority="5098" operator="equal">
      <formula>"GPON"</formula>
    </cfRule>
    <cfRule type="cellIs" dxfId="159" priority="5097" operator="equal">
      <formula>"GPON"</formula>
    </cfRule>
    <cfRule type="cellIs" dxfId="158" priority="5101" operator="equal">
      <formula>"PTP A FO"</formula>
    </cfRule>
  </conditionalFormatting>
  <conditionalFormatting sqref="K142:K149">
    <cfRule type="containsText" dxfId="157" priority="5074" operator="containsText" text="Radio">
      <formula>NOT(ISERROR(SEARCH("Radio",K142)))</formula>
    </cfRule>
    <cfRule type="cellIs" dxfId="156" priority="5076" operator="equal">
      <formula>"PTP A FO"</formula>
    </cfRule>
    <cfRule type="cellIs" dxfId="155" priority="5077" operator="equal">
      <formula>"PTP A FO"</formula>
    </cfRule>
    <cfRule type="cellIs" dxfId="154" priority="5075" operator="equal">
      <formula>$K$13</formula>
    </cfRule>
  </conditionalFormatting>
  <conditionalFormatting sqref="K142:K156">
    <cfRule type="cellIs" dxfId="153" priority="5043" operator="equal">
      <formula>"GPON"</formula>
    </cfRule>
    <cfRule type="cellIs" dxfId="152" priority="5042" operator="equal">
      <formula>"GPON"</formula>
    </cfRule>
  </conditionalFormatting>
  <conditionalFormatting sqref="K146:K147">
    <cfRule type="cellIs" dxfId="151" priority="5040" operator="equal">
      <formula>"PTP A FO"</formula>
    </cfRule>
    <cfRule type="cellIs" dxfId="150" priority="5039" operator="equal">
      <formula>"PTP A FO"</formula>
    </cfRule>
    <cfRule type="cellIs" dxfId="149" priority="5038" operator="equal">
      <formula>$K$13</formula>
    </cfRule>
    <cfRule type="containsText" dxfId="148" priority="5037" operator="containsText" text="Radio">
      <formula>NOT(ISERROR(SEARCH("Radio",K146)))</formula>
    </cfRule>
  </conditionalFormatting>
  <conditionalFormatting sqref="K157:K162">
    <cfRule type="cellIs" dxfId="147" priority="443" operator="equal">
      <formula>"GPON"</formula>
    </cfRule>
    <cfRule type="cellIs" dxfId="146" priority="444" operator="equal">
      <formula>"GPON"</formula>
    </cfRule>
  </conditionalFormatting>
  <conditionalFormatting sqref="K235:K237">
    <cfRule type="cellIs" dxfId="145" priority="5090" operator="equal">
      <formula>"PTP A FO"</formula>
    </cfRule>
    <cfRule type="cellIs" dxfId="144" priority="5089" operator="equal">
      <formula>"PTP A FO"</formula>
    </cfRule>
    <cfRule type="cellIs" dxfId="143" priority="5088" operator="equal">
      <formula>$K$13</formula>
    </cfRule>
  </conditionalFormatting>
  <conditionalFormatting sqref="K236:K237">
    <cfRule type="cellIs" dxfId="142" priority="5086" operator="equal">
      <formula>"PTP A FO"</formula>
    </cfRule>
    <cfRule type="cellIs" dxfId="141" priority="5085" operator="equal">
      <formula>"PTP A FO"</formula>
    </cfRule>
    <cfRule type="cellIs" dxfId="140" priority="5084" operator="equal">
      <formula>$K$13</formula>
    </cfRule>
  </conditionalFormatting>
  <conditionalFormatting sqref="K433:K434">
    <cfRule type="containsText" dxfId="139" priority="5093" operator="containsText" text="Radio">
      <formula>NOT(ISERROR(SEARCH("Radio",K433)))</formula>
    </cfRule>
    <cfRule type="cellIs" dxfId="138" priority="5094" operator="equal">
      <formula>$K$13</formula>
    </cfRule>
    <cfRule type="cellIs" dxfId="137" priority="5095" operator="equal">
      <formula>"PTP A FO"</formula>
    </cfRule>
    <cfRule type="cellIs" dxfId="136" priority="5096" operator="equal">
      <formula>"PTP A FO"</formula>
    </cfRule>
  </conditionalFormatting>
  <conditionalFormatting sqref="K579">
    <cfRule type="cellIs" dxfId="135" priority="5160" operator="equal">
      <formula>"PTP A FO"</formula>
    </cfRule>
    <cfRule type="containsText" dxfId="134" priority="5159" operator="containsText" text="Radio">
      <formula>NOT(ISERROR(SEARCH("Radio",K579)))</formula>
    </cfRule>
  </conditionalFormatting>
  <conditionalFormatting sqref="K589:K608">
    <cfRule type="cellIs" dxfId="133" priority="2898" operator="equal">
      <formula>"GPON"</formula>
    </cfRule>
    <cfRule type="cellIs" dxfId="132" priority="2897" operator="equal">
      <formula>"GPON"</formula>
    </cfRule>
  </conditionalFormatting>
  <conditionalFormatting sqref="K1:L134 K135:K136 K163:L234 K238:L432 K433:K434 K435:L578 K592:L592 K593 K594:L608 K690:L1048576">
    <cfRule type="cellIs" dxfId="131" priority="5761" operator="equal">
      <formula>"PTP A FO"</formula>
    </cfRule>
  </conditionalFormatting>
  <conditionalFormatting sqref="K1:L134 K135:K136 K163:L234 K238:L432 K433:K434 K435:L588 K590:L608 K690:L1048576">
    <cfRule type="cellIs" dxfId="130" priority="5566" operator="equal">
      <formula>"PTP A FO"</formula>
    </cfRule>
  </conditionalFormatting>
  <conditionalFormatting sqref="K1:L134 K135:K136 K238:L432 K433:K434 K590:L608 K690:L1048576 K435:L588 K163:L234">
    <cfRule type="cellIs" dxfId="129" priority="5565" operator="equal">
      <formula>$K$13</formula>
    </cfRule>
  </conditionalFormatting>
  <conditionalFormatting sqref="K149:L156 K158:L162">
    <cfRule type="cellIs" dxfId="128" priority="5047" operator="equal">
      <formula>"PTP A FO"</formula>
    </cfRule>
    <cfRule type="cellIs" dxfId="127" priority="5045" operator="equal">
      <formula>$K$13</formula>
    </cfRule>
    <cfRule type="cellIs" dxfId="126" priority="5046" operator="equal">
      <formula>"PTP A FO"</formula>
    </cfRule>
  </conditionalFormatting>
  <conditionalFormatting sqref="K157:L157">
    <cfRule type="cellIs" dxfId="125" priority="446" operator="equal">
      <formula>$K$13</formula>
    </cfRule>
    <cfRule type="containsText" dxfId="124" priority="445" operator="containsText" text="Radio">
      <formula>NOT(ISERROR(SEARCH("Radio",K157)))</formula>
    </cfRule>
    <cfRule type="cellIs" dxfId="123" priority="447" operator="equal">
      <formula>"PTP A FO"</formula>
    </cfRule>
    <cfRule type="cellIs" dxfId="122" priority="448" operator="equal">
      <formula>"PTP A FO"</formula>
    </cfRule>
  </conditionalFormatting>
  <conditionalFormatting sqref="K589:L589">
    <cfRule type="cellIs" dxfId="121" priority="2902" operator="equal">
      <formula>$K$13</formula>
    </cfRule>
    <cfRule type="cellIs" dxfId="120" priority="2903" operator="equal">
      <formula>"PTP A FO"</formula>
    </cfRule>
  </conditionalFormatting>
  <conditionalFormatting sqref="L148">
    <cfRule type="cellIs" dxfId="119" priority="5053" operator="equal">
      <formula>"PTP A FO"</formula>
    </cfRule>
    <cfRule type="cellIs" dxfId="118" priority="5052" operator="equal">
      <formula>"PTP A FO"</formula>
    </cfRule>
    <cfRule type="cellIs" dxfId="117" priority="5051" operator="equal">
      <formula>$K$13</formula>
    </cfRule>
  </conditionalFormatting>
  <conditionalFormatting sqref="M157:N157">
    <cfRule type="containsText" dxfId="116" priority="442" operator="containsText" text="Radio">
      <formula>NOT(ISERROR(SEARCH("Radio",M157)))</formula>
    </cfRule>
  </conditionalFormatting>
  <conditionalFormatting sqref="R7:R406 R408:R608">
    <cfRule type="cellIs" dxfId="115" priority="5997" operator="greaterThan">
      <formula>0.8</formula>
    </cfRule>
    <cfRule type="cellIs" dxfId="114" priority="5996" operator="lessThan">
      <formula>0.8</formula>
    </cfRule>
  </conditionalFormatting>
  <conditionalFormatting sqref="S36:T43">
    <cfRule type="cellIs" dxfId="113" priority="996" operator="equal">
      <formula>"APAGADO"</formula>
    </cfRule>
  </conditionalFormatting>
  <conditionalFormatting sqref="S426:T434">
    <cfRule type="cellIs" dxfId="112" priority="954" operator="equal">
      <formula>"APAGADO"</formula>
    </cfRule>
  </conditionalFormatting>
  <conditionalFormatting sqref="S353:U369">
    <cfRule type="cellIs" dxfId="111" priority="871" operator="equal">
      <formula>"APAGADO"</formula>
    </cfRule>
  </conditionalFormatting>
  <conditionalFormatting sqref="S412:U415">
    <cfRule type="cellIs" dxfId="110" priority="2092" operator="equal">
      <formula>"APAGADO"</formula>
    </cfRule>
  </conditionalFormatting>
  <conditionalFormatting sqref="S435:W435 Y435:AD435">
    <cfRule type="cellIs" dxfId="109" priority="3794" operator="equal">
      <formula>"APAGADO"</formula>
    </cfRule>
  </conditionalFormatting>
  <conditionalFormatting sqref="S416:Z417">
    <cfRule type="cellIs" dxfId="108" priority="684" operator="equal">
      <formula>"APAGADO"</formula>
    </cfRule>
  </conditionalFormatting>
  <conditionalFormatting sqref="S121:AA121">
    <cfRule type="cellIs" dxfId="107" priority="3887" operator="equal">
      <formula>"APAGADO"</formula>
    </cfRule>
  </conditionalFormatting>
  <conditionalFormatting sqref="S436:AD436">
    <cfRule type="cellIs" dxfId="106" priority="664" operator="equal">
      <formula>"APAGADO"</formula>
    </cfRule>
  </conditionalFormatting>
  <conditionalFormatting sqref="S333:AK336">
    <cfRule type="cellIs" dxfId="105" priority="343" operator="equal">
      <formula>"APAGADO"</formula>
    </cfRule>
  </conditionalFormatting>
  <conditionalFormatting sqref="S337:AT352">
    <cfRule type="cellIs" dxfId="104" priority="22" operator="equal">
      <formula>"APAGADO"</formula>
    </cfRule>
  </conditionalFormatting>
  <conditionalFormatting sqref="S370:AT406">
    <cfRule type="cellIs" dxfId="103" priority="19" operator="equal">
      <formula>"APAGADO"</formula>
    </cfRule>
  </conditionalFormatting>
  <conditionalFormatting sqref="S408:AT411">
    <cfRule type="cellIs" dxfId="102" priority="18" operator="equal">
      <formula>"APAGADO"</formula>
    </cfRule>
  </conditionalFormatting>
  <conditionalFormatting sqref="S8:AV35">
    <cfRule type="cellIs" dxfId="101" priority="1004" operator="equal">
      <formula>"APAGADO"</formula>
    </cfRule>
  </conditionalFormatting>
  <conditionalFormatting sqref="S44:AV120">
    <cfRule type="cellIs" dxfId="100" priority="94" operator="equal">
      <formula>"APAGADO"</formula>
    </cfRule>
  </conditionalFormatting>
  <conditionalFormatting sqref="S122:AV234">
    <cfRule type="cellIs" dxfId="99" priority="29" operator="equal">
      <formula>"APAGADO"</formula>
    </cfRule>
  </conditionalFormatting>
  <conditionalFormatting sqref="S238:AV332">
    <cfRule type="cellIs" dxfId="98" priority="24" operator="equal">
      <formula>"APAGADO"</formula>
    </cfRule>
  </conditionalFormatting>
  <conditionalFormatting sqref="S418:AV425">
    <cfRule type="cellIs" dxfId="97" priority="12" operator="equal">
      <formula>"APAGADO"</formula>
    </cfRule>
  </conditionalFormatting>
  <conditionalFormatting sqref="S437:AV608">
    <cfRule type="cellIs" dxfId="96" priority="5" operator="equal">
      <formula>"APAGADO"</formula>
    </cfRule>
  </conditionalFormatting>
  <conditionalFormatting sqref="S690:AV766 AC690:AN1048576">
    <cfRule type="cellIs" dxfId="95" priority="5143" operator="equal">
      <formula>"apagado"</formula>
    </cfRule>
  </conditionalFormatting>
  <conditionalFormatting sqref="S690:AV1048576">
    <cfRule type="notContainsText" dxfId="94" priority="6026" operator="notContains" text="Caida">
      <formula>ISERROR(SEARCH("Caida",S690))</formula>
    </cfRule>
    <cfRule type="containsText" dxfId="93" priority="5693" operator="containsText" text="Caida">
      <formula>NOT(ISERROR(SEARCH("Caida",S690)))</formula>
    </cfRule>
  </conditionalFormatting>
  <conditionalFormatting sqref="U690:U1209">
    <cfRule type="containsText" dxfId="92" priority="5323" operator="containsText" text="Caida">
      <formula>NOT(ISERROR(SEARCH("Caida",U690)))</formula>
    </cfRule>
    <cfRule type="notContainsText" dxfId="91" priority="5322" operator="notContains" text="Caida">
      <formula>ISERROR(SEARCH("Caida",U690))</formula>
    </cfRule>
    <cfRule type="cellIs" dxfId="90" priority="5452" operator="equal">
      <formula>"APAGADO"</formula>
    </cfRule>
    <cfRule type="cellIs" dxfId="89" priority="5348" operator="greaterThan">
      <formula>0.8</formula>
    </cfRule>
    <cfRule type="cellIs" dxfId="88" priority="5325" operator="greaterThan">
      <formula>0.8</formula>
    </cfRule>
    <cfRule type="cellIs" dxfId="87" priority="5324" operator="lessThan">
      <formula>0.8</formula>
    </cfRule>
  </conditionalFormatting>
  <conditionalFormatting sqref="U690:U1048576">
    <cfRule type="cellIs" dxfId="86" priority="5342" operator="equal">
      <formula>$U$16</formula>
    </cfRule>
  </conditionalFormatting>
  <conditionalFormatting sqref="U37:W38">
    <cfRule type="cellIs" dxfId="85" priority="3855" operator="equal">
      <formula>"APAGADO"</formula>
    </cfRule>
  </conditionalFormatting>
  <conditionalFormatting sqref="U434:W434">
    <cfRule type="cellIs" dxfId="84" priority="1971" operator="equal">
      <formula>"APAGADO"</formula>
    </cfRule>
  </conditionalFormatting>
  <conditionalFormatting sqref="U39:AG40">
    <cfRule type="cellIs" dxfId="83" priority="1702" operator="equal">
      <formula>"APAGADO"</formula>
    </cfRule>
  </conditionalFormatting>
  <conditionalFormatting sqref="U36:AV36">
    <cfRule type="cellIs" dxfId="82" priority="1279" operator="equal">
      <formula>"APAGADO"</formula>
    </cfRule>
  </conditionalFormatting>
  <conditionalFormatting sqref="U41:AV43">
    <cfRule type="cellIs" dxfId="81" priority="716" operator="equal">
      <formula>"APAGADO"</formula>
    </cfRule>
  </conditionalFormatting>
  <conditionalFormatting sqref="U426:AV432">
    <cfRule type="cellIs" dxfId="80" priority="593" operator="equal">
      <formula>"APAGADO"</formula>
    </cfRule>
  </conditionalFormatting>
  <conditionalFormatting sqref="V236:W236">
    <cfRule type="cellIs" dxfId="79" priority="3867" operator="equal">
      <formula>"APAGADO"</formula>
    </cfRule>
  </conditionalFormatting>
  <conditionalFormatting sqref="V353:AT359">
    <cfRule type="cellIs" dxfId="78" priority="688" operator="equal">
      <formula>"APAGADO"</formula>
    </cfRule>
  </conditionalFormatting>
  <conditionalFormatting sqref="V361:AT369">
    <cfRule type="cellIs" dxfId="77" priority="1247" operator="equal">
      <formula>"APAGADO"</formula>
    </cfRule>
  </conditionalFormatting>
  <conditionalFormatting sqref="X434:X435">
    <cfRule type="cellIs" dxfId="76" priority="3723" operator="equal">
      <formula>"APAGADO"</formula>
    </cfRule>
  </conditionalFormatting>
  <conditionalFormatting sqref="X415:Z415">
    <cfRule type="cellIs" dxfId="75" priority="3442" operator="equal">
      <formula>"APAGADO"</formula>
    </cfRule>
  </conditionalFormatting>
  <conditionalFormatting sqref="X38:AG38">
    <cfRule type="cellIs" dxfId="74" priority="4919" operator="equal">
      <formula>"APAGADO"</formula>
    </cfRule>
  </conditionalFormatting>
  <conditionalFormatting sqref="X37:AJ37 AF235:AF237 V360:AH360 AJ360:AT360 AO690:AV1048576">
    <cfRule type="cellIs" dxfId="73" priority="5142" operator="equal">
      <formula>"APAGADO"</formula>
    </cfRule>
  </conditionalFormatting>
  <conditionalFormatting sqref="Y434:AO434">
    <cfRule type="cellIs" dxfId="72" priority="1365" operator="equal">
      <formula>"APAGADO"</formula>
    </cfRule>
  </conditionalFormatting>
  <conditionalFormatting sqref="Y407:AT407">
    <cfRule type="cellIs" dxfId="71" priority="3443" operator="equal">
      <formula>"APAGADO"</formula>
    </cfRule>
  </conditionalFormatting>
  <conditionalFormatting sqref="AA416:AP416">
    <cfRule type="cellIs" dxfId="70" priority="166" operator="equal">
      <formula>"APAGADO"</formula>
    </cfRule>
  </conditionalFormatting>
  <conditionalFormatting sqref="AA417:AU417">
    <cfRule type="cellIs" dxfId="69" priority="2683" operator="equal">
      <formula>"APAGADO"</formula>
    </cfRule>
  </conditionalFormatting>
  <conditionalFormatting sqref="AC121:AV121">
    <cfRule type="cellIs" dxfId="68" priority="4055" operator="equal">
      <formula>"APAGADO"</formula>
    </cfRule>
  </conditionalFormatting>
  <conditionalFormatting sqref="AD415:AI415">
    <cfRule type="cellIs" dxfId="67" priority="1796" operator="equal">
      <formula>"APAGADO"</formula>
    </cfRule>
  </conditionalFormatting>
  <conditionalFormatting sqref="AE435:AV436">
    <cfRule type="cellIs" dxfId="66" priority="588" operator="equal">
      <formula>"APAGADO"</formula>
    </cfRule>
  </conditionalFormatting>
  <conditionalFormatting sqref="AH236:AI236">
    <cfRule type="cellIs" dxfId="65" priority="4924" operator="equal">
      <formula>"APAGADO"</formula>
    </cfRule>
  </conditionalFormatting>
  <conditionalFormatting sqref="AH38:AV40">
    <cfRule type="cellIs" dxfId="64" priority="1128" operator="equal">
      <formula>"APAGADO"</formula>
    </cfRule>
  </conditionalFormatting>
  <conditionalFormatting sqref="AL334:AL336">
    <cfRule type="cellIs" dxfId="63" priority="293" operator="equal">
      <formula>"APAGADO"</formula>
    </cfRule>
  </conditionalFormatting>
  <conditionalFormatting sqref="AL333:AM333">
    <cfRule type="cellIs" dxfId="62" priority="301" operator="equal">
      <formula>"APAGADO"</formula>
    </cfRule>
  </conditionalFormatting>
  <conditionalFormatting sqref="AL236:AP236">
    <cfRule type="cellIs" dxfId="61" priority="4465" operator="equal">
      <formula>"APAGADO"</formula>
    </cfRule>
  </conditionalFormatting>
  <conditionalFormatting sqref="AL415:AP415">
    <cfRule type="cellIs" dxfId="60" priority="1489" operator="equal">
      <formula>"APAGADO"</formula>
    </cfRule>
  </conditionalFormatting>
  <conditionalFormatting sqref="AL37:AV37">
    <cfRule type="cellIs" dxfId="59" priority="4062" operator="equal">
      <formula>"APAGADO"</formula>
    </cfRule>
  </conditionalFormatting>
  <conditionalFormatting sqref="AM334:AM335">
    <cfRule type="cellIs" dxfId="58" priority="240" operator="equal">
      <formula>"APAGADO"</formula>
    </cfRule>
  </conditionalFormatting>
  <conditionalFormatting sqref="AM336:AR336">
    <cfRule type="cellIs" dxfId="57" priority="426" operator="equal">
      <formula>"APAGADO"</formula>
    </cfRule>
  </conditionalFormatting>
  <conditionalFormatting sqref="AN333:AR335">
    <cfRule type="cellIs" dxfId="56" priority="101" operator="equal">
      <formula>"APAGADO"</formula>
    </cfRule>
  </conditionalFormatting>
  <conditionalFormatting sqref="AR416:AU416">
    <cfRule type="cellIs" dxfId="55" priority="17" operator="equal">
      <formula>"APAGADO"</formula>
    </cfRule>
  </conditionalFormatting>
  <conditionalFormatting sqref="AR434:AU434">
    <cfRule type="cellIs" dxfId="54" priority="2257" operator="equal">
      <formula>"APAGADO"</formula>
    </cfRule>
  </conditionalFormatting>
  <conditionalFormatting sqref="AR236:AV236">
    <cfRule type="cellIs" dxfId="53" priority="4036" operator="equal">
      <formula>"APAGADO"</formula>
    </cfRule>
  </conditionalFormatting>
  <conditionalFormatting sqref="AS333:AT336">
    <cfRule type="cellIs" dxfId="52" priority="1" operator="equal">
      <formula>"APAGADO"</formula>
    </cfRule>
  </conditionalFormatting>
  <conditionalFormatting sqref="AU333:AV411">
    <cfRule type="cellIs" dxfId="51" priority="134" operator="equal">
      <formula>"APAGADO"</formula>
    </cfRule>
  </conditionalFormatting>
  <conditionalFormatting sqref="AV415:AV417">
    <cfRule type="cellIs" dxfId="50" priority="1106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 t="str">
        <f>'RESUMEN TOTAL'!AS71</f>
        <v>APAGADO</v>
      </c>
      <c r="AG48" s="70" t="str">
        <f>'RESUMEN TOTAL'!AT71</f>
        <v>APAGADO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 t="str">
        <f>'RESUMEN TOTAL'!AO77</f>
        <v>APAGADO</v>
      </c>
      <c r="AC54" s="70" t="str">
        <f>'RESUMEN TOTAL'!AP77</f>
        <v>APAGADO</v>
      </c>
      <c r="AD54" s="70">
        <f>'RESUMEN TOTAL'!AQ77</f>
        <v>0</v>
      </c>
      <c r="AE54" s="70">
        <f>'RESUMEN TOTAL'!AR77</f>
        <v>0</v>
      </c>
      <c r="AF54" s="70" t="str">
        <f>'RESUMEN TOTAL'!AS77</f>
        <v>APAGADO</v>
      </c>
      <c r="AG54" s="70" t="str">
        <f>'RESUMEN TOTAL'!AT77</f>
        <v>APAGADO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 t="str">
        <f>'RESUMEN TOTAL'!AT84</f>
        <v>APAGADO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 t="str">
        <f>'RESUMEN TOTAL'!AS110</f>
        <v>APAGADO</v>
      </c>
      <c r="AG87" s="70" t="str">
        <f>'RESUMEN TOTAL'!AT110</f>
        <v>APAGADO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 t="str">
        <f>'RESUMEN TOTAL'!AP131</f>
        <v>APAGADO</v>
      </c>
      <c r="AD108" s="70">
        <f>'RESUMEN TOTAL'!AQ131</f>
        <v>0</v>
      </c>
      <c r="AE108" s="70">
        <f>'RESUMEN TOTAL'!AR131</f>
        <v>0</v>
      </c>
      <c r="AF108" s="70" t="str">
        <f>'RESUMEN TOTAL'!AS131</f>
        <v>APAGADO</v>
      </c>
      <c r="AG108" s="70" t="str">
        <f>'RESUMEN TOTAL'!AT131</f>
        <v>APAGADO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 t="str">
        <f>'RESUMEN TOTAL'!AS149</f>
        <v>APAGADO</v>
      </c>
      <c r="AG112" s="70" t="str">
        <f>'RESUMEN TOTAL'!AT149</f>
        <v>APAGADO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 t="str">
        <f>'RESUMEN TOTAL'!AO172</f>
        <v>APAGADO</v>
      </c>
      <c r="AC128" s="70" t="str">
        <f>'RESUMEN TOTAL'!AP172</f>
        <v>APAGADO</v>
      </c>
      <c r="AD128" s="70">
        <f>'RESUMEN TOTAL'!AQ172</f>
        <v>0</v>
      </c>
      <c r="AE128" s="70">
        <f>'RESUMEN TOTAL'!AR172</f>
        <v>0</v>
      </c>
      <c r="AF128" s="70" t="str">
        <f>'RESUMEN TOTAL'!AS172</f>
        <v>APAGADO</v>
      </c>
      <c r="AG128" s="70" t="str">
        <f>'RESUMEN TOTAL'!AT172</f>
        <v>APAGADO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 t="str">
        <f>'RESUMEN TOTAL'!AP213</f>
        <v>APAGADO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 t="str">
        <f>'RESUMEN TOTAL'!AS217</f>
        <v>APAGADO</v>
      </c>
      <c r="AG164" s="70" t="str">
        <f>'RESUMEN TOTAL'!AT217</f>
        <v>APAGADO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 t="str">
        <f>'RESUMEN TOTAL'!AO231</f>
        <v>APAGADO</v>
      </c>
      <c r="AC173" s="70" t="str">
        <f>'RESUMEN TOTAL'!AP231</f>
        <v>APAGADO</v>
      </c>
      <c r="AD173" s="70">
        <f>'RESUMEN TOTAL'!AQ231</f>
        <v>0</v>
      </c>
      <c r="AE173" s="70">
        <f>'RESUMEN TOTAL'!AR231</f>
        <v>0</v>
      </c>
      <c r="AF173" s="70" t="str">
        <f>'RESUMEN TOTAL'!AS231</f>
        <v>APAGADO</v>
      </c>
      <c r="AG173" s="70" t="str">
        <f>'RESUMEN TOTAL'!AT231</f>
        <v>APAGADO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 t="str">
        <f>'RESUMEN TOTAL'!AO253</f>
        <v>APAGADO</v>
      </c>
      <c r="AC190" s="70" t="str">
        <f>'RESUMEN TOTAL'!AP253</f>
        <v>APAGADO</v>
      </c>
      <c r="AD190" s="70">
        <f>'RESUMEN TOTAL'!AQ253</f>
        <v>0</v>
      </c>
      <c r="AE190" s="70">
        <f>'RESUMEN TOTAL'!AR253</f>
        <v>0</v>
      </c>
      <c r="AF190" s="70" t="str">
        <f>'RESUMEN TOTAL'!AS253</f>
        <v>APAGADO</v>
      </c>
      <c r="AG190" s="70" t="str">
        <f>'RESUMEN TOTAL'!AT253</f>
        <v>APAGADO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 t="str">
        <f>'RESUMEN TOTAL'!AO255</f>
        <v>APAGADO</v>
      </c>
      <c r="AC192" s="70" t="str">
        <f>'RESUMEN TOTAL'!AP255</f>
        <v>APAGADO</v>
      </c>
      <c r="AD192" s="70">
        <f>'RESUMEN TOTAL'!AQ255</f>
        <v>0</v>
      </c>
      <c r="AE192" s="70">
        <f>'RESUMEN TOTAL'!AR255</f>
        <v>0</v>
      </c>
      <c r="AF192" s="70" t="str">
        <f>'RESUMEN TOTAL'!AS255</f>
        <v>APAGADO</v>
      </c>
      <c r="AG192" s="70" t="str">
        <f>'RESUMEN TOTAL'!AT255</f>
        <v>APAGADO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 t="str">
        <f>'RESUMEN TOTAL'!AO256</f>
        <v>APAGADO</v>
      </c>
      <c r="AC193" s="70" t="str">
        <f>'RESUMEN TOTAL'!AP256</f>
        <v>APAGADO</v>
      </c>
      <c r="AD193" s="70">
        <f>'RESUMEN TOTAL'!AQ256</f>
        <v>0</v>
      </c>
      <c r="AE193" s="70">
        <f>'RESUMEN TOTAL'!AR256</f>
        <v>0</v>
      </c>
      <c r="AF193" s="70" t="str">
        <f>'RESUMEN TOTAL'!AS256</f>
        <v>APAGADO</v>
      </c>
      <c r="AG193" s="70" t="str">
        <f>'RESUMEN TOTAL'!AT256</f>
        <v>APAGADO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 t="str">
        <f>'RESUMEN TOTAL'!AO257</f>
        <v>APAGADO</v>
      </c>
      <c r="AC194" s="70" t="str">
        <f>'RESUMEN TOTAL'!AP257</f>
        <v>APAGADO</v>
      </c>
      <c r="AD194" s="70">
        <f>'RESUMEN TOTAL'!AQ257</f>
        <v>0</v>
      </c>
      <c r="AE194" s="70">
        <f>'RESUMEN TOTAL'!AR257</f>
        <v>0</v>
      </c>
      <c r="AF194" s="70" t="str">
        <f>'RESUMEN TOTAL'!AS257</f>
        <v>APAGADO</v>
      </c>
      <c r="AG194" s="70" t="str">
        <f>'RESUMEN TOTAL'!AT257</f>
        <v>APAGADO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 t="str">
        <f>'RESUMEN TOTAL'!U264</f>
        <v>APAGADO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 t="str">
        <f>'RESUMEN TOTAL'!U265</f>
        <v>APAGADO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>
        <f>'RESUMEN TOTAL'!U273</f>
        <v>0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 t="str">
        <f>'RESUMEN TOTAL'!AT273</f>
        <v>APAGADO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 t="str">
        <f>'RESUMEN TOTAL'!T275</f>
        <v>APAGADO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 t="str">
        <f>'RESUMEN TOTAL'!T276</f>
        <v>APAGADO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 t="str">
        <f>'RESUMEN TOTAL'!AE276</f>
        <v>APAGADO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 t="str">
        <f>'RESUMEN TOTAL'!T277</f>
        <v>APAGADO</v>
      </c>
      <c r="H208" s="70" t="str">
        <f>'RESUMEN TOTAL'!U277</f>
        <v>APAGADO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 t="str">
        <f>'RESUMEN TOTAL'!T278</f>
        <v>APAGADO</v>
      </c>
      <c r="H209" s="70" t="str">
        <f>'RESUMEN TOTAL'!U278</f>
        <v>APAGADO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 t="str">
        <f>'RESUMEN TOTAL'!T281</f>
        <v>APAGADO</v>
      </c>
      <c r="H212" s="70">
        <f>'RESUMEN TOTAL'!U281</f>
        <v>0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 t="str">
        <f>'RESUMEN TOTAL'!AE281</f>
        <v>APAGADO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 t="str">
        <f>'RESUMEN TOTAL'!AI281</f>
        <v>APAGADO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 t="str">
        <f>'RESUMEN TOTAL'!S283</f>
        <v>APAGADO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 t="str">
        <f>'RESUMEN TOTAL'!AE285</f>
        <v>APAGADO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 t="str">
        <f>'RESUMEN TOTAL'!AS293</f>
        <v>APAGADO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 t="str">
        <f>'RESUMEN TOTAL'!AE294</f>
        <v>APAGADO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 t="str">
        <f>'RESUMEN TOTAL'!AE295</f>
        <v>APAGADO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 t="str">
        <f>'RESUMEN TOTAL'!AE296</f>
        <v>APAGADO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 t="str">
        <f>'RESUMEN TOTAL'!AS296</f>
        <v>APAGADO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>
        <f>'RESUMEN TOTAL'!U297</f>
        <v>0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 t="str">
        <f>'RESUMEN TOTAL'!AE297</f>
        <v>APAGADO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 t="str">
        <f>'RESUMEN TOTAL'!AT297</f>
        <v>APAGADO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>
        <f>'RESUMEN TOTAL'!U301</f>
        <v>0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 t="str">
        <f>'RESUMEN TOTAL'!AS301</f>
        <v>APAGADO</v>
      </c>
      <c r="AG226" s="70" t="str">
        <f>'RESUMEN TOTAL'!AT301</f>
        <v>APAGADO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>
        <f>'RESUMEN TOTAL'!U305</f>
        <v>0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 t="str">
        <f>'RESUMEN TOTAL'!Y305</f>
        <v>APAGADO</v>
      </c>
      <c r="M227" s="70" t="str">
        <f>'RESUMEN TOTAL'!Z305</f>
        <v>APAGADO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 t="str">
        <f>'RESUMEN TOTAL'!AE305</f>
        <v>APAGADO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>
        <f>'RESUMEN TOTAL'!U306</f>
        <v>0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 t="str">
        <f>'RESUMEN TOTAL'!Y306</f>
        <v>APAGADO</v>
      </c>
      <c r="M228" s="70" t="str">
        <f>'RESUMEN TOTAL'!Z306</f>
        <v>APAGADO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>
        <f>'RESUMEN TOTAL'!U307</f>
        <v>0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 t="str">
        <f>'RESUMEN TOTAL'!Y307</f>
        <v>APAGADO</v>
      </c>
      <c r="M229" s="70" t="str">
        <f>'RESUMEN TOTAL'!Z307</f>
        <v>APAGADO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>
        <f>'RESUMEN TOTAL'!U308</f>
        <v>0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 t="str">
        <f>'RESUMEN TOTAL'!Y308</f>
        <v>APAGADO</v>
      </c>
      <c r="M230" s="70" t="str">
        <f>'RESUMEN TOTAL'!Z308</f>
        <v>APAGADO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 t="str">
        <f>'RESUMEN TOTAL'!AL308</f>
        <v>APAGADO</v>
      </c>
      <c r="Z230" s="70" t="str">
        <f>'RESUMEN TOTAL'!AM308</f>
        <v>APAGADO</v>
      </c>
      <c r="AA230" s="70" t="str">
        <f>'RESUMEN TOTAL'!AN308</f>
        <v>APAGADO</v>
      </c>
      <c r="AB230" s="70" t="str">
        <f>'RESUMEN TOTAL'!AO308</f>
        <v>APAGADO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>
        <f>'RESUMEN TOTAL'!U309</f>
        <v>0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 t="str">
        <f>'RESUMEN TOTAL'!Y309</f>
        <v>APAGADO</v>
      </c>
      <c r="M231" s="70" t="str">
        <f>'RESUMEN TOTAL'!Z309</f>
        <v>APAGADO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 t="str">
        <f>'RESUMEN TOTAL'!AL309</f>
        <v>APAGADO</v>
      </c>
      <c r="Z231" s="70" t="str">
        <f>'RESUMEN TOTAL'!AM309</f>
        <v>APAGADO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 t="str">
        <f>'RESUMEN TOTAL'!AE312</f>
        <v>APAGADO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 t="str">
        <f>'RESUMEN TOTAL'!T313</f>
        <v>APAGADO</v>
      </c>
      <c r="H234" s="70" t="str">
        <f>'RESUMEN TOTAL'!U313</f>
        <v>APAGADO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 t="str">
        <f>'RESUMEN TOTAL'!AE313</f>
        <v>APAGADO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 t="str">
        <f>'RESUMEN TOTAL'!AL313</f>
        <v>APAGADO</v>
      </c>
      <c r="Z234" s="70" t="str">
        <f>'RESUMEN TOTAL'!AM313</f>
        <v>APAGADO</v>
      </c>
      <c r="AA234" s="70" t="str">
        <f>'RESUMEN TOTAL'!AN313</f>
        <v>APAGADO</v>
      </c>
      <c r="AB234" s="70" t="str">
        <f>'RESUMEN TOTAL'!AO313</f>
        <v>APAGADO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 t="str">
        <f>'RESUMEN TOTAL'!AS313</f>
        <v>APAGADO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 t="str">
        <f>'RESUMEN TOTAL'!T314</f>
        <v>APAGADO</v>
      </c>
      <c r="H235" s="70" t="str">
        <f>'RESUMEN TOTAL'!U314</f>
        <v>APAGADO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 t="str">
        <f>'RESUMEN TOTAL'!AL314</f>
        <v>APAGADO</v>
      </c>
      <c r="Z235" s="70" t="str">
        <f>'RESUMEN TOTAL'!AM314</f>
        <v>APAGADO</v>
      </c>
      <c r="AA235" s="70" t="str">
        <f>'RESUMEN TOTAL'!AN314</f>
        <v>APAGADO</v>
      </c>
      <c r="AB235" s="70" t="str">
        <f>'RESUMEN TOTAL'!AO314</f>
        <v>APAGADO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 t="str">
        <f>'RESUMEN TOTAL'!AS314</f>
        <v>APAGADO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 t="str">
        <f>'RESUMEN TOTAL'!T315</f>
        <v>APAGADO</v>
      </c>
      <c r="H236" s="70" t="str">
        <f>'RESUMEN TOTAL'!U315</f>
        <v>APAGADO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 t="str">
        <f>'RESUMEN TOTAL'!AL315</f>
        <v>APAGADO</v>
      </c>
      <c r="Z236" s="70" t="str">
        <f>'RESUMEN TOTAL'!AM315</f>
        <v>APAGADO</v>
      </c>
      <c r="AA236" s="70" t="str">
        <f>'RESUMEN TOTAL'!AN315</f>
        <v>APAGADO</v>
      </c>
      <c r="AB236" s="70" t="str">
        <f>'RESUMEN TOTAL'!AO315</f>
        <v>APAGADO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 t="str">
        <f>'RESUMEN TOTAL'!AS315</f>
        <v>APAGADO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 t="str">
        <f>'RESUMEN TOTAL'!T316</f>
        <v>APAGADO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 t="str">
        <f>'RESUMEN TOTAL'!T317</f>
        <v>APAGADO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 t="str">
        <f>'RESUMEN TOTAL'!T318</f>
        <v>APAGADO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 t="str">
        <f>'RESUMEN TOTAL'!S319</f>
        <v>APAGADO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>
        <f>'RESUMEN TOTAL'!U320</f>
        <v>0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 t="str">
        <f>'RESUMEN TOTAL'!AE320</f>
        <v>APAGADO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 t="str">
        <f>'RESUMEN TOTAL'!AN320</f>
        <v>APAGADO</v>
      </c>
      <c r="AB241" s="70" t="str">
        <f>'RESUMEN TOTAL'!AO320</f>
        <v>APAGADO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>
        <f>'RESUMEN TOTAL'!U321</f>
        <v>0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>
        <f>'RESUMEN TOTAL'!U322</f>
        <v>0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 t="str">
        <f>'RESUMEN TOTAL'!S324</f>
        <v>APAGADO</v>
      </c>
      <c r="G244" s="70" t="str">
        <f>'RESUMEN TOTAL'!T324</f>
        <v>APAGADO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 t="str">
        <f>'RESUMEN TOTAL'!X324</f>
        <v>APAGADO</v>
      </c>
      <c r="L244" s="70" t="str">
        <f>'RESUMEN TOTAL'!Y324</f>
        <v>APAGADO</v>
      </c>
      <c r="M244" s="70" t="str">
        <f>'RESUMEN TOTAL'!Z324</f>
        <v>APAGADO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 t="str">
        <f>'RESUMEN TOTAL'!AE324</f>
        <v>APAGADO</v>
      </c>
      <c r="S244" s="70" t="str">
        <f>'RESUMEN TOTAL'!AF324</f>
        <v>APAGADO</v>
      </c>
      <c r="T244" s="70" t="str">
        <f>'RESUMEN TOTAL'!AG324</f>
        <v>APAGADO</v>
      </c>
      <c r="U244" s="70" t="str">
        <f>'RESUMEN TOTAL'!AH324</f>
        <v>APAGADO</v>
      </c>
      <c r="V244" s="70" t="str">
        <f>'RESUMEN TOTAL'!AI324</f>
        <v>APAGADO</v>
      </c>
      <c r="W244" s="70">
        <f>'RESUMEN TOTAL'!AJ324</f>
        <v>0</v>
      </c>
      <c r="X244" s="70">
        <f>'RESUMEN TOTAL'!AK324</f>
        <v>0</v>
      </c>
      <c r="Y244" s="70" t="str">
        <f>'RESUMEN TOTAL'!AL324</f>
        <v>APAGADO</v>
      </c>
      <c r="Z244" s="70" t="str">
        <f>'RESUMEN TOTAL'!AM324</f>
        <v>APAGADO</v>
      </c>
      <c r="AA244" s="70" t="str">
        <f>'RESUMEN TOTAL'!AN324</f>
        <v>APAGADO</v>
      </c>
      <c r="AB244" s="70" t="str">
        <f>'RESUMEN TOTAL'!AO324</f>
        <v>APAGADO</v>
      </c>
      <c r="AC244" s="70" t="str">
        <f>'RESUMEN TOTAL'!AP324</f>
        <v>APAGADO</v>
      </c>
      <c r="AD244" s="70">
        <f>'RESUMEN TOTAL'!AQ324</f>
        <v>0</v>
      </c>
      <c r="AE244" s="70">
        <f>'RESUMEN TOTAL'!AR324</f>
        <v>0</v>
      </c>
      <c r="AF244" s="70" t="str">
        <f>'RESUMEN TOTAL'!AS324</f>
        <v>APAGADO</v>
      </c>
      <c r="AG244" s="70" t="str">
        <f>'RESUMEN TOTAL'!AT324</f>
        <v>APAGADO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 t="str">
        <f>'RESUMEN TOTAL'!S326</f>
        <v>APAGADO</v>
      </c>
      <c r="G246" s="70" t="str">
        <f>'RESUMEN TOTAL'!T326</f>
        <v>APAGADO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 t="str">
        <f>'RESUMEN TOTAL'!X326</f>
        <v>APAGADO</v>
      </c>
      <c r="L246" s="70" t="str">
        <f>'RESUMEN TOTAL'!Y326</f>
        <v>APAGADO</v>
      </c>
      <c r="M246" s="70" t="str">
        <f>'RESUMEN TOTAL'!Z326</f>
        <v>APAGADO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 t="str">
        <f>'RESUMEN TOTAL'!AE326</f>
        <v>APAGADO</v>
      </c>
      <c r="S246" s="70" t="str">
        <f>'RESUMEN TOTAL'!AF326</f>
        <v>APAGADO</v>
      </c>
      <c r="T246" s="70" t="str">
        <f>'RESUMEN TOTAL'!AG326</f>
        <v>APAGADO</v>
      </c>
      <c r="U246" s="70" t="str">
        <f>'RESUMEN TOTAL'!AH326</f>
        <v>APAGADO</v>
      </c>
      <c r="V246" s="70" t="str">
        <f>'RESUMEN TOTAL'!AI326</f>
        <v>APAGADO</v>
      </c>
      <c r="W246" s="70">
        <f>'RESUMEN TOTAL'!AJ326</f>
        <v>0</v>
      </c>
      <c r="X246" s="70">
        <f>'RESUMEN TOTAL'!AK326</f>
        <v>0</v>
      </c>
      <c r="Y246" s="70" t="str">
        <f>'RESUMEN TOTAL'!AL326</f>
        <v>APAGADO</v>
      </c>
      <c r="Z246" s="70" t="str">
        <f>'RESUMEN TOTAL'!AM326</f>
        <v>APAGADO</v>
      </c>
      <c r="AA246" s="70" t="str">
        <f>'RESUMEN TOTAL'!AN326</f>
        <v>APAGADO</v>
      </c>
      <c r="AB246" s="70" t="str">
        <f>'RESUMEN TOTAL'!AO326</f>
        <v>APAGADO</v>
      </c>
      <c r="AC246" s="70" t="str">
        <f>'RESUMEN TOTAL'!AP326</f>
        <v>APAGADO</v>
      </c>
      <c r="AD246" s="70">
        <f>'RESUMEN TOTAL'!AQ326</f>
        <v>0</v>
      </c>
      <c r="AE246" s="70">
        <f>'RESUMEN TOTAL'!AR326</f>
        <v>0</v>
      </c>
      <c r="AF246" s="70" t="str">
        <f>'RESUMEN TOTAL'!AS326</f>
        <v>APAGADO</v>
      </c>
      <c r="AG246" s="70" t="str">
        <f>'RESUMEN TOTAL'!AT326</f>
        <v>APAGADO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 t="str">
        <f>'RESUMEN TOTAL'!S327</f>
        <v>APAGADO</v>
      </c>
      <c r="G247" s="70" t="str">
        <f>'RESUMEN TOTAL'!T327</f>
        <v>APAGADO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 t="str">
        <f>'RESUMEN TOTAL'!X327</f>
        <v>APAGADO</v>
      </c>
      <c r="L247" s="70" t="str">
        <f>'RESUMEN TOTAL'!Y327</f>
        <v>APAGADO</v>
      </c>
      <c r="M247" s="70" t="str">
        <f>'RESUMEN TOTAL'!Z327</f>
        <v>APAGADO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 t="str">
        <f>'RESUMEN TOTAL'!AF327</f>
        <v>APAGADO</v>
      </c>
      <c r="T247" s="70" t="str">
        <f>'RESUMEN TOTAL'!AG327</f>
        <v>APAGADO</v>
      </c>
      <c r="U247" s="70" t="str">
        <f>'RESUMEN TOTAL'!AH327</f>
        <v>APAGADO</v>
      </c>
      <c r="V247" s="70" t="str">
        <f>'RESUMEN TOTAL'!AI327</f>
        <v>APAGADO</v>
      </c>
      <c r="W247" s="70">
        <f>'RESUMEN TOTAL'!AJ327</f>
        <v>0</v>
      </c>
      <c r="X247" s="70">
        <f>'RESUMEN TOTAL'!AK327</f>
        <v>0</v>
      </c>
      <c r="Y247" s="70" t="str">
        <f>'RESUMEN TOTAL'!AL327</f>
        <v>APAGADO</v>
      </c>
      <c r="Z247" s="70" t="str">
        <f>'RESUMEN TOTAL'!AM327</f>
        <v>APAGADO</v>
      </c>
      <c r="AA247" s="70" t="str">
        <f>'RESUMEN TOTAL'!AN327</f>
        <v>APAGADO</v>
      </c>
      <c r="AB247" s="70" t="str">
        <f>'RESUMEN TOTAL'!AO327</f>
        <v>APAGADO</v>
      </c>
      <c r="AC247" s="70" t="str">
        <f>'RESUMEN TOTAL'!AP327</f>
        <v>APAGADO</v>
      </c>
      <c r="AD247" s="70">
        <f>'RESUMEN TOTAL'!AQ327</f>
        <v>0</v>
      </c>
      <c r="AE247" s="70">
        <f>'RESUMEN TOTAL'!AR327</f>
        <v>0</v>
      </c>
      <c r="AF247" s="70" t="str">
        <f>'RESUMEN TOTAL'!AS327</f>
        <v>APAGADO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 t="str">
        <f>'RESUMEN TOTAL'!AI328</f>
        <v>APAGADO</v>
      </c>
      <c r="W248" s="70">
        <f>'RESUMEN TOTAL'!AJ328</f>
        <v>0</v>
      </c>
      <c r="X248" s="70">
        <f>'RESUMEN TOTAL'!AK328</f>
        <v>0</v>
      </c>
      <c r="Y248" s="70" t="str">
        <f>'RESUMEN TOTAL'!AL328</f>
        <v>APAGADO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 t="str">
        <f>'RESUMEN TOTAL'!AS328</f>
        <v>APAGADO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 t="str">
        <f>'RESUMEN TOTAL'!S330</f>
        <v>APAGADO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 t="str">
        <f>'RESUMEN TOTAL'!S331</f>
        <v>APAGADO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>
        <f>'RESUMEN TOTAL'!U332</f>
        <v>0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 t="str">
        <f>'RESUMEN TOTAL'!S333</f>
        <v>APAGADO</v>
      </c>
      <c r="G253" s="70" t="str">
        <f>'RESUMEN TOTAL'!T333</f>
        <v>APAGADO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 t="str">
        <f>'RESUMEN TOTAL'!X333</f>
        <v>APAGADO</v>
      </c>
      <c r="L253" s="70" t="str">
        <f>'RESUMEN TOTAL'!Y333</f>
        <v>APAGADO</v>
      </c>
      <c r="M253" s="70" t="str">
        <f>'RESUMEN TOTAL'!Z333</f>
        <v>APAGADO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 t="str">
        <f>'RESUMEN TOTAL'!AE333</f>
        <v>APAGADO</v>
      </c>
      <c r="S253" s="70" t="str">
        <f>'RESUMEN TOTAL'!AF333</f>
        <v>APAGADO</v>
      </c>
      <c r="T253" s="70" t="str">
        <f>'RESUMEN TOTAL'!AG333</f>
        <v>APAGADO</v>
      </c>
      <c r="U253" s="70" t="str">
        <f>'RESUMEN TOTAL'!AH333</f>
        <v>APAGADO</v>
      </c>
      <c r="V253" s="70" t="str">
        <f>'RESUMEN TOTAL'!AI333</f>
        <v>APAGADO</v>
      </c>
      <c r="W253" s="70">
        <f>'RESUMEN TOTAL'!AJ333</f>
        <v>0</v>
      </c>
      <c r="X253" s="70">
        <f>'RESUMEN TOTAL'!AK333</f>
        <v>0</v>
      </c>
      <c r="Y253" s="70" t="str">
        <f>'RESUMEN TOTAL'!AL333</f>
        <v>APAGADO</v>
      </c>
      <c r="Z253" s="70" t="str">
        <f>'RESUMEN TOTAL'!AM333</f>
        <v>APAGADO</v>
      </c>
      <c r="AA253" s="70" t="str">
        <f>'RESUMEN TOTAL'!AN333</f>
        <v>APAGADO</v>
      </c>
      <c r="AB253" s="70" t="str">
        <f>'RESUMEN TOTAL'!AO333</f>
        <v>APAGADO</v>
      </c>
      <c r="AC253" s="70" t="str">
        <f>'RESUMEN TOTAL'!AP333</f>
        <v>APAGADO</v>
      </c>
      <c r="AD253" s="70">
        <f>'RESUMEN TOTAL'!AQ333</f>
        <v>0</v>
      </c>
      <c r="AE253" s="70">
        <f>'RESUMEN TOTAL'!AR333</f>
        <v>0</v>
      </c>
      <c r="AF253" s="70" t="str">
        <f>'RESUMEN TOTAL'!AS333</f>
        <v>APAGADO</v>
      </c>
      <c r="AG253" s="70" t="str">
        <f>'RESUMEN TOTAL'!AT333</f>
        <v>APAGADO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 t="str">
        <f>'RESUMEN TOTAL'!S334</f>
        <v>APAGADO</v>
      </c>
      <c r="G254" s="70" t="str">
        <f>'RESUMEN TOTAL'!T334</f>
        <v>APAGADO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 t="str">
        <f>'RESUMEN TOTAL'!X334</f>
        <v>APAGADO</v>
      </c>
      <c r="L254" s="70" t="str">
        <f>'RESUMEN TOTAL'!Y334</f>
        <v>APAGADO</v>
      </c>
      <c r="M254" s="70" t="str">
        <f>'RESUMEN TOTAL'!Z334</f>
        <v>APAGADO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 t="str">
        <f>'RESUMEN TOTAL'!AE334</f>
        <v>APAGADO</v>
      </c>
      <c r="S254" s="70" t="str">
        <f>'RESUMEN TOTAL'!AF334</f>
        <v>APAGADO</v>
      </c>
      <c r="T254" s="70" t="str">
        <f>'RESUMEN TOTAL'!AG334</f>
        <v>APAGADO</v>
      </c>
      <c r="U254" s="70" t="str">
        <f>'RESUMEN TOTAL'!AH334</f>
        <v>APAGADO</v>
      </c>
      <c r="V254" s="70" t="str">
        <f>'RESUMEN TOTAL'!AI334</f>
        <v>APAGADO</v>
      </c>
      <c r="W254" s="70">
        <f>'RESUMEN TOTAL'!AJ334</f>
        <v>0</v>
      </c>
      <c r="X254" s="70">
        <f>'RESUMEN TOTAL'!AK334</f>
        <v>0</v>
      </c>
      <c r="Y254" s="70" t="str">
        <f>'RESUMEN TOTAL'!AL334</f>
        <v>APAGADO</v>
      </c>
      <c r="Z254" s="70" t="str">
        <f>'RESUMEN TOTAL'!AM334</f>
        <v>APAGADO</v>
      </c>
      <c r="AA254" s="70" t="str">
        <f>'RESUMEN TOTAL'!AN334</f>
        <v>APAGADO</v>
      </c>
      <c r="AB254" s="70" t="str">
        <f>'RESUMEN TOTAL'!AO334</f>
        <v>APAGADO</v>
      </c>
      <c r="AC254" s="70" t="str">
        <f>'RESUMEN TOTAL'!AP334</f>
        <v>APAGADO</v>
      </c>
      <c r="AD254" s="70">
        <f>'RESUMEN TOTAL'!AQ334</f>
        <v>0</v>
      </c>
      <c r="AE254" s="70">
        <f>'RESUMEN TOTAL'!AR334</f>
        <v>0</v>
      </c>
      <c r="AF254" s="70" t="str">
        <f>'RESUMEN TOTAL'!AS334</f>
        <v>APAGADO</v>
      </c>
      <c r="AG254" s="70" t="str">
        <f>'RESUMEN TOTAL'!AT334</f>
        <v>APAGADO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 t="str">
        <f>'RESUMEN TOTAL'!S335</f>
        <v>APAGADO</v>
      </c>
      <c r="G255" s="70" t="str">
        <f>'RESUMEN TOTAL'!T335</f>
        <v>APAGADO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 t="str">
        <f>'RESUMEN TOTAL'!X335</f>
        <v>APAGADO</v>
      </c>
      <c r="L255" s="70" t="str">
        <f>'RESUMEN TOTAL'!Y335</f>
        <v>APAGADO</v>
      </c>
      <c r="M255" s="70" t="str">
        <f>'RESUMEN TOTAL'!Z335</f>
        <v>APAGADO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 t="str">
        <f>'RESUMEN TOTAL'!AE335</f>
        <v>APAGADO</v>
      </c>
      <c r="S255" s="70" t="str">
        <f>'RESUMEN TOTAL'!AF335</f>
        <v>APAGADO</v>
      </c>
      <c r="T255" s="70" t="str">
        <f>'RESUMEN TOTAL'!AG335</f>
        <v>APAGADO</v>
      </c>
      <c r="U255" s="70" t="str">
        <f>'RESUMEN TOTAL'!AH335</f>
        <v>APAGADO</v>
      </c>
      <c r="V255" s="70" t="str">
        <f>'RESUMEN TOTAL'!AI335</f>
        <v>APAGADO</v>
      </c>
      <c r="W255" s="70">
        <f>'RESUMEN TOTAL'!AJ335</f>
        <v>0</v>
      </c>
      <c r="X255" s="70">
        <f>'RESUMEN TOTAL'!AK335</f>
        <v>0</v>
      </c>
      <c r="Y255" s="70" t="str">
        <f>'RESUMEN TOTAL'!AL335</f>
        <v>APAGADO</v>
      </c>
      <c r="Z255" s="70" t="str">
        <f>'RESUMEN TOTAL'!AM335</f>
        <v>APAGADO</v>
      </c>
      <c r="AA255" s="70" t="str">
        <f>'RESUMEN TOTAL'!AN335</f>
        <v>APAGADO</v>
      </c>
      <c r="AB255" s="70" t="str">
        <f>'RESUMEN TOTAL'!AO335</f>
        <v>APAGADO</v>
      </c>
      <c r="AC255" s="70" t="str">
        <f>'RESUMEN TOTAL'!AP335</f>
        <v>APAGADO</v>
      </c>
      <c r="AD255" s="70">
        <f>'RESUMEN TOTAL'!AQ335</f>
        <v>0</v>
      </c>
      <c r="AE255" s="70">
        <f>'RESUMEN TOTAL'!AR335</f>
        <v>0</v>
      </c>
      <c r="AF255" s="70" t="str">
        <f>'RESUMEN TOTAL'!AS335</f>
        <v>APAGADO</v>
      </c>
      <c r="AG255" s="70" t="str">
        <f>'RESUMEN TOTAL'!AT335</f>
        <v>APAGADO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 t="str">
        <f>'RESUMEN TOTAL'!AI336</f>
        <v>APAGADO</v>
      </c>
      <c r="W256" s="70">
        <f>'RESUMEN TOTAL'!AJ336</f>
        <v>0</v>
      </c>
      <c r="X256" s="70">
        <f>'RESUMEN TOTAL'!AK336</f>
        <v>0</v>
      </c>
      <c r="Y256" s="70" t="str">
        <f>'RESUMEN TOTAL'!AL336</f>
        <v>APAGADO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 t="str">
        <f>'RESUMEN TOTAL'!AS336</f>
        <v>APAGADO</v>
      </c>
      <c r="AG256" s="70" t="str">
        <f>'RESUMEN TOTAL'!AT336</f>
        <v>APAGADO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 t="str">
        <f>'RESUMEN TOTAL'!T338</f>
        <v>APAGADO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 t="str">
        <f>'RESUMEN TOTAL'!X338</f>
        <v>APAGADO</v>
      </c>
      <c r="L258" s="70">
        <f>'RESUMEN TOTAL'!Y338</f>
        <v>0</v>
      </c>
      <c r="M258" s="70" t="str">
        <f>'RESUMEN TOTAL'!Z338</f>
        <v>APAGADO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 t="str">
        <f>'RESUMEN TOTAL'!AE338</f>
        <v>APAGADO</v>
      </c>
      <c r="S258" s="70" t="str">
        <f>'RESUMEN TOTAL'!AF338</f>
        <v>APAGADO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 t="str">
        <f>'RESUMEN TOTAL'!AN338</f>
        <v>APAGADO</v>
      </c>
      <c r="AB258" s="70" t="str">
        <f>'RESUMEN TOTAL'!AO338</f>
        <v>APAGADO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 t="str">
        <f>'RESUMEN TOTAL'!U340</f>
        <v>APAGADO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 t="str">
        <f>'RESUMEN TOTAL'!U341</f>
        <v>APAGADO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 t="str">
        <f>'RESUMEN TOTAL'!U342</f>
        <v>APAGADO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 t="str">
        <f>'RESUMEN TOTAL'!U343</f>
        <v>APAGADO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 t="str">
        <f>'RESUMEN TOTAL'!AN343</f>
        <v>APAGADO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 t="str">
        <f>'RESUMEN TOTAL'!U344</f>
        <v>APAGADO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 t="str">
        <f>'RESUMEN TOTAL'!Z344</f>
        <v>APAGADO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 t="str">
        <f>'RESUMEN TOTAL'!AE344</f>
        <v>APAGADO</v>
      </c>
      <c r="S264" s="70" t="str">
        <f>'RESUMEN TOTAL'!AF344</f>
        <v>APAGADO</v>
      </c>
      <c r="T264" s="70" t="str">
        <f>'RESUMEN TOTAL'!AG344</f>
        <v>APAGADO</v>
      </c>
      <c r="U264" s="70" t="str">
        <f>'RESUMEN TOTAL'!AH344</f>
        <v>APAGADO</v>
      </c>
      <c r="V264" s="70" t="str">
        <f>'RESUMEN TOTAL'!AI344</f>
        <v>APAGADO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 t="str">
        <f>'RESUMEN TOTAL'!AN344</f>
        <v>APAGADO</v>
      </c>
      <c r="AB264" s="70" t="str">
        <f>'RESUMEN TOTAL'!AO344</f>
        <v>APAGADO</v>
      </c>
      <c r="AC264" s="70" t="str">
        <f>'RESUMEN TOTAL'!AP344</f>
        <v>APAGADO</v>
      </c>
      <c r="AD264" s="70">
        <f>'RESUMEN TOTAL'!AQ344</f>
        <v>0</v>
      </c>
      <c r="AE264" s="70">
        <f>'RESUMEN TOTAL'!AR344</f>
        <v>0</v>
      </c>
      <c r="AF264" s="70" t="str">
        <f>'RESUMEN TOTAL'!AS344</f>
        <v>APAGADO</v>
      </c>
      <c r="AG264" s="70" t="str">
        <f>'RESUMEN TOTAL'!AT344</f>
        <v>APAGADO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 t="str">
        <f>'RESUMEN TOTAL'!U345</f>
        <v>APAGADO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 t="str">
        <f>'RESUMEN TOTAL'!Z345</f>
        <v>APAGADO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 t="str">
        <f>'RESUMEN TOTAL'!AE345</f>
        <v>APAGADO</v>
      </c>
      <c r="S265" s="70" t="str">
        <f>'RESUMEN TOTAL'!AF345</f>
        <v>APAGADO</v>
      </c>
      <c r="T265" s="70" t="str">
        <f>'RESUMEN TOTAL'!AG345</f>
        <v>APAGADO</v>
      </c>
      <c r="U265" s="70" t="str">
        <f>'RESUMEN TOTAL'!AH345</f>
        <v>APAGADO</v>
      </c>
      <c r="V265" s="70" t="str">
        <f>'RESUMEN TOTAL'!AI345</f>
        <v>APAGADO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 t="str">
        <f>'RESUMEN TOTAL'!AN345</f>
        <v>APAGADO</v>
      </c>
      <c r="AB265" s="70" t="str">
        <f>'RESUMEN TOTAL'!AO345</f>
        <v>APAGADO</v>
      </c>
      <c r="AC265" s="70" t="str">
        <f>'RESUMEN TOTAL'!AP345</f>
        <v>APAGADO</v>
      </c>
      <c r="AD265" s="70">
        <f>'RESUMEN TOTAL'!AQ345</f>
        <v>0</v>
      </c>
      <c r="AE265" s="70">
        <f>'RESUMEN TOTAL'!AR345</f>
        <v>0</v>
      </c>
      <c r="AF265" s="70" t="str">
        <f>'RESUMEN TOTAL'!AS345</f>
        <v>APAGADO</v>
      </c>
      <c r="AG265" s="70" t="str">
        <f>'RESUMEN TOTAL'!AT345</f>
        <v>APAGADO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 t="str">
        <f>'RESUMEN TOTAL'!U353</f>
        <v>APAGADO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 t="str">
        <f>'RESUMEN TOTAL'!U354</f>
        <v>APAGADO</v>
      </c>
      <c r="I267" s="70">
        <f>'RESUMEN TOTAL'!V354</f>
        <v>0</v>
      </c>
      <c r="J267" s="70">
        <f>'RESUMEN TOTAL'!W354</f>
        <v>0</v>
      </c>
      <c r="K267" s="70" t="str">
        <f>'RESUMEN TOTAL'!X354</f>
        <v>APAGADO</v>
      </c>
      <c r="L267" s="70" t="str">
        <f>'RESUMEN TOTAL'!Y354</f>
        <v>APAGADO</v>
      </c>
      <c r="M267" s="70" t="str">
        <f>'RESUMEN TOTAL'!Z354</f>
        <v>APAGADO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 t="str">
        <f>'RESUMEN TOTAL'!U355</f>
        <v>APAGADO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 t="str">
        <f>'RESUMEN TOTAL'!U356</f>
        <v>APAGADO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 t="str">
        <f>'RESUMEN TOTAL'!U357</f>
        <v>APAGADO</v>
      </c>
      <c r="I270" s="70">
        <f>'RESUMEN TOTAL'!V357</f>
        <v>0</v>
      </c>
      <c r="J270" s="70">
        <f>'RESUMEN TOTAL'!W357</f>
        <v>0</v>
      </c>
      <c r="K270" s="70" t="str">
        <f>'RESUMEN TOTAL'!X357</f>
        <v>APAGADO</v>
      </c>
      <c r="L270" s="70" t="str">
        <f>'RESUMEN TOTAL'!Y357</f>
        <v>APAGADO</v>
      </c>
      <c r="M270" s="70" t="str">
        <f>'RESUMEN TOTAL'!Z357</f>
        <v>APAGADO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 t="str">
        <f>'RESUMEN TOTAL'!U358</f>
        <v>APAGADO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 t="str">
        <f>'RESUMEN TOTAL'!U359</f>
        <v>APAGADO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 t="str">
        <f>'RESUMEN TOTAL'!U360</f>
        <v>APAGADO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 t="str">
        <f>'RESUMEN TOTAL'!U361</f>
        <v>APAGADO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 t="str">
        <f>'RESUMEN TOTAL'!U362</f>
        <v>APAGADO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 t="str">
        <f>'RESUMEN TOTAL'!U363</f>
        <v>APAGADO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 t="str">
        <f>'RESUMEN TOTAL'!U364</f>
        <v>APAGADO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 t="str">
        <f>'RESUMEN TOTAL'!U366</f>
        <v>APAGADO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>
        <f>'RESUMEN TOTAL'!U372</f>
        <v>0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 t="str">
        <f>'RESUMEN TOTAL'!AF372</f>
        <v>APAGADO</v>
      </c>
      <c r="T281" s="70" t="str">
        <f>'RESUMEN TOTAL'!AG372</f>
        <v>APAGADO</v>
      </c>
      <c r="U281" s="70" t="str">
        <f>'RESUMEN TOTAL'!AH372</f>
        <v>APAGADO</v>
      </c>
      <c r="V281" s="70" t="str">
        <f>'RESUMEN TOTAL'!AI372</f>
        <v>APAGADO</v>
      </c>
      <c r="W281" s="70">
        <f>'RESUMEN TOTAL'!AJ372</f>
        <v>0</v>
      </c>
      <c r="X281" s="70">
        <f>'RESUMEN TOTAL'!AK372</f>
        <v>0</v>
      </c>
      <c r="Y281" s="70" t="str">
        <f>'RESUMEN TOTAL'!AL372</f>
        <v>APAGADO</v>
      </c>
      <c r="Z281" s="70" t="str">
        <f>'RESUMEN TOTAL'!AM372</f>
        <v>APAGADO</v>
      </c>
      <c r="AA281" s="70" t="str">
        <f>'RESUMEN TOTAL'!AN372</f>
        <v>APAGADO</v>
      </c>
      <c r="AB281" s="70" t="str">
        <f>'RESUMEN TOTAL'!AO372</f>
        <v>APAGADO</v>
      </c>
      <c r="AC281" s="70" t="str">
        <f>'RESUMEN TOTAL'!AP372</f>
        <v>APAGADO</v>
      </c>
      <c r="AD281" s="70">
        <f>'RESUMEN TOTAL'!AQ372</f>
        <v>0</v>
      </c>
      <c r="AE281" s="70">
        <f>'RESUMEN TOTAL'!AR372</f>
        <v>0</v>
      </c>
      <c r="AF281" s="70" t="str">
        <f>'RESUMEN TOTAL'!AS372</f>
        <v>APAGADO</v>
      </c>
      <c r="AG281" s="70" t="str">
        <f>'RESUMEN TOTAL'!AT372</f>
        <v>APAGADO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>
        <f>'RESUMEN TOTAL'!U373</f>
        <v>0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 t="str">
        <f>'RESUMEN TOTAL'!AE373</f>
        <v>APAGADO</v>
      </c>
      <c r="S282" s="70" t="str">
        <f>'RESUMEN TOTAL'!AF373</f>
        <v>APAGADO</v>
      </c>
      <c r="T282" s="70" t="str">
        <f>'RESUMEN TOTAL'!AG373</f>
        <v>APAGADO</v>
      </c>
      <c r="U282" s="70" t="str">
        <f>'RESUMEN TOTAL'!AH373</f>
        <v>APAGADO</v>
      </c>
      <c r="V282" s="70" t="str">
        <f>'RESUMEN TOTAL'!AI373</f>
        <v>APAGADO</v>
      </c>
      <c r="W282" s="70">
        <f>'RESUMEN TOTAL'!AJ373</f>
        <v>0</v>
      </c>
      <c r="X282" s="70">
        <f>'RESUMEN TOTAL'!AK373</f>
        <v>0</v>
      </c>
      <c r="Y282" s="70" t="str">
        <f>'RESUMEN TOTAL'!AL373</f>
        <v>APAGADO</v>
      </c>
      <c r="Z282" s="70" t="str">
        <f>'RESUMEN TOTAL'!AM373</f>
        <v>APAGADO</v>
      </c>
      <c r="AA282" s="70" t="str">
        <f>'RESUMEN TOTAL'!AN373</f>
        <v>APAGADO</v>
      </c>
      <c r="AB282" s="70" t="str">
        <f>'RESUMEN TOTAL'!AO373</f>
        <v>APAGADO</v>
      </c>
      <c r="AC282" s="70" t="str">
        <f>'RESUMEN TOTAL'!AP373</f>
        <v>APAGADO</v>
      </c>
      <c r="AD282" s="70">
        <f>'RESUMEN TOTAL'!AQ373</f>
        <v>0</v>
      </c>
      <c r="AE282" s="70">
        <f>'RESUMEN TOTAL'!AR373</f>
        <v>0</v>
      </c>
      <c r="AF282" s="70" t="str">
        <f>'RESUMEN TOTAL'!AS373</f>
        <v>APAGADO</v>
      </c>
      <c r="AG282" s="70" t="str">
        <f>'RESUMEN TOTAL'!AT373</f>
        <v>APAGADO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>
        <f>'RESUMEN TOTAL'!U374</f>
        <v>0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 t="str">
        <f>'RESUMEN TOTAL'!AE374</f>
        <v>APAGADO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>
        <f>'RESUMEN TOTAL'!U375</f>
        <v>0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 t="str">
        <f>'RESUMEN TOTAL'!AE375</f>
        <v>APAGADO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>
        <f>'RESUMEN TOTAL'!U376</f>
        <v>0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>
        <f>'RESUMEN TOTAL'!U377</f>
        <v>0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>
        <f>'RESUMEN TOTAL'!U378</f>
        <v>0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 t="str">
        <f>'RESUMEN TOTAL'!AE378</f>
        <v>APAGADO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>
        <f>'RESUMEN TOTAL'!U379</f>
        <v>0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 t="str">
        <f>'RESUMEN TOTAL'!AE379</f>
        <v>APAGADO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 t="str">
        <f>'RESUMEN TOTAL'!AE387</f>
        <v>APAGADO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 t="str">
        <f>'RESUMEN TOTAL'!AE391</f>
        <v>APAGADO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 t="str">
        <f>'RESUMEN TOTAL'!AE396</f>
        <v>APAGADO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>
        <f>'RESUMEN TOTAL'!U402</f>
        <v>0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>
        <f>'RESUMEN TOTAL'!U407</f>
        <v>0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 t="str">
        <f>'RESUMEN TOTAL'!AT408</f>
        <v>APAGADO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 t="str">
        <f>'RESUMEN TOTAL'!X417</f>
        <v>APAGADO</v>
      </c>
      <c r="L316" s="70" t="str">
        <f>'RESUMEN TOTAL'!Y417</f>
        <v>APAGADO</v>
      </c>
      <c r="M316" s="70" t="str">
        <f>'RESUMEN TOTAL'!Z417</f>
        <v>APAGADO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 t="str">
        <f>'RESUMEN TOTAL'!AE418</f>
        <v>APAGADO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 t="str">
        <f>'RESUMEN TOTAL'!S420</f>
        <v>APAGADO</v>
      </c>
      <c r="G319" s="70" t="str">
        <f>'RESUMEN TOTAL'!T420</f>
        <v>APAGADO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 t="str">
        <f>'RESUMEN TOTAL'!X420</f>
        <v>APAGADO</v>
      </c>
      <c r="L319" s="70" t="str">
        <f>'RESUMEN TOTAL'!Y420</f>
        <v>APAGADO</v>
      </c>
      <c r="M319" s="70" t="str">
        <f>'RESUMEN TOTAL'!Z420</f>
        <v>APAGADO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 t="str">
        <f>'RESUMEN TOTAL'!AE420</f>
        <v>APAGADO</v>
      </c>
      <c r="S319" s="70" t="str">
        <f>'RESUMEN TOTAL'!AF420</f>
        <v>APAGADO</v>
      </c>
      <c r="T319" s="70" t="str">
        <f>'RESUMEN TOTAL'!AG420</f>
        <v>APAGADO</v>
      </c>
      <c r="U319" s="70" t="str">
        <f>'RESUMEN TOTAL'!AH420</f>
        <v>APAGADO</v>
      </c>
      <c r="V319" s="70" t="str">
        <f>'RESUMEN TOTAL'!AI420</f>
        <v>APAGADO</v>
      </c>
      <c r="W319" s="70">
        <f>'RESUMEN TOTAL'!AJ420</f>
        <v>0</v>
      </c>
      <c r="X319" s="70">
        <f>'RESUMEN TOTAL'!AK420</f>
        <v>0</v>
      </c>
      <c r="Y319" s="70" t="str">
        <f>'RESUMEN TOTAL'!AL420</f>
        <v>APAGADO</v>
      </c>
      <c r="Z319" s="70" t="str">
        <f>'RESUMEN TOTAL'!AM420</f>
        <v>APAGADO</v>
      </c>
      <c r="AA319" s="70" t="str">
        <f>'RESUMEN TOTAL'!AN420</f>
        <v>APAGADO</v>
      </c>
      <c r="AB319" s="70" t="str">
        <f>'RESUMEN TOTAL'!AO420</f>
        <v>APAGADO</v>
      </c>
      <c r="AC319" s="70" t="str">
        <f>'RESUMEN TOTAL'!AP420</f>
        <v>APAGADO</v>
      </c>
      <c r="AD319" s="70">
        <f>'RESUMEN TOTAL'!AQ420</f>
        <v>0</v>
      </c>
      <c r="AE319" s="70">
        <f>'RESUMEN TOTAL'!AR420</f>
        <v>0</v>
      </c>
      <c r="AF319" s="70" t="str">
        <f>'RESUMEN TOTAL'!AS420</f>
        <v>APAGADO</v>
      </c>
      <c r="AG319" s="70" t="str">
        <f>'RESUMEN TOTAL'!AT420</f>
        <v>APAGADO</v>
      </c>
      <c r="AH319" s="70">
        <f>'RESUMEN TOTAL'!AU420</f>
        <v>0</v>
      </c>
      <c r="AI319" s="70">
        <f>'RESUMEN TOTAL'!AV420</f>
        <v>0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 t="str">
        <f>'RESUMEN TOTAL'!AH421</f>
        <v>APAGADO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 t="str">
        <f>'RESUMEN TOTAL'!S422</f>
        <v>APAGADO</v>
      </c>
      <c r="G321" s="70" t="str">
        <f>'RESUMEN TOTAL'!T422</f>
        <v>APAGADO</v>
      </c>
      <c r="H321" s="70">
        <f>'RESUMEN TOTAL'!V422</f>
        <v>0</v>
      </c>
      <c r="I321" s="70">
        <v>0</v>
      </c>
      <c r="J321" s="70">
        <f>'RESUMEN TOTAL'!W422</f>
        <v>0</v>
      </c>
      <c r="K321" s="70" t="str">
        <f>'RESUMEN TOTAL'!X422</f>
        <v>APAGADO</v>
      </c>
      <c r="L321" s="70" t="str">
        <f>'RESUMEN TOTAL'!Y422</f>
        <v>APAGADO</v>
      </c>
      <c r="M321" s="70" t="str">
        <f>'RESUMEN TOTAL'!Z422</f>
        <v>APAGADO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 t="str">
        <f>'RESUMEN TOTAL'!AE422</f>
        <v>APAGADO</v>
      </c>
      <c r="S321" s="70" t="str">
        <f>'RESUMEN TOTAL'!AF422</f>
        <v>APAGADO</v>
      </c>
      <c r="T321" s="70" t="str">
        <f>'RESUMEN TOTAL'!AG422</f>
        <v>APAGADO</v>
      </c>
      <c r="U321" s="70" t="str">
        <f>'RESUMEN TOTAL'!AH422</f>
        <v>APAGADO</v>
      </c>
      <c r="V321" s="70" t="str">
        <f>'RESUMEN TOTAL'!AI422</f>
        <v>APAGADO</v>
      </c>
      <c r="W321" s="70">
        <f>'RESUMEN TOTAL'!AJ422</f>
        <v>0</v>
      </c>
      <c r="X321" s="70">
        <f>'RESUMEN TOTAL'!AK422</f>
        <v>0</v>
      </c>
      <c r="Y321" s="70" t="str">
        <f>'RESUMEN TOTAL'!AL422</f>
        <v>APAGADO</v>
      </c>
      <c r="Z321" s="70" t="str">
        <f>'RESUMEN TOTAL'!AM422</f>
        <v>APAGADO</v>
      </c>
      <c r="AA321" s="70" t="str">
        <f>'RESUMEN TOTAL'!AN422</f>
        <v>APAGADO</v>
      </c>
      <c r="AB321" s="70" t="str">
        <f>'RESUMEN TOTAL'!AO422</f>
        <v>APAGADO</v>
      </c>
      <c r="AC321" s="70" t="str">
        <f>'RESUMEN TOTAL'!AP422</f>
        <v>APAGADO</v>
      </c>
      <c r="AD321" s="70">
        <f>'RESUMEN TOTAL'!AQ422</f>
        <v>0</v>
      </c>
      <c r="AE321" s="70">
        <f>'RESUMEN TOTAL'!AR422</f>
        <v>0</v>
      </c>
      <c r="AF321" s="70" t="str">
        <f>'RESUMEN TOTAL'!AS422</f>
        <v>APAGADO</v>
      </c>
      <c r="AG321" s="70" t="str">
        <f>'RESUMEN TOTAL'!AT422</f>
        <v>APAGADO</v>
      </c>
      <c r="AH321" s="70">
        <f>'RESUMEN TOTAL'!AU422</f>
        <v>0</v>
      </c>
      <c r="AI321" s="70">
        <f>'RESUMEN TOTAL'!AV422</f>
        <v>0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 t="str">
        <f>'RESUMEN TOTAL'!S423</f>
        <v>APAGADO</v>
      </c>
      <c r="G322" s="70" t="str">
        <f>'RESUMEN TOTAL'!T423</f>
        <v>APAGADO</v>
      </c>
      <c r="H322" s="70">
        <f>'RESUMEN TOTAL'!V423</f>
        <v>0</v>
      </c>
      <c r="I322" s="70">
        <v>0</v>
      </c>
      <c r="J322" s="70">
        <f>'RESUMEN TOTAL'!W423</f>
        <v>0</v>
      </c>
      <c r="K322" s="70" t="str">
        <f>'RESUMEN TOTAL'!X423</f>
        <v>APAGADO</v>
      </c>
      <c r="L322" s="70" t="str">
        <f>'RESUMEN TOTAL'!Y423</f>
        <v>APAGADO</v>
      </c>
      <c r="M322" s="70" t="str">
        <f>'RESUMEN TOTAL'!Z423</f>
        <v>APAGADO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 t="str">
        <f>'RESUMEN TOTAL'!AE423</f>
        <v>APAGADO</v>
      </c>
      <c r="S322" s="70" t="str">
        <f>'RESUMEN TOTAL'!AF423</f>
        <v>APAGADO</v>
      </c>
      <c r="T322" s="70" t="str">
        <f>'RESUMEN TOTAL'!AG423</f>
        <v>APAGADO</v>
      </c>
      <c r="U322" s="70" t="str">
        <f>'RESUMEN TOTAL'!AH423</f>
        <v>APAGADO</v>
      </c>
      <c r="V322" s="70" t="str">
        <f>'RESUMEN TOTAL'!AI423</f>
        <v>APAGADO</v>
      </c>
      <c r="W322" s="70">
        <f>'RESUMEN TOTAL'!AJ423</f>
        <v>0</v>
      </c>
      <c r="X322" s="70">
        <f>'RESUMEN TOTAL'!AK423</f>
        <v>0</v>
      </c>
      <c r="Y322" s="70" t="str">
        <f>'RESUMEN TOTAL'!AL423</f>
        <v>APAGADO</v>
      </c>
      <c r="Z322" s="70" t="str">
        <f>'RESUMEN TOTAL'!AM423</f>
        <v>APAGADO</v>
      </c>
      <c r="AA322" s="70" t="str">
        <f>'RESUMEN TOTAL'!AN423</f>
        <v>APAGADO</v>
      </c>
      <c r="AB322" s="70" t="str">
        <f>'RESUMEN TOTAL'!AO423</f>
        <v>APAGADO</v>
      </c>
      <c r="AC322" s="70" t="str">
        <f>'RESUMEN TOTAL'!AP423</f>
        <v>APAGADO</v>
      </c>
      <c r="AD322" s="70">
        <f>'RESUMEN TOTAL'!AQ423</f>
        <v>0</v>
      </c>
      <c r="AE322" s="70">
        <f>'RESUMEN TOTAL'!AR423</f>
        <v>0</v>
      </c>
      <c r="AF322" s="70" t="str">
        <f>'RESUMEN TOTAL'!AS423</f>
        <v>APAGADO</v>
      </c>
      <c r="AG322" s="70" t="str">
        <f>'RESUMEN TOTAL'!AT423</f>
        <v>APAGADO</v>
      </c>
      <c r="AH322" s="70">
        <f>'RESUMEN TOTAL'!AU423</f>
        <v>0</v>
      </c>
      <c r="AI322" s="70">
        <f>'RESUMEN TOTAL'!AV423</f>
        <v>0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 t="str">
        <f>'RESUMEN TOTAL'!X424</f>
        <v>APAGADO</v>
      </c>
      <c r="L323" s="70" t="str">
        <f>'RESUMEN TOTAL'!Y424</f>
        <v>APAGADO</v>
      </c>
      <c r="M323" s="70" t="str">
        <f>'RESUMEN TOTAL'!Z424</f>
        <v>APAGADO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 t="str">
        <f>'RESUMEN TOTAL'!AE424</f>
        <v>APAGADO</v>
      </c>
      <c r="S323" s="70" t="str">
        <f>'RESUMEN TOTAL'!AF424</f>
        <v>APAGADO</v>
      </c>
      <c r="T323" s="70" t="str">
        <f>'RESUMEN TOTAL'!AG424</f>
        <v>APAGADO</v>
      </c>
      <c r="U323" s="70" t="str">
        <f>'RESUMEN TOTAL'!AH424</f>
        <v>APAGADO</v>
      </c>
      <c r="V323" s="70" t="str">
        <f>'RESUMEN TOTAL'!AI424</f>
        <v>APAGADO</v>
      </c>
      <c r="W323" s="70">
        <f>'RESUMEN TOTAL'!AJ424</f>
        <v>0</v>
      </c>
      <c r="X323" s="70">
        <f>'RESUMEN TOTAL'!AK424</f>
        <v>0</v>
      </c>
      <c r="Y323" s="70" t="str">
        <f>'RESUMEN TOTAL'!AL424</f>
        <v>APAGADO</v>
      </c>
      <c r="Z323" s="70" t="str">
        <f>'RESUMEN TOTAL'!AM424</f>
        <v>APAGADO</v>
      </c>
      <c r="AA323" s="70" t="str">
        <f>'RESUMEN TOTAL'!AN424</f>
        <v>APAGADO</v>
      </c>
      <c r="AB323" s="70" t="str">
        <f>'RESUMEN TOTAL'!AO424</f>
        <v>APAGADO</v>
      </c>
      <c r="AC323" s="70" t="str">
        <f>'RESUMEN TOTAL'!AP424</f>
        <v>APAGADO</v>
      </c>
      <c r="AD323" s="70">
        <f>'RESUMEN TOTAL'!AQ424</f>
        <v>0</v>
      </c>
      <c r="AE323" s="70">
        <f>'RESUMEN TOTAL'!AR424</f>
        <v>0</v>
      </c>
      <c r="AF323" s="70" t="str">
        <f>'RESUMEN TOTAL'!AS424</f>
        <v>APAGADO</v>
      </c>
      <c r="AG323" s="70" t="str">
        <f>'RESUMEN TOTAL'!AT424</f>
        <v>APAGADO</v>
      </c>
      <c r="AH323" s="70">
        <f>'RESUMEN TOTAL'!AU424</f>
        <v>0</v>
      </c>
      <c r="AI323" s="70">
        <f>'RESUMEN TOTAL'!AV424</f>
        <v>0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 t="str">
        <f>'RESUMEN TOTAL'!X425</f>
        <v>APAGADO</v>
      </c>
      <c r="L324" s="70" t="str">
        <f>'RESUMEN TOTAL'!Y425</f>
        <v>APAGADO</v>
      </c>
      <c r="M324" s="70" t="str">
        <f>'RESUMEN TOTAL'!Z425</f>
        <v>APAGADO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 t="str">
        <f>'RESUMEN TOTAL'!AE425</f>
        <v>APAGADO</v>
      </c>
      <c r="S324" s="70" t="str">
        <f>'RESUMEN TOTAL'!AF425</f>
        <v>APAGADO</v>
      </c>
      <c r="T324" s="70" t="str">
        <f>'RESUMEN TOTAL'!AG425</f>
        <v>APAGADO</v>
      </c>
      <c r="U324" s="70" t="str">
        <f>'RESUMEN TOTAL'!AH425</f>
        <v>APAGADO</v>
      </c>
      <c r="V324" s="70" t="str">
        <f>'RESUMEN TOTAL'!AI425</f>
        <v>APAGADO</v>
      </c>
      <c r="W324" s="70">
        <f>'RESUMEN TOTAL'!AJ425</f>
        <v>0</v>
      </c>
      <c r="X324" s="70">
        <f>'RESUMEN TOTAL'!AK425</f>
        <v>0</v>
      </c>
      <c r="Y324" s="70" t="str">
        <f>'RESUMEN TOTAL'!AL425</f>
        <v>APAGADO</v>
      </c>
      <c r="Z324" s="70" t="str">
        <f>'RESUMEN TOTAL'!AM425</f>
        <v>APAGADO</v>
      </c>
      <c r="AA324" s="70" t="str">
        <f>'RESUMEN TOTAL'!AN425</f>
        <v>APAGADO</v>
      </c>
      <c r="AB324" s="70" t="str">
        <f>'RESUMEN TOTAL'!AO425</f>
        <v>APAGADO</v>
      </c>
      <c r="AC324" s="70" t="str">
        <f>'RESUMEN TOTAL'!AP425</f>
        <v>APAGADO</v>
      </c>
      <c r="AD324" s="70">
        <f>'RESUMEN TOTAL'!AQ425</f>
        <v>0</v>
      </c>
      <c r="AE324" s="70">
        <f>'RESUMEN TOTAL'!AR425</f>
        <v>0</v>
      </c>
      <c r="AF324" s="70" t="str">
        <f>'RESUMEN TOTAL'!AS425</f>
        <v>APAGADO</v>
      </c>
      <c r="AG324" s="70" t="str">
        <f>'RESUMEN TOTAL'!AT425</f>
        <v>APAGADO</v>
      </c>
      <c r="AH324" s="70">
        <f>'RESUMEN TOTAL'!AU425</f>
        <v>0</v>
      </c>
      <c r="AI324" s="70">
        <f>'RESUMEN TOTAL'!AV425</f>
        <v>0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 t="str">
        <f>'RESUMEN TOTAL'!AE435</f>
        <v>APAGADO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 t="str">
        <f>'RESUMEN TOTAL'!AE436</f>
        <v>APAGADO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 t="str">
        <f>'RESUMEN TOTAL'!S437</f>
        <v>APAGADO</v>
      </c>
      <c r="G329" s="70" t="str">
        <f>'RESUMEN TOTAL'!T437</f>
        <v>APAGADO</v>
      </c>
      <c r="H329" s="70" t="str">
        <f>'RESUMEN TOTAL'!U437</f>
        <v>APAGADO</v>
      </c>
      <c r="I329" s="70">
        <f>'RESUMEN TOTAL'!V437</f>
        <v>0</v>
      </c>
      <c r="J329" s="70">
        <f>'RESUMEN TOTAL'!W437</f>
        <v>0</v>
      </c>
      <c r="K329" s="70" t="str">
        <f>'RESUMEN TOTAL'!X437</f>
        <v>APAGADO</v>
      </c>
      <c r="L329" s="70" t="str">
        <f>'RESUMEN TOTAL'!Y437</f>
        <v>APAGADO</v>
      </c>
      <c r="M329" s="70" t="str">
        <f>'RESUMEN TOTAL'!Z437</f>
        <v>APAGADO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>
        <f>'RESUMEN TOTAL'!AU437</f>
        <v>0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 t="str">
        <f>'RESUMEN TOTAL'!AE440</f>
        <v>APAGADO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 t="str">
        <f>'RESUMEN TOTAL'!S441</f>
        <v>APAGADO</v>
      </c>
      <c r="G333" s="70" t="str">
        <f>'RESUMEN TOTAL'!T441</f>
        <v>APAGADO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 t="str">
        <f>'RESUMEN TOTAL'!X441</f>
        <v>APAGADO</v>
      </c>
      <c r="L333" s="70" t="str">
        <f>'RESUMEN TOTAL'!Y441</f>
        <v>APAGADO</v>
      </c>
      <c r="M333" s="70" t="str">
        <f>'RESUMEN TOTAL'!Z441</f>
        <v>APAGADO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 t="str">
        <f>'RESUMEN TOTAL'!AE441</f>
        <v>APAGADO</v>
      </c>
      <c r="S333" s="70" t="str">
        <f>'RESUMEN TOTAL'!AF441</f>
        <v>APAGADO</v>
      </c>
      <c r="T333" s="70" t="str">
        <f>'RESUMEN TOTAL'!AG441</f>
        <v>APAGADO</v>
      </c>
      <c r="U333" s="70" t="str">
        <f>'RESUMEN TOTAL'!AH441</f>
        <v>APAGADO</v>
      </c>
      <c r="V333" s="70" t="str">
        <f>'RESUMEN TOTAL'!AI441</f>
        <v>APAGADO</v>
      </c>
      <c r="W333" s="70">
        <f>'RESUMEN TOTAL'!AJ441</f>
        <v>0</v>
      </c>
      <c r="X333" s="70">
        <f>'RESUMEN TOTAL'!AK441</f>
        <v>0</v>
      </c>
      <c r="Y333" s="70" t="str">
        <f>'RESUMEN TOTAL'!AL441</f>
        <v>APAGADO</v>
      </c>
      <c r="Z333" s="70" t="str">
        <f>'RESUMEN TOTAL'!AM441</f>
        <v>APAGADO</v>
      </c>
      <c r="AA333" s="70" t="str">
        <f>'RESUMEN TOTAL'!AN441</f>
        <v>APAGADO</v>
      </c>
      <c r="AB333" s="70" t="str">
        <f>'RESUMEN TOTAL'!AO441</f>
        <v>APAGADO</v>
      </c>
      <c r="AC333" s="70" t="str">
        <f>'RESUMEN TOTAL'!AP441</f>
        <v>APAGADO</v>
      </c>
      <c r="AD333" s="70">
        <f>'RESUMEN TOTAL'!AQ441</f>
        <v>0</v>
      </c>
      <c r="AE333" s="70">
        <f>'RESUMEN TOTAL'!AR441</f>
        <v>0</v>
      </c>
      <c r="AF333" s="70" t="str">
        <f>'RESUMEN TOTAL'!AS441</f>
        <v>APAGADO</v>
      </c>
      <c r="AG333" s="70" t="str">
        <f>'RESUMEN TOTAL'!AT441</f>
        <v>APAGADO</v>
      </c>
      <c r="AH333" s="70">
        <f>'RESUMEN TOTAL'!AU441</f>
        <v>0</v>
      </c>
      <c r="AI333" s="70">
        <f>'RESUMEN TOTAL'!AV441</f>
        <v>0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 t="str">
        <f>'RESUMEN TOTAL'!X443</f>
        <v>APAGADO</v>
      </c>
      <c r="L335" s="70" t="str">
        <f>'RESUMEN TOTAL'!Y443</f>
        <v>APAGADO</v>
      </c>
      <c r="M335" s="70" t="str">
        <f>'RESUMEN TOTAL'!Z443</f>
        <v>APAGADO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>
        <f>'RESUMEN TOTAL'!U447</f>
        <v>0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>
        <f>'RESUMEN TOTAL'!U448</f>
        <v>0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>
        <f>'RESUMEN TOTAL'!U449</f>
        <v>0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>
        <f>'RESUMEN TOTAL'!U450</f>
        <v>0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 t="str">
        <f>'RESUMEN TOTAL'!X453</f>
        <v>APAGADO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 t="str">
        <f>'RESUMEN TOTAL'!AI454</f>
        <v>APAGADO</v>
      </c>
      <c r="W343" s="70">
        <f>'RESUMEN TOTAL'!AJ454</f>
        <v>0</v>
      </c>
      <c r="X343" s="70">
        <f>'RESUMEN TOTAL'!AK454</f>
        <v>0</v>
      </c>
      <c r="Y343" s="70" t="str">
        <f>'RESUMEN TOTAL'!AL454</f>
        <v>APAGADO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 t="str">
        <f>'RESUMEN TOTAL'!AS454</f>
        <v>APAGADO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 t="str">
        <f>'RESUMEN TOTAL'!AI455</f>
        <v>APAGADO</v>
      </c>
      <c r="W344" s="70">
        <f>'RESUMEN TOTAL'!AJ455</f>
        <v>0</v>
      </c>
      <c r="X344" s="70">
        <f>'RESUMEN TOTAL'!AK455</f>
        <v>0</v>
      </c>
      <c r="Y344" s="70" t="str">
        <f>'RESUMEN TOTAL'!AL455</f>
        <v>APAGADO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 t="str">
        <f>'RESUMEN TOTAL'!AS455</f>
        <v>APAGADO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 t="str">
        <f>'RESUMEN TOTAL'!S456</f>
        <v>APAGADO</v>
      </c>
      <c r="G345" s="70" t="str">
        <f>'RESUMEN TOTAL'!T456</f>
        <v>APAGADO</v>
      </c>
      <c r="H345" s="70">
        <f>'RESUMEN TOTAL'!U456</f>
        <v>0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 t="str">
        <f>'RESUMEN TOTAL'!AI456</f>
        <v>APAGADO</v>
      </c>
      <c r="W345" s="70">
        <f>'RESUMEN TOTAL'!AJ456</f>
        <v>0</v>
      </c>
      <c r="X345" s="70">
        <f>'RESUMEN TOTAL'!AK456</f>
        <v>0</v>
      </c>
      <c r="Y345" s="70" t="str">
        <f>'RESUMEN TOTAL'!AL456</f>
        <v>APAGADO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 t="str">
        <f>'RESUMEN TOTAL'!AS456</f>
        <v>APAGADO</v>
      </c>
      <c r="AG345" s="70">
        <f>'RESUMEN TOTAL'!AT456</f>
        <v>0</v>
      </c>
      <c r="AH345" s="70">
        <f>'RESUMEN TOTAL'!AU456</f>
        <v>0</v>
      </c>
      <c r="AI345" s="70">
        <f>'RESUMEN TOTAL'!AV456</f>
        <v>0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 t="str">
        <f>'RESUMEN TOTAL'!S457</f>
        <v>APAGADO</v>
      </c>
      <c r="G346" s="70" t="str">
        <f>'RESUMEN TOTAL'!T457</f>
        <v>APAGADO</v>
      </c>
      <c r="H346" s="70">
        <f>'RESUMEN TOTAL'!U457</f>
        <v>0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 t="str">
        <f>'RESUMEN TOTAL'!AI457</f>
        <v>APAGADO</v>
      </c>
      <c r="W346" s="70">
        <f>'RESUMEN TOTAL'!AJ457</f>
        <v>0</v>
      </c>
      <c r="X346" s="70">
        <f>'RESUMEN TOTAL'!AK457</f>
        <v>0</v>
      </c>
      <c r="Y346" s="70" t="str">
        <f>'RESUMEN TOTAL'!AL457</f>
        <v>APAGADO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 t="str">
        <f>'RESUMEN TOTAL'!AS457</f>
        <v>APAGADO</v>
      </c>
      <c r="AG346" s="70">
        <f>'RESUMEN TOTAL'!AT457</f>
        <v>0</v>
      </c>
      <c r="AH346" s="70">
        <f>'RESUMEN TOTAL'!AU457</f>
        <v>0</v>
      </c>
      <c r="AI346" s="70">
        <f>'RESUMEN TOTAL'!AV457</f>
        <v>0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 t="str">
        <f>'RESUMEN TOTAL'!AI458</f>
        <v>APAGADO</v>
      </c>
      <c r="W347" s="70">
        <f>'RESUMEN TOTAL'!AJ458</f>
        <v>0</v>
      </c>
      <c r="X347" s="70">
        <f>'RESUMEN TOTAL'!AK458</f>
        <v>0</v>
      </c>
      <c r="Y347" s="70" t="str">
        <f>'RESUMEN TOTAL'!AL458</f>
        <v>APAGADO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 t="str">
        <f>'RESUMEN TOTAL'!AS458</f>
        <v>APAGADO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 t="str">
        <f>'RESUMEN TOTAL'!AI459</f>
        <v>APAGADO</v>
      </c>
      <c r="W348" s="70">
        <f>'RESUMEN TOTAL'!AJ459</f>
        <v>0</v>
      </c>
      <c r="X348" s="70">
        <f>'RESUMEN TOTAL'!AK459</f>
        <v>0</v>
      </c>
      <c r="Y348" s="70" t="str">
        <f>'RESUMEN TOTAL'!AL459</f>
        <v>APAGADO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 t="str">
        <f>'RESUMEN TOTAL'!AS459</f>
        <v>APAGADO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 t="str">
        <f>'RESUMEN TOTAL'!Z461</f>
        <v>APAGADO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 t="str">
        <f>'RESUMEN TOTAL'!AE461</f>
        <v>APAGADO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 t="str">
        <f>'RESUMEN TOTAL'!AE464</f>
        <v>APAGADO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 t="str">
        <f>'RESUMEN TOTAL'!S465</f>
        <v>APAGADO</v>
      </c>
      <c r="G354" s="70" t="str">
        <f>'RESUMEN TOTAL'!T465</f>
        <v>APAGADO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 t="str">
        <f>'RESUMEN TOTAL'!X465</f>
        <v>APAGADO</v>
      </c>
      <c r="L354" s="70" t="str">
        <f>'RESUMEN TOTAL'!Y465</f>
        <v>APAGADO</v>
      </c>
      <c r="M354" s="70" t="str">
        <f>'RESUMEN TOTAL'!Z465</f>
        <v>APAGADO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 t="str">
        <f>'RESUMEN TOTAL'!AE465</f>
        <v>APAGADO</v>
      </c>
      <c r="S354" s="70" t="str">
        <f>'RESUMEN TOTAL'!AF465</f>
        <v>APAGADO</v>
      </c>
      <c r="T354" s="70" t="str">
        <f>'RESUMEN TOTAL'!AG465</f>
        <v>APAGADO</v>
      </c>
      <c r="U354" s="70" t="str">
        <f>'RESUMEN TOTAL'!AH465</f>
        <v>APAGADO</v>
      </c>
      <c r="V354" s="70" t="str">
        <f>'RESUMEN TOTAL'!AI465</f>
        <v>APAGADO</v>
      </c>
      <c r="W354" s="70">
        <f>'RESUMEN TOTAL'!AJ465</f>
        <v>0</v>
      </c>
      <c r="X354" s="70">
        <f>'RESUMEN TOTAL'!AK465</f>
        <v>0</v>
      </c>
      <c r="Y354" s="70" t="str">
        <f>'RESUMEN TOTAL'!AL465</f>
        <v>APAGADO</v>
      </c>
      <c r="Z354" s="70" t="str">
        <f>'RESUMEN TOTAL'!AM465</f>
        <v>APAGADO</v>
      </c>
      <c r="AA354" s="70" t="str">
        <f>'RESUMEN TOTAL'!AN465</f>
        <v>APAGADO</v>
      </c>
      <c r="AB354" s="70" t="str">
        <f>'RESUMEN TOTAL'!AO465</f>
        <v>APAGADO</v>
      </c>
      <c r="AC354" s="70" t="str">
        <f>'RESUMEN TOTAL'!AP465</f>
        <v>APAGADO</v>
      </c>
      <c r="AD354" s="70">
        <f>'RESUMEN TOTAL'!AQ465</f>
        <v>0</v>
      </c>
      <c r="AE354" s="70">
        <f>'RESUMEN TOTAL'!AR465</f>
        <v>0</v>
      </c>
      <c r="AF354" s="70" t="str">
        <f>'RESUMEN TOTAL'!AS465</f>
        <v>APAGADO</v>
      </c>
      <c r="AG354" s="70" t="str">
        <f>'RESUMEN TOTAL'!AT465</f>
        <v>APAGADO</v>
      </c>
      <c r="AH354" s="70">
        <f>'RESUMEN TOTAL'!AU465</f>
        <v>0</v>
      </c>
      <c r="AI354" s="70">
        <f>'RESUMEN TOTAL'!AV465</f>
        <v>0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 t="str">
        <f>'RESUMEN TOTAL'!T467</f>
        <v>APAGADO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 t="str">
        <f>'RESUMEN TOTAL'!S468</f>
        <v>APAGADO</v>
      </c>
      <c r="G357" s="70" t="str">
        <f>'RESUMEN TOTAL'!T468</f>
        <v>APAGADO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 t="str">
        <f>'RESUMEN TOTAL'!X468</f>
        <v>APAGADO</v>
      </c>
      <c r="L357" s="70" t="str">
        <f>'RESUMEN TOTAL'!Y468</f>
        <v>APAGADO</v>
      </c>
      <c r="M357" s="70" t="str">
        <f>'RESUMEN TOTAL'!Z468</f>
        <v>APAGADO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 t="str">
        <f>'RESUMEN TOTAL'!AE468</f>
        <v>APAGADO</v>
      </c>
      <c r="S357" s="70" t="str">
        <f>'RESUMEN TOTAL'!AF468</f>
        <v>APAGADO</v>
      </c>
      <c r="T357" s="70" t="str">
        <f>'RESUMEN TOTAL'!AG468</f>
        <v>APAGADO</v>
      </c>
      <c r="U357" s="70" t="str">
        <f>'RESUMEN TOTAL'!AH468</f>
        <v>APAGADO</v>
      </c>
      <c r="V357" s="70" t="str">
        <f>'RESUMEN TOTAL'!AI468</f>
        <v>APAGADO</v>
      </c>
      <c r="W357" s="70">
        <f>'RESUMEN TOTAL'!AJ468</f>
        <v>0</v>
      </c>
      <c r="X357" s="70">
        <f>'RESUMEN TOTAL'!AK468</f>
        <v>0</v>
      </c>
      <c r="Y357" s="70" t="str">
        <f>'RESUMEN TOTAL'!AL468</f>
        <v>APAGADO</v>
      </c>
      <c r="Z357" s="70" t="str">
        <f>'RESUMEN TOTAL'!AM468</f>
        <v>APAGADO</v>
      </c>
      <c r="AA357" s="70" t="str">
        <f>'RESUMEN TOTAL'!AN468</f>
        <v>APAGADO</v>
      </c>
      <c r="AB357" s="70" t="str">
        <f>'RESUMEN TOTAL'!AO468</f>
        <v>APAGADO</v>
      </c>
      <c r="AC357" s="70" t="str">
        <f>'RESUMEN TOTAL'!AP468</f>
        <v>APAGADO</v>
      </c>
      <c r="AD357" s="70">
        <f>'RESUMEN TOTAL'!AQ468</f>
        <v>0</v>
      </c>
      <c r="AE357" s="70">
        <f>'RESUMEN TOTAL'!AR468</f>
        <v>0</v>
      </c>
      <c r="AF357" s="70" t="str">
        <f>'RESUMEN TOTAL'!AS468</f>
        <v>APAGADO</v>
      </c>
      <c r="AG357" s="70" t="str">
        <f>'RESUMEN TOTAL'!AT468</f>
        <v>APAGADO</v>
      </c>
      <c r="AH357" s="70">
        <f>'RESUMEN TOTAL'!AU468</f>
        <v>0</v>
      </c>
      <c r="AI357" s="70">
        <f>'RESUMEN TOTAL'!AV468</f>
        <v>0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 t="str">
        <f>'RESUMEN TOTAL'!S469</f>
        <v>APAGADO</v>
      </c>
      <c r="G358" s="70" t="str">
        <f>'RESUMEN TOTAL'!T469</f>
        <v>APAGADO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 t="str">
        <f>'RESUMEN TOTAL'!X469</f>
        <v>APAGADO</v>
      </c>
      <c r="L358" s="70" t="str">
        <f>'RESUMEN TOTAL'!Y469</f>
        <v>APAGADO</v>
      </c>
      <c r="M358" s="70" t="str">
        <f>'RESUMEN TOTAL'!Z469</f>
        <v>APAGADO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 t="str">
        <f>'RESUMEN TOTAL'!AE469</f>
        <v>APAGADO</v>
      </c>
      <c r="S358" s="70" t="str">
        <f>'RESUMEN TOTAL'!AF469</f>
        <v>APAGADO</v>
      </c>
      <c r="T358" s="70" t="str">
        <f>'RESUMEN TOTAL'!AG469</f>
        <v>APAGADO</v>
      </c>
      <c r="U358" s="70" t="str">
        <f>'RESUMEN TOTAL'!AH469</f>
        <v>APAGADO</v>
      </c>
      <c r="V358" s="70" t="str">
        <f>'RESUMEN TOTAL'!AI469</f>
        <v>APAGADO</v>
      </c>
      <c r="W358" s="70">
        <f>'RESUMEN TOTAL'!AJ469</f>
        <v>0</v>
      </c>
      <c r="X358" s="70">
        <f>'RESUMEN TOTAL'!AK469</f>
        <v>0</v>
      </c>
      <c r="Y358" s="70" t="str">
        <f>'RESUMEN TOTAL'!AL469</f>
        <v>APAGADO</v>
      </c>
      <c r="Z358" s="70" t="str">
        <f>'RESUMEN TOTAL'!AM469</f>
        <v>APAGADO</v>
      </c>
      <c r="AA358" s="70" t="str">
        <f>'RESUMEN TOTAL'!AN469</f>
        <v>APAGADO</v>
      </c>
      <c r="AB358" s="70" t="str">
        <f>'RESUMEN TOTAL'!AO469</f>
        <v>APAGADO</v>
      </c>
      <c r="AC358" s="70" t="str">
        <f>'RESUMEN TOTAL'!AP469</f>
        <v>APAGADO</v>
      </c>
      <c r="AD358" s="70">
        <f>'RESUMEN TOTAL'!AQ469</f>
        <v>0</v>
      </c>
      <c r="AE358" s="70">
        <f>'RESUMEN TOTAL'!AR469</f>
        <v>0</v>
      </c>
      <c r="AF358" s="70" t="str">
        <f>'RESUMEN TOTAL'!AS469</f>
        <v>APAGADO</v>
      </c>
      <c r="AG358" s="70" t="str">
        <f>'RESUMEN TOTAL'!AT469</f>
        <v>APAGADO</v>
      </c>
      <c r="AH358" s="70">
        <f>'RESUMEN TOTAL'!AU469</f>
        <v>0</v>
      </c>
      <c r="AI358" s="70">
        <f>'RESUMEN TOTAL'!AV469</f>
        <v>0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 t="str">
        <f>'RESUMEN TOTAL'!S479</f>
        <v>APAGADO</v>
      </c>
      <c r="G361" s="70" t="str">
        <f>'RESUMEN TOTAL'!T479</f>
        <v>APAGADO</v>
      </c>
      <c r="H361" s="70" t="str">
        <f>'RESUMEN TOTAL'!U479</f>
        <v>APAGADO</v>
      </c>
      <c r="I361" s="70">
        <f>'RESUMEN TOTAL'!V479</f>
        <v>0</v>
      </c>
      <c r="J361" s="70">
        <f>'RESUMEN TOTAL'!W479</f>
        <v>0</v>
      </c>
      <c r="K361" s="70" t="str">
        <f>'RESUMEN TOTAL'!X479</f>
        <v>APAGADO</v>
      </c>
      <c r="L361" s="70" t="str">
        <f>'RESUMEN TOTAL'!Y479</f>
        <v>APAGADO</v>
      </c>
      <c r="M361" s="70" t="str">
        <f>'RESUMEN TOTAL'!Z479</f>
        <v>APAGADO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 t="str">
        <f>'RESUMEN TOTAL'!AE479</f>
        <v>APAGADO</v>
      </c>
      <c r="S361" s="70" t="str">
        <f>'RESUMEN TOTAL'!AF479</f>
        <v>APAGADO</v>
      </c>
      <c r="T361" s="70" t="str">
        <f>'RESUMEN TOTAL'!AG479</f>
        <v>APAGADO</v>
      </c>
      <c r="U361" s="70" t="str">
        <f>'RESUMEN TOTAL'!AH479</f>
        <v>APAGADO</v>
      </c>
      <c r="V361" s="70" t="str">
        <f>'RESUMEN TOTAL'!AI479</f>
        <v>APAGADO</v>
      </c>
      <c r="W361" s="70">
        <f>'RESUMEN TOTAL'!AJ479</f>
        <v>0</v>
      </c>
      <c r="X361" s="70">
        <f>'RESUMEN TOTAL'!AK479</f>
        <v>0</v>
      </c>
      <c r="Y361" s="70" t="str">
        <f>'RESUMEN TOTAL'!AL479</f>
        <v>APAGADO</v>
      </c>
      <c r="Z361" s="70" t="str">
        <f>'RESUMEN TOTAL'!AM479</f>
        <v>APAGADO</v>
      </c>
      <c r="AA361" s="70" t="str">
        <f>'RESUMEN TOTAL'!AN479</f>
        <v>APAGADO</v>
      </c>
      <c r="AB361" s="70" t="str">
        <f>'RESUMEN TOTAL'!AO479</f>
        <v>APAGADO</v>
      </c>
      <c r="AC361" s="70" t="str">
        <f>'RESUMEN TOTAL'!AP479</f>
        <v>APAGADO</v>
      </c>
      <c r="AD361" s="70">
        <f>'RESUMEN TOTAL'!AQ479</f>
        <v>0</v>
      </c>
      <c r="AE361" s="70">
        <f>'RESUMEN TOTAL'!AR479</f>
        <v>0</v>
      </c>
      <c r="AF361" s="70" t="str">
        <f>'RESUMEN TOTAL'!AS479</f>
        <v>APAGADO</v>
      </c>
      <c r="AG361" s="70" t="str">
        <f>'RESUMEN TOTAL'!AT479</f>
        <v>APAGADO</v>
      </c>
      <c r="AH361" s="70">
        <f>'RESUMEN TOTAL'!AU479</f>
        <v>0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 t="str">
        <f>'RESUMEN TOTAL'!S480</f>
        <v>APAGADO</v>
      </c>
      <c r="G362" s="70" t="str">
        <f>'RESUMEN TOTAL'!T480</f>
        <v>APAGADO</v>
      </c>
      <c r="H362" s="70" t="str">
        <f>'RESUMEN TOTAL'!U480</f>
        <v>APAGADO</v>
      </c>
      <c r="I362" s="70">
        <f>'RESUMEN TOTAL'!V480</f>
        <v>0</v>
      </c>
      <c r="J362" s="70">
        <f>'RESUMEN TOTAL'!W480</f>
        <v>0</v>
      </c>
      <c r="K362" s="70" t="str">
        <f>'RESUMEN TOTAL'!X480</f>
        <v>APAGADO</v>
      </c>
      <c r="L362" s="70" t="str">
        <f>'RESUMEN TOTAL'!Y480</f>
        <v>APAGADO</v>
      </c>
      <c r="M362" s="70" t="str">
        <f>'RESUMEN TOTAL'!Z480</f>
        <v>APAGADO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 t="str">
        <f>'RESUMEN TOTAL'!AE480</f>
        <v>APAGADO</v>
      </c>
      <c r="S362" s="70" t="str">
        <f>'RESUMEN TOTAL'!AF480</f>
        <v>APAGADO</v>
      </c>
      <c r="T362" s="70" t="str">
        <f>'RESUMEN TOTAL'!AG480</f>
        <v>APAGADO</v>
      </c>
      <c r="U362" s="70" t="str">
        <f>'RESUMEN TOTAL'!AH480</f>
        <v>APAGADO</v>
      </c>
      <c r="V362" s="70" t="str">
        <f>'RESUMEN TOTAL'!AI480</f>
        <v>APAGADO</v>
      </c>
      <c r="W362" s="70">
        <f>'RESUMEN TOTAL'!AJ480</f>
        <v>0</v>
      </c>
      <c r="X362" s="70">
        <f>'RESUMEN TOTAL'!AK480</f>
        <v>0</v>
      </c>
      <c r="Y362" s="70" t="str">
        <f>'RESUMEN TOTAL'!AL480</f>
        <v>APAGADO</v>
      </c>
      <c r="Z362" s="70" t="str">
        <f>'RESUMEN TOTAL'!AM480</f>
        <v>APAGADO</v>
      </c>
      <c r="AA362" s="70" t="str">
        <f>'RESUMEN TOTAL'!AN480</f>
        <v>APAGADO</v>
      </c>
      <c r="AB362" s="70" t="str">
        <f>'RESUMEN TOTAL'!AO480</f>
        <v>APAGADO</v>
      </c>
      <c r="AC362" s="70" t="str">
        <f>'RESUMEN TOTAL'!AP480</f>
        <v>APAGADO</v>
      </c>
      <c r="AD362" s="70">
        <f>'RESUMEN TOTAL'!AQ480</f>
        <v>0</v>
      </c>
      <c r="AE362" s="70">
        <f>'RESUMEN TOTAL'!AR480</f>
        <v>0</v>
      </c>
      <c r="AF362" s="70" t="str">
        <f>'RESUMEN TOTAL'!AS480</f>
        <v>APAGADO</v>
      </c>
      <c r="AG362" s="70" t="str">
        <f>'RESUMEN TOTAL'!AT480</f>
        <v>APAGADO</v>
      </c>
      <c r="AH362" s="70">
        <f>'RESUMEN TOTAL'!AU480</f>
        <v>0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 t="str">
        <f>'RESUMEN TOTAL'!S481</f>
        <v>APAGADO</v>
      </c>
      <c r="G363" s="70" t="str">
        <f>'RESUMEN TOTAL'!T481</f>
        <v>APAGADO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 t="str">
        <f>'RESUMEN TOTAL'!X481</f>
        <v>APAGADO</v>
      </c>
      <c r="L363" s="70" t="str">
        <f>'RESUMEN TOTAL'!Y481</f>
        <v>APAGADO</v>
      </c>
      <c r="M363" s="70" t="str">
        <f>'RESUMEN TOTAL'!Z481</f>
        <v>APAGADO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 t="str">
        <f>'RESUMEN TOTAL'!AE481</f>
        <v>APAGADO</v>
      </c>
      <c r="S363" s="70" t="str">
        <f>'RESUMEN TOTAL'!AF481</f>
        <v>APAGADO</v>
      </c>
      <c r="T363" s="70" t="str">
        <f>'RESUMEN TOTAL'!AG481</f>
        <v>APAGADO</v>
      </c>
      <c r="U363" s="70" t="str">
        <f>'RESUMEN TOTAL'!AH481</f>
        <v>APAGADO</v>
      </c>
      <c r="V363" s="70" t="str">
        <f>'RESUMEN TOTAL'!AI481</f>
        <v>APAGADO</v>
      </c>
      <c r="W363" s="70">
        <f>'RESUMEN TOTAL'!AJ481</f>
        <v>0</v>
      </c>
      <c r="X363" s="70">
        <f>'RESUMEN TOTAL'!AK481</f>
        <v>0</v>
      </c>
      <c r="Y363" s="70" t="str">
        <f>'RESUMEN TOTAL'!AL481</f>
        <v>APAGADO</v>
      </c>
      <c r="Z363" s="70" t="str">
        <f>'RESUMEN TOTAL'!AM481</f>
        <v>APAGADO</v>
      </c>
      <c r="AA363" s="70" t="str">
        <f>'RESUMEN TOTAL'!AN481</f>
        <v>APAGADO</v>
      </c>
      <c r="AB363" s="70" t="str">
        <f>'RESUMEN TOTAL'!AO481</f>
        <v>APAGADO</v>
      </c>
      <c r="AC363" s="70" t="str">
        <f>'RESUMEN TOTAL'!AP481</f>
        <v>APAGADO</v>
      </c>
      <c r="AD363" s="70">
        <f>'RESUMEN TOTAL'!AQ481</f>
        <v>0</v>
      </c>
      <c r="AE363" s="70">
        <f>'RESUMEN TOTAL'!AR481</f>
        <v>0</v>
      </c>
      <c r="AF363" s="70" t="str">
        <f>'RESUMEN TOTAL'!AS481</f>
        <v>APAGADO</v>
      </c>
      <c r="AG363" s="70">
        <f>'RESUMEN TOTAL'!AT481</f>
        <v>0</v>
      </c>
      <c r="AH363" s="70">
        <f>'RESUMEN TOTAL'!AU481</f>
        <v>0</v>
      </c>
      <c r="AI363" s="70">
        <f>'RESUMEN TOTAL'!AV481</f>
        <v>0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 t="str">
        <f>'RESUMEN TOTAL'!Y483</f>
        <v>APAGADO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 t="str">
        <f>'RESUMEN TOTAL'!X484</f>
        <v>APAGADO</v>
      </c>
      <c r="L365" s="70" t="str">
        <f>'RESUMEN TOTAL'!Y484</f>
        <v>APAGADO</v>
      </c>
      <c r="M365" s="70" t="str">
        <f>'RESUMEN TOTAL'!Z484</f>
        <v>APAGADO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 t="str">
        <f>'RESUMEN TOTAL'!AE484</f>
        <v>APAGADO</v>
      </c>
      <c r="S365" s="70" t="str">
        <f>'RESUMEN TOTAL'!AF484</f>
        <v>APAGADO</v>
      </c>
      <c r="T365" s="70" t="str">
        <f>'RESUMEN TOTAL'!AG484</f>
        <v>APAGADO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 t="str">
        <f>'RESUMEN TOTAL'!AE486</f>
        <v>APAGADO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 t="str">
        <f>'RESUMEN TOTAL'!AE487</f>
        <v>APAGADO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 t="str">
        <f>'RESUMEN TOTAL'!U503</f>
        <v>APAGADO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 t="str">
        <f>'RESUMEN TOTAL'!AE503</f>
        <v>APAGADO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 t="str">
        <f>'RESUMEN TOTAL'!Z507</f>
        <v>APAGADO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 t="str">
        <f>'RESUMEN TOTAL'!Z508</f>
        <v>APAGADO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>
        <f>'RESUMEN TOTAL'!U509</f>
        <v>0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 t="str">
        <f>'RESUMEN TOTAL'!Z509</f>
        <v>APAGADO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>
        <f>'RESUMEN TOTAL'!U510</f>
        <v>0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 t="str">
        <f>'RESUMEN TOTAL'!Z510</f>
        <v>APAGADO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 t="str">
        <f>'RESUMEN TOTAL'!X511</f>
        <v>APAGADO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 t="str">
        <f>'RESUMEN TOTAL'!AF511</f>
        <v>APAGADO</v>
      </c>
      <c r="T385" s="70" t="str">
        <f>'RESUMEN TOTAL'!AG511</f>
        <v>APAGADO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 t="str">
        <f>'RESUMEN TOTAL'!T521</f>
        <v>APAGADO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 t="str">
        <f>'RESUMEN TOTAL'!AE525</f>
        <v>APAGADO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 t="str">
        <f>'RESUMEN TOTAL'!AE526</f>
        <v>APAGADO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 t="str">
        <f>'RESUMEN TOTAL'!T530</f>
        <v>APAGADO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 t="str">
        <f>'RESUMEN TOTAL'!S537</f>
        <v>APAGADO</v>
      </c>
      <c r="G411" s="70" t="str">
        <f>'RESUMEN TOTAL'!T537</f>
        <v>APAGADO</v>
      </c>
      <c r="H411" s="70" t="str">
        <f>'RESUMEN TOTAL'!U537</f>
        <v>APAGADO</v>
      </c>
      <c r="I411" s="70">
        <f>'RESUMEN TOTAL'!V537</f>
        <v>0</v>
      </c>
      <c r="J411" s="70">
        <f>'RESUMEN TOTAL'!W537</f>
        <v>0</v>
      </c>
      <c r="K411" s="70" t="str">
        <f>'RESUMEN TOTAL'!X537</f>
        <v>APAGADO</v>
      </c>
      <c r="L411" s="70" t="str">
        <f>'RESUMEN TOTAL'!Y537</f>
        <v>APAGADO</v>
      </c>
      <c r="M411" s="70" t="str">
        <f>'RESUMEN TOTAL'!Z537</f>
        <v>APAGADO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 t="str">
        <f>'RESUMEN TOTAL'!AE537</f>
        <v>APAGADO</v>
      </c>
      <c r="S411" s="70" t="str">
        <f>'RESUMEN TOTAL'!AF537</f>
        <v>APAGADO</v>
      </c>
      <c r="T411" s="70" t="str">
        <f>'RESUMEN TOTAL'!AG537</f>
        <v>APAGADO</v>
      </c>
      <c r="U411" s="70" t="str">
        <f>'RESUMEN TOTAL'!AH537</f>
        <v>APAGADO</v>
      </c>
      <c r="V411" s="70" t="str">
        <f>'RESUMEN TOTAL'!AI537</f>
        <v>APAGADO</v>
      </c>
      <c r="W411" s="70">
        <f>'RESUMEN TOTAL'!AJ537</f>
        <v>0</v>
      </c>
      <c r="X411" s="70">
        <f>'RESUMEN TOTAL'!AK537</f>
        <v>0</v>
      </c>
      <c r="Y411" s="70" t="str">
        <f>'RESUMEN TOTAL'!AL537</f>
        <v>APAGADO</v>
      </c>
      <c r="Z411" s="70" t="str">
        <f>'RESUMEN TOTAL'!AM537</f>
        <v>APAGADO</v>
      </c>
      <c r="AA411" s="70" t="str">
        <f>'RESUMEN TOTAL'!AN537</f>
        <v>APAGADO</v>
      </c>
      <c r="AB411" s="70" t="str">
        <f>'RESUMEN TOTAL'!AO537</f>
        <v>APAGADO</v>
      </c>
      <c r="AC411" s="70" t="str">
        <f>'RESUMEN TOTAL'!AP537</f>
        <v>APAGADO</v>
      </c>
      <c r="AD411" s="70">
        <f>'RESUMEN TOTAL'!AQ537</f>
        <v>0</v>
      </c>
      <c r="AE411" s="70">
        <f>'RESUMEN TOTAL'!AR537</f>
        <v>0</v>
      </c>
      <c r="AF411" s="70" t="str">
        <f>'RESUMEN TOTAL'!AS537</f>
        <v>APAGADO</v>
      </c>
      <c r="AG411" s="70" t="str">
        <f>'RESUMEN TOTAL'!AT537</f>
        <v>APAGADO</v>
      </c>
      <c r="AH411" s="70">
        <f>'RESUMEN TOTAL'!AU537</f>
        <v>0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 t="str">
        <f>'RESUMEN TOTAL'!S540</f>
        <v>APAGADO</v>
      </c>
      <c r="G414" s="70" t="str">
        <f>'RESUMEN TOTAL'!T540</f>
        <v>APAGADO</v>
      </c>
      <c r="H414" s="70" t="str">
        <f>'RESUMEN TOTAL'!U540</f>
        <v>APAGADO</v>
      </c>
      <c r="I414" s="70">
        <f>'RESUMEN TOTAL'!V540</f>
        <v>0</v>
      </c>
      <c r="J414" s="70">
        <f>'RESUMEN TOTAL'!W540</f>
        <v>0</v>
      </c>
      <c r="K414" s="70" t="str">
        <f>'RESUMEN TOTAL'!X540</f>
        <v>APAGADO</v>
      </c>
      <c r="L414" s="70" t="str">
        <f>'RESUMEN TOTAL'!Y540</f>
        <v>APAGADO</v>
      </c>
      <c r="M414" s="70" t="str">
        <f>'RESUMEN TOTAL'!Z540</f>
        <v>APAGADO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 t="str">
        <f>'RESUMEN TOTAL'!AE540</f>
        <v>APAGADO</v>
      </c>
      <c r="S414" s="70" t="str">
        <f>'RESUMEN TOTAL'!AF540</f>
        <v>APAGADO</v>
      </c>
      <c r="T414" s="70" t="str">
        <f>'RESUMEN TOTAL'!AG540</f>
        <v>APAGADO</v>
      </c>
      <c r="U414" s="70" t="str">
        <f>'RESUMEN TOTAL'!AH540</f>
        <v>APAGADO</v>
      </c>
      <c r="V414" s="70" t="str">
        <f>'RESUMEN TOTAL'!AI540</f>
        <v>APAGADO</v>
      </c>
      <c r="W414" s="70">
        <f>'RESUMEN TOTAL'!AJ540</f>
        <v>0</v>
      </c>
      <c r="X414" s="70">
        <f>'RESUMEN TOTAL'!AK540</f>
        <v>0</v>
      </c>
      <c r="Y414" s="70" t="str">
        <f>'RESUMEN TOTAL'!AL540</f>
        <v>APAGADO</v>
      </c>
      <c r="Z414" s="70" t="str">
        <f>'RESUMEN TOTAL'!AM540</f>
        <v>APAGADO</v>
      </c>
      <c r="AA414" s="70" t="str">
        <f>'RESUMEN TOTAL'!AN540</f>
        <v>APAGADO</v>
      </c>
      <c r="AB414" s="70" t="str">
        <f>'RESUMEN TOTAL'!AO540</f>
        <v>APAGADO</v>
      </c>
      <c r="AC414" s="70" t="str">
        <f>'RESUMEN TOTAL'!AP540</f>
        <v>APAGADO</v>
      </c>
      <c r="AD414" s="70">
        <f>'RESUMEN TOTAL'!AQ540</f>
        <v>0</v>
      </c>
      <c r="AE414" s="70">
        <f>'RESUMEN TOTAL'!AR540</f>
        <v>0</v>
      </c>
      <c r="AF414" s="70" t="str">
        <f>'RESUMEN TOTAL'!AS540</f>
        <v>APAGADO</v>
      </c>
      <c r="AG414" s="70" t="str">
        <f>'RESUMEN TOTAL'!AT540</f>
        <v>APAGADO</v>
      </c>
      <c r="AH414" s="70">
        <f>'RESUMEN TOTAL'!AU540</f>
        <v>0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 t="str">
        <f>'RESUMEN TOTAL'!S541</f>
        <v>APAGADO</v>
      </c>
      <c r="G415" s="70" t="str">
        <f>'RESUMEN TOTAL'!T541</f>
        <v>APAGADO</v>
      </c>
      <c r="H415" s="70" t="str">
        <f>'RESUMEN TOTAL'!U541</f>
        <v>APAGADO</v>
      </c>
      <c r="I415" s="70">
        <f>'RESUMEN TOTAL'!V541</f>
        <v>0</v>
      </c>
      <c r="J415" s="70">
        <f>'RESUMEN TOTAL'!W541</f>
        <v>0</v>
      </c>
      <c r="K415" s="70" t="str">
        <f>'RESUMEN TOTAL'!X541</f>
        <v>APAGADO</v>
      </c>
      <c r="L415" s="70" t="str">
        <f>'RESUMEN TOTAL'!Y541</f>
        <v>APAGADO</v>
      </c>
      <c r="M415" s="70" t="str">
        <f>'RESUMEN TOTAL'!Z541</f>
        <v>APAGADO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 t="str">
        <f>'RESUMEN TOTAL'!AE541</f>
        <v>APAGADO</v>
      </c>
      <c r="S415" s="70" t="str">
        <f>'RESUMEN TOTAL'!AF541</f>
        <v>APAGADO</v>
      </c>
      <c r="T415" s="70" t="str">
        <f>'RESUMEN TOTAL'!AG541</f>
        <v>APAGADO</v>
      </c>
      <c r="U415" s="70" t="str">
        <f>'RESUMEN TOTAL'!AH541</f>
        <v>APAGADO</v>
      </c>
      <c r="V415" s="70" t="str">
        <f>'RESUMEN TOTAL'!AI541</f>
        <v>APAGADO</v>
      </c>
      <c r="W415" s="70">
        <f>'RESUMEN TOTAL'!AJ541</f>
        <v>0</v>
      </c>
      <c r="X415" s="70">
        <f>'RESUMEN TOTAL'!AK541</f>
        <v>0</v>
      </c>
      <c r="Y415" s="70" t="str">
        <f>'RESUMEN TOTAL'!AL541</f>
        <v>APAGADO</v>
      </c>
      <c r="Z415" s="70" t="str">
        <f>'RESUMEN TOTAL'!AM541</f>
        <v>APAGADO</v>
      </c>
      <c r="AA415" s="70" t="str">
        <f>'RESUMEN TOTAL'!AN541</f>
        <v>APAGADO</v>
      </c>
      <c r="AB415" s="70" t="str">
        <f>'RESUMEN TOTAL'!AO541</f>
        <v>APAGADO</v>
      </c>
      <c r="AC415" s="70" t="str">
        <f>'RESUMEN TOTAL'!AP541</f>
        <v>APAGADO</v>
      </c>
      <c r="AD415" s="70">
        <f>'RESUMEN TOTAL'!AQ541</f>
        <v>0</v>
      </c>
      <c r="AE415" s="70">
        <f>'RESUMEN TOTAL'!AR541</f>
        <v>0</v>
      </c>
      <c r="AF415" s="70" t="str">
        <f>'RESUMEN TOTAL'!AS541</f>
        <v>APAGADO</v>
      </c>
      <c r="AG415" s="70" t="str">
        <f>'RESUMEN TOTAL'!AT541</f>
        <v>APAGADO</v>
      </c>
      <c r="AH415" s="70">
        <f>'RESUMEN TOTAL'!AU541</f>
        <v>0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 t="str">
        <f>'RESUMEN TOTAL'!AE551</f>
        <v>APAGADO</v>
      </c>
      <c r="S420" s="70" t="str">
        <f>'RESUMEN TOTAL'!AF551</f>
        <v>APAGADO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 t="str">
        <f>'RESUMEN TOTAL'!AE559</f>
        <v>APAGADO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 t="str">
        <f>'RESUMEN TOTAL'!S560</f>
        <v>APAGADO</v>
      </c>
      <c r="G428" s="70" t="str">
        <f>'RESUMEN TOTAL'!T560</f>
        <v>APAGADO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 t="str">
        <f>'RESUMEN TOTAL'!X560</f>
        <v>APAGADO</v>
      </c>
      <c r="L428" s="70" t="str">
        <f>'RESUMEN TOTAL'!Y560</f>
        <v>APAGADO</v>
      </c>
      <c r="M428" s="70" t="str">
        <f>'RESUMEN TOTAL'!Z560</f>
        <v>APAGADO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 t="str">
        <f>'RESUMEN TOTAL'!AE560</f>
        <v>APAGADO</v>
      </c>
      <c r="S428" s="70" t="str">
        <f>'RESUMEN TOTAL'!AF560</f>
        <v>APAGADO</v>
      </c>
      <c r="T428" s="70" t="str">
        <f>'RESUMEN TOTAL'!AG560</f>
        <v>APAGADO</v>
      </c>
      <c r="U428" s="70" t="str">
        <f>'RESUMEN TOTAL'!AH560</f>
        <v>APAGADO</v>
      </c>
      <c r="V428" s="70" t="str">
        <f>'RESUMEN TOTAL'!AI560</f>
        <v>APAGADO</v>
      </c>
      <c r="W428" s="70">
        <f>'RESUMEN TOTAL'!AJ560</f>
        <v>0</v>
      </c>
      <c r="X428" s="70">
        <f>'RESUMEN TOTAL'!AK560</f>
        <v>0</v>
      </c>
      <c r="Y428" s="70" t="str">
        <f>'RESUMEN TOTAL'!AL560</f>
        <v>APAGADO</v>
      </c>
      <c r="Z428" s="70" t="str">
        <f>'RESUMEN TOTAL'!AM560</f>
        <v>APAGADO</v>
      </c>
      <c r="AA428" s="70" t="str">
        <f>'RESUMEN TOTAL'!AN560</f>
        <v>APAGADO</v>
      </c>
      <c r="AB428" s="70" t="str">
        <f>'RESUMEN TOTAL'!AO560</f>
        <v>APAGADO</v>
      </c>
      <c r="AC428" s="70" t="str">
        <f>'RESUMEN TOTAL'!AP560</f>
        <v>APAGADO</v>
      </c>
      <c r="AD428" s="70">
        <f>'RESUMEN TOTAL'!AQ560</f>
        <v>0</v>
      </c>
      <c r="AE428" s="70">
        <f>'RESUMEN TOTAL'!AR560</f>
        <v>0</v>
      </c>
      <c r="AF428" s="70" t="str">
        <f>'RESUMEN TOTAL'!AS560</f>
        <v>APAGADO</v>
      </c>
      <c r="AG428" s="70" t="str">
        <f>'RESUMEN TOTAL'!AT560</f>
        <v>APAGADO</v>
      </c>
      <c r="AH428" s="70">
        <f>'RESUMEN TOTAL'!AU560</f>
        <v>0</v>
      </c>
      <c r="AI428" s="70">
        <f>'RESUMEN TOTAL'!AV560</f>
        <v>0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 t="str">
        <f>'RESUMEN TOTAL'!U567</f>
        <v>APAGADO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 t="str">
        <f>'RESUMEN TOTAL'!S568</f>
        <v>APAGADO</v>
      </c>
      <c r="G435" s="70" t="str">
        <f>'RESUMEN TOTAL'!T568</f>
        <v>APAGADO</v>
      </c>
      <c r="H435" s="70" t="str">
        <f>'RESUMEN TOTAL'!U568</f>
        <v>APAGADO</v>
      </c>
      <c r="I435" s="70">
        <f>'RESUMEN TOTAL'!V568</f>
        <v>0</v>
      </c>
      <c r="J435" s="70">
        <f>'RESUMEN TOTAL'!W568</f>
        <v>0</v>
      </c>
      <c r="K435" s="70" t="str">
        <f>'RESUMEN TOTAL'!X568</f>
        <v>APAGADO</v>
      </c>
      <c r="L435" s="70" t="str">
        <f>'RESUMEN TOTAL'!Y568</f>
        <v>APAGADO</v>
      </c>
      <c r="M435" s="70" t="str">
        <f>'RESUMEN TOTAL'!Z568</f>
        <v>APAGADO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 t="str">
        <f>'RESUMEN TOTAL'!AE568</f>
        <v>APAGADO</v>
      </c>
      <c r="S435" s="70" t="str">
        <f>'RESUMEN TOTAL'!AF568</f>
        <v>APAGADO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 t="str">
        <f>'RESUMEN TOTAL'!S572</f>
        <v>APAGADO</v>
      </c>
      <c r="G436" s="70" t="str">
        <f>'RESUMEN TOTAL'!T572</f>
        <v>APAGADO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 t="str">
        <f>'RESUMEN TOTAL'!X572</f>
        <v>APAGADO</v>
      </c>
      <c r="L436" s="70" t="str">
        <f>'RESUMEN TOTAL'!Y572</f>
        <v>APAGADO</v>
      </c>
      <c r="M436" s="70" t="str">
        <f>'RESUMEN TOTAL'!Z572</f>
        <v>APAGADO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 t="str">
        <f>'RESUMEN TOTAL'!AE572</f>
        <v>APAGADO</v>
      </c>
      <c r="S436" s="70" t="str">
        <f>'RESUMEN TOTAL'!AF572</f>
        <v>APAGADO</v>
      </c>
      <c r="T436" s="70" t="str">
        <f>'RESUMEN TOTAL'!AG572</f>
        <v>APAGADO</v>
      </c>
      <c r="U436" s="70" t="str">
        <f>'RESUMEN TOTAL'!AH572</f>
        <v>APAGADO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 t="str">
        <f>'RESUMEN TOTAL'!AO572</f>
        <v>APAGADO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>
        <f>'RESUMEN TOTAL'!U581</f>
        <v>0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 t="str">
        <f>'RESUMEN TOTAL'!Y581</f>
        <v>APAGADO</v>
      </c>
      <c r="M443" s="70" t="str">
        <f>'RESUMEN TOTAL'!Z581</f>
        <v>APAGADO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 t="str">
        <f>'RESUMEN TOTAL'!AG581</f>
        <v>APAGADO</v>
      </c>
      <c r="U443" s="70" t="str">
        <f>'RESUMEN TOTAL'!AH581</f>
        <v>APAGADO</v>
      </c>
      <c r="V443" s="70" t="str">
        <f>'RESUMEN TOTAL'!AI581</f>
        <v>APAGADO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>
        <f>'RESUMEN TOTAL'!U582</f>
        <v>0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 t="str">
        <f>'RESUMEN TOTAL'!Y582</f>
        <v>APAGADO</v>
      </c>
      <c r="M444" s="70" t="str">
        <f>'RESUMEN TOTAL'!Z582</f>
        <v>APAGADO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 t="str">
        <f>'RESUMEN TOTAL'!AG582</f>
        <v>APAGADO</v>
      </c>
      <c r="U444" s="70" t="str">
        <f>'RESUMEN TOTAL'!AH582</f>
        <v>APAGADO</v>
      </c>
      <c r="V444" s="70" t="str">
        <f>'RESUMEN TOTAL'!AI582</f>
        <v>APAGADO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>
        <f>'RESUMEN TOTAL'!U583</f>
        <v>0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 t="str">
        <f>'RESUMEN TOTAL'!Y583</f>
        <v>APAGADO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 t="str">
        <f>'RESUMEN TOTAL'!S584</f>
        <v>APAGADO</v>
      </c>
      <c r="G446" s="70" t="str">
        <f>'RESUMEN TOTAL'!T584</f>
        <v>APAGADO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 t="str">
        <f>'RESUMEN TOTAL'!X584</f>
        <v>APAGADO</v>
      </c>
      <c r="L446" s="70" t="str">
        <f>'RESUMEN TOTAL'!Y584</f>
        <v>APAGADO</v>
      </c>
      <c r="M446" s="70" t="str">
        <f>'RESUMEN TOTAL'!Z584</f>
        <v>APAGADO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 t="str">
        <f>'RESUMEN TOTAL'!AE584</f>
        <v>APAGADO</v>
      </c>
      <c r="S446" s="70" t="str">
        <f>'RESUMEN TOTAL'!AF584</f>
        <v>APAGADO</v>
      </c>
      <c r="T446" s="70" t="str">
        <f>'RESUMEN TOTAL'!AG584</f>
        <v>APAGADO</v>
      </c>
      <c r="U446" s="70" t="str">
        <f>'RESUMEN TOTAL'!AH584</f>
        <v>APAGADO</v>
      </c>
      <c r="V446" s="70" t="str">
        <f>'RESUMEN TOTAL'!AI584</f>
        <v>APAGADO</v>
      </c>
      <c r="W446" s="70">
        <f>'RESUMEN TOTAL'!AJ584</f>
        <v>0</v>
      </c>
      <c r="X446" s="70">
        <f>'RESUMEN TOTAL'!AK584</f>
        <v>0</v>
      </c>
      <c r="Y446" s="70" t="str">
        <f>'RESUMEN TOTAL'!AL584</f>
        <v>APAGADO</v>
      </c>
      <c r="Z446" s="70" t="str">
        <f>'RESUMEN TOTAL'!AM584</f>
        <v>APAGADO</v>
      </c>
      <c r="AA446" s="70" t="str">
        <f>'RESUMEN TOTAL'!AN584</f>
        <v>APAGADO</v>
      </c>
      <c r="AB446" s="70" t="str">
        <f>'RESUMEN TOTAL'!AO584</f>
        <v>APAGADO</v>
      </c>
      <c r="AC446" s="70" t="str">
        <f>'RESUMEN TOTAL'!AP584</f>
        <v>APAGADO</v>
      </c>
      <c r="AD446" s="70">
        <f>'RESUMEN TOTAL'!AQ584</f>
        <v>0</v>
      </c>
      <c r="AE446" s="70">
        <f>'RESUMEN TOTAL'!AR584</f>
        <v>0</v>
      </c>
      <c r="AF446" s="70" t="str">
        <f>'RESUMEN TOTAL'!AS584</f>
        <v>APAGADO</v>
      </c>
      <c r="AG446" s="70" t="str">
        <f>'RESUMEN TOTAL'!AT584</f>
        <v>APAGADO</v>
      </c>
      <c r="AH446" s="70">
        <f>'RESUMEN TOTAL'!AU584</f>
        <v>0</v>
      </c>
      <c r="AI446" s="70">
        <f>'RESUMEN TOTAL'!AV584</f>
        <v>0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 t="str">
        <f>'RESUMEN TOTAL'!AL586</f>
        <v>APAGADO</v>
      </c>
      <c r="Z448" s="70" t="str">
        <f>'RESUMEN TOTAL'!AM586</f>
        <v>APAGADO</v>
      </c>
      <c r="AA448" s="70" t="str">
        <f>'RESUMEN TOTAL'!AN586</f>
        <v>APAGADO</v>
      </c>
      <c r="AB448" s="70" t="str">
        <f>'RESUMEN TOTAL'!AO586</f>
        <v>APAGADO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 t="str">
        <f>'RESUMEN TOTAL'!AL588</f>
        <v>APAGADO</v>
      </c>
      <c r="Z450" s="70" t="str">
        <f>'RESUMEN TOTAL'!AM588</f>
        <v>APAGADO</v>
      </c>
      <c r="AA450" s="70" t="str">
        <f>'RESUMEN TOTAL'!AN588</f>
        <v>APAGADO</v>
      </c>
      <c r="AB450" s="70" t="str">
        <f>'RESUMEN TOTAL'!AO588</f>
        <v>APAGADO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 t="str">
        <f>'RESUMEN TOTAL'!U593</f>
        <v>APAGADO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 t="str">
        <f>'RESUMEN TOTAL'!AE593</f>
        <v>APAGADO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>
        <f>'RESUMEN TOTAL'!U599</f>
        <v>0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94" zoomScaleNormal="100" workbookViewId="0">
      <selection activeCell="D312" sqref="D31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46204</v>
      </c>
    </row>
    <row r="3" spans="1:6" ht="15" customHeight="1" x14ac:dyDescent="0.25">
      <c r="A3" s="76" t="s">
        <v>1438</v>
      </c>
      <c r="B3" s="53" t="s">
        <v>6</v>
      </c>
      <c r="C3" s="66">
        <f>'RESUMEN TOTAL'!S3</f>
        <v>62</v>
      </c>
      <c r="D3" s="54"/>
      <c r="E3" s="55">
        <f>C3/C2</f>
        <v>0.10333333333333333</v>
      </c>
      <c r="F3" s="160"/>
    </row>
    <row r="4" spans="1:6" x14ac:dyDescent="0.25">
      <c r="A4" s="76"/>
      <c r="B4" s="53" t="s">
        <v>1212</v>
      </c>
      <c r="C4" s="67">
        <v>7</v>
      </c>
      <c r="D4" s="100">
        <f>C3-C4</f>
        <v>55</v>
      </c>
      <c r="E4" s="55">
        <f>D4/C2</f>
        <v>9.166666666666666E-2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47</v>
      </c>
      <c r="E5" s="55">
        <f>D5/C2</f>
        <v>7.8333333333333338E-2</v>
      </c>
      <c r="F5" s="160"/>
    </row>
    <row r="6" spans="1:6" x14ac:dyDescent="0.25">
      <c r="A6" s="94" t="s">
        <v>1438</v>
      </c>
      <c r="B6" s="53" t="s">
        <v>15</v>
      </c>
      <c r="C6" s="91">
        <v>2</v>
      </c>
      <c r="D6" s="100">
        <f>D5-C6</f>
        <v>45</v>
      </c>
      <c r="E6" s="55">
        <f>D6/C2</f>
        <v>7.4999999999999997E-2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52</v>
      </c>
      <c r="E10" s="111">
        <f>D10/C10</f>
        <v>0.1793103448275862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46206</v>
      </c>
    </row>
    <row r="25" spans="1:6" x14ac:dyDescent="0.25">
      <c r="A25" t="s">
        <v>1432</v>
      </c>
      <c r="B25" s="53" t="s">
        <v>6</v>
      </c>
      <c r="C25" s="66">
        <f>'RESUMEN TOTAL'!U3</f>
        <v>102</v>
      </c>
      <c r="D25" s="54"/>
      <c r="E25" s="55">
        <f>C25/C24</f>
        <v>0.17</v>
      </c>
      <c r="F25" s="160"/>
    </row>
    <row r="26" spans="1:6" x14ac:dyDescent="0.25">
      <c r="B26" s="53" t="s">
        <v>1212</v>
      </c>
      <c r="C26" s="67">
        <v>8</v>
      </c>
      <c r="D26" s="100">
        <f>C25-C26</f>
        <v>94</v>
      </c>
      <c r="E26" s="55">
        <f>D26/C24</f>
        <v>0.15666666666666668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86</v>
      </c>
      <c r="E27" s="55">
        <f>D27/C24</f>
        <v>0.14333333333333334</v>
      </c>
      <c r="F27" s="160"/>
    </row>
    <row r="28" spans="1:6" x14ac:dyDescent="0.25">
      <c r="A28" t="s">
        <v>1432</v>
      </c>
      <c r="B28" s="53" t="s">
        <v>15</v>
      </c>
      <c r="C28" s="91">
        <v>4</v>
      </c>
      <c r="D28" s="100">
        <f>D27-C28</f>
        <v>82</v>
      </c>
      <c r="E28" s="55">
        <f>D28/C24</f>
        <v>0.13666666666666666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89</v>
      </c>
      <c r="E32" s="111">
        <f>D32/C32</f>
        <v>0.30689655172413793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60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60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60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60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66</v>
      </c>
      <c r="D58" s="54"/>
      <c r="E58" s="55">
        <f>C58/C57</f>
        <v>0.11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57</v>
      </c>
      <c r="E59" s="55">
        <f>D59/C57</f>
        <v>9.5000000000000001E-2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49</v>
      </c>
      <c r="E60" s="55">
        <f>D60/C57</f>
        <v>8.1666666666666665E-2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47</v>
      </c>
      <c r="E61" s="55">
        <f>D61/C57</f>
        <v>7.8333333333333338E-2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81</v>
      </c>
      <c r="D69" s="54"/>
      <c r="E69" s="55">
        <f>C69/C68</f>
        <v>0.13500000000000001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66</v>
      </c>
      <c r="E70" s="55">
        <f>D70/C68</f>
        <v>0.11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58</v>
      </c>
      <c r="E71" s="55">
        <f>D71/C68</f>
        <v>9.6666666666666665E-2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9.3333333333333338E-2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87</v>
      </c>
      <c r="D80" s="54"/>
      <c r="E80" s="55">
        <f>C80/C79</f>
        <v>0.14499999999999999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78</v>
      </c>
      <c r="E81" s="55">
        <f>D81/C79</f>
        <v>0.13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70</v>
      </c>
      <c r="E82" s="55">
        <f>D82/C79</f>
        <v>0.11666666666666667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63</v>
      </c>
      <c r="E83" s="55">
        <f>D83/C79</f>
        <v>0.105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9.5000000000000001E-2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53</v>
      </c>
      <c r="E147" s="55">
        <f>D147/C145</f>
        <v>8.8333333333333333E-2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45</v>
      </c>
      <c r="E148" s="55">
        <f>D148/C145</f>
        <v>7.4999999999999997E-2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7.3333333333333334E-2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0.09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8.5000000000000006E-2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7.166666666666667E-2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</v>
      </c>
      <c r="F315" s="160"/>
    </row>
    <row r="316" spans="2:6" x14ac:dyDescent="0.25">
      <c r="B316" s="53" t="s">
        <v>1212</v>
      </c>
      <c r="C316" s="67">
        <v>8</v>
      </c>
      <c r="D316" s="100">
        <f>C315-C316</f>
        <v>85</v>
      </c>
      <c r="E316" s="55">
        <f>D316/C314</f>
        <v>0.14166666666666666</v>
      </c>
      <c r="F316" s="160"/>
    </row>
    <row r="317" spans="2:6" x14ac:dyDescent="0.25">
      <c r="B317" s="53" t="s">
        <v>1213</v>
      </c>
      <c r="C317" s="67">
        <v>9</v>
      </c>
      <c r="D317" s="100">
        <f>D316-C318</f>
        <v>82</v>
      </c>
      <c r="E317" s="55">
        <f>D317/C314</f>
        <v>0.13666666666666666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0.13166666666666665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83</v>
      </c>
      <c r="E322" s="102">
        <f>D322/C322</f>
        <v>0.28620689655172415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1212</v>
      </c>
      <c r="C327" s="67">
        <v>9</v>
      </c>
      <c r="D327" s="100">
        <f>C326-C327</f>
        <v>-9</v>
      </c>
      <c r="E327" s="55">
        <f>D327/C325</f>
        <v>-1.4999999999999999E-2</v>
      </c>
      <c r="F327" s="160"/>
    </row>
    <row r="328" spans="2:6" x14ac:dyDescent="0.25">
      <c r="B328" s="53" t="s">
        <v>1213</v>
      </c>
      <c r="C328" s="67">
        <v>7</v>
      </c>
      <c r="D328" s="100">
        <f>D327-C328</f>
        <v>-16</v>
      </c>
      <c r="E328" s="55">
        <f>D328/C325</f>
        <v>-2.6666666666666668E-2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-0.03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52</v>
      </c>
      <c r="E333" s="111">
        <f>D333/C333</f>
        <v>0.1793103448275862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1212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1213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77</v>
      </c>
      <c r="E345" s="111">
        <f>D345/C345</f>
        <v>0.26551724137931032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2026-07-28T19:32:54Z</dcterms:modified>
</cp:coreProperties>
</file>