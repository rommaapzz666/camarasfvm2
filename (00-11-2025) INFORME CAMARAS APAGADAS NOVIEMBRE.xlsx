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8A83F022-17A0-4737-A265-075EA44EE4D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TOTAL'!$A$7:$AP$562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I22" i="2"/>
  <c r="B4" i="25"/>
  <c r="B2" i="25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Q3" i="2"/>
  <c r="C47" i="24" s="1"/>
  <c r="P3" i="2"/>
  <c r="C36" i="24" s="1"/>
  <c r="O3" i="2"/>
  <c r="C25" i="24" s="1"/>
  <c r="T3" i="2"/>
  <c r="C80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<sst xmlns="http://schemas.openxmlformats.org/spreadsheetml/2006/main" count="4872" uniqueCount="2216">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</sst>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4"/>
  <sheetViews>
    <sheetView tabSelected="1" zoomScale="59" zoomScaleNormal="59" workbookViewId="0">
      <pane xSplit="12" ySplit="7" topLeftCell="M8" activePane="bottomRight" state="frozen"/>
      <selection pane="topRight" activeCell="M1" sqref="M1"/>
      <selection pane="bottomLeft" activeCell="A5" sqref="A5"/>
      <selection pane="bottomRight" activeCell="A143" sqref="A143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555</v>
      </c>
      <c r="N2" s="7">
        <f t="shared" si="2"/>
        <v>555</v>
      </c>
      <c r="O2" s="7">
        <f t="shared" si="2"/>
        <v>555</v>
      </c>
      <c r="P2" s="7">
        <f t="shared" si="2"/>
        <v>555</v>
      </c>
      <c r="Q2" s="7">
        <f t="shared" si="2"/>
        <v>555</v>
      </c>
      <c r="R2" s="7">
        <f t="shared" si="2"/>
        <v>555</v>
      </c>
      <c r="S2" s="7">
        <f t="shared" si="2"/>
        <v>555</v>
      </c>
      <c r="T2" s="7">
        <f t="shared" si="2"/>
        <v>555</v>
      </c>
      <c r="U2" s="7">
        <f t="shared" si="2"/>
        <v>555</v>
      </c>
      <c r="V2" s="7">
        <f t="shared" si="2"/>
        <v>555</v>
      </c>
      <c r="W2" s="7">
        <f t="shared" si="2"/>
        <v>555</v>
      </c>
      <c r="X2" s="7">
        <f t="shared" si="2"/>
        <v>555</v>
      </c>
      <c r="Y2" s="7">
        <f t="shared" si="2"/>
        <v>555</v>
      </c>
      <c r="Z2" s="7">
        <f t="shared" si="2"/>
        <v>555</v>
      </c>
      <c r="AA2" s="7">
        <f t="shared" si="2"/>
        <v>555</v>
      </c>
      <c r="AB2" s="7">
        <f t="shared" si="2"/>
        <v>555</v>
      </c>
      <c r="AC2" s="7">
        <f t="shared" si="2"/>
        <v>555</v>
      </c>
      <c r="AD2" s="7">
        <f t="shared" si="2"/>
        <v>555</v>
      </c>
      <c r="AE2" s="7">
        <f t="shared" si="2"/>
        <v>555</v>
      </c>
      <c r="AF2" s="7">
        <f t="shared" si="2"/>
        <v>555</v>
      </c>
      <c r="AG2" s="7">
        <f t="shared" si="2"/>
        <v>555</v>
      </c>
      <c r="AH2" s="7">
        <f t="shared" si="2"/>
        <v>555</v>
      </c>
      <c r="AI2" s="7">
        <f t="shared" si="2"/>
        <v>555</v>
      </c>
      <c r="AJ2" s="7">
        <f t="shared" si="2"/>
        <v>555</v>
      </c>
      <c r="AK2" s="7">
        <f t="shared" si="2"/>
        <v>555</v>
      </c>
      <c r="AL2" s="7">
        <f t="shared" si="2"/>
        <v>555</v>
      </c>
      <c r="AM2" s="7">
        <f t="shared" si="2"/>
        <v>555</v>
      </c>
      <c r="AN2" s="7">
        <f t="shared" si="2"/>
        <v>555</v>
      </c>
      <c r="AO2" s="7">
        <f t="shared" si="2"/>
        <v>555</v>
      </c>
      <c r="AP2" s="7">
        <f t="shared" si="2"/>
        <v>555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COUNTIF(M7:M716, "apagado")</f>
        <v>0</v>
      </c>
      <c r="N3" s="126">
        <f t="shared" si="3"/>
        <v>0</v>
      </c>
      <c r="O3" s="126">
        <f t="shared" si="3"/>
        <v>0</v>
      </c>
      <c r="P3" s="126">
        <f t="shared" si="3"/>
        <v>0</v>
      </c>
      <c r="Q3" s="126">
        <f t="shared" si="3"/>
        <v>0</v>
      </c>
      <c r="R3" s="126">
        <f t="shared" si="3"/>
        <v>0</v>
      </c>
      <c r="S3" s="126">
        <f t="shared" si="3"/>
        <v>0</v>
      </c>
      <c r="T3" s="126">
        <f t="shared" si="3"/>
        <v>0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0</v>
      </c>
      <c r="N4" s="10">
        <f>COUNTIFS(N8:N670, "=APAGADO",F8:F670,"=Fibra Optica")</f>
        <v>0</v>
      </c>
      <c r="O4" s="10">
        <f>COUNTIFS(O8:O670, "=APAGADO",F8:F670,"=Fibra Optica")</f>
        <v>0</v>
      </c>
      <c r="P4" s="10">
        <f>COUNTIFS(P8:P670, "=APAGADO",F8:F670,"=Fibra Optica")</f>
        <v>0</v>
      </c>
      <c r="Q4" s="10">
        <f>COUNTIFS(Q8:Q670, "=APAGADO",F8:F670,"=Fibra Optica")</f>
        <v>0</v>
      </c>
      <c r="R4" s="10">
        <f>COUNTIFS(R8:R670, "=APAGADO",F8:F670,"=Fibra Optica")</f>
        <v>0</v>
      </c>
      <c r="S4" s="10">
        <f>COUNTIFS(S8:S670, "=APAGADO",F8:F670,"=Fibra Optica")</f>
        <v>0</v>
      </c>
      <c r="T4" s="10">
        <f>COUNTIFS(T8:T670, "=APAGADO",F8:F670,"=Fibra Optica")</f>
        <v>0</v>
      </c>
      <c r="U4" s="10">
        <f>COUNTIFS(U8:U670, "=APAGADO",F8:F670,"=Fibra Optica")</f>
        <v>0</v>
      </c>
      <c r="V4" s="10">
        <f>COUNTIFS(V8:V670, "=APAGADO",F8:F670,"=Fibra Optica")</f>
        <v>0</v>
      </c>
      <c r="W4" s="10">
        <f>COUNTIFS(W8:W670, "=APAGADO",F8:F670,"=Fibra Optica")</f>
        <v>0</v>
      </c>
      <c r="X4" s="10">
        <f>COUNTIFS(X8:X670, "=APAGADO",F8:F670,"=Fibra Optica")</f>
        <v>0</v>
      </c>
      <c r="Y4" s="10">
        <f>COUNTIFS(Y8:Y670, "=APAGADO",F8:F670,"=Fibra Optica")</f>
        <v>0</v>
      </c>
      <c r="Z4" s="10">
        <f>COUNTIFS(Z8:Z670, "=APAGADO",F8:F670,"=Fibra Optica")</f>
        <v>0</v>
      </c>
      <c r="AA4" s="10">
        <f>COUNTIFS(AA8:AA670, "=APAGADO",F8:F670,"=Fibra Optica")</f>
        <v>0</v>
      </c>
      <c r="AB4" s="10">
        <f>COUNTIFS(AB8:AB670, "=APAGADO",F8:F670,"=Fibra Optica")</f>
        <v>0</v>
      </c>
      <c r="AC4" s="10">
        <f>COUNTIFS(AC8:AC670, "=APAGADO",F8:F670,"=Fibra Optica")</f>
        <v>0</v>
      </c>
      <c r="AD4" s="10">
        <f>COUNTIFS(AD8:AD670, "=APAGADO",F8:F670,"=Fibra Optica")</f>
        <v>0</v>
      </c>
      <c r="AE4" s="10">
        <f>COUNTIFS(AE8:AE670, "=APAGADO",F8:F670,"=Fibra Optica")</f>
        <v>0</v>
      </c>
      <c r="AF4" s="10">
        <f>COUNTIFS(AF8:AF670, "=APAGADO",F8:F670,"=Fibra Optica")</f>
        <v>0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0</v>
      </c>
      <c r="N5" s="130">
        <f>COUNTIFS(N8:N670, "=APAGADO",F8:F670,"=RADIO")</f>
        <v>0</v>
      </c>
      <c r="O5" s="130">
        <f>COUNTIFS(O8:O670, "=APAGADO",F8:F670,"=RADIO")</f>
        <v>0</v>
      </c>
      <c r="P5" s="130">
        <f>COUNTIFS(P8:P670, "=APAGADO",F8:F670,"=RADIO")</f>
        <v>0</v>
      </c>
      <c r="Q5" s="130">
        <f>COUNTIFS(Q8:Q670, "=APAGADO",F8:F670,"=RADIO")</f>
        <v>0</v>
      </c>
      <c r="R5" s="130">
        <f>COUNTIFS(R8:R670, "=APAGADO",F8:F670,"=RADIO")</f>
        <v>0</v>
      </c>
      <c r="S5" s="130">
        <f>COUNTIFS(S8:S670, "=APAGADO",F8:F670,"=RADIO")</f>
        <v>0</v>
      </c>
      <c r="T5" s="130">
        <f>COUNTIFS(T8:T670, "=APAGADO",F8:F670,"=RADIO")</f>
        <v>0</v>
      </c>
      <c r="U5" s="130">
        <f>COUNTIFS(U8:U670, "=APAGADO",F8:F670,"=RADIO")</f>
        <v>0</v>
      </c>
      <c r="V5" s="130">
        <f>COUNTIFS(V8:V670, "=APAGADO",F8:F670,"=RADIO")</f>
        <v>0</v>
      </c>
      <c r="W5" s="130">
        <f>COUNTIFS(W8:W670, "=APAGADO",F8:F670,"=RADIO")</f>
        <v>0</v>
      </c>
      <c r="X5" s="130">
        <f>COUNTIFS(X8:X670, "=APAGADO",F8:F670,"=RADIO")</f>
        <v>0</v>
      </c>
      <c r="Y5" s="130">
        <f>COUNTIFS(Y8:Y670, "=APAGADO",F8:F670,"=RADIO")</f>
        <v>0</v>
      </c>
      <c r="Z5" s="130">
        <f>COUNTIFS(Z8:Z670, "=APAGADO",F8:F670,"=RADIO")</f>
        <v>0</v>
      </c>
      <c r="AA5" s="130">
        <f>COUNTIFS(AA8:AA670, "=APAGADO",F8:F670,"=RADIO")</f>
        <v>0</v>
      </c>
      <c r="AB5" s="130">
        <f>COUNTIFS(AB8:AB670, "=APAGADO",F8:F670,"=RADIO")</f>
        <v>0</v>
      </c>
      <c r="AC5" s="130">
        <f>COUNTIFS(AC8:AC670, "=APAGADO",F8:F670,"=RADIO")</f>
        <v>0</v>
      </c>
      <c r="AD5" s="130">
        <f>COUNTIFS(AD8:AD670, "=APAGADO",F8:F670,"=RADIO")</f>
        <v>0</v>
      </c>
      <c r="AE5" s="130">
        <f>COUNTIFS(AE8:AE670, "=APAGADO",F8:F670,"=RADIO")</f>
        <v>0</v>
      </c>
      <c r="AF5" s="130">
        <f>COUNTIFS(AF8:AF670, "=APAGADO",F8:F670,"=RADIO")</f>
        <v>0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0</v>
      </c>
      <c r="N6" s="10">
        <f>COUNTIFS(N8:N670, "=APAGADO",F8:F670,"=PTO A FO")</f>
        <v>0</v>
      </c>
      <c r="O6" s="10">
        <f>COUNTIFS(O8:O670, "=APAGADO",F8:F670,"=PTO A FO")</f>
        <v>0</v>
      </c>
      <c r="P6" s="10">
        <f>COUNTIFS(P8:P670, "=APAGADO",F8:F670,"=PTO A FO")</f>
        <v>0</v>
      </c>
      <c r="Q6" s="10">
        <f>COUNTIFS(Q8:Q670, "=APAGADO",F8:F670,"=PTO A FO")</f>
        <v>0</v>
      </c>
      <c r="R6" s="10">
        <f>COUNTIFS(R8:R670, "=APAGADO",F8:F670,"=PTO A FO")</f>
        <v>0</v>
      </c>
      <c r="S6" s="10">
        <f>COUNTIFS(S8:S670, "=APAGADO",F8:F670,"=PTO A FO")</f>
        <v>0</v>
      </c>
      <c r="T6" s="10">
        <f>COUNTIFS(T8:T670, "=APAGADO",F8:F670,"=PTO A FO")</f>
        <v>0</v>
      </c>
      <c r="U6" s="10">
        <f>COUNTIFS(U8:U670, "=APAGADO",F8:F670,"=PTO A FO")</f>
        <v>0</v>
      </c>
      <c r="V6" s="10">
        <f>COUNTIFS(V8:V670, "=APAGADO",F8:F670,"=PTO A FO")</f>
        <v>0</v>
      </c>
      <c r="W6" s="10">
        <f>COUNTIFS(W8:W670, "=APAGADO",F8:F670,"=PTO A FO")</f>
        <v>0</v>
      </c>
      <c r="X6" s="10">
        <f>COUNTIFS(X8:X670, "=APAGADO",F8:F670,"=PTO A FO")</f>
        <v>0</v>
      </c>
      <c r="Y6" s="10">
        <f>COUNTIFS(Y8:Y670, "=APAGADO",F8:F670,"=PTO A FO")</f>
        <v>0</v>
      </c>
      <c r="Z6" s="10">
        <f>COUNTIFS(Z8:Z670, "=APAGADO",F8:F670,"=PTO A FO")</f>
        <v>0</v>
      </c>
      <c r="AA6" s="10">
        <f>COUNTIFS(AA8:AA670, "=APAGADO",F8:F670,"=PTO A FO")</f>
        <v>0</v>
      </c>
      <c r="AB6" s="10">
        <f>COUNTIFS(AB8:AB670, "=APAGADO",F8:F670,"=PTO A FO")</f>
        <v>0</v>
      </c>
      <c r="AC6" s="10">
        <f>COUNTIFS(AC8:AC670, "=APAGADO",F8:F670,"=PTO A FO")</f>
        <v>0</v>
      </c>
      <c r="AD6" s="10">
        <f>COUNTIFS(AD8:AD670, "=APAGADO",F8:F670,"=PTO A FO")</f>
        <v>0</v>
      </c>
      <c r="AE6" s="10">
        <f>COUNTIFS(AE8:AE670, "=APAGADO",F8:F670,"=PTO A FO")</f>
        <v>0</v>
      </c>
      <c r="AF6" s="10">
        <f>COUNTIFS(AF8:AF670, "=APAGADO",F8:F670,"=PTO A FO")</f>
        <v>0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1669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1670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1671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1672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28</v>
      </c>
      <c r="J11" s="147" t="s">
        <v>1673</v>
      </c>
      <c r="K11" s="142">
        <f t="shared" si="5"/>
        <v>0</v>
      </c>
      <c r="L11" s="143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1674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1675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1676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1677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1678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1679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1531</v>
      </c>
      <c r="C18" t="s">
        <v>1064</v>
      </c>
      <c r="D18" s="68" t="s">
        <v>1532</v>
      </c>
      <c r="E18" s="30" t="s">
        <v>73</v>
      </c>
      <c r="F18" s="85" t="s">
        <v>1303</v>
      </c>
      <c r="G18" s="30"/>
      <c r="H18" s="30" t="s">
        <v>1533</v>
      </c>
      <c r="I18" s="31">
        <f t="shared" si="4"/>
        <v>28</v>
      </c>
      <c r="J18" s="87" t="s">
        <v>2162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1680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1546</v>
      </c>
      <c r="C20" s="73" t="s">
        <v>1064</v>
      </c>
      <c r="D20" s="73" t="s">
        <v>1547</v>
      </c>
      <c r="E20" s="85" t="s">
        <v>73</v>
      </c>
      <c r="F20" s="85" t="s">
        <v>1303</v>
      </c>
      <c r="G20" s="85"/>
      <c r="H20" s="85" t="s">
        <v>1548</v>
      </c>
      <c r="I20" s="31">
        <f t="shared" si="4"/>
        <v>28</v>
      </c>
      <c r="J20" s="147" t="s">
        <v>1681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1575</v>
      </c>
      <c r="C21" s="73" t="s">
        <v>1064</v>
      </c>
      <c r="D21" s="73" t="s">
        <v>1576</v>
      </c>
      <c r="E21" s="85" t="s">
        <v>73</v>
      </c>
      <c r="F21" s="85" t="s">
        <v>1303</v>
      </c>
      <c r="G21" s="85"/>
      <c r="H21" s="85" t="s">
        <v>1577</v>
      </c>
      <c r="I21" s="31">
        <f t="shared" si="4"/>
        <v>28</v>
      </c>
      <c r="J21" s="147" t="s">
        <v>1682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1683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1684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1685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1686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1687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1688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1689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1690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1691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1600</v>
      </c>
      <c r="C31" s="85" t="s">
        <v>1065</v>
      </c>
      <c r="D31" s="73" t="s">
        <v>1603</v>
      </c>
      <c r="E31" s="85" t="s">
        <v>19</v>
      </c>
      <c r="F31" s="85" t="s">
        <v>1303</v>
      </c>
      <c r="G31" s="85"/>
      <c r="H31" s="85" t="s">
        <v>1604</v>
      </c>
      <c r="I31" s="142">
        <f t="shared" si="4"/>
        <v>28</v>
      </c>
      <c r="J31" s="87" t="s">
        <v>2163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1601</v>
      </c>
      <c r="C32" s="85" t="s">
        <v>1065</v>
      </c>
      <c r="D32" s="73" t="s">
        <v>1607</v>
      </c>
      <c r="E32" s="85" t="s">
        <v>73</v>
      </c>
      <c r="F32" s="85" t="s">
        <v>1303</v>
      </c>
      <c r="G32" s="85"/>
      <c r="H32" s="85" t="s">
        <v>1605</v>
      </c>
      <c r="I32" s="142">
        <f t="shared" si="4"/>
        <v>28</v>
      </c>
      <c r="J32" s="87" t="s">
        <v>2164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1602</v>
      </c>
      <c r="C33" s="85" t="s">
        <v>1065</v>
      </c>
      <c r="D33" s="73" t="s">
        <v>1607</v>
      </c>
      <c r="E33" s="85" t="s">
        <v>73</v>
      </c>
      <c r="F33" s="85" t="s">
        <v>1303</v>
      </c>
      <c r="G33" s="85"/>
      <c r="H33" s="85" t="s">
        <v>1606</v>
      </c>
      <c r="I33" s="142">
        <f t="shared" si="4"/>
        <v>28</v>
      </c>
      <c r="J33" s="87" t="s">
        <v>2165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2161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28</v>
      </c>
      <c r="J34" s="147" t="s">
        <v>1692</v>
      </c>
      <c r="K34" s="134">
        <f t="shared" si="5"/>
        <v>0</v>
      </c>
      <c r="L34" s="135">
        <f t="shared" si="6"/>
        <v>1</v>
      </c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2161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2166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2161</v>
      </c>
      <c r="B36" s="85" t="s">
        <v>2157</v>
      </c>
      <c r="C36" s="73" t="s">
        <v>1065</v>
      </c>
      <c r="D36" s="73" t="s">
        <v>2158</v>
      </c>
      <c r="E36" s="85" t="s">
        <v>19</v>
      </c>
      <c r="F36" s="85" t="s">
        <v>1303</v>
      </c>
      <c r="G36" s="85"/>
      <c r="H36" s="85" t="s">
        <v>2159</v>
      </c>
      <c r="I36" s="142">
        <f t="shared" si="4"/>
        <v>28</v>
      </c>
      <c r="J36" s="87" t="s">
        <v>2160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1513</v>
      </c>
      <c r="C37" s="73" t="s">
        <v>1065</v>
      </c>
      <c r="D37" s="73" t="s">
        <v>1514</v>
      </c>
      <c r="E37" s="85" t="s">
        <v>19</v>
      </c>
      <c r="F37" s="85" t="s">
        <v>1303</v>
      </c>
      <c r="G37" s="85"/>
      <c r="H37" s="85" t="s">
        <v>1515</v>
      </c>
      <c r="I37" s="142">
        <f t="shared" si="4"/>
        <v>28</v>
      </c>
      <c r="J37" s="87" t="s">
        <v>2167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1693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1694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1642</v>
      </c>
      <c r="C40" t="s">
        <v>1065</v>
      </c>
      <c r="D40" t="s">
        <v>1644</v>
      </c>
      <c r="E40" s="30" t="s">
        <v>73</v>
      </c>
      <c r="F40" s="30" t="s">
        <v>28</v>
      </c>
      <c r="G40" s="30"/>
      <c r="H40" s="85" t="s">
        <v>1645</v>
      </c>
      <c r="I40" s="31">
        <f t="shared" si="4"/>
        <v>28</v>
      </c>
      <c r="J40" s="87" t="s">
        <v>2168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1643</v>
      </c>
      <c r="C41" t="s">
        <v>1065</v>
      </c>
      <c r="D41" t="s">
        <v>1644</v>
      </c>
      <c r="E41" s="30" t="s">
        <v>73</v>
      </c>
      <c r="F41" s="30" t="s">
        <v>28</v>
      </c>
      <c r="G41" s="30"/>
      <c r="H41" s="85" t="s">
        <v>1646</v>
      </c>
      <c r="I41" s="31">
        <f t="shared" si="4"/>
        <v>28</v>
      </c>
      <c r="J41" s="87" t="s">
        <v>2193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1650</v>
      </c>
      <c r="C42" t="s">
        <v>1065</v>
      </c>
      <c r="D42" t="s">
        <v>1644</v>
      </c>
      <c r="E42" s="30" t="s">
        <v>19</v>
      </c>
      <c r="F42" s="30" t="s">
        <v>28</v>
      </c>
      <c r="G42" s="30"/>
      <c r="H42" s="85" t="s">
        <v>1648</v>
      </c>
      <c r="I42" s="31">
        <f t="shared" si="4"/>
        <v>28</v>
      </c>
      <c r="J42" s="87" t="s">
        <v>2194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1651</v>
      </c>
      <c r="C43" t="s">
        <v>1065</v>
      </c>
      <c r="D43" t="s">
        <v>1652</v>
      </c>
      <c r="E43" s="30" t="s">
        <v>19</v>
      </c>
      <c r="F43" s="30" t="s">
        <v>28</v>
      </c>
      <c r="G43" s="30"/>
      <c r="H43" s="85" t="s">
        <v>1653</v>
      </c>
      <c r="I43" s="31">
        <f t="shared" si="4"/>
        <v>28</v>
      </c>
      <c r="J43" s="87" t="s">
        <v>2195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1695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1696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1697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1700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1702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1706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1708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1709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1710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1711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28</v>
      </c>
      <c r="J63" s="147" t="s">
        <v>1713</v>
      </c>
      <c r="K63" s="142">
        <f t="shared" si="5"/>
        <v>0</v>
      </c>
      <c r="L63" s="143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1714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1715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1716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1717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1720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1730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7">COUNTIF(M84:AN84,"")</f>
        <v>28</v>
      </c>
      <c r="J84" s="147" t="s">
        <v>1733</v>
      </c>
      <c r="K84" s="31">
        <f t="shared" ref="K84:K158" si="8">COUNTIF(M84:AN84,"APAGADO")</f>
        <v>0</v>
      </c>
      <c r="L84" s="32">
        <f t="shared" ref="L84:L158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1524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1734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1735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28</v>
      </c>
      <c r="J87" s="147" t="s">
        <v>1736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1737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1739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1740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1742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1743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28</v>
      </c>
      <c r="J95" s="147" t="s">
        <v>1744</v>
      </c>
      <c r="K95" s="142">
        <f t="shared" si="8"/>
        <v>0</v>
      </c>
      <c r="L95" s="143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1745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28</v>
      </c>
      <c r="J97" s="147" t="s">
        <v>1746</v>
      </c>
      <c r="K97" s="142">
        <f t="shared" si="8"/>
        <v>0</v>
      </c>
      <c r="L97" s="143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1747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1748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1749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1750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1751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1752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1753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1754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1756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1757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1757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1759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1758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1760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1761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1762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28</v>
      </c>
      <c r="J116" s="147" t="s">
        <v>1764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1765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28</v>
      </c>
      <c r="J118" s="147" t="s">
        <v>1766</v>
      </c>
      <c r="K118" s="142">
        <f t="shared" si="8"/>
        <v>0</v>
      </c>
      <c r="L118" s="143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1499</v>
      </c>
      <c r="I119" s="31">
        <f t="shared" si="7"/>
        <v>28</v>
      </c>
      <c r="J119" s="147" t="s">
        <v>1767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1769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1770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28</v>
      </c>
      <c r="J125" s="148" t="s">
        <v>1773</v>
      </c>
      <c r="K125" s="142">
        <f t="shared" si="8"/>
        <v>0</v>
      </c>
      <c r="L125" s="143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1774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1775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28</v>
      </c>
      <c r="J128" s="147" t="s">
        <v>1776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1777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1778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1534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1779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1511</v>
      </c>
      <c r="C132" s="85" t="s">
        <v>1064</v>
      </c>
      <c r="D132" s="73" t="s">
        <v>1512</v>
      </c>
      <c r="E132" s="85" t="s">
        <v>19</v>
      </c>
      <c r="F132" s="85" t="s">
        <v>1303</v>
      </c>
      <c r="G132" s="85"/>
      <c r="H132" s="85" t="s">
        <v>1516</v>
      </c>
      <c r="I132" s="142">
        <f t="shared" si="7"/>
        <v>28</v>
      </c>
      <c r="J132" s="147" t="s">
        <v>1780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1490</v>
      </c>
      <c r="C133" s="30" t="s">
        <v>1064</v>
      </c>
      <c r="D133" t="s">
        <v>1489</v>
      </c>
      <c r="E133" s="85" t="s">
        <v>73</v>
      </c>
      <c r="F133" s="85" t="s">
        <v>28</v>
      </c>
      <c r="G133" s="85"/>
      <c r="H133" s="85" t="s">
        <v>1491</v>
      </c>
      <c r="I133" s="142">
        <f t="shared" si="7"/>
        <v>28</v>
      </c>
      <c r="J133" s="147" t="s">
        <v>1781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1493</v>
      </c>
      <c r="C134" s="30" t="s">
        <v>1064</v>
      </c>
      <c r="D134" t="s">
        <v>1492</v>
      </c>
      <c r="E134" s="85" t="s">
        <v>19</v>
      </c>
      <c r="F134" s="85" t="s">
        <v>28</v>
      </c>
      <c r="G134" s="85"/>
      <c r="H134" s="85" t="s">
        <v>1494</v>
      </c>
      <c r="I134" s="142">
        <f t="shared" si="7"/>
        <v>28</v>
      </c>
      <c r="J134" s="147" t="s">
        <v>1782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1525</v>
      </c>
      <c r="C135" s="85" t="s">
        <v>1064</v>
      </c>
      <c r="D135" s="73" t="s">
        <v>1526</v>
      </c>
      <c r="E135" s="85" t="s">
        <v>19</v>
      </c>
      <c r="F135" s="85" t="s">
        <v>1303</v>
      </c>
      <c r="G135" s="85"/>
      <c r="H135" s="85" t="s">
        <v>1527</v>
      </c>
      <c r="I135" s="142">
        <f t="shared" si="7"/>
        <v>28</v>
      </c>
      <c r="J135" s="147" t="s">
        <v>1783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1528</v>
      </c>
      <c r="C136" s="30" t="s">
        <v>1064</v>
      </c>
      <c r="D136" t="s">
        <v>1529</v>
      </c>
      <c r="E136" s="85" t="s">
        <v>19</v>
      </c>
      <c r="F136" s="85" t="s">
        <v>28</v>
      </c>
      <c r="G136" s="85"/>
      <c r="H136" s="85" t="s">
        <v>1530</v>
      </c>
      <c r="I136" s="142">
        <f t="shared" si="7"/>
        <v>28</v>
      </c>
      <c r="J136" s="147" t="s">
        <v>1784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1655</v>
      </c>
      <c r="C137" s="30" t="s">
        <v>1064</v>
      </c>
      <c r="D137" t="s">
        <v>1656</v>
      </c>
      <c r="E137" s="85" t="s">
        <v>19</v>
      </c>
      <c r="F137" s="85" t="s">
        <v>28</v>
      </c>
      <c r="G137" s="85"/>
      <c r="H137" s="85" t="s">
        <v>2128</v>
      </c>
      <c r="I137" s="142">
        <f t="shared" si="7"/>
        <v>28</v>
      </c>
      <c r="J137" s="87" t="s">
        <v>2196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1569</v>
      </c>
      <c r="C138" s="85" t="s">
        <v>1064</v>
      </c>
      <c r="D138" s="73" t="s">
        <v>1571</v>
      </c>
      <c r="E138" s="85" t="s">
        <v>19</v>
      </c>
      <c r="F138" s="85" t="s">
        <v>1303</v>
      </c>
      <c r="G138" s="85"/>
      <c r="H138" s="85" t="s">
        <v>1573</v>
      </c>
      <c r="I138" s="142">
        <f t="shared" si="7"/>
        <v>28</v>
      </c>
      <c r="J138" s="147" t="s">
        <v>1785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1570</v>
      </c>
      <c r="C139" s="85" t="s">
        <v>1064</v>
      </c>
      <c r="D139" s="73" t="s">
        <v>1572</v>
      </c>
      <c r="E139" s="85" t="s">
        <v>19</v>
      </c>
      <c r="F139" s="85" t="s">
        <v>1303</v>
      </c>
      <c r="G139" s="85"/>
      <c r="H139" s="85" t="s">
        <v>1574</v>
      </c>
      <c r="I139" s="142">
        <f t="shared" si="7"/>
        <v>28</v>
      </c>
      <c r="J139" s="147" t="s">
        <v>1786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2135</v>
      </c>
      <c r="C140" s="85" t="s">
        <v>1064</v>
      </c>
      <c r="D140" s="73" t="s">
        <v>2136</v>
      </c>
      <c r="E140" s="85" t="s">
        <v>19</v>
      </c>
      <c r="F140" s="85" t="s">
        <v>1303</v>
      </c>
      <c r="G140" s="85"/>
      <c r="H140" s="85" t="s">
        <v>2197</v>
      </c>
      <c r="I140" s="142">
        <f t="shared" si="7"/>
        <v>28</v>
      </c>
      <c r="J140" s="147" t="s">
        <v>2198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7"/>
        <v>28</v>
      </c>
      <c r="J141" s="147" t="s">
        <v>1787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7"/>
        <v>28</v>
      </c>
      <c r="J142" s="87"/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7"/>
        <v>28</v>
      </c>
      <c r="J143" s="147" t="s">
        <v>1788</v>
      </c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7"/>
        <v>28</v>
      </c>
      <c r="J144" s="147" t="s">
        <v>1789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2214</v>
      </c>
      <c r="I145" s="31">
        <f t="shared" si="7"/>
        <v>28</v>
      </c>
      <c r="J145" s="147" t="s">
        <v>1790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7"/>
        <v>28</v>
      </c>
      <c r="J146" s="147" t="s">
        <v>1791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7"/>
        <v>28</v>
      </c>
      <c r="J147" s="87"/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7"/>
        <v>28</v>
      </c>
      <c r="J148" s="147" t="s">
        <v>1792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7"/>
        <v>28</v>
      </c>
      <c r="J149" s="87"/>
      <c r="K149" s="87">
        <f t="shared" si="8"/>
        <v>0</v>
      </c>
      <c r="L149" s="141">
        <f t="shared" si="9"/>
        <v>1</v>
      </c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7"/>
        <v>28</v>
      </c>
      <c r="J150" s="147" t="s">
        <v>1793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7"/>
        <v>28</v>
      </c>
      <c r="J151" s="147" t="s">
        <v>1794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7"/>
        <v>28</v>
      </c>
      <c r="J152" s="87"/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7"/>
        <v>28</v>
      </c>
      <c r="J154" s="147" t="s">
        <v>1795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7"/>
        <v>28</v>
      </c>
      <c r="J155" s="147" t="s">
        <v>1796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s="73" customFormat="1" ht="15.75" thickBot="1" x14ac:dyDescent="0.3">
      <c r="A156" s="73" t="s">
        <v>184</v>
      </c>
      <c r="B156" s="73" t="s">
        <v>1560</v>
      </c>
      <c r="C156" s="73" t="s">
        <v>1064</v>
      </c>
      <c r="D156" s="73" t="s">
        <v>1561</v>
      </c>
      <c r="E156" s="85" t="s">
        <v>46</v>
      </c>
      <c r="F156" s="85" t="s">
        <v>1303</v>
      </c>
      <c r="G156" s="85"/>
      <c r="H156" s="85" t="s">
        <v>1562</v>
      </c>
      <c r="I156" s="31">
        <f t="shared" si="7"/>
        <v>28</v>
      </c>
      <c r="J156" s="147" t="s">
        <v>1797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s="73" customFormat="1" ht="15.75" thickBot="1" x14ac:dyDescent="0.3">
      <c r="A157" s="73" t="s">
        <v>184</v>
      </c>
      <c r="B157" s="73" t="s">
        <v>2129</v>
      </c>
      <c r="C157" s="73" t="s">
        <v>1064</v>
      </c>
      <c r="D157" s="73" t="s">
        <v>2130</v>
      </c>
      <c r="E157" s="85" t="s">
        <v>46</v>
      </c>
      <c r="F157" s="85" t="s">
        <v>1303</v>
      </c>
      <c r="G157" s="85"/>
      <c r="H157" s="85" t="s">
        <v>2133</v>
      </c>
      <c r="I157" s="31">
        <f t="shared" si="7"/>
        <v>28</v>
      </c>
      <c r="J157" s="14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2215</v>
      </c>
      <c r="I158" s="142">
        <f t="shared" si="7"/>
        <v>28</v>
      </c>
      <c r="J158" s="147" t="s">
        <v>1798</v>
      </c>
      <c r="K158" s="142">
        <f t="shared" si="8"/>
        <v>0</v>
      </c>
      <c r="L158" s="143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1500</v>
      </c>
      <c r="I159" s="142">
        <f t="shared" ref="I159:I232" si="10">COUNTIF(M159:AN159,"")</f>
        <v>28</v>
      </c>
      <c r="J159" s="147" t="s">
        <v>1799</v>
      </c>
      <c r="K159" s="142">
        <f t="shared" ref="K159:K232" si="11">COUNTIF(M159:AN159,"APAGADO")</f>
        <v>0</v>
      </c>
      <c r="L159" s="143">
        <f t="shared" ref="L159:L232" si="12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0"/>
        <v>28</v>
      </c>
      <c r="J160" s="147" t="s">
        <v>1800</v>
      </c>
      <c r="K160" s="31">
        <f t="shared" si="11"/>
        <v>0</v>
      </c>
      <c r="L160" s="32">
        <f t="shared" si="12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0"/>
        <v>28</v>
      </c>
      <c r="J161" s="147" t="s">
        <v>1801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0"/>
        <v>28</v>
      </c>
      <c r="J162" s="147" t="s">
        <v>1802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0"/>
        <v>28</v>
      </c>
      <c r="J163" s="147" t="s">
        <v>1803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1552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1555</v>
      </c>
      <c r="I164" s="31">
        <f t="shared" si="10"/>
        <v>28</v>
      </c>
      <c r="J164" s="147" t="s">
        <v>1804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1553</v>
      </c>
      <c r="C165" t="s">
        <v>1065</v>
      </c>
      <c r="D165" t="s">
        <v>1554</v>
      </c>
      <c r="E165" s="30" t="s">
        <v>15</v>
      </c>
      <c r="F165" s="30" t="s">
        <v>28</v>
      </c>
      <c r="G165" s="30"/>
      <c r="H165" s="30" t="s">
        <v>1556</v>
      </c>
      <c r="I165" s="31">
        <f t="shared" si="10"/>
        <v>28</v>
      </c>
      <c r="J165" s="147" t="s">
        <v>1805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0"/>
        <v>28</v>
      </c>
      <c r="J166" s="147" t="s">
        <v>1806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0"/>
        <v>28</v>
      </c>
      <c r="J167" s="147" t="s">
        <v>1807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0"/>
        <v>28</v>
      </c>
      <c r="J168" s="147" t="s">
        <v>1808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0"/>
        <v>28</v>
      </c>
      <c r="J169" s="147" t="s">
        <v>1809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0"/>
        <v>28</v>
      </c>
      <c r="J170" s="147" t="s">
        <v>1810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0"/>
        <v>28</v>
      </c>
      <c r="J171" s="147" t="s">
        <v>1811</v>
      </c>
      <c r="K171" s="142">
        <f t="shared" si="11"/>
        <v>0</v>
      </c>
      <c r="L171" s="143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</row>
    <row r="172" spans="1:42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0"/>
        <v>28</v>
      </c>
      <c r="J172" s="147" t="s">
        <v>1812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0"/>
        <v>28</v>
      </c>
      <c r="J173" s="87"/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0"/>
        <v>28</v>
      </c>
      <c r="J174" s="147" t="s">
        <v>1813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0"/>
        <v>28</v>
      </c>
      <c r="J175" s="147" t="s">
        <v>1814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0"/>
        <v>28</v>
      </c>
      <c r="J176" s="147" t="s">
        <v>1815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0"/>
        <v>28</v>
      </c>
      <c r="J177" s="147" t="s">
        <v>1816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0"/>
        <v>28</v>
      </c>
      <c r="J178" s="147" t="s">
        <v>1817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0"/>
        <v>28</v>
      </c>
      <c r="J179" s="147" t="s">
        <v>1818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0"/>
        <v>28</v>
      </c>
      <c r="J180" s="147" t="s">
        <v>1819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0"/>
        <v>28</v>
      </c>
      <c r="J181" s="147" t="s">
        <v>1820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1517</v>
      </c>
      <c r="C182" s="30" t="s">
        <v>1065</v>
      </c>
      <c r="D182" t="s">
        <v>1518</v>
      </c>
      <c r="E182" s="30" t="s">
        <v>19</v>
      </c>
      <c r="F182" s="30" t="s">
        <v>28</v>
      </c>
      <c r="G182" s="30"/>
      <c r="H182" s="30" t="s">
        <v>1519</v>
      </c>
      <c r="I182" s="31">
        <f t="shared" si="10"/>
        <v>28</v>
      </c>
      <c r="J182" s="87"/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s="73" customFormat="1" ht="15.75" thickBot="1" x14ac:dyDescent="0.3">
      <c r="A183" s="73" t="s">
        <v>191</v>
      </c>
      <c r="B183" s="85" t="s">
        <v>1557</v>
      </c>
      <c r="C183" s="85" t="s">
        <v>1065</v>
      </c>
      <c r="D183" s="73" t="s">
        <v>1558</v>
      </c>
      <c r="E183" s="85" t="s">
        <v>19</v>
      </c>
      <c r="F183" s="85" t="s">
        <v>1303</v>
      </c>
      <c r="G183" s="85"/>
      <c r="H183" s="85" t="s">
        <v>1559</v>
      </c>
      <c r="I183" s="31">
        <f t="shared" si="10"/>
        <v>28</v>
      </c>
      <c r="J183" s="147" t="s">
        <v>1821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</row>
    <row r="184" spans="1:42" s="73" customFormat="1" ht="15.75" thickBot="1" x14ac:dyDescent="0.3">
      <c r="A184" s="73" t="s">
        <v>191</v>
      </c>
      <c r="B184" s="85" t="s">
        <v>2173</v>
      </c>
      <c r="C184" s="85" t="s">
        <v>1065</v>
      </c>
      <c r="D184" s="73" t="s">
        <v>2174</v>
      </c>
      <c r="E184" s="85" t="s">
        <v>19</v>
      </c>
      <c r="F184" s="85" t="s">
        <v>1303</v>
      </c>
      <c r="G184" s="85"/>
      <c r="H184" s="85" t="s">
        <v>2175</v>
      </c>
      <c r="I184" s="31">
        <f t="shared" si="10"/>
        <v>28</v>
      </c>
      <c r="J184" s="147" t="s">
        <v>2176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B185" s="85" t="s">
        <v>1538</v>
      </c>
      <c r="C185" s="85" t="s">
        <v>1065</v>
      </c>
      <c r="D185" s="73" t="s">
        <v>1539</v>
      </c>
      <c r="E185" s="85" t="s">
        <v>1116</v>
      </c>
      <c r="F185" s="85" t="s">
        <v>1540</v>
      </c>
      <c r="G185" s="85"/>
      <c r="H185" s="85" t="s">
        <v>1541</v>
      </c>
      <c r="I185" s="31">
        <f t="shared" si="10"/>
        <v>28</v>
      </c>
      <c r="J185" s="147" t="s">
        <v>1822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0"/>
        <v>28</v>
      </c>
      <c r="J186" s="147" t="s">
        <v>1823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0"/>
        <v>28</v>
      </c>
      <c r="J187" s="147" t="s">
        <v>1824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0"/>
        <v>28</v>
      </c>
      <c r="J188" s="87"/>
      <c r="K188" s="138">
        <f t="shared" si="11"/>
        <v>0</v>
      </c>
      <c r="L188" s="139">
        <f t="shared" si="12"/>
        <v>1</v>
      </c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spans="1:42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0"/>
        <v>28</v>
      </c>
      <c r="J189" s="147" t="s">
        <v>1825</v>
      </c>
      <c r="K189" s="142">
        <f t="shared" si="11"/>
        <v>0</v>
      </c>
      <c r="L189" s="143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</row>
    <row r="190" spans="1:42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0"/>
        <v>28</v>
      </c>
      <c r="J190" s="147" t="s">
        <v>1826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0"/>
        <v>28</v>
      </c>
      <c r="J191" s="147" t="s">
        <v>1827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0"/>
        <v>28</v>
      </c>
      <c r="J192" s="147" t="s">
        <v>1828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0"/>
        <v>28</v>
      </c>
      <c r="J193" s="147" t="s">
        <v>1829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0"/>
        <v>28</v>
      </c>
      <c r="J194" s="87"/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93"/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1596</v>
      </c>
      <c r="I195" s="142">
        <f t="shared" si="10"/>
        <v>28</v>
      </c>
      <c r="J195" s="147" t="s">
        <v>1830</v>
      </c>
      <c r="K195" s="142">
        <f t="shared" si="11"/>
        <v>0</v>
      </c>
      <c r="L195" s="143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</row>
    <row r="196" spans="1:42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0"/>
        <v>28</v>
      </c>
      <c r="J196" s="147" t="s">
        <v>1831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0"/>
        <v>28</v>
      </c>
      <c r="J197" s="147" t="s">
        <v>1832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0"/>
        <v>28</v>
      </c>
      <c r="J198" s="147" t="s">
        <v>1833</v>
      </c>
      <c r="K198" s="142">
        <f t="shared" si="11"/>
        <v>0</v>
      </c>
      <c r="L198" s="143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</row>
    <row r="199" spans="1:42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0"/>
        <v>28</v>
      </c>
      <c r="J199" s="147" t="s">
        <v>1834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0"/>
        <v>28</v>
      </c>
      <c r="J200" s="147" t="s">
        <v>1835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0"/>
        <v>28</v>
      </c>
      <c r="J201" s="147" t="s">
        <v>1836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0"/>
        <v>28</v>
      </c>
      <c r="J202" s="147" t="s">
        <v>1837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0"/>
        <v>28</v>
      </c>
      <c r="J203" s="147" t="s">
        <v>1838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0"/>
        <v>28</v>
      </c>
      <c r="J204" s="147" t="s">
        <v>1839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0"/>
        <v>28</v>
      </c>
      <c r="J205" s="147" t="s">
        <v>1696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0"/>
        <v>28</v>
      </c>
      <c r="J206" s="147" t="s">
        <v>1840</v>
      </c>
      <c r="K206" s="142">
        <f t="shared" si="11"/>
        <v>0</v>
      </c>
      <c r="L206" s="143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s="73" customFormat="1" ht="15.75" thickBot="1" x14ac:dyDescent="0.3">
      <c r="A207" s="73" t="s">
        <v>219</v>
      </c>
      <c r="B207" s="73" t="s">
        <v>1593</v>
      </c>
      <c r="C207" s="73" t="s">
        <v>1064</v>
      </c>
      <c r="D207" s="73" t="s">
        <v>1594</v>
      </c>
      <c r="E207" s="85" t="s">
        <v>73</v>
      </c>
      <c r="F207" s="85" t="s">
        <v>1303</v>
      </c>
      <c r="H207" s="85" t="s">
        <v>1595</v>
      </c>
      <c r="I207" s="142">
        <f t="shared" si="10"/>
        <v>28</v>
      </c>
      <c r="J207" s="147" t="s">
        <v>1841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2210</v>
      </c>
      <c r="C208" s="73" t="s">
        <v>1064</v>
      </c>
      <c r="D208" s="73" t="s">
        <v>2211</v>
      </c>
      <c r="E208" s="85" t="s">
        <v>73</v>
      </c>
      <c r="F208" s="85" t="s">
        <v>1303</v>
      </c>
      <c r="H208" s="85" t="s">
        <v>2212</v>
      </c>
      <c r="I208" s="142">
        <f t="shared" si="10"/>
        <v>28</v>
      </c>
      <c r="J208" s="147" t="s">
        <v>2213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0"/>
        <v>28</v>
      </c>
      <c r="J209" s="147" t="s">
        <v>1842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0"/>
        <v>28</v>
      </c>
      <c r="J210" s="147" t="s">
        <v>1843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0"/>
        <v>28</v>
      </c>
      <c r="J211" s="147" t="s">
        <v>1844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101</v>
      </c>
      <c r="B212" t="s">
        <v>1521</v>
      </c>
      <c r="C212" t="s">
        <v>1064</v>
      </c>
      <c r="D212" t="s">
        <v>1522</v>
      </c>
      <c r="E212" s="30" t="s">
        <v>15</v>
      </c>
      <c r="F212" s="30" t="s">
        <v>28</v>
      </c>
      <c r="G212" s="30"/>
      <c r="H212" s="30" t="s">
        <v>1523</v>
      </c>
      <c r="I212" s="142">
        <f t="shared" si="10"/>
        <v>28</v>
      </c>
      <c r="J212" s="147" t="s">
        <v>1845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0"/>
        <v>28</v>
      </c>
      <c r="J213" s="87"/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0"/>
        <v>28</v>
      </c>
      <c r="J214" s="87"/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0"/>
        <v>28</v>
      </c>
      <c r="J215" s="147" t="s">
        <v>1846</v>
      </c>
      <c r="K215" s="31">
        <f t="shared" si="11"/>
        <v>0</v>
      </c>
      <c r="L215" s="3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0"/>
        <v>28</v>
      </c>
      <c r="J216" s="147" t="s">
        <v>1847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</row>
    <row r="217" spans="1:42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0"/>
        <v>28</v>
      </c>
      <c r="J217" s="147" t="s">
        <v>1848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0"/>
        <v>28</v>
      </c>
      <c r="J218" s="147" t="s">
        <v>1849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1334</v>
      </c>
      <c r="I219" s="142">
        <f t="shared" si="10"/>
        <v>28</v>
      </c>
      <c r="J219" s="147" t="s">
        <v>1850</v>
      </c>
      <c r="K219" s="142">
        <f t="shared" si="11"/>
        <v>0</v>
      </c>
      <c r="L219" s="143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0"/>
        <v>28</v>
      </c>
      <c r="J220" s="147" t="s">
        <v>1851</v>
      </c>
      <c r="K220" s="142">
        <f t="shared" si="11"/>
        <v>0</v>
      </c>
      <c r="L220" s="143">
        <f t="shared" si="12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2" s="73" customFormat="1" ht="15.75" thickBot="1" x14ac:dyDescent="0.3">
      <c r="A221" s="73" t="s">
        <v>254</v>
      </c>
      <c r="B221" s="73" t="s">
        <v>1597</v>
      </c>
      <c r="C221" s="73" t="s">
        <v>1064</v>
      </c>
      <c r="D221" s="73" t="s">
        <v>1598</v>
      </c>
      <c r="E221" s="85" t="s">
        <v>15</v>
      </c>
      <c r="F221" s="85" t="s">
        <v>1303</v>
      </c>
      <c r="G221" s="85"/>
      <c r="H221" s="85" t="s">
        <v>1599</v>
      </c>
      <c r="I221" s="142">
        <f t="shared" si="10"/>
        <v>28</v>
      </c>
      <c r="J221" s="87"/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0"/>
        <v>28</v>
      </c>
      <c r="J222" s="147" t="s">
        <v>1852</v>
      </c>
      <c r="K222" s="142">
        <f t="shared" si="11"/>
        <v>0</v>
      </c>
      <c r="L222" s="143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</row>
    <row r="223" spans="1:42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0"/>
        <v>28</v>
      </c>
      <c r="J223" s="147" t="s">
        <v>1853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0"/>
        <v>28</v>
      </c>
      <c r="J224" s="147" t="s">
        <v>1854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0"/>
        <v>28</v>
      </c>
      <c r="J225" s="147" t="s">
        <v>1855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0"/>
        <v>28</v>
      </c>
      <c r="J226" s="147" t="s">
        <v>1856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1485</v>
      </c>
      <c r="I227" s="31">
        <f t="shared" si="10"/>
        <v>28</v>
      </c>
      <c r="J227" s="147" t="s">
        <v>1857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0"/>
        <v>28</v>
      </c>
      <c r="J228" s="147" t="s">
        <v>1858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0"/>
        <v>28</v>
      </c>
      <c r="J229" s="147" t="s">
        <v>1859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0"/>
        <v>28</v>
      </c>
      <c r="J230" s="147" t="s">
        <v>1860</v>
      </c>
      <c r="K230" s="31">
        <f t="shared" si="11"/>
        <v>0</v>
      </c>
      <c r="L230" s="32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0"/>
        <v>28</v>
      </c>
      <c r="J231" s="147" t="s">
        <v>1861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0"/>
        <v>28</v>
      </c>
      <c r="J232" s="147" t="s">
        <v>1862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3">COUNTIF(M233:AN233,"")</f>
        <v>28</v>
      </c>
      <c r="J233" s="147" t="s">
        <v>1863</v>
      </c>
      <c r="K233" s="31">
        <f t="shared" ref="K233:K300" si="14">COUNTIF(M233:AN233,"APAGADO")</f>
        <v>0</v>
      </c>
      <c r="L233" s="32">
        <f t="shared" ref="L233:L300" si="15">(I233)/(K233+I233)</f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3"/>
        <v>28</v>
      </c>
      <c r="J234" s="147" t="s">
        <v>1864</v>
      </c>
      <c r="K234" s="31">
        <f t="shared" si="14"/>
        <v>0</v>
      </c>
      <c r="L234" s="32">
        <f t="shared" si="15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3"/>
        <v>28</v>
      </c>
      <c r="J235" s="147" t="s">
        <v>1865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3"/>
        <v>28</v>
      </c>
      <c r="J236" s="147" t="s">
        <v>1866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3"/>
        <v>28</v>
      </c>
      <c r="J237" s="147" t="s">
        <v>1867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3"/>
        <v>28</v>
      </c>
      <c r="J238" s="147" t="s">
        <v>1868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3"/>
        <v>28</v>
      </c>
      <c r="J239" s="147" t="s">
        <v>1869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3"/>
        <v>28</v>
      </c>
      <c r="J240" s="87"/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93"/>
      <c r="AF240" s="93"/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</row>
    <row r="241" spans="1:42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3"/>
        <v>28</v>
      </c>
      <c r="J241" s="147" t="s">
        <v>1825</v>
      </c>
      <c r="K241" s="31">
        <f t="shared" si="14"/>
        <v>0</v>
      </c>
      <c r="L241" s="32">
        <f t="shared" si="15"/>
        <v>1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3"/>
        <v>28</v>
      </c>
      <c r="J242" s="147" t="s">
        <v>1870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3"/>
        <v>28</v>
      </c>
      <c r="J243" s="87"/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3"/>
        <v>28</v>
      </c>
      <c r="J244" s="147" t="s">
        <v>1871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3"/>
        <v>28</v>
      </c>
      <c r="J245" s="147" t="s">
        <v>1872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3"/>
        <v>28</v>
      </c>
      <c r="J246" s="147" t="s">
        <v>1873</v>
      </c>
      <c r="K246" s="142">
        <f t="shared" si="14"/>
        <v>0</v>
      </c>
      <c r="L246" s="143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</row>
    <row r="247" spans="1:42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3"/>
        <v>28</v>
      </c>
      <c r="J247" s="147" t="s">
        <v>1874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3"/>
        <v>28</v>
      </c>
      <c r="J248" s="147" t="s">
        <v>1875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3"/>
        <v>28</v>
      </c>
      <c r="J250" s="147" t="s">
        <v>1876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3"/>
        <v>28</v>
      </c>
      <c r="J251" s="147" t="s">
        <v>1877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3"/>
        <v>28</v>
      </c>
      <c r="J252" s="147" t="s">
        <v>1878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</row>
    <row r="253" spans="1:42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3"/>
        <v>28</v>
      </c>
      <c r="J253" s="147" t="s">
        <v>1879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3"/>
        <v>28</v>
      </c>
      <c r="J254" s="147" t="s">
        <v>1880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3"/>
        <v>28</v>
      </c>
      <c r="J255" s="147" t="s">
        <v>1867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3"/>
        <v>28</v>
      </c>
      <c r="J256" s="147" t="s">
        <v>1881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3"/>
        <v>28</v>
      </c>
      <c r="J257" s="147" t="s">
        <v>1882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3"/>
        <v>28</v>
      </c>
      <c r="J258" s="147" t="s">
        <v>1883</v>
      </c>
      <c r="K258" s="142">
        <f t="shared" si="14"/>
        <v>0</v>
      </c>
      <c r="L258" s="143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3"/>
        <v>28</v>
      </c>
      <c r="J259" s="147" t="s">
        <v>1884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3"/>
        <v>28</v>
      </c>
      <c r="J260" s="147" t="s">
        <v>1885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3"/>
        <v>28</v>
      </c>
      <c r="J261" s="150" t="s">
        <v>1886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1501</v>
      </c>
      <c r="I262" s="31">
        <f t="shared" si="13"/>
        <v>28</v>
      </c>
      <c r="J262" s="147" t="s">
        <v>1887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1502</v>
      </c>
      <c r="I263" s="142">
        <f t="shared" si="13"/>
        <v>28</v>
      </c>
      <c r="J263" s="147" t="s">
        <v>1888</v>
      </c>
      <c r="K263" s="142">
        <f t="shared" si="14"/>
        <v>0</v>
      </c>
      <c r="L263" s="143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</row>
    <row r="264" spans="1:42" ht="15.75" thickBot="1" x14ac:dyDescent="0.3">
      <c r="A264" t="s">
        <v>301</v>
      </c>
      <c r="B264" t="s">
        <v>1496</v>
      </c>
      <c r="C264" t="s">
        <v>1064</v>
      </c>
      <c r="D264" t="s">
        <v>1495</v>
      </c>
      <c r="E264" s="30" t="s">
        <v>73</v>
      </c>
      <c r="F264" s="30" t="s">
        <v>28</v>
      </c>
      <c r="G264" s="30"/>
      <c r="H264" s="30" t="s">
        <v>1497</v>
      </c>
      <c r="I264" s="142">
        <f t="shared" si="13"/>
        <v>28</v>
      </c>
      <c r="J264" s="147" t="s">
        <v>1889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301</v>
      </c>
      <c r="B265" t="s">
        <v>1498</v>
      </c>
      <c r="C265" t="s">
        <v>1064</v>
      </c>
      <c r="D265" t="s">
        <v>1495</v>
      </c>
      <c r="E265" s="30" t="s">
        <v>73</v>
      </c>
      <c r="F265" s="30" t="s">
        <v>28</v>
      </c>
      <c r="G265" s="30"/>
      <c r="H265" s="30" t="s">
        <v>1503</v>
      </c>
      <c r="I265" s="142">
        <f t="shared" si="13"/>
        <v>28</v>
      </c>
      <c r="J265" s="147" t="s">
        <v>1890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3"/>
        <v>28</v>
      </c>
      <c r="J266" s="147" t="s">
        <v>1891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3"/>
        <v>28</v>
      </c>
      <c r="J267" s="147" t="s">
        <v>1892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</row>
    <row r="268" spans="1:42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3"/>
        <v>28</v>
      </c>
      <c r="J268" s="147" t="s">
        <v>1893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3"/>
        <v>28</v>
      </c>
      <c r="J269" s="147" t="s">
        <v>1894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3"/>
        <v>28</v>
      </c>
      <c r="J270" s="147" t="s">
        <v>1895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3"/>
        <v>28</v>
      </c>
      <c r="J271" s="147" t="s">
        <v>1697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3"/>
        <v>28</v>
      </c>
      <c r="J272" s="147" t="s">
        <v>1896</v>
      </c>
      <c r="K272" s="31">
        <f t="shared" si="14"/>
        <v>0</v>
      </c>
      <c r="L272" s="32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3"/>
        <v>28</v>
      </c>
      <c r="J273" s="147" t="s">
        <v>1897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3"/>
        <v>28</v>
      </c>
      <c r="J274" s="147" t="s">
        <v>1898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3"/>
        <v>28</v>
      </c>
      <c r="J275" s="147" t="s">
        <v>1899</v>
      </c>
      <c r="K275" s="142">
        <f t="shared" si="14"/>
        <v>0</v>
      </c>
      <c r="L275" s="143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</row>
    <row r="276" spans="1:42" s="73" customFormat="1" ht="15.75" thickBot="1" x14ac:dyDescent="0.3">
      <c r="A276" s="73" t="s">
        <v>1543</v>
      </c>
      <c r="B276" s="73" t="s">
        <v>1542</v>
      </c>
      <c r="C276" s="73" t="s">
        <v>1064</v>
      </c>
      <c r="D276" s="73" t="s">
        <v>1544</v>
      </c>
      <c r="E276" s="85" t="s">
        <v>19</v>
      </c>
      <c r="F276" s="85" t="s">
        <v>1303</v>
      </c>
      <c r="G276" s="85"/>
      <c r="H276" s="85" t="s">
        <v>1545</v>
      </c>
      <c r="I276" s="142">
        <f t="shared" si="13"/>
        <v>28</v>
      </c>
      <c r="J276" s="147" t="s">
        <v>1900</v>
      </c>
      <c r="K276" s="142">
        <f t="shared" si="14"/>
        <v>0</v>
      </c>
      <c r="L276" s="143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1543</v>
      </c>
      <c r="B277" s="73" t="s">
        <v>1657</v>
      </c>
      <c r="C277" s="73" t="s">
        <v>1064</v>
      </c>
      <c r="D277" s="73" t="s">
        <v>1658</v>
      </c>
      <c r="E277" s="85" t="s">
        <v>19</v>
      </c>
      <c r="F277" s="85" t="s">
        <v>28</v>
      </c>
      <c r="G277" s="85"/>
      <c r="H277" s="85" t="s">
        <v>1659</v>
      </c>
      <c r="I277" s="142">
        <f t="shared" si="13"/>
        <v>28</v>
      </c>
      <c r="J277" s="87" t="s">
        <v>2199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3"/>
        <v>28</v>
      </c>
      <c r="J278" s="147" t="s">
        <v>1901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3"/>
        <v>28</v>
      </c>
      <c r="J279" s="147" t="s">
        <v>1902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3"/>
        <v>28</v>
      </c>
      <c r="J280" s="147" t="s">
        <v>1903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3"/>
        <v>28</v>
      </c>
      <c r="J281" s="147" t="s">
        <v>1904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3"/>
        <v>28</v>
      </c>
      <c r="J282" s="147" t="s">
        <v>1905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3"/>
        <v>28</v>
      </c>
      <c r="J283" s="147" t="s">
        <v>1906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3"/>
        <v>28</v>
      </c>
      <c r="J284" s="147" t="s">
        <v>1907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3"/>
        <v>28</v>
      </c>
      <c r="J285" s="147" t="s">
        <v>1908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3"/>
        <v>28</v>
      </c>
      <c r="J286" s="147" t="s">
        <v>1909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3"/>
        <v>28</v>
      </c>
      <c r="J287" s="147" t="s">
        <v>1910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3"/>
        <v>28</v>
      </c>
      <c r="J288" s="147" t="s">
        <v>1911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3"/>
        <v>28</v>
      </c>
      <c r="J289" s="147" t="s">
        <v>1912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3"/>
        <v>28</v>
      </c>
      <c r="J290" s="147" t="s">
        <v>1913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3"/>
        <v>28</v>
      </c>
      <c r="J291" s="147" t="s">
        <v>1914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3"/>
        <v>28</v>
      </c>
      <c r="J292" s="147" t="s">
        <v>1915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3"/>
        <v>28</v>
      </c>
      <c r="J293" s="147" t="s">
        <v>1916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3"/>
        <v>28</v>
      </c>
      <c r="J294" s="147" t="s">
        <v>1917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3"/>
        <v>28</v>
      </c>
      <c r="J295" s="147" t="s">
        <v>1918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3"/>
        <v>28</v>
      </c>
      <c r="J296" s="147" t="s">
        <v>1919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3"/>
        <v>28</v>
      </c>
      <c r="J297" s="147" t="s">
        <v>1920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3"/>
        <v>28</v>
      </c>
      <c r="J298" s="87"/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3"/>
        <v>28</v>
      </c>
      <c r="J299" s="147" t="s">
        <v>1921</v>
      </c>
      <c r="K299" s="142">
        <f t="shared" si="14"/>
        <v>0</v>
      </c>
      <c r="L299" s="143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1635</v>
      </c>
      <c r="I300" s="142">
        <f t="shared" si="13"/>
        <v>28</v>
      </c>
      <c r="J300" s="147" t="s">
        <v>2156</v>
      </c>
      <c r="K300" s="142">
        <f t="shared" si="14"/>
        <v>0</v>
      </c>
      <c r="L300" s="143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</row>
    <row r="301" spans="1:42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6">COUNTIF(M301:AN301,"")</f>
        <v>28</v>
      </c>
      <c r="J301" s="147" t="s">
        <v>1922</v>
      </c>
      <c r="K301" s="31">
        <f t="shared" ref="K301:K369" si="17">COUNTIF(M301:AN301,"APAGADO")</f>
        <v>0</v>
      </c>
      <c r="L301" s="32">
        <f t="shared" ref="L301:L369" si="18">(I301)/(K301+I301)</f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</row>
    <row r="302" spans="1:42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6"/>
        <v>28</v>
      </c>
      <c r="J302" s="147" t="s">
        <v>1923</v>
      </c>
      <c r="K302" s="142">
        <f t="shared" si="17"/>
        <v>0</v>
      </c>
      <c r="L302" s="143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6"/>
        <v>28</v>
      </c>
      <c r="J303" s="87" t="s">
        <v>2200</v>
      </c>
      <c r="K303" s="142">
        <f t="shared" si="17"/>
        <v>0</v>
      </c>
      <c r="L303" s="143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6"/>
        <v>28</v>
      </c>
      <c r="J304" s="147" t="s">
        <v>1924</v>
      </c>
      <c r="K304" s="142">
        <f t="shared" si="17"/>
        <v>0</v>
      </c>
      <c r="L304" s="143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6"/>
        <v>28</v>
      </c>
      <c r="J305" s="147" t="s">
        <v>1925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6"/>
        <v>28</v>
      </c>
      <c r="J306" s="147" t="s">
        <v>1926</v>
      </c>
      <c r="K306" s="31">
        <f t="shared" si="17"/>
        <v>0</v>
      </c>
      <c r="L306" s="32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6"/>
        <v>28</v>
      </c>
      <c r="J307" s="147" t="s">
        <v>1927</v>
      </c>
      <c r="K307" s="31">
        <f t="shared" si="17"/>
        <v>0</v>
      </c>
      <c r="L307" s="32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6"/>
        <v>28</v>
      </c>
      <c r="J308" s="147" t="s">
        <v>1928</v>
      </c>
      <c r="K308" s="31">
        <f t="shared" si="17"/>
        <v>0</v>
      </c>
      <c r="L308" s="32">
        <f t="shared" si="18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6"/>
        <v>28</v>
      </c>
      <c r="J309" s="147" t="s">
        <v>1929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6"/>
        <v>28</v>
      </c>
      <c r="J310" s="147" t="s">
        <v>1930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6"/>
        <v>28</v>
      </c>
      <c r="J311" s="147" t="s">
        <v>1931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6"/>
        <v>28</v>
      </c>
      <c r="J312" s="147" t="s">
        <v>1932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6"/>
        <v>28</v>
      </c>
      <c r="J313" s="147" t="s">
        <v>1933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6"/>
        <v>28</v>
      </c>
      <c r="J314" s="147" t="s">
        <v>1934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6"/>
        <v>28</v>
      </c>
      <c r="J315" s="147" t="s">
        <v>1935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6"/>
        <v>28</v>
      </c>
      <c r="J316" s="147" t="s">
        <v>1936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6"/>
        <v>28</v>
      </c>
      <c r="J317" s="147" t="s">
        <v>1937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6"/>
        <v>28</v>
      </c>
      <c r="J318" s="147" t="s">
        <v>1938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6"/>
        <v>28</v>
      </c>
      <c r="J319" s="147" t="s">
        <v>1939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6"/>
        <v>28</v>
      </c>
      <c r="J320" s="147" t="s">
        <v>1940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6"/>
        <v>28</v>
      </c>
      <c r="J321" s="147" t="s">
        <v>1941</v>
      </c>
      <c r="K321" s="87">
        <f t="shared" si="17"/>
        <v>0</v>
      </c>
      <c r="L321" s="88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6"/>
        <v>28</v>
      </c>
      <c r="J322" s="147" t="s">
        <v>1942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6"/>
        <v>28</v>
      </c>
      <c r="J323" s="147" t="s">
        <v>1943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6"/>
        <v>28</v>
      </c>
      <c r="J324" s="147" t="s">
        <v>1944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6"/>
        <v>28</v>
      </c>
      <c r="J325" s="147" t="s">
        <v>1945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6"/>
        <v>28</v>
      </c>
      <c r="J326" s="147" t="s">
        <v>1946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6"/>
        <v>28</v>
      </c>
      <c r="J327" s="147" t="s">
        <v>1947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6"/>
        <v>28</v>
      </c>
      <c r="J328" s="147" t="s">
        <v>1948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6"/>
        <v>28</v>
      </c>
      <c r="J329" s="147" t="s">
        <v>1949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6"/>
        <v>28</v>
      </c>
      <c r="J330" s="147" t="s">
        <v>1950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6"/>
        <v>28</v>
      </c>
      <c r="J331" s="147" t="s">
        <v>1951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6"/>
        <v>28</v>
      </c>
      <c r="J332" s="147" t="s">
        <v>1952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1488</v>
      </c>
      <c r="I333" s="31">
        <f t="shared" si="16"/>
        <v>28</v>
      </c>
      <c r="J333" s="147" t="s">
        <v>1953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6"/>
        <v>28</v>
      </c>
      <c r="J334" s="87"/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6"/>
        <v>28</v>
      </c>
      <c r="J335" s="87"/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1505</v>
      </c>
      <c r="I336" s="31">
        <f t="shared" si="16"/>
        <v>28</v>
      </c>
      <c r="J336" s="147" t="s">
        <v>1954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6"/>
        <v>28</v>
      </c>
      <c r="J337" s="87"/>
      <c r="K337" s="142">
        <f t="shared" si="17"/>
        <v>0</v>
      </c>
      <c r="L337" s="143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</row>
    <row r="338" spans="1:42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6"/>
        <v>28</v>
      </c>
      <c r="J338" s="87"/>
      <c r="K338" s="142">
        <f t="shared" si="17"/>
        <v>0</v>
      </c>
      <c r="L338" s="143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</row>
    <row r="339" spans="1:42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6"/>
        <v>28</v>
      </c>
      <c r="J339" s="147" t="s">
        <v>1955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6"/>
        <v>28</v>
      </c>
      <c r="J340" s="147" t="s">
        <v>1956</v>
      </c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6"/>
        <v>28</v>
      </c>
      <c r="J341" s="147" t="s">
        <v>1957</v>
      </c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1486</v>
      </c>
      <c r="I342" s="31">
        <f t="shared" si="16"/>
        <v>28</v>
      </c>
      <c r="J342" s="147" t="s">
        <v>1958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6"/>
        <v>28</v>
      </c>
      <c r="J343" s="147" t="s">
        <v>1959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6"/>
        <v>28</v>
      </c>
      <c r="J344" s="147" t="s">
        <v>1960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6"/>
        <v>28</v>
      </c>
      <c r="J345" s="147" t="s">
        <v>1961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6"/>
        <v>28</v>
      </c>
      <c r="J346" s="147" t="s">
        <v>1962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6"/>
        <v>28</v>
      </c>
      <c r="J347" s="147" t="s">
        <v>1963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6"/>
        <v>28</v>
      </c>
      <c r="J348" s="147" t="s">
        <v>1964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6"/>
        <v>28</v>
      </c>
      <c r="J349" s="147" t="s">
        <v>1965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s="73" customFormat="1" ht="15.75" thickBot="1" x14ac:dyDescent="0.3">
      <c r="A350" s="73" t="s">
        <v>1322</v>
      </c>
      <c r="B350" s="73" t="s">
        <v>1578</v>
      </c>
      <c r="C350" s="73" t="s">
        <v>1064</v>
      </c>
      <c r="D350" s="73" t="s">
        <v>1581</v>
      </c>
      <c r="E350" s="85" t="s">
        <v>73</v>
      </c>
      <c r="F350" s="85" t="s">
        <v>1303</v>
      </c>
      <c r="H350" s="85" t="s">
        <v>1582</v>
      </c>
      <c r="I350" s="31">
        <f t="shared" si="16"/>
        <v>28</v>
      </c>
      <c r="J350" s="147" t="s">
        <v>1966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</row>
    <row r="351" spans="1:42" s="73" customFormat="1" ht="15.75" thickBot="1" x14ac:dyDescent="0.3">
      <c r="A351" s="73" t="s">
        <v>1322</v>
      </c>
      <c r="B351" s="73" t="s">
        <v>1579</v>
      </c>
      <c r="C351" s="73" t="s">
        <v>1064</v>
      </c>
      <c r="D351" s="73" t="s">
        <v>1583</v>
      </c>
      <c r="E351" s="73" t="s">
        <v>73</v>
      </c>
      <c r="F351" s="85" t="s">
        <v>1303</v>
      </c>
      <c r="H351" s="85" t="s">
        <v>1584</v>
      </c>
      <c r="I351" s="31">
        <f t="shared" si="16"/>
        <v>28</v>
      </c>
      <c r="J351" s="147" t="s">
        <v>1967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s="73" customFormat="1" ht="15.75" thickBot="1" x14ac:dyDescent="0.3">
      <c r="A352" s="73" t="s">
        <v>1322</v>
      </c>
      <c r="B352" s="73" t="s">
        <v>1580</v>
      </c>
      <c r="C352" s="73" t="s">
        <v>1064</v>
      </c>
      <c r="D352" s="73" t="s">
        <v>1585</v>
      </c>
      <c r="E352" s="73" t="s">
        <v>73</v>
      </c>
      <c r="F352" s="85" t="s">
        <v>1303</v>
      </c>
      <c r="H352" s="85" t="s">
        <v>1586</v>
      </c>
      <c r="I352" s="31">
        <f t="shared" si="16"/>
        <v>28</v>
      </c>
      <c r="J352" s="147" t="s">
        <v>1968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</row>
    <row r="353" spans="1:42" s="73" customFormat="1" ht="15.75" thickBot="1" x14ac:dyDescent="0.3">
      <c r="A353" s="73" t="s">
        <v>1322</v>
      </c>
      <c r="B353" s="73" t="s">
        <v>1639</v>
      </c>
      <c r="C353" s="73" t="s">
        <v>1064</v>
      </c>
      <c r="D353" s="73" t="s">
        <v>1640</v>
      </c>
      <c r="E353" s="73" t="s">
        <v>19</v>
      </c>
      <c r="F353" s="85" t="s">
        <v>1303</v>
      </c>
      <c r="H353" s="85" t="s">
        <v>1641</v>
      </c>
      <c r="I353" s="31">
        <f t="shared" si="16"/>
        <v>28</v>
      </c>
      <c r="J353" s="147" t="s">
        <v>2150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6"/>
        <v>28</v>
      </c>
      <c r="J354" s="147" t="s">
        <v>1969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6"/>
        <v>28</v>
      </c>
      <c r="J355" s="147" t="s">
        <v>1970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1487</v>
      </c>
      <c r="I356" s="142">
        <f t="shared" si="16"/>
        <v>28</v>
      </c>
      <c r="J356" s="87"/>
      <c r="K356" s="142">
        <f t="shared" si="17"/>
        <v>0</v>
      </c>
      <c r="L356" s="143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384</v>
      </c>
      <c r="B357" s="73" t="s">
        <v>2180</v>
      </c>
      <c r="C357" s="73" t="s">
        <v>1064</v>
      </c>
      <c r="D357" s="73" t="s">
        <v>2181</v>
      </c>
      <c r="E357" s="85" t="s">
        <v>73</v>
      </c>
      <c r="F357" s="30" t="s">
        <v>28</v>
      </c>
      <c r="G357" s="85"/>
      <c r="H357" s="85" t="s">
        <v>2182</v>
      </c>
      <c r="I357" s="142">
        <f t="shared" si="16"/>
        <v>28</v>
      </c>
      <c r="J357" s="153" t="s">
        <v>2183</v>
      </c>
      <c r="K357" s="142">
        <f t="shared" si="17"/>
        <v>0</v>
      </c>
      <c r="L357" s="143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6"/>
        <v>28</v>
      </c>
      <c r="J358" s="147" t="s">
        <v>1971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6"/>
        <v>28</v>
      </c>
      <c r="J359" s="87"/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6"/>
        <v>28</v>
      </c>
      <c r="J360" s="147" t="s">
        <v>1972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6"/>
        <v>28</v>
      </c>
      <c r="J361" s="147" t="s">
        <v>1973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6"/>
        <v>28</v>
      </c>
      <c r="J362" s="147" t="s">
        <v>1974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6"/>
        <v>28</v>
      </c>
      <c r="J363" s="147" t="s">
        <v>1975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</row>
    <row r="364" spans="1:42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6"/>
        <v>28</v>
      </c>
      <c r="J364" s="73"/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93"/>
      <c r="AF364" s="93"/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</row>
    <row r="365" spans="1:42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2127</v>
      </c>
      <c r="I365" s="142">
        <f t="shared" si="16"/>
        <v>28</v>
      </c>
      <c r="J365" s="147" t="s">
        <v>1976</v>
      </c>
      <c r="K365" s="142">
        <f t="shared" si="17"/>
        <v>0</v>
      </c>
      <c r="L365" s="143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</row>
    <row r="366" spans="1:42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1520</v>
      </c>
      <c r="I366" s="87">
        <f t="shared" si="16"/>
        <v>28</v>
      </c>
      <c r="J366" s="147" t="s">
        <v>1977</v>
      </c>
      <c r="K366" s="87">
        <f t="shared" si="17"/>
        <v>0</v>
      </c>
      <c r="L366" s="88">
        <f t="shared" si="18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</row>
    <row r="367" spans="1:42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6"/>
        <v>28</v>
      </c>
      <c r="J367" s="147" t="s">
        <v>1978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6"/>
        <v>28</v>
      </c>
      <c r="J368" s="147" t="s">
        <v>1979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6"/>
        <v>28</v>
      </c>
      <c r="J369" s="147" t="s">
        <v>1980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19">COUNTIF(M370:AN370,"")</f>
        <v>28</v>
      </c>
      <c r="J370" s="147" t="s">
        <v>1981</v>
      </c>
      <c r="K370" s="31">
        <f t="shared" ref="K370:K447" si="20">COUNTIF(M370:AN370,"APAGADO")</f>
        <v>0</v>
      </c>
      <c r="L370" s="32">
        <f t="shared" ref="L370:L447" si="21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19"/>
        <v>28</v>
      </c>
      <c r="J371" s="147" t="s">
        <v>1982</v>
      </c>
      <c r="K371" s="31">
        <f t="shared" si="20"/>
        <v>0</v>
      </c>
      <c r="L371" s="32">
        <f t="shared" si="21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19"/>
        <v>28</v>
      </c>
      <c r="J372" s="147" t="s">
        <v>1983</v>
      </c>
      <c r="K372" s="31">
        <f t="shared" si="20"/>
        <v>0</v>
      </c>
      <c r="L372" s="32">
        <f t="shared" si="21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19"/>
        <v>28</v>
      </c>
      <c r="J373" s="147" t="s">
        <v>1984</v>
      </c>
      <c r="K373" s="31">
        <f t="shared" si="20"/>
        <v>0</v>
      </c>
      <c r="L373" s="32">
        <f t="shared" si="21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19"/>
        <v>28</v>
      </c>
      <c r="J374" s="147" t="s">
        <v>1985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19"/>
        <v>28</v>
      </c>
      <c r="J375" s="147" t="s">
        <v>1986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19"/>
        <v>28</v>
      </c>
      <c r="J376" s="147" t="s">
        <v>1987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19"/>
        <v>28</v>
      </c>
      <c r="J377" s="147" t="s">
        <v>1988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19"/>
        <v>28</v>
      </c>
      <c r="J378" s="147" t="s">
        <v>1989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19"/>
        <v>28</v>
      </c>
      <c r="J379" s="147" t="s">
        <v>1990</v>
      </c>
      <c r="K379" s="142">
        <f t="shared" si="20"/>
        <v>0</v>
      </c>
      <c r="L379" s="143">
        <f t="shared" si="21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2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1506</v>
      </c>
      <c r="I380" s="31">
        <f t="shared" si="19"/>
        <v>28</v>
      </c>
      <c r="J380" s="147" t="s">
        <v>1991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</row>
    <row r="381" spans="1:42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1504</v>
      </c>
      <c r="I381" s="31">
        <f t="shared" si="19"/>
        <v>28</v>
      </c>
      <c r="J381" s="147" t="s">
        <v>1992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</row>
    <row r="382" spans="1:42" ht="15.75" thickBot="1" x14ac:dyDescent="0.3">
      <c r="A382" t="s">
        <v>402</v>
      </c>
      <c r="B382" t="s">
        <v>1636</v>
      </c>
      <c r="C382" t="s">
        <v>1064</v>
      </c>
      <c r="D382" t="s">
        <v>1637</v>
      </c>
      <c r="E382" s="30" t="s">
        <v>19</v>
      </c>
      <c r="F382" s="30" t="s">
        <v>28</v>
      </c>
      <c r="G382" s="30"/>
      <c r="H382" s="85" t="s">
        <v>1638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</row>
    <row r="383" spans="1:42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19"/>
        <v>28</v>
      </c>
      <c r="J383" s="87"/>
      <c r="K383" s="31">
        <f t="shared" si="20"/>
        <v>0</v>
      </c>
      <c r="L383" s="32">
        <f t="shared" si="21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19"/>
        <v>28</v>
      </c>
      <c r="J384" s="147" t="s">
        <v>1993</v>
      </c>
      <c r="K384" s="142">
        <f t="shared" si="20"/>
        <v>0</v>
      </c>
      <c r="L384" s="143">
        <f t="shared" si="21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</row>
    <row r="385" spans="1:42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19"/>
        <v>28</v>
      </c>
      <c r="J385" s="87"/>
      <c r="K385" s="31">
        <f t="shared" si="20"/>
        <v>0</v>
      </c>
      <c r="L385" s="32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19"/>
        <v>28</v>
      </c>
      <c r="J386" s="87"/>
      <c r="K386" s="31">
        <f t="shared" si="20"/>
        <v>0</v>
      </c>
      <c r="L386" s="32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19"/>
        <v>28</v>
      </c>
      <c r="J387" s="147" t="s">
        <v>1994</v>
      </c>
      <c r="K387" s="87">
        <f t="shared" si="20"/>
        <v>0</v>
      </c>
      <c r="L387" s="88">
        <f t="shared" si="21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</row>
    <row r="388" spans="1:42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19"/>
        <v>28</v>
      </c>
      <c r="J389" s="147" t="s">
        <v>1995</v>
      </c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19"/>
        <v>28</v>
      </c>
      <c r="J390" s="147" t="s">
        <v>1996</v>
      </c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19"/>
        <v>28</v>
      </c>
      <c r="J391" s="147" t="s">
        <v>1997</v>
      </c>
      <c r="K391" s="142">
        <f t="shared" si="20"/>
        <v>0</v>
      </c>
      <c r="L391" s="143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19"/>
        <v>28</v>
      </c>
      <c r="J392" s="147" t="s">
        <v>1998</v>
      </c>
      <c r="K392" s="142">
        <f t="shared" si="20"/>
        <v>0</v>
      </c>
      <c r="L392" s="143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</row>
    <row r="393" spans="1:42" s="73" customFormat="1" ht="15.75" thickBot="1" x14ac:dyDescent="0.3">
      <c r="A393" s="73" t="s">
        <v>196</v>
      </c>
      <c r="B393" s="73" t="s">
        <v>1549</v>
      </c>
      <c r="C393" s="73" t="s">
        <v>1065</v>
      </c>
      <c r="D393" s="73" t="s">
        <v>1550</v>
      </c>
      <c r="E393" s="85" t="s">
        <v>73</v>
      </c>
      <c r="F393" s="85" t="s">
        <v>1303</v>
      </c>
      <c r="G393" s="85"/>
      <c r="H393" s="85"/>
      <c r="I393" s="142">
        <f t="shared" si="19"/>
        <v>28</v>
      </c>
      <c r="J393" s="87"/>
      <c r="K393" s="142">
        <f t="shared" si="20"/>
        <v>0</v>
      </c>
      <c r="L393" s="143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196</v>
      </c>
      <c r="B394" s="73" t="s">
        <v>1551</v>
      </c>
      <c r="C394" s="73" t="s">
        <v>1065</v>
      </c>
      <c r="D394" s="73" t="s">
        <v>1550</v>
      </c>
      <c r="E394" s="85" t="s">
        <v>73</v>
      </c>
      <c r="F394" s="85" t="s">
        <v>1303</v>
      </c>
      <c r="G394" s="85"/>
      <c r="H394" s="85"/>
      <c r="I394" s="142">
        <f t="shared" si="19"/>
        <v>28</v>
      </c>
      <c r="J394" s="87"/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5.75" thickBot="1" x14ac:dyDescent="0.3">
      <c r="A395" s="73" t="s">
        <v>196</v>
      </c>
      <c r="B395" s="73" t="s">
        <v>1632</v>
      </c>
      <c r="C395" s="73" t="s">
        <v>1065</v>
      </c>
      <c r="D395" s="73" t="s">
        <v>1633</v>
      </c>
      <c r="E395" s="85" t="s">
        <v>73</v>
      </c>
      <c r="F395" s="85" t="s">
        <v>1303</v>
      </c>
      <c r="G395" s="85"/>
      <c r="H395" s="85" t="s">
        <v>1634</v>
      </c>
      <c r="I395" s="142">
        <f t="shared" si="19"/>
        <v>28</v>
      </c>
      <c r="J395" s="87" t="s">
        <v>2155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2151</v>
      </c>
      <c r="C396" s="73" t="s">
        <v>1065</v>
      </c>
      <c r="D396" s="73" t="s">
        <v>2152</v>
      </c>
      <c r="E396" s="92" t="s">
        <v>19</v>
      </c>
      <c r="F396" s="85" t="s">
        <v>1303</v>
      </c>
      <c r="G396" s="85"/>
      <c r="H396" s="85" t="s">
        <v>2153</v>
      </c>
      <c r="I396" s="142">
        <f t="shared" si="19"/>
        <v>28</v>
      </c>
      <c r="J396" s="87" t="s">
        <v>2154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2204</v>
      </c>
      <c r="I397" s="31">
        <f t="shared" si="19"/>
        <v>28</v>
      </c>
      <c r="J397" s="87" t="s">
        <v>2205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</row>
    <row r="398" spans="1:42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19"/>
        <v>28</v>
      </c>
      <c r="J398" s="147" t="s">
        <v>1999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19"/>
        <v>28</v>
      </c>
      <c r="J399" s="147" t="s">
        <v>2000</v>
      </c>
      <c r="K399" s="142">
        <f t="shared" si="20"/>
        <v>0</v>
      </c>
      <c r="L399" s="143">
        <f t="shared" si="21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2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19"/>
        <v>28</v>
      </c>
      <c r="J400" s="147" t="s">
        <v>2001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19"/>
        <v>28</v>
      </c>
      <c r="J401" s="147" t="s">
        <v>2002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93"/>
      <c r="AF402" s="93"/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</row>
    <row r="403" spans="1:42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19"/>
        <v>28</v>
      </c>
      <c r="J403" s="147" t="s">
        <v>2003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19"/>
        <v>28</v>
      </c>
      <c r="J404" s="147" t="s">
        <v>2004</v>
      </c>
      <c r="K404" s="31">
        <f t="shared" si="20"/>
        <v>0</v>
      </c>
      <c r="L404" s="3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19"/>
        <v>28</v>
      </c>
      <c r="J406" s="73" t="s">
        <v>2005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19"/>
        <v>28</v>
      </c>
      <c r="J407" s="147" t="s">
        <v>2006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19"/>
        <v>28</v>
      </c>
      <c r="J408" s="147" t="s">
        <v>2007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6.899999999999999" customHeight="1" thickBot="1" x14ac:dyDescent="0.3">
      <c r="A409" t="s">
        <v>1126</v>
      </c>
      <c r="B409" s="73" t="s">
        <v>1564</v>
      </c>
      <c r="C409" s="73" t="s">
        <v>1065</v>
      </c>
      <c r="D409" s="73" t="s">
        <v>1565</v>
      </c>
      <c r="E409" s="85" t="s">
        <v>1116</v>
      </c>
      <c r="F409" s="85" t="s">
        <v>1303</v>
      </c>
      <c r="G409" s="85"/>
      <c r="H409" s="85" t="s">
        <v>1567</v>
      </c>
      <c r="I409" s="31">
        <f t="shared" si="19"/>
        <v>28</v>
      </c>
      <c r="J409" s="147" t="s">
        <v>2008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s="73" customFormat="1" ht="16.899999999999999" customHeight="1" thickBot="1" x14ac:dyDescent="0.3">
      <c r="A410" t="s">
        <v>1126</v>
      </c>
      <c r="B410" s="73" t="s">
        <v>1563</v>
      </c>
      <c r="C410" s="73" t="s">
        <v>1065</v>
      </c>
      <c r="D410" s="73" t="s">
        <v>1566</v>
      </c>
      <c r="E410" s="85" t="s">
        <v>1116</v>
      </c>
      <c r="F410" s="85" t="s">
        <v>1303</v>
      </c>
      <c r="G410" s="85"/>
      <c r="H410" s="85" t="s">
        <v>1568</v>
      </c>
      <c r="I410" s="31">
        <f t="shared" si="19"/>
        <v>28</v>
      </c>
      <c r="J410" s="147" t="s">
        <v>2009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19"/>
        <v>28</v>
      </c>
      <c r="J411" s="147" t="s">
        <v>2010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19"/>
        <v>28</v>
      </c>
      <c r="J412" s="147" t="s">
        <v>2011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19"/>
        <v>28</v>
      </c>
      <c r="J413" s="147" t="s">
        <v>2012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19"/>
        <v>28</v>
      </c>
      <c r="J414" s="147" t="s">
        <v>2013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19"/>
        <v>28</v>
      </c>
      <c r="J415" s="147" t="s">
        <v>2014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19"/>
        <v>28</v>
      </c>
      <c r="J416" s="147" t="s">
        <v>2015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19"/>
        <v>28</v>
      </c>
      <c r="J417" s="147" t="s">
        <v>2016</v>
      </c>
      <c r="K417" s="142">
        <f t="shared" si="20"/>
        <v>0</v>
      </c>
      <c r="L417" s="143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</row>
    <row r="418" spans="1:42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19"/>
        <v>28</v>
      </c>
      <c r="J418" s="147" t="s">
        <v>2017</v>
      </c>
      <c r="K418" s="142">
        <f t="shared" si="20"/>
        <v>0</v>
      </c>
      <c r="L418" s="143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</row>
    <row r="419" spans="1:42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19"/>
        <v>28</v>
      </c>
      <c r="J420" s="147" t="s">
        <v>2018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19"/>
        <v>28</v>
      </c>
      <c r="J421" s="147" t="s">
        <v>2019</v>
      </c>
      <c r="K421" s="31">
        <f t="shared" si="20"/>
        <v>0</v>
      </c>
      <c r="L421" s="3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19"/>
        <v>28</v>
      </c>
      <c r="J422" s="147" t="s">
        <v>2020</v>
      </c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19"/>
        <v>28</v>
      </c>
      <c r="J424" s="87"/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19"/>
        <v>28</v>
      </c>
      <c r="J425" s="87"/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19"/>
        <v>28</v>
      </c>
      <c r="J427" s="147" t="s">
        <v>2021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19"/>
        <v>28</v>
      </c>
      <c r="J428" s="147" t="s">
        <v>2022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19"/>
        <v>28</v>
      </c>
      <c r="J429" s="147" t="s">
        <v>2023</v>
      </c>
      <c r="K429" s="142">
        <f t="shared" si="20"/>
        <v>0</v>
      </c>
      <c r="L429" s="143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19"/>
        <v>28</v>
      </c>
      <c r="J430" s="147" t="s">
        <v>2024</v>
      </c>
      <c r="K430" s="142">
        <f t="shared" si="20"/>
        <v>0</v>
      </c>
      <c r="L430" s="143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19"/>
        <v>28</v>
      </c>
      <c r="J431" s="147" t="s">
        <v>2025</v>
      </c>
      <c r="K431" s="142">
        <f t="shared" si="20"/>
        <v>0</v>
      </c>
      <c r="L431" s="143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19"/>
        <v>28</v>
      </c>
      <c r="J432" s="147" t="s">
        <v>2026</v>
      </c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19"/>
        <v>28</v>
      </c>
      <c r="J433" s="147" t="s">
        <v>2027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19"/>
        <v>28</v>
      </c>
      <c r="J434" s="147" t="s">
        <v>2028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19"/>
        <v>28</v>
      </c>
      <c r="J435" s="147" t="s">
        <v>2029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s="73" customFormat="1" ht="15.75" thickBot="1" x14ac:dyDescent="0.3">
      <c r="A436" s="73" t="s">
        <v>1608</v>
      </c>
      <c r="B436" s="73" t="s">
        <v>1609</v>
      </c>
      <c r="C436" s="73" t="s">
        <v>1065</v>
      </c>
      <c r="D436" s="146" t="s">
        <v>1610</v>
      </c>
      <c r="E436" s="85" t="s">
        <v>15</v>
      </c>
      <c r="F436" s="85" t="s">
        <v>1303</v>
      </c>
      <c r="G436" s="85"/>
      <c r="H436" s="85" t="s">
        <v>1611</v>
      </c>
      <c r="I436" s="31">
        <f t="shared" si="19"/>
        <v>28</v>
      </c>
      <c r="J436" s="87"/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s="73" customFormat="1" ht="15.75" thickBot="1" x14ac:dyDescent="0.3">
      <c r="A437" s="73" t="s">
        <v>1608</v>
      </c>
      <c r="B437" s="73" t="s">
        <v>1620</v>
      </c>
      <c r="C437" s="73" t="s">
        <v>1065</v>
      </c>
      <c r="D437" s="146" t="s">
        <v>1621</v>
      </c>
      <c r="E437" s="85" t="s">
        <v>19</v>
      </c>
      <c r="F437" s="85" t="s">
        <v>1303</v>
      </c>
      <c r="G437" s="85"/>
      <c r="H437" s="85" t="s">
        <v>1622</v>
      </c>
      <c r="I437" s="31">
        <f t="shared" si="19"/>
        <v>28</v>
      </c>
      <c r="J437" s="87"/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</row>
    <row r="438" spans="1:42" s="73" customFormat="1" ht="15.75" thickBot="1" x14ac:dyDescent="0.3">
      <c r="A438" s="73" t="s">
        <v>1614</v>
      </c>
      <c r="B438" s="73" t="s">
        <v>1613</v>
      </c>
      <c r="C438" s="73" t="s">
        <v>1065</v>
      </c>
      <c r="D438" s="146" t="s">
        <v>1615</v>
      </c>
      <c r="E438" s="85" t="s">
        <v>73</v>
      </c>
      <c r="F438" s="85" t="s">
        <v>1303</v>
      </c>
      <c r="G438" s="85"/>
      <c r="H438" s="85" t="s">
        <v>1616</v>
      </c>
      <c r="I438" s="31">
        <f t="shared" si="19"/>
        <v>28</v>
      </c>
      <c r="J438" s="87"/>
      <c r="K438" s="31">
        <f t="shared" si="20"/>
        <v>0</v>
      </c>
      <c r="L438" s="32">
        <f t="shared" si="21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</row>
    <row r="439" spans="1:42" s="73" customFormat="1" ht="15.75" thickBot="1" x14ac:dyDescent="0.3">
      <c r="A439" s="73" t="s">
        <v>1608</v>
      </c>
      <c r="B439" s="73" t="s">
        <v>1665</v>
      </c>
      <c r="C439" s="73" t="s">
        <v>1065</v>
      </c>
      <c r="D439" s="146" t="s">
        <v>1663</v>
      </c>
      <c r="E439" s="85" t="s">
        <v>73</v>
      </c>
      <c r="F439" s="85" t="s">
        <v>1303</v>
      </c>
      <c r="G439" s="85"/>
      <c r="H439" s="85" t="s">
        <v>1667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1608</v>
      </c>
      <c r="B440" s="73" t="s">
        <v>1666</v>
      </c>
      <c r="C440" s="73" t="s">
        <v>1065</v>
      </c>
      <c r="D440" s="146" t="s">
        <v>1664</v>
      </c>
      <c r="E440" s="85" t="s">
        <v>73</v>
      </c>
      <c r="F440" s="85" t="s">
        <v>1303</v>
      </c>
      <c r="G440" s="85"/>
      <c r="H440" s="85" t="s">
        <v>1668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1608</v>
      </c>
      <c r="B441" s="73" t="s">
        <v>2177</v>
      </c>
      <c r="C441" s="73" t="s">
        <v>1065</v>
      </c>
      <c r="D441" s="146" t="s">
        <v>2178</v>
      </c>
      <c r="E441" s="85"/>
      <c r="F441" s="85" t="s">
        <v>1303</v>
      </c>
      <c r="G441" s="85"/>
      <c r="H441" s="85" t="s">
        <v>2179</v>
      </c>
      <c r="I441" s="31">
        <f t="shared" si="19"/>
        <v>28</v>
      </c>
      <c r="J441" s="153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19"/>
        <v>28</v>
      </c>
      <c r="J442" s="147" t="s">
        <v>2030</v>
      </c>
      <c r="K442" s="142">
        <f t="shared" si="20"/>
        <v>0</v>
      </c>
      <c r="L442" s="143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19"/>
        <v>28</v>
      </c>
      <c r="J443" s="147" t="s">
        <v>2031</v>
      </c>
      <c r="K443" s="142">
        <f t="shared" si="20"/>
        <v>0</v>
      </c>
      <c r="L443" s="143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19"/>
        <v>28</v>
      </c>
      <c r="J444" s="87"/>
      <c r="K444" s="142">
        <f t="shared" si="20"/>
        <v>0</v>
      </c>
      <c r="L444" s="143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433</v>
      </c>
      <c r="B445" s="85" t="s">
        <v>2146</v>
      </c>
      <c r="C445" t="s">
        <v>1064</v>
      </c>
      <c r="D445" s="73" t="s">
        <v>2147</v>
      </c>
      <c r="E445" s="85" t="s">
        <v>15</v>
      </c>
      <c r="F445" s="85" t="s">
        <v>1303</v>
      </c>
      <c r="G445" s="85"/>
      <c r="H445" s="85" t="s">
        <v>2148</v>
      </c>
      <c r="I445" s="142">
        <f t="shared" si="19"/>
        <v>28</v>
      </c>
      <c r="J445" s="153" t="s">
        <v>2149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19"/>
        <v>28</v>
      </c>
      <c r="J446" s="147" t="s">
        <v>2032</v>
      </c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479</v>
      </c>
      <c r="B447" t="s">
        <v>480</v>
      </c>
      <c r="C447" t="s">
        <v>1064</v>
      </c>
      <c r="D447" t="s">
        <v>1618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19"/>
        <v>28</v>
      </c>
      <c r="J447" s="147" t="s">
        <v>2033</v>
      </c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2">COUNTIF(M448:AN448,"")</f>
        <v>28</v>
      </c>
      <c r="J448" s="147" t="s">
        <v>2034</v>
      </c>
      <c r="K448" s="31">
        <f t="shared" ref="K448:K518" si="23">COUNTIF(M448:AN448,"APAGADO")</f>
        <v>0</v>
      </c>
      <c r="L448" s="32">
        <f t="shared" ref="L448:L518" si="24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2"/>
        <v>28</v>
      </c>
      <c r="J449" s="147" t="s">
        <v>2035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2"/>
        <v>28</v>
      </c>
      <c r="J450" s="147" t="s">
        <v>2036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2"/>
        <v>28</v>
      </c>
      <c r="J451" s="147" t="s">
        <v>2037</v>
      </c>
      <c r="K451" s="31">
        <f t="shared" si="23"/>
        <v>0</v>
      </c>
      <c r="L451" s="32">
        <f t="shared" si="24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2"/>
        <v>28</v>
      </c>
      <c r="J452" s="147" t="s">
        <v>2038</v>
      </c>
      <c r="K452" s="142">
        <f t="shared" si="23"/>
        <v>0</v>
      </c>
      <c r="L452" s="143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</row>
    <row r="453" spans="1:42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2"/>
        <v>28</v>
      </c>
      <c r="J453" s="147" t="s">
        <v>2039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</row>
    <row r="454" spans="1:42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2"/>
        <v>28</v>
      </c>
      <c r="J454" s="147" t="s">
        <v>2040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2"/>
        <v>28</v>
      </c>
      <c r="J455" s="147" t="s">
        <v>2041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2"/>
        <v>28</v>
      </c>
      <c r="J456" s="147" t="s">
        <v>2042</v>
      </c>
      <c r="K456" s="87">
        <f t="shared" si="23"/>
        <v>0</v>
      </c>
      <c r="L456" s="88">
        <f t="shared" si="24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</row>
    <row r="457" spans="1:42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2"/>
        <v>28</v>
      </c>
      <c r="J457" s="147" t="s">
        <v>2043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2"/>
        <v>28</v>
      </c>
      <c r="J458" s="147" t="s">
        <v>2044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2"/>
        <v>28</v>
      </c>
      <c r="J459" s="147" t="s">
        <v>2045</v>
      </c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2"/>
        <v>28</v>
      </c>
      <c r="J460" s="147" t="s">
        <v>2046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s="73" customFormat="1" ht="15.75" thickBot="1" x14ac:dyDescent="0.3">
      <c r="A461" s="73" t="s">
        <v>479</v>
      </c>
      <c r="B461" s="73" t="s">
        <v>1612</v>
      </c>
      <c r="C461" s="73" t="s">
        <v>1064</v>
      </c>
      <c r="D461" s="146" t="s">
        <v>1617</v>
      </c>
      <c r="E461" s="73" t="s">
        <v>15</v>
      </c>
      <c r="F461" s="73" t="s">
        <v>1303</v>
      </c>
      <c r="H461" s="85" t="s">
        <v>1619</v>
      </c>
      <c r="I461" s="87">
        <f t="shared" si="22"/>
        <v>28</v>
      </c>
      <c r="J461" s="87" t="s">
        <v>2169</v>
      </c>
      <c r="K461" s="87">
        <f t="shared" si="23"/>
        <v>0</v>
      </c>
      <c r="L461" s="88">
        <f t="shared" si="24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</row>
    <row r="462" spans="1:42" s="73" customFormat="1" ht="15.75" thickBot="1" x14ac:dyDescent="0.3">
      <c r="A462" s="73" t="s">
        <v>479</v>
      </c>
      <c r="B462" s="73" t="s">
        <v>1630</v>
      </c>
      <c r="C462" s="73" t="s">
        <v>1064</v>
      </c>
      <c r="D462" s="146" t="s">
        <v>1623</v>
      </c>
      <c r="E462" s="73" t="s">
        <v>19</v>
      </c>
      <c r="F462" s="73" t="s">
        <v>1303</v>
      </c>
      <c r="H462" s="85" t="s">
        <v>1631</v>
      </c>
      <c r="I462" s="87">
        <f t="shared" si="22"/>
        <v>28</v>
      </c>
      <c r="J462" s="87" t="s">
        <v>2170</v>
      </c>
      <c r="K462" s="87">
        <f t="shared" si="23"/>
        <v>0</v>
      </c>
      <c r="L462" s="88">
        <f t="shared" si="24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</row>
    <row r="463" spans="1:42" s="73" customFormat="1" ht="15.75" thickBot="1" x14ac:dyDescent="0.3">
      <c r="A463" s="73" t="s">
        <v>479</v>
      </c>
      <c r="B463" s="73" t="s">
        <v>1625</v>
      </c>
      <c r="C463" s="73" t="s">
        <v>1064</v>
      </c>
      <c r="D463" s="146" t="s">
        <v>1624</v>
      </c>
      <c r="E463" s="73" t="s">
        <v>1116</v>
      </c>
      <c r="F463" s="73" t="s">
        <v>1303</v>
      </c>
      <c r="H463" s="85" t="s">
        <v>1629</v>
      </c>
      <c r="I463" s="87">
        <f t="shared" si="22"/>
        <v>28</v>
      </c>
      <c r="J463" s="87" t="s">
        <v>2171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1626</v>
      </c>
      <c r="C464" s="73" t="s">
        <v>1064</v>
      </c>
      <c r="D464" s="146" t="s">
        <v>1627</v>
      </c>
      <c r="E464" s="73" t="s">
        <v>1116</v>
      </c>
      <c r="F464" s="73" t="s">
        <v>1303</v>
      </c>
      <c r="H464" s="85" t="s">
        <v>1628</v>
      </c>
      <c r="I464" s="87">
        <f t="shared" si="22"/>
        <v>28</v>
      </c>
      <c r="J464" s="87" t="s">
        <v>2172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2"/>
        <v>28</v>
      </c>
      <c r="J465" s="147" t="s">
        <v>2047</v>
      </c>
      <c r="K465" s="142">
        <f t="shared" si="23"/>
        <v>0</v>
      </c>
      <c r="L465" s="143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</row>
    <row r="466" spans="1:42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2"/>
        <v>28</v>
      </c>
      <c r="J466" s="87"/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2"/>
        <v>28</v>
      </c>
      <c r="J467" s="87"/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2"/>
        <v>28</v>
      </c>
      <c r="J468" s="87"/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2"/>
        <v>28</v>
      </c>
      <c r="J471" s="147" t="s">
        <v>2048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2"/>
        <v>28</v>
      </c>
      <c r="J472" s="147" t="s">
        <v>2049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2"/>
        <v>28</v>
      </c>
      <c r="J473" s="147" t="s">
        <v>2050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2"/>
        <v>28</v>
      </c>
      <c r="J474" s="147" t="s">
        <v>2051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2"/>
        <v>28</v>
      </c>
      <c r="J475" s="147" t="s">
        <v>2052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2"/>
        <v>28</v>
      </c>
      <c r="J476" s="147" t="s">
        <v>2053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2"/>
        <v>28</v>
      </c>
      <c r="J477" s="147" t="s">
        <v>2054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2"/>
        <v>28</v>
      </c>
      <c r="J478" s="147" t="s">
        <v>2055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2"/>
        <v>28</v>
      </c>
      <c r="J479" s="147" t="s">
        <v>2056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2"/>
        <v>28</v>
      </c>
      <c r="J480" s="147" t="s">
        <v>2057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2"/>
        <v>28</v>
      </c>
      <c r="J481" s="147" t="s">
        <v>2058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2"/>
        <v>28</v>
      </c>
      <c r="J482" s="147" t="s">
        <v>2059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1507</v>
      </c>
      <c r="I483" s="142">
        <f t="shared" si="22"/>
        <v>28</v>
      </c>
      <c r="J483" s="147" t="s">
        <v>2060</v>
      </c>
      <c r="K483" s="142">
        <f t="shared" si="23"/>
        <v>0</v>
      </c>
      <c r="L483" s="143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</row>
    <row r="484" spans="1:42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2"/>
        <v>28</v>
      </c>
      <c r="J484" s="147" t="s">
        <v>2061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2"/>
        <v>28</v>
      </c>
      <c r="J485" s="147" t="s">
        <v>2062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2"/>
        <v>28</v>
      </c>
      <c r="J486" s="147" t="s">
        <v>2063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2"/>
        <v>28</v>
      </c>
      <c r="J487" s="147" t="s">
        <v>2064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2"/>
        <v>28</v>
      </c>
      <c r="J488" s="147" t="s">
        <v>2065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2"/>
        <v>28</v>
      </c>
      <c r="J489" s="147" t="s">
        <v>2066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2"/>
        <v>28</v>
      </c>
      <c r="J490" s="147" t="s">
        <v>2067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2"/>
        <v>28</v>
      </c>
      <c r="J491" s="147" t="s">
        <v>2068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2"/>
        <v>28</v>
      </c>
      <c r="J492" s="147" t="s">
        <v>2069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2"/>
        <v>28</v>
      </c>
      <c r="J493" s="147" t="s">
        <v>2070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2"/>
        <v>28</v>
      </c>
      <c r="J494" s="147" t="s">
        <v>2071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2"/>
        <v>28</v>
      </c>
      <c r="J495" s="147" t="s">
        <v>2072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2"/>
        <v>28</v>
      </c>
      <c r="J496" s="147" t="s">
        <v>2073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2"/>
        <v>28</v>
      </c>
      <c r="J497" s="73"/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2"/>
        <v>28</v>
      </c>
      <c r="J498" s="147" t="s">
        <v>2074</v>
      </c>
      <c r="K498" s="142">
        <f t="shared" si="23"/>
        <v>0</v>
      </c>
      <c r="L498" s="143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2"/>
        <v>28</v>
      </c>
      <c r="J499" s="147" t="s">
        <v>2075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2"/>
        <v>28</v>
      </c>
      <c r="J500" s="147" t="s">
        <v>2076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2"/>
        <v>28</v>
      </c>
      <c r="J501" s="147" t="s">
        <v>2077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2"/>
        <v>28</v>
      </c>
      <c r="J502" s="147" t="s">
        <v>2078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2"/>
        <v>28</v>
      </c>
      <c r="J503" s="147" t="s">
        <v>2079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2"/>
        <v>28</v>
      </c>
      <c r="J504" s="147" t="s">
        <v>2080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2"/>
        <v>28</v>
      </c>
      <c r="J505" s="147" t="s">
        <v>2081</v>
      </c>
      <c r="K505" s="142">
        <f t="shared" si="23"/>
        <v>0</v>
      </c>
      <c r="L505" s="143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</row>
    <row r="506" spans="1:42" ht="15.75" thickBot="1" x14ac:dyDescent="0.3">
      <c r="A506" t="s">
        <v>518</v>
      </c>
      <c r="B506" s="30" t="s">
        <v>1535</v>
      </c>
      <c r="C506" s="30" t="s">
        <v>1065</v>
      </c>
      <c r="D506" t="s">
        <v>1536</v>
      </c>
      <c r="E506" s="30" t="s">
        <v>1116</v>
      </c>
      <c r="F506" s="30" t="s">
        <v>28</v>
      </c>
      <c r="G506" s="30"/>
      <c r="H506" s="30" t="s">
        <v>1537</v>
      </c>
      <c r="I506" s="142">
        <f t="shared" si="22"/>
        <v>28</v>
      </c>
      <c r="J506" s="147" t="s">
        <v>2082</v>
      </c>
      <c r="K506" s="142">
        <f t="shared" si="23"/>
        <v>0</v>
      </c>
      <c r="L506" s="143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73" customFormat="1" ht="15.75" thickBot="1" x14ac:dyDescent="0.3">
      <c r="A507" s="73" t="s">
        <v>518</v>
      </c>
      <c r="B507" s="85" t="s">
        <v>1587</v>
      </c>
      <c r="C507" s="85" t="s">
        <v>1065</v>
      </c>
      <c r="D507" s="73" t="s">
        <v>1588</v>
      </c>
      <c r="E507" s="85" t="s">
        <v>15</v>
      </c>
      <c r="F507" s="85" t="s">
        <v>1303</v>
      </c>
      <c r="G507" s="85"/>
      <c r="H507" s="85" t="s">
        <v>1589</v>
      </c>
      <c r="I507" s="142">
        <f t="shared" si="22"/>
        <v>28</v>
      </c>
      <c r="J507" s="147" t="s">
        <v>2083</v>
      </c>
      <c r="K507" s="142">
        <f t="shared" si="23"/>
        <v>0</v>
      </c>
      <c r="L507" s="143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</row>
    <row r="508" spans="1:42" s="73" customFormat="1" ht="15.75" thickBot="1" x14ac:dyDescent="0.3">
      <c r="A508" s="73" t="s">
        <v>518</v>
      </c>
      <c r="B508" s="85" t="s">
        <v>1590</v>
      </c>
      <c r="C508" s="85" t="s">
        <v>1065</v>
      </c>
      <c r="D508" s="73" t="s">
        <v>1591</v>
      </c>
      <c r="E508" s="85" t="s">
        <v>15</v>
      </c>
      <c r="F508" s="85" t="s">
        <v>1303</v>
      </c>
      <c r="G508" s="85"/>
      <c r="H508" s="85" t="s">
        <v>1592</v>
      </c>
      <c r="I508" s="142">
        <f t="shared" si="22"/>
        <v>28</v>
      </c>
      <c r="J508" s="147" t="s">
        <v>2084</v>
      </c>
      <c r="K508" s="142">
        <f t="shared" si="23"/>
        <v>0</v>
      </c>
      <c r="L508" s="143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2"/>
        <v>28</v>
      </c>
      <c r="J509" s="147" t="s">
        <v>2085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2"/>
        <v>28</v>
      </c>
      <c r="J510" s="147" t="s">
        <v>2086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2"/>
        <v>28</v>
      </c>
      <c r="J511" s="147" t="s">
        <v>2087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2"/>
        <v>28</v>
      </c>
      <c r="J512" s="147" t="s">
        <v>2088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2"/>
        <v>28</v>
      </c>
      <c r="J513" s="147" t="s">
        <v>2089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2"/>
        <v>28</v>
      </c>
      <c r="J514" s="147" t="s">
        <v>2090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2"/>
        <v>28</v>
      </c>
      <c r="J515" s="73"/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1509</v>
      </c>
      <c r="I516" s="31">
        <f t="shared" si="22"/>
        <v>28</v>
      </c>
      <c r="J516" s="147" t="s">
        <v>2091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2"/>
        <v>28</v>
      </c>
      <c r="J517" s="147" t="s">
        <v>2092</v>
      </c>
      <c r="K517" s="142">
        <f t="shared" si="23"/>
        <v>0</v>
      </c>
      <c r="L517" s="143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2"/>
        <v>28</v>
      </c>
      <c r="J518" s="147" t="s">
        <v>2093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5">COUNTIF(M519:AN519,"")</f>
        <v>28</v>
      </c>
      <c r="J519" s="147" t="s">
        <v>2094</v>
      </c>
      <c r="K519" s="142">
        <f t="shared" ref="K519:K562" si="26">COUNTIF(M519:AN519,"APAGADO")</f>
        <v>0</v>
      </c>
      <c r="L519" s="143">
        <f t="shared" ref="L519:L562" si="27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5"/>
        <v>28</v>
      </c>
      <c r="J520" s="147" t="s">
        <v>2095</v>
      </c>
      <c r="K520" s="142">
        <f t="shared" si="26"/>
        <v>0</v>
      </c>
      <c r="L520" s="143">
        <f t="shared" si="27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5"/>
        <v>27</v>
      </c>
      <c r="J521" s="147" t="s">
        <v>2096</v>
      </c>
      <c r="K521" s="31">
        <f t="shared" si="26"/>
        <v>0</v>
      </c>
      <c r="L521" s="32">
        <f t="shared" si="27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1508</v>
      </c>
      <c r="I522" s="142">
        <f t="shared" si="25"/>
        <v>28</v>
      </c>
      <c r="J522" s="147" t="s">
        <v>2097</v>
      </c>
      <c r="K522" s="142">
        <f t="shared" si="26"/>
        <v>0</v>
      </c>
      <c r="L522" s="143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479</v>
      </c>
      <c r="B523" t="s">
        <v>1314</v>
      </c>
      <c r="C523" t="s">
        <v>1064</v>
      </c>
      <c r="D523" t="s">
        <v>2201</v>
      </c>
      <c r="E523" s="85" t="s">
        <v>15</v>
      </c>
      <c r="F523" s="85" t="s">
        <v>1303</v>
      </c>
      <c r="G523" s="30"/>
      <c r="H523" s="30" t="s">
        <v>2202</v>
      </c>
      <c r="I523" s="31">
        <f t="shared" si="25"/>
        <v>28</v>
      </c>
      <c r="J523" s="147" t="s">
        <v>2203</v>
      </c>
      <c r="K523" s="31">
        <f t="shared" si="26"/>
        <v>0</v>
      </c>
      <c r="L523" s="32">
        <f t="shared" si="27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483</v>
      </c>
      <c r="B524" t="s">
        <v>2137</v>
      </c>
      <c r="C524" t="s">
        <v>1064</v>
      </c>
      <c r="D524" s="73" t="s">
        <v>2138</v>
      </c>
      <c r="E524" s="85" t="s">
        <v>15</v>
      </c>
      <c r="F524" s="85" t="s">
        <v>1303</v>
      </c>
      <c r="G524" s="30"/>
      <c r="H524" s="30" t="s">
        <v>2139</v>
      </c>
      <c r="I524" s="31">
        <f t="shared" si="25"/>
        <v>28</v>
      </c>
      <c r="J524" s="147" t="s">
        <v>2140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5"/>
        <v>28</v>
      </c>
      <c r="J525" s="147" t="s">
        <v>2098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5"/>
        <v>28</v>
      </c>
      <c r="J526" s="147" t="s">
        <v>2099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5"/>
        <v>28</v>
      </c>
      <c r="J527" s="147" t="s">
        <v>2100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5"/>
        <v>28</v>
      </c>
      <c r="J528" s="147" t="s">
        <v>2101</v>
      </c>
      <c r="K528" s="142">
        <f t="shared" si="26"/>
        <v>0</v>
      </c>
      <c r="L528" s="143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s="73" customFormat="1" ht="15.75" thickBot="1" x14ac:dyDescent="0.3">
      <c r="A529" s="73" t="s">
        <v>570</v>
      </c>
      <c r="B529" s="73" t="s">
        <v>1647</v>
      </c>
      <c r="C529" s="73" t="s">
        <v>1065</v>
      </c>
      <c r="D529" s="73" t="s">
        <v>1654</v>
      </c>
      <c r="E529" s="85" t="s">
        <v>1116</v>
      </c>
      <c r="F529" s="85" t="s">
        <v>28</v>
      </c>
      <c r="G529" s="85"/>
      <c r="H529" s="85" t="s">
        <v>1649</v>
      </c>
      <c r="I529" s="142">
        <f t="shared" si="25"/>
        <v>28</v>
      </c>
      <c r="J529" s="87" t="s">
        <v>2191</v>
      </c>
      <c r="K529" s="142">
        <f t="shared" si="26"/>
        <v>0</v>
      </c>
      <c r="L529" s="143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</row>
    <row r="530" spans="1:42" s="73" customFormat="1" ht="15.75" thickBot="1" x14ac:dyDescent="0.3">
      <c r="A530" s="73" t="s">
        <v>570</v>
      </c>
      <c r="B530" s="73" t="s">
        <v>2131</v>
      </c>
      <c r="C530" s="73" t="s">
        <v>1065</v>
      </c>
      <c r="D530" s="73" t="s">
        <v>2132</v>
      </c>
      <c r="E530" s="30" t="s">
        <v>15</v>
      </c>
      <c r="F530" s="85" t="s">
        <v>1303</v>
      </c>
      <c r="G530" s="85"/>
      <c r="H530" s="85" t="s">
        <v>2134</v>
      </c>
      <c r="I530" s="142">
        <f t="shared" si="25"/>
        <v>28</v>
      </c>
      <c r="J530" s="87"/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1660</v>
      </c>
      <c r="C531" s="73" t="s">
        <v>1065</v>
      </c>
      <c r="D531" s="73" t="s">
        <v>1661</v>
      </c>
      <c r="E531" s="85" t="s">
        <v>15</v>
      </c>
      <c r="F531" s="85" t="s">
        <v>1303</v>
      </c>
      <c r="G531" s="85"/>
      <c r="H531" s="85" t="s">
        <v>1662</v>
      </c>
      <c r="I531" s="142">
        <f t="shared" si="25"/>
        <v>28</v>
      </c>
      <c r="J531" s="87" t="s">
        <v>2192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5"/>
        <v>28</v>
      </c>
      <c r="J532" s="87" t="s">
        <v>2188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5"/>
        <v>28</v>
      </c>
      <c r="J533" s="147" t="s">
        <v>2102</v>
      </c>
      <c r="K533" s="31">
        <f t="shared" si="26"/>
        <v>0</v>
      </c>
      <c r="L533" s="32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5"/>
        <v>28</v>
      </c>
      <c r="J534" s="87" t="s">
        <v>2189</v>
      </c>
      <c r="K534" s="31">
        <f t="shared" si="26"/>
        <v>0</v>
      </c>
      <c r="L534" s="32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5"/>
        <v>28</v>
      </c>
      <c r="J535" s="147" t="s">
        <v>2103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</row>
    <row r="536" spans="1:42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5"/>
        <v>28</v>
      </c>
      <c r="J536" s="147" t="s">
        <v>2104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2143</v>
      </c>
      <c r="B537" s="73" t="s">
        <v>2141</v>
      </c>
      <c r="C537" t="s">
        <v>1064</v>
      </c>
      <c r="D537" s="73" t="s">
        <v>2142</v>
      </c>
      <c r="E537" s="85" t="s">
        <v>15</v>
      </c>
      <c r="F537" s="85" t="s">
        <v>1303</v>
      </c>
      <c r="G537" s="85"/>
      <c r="H537" s="85" t="s">
        <v>2144</v>
      </c>
      <c r="I537" s="142">
        <f t="shared" si="25"/>
        <v>28</v>
      </c>
      <c r="J537" s="151" t="s">
        <v>2145</v>
      </c>
      <c r="K537" s="142">
        <f t="shared" si="26"/>
        <v>0</v>
      </c>
      <c r="L537" s="143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5"/>
        <v>28</v>
      </c>
      <c r="J538" s="87" t="s">
        <v>2190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5"/>
        <v>28</v>
      </c>
      <c r="J539" s="147" t="s">
        <v>2105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5"/>
        <v>28</v>
      </c>
      <c r="J540" s="147" t="s">
        <v>2106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5"/>
        <v>28</v>
      </c>
      <c r="J541" s="147" t="s">
        <v>2107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5"/>
        <v>28</v>
      </c>
      <c r="J542" s="147" t="s">
        <v>2108</v>
      </c>
      <c r="K542" s="31">
        <f t="shared" si="26"/>
        <v>0</v>
      </c>
      <c r="L542" s="32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</row>
    <row r="543" spans="1:42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5"/>
        <v>28</v>
      </c>
      <c r="J543" s="147" t="s">
        <v>2109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5"/>
        <v>28</v>
      </c>
      <c r="J544" s="147" t="s">
        <v>2110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5"/>
        <v>28</v>
      </c>
      <c r="J545" s="147" t="s">
        <v>2111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5"/>
        <v>28</v>
      </c>
      <c r="J546" s="147" t="s">
        <v>2112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5"/>
        <v>28</v>
      </c>
      <c r="J547" s="87" t="s">
        <v>2206</v>
      </c>
      <c r="K547" s="142">
        <f t="shared" si="26"/>
        <v>0</v>
      </c>
      <c r="L547" s="143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5"/>
        <v>28</v>
      </c>
      <c r="J548" s="87" t="s">
        <v>2207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5"/>
        <v>28</v>
      </c>
      <c r="J549" s="87" t="s">
        <v>2208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5"/>
        <v>28</v>
      </c>
      <c r="J550" s="87" t="s">
        <v>2209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5"/>
        <v>28</v>
      </c>
      <c r="J551" s="147" t="s">
        <v>2114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5"/>
        <v>28</v>
      </c>
      <c r="J552" s="147" t="s">
        <v>2113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5"/>
        <v>28</v>
      </c>
      <c r="J553" s="147" t="s">
        <v>2115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389</v>
      </c>
      <c r="B554" s="30" t="s">
        <v>2184</v>
      </c>
      <c r="C554" s="73" t="s">
        <v>1064</v>
      </c>
      <c r="D554" t="s">
        <v>2185</v>
      </c>
      <c r="E554" s="85" t="s">
        <v>46</v>
      </c>
      <c r="F554" s="30" t="s">
        <v>28</v>
      </c>
      <c r="G554" s="30"/>
      <c r="H554" s="30" t="s">
        <v>2186</v>
      </c>
      <c r="I554" s="31">
        <f t="shared" si="25"/>
        <v>28</v>
      </c>
      <c r="J554" s="147" t="s">
        <v>2187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5"/>
        <v>28</v>
      </c>
      <c r="J555" s="147" t="s">
        <v>2116</v>
      </c>
      <c r="K555" s="142">
        <f t="shared" si="26"/>
        <v>0</v>
      </c>
      <c r="L555" s="143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</row>
    <row r="556" spans="1:42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5"/>
        <v>28</v>
      </c>
      <c r="J556" s="147" t="s">
        <v>2117</v>
      </c>
      <c r="K556" s="142">
        <f t="shared" si="26"/>
        <v>0</v>
      </c>
      <c r="L556" s="143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</row>
    <row r="557" spans="1:42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1510</v>
      </c>
      <c r="I557" s="142">
        <f t="shared" si="25"/>
        <v>28</v>
      </c>
      <c r="J557" s="147" t="s">
        <v>2118</v>
      </c>
      <c r="K557" s="142">
        <f t="shared" si="26"/>
        <v>0</v>
      </c>
      <c r="L557" s="143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</row>
    <row r="558" spans="1:42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5"/>
        <v>28</v>
      </c>
      <c r="J558" s="147" t="s">
        <v>2119</v>
      </c>
      <c r="K558" s="142">
        <f t="shared" si="26"/>
        <v>0</v>
      </c>
      <c r="L558" s="143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</row>
    <row r="559" spans="1:42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5"/>
        <v>28</v>
      </c>
      <c r="J559" s="147" t="s">
        <v>2120</v>
      </c>
      <c r="K559" s="142">
        <f t="shared" si="26"/>
        <v>0</v>
      </c>
      <c r="L559" s="143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</row>
    <row r="560" spans="1:42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5"/>
        <v>28</v>
      </c>
      <c r="J560" s="147" t="s">
        <v>2121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5"/>
        <v>28</v>
      </c>
      <c r="J561" s="147" t="s">
        <v>2122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2123</v>
      </c>
      <c r="C562" s="73" t="s">
        <v>1064</v>
      </c>
      <c r="D562" s="73" t="s">
        <v>2124</v>
      </c>
      <c r="E562" s="85" t="s">
        <v>15</v>
      </c>
      <c r="F562" s="85" t="s">
        <v>1303</v>
      </c>
      <c r="G562" s="85"/>
      <c r="H562" s="85" t="s">
        <v>2125</v>
      </c>
      <c r="I562" s="142">
        <f t="shared" si="25"/>
        <v>28</v>
      </c>
      <c r="J562" s="151" t="s">
        <v>2126</v>
      </c>
      <c r="K562" s="142">
        <f t="shared" si="26"/>
        <v>0</v>
      </c>
      <c r="L562" s="143">
        <f t="shared" si="27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P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7" operator="containsText" text="fija">
      <formula>NOT(ISERROR(SEARCH("fija",E1)))</formula>
    </cfRule>
    <cfRule type="containsText" dxfId="133" priority="528" operator="containsText" text="domo">
      <formula>NOT(ISERROR(SEARCH("domo",E1)))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68" operator="containsText" text="fija">
      <formula>NOT(ISERROR(SEARCH("fija",E539)))</formula>
    </cfRule>
    <cfRule type="containsText" dxfId="127" priority="469" operator="containsText" text="domo">
      <formula>NOT(ISERROR(SEARCH("domo",E539)))</formula>
    </cfRule>
    <cfRule type="containsText" dxfId="126" priority="470" operator="containsText" text="Radio">
      <formula>NOT(ISERROR(SEARCH("Radio",E539)))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1" operator="containsText" text="fija">
      <formula>NOT(ISERROR(SEARCH("fija",E540)))</formula>
    </cfRule>
    <cfRule type="containsText" dxfId="122" priority="462" operator="containsText" text="domo">
      <formula>NOT(ISERROR(SEARCH("domo",E540)))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58" operator="containsText" text="fija">
      <formula>NOT(ISERROR(SEARCH("fija",E543)))</formula>
    </cfRule>
    <cfRule type="containsText" dxfId="119" priority="459" operator="containsText" text="domo">
      <formula>NOT(ISERROR(SEARCH("domo",E543)))</formula>
    </cfRule>
    <cfRule type="containsText" dxfId="118" priority="460" operator="containsText" text="Radio">
      <formula>NOT(ISERROR(SEARCH("Radio",E543)))</formula>
    </cfRule>
  </conditionalFormatting>
  <conditionalFormatting sqref="E543:E544">
    <cfRule type="containsText" dxfId="117" priority="453" operator="containsText" text="fija">
      <formula>NOT(ISERROR(SEARCH("fija",E543)))</formula>
    </cfRule>
    <cfRule type="containsText" dxfId="116" priority="454" operator="containsText" text="domo">
      <formula>NOT(ISERROR(SEARCH("domo",E543)))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8" operator="containsText" text="fija">
      <formula>NOT(ISERROR(SEARCH("fija",E544)))</formula>
    </cfRule>
    <cfRule type="containsText" dxfId="113" priority="449" operator="containsText" text="domo">
      <formula>NOT(ISERROR(SEARCH("domo",E544)))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3" operator="containsText" text="fija">
      <formula>NOT(ISERROR(SEARCH("fija",E545)))</formula>
    </cfRule>
    <cfRule type="containsText" dxfId="110" priority="444" operator="containsText" text="domo">
      <formula>NOT(ISERROR(SEARCH("domo",E545)))</formula>
    </cfRule>
  </conditionalFormatting>
  <conditionalFormatting sqref="E546">
    <cfRule type="containsText" dxfId="109" priority="441" operator="containsText" text="fija">
      <formula>NOT(ISERROR(SEARCH("fija",E546)))</formula>
    </cfRule>
    <cfRule type="containsText" dxfId="108" priority="442" operator="containsText" text="domo">
      <formula>NOT(ISERROR(SEARCH("domo",E546)))</formula>
    </cfRule>
    <cfRule type="containsText" dxfId="107" priority="445" operator="containsText" text="Radio">
      <formula>NOT(ISERROR(SEARCH("Radio",E546)))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1" operator="containsText" text="fija">
      <formula>NOT(ISERROR(SEARCH("fija",E551)))</formula>
    </cfRule>
    <cfRule type="containsText" dxfId="103" priority="472" operator="containsText" text="domo">
      <formula>NOT(ISERROR(SEARCH("domo",E551)))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ellIs" dxfId="96" priority="56" operator="equal">
      <formula>"GPON"</formula>
    </cfRule>
    <cfRule type="cellIs" dxfId="95" priority="57" operator="equal">
      <formula>"GPON"</formula>
    </cfRule>
    <cfRule type="containsText" dxfId="94" priority="58" operator="containsText" text="Radio">
      <formula>NOT(ISERROR(SEARCH("Radio",F135)))</formula>
    </cfRule>
    <cfRule type="cellIs" dxfId="93" priority="59" operator="equal">
      <formula>$F$13</formula>
    </cfRule>
    <cfRule type="cellIs" dxfId="92" priority="60" operator="equal">
      <formula>"PTP A FO"</formula>
    </cfRule>
    <cfRule type="cellIs" dxfId="91" priority="61" operator="equal">
      <formula>"PTP A FO"</formula>
    </cfRule>
  </conditionalFormatting>
  <conditionalFormatting sqref="F138:F142">
    <cfRule type="containsText" dxfId="90" priority="33" operator="containsText" text="Radio">
      <formula>NOT(ISERROR(SEARCH("Radio",F138)))</formula>
    </cfRule>
    <cfRule type="cellIs" dxfId="89" priority="34" operator="equal">
      <formula>$F$13</formula>
    </cfRule>
    <cfRule type="cellIs" dxfId="88" priority="35" operator="equal">
      <formula>"PTP A FO"</formula>
    </cfRule>
    <cfRule type="cellIs" dxfId="87" priority="36" operator="equal">
      <formula>"PTP A FO"</formula>
    </cfRule>
  </conditionalFormatting>
  <conditionalFormatting sqref="F138:F153">
    <cfRule type="cellIs" dxfId="86" priority="1" operator="equal">
      <formula>"GPON"</formula>
    </cfRule>
    <cfRule type="cellIs" dxfId="85" priority="2" operator="equal">
      <formula>"GPON"</formula>
    </cfRule>
  </conditionalFormatting>
  <conditionalFormatting sqref="F220:F221">
    <cfRule type="cellIs" dxfId="84" priority="47" operator="equal">
      <formula>$F$13</formula>
    </cfRule>
    <cfRule type="cellIs" dxfId="83" priority="48" operator="equal">
      <formula>"PTP A FO"</formula>
    </cfRule>
    <cfRule type="cellIs" dxfId="82" priority="49" operator="equal">
      <formula>"PTP A FO"</formula>
    </cfRule>
  </conditionalFormatting>
  <conditionalFormatting sqref="F221">
    <cfRule type="cellIs" dxfId="81" priority="43" operator="equal">
      <formula>$F$13</formula>
    </cfRule>
    <cfRule type="cellIs" dxfId="80" priority="44" operator="equal">
      <formula>"PTP A FO"</formula>
    </cfRule>
    <cfRule type="cellIs" dxfId="79" priority="45" operator="equal">
      <formula>"PTP A FO"</formula>
    </cfRule>
  </conditionalFormatting>
  <conditionalFormatting sqref="F399">
    <cfRule type="containsText" dxfId="78" priority="52" operator="containsText" text="Radio">
      <formula>NOT(ISERROR(SEARCH("Radio",F399)))</formula>
    </cfRule>
    <cfRule type="cellIs" dxfId="77" priority="53" operator="equal">
      <formula>$F$13</formula>
    </cfRule>
    <cfRule type="cellIs" dxfId="76" priority="54" operator="equal">
      <formula>"PTP A FO"</formula>
    </cfRule>
    <cfRule type="cellIs" dxfId="75" priority="55" operator="equal">
      <formula>"PTP A FO"</formula>
    </cfRule>
  </conditionalFormatting>
  <conditionalFormatting sqref="F538">
    <cfRule type="containsText" dxfId="74" priority="118" operator="containsText" text="Radio">
      <formula>NOT(ISERROR(SEARCH("Radio",F538)))</formula>
    </cfRule>
    <cfRule type="cellIs" dxfId="73" priority="119" operator="equal">
      <formula>"PTP A FO"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4" operator="equal">
      <formula>$F$13</formula>
    </cfRule>
    <cfRule type="cellIs" dxfId="70" priority="525" operator="equal">
      <formula>"PTP A FO"</formula>
    </cfRule>
  </conditionalFormatting>
  <conditionalFormatting sqref="F142:G153">
    <cfRule type="cellIs" dxfId="69" priority="4" operator="equal">
      <formula>$F$13</formula>
    </cfRule>
    <cfRule type="cellIs" dxfId="68" priority="5" operator="equal">
      <formula>"PTP A FO"</formula>
    </cfRule>
    <cfRule type="cellIs" dxfId="67" priority="6" operator="equal">
      <formula>"PTP A FO"</formula>
    </cfRule>
  </conditionalFormatting>
  <conditionalFormatting sqref="G141">
    <cfRule type="cellIs" dxfId="66" priority="10" operator="equal">
      <formula>$F$13</formula>
    </cfRule>
    <cfRule type="cellIs" dxfId="65" priority="11" operator="equal">
      <formula>"PTP A FO"</formula>
    </cfRule>
    <cfRule type="cellIs" dxfId="64" priority="12" operator="equal">
      <formula>"PTP A FO"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M44:AO90 AP44:AP130 M91:AG91 AI91:AO91 M92:AO129 AC130:AO130 M130:AB140 AC131:AP140 M141:AP219 Z220:Z221 M222:AP321 M322:AO327 AP322:AP378 M328:AB328 AD328:AO328 M329:AO378 N379:O379 M379:M382 N380:N382 O380:O383 M383:N383 P383:AP383 M384:AP391 O392:AP398 M392:N399 M400:AP562 AI645:AO1048576">
    <cfRule type="cellIs" dxfId="57" priority="101" operator="equal">
      <formula>"APAGADO"</formula>
    </cfRule>
  </conditionalFormatting>
  <conditionalFormatting sqref="O645:O1164">
    <cfRule type="notContainsText" dxfId="56" priority="281" operator="notContains" text="Caida">
      <formula>ISERROR(SEARCH("Caida",O645))</formula>
    </cfRule>
    <cfRule type="containsText" dxfId="55" priority="282" operator="containsText" text="Caida">
      <formula>NOT(ISERROR(SEARCH("Caida",O645)))</formula>
    </cfRule>
    <cfRule type="cellIs" dxfId="54" priority="283" operator="lessThan">
      <formula>0.8</formula>
    </cfRule>
    <cfRule type="cellIs" dxfId="53" priority="284" operator="greaterThan">
      <formula>0.8</formula>
    </cfRule>
    <cfRule type="cellIs" dxfId="52" priority="307" operator="greaterThan">
      <formula>0.8</formula>
    </cfRule>
    <cfRule type="cellIs" dxfId="51" priority="411" operator="equal">
      <formula>"APAGADO"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90" zoomScaleNormal="90" workbookViewId="0">
      <selection activeCell="D341" sqref="D34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0</v>
      </c>
      <c r="D3" s="54"/>
      <c r="E3" s="55">
        <f>C3/C2</f>
        <v>0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298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256</v>
      </c>
      <c r="D10" s="113">
        <f>Hoja1!F5</f>
        <v>0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0</v>
      </c>
      <c r="E15" s="55">
        <f>D15/C13</f>
        <v>0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0</v>
      </c>
      <c r="E16" s="55">
        <f>D16/C13</f>
        <v>0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0</v>
      </c>
      <c r="D17" s="103">
        <f>D16-C17</f>
        <v>0</v>
      </c>
      <c r="E17" s="55">
        <f>D17/C13</f>
        <v>0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298</v>
      </c>
      <c r="D20" s="115">
        <f>Hoja1!G3</f>
        <v>0</v>
      </c>
      <c r="E20" s="105">
        <f>D20/C20</f>
        <v>0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256</v>
      </c>
      <c r="D21" s="113">
        <f>Hoja1!G5</f>
        <v>0</v>
      </c>
      <c r="E21" s="114">
        <f>D21/C21</f>
        <v>0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0</v>
      </c>
      <c r="E27" s="55">
        <f>D27/C24</f>
        <v>0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0</v>
      </c>
      <c r="D28" s="103">
        <f>D27-C28</f>
        <v>0</v>
      </c>
      <c r="E28" s="55">
        <f>D28/C24</f>
        <v>0</v>
      </c>
      <c r="F28" s="155"/>
    </row>
    <row r="29" spans="1:6" ht="15.75" thickBot="1" x14ac:dyDescent="0.3">
      <c r="B29" s="56"/>
      <c r="C29" s="131">
        <v>0</v>
      </c>
      <c r="D29" s="104">
        <f>D28-C29</f>
        <v>0</v>
      </c>
      <c r="E29" s="74">
        <f>D29/C24</f>
        <v>0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0</v>
      </c>
      <c r="E31" s="105">
        <f>D31/C31</f>
        <v>0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0</v>
      </c>
      <c r="E42" s="105">
        <f>D42/C42</f>
        <v>0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0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1245</v>
      </c>
      <c r="C48" s="67"/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/>
      <c r="D49" s="103">
        <v>0</v>
      </c>
      <c r="E49" s="55">
        <f>D49/C46</f>
        <v>0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1245</v>
      </c>
      <c r="C59" s="67"/>
      <c r="D59" s="103"/>
      <c r="E59" s="55">
        <f>D59/C57</f>
        <v>0</v>
      </c>
      <c r="F59" s="155"/>
    </row>
    <row r="60" spans="1:6" x14ac:dyDescent="0.25">
      <c r="B60" s="53" t="s">
        <v>1246</v>
      </c>
      <c r="C60" s="67"/>
      <c r="D60" s="103"/>
      <c r="E60" s="55">
        <f>D60/C57</f>
        <v>0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0</v>
      </c>
      <c r="D61" s="103"/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/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/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1532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>
        <f>'RESUMEN TOTAL'!R116</f>
        <v>0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>
        <f>'RESUMEN TOTAL'!R142</f>
        <v>0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>
        <f>'RESUMEN TOTAL'!R144</f>
        <v>0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>
        <f>'RESUMEN TOTAL'!M149</f>
        <v>0</v>
      </c>
      <c r="G119" s="70">
        <f>'RESUMEN TOTAL'!N149</f>
        <v>0</v>
      </c>
      <c r="H119" s="70">
        <f>'RESUMEN TOTAL'!O149</f>
        <v>0</v>
      </c>
      <c r="I119" s="70">
        <f>'RESUMEN TOTAL'!P149</f>
        <v>0</v>
      </c>
      <c r="J119" s="70">
        <f>'RESUMEN TOTAL'!Q149</f>
        <v>0</v>
      </c>
      <c r="K119" s="70">
        <f>'RESUMEN TOTAL'!R149</f>
        <v>0</v>
      </c>
      <c r="L119" s="70">
        <f>'RESUMEN TOTAL'!S149</f>
        <v>0</v>
      </c>
      <c r="M119" s="70">
        <f>'RESUMEN TOTAL'!T149</f>
        <v>0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>
        <f>'RESUMEN TOTAL'!M152</f>
        <v>0</v>
      </c>
      <c r="G122" s="70">
        <f>'RESUMEN TOTAL'!N152</f>
        <v>0</v>
      </c>
      <c r="H122" s="70">
        <f>'RESUMEN TOTAL'!O152</f>
        <v>0</v>
      </c>
      <c r="I122" s="70">
        <f>'RESUMEN TOTAL'!P152</f>
        <v>0</v>
      </c>
      <c r="J122" s="70">
        <f>'RESUMEN TOTAL'!Q152</f>
        <v>0</v>
      </c>
      <c r="K122" s="70">
        <f>'RESUMEN TOTAL'!R152</f>
        <v>0</v>
      </c>
      <c r="L122" s="70">
        <f>'RESUMEN TOTAL'!S152</f>
        <v>0</v>
      </c>
      <c r="M122" s="70">
        <f>'RESUMEN TOTAL'!T152</f>
        <v>0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>
        <f>'RESUMEN TOTAL'!M153</f>
        <v>0</v>
      </c>
      <c r="G123" s="70">
        <f>'RESUMEN TOTAL'!N153</f>
        <v>0</v>
      </c>
      <c r="H123" s="70">
        <f>'RESUMEN TOTAL'!O153</f>
        <v>0</v>
      </c>
      <c r="I123" s="70">
        <f>'RESUMEN TOTAL'!P153</f>
        <v>0</v>
      </c>
      <c r="J123" s="70">
        <f>'RESUMEN TOTAL'!Q153</f>
        <v>0</v>
      </c>
      <c r="K123" s="70">
        <f>'RESUMEN TOTAL'!R153</f>
        <v>0</v>
      </c>
      <c r="L123" s="70">
        <f>'RESUMEN TOTAL'!S153</f>
        <v>0</v>
      </c>
      <c r="M123" s="70">
        <f>'RESUMEN TOTAL'!T153</f>
        <v>0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>
        <f>'RESUMEN TOTAL'!M160</f>
        <v>0</v>
      </c>
      <c r="G126" s="70">
        <f>'RESUMEN TOTAL'!N160</f>
        <v>0</v>
      </c>
      <c r="H126" s="70">
        <f>'RESUMEN TOTAL'!O160</f>
        <v>0</v>
      </c>
      <c r="I126" s="70">
        <f>'RESUMEN TOTAL'!P160</f>
        <v>0</v>
      </c>
      <c r="J126" s="70">
        <f>'RESUMEN TOTAL'!Q160</f>
        <v>0</v>
      </c>
      <c r="K126" s="70">
        <f>'RESUMEN TOTAL'!R160</f>
        <v>0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>
        <f>'RESUMEN TOTAL'!M161</f>
        <v>0</v>
      </c>
      <c r="G127" s="70">
        <f>'RESUMEN TOTAL'!N161</f>
        <v>0</v>
      </c>
      <c r="H127" s="70">
        <f>'RESUMEN TOTAL'!O161</f>
        <v>0</v>
      </c>
      <c r="I127" s="70">
        <f>'RESUMEN TOTAL'!P161</f>
        <v>0</v>
      </c>
      <c r="J127" s="70">
        <f>'RESUMEN TOTAL'!Q161</f>
        <v>0</v>
      </c>
      <c r="K127" s="70">
        <f>'RESUMEN TOTAL'!R161</f>
        <v>0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>
        <f>'RESUMEN TOTAL'!Q162</f>
        <v>0</v>
      </c>
      <c r="K128" s="70">
        <f>'RESUMEN TOTAL'!R162</f>
        <v>0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>
        <f>'RESUMEN TOTAL'!M163</f>
        <v>0</v>
      </c>
      <c r="G129" s="70">
        <f>'RESUMEN TOTAL'!N163</f>
        <v>0</v>
      </c>
      <c r="H129" s="70">
        <f>'RESUMEN TOTAL'!O163</f>
        <v>0</v>
      </c>
      <c r="I129" s="70">
        <f>'RESUMEN TOTAL'!P163</f>
        <v>0</v>
      </c>
      <c r="J129" s="70">
        <f>'RESUMEN TOTAL'!Q163</f>
        <v>0</v>
      </c>
      <c r="K129" s="70">
        <f>'RESUMEN TOTAL'!R163</f>
        <v>0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>
        <f>'RESUMEN TOTAL'!M180</f>
        <v>0</v>
      </c>
      <c r="G144" s="70">
        <f>'RESUMEN TOTAL'!N180</f>
        <v>0</v>
      </c>
      <c r="H144" s="70">
        <f>'RESUMEN TOTAL'!O180</f>
        <v>0</v>
      </c>
      <c r="I144" s="70">
        <f>'RESUMEN TOTAL'!P180</f>
        <v>0</v>
      </c>
      <c r="J144" s="70">
        <f>'RESUMEN TOTAL'!Q180</f>
        <v>0</v>
      </c>
      <c r="K144" s="70">
        <f>'RESUMEN TOTAL'!R180</f>
        <v>0</v>
      </c>
      <c r="L144" s="70">
        <f>'RESUMEN TOTAL'!S180</f>
        <v>0</v>
      </c>
      <c r="M144" s="70">
        <f>'RESUMEN TOTAL'!T180</f>
        <v>0</v>
      </c>
      <c r="N144" s="70">
        <f>'RESUMEN TOTAL'!U180</f>
        <v>0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>
        <f>'RESUMEN TOTAL'!M181</f>
        <v>0</v>
      </c>
      <c r="G145" s="70">
        <f>'RESUMEN TOTAL'!N181</f>
        <v>0</v>
      </c>
      <c r="H145" s="70">
        <f>'RESUMEN TOTAL'!O181</f>
        <v>0</v>
      </c>
      <c r="I145" s="70">
        <f>'RESUMEN TOTAL'!P181</f>
        <v>0</v>
      </c>
      <c r="J145" s="70">
        <f>'RESUMEN TOTAL'!Q181</f>
        <v>0</v>
      </c>
      <c r="K145" s="70">
        <f>'RESUMEN TOTAL'!R181</f>
        <v>0</v>
      </c>
      <c r="L145" s="70">
        <f>'RESUMEN TOTAL'!S181</f>
        <v>0</v>
      </c>
      <c r="M145" s="70">
        <f>'RESUMEN TOTAL'!T181</f>
        <v>0</v>
      </c>
      <c r="N145" s="70">
        <f>'RESUMEN TOTAL'!U181</f>
        <v>0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>
        <f>'RESUMEN TOTAL'!N186</f>
        <v>0</v>
      </c>
      <c r="H146" s="70">
        <f>'RESUMEN TOTAL'!O186</f>
        <v>0</v>
      </c>
      <c r="I146" s="70">
        <f>'RESUMEN TOTAL'!P186</f>
        <v>0</v>
      </c>
      <c r="J146" s="70">
        <f>'RESUMEN TOTAL'!Q186</f>
        <v>0</v>
      </c>
      <c r="K146" s="70">
        <f>'RESUMEN TOTAL'!R186</f>
        <v>0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>
        <f>'RESUMEN TOTAL'!N187</f>
        <v>0</v>
      </c>
      <c r="H147" s="70">
        <f>'RESUMEN TOTAL'!O187</f>
        <v>0</v>
      </c>
      <c r="I147" s="70">
        <f>'RESUMEN TOTAL'!P187</f>
        <v>0</v>
      </c>
      <c r="J147" s="70">
        <f>'RESUMEN TOTAL'!Q187</f>
        <v>0</v>
      </c>
      <c r="K147" s="70">
        <f>'RESUMEN TOTAL'!R187</f>
        <v>0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>
        <f>'RESUMEN TOTAL'!M188</f>
        <v>0</v>
      </c>
      <c r="G148" s="70">
        <f>'RESUMEN TOTAL'!N188</f>
        <v>0</v>
      </c>
      <c r="H148" s="70">
        <f>'RESUMEN TOTAL'!O188</f>
        <v>0</v>
      </c>
      <c r="I148" s="70">
        <f>'RESUMEN TOTAL'!P188</f>
        <v>0</v>
      </c>
      <c r="J148" s="70">
        <f>'RESUMEN TOTAL'!Q188</f>
        <v>0</v>
      </c>
      <c r="K148" s="70">
        <f>'RESUMEN TOTAL'!R188</f>
        <v>0</v>
      </c>
      <c r="L148" s="70">
        <f>'RESUMEN TOTAL'!S188</f>
        <v>0</v>
      </c>
      <c r="M148" s="70">
        <f>'RESUMEN TOTAL'!T188</f>
        <v>0</v>
      </c>
      <c r="N148" s="70">
        <f>'RESUMEN TOTAL'!U188</f>
        <v>0</v>
      </c>
      <c r="O148" s="70">
        <f>'RESUMEN TOTAL'!V188</f>
        <v>0</v>
      </c>
      <c r="P148" s="70">
        <f>'RESUMEN TOTAL'!W188</f>
        <v>0</v>
      </c>
      <c r="Q148" s="70">
        <f>'RESUMEN TOTAL'!X188</f>
        <v>0</v>
      </c>
      <c r="R148" s="70">
        <f>'RESUMEN TOTAL'!Y188</f>
        <v>0</v>
      </c>
      <c r="S148" s="70">
        <f>'RESUMEN TOTAL'!Z188</f>
        <v>0</v>
      </c>
      <c r="T148" s="70">
        <f>'RESUMEN TOTAL'!AA188</f>
        <v>0</v>
      </c>
      <c r="U148" s="70">
        <f>'RESUMEN TOTAL'!AB188</f>
        <v>0</v>
      </c>
      <c r="V148" s="70">
        <f>'RESUMEN TOTAL'!AC188</f>
        <v>0</v>
      </c>
      <c r="W148" s="70">
        <f>'RESUMEN TOTAL'!AD188</f>
        <v>0</v>
      </c>
      <c r="X148" s="70">
        <f>'RESUMEN TOTAL'!AE188</f>
        <v>0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>
        <f>'RESUMEN TOTAL'!Y192</f>
        <v>0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>
        <f>'RESUMEN TOTAL'!Q193</f>
        <v>0</v>
      </c>
      <c r="K153" s="70">
        <f>'RESUMEN TOTAL'!R193</f>
        <v>0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>
        <f>'RESUMEN TOTAL'!Y193</f>
        <v>0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>
        <f>'RESUMEN TOTAL'!M194</f>
        <v>0</v>
      </c>
      <c r="G154" s="70">
        <f>'RESUMEN TOTAL'!N194</f>
        <v>0</v>
      </c>
      <c r="H154" s="70">
        <f>'RESUMEN TOTAL'!O194</f>
        <v>0</v>
      </c>
      <c r="I154" s="70">
        <f>'RESUMEN TOTAL'!P194</f>
        <v>0</v>
      </c>
      <c r="J154" s="70">
        <f>'RESUMEN TOTAL'!Q194</f>
        <v>0</v>
      </c>
      <c r="K154" s="70">
        <f>'RESUMEN TOTAL'!R194</f>
        <v>0</v>
      </c>
      <c r="L154" s="70">
        <f>'RESUMEN TOTAL'!S194</f>
        <v>0</v>
      </c>
      <c r="M154" s="70">
        <f>'RESUMEN TOTAL'!T194</f>
        <v>0</v>
      </c>
      <c r="N154" s="70">
        <f>'RESUMEN TOTAL'!U194</f>
        <v>0</v>
      </c>
      <c r="O154" s="70">
        <f>'RESUMEN TOTAL'!V194</f>
        <v>0</v>
      </c>
      <c r="P154" s="70">
        <f>'RESUMEN TOTAL'!W194</f>
        <v>0</v>
      </c>
      <c r="Q154" s="70">
        <f>'RESUMEN TOTAL'!X194</f>
        <v>0</v>
      </c>
      <c r="R154" s="70">
        <f>'RESUMEN TOTAL'!Y194</f>
        <v>0</v>
      </c>
      <c r="S154" s="70">
        <f>'RESUMEN TOTAL'!Z194</f>
        <v>0</v>
      </c>
      <c r="T154" s="70">
        <f>'RESUMEN TOTAL'!AA194</f>
        <v>0</v>
      </c>
      <c r="U154" s="70">
        <f>'RESUMEN TOTAL'!AB194</f>
        <v>0</v>
      </c>
      <c r="V154" s="70">
        <f>'RESUMEN TOTAL'!AC194</f>
        <v>0</v>
      </c>
      <c r="W154" s="70">
        <f>'RESUMEN TOTAL'!AD194</f>
        <v>0</v>
      </c>
      <c r="X154" s="70">
        <f>'RESUMEN TOTAL'!AE194</f>
        <v>0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>
        <f>'RESUMEN TOTAL'!M195</f>
        <v>0</v>
      </c>
      <c r="G155" s="70">
        <f>'RESUMEN TOTAL'!N195</f>
        <v>0</v>
      </c>
      <c r="H155" s="70">
        <f>'RESUMEN TOTAL'!O195</f>
        <v>0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>
        <f>'RESUMEN TOTAL'!W195</f>
        <v>0</v>
      </c>
      <c r="Q155" s="70">
        <f>'RESUMEN TOTAL'!X195</f>
        <v>0</v>
      </c>
      <c r="R155" s="70">
        <f>'RESUMEN TOTAL'!Y195</f>
        <v>0</v>
      </c>
      <c r="S155" s="70">
        <f>'RESUMEN TOTAL'!Z195</f>
        <v>0</v>
      </c>
      <c r="T155" s="70">
        <f>'RESUMEN TOTAL'!AA195</f>
        <v>0</v>
      </c>
      <c r="U155" s="70">
        <f>'RESUMEN TOTAL'!AB195</f>
        <v>0</v>
      </c>
      <c r="V155" s="70">
        <f>'RESUMEN TOTAL'!AC195</f>
        <v>0</v>
      </c>
      <c r="W155" s="70">
        <f>'RESUMEN TOTAL'!AD195</f>
        <v>0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>
        <f>'RESUMEN TOTAL'!M196</f>
        <v>0</v>
      </c>
      <c r="G156" s="70">
        <f>'RESUMEN TOTAL'!N196</f>
        <v>0</v>
      </c>
      <c r="H156" s="70">
        <f>'RESUMEN TOTAL'!O196</f>
        <v>0</v>
      </c>
      <c r="I156" s="70">
        <f>'RESUMEN TOTAL'!P196</f>
        <v>0</v>
      </c>
      <c r="J156" s="70">
        <f>'RESUMEN TOTAL'!Q196</f>
        <v>0</v>
      </c>
      <c r="K156" s="70">
        <f>'RESUMEN TOTAL'!R196</f>
        <v>0</v>
      </c>
      <c r="L156" s="70">
        <f>'RESUMEN TOTAL'!S196</f>
        <v>0</v>
      </c>
      <c r="M156" s="70">
        <f>'RESUMEN TOTAL'!T196</f>
        <v>0</v>
      </c>
      <c r="N156" s="70">
        <f>'RESUMEN TOTAL'!U196</f>
        <v>0</v>
      </c>
      <c r="O156" s="70">
        <f>'RESUMEN TOTAL'!V196</f>
        <v>0</v>
      </c>
      <c r="P156" s="70">
        <f>'RESUMEN TOTAL'!W196</f>
        <v>0</v>
      </c>
      <c r="Q156" s="70">
        <f>'RESUMEN TOTAL'!X196</f>
        <v>0</v>
      </c>
      <c r="R156" s="70">
        <f>'RESUMEN TOTAL'!Y196</f>
        <v>0</v>
      </c>
      <c r="S156" s="70">
        <f>'RESUMEN TOTAL'!Z196</f>
        <v>0</v>
      </c>
      <c r="T156" s="70">
        <f>'RESUMEN TOTAL'!AA196</f>
        <v>0</v>
      </c>
      <c r="U156" s="70">
        <f>'RESUMEN TOTAL'!AB196</f>
        <v>0</v>
      </c>
      <c r="V156" s="70">
        <f>'RESUMEN TOTAL'!AC196</f>
        <v>0</v>
      </c>
      <c r="W156" s="70">
        <f>'RESUMEN TOTAL'!AD196</f>
        <v>0</v>
      </c>
      <c r="X156" s="70">
        <f>'RESUMEN TOTAL'!AE196</f>
        <v>0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>
        <f>'RESUMEN TOTAL'!N206</f>
        <v>0</v>
      </c>
      <c r="H166" s="70">
        <f>'RESUMEN TOTAL'!O206</f>
        <v>0</v>
      </c>
      <c r="I166" s="70">
        <f>'RESUMEN TOTAL'!P206</f>
        <v>0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>
        <f>'RESUMEN TOTAL'!AA206</f>
        <v>0</v>
      </c>
      <c r="U166" s="70">
        <f>'RESUMEN TOTAL'!AB206</f>
        <v>0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>
        <f>'RESUMEN TOTAL'!R209</f>
        <v>0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>
        <f>'RESUMEN TOTAL'!AE210</f>
        <v>0</v>
      </c>
      <c r="Y168" s="70">
        <f>'RESUMEN TOTAL'!AF210</f>
        <v>0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>
        <f>'RESUMEN TOTAL'!AE211</f>
        <v>0</v>
      </c>
      <c r="Y169" s="70">
        <f>'RESUMEN TOTAL'!AF211</f>
        <v>0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>
        <f>'RESUMEN TOTAL'!M213</f>
        <v>0</v>
      </c>
      <c r="G170" s="70">
        <f>'RESUMEN TOTAL'!N213</f>
        <v>0</v>
      </c>
      <c r="H170" s="70">
        <f>'RESUMEN TOTAL'!O213</f>
        <v>0</v>
      </c>
      <c r="I170" s="70">
        <f>'RESUMEN TOTAL'!P213</f>
        <v>0</v>
      </c>
      <c r="J170" s="70">
        <f>'RESUMEN TOTAL'!Q213</f>
        <v>0</v>
      </c>
      <c r="K170" s="70">
        <f>'RESUMEN TOTAL'!R213</f>
        <v>0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>
        <f>'RESUMEN TOTAL'!AB213</f>
        <v>0</v>
      </c>
      <c r="V170" s="70">
        <f>'RESUMEN TOTAL'!AC213</f>
        <v>0</v>
      </c>
      <c r="W170" s="70">
        <f>'RESUMEN TOTAL'!AD213</f>
        <v>0</v>
      </c>
      <c r="X170" s="70">
        <f>'RESUMEN TOTAL'!AE213</f>
        <v>0</v>
      </c>
      <c r="Y170" s="70">
        <f>'RESUMEN TOTAL'!AF213</f>
        <v>0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>
        <f>'RESUMEN TOTAL'!M214</f>
        <v>0</v>
      </c>
      <c r="G171" s="70">
        <f>'RESUMEN TOTAL'!N214</f>
        <v>0</v>
      </c>
      <c r="H171" s="70">
        <f>'RESUMEN TOTAL'!O214</f>
        <v>0</v>
      </c>
      <c r="I171" s="70">
        <f>'RESUMEN TOTAL'!P214</f>
        <v>0</v>
      </c>
      <c r="J171" s="70">
        <f>'RESUMEN TOTAL'!Q214</f>
        <v>0</v>
      </c>
      <c r="K171" s="70">
        <f>'RESUMEN TOTAL'!R214</f>
        <v>0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>
        <f>'RESUMEN TOTAL'!AB214</f>
        <v>0</v>
      </c>
      <c r="V171" s="70">
        <f>'RESUMEN TOTAL'!AC214</f>
        <v>0</v>
      </c>
      <c r="W171" s="70">
        <f>'RESUMEN TOTAL'!AD214</f>
        <v>0</v>
      </c>
      <c r="X171" s="70">
        <f>'RESUMEN TOTAL'!AE214</f>
        <v>0</v>
      </c>
      <c r="Y171" s="70">
        <f>'RESUMEN TOTAL'!AF214</f>
        <v>0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>
        <f>'RESUMEN TOTAL'!M215</f>
        <v>0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>
        <f>'RESUMEN TOTAL'!M217</f>
        <v>0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>
        <f>'RESUMEN TOTAL'!M218</f>
        <v>0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>
        <f>'RESUMEN TOTAL'!AA226</f>
        <v>0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>
        <f>'RESUMEN TOTAL'!AA227</f>
        <v>0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>
        <f>'RESUMEN TOTAL'!AA228</f>
        <v>0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>
        <f>'RESUMEN TOTAL'!AA229</f>
        <v>0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>
        <f>'RESUMEN TOTAL'!AA230</f>
        <v>0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>
        <f>'RESUMEN TOTAL'!AA231</f>
        <v>0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>
        <f>'RESUMEN TOTAL'!AA232</f>
        <v>0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>
        <f>'RESUMEN TOTAL'!AA233</f>
        <v>0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>
        <f>'RESUMEN TOTAL'!AA234</f>
        <v>0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>
        <f>'RESUMEN TOTAL'!AA235</f>
        <v>0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>
        <f>'RESUMEN TOTAL'!W236</f>
        <v>0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>
        <f>'RESUMEN TOTAL'!AA236</f>
        <v>0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>
        <f>'RESUMEN TOTAL'!AA237</f>
        <v>0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>
        <f>'RESUMEN TOTAL'!AA238</f>
        <v>0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>
        <f>'RESUMEN TOTAL'!AA239</f>
        <v>0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>
        <f>'RESUMEN TOTAL'!M240</f>
        <v>0</v>
      </c>
      <c r="G194" s="70">
        <f>'RESUMEN TOTAL'!N240</f>
        <v>0</v>
      </c>
      <c r="H194" s="70">
        <f>'RESUMEN TOTAL'!O240</f>
        <v>0</v>
      </c>
      <c r="I194" s="70">
        <f>'RESUMEN TOTAL'!P240</f>
        <v>0</v>
      </c>
      <c r="J194" s="70">
        <f>'RESUMEN TOTAL'!Q240</f>
        <v>0</v>
      </c>
      <c r="K194" s="70">
        <f>'RESUMEN TOTAL'!R240</f>
        <v>0</v>
      </c>
      <c r="L194" s="70">
        <f>'RESUMEN TOTAL'!S240</f>
        <v>0</v>
      </c>
      <c r="M194" s="70">
        <f>'RESUMEN TOTAL'!T240</f>
        <v>0</v>
      </c>
      <c r="N194" s="70">
        <f>'RESUMEN TOTAL'!U240</f>
        <v>0</v>
      </c>
      <c r="O194" s="70">
        <f>'RESUMEN TOTAL'!V240</f>
        <v>0</v>
      </c>
      <c r="P194" s="70">
        <f>'RESUMEN TOTAL'!W240</f>
        <v>0</v>
      </c>
      <c r="Q194" s="70">
        <f>'RESUMEN TOTAL'!X240</f>
        <v>0</v>
      </c>
      <c r="R194" s="70">
        <f>'RESUMEN TOTAL'!Y240</f>
        <v>0</v>
      </c>
      <c r="S194" s="70">
        <f>'RESUMEN TOTAL'!Z240</f>
        <v>0</v>
      </c>
      <c r="T194" s="70">
        <f>'RESUMEN TOTAL'!AA240</f>
        <v>0</v>
      </c>
      <c r="U194" s="70">
        <f>'RESUMEN TOTAL'!AB240</f>
        <v>0</v>
      </c>
      <c r="V194" s="70">
        <f>'RESUMEN TOTAL'!AC240</f>
        <v>0</v>
      </c>
      <c r="W194" s="70">
        <f>'RESUMEN TOTAL'!AD240</f>
        <v>0</v>
      </c>
      <c r="X194" s="70">
        <f>'RESUMEN TOTAL'!AE240</f>
        <v>0</v>
      </c>
      <c r="Y194" s="70">
        <f>'RESUMEN TOTAL'!AF240</f>
        <v>0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>
        <f>'RESUMEN TOTAL'!Y241</f>
        <v>0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>
        <f>'RESUMEN TOTAL'!S242</f>
        <v>0</v>
      </c>
      <c r="M196" s="70">
        <f>'RESUMEN TOTAL'!T242</f>
        <v>0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>
        <f>'RESUMEN TOTAL'!AA242</f>
        <v>0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>
        <f>'RESUMEN TOTAL'!R243</f>
        <v>0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>
        <f>'RESUMEN TOTAL'!W248</f>
        <v>0</v>
      </c>
      <c r="Q202" s="70">
        <f>'RESUMEN TOTAL'!X248</f>
        <v>0</v>
      </c>
      <c r="R202" s="70">
        <f>'RESUMEN TOTAL'!Y248</f>
        <v>0</v>
      </c>
      <c r="S202" s="70">
        <f>'RESUMEN TOTAL'!Z248</f>
        <v>0</v>
      </c>
      <c r="T202" s="70">
        <f>'RESUMEN TOTAL'!AA248</f>
        <v>0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>
        <f>'RESUMEN TOTAL'!AC250</f>
        <v>0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>
        <f>'RESUMEN TOTAL'!AA253</f>
        <v>0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>
        <f>'RESUMEN TOTAL'!AA255</f>
        <v>0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>
        <f>'RESUMEN TOTAL'!X258</f>
        <v>0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>
        <f>'RESUMEN TOTAL'!AA259</f>
        <v>0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>
        <f>'RESUMEN TOTAL'!N261</f>
        <v>0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>
        <f>'RESUMEN TOTAL'!M268</f>
        <v>0</v>
      </c>
      <c r="G220" s="70">
        <f>'RESUMEN TOTAL'!N268</f>
        <v>0</v>
      </c>
      <c r="H220" s="70">
        <f>'RESUMEN TOTAL'!O268</f>
        <v>0</v>
      </c>
      <c r="I220" s="70">
        <f>'RESUMEN TOTAL'!P268</f>
        <v>0</v>
      </c>
      <c r="J220" s="70">
        <f>'RESUMEN TOTAL'!Q268</f>
        <v>0</v>
      </c>
      <c r="K220" s="70">
        <f>'RESUMEN TOTAL'!R268</f>
        <v>0</v>
      </c>
      <c r="L220" s="70">
        <f>'RESUMEN TOTAL'!S268</f>
        <v>0</v>
      </c>
      <c r="M220" s="70">
        <f>'RESUMEN TOTAL'!T268</f>
        <v>0</v>
      </c>
      <c r="N220" s="70">
        <f>'RESUMEN TOTAL'!U268</f>
        <v>0</v>
      </c>
      <c r="O220" s="70">
        <f>'RESUMEN TOTAL'!V268</f>
        <v>0</v>
      </c>
      <c r="P220" s="70">
        <f>'RESUMEN TOTAL'!W268</f>
        <v>0</v>
      </c>
      <c r="Q220" s="70">
        <f>'RESUMEN TOTAL'!X268</f>
        <v>0</v>
      </c>
      <c r="R220" s="70">
        <f>'RESUMEN TOTAL'!Y268</f>
        <v>0</v>
      </c>
      <c r="S220" s="70">
        <f>'RESUMEN TOTAL'!Z268</f>
        <v>0</v>
      </c>
      <c r="T220" s="70">
        <f>'RESUMEN TOTAL'!AA268</f>
        <v>0</v>
      </c>
      <c r="U220" s="70">
        <f>'RESUMEN TOTAL'!AB268</f>
        <v>0</v>
      </c>
      <c r="V220" s="70">
        <f>'RESUMEN TOTAL'!AC268</f>
        <v>0</v>
      </c>
      <c r="W220" s="70">
        <f>'RESUMEN TOTAL'!AD268</f>
        <v>0</v>
      </c>
      <c r="X220" s="70">
        <f>'RESUMEN TOTAL'!AE268</f>
        <v>0</v>
      </c>
      <c r="Y220" s="70">
        <f>'RESUMEN TOTAL'!AF268</f>
        <v>0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>
        <f>'RESUMEN TOTAL'!M269</f>
        <v>0</v>
      </c>
      <c r="G221" s="70">
        <f>'RESUMEN TOTAL'!N269</f>
        <v>0</v>
      </c>
      <c r="H221" s="70">
        <f>'RESUMEN TOTAL'!O269</f>
        <v>0</v>
      </c>
      <c r="I221" s="70">
        <f>'RESUMEN TOTAL'!P269</f>
        <v>0</v>
      </c>
      <c r="J221" s="70">
        <f>'RESUMEN TOTAL'!Q269</f>
        <v>0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>
        <f>'RESUMEN TOTAL'!Q272</f>
        <v>0</v>
      </c>
      <c r="K224" s="70">
        <f>'RESUMEN TOTAL'!R272</f>
        <v>0</v>
      </c>
      <c r="L224" s="70">
        <f>'RESUMEN TOTAL'!S272</f>
        <v>0</v>
      </c>
      <c r="M224" s="70">
        <f>'RESUMEN TOTAL'!T272</f>
        <v>0</v>
      </c>
      <c r="N224" s="70">
        <f>'RESUMEN TOTAL'!U272</f>
        <v>0</v>
      </c>
      <c r="O224" s="70">
        <f>'RESUMEN TOTAL'!V272</f>
        <v>0</v>
      </c>
      <c r="P224" s="70">
        <f>'RESUMEN TOTAL'!W272</f>
        <v>0</v>
      </c>
      <c r="Q224" s="70">
        <f>'RESUMEN TOTAL'!X272</f>
        <v>0</v>
      </c>
      <c r="R224" s="70">
        <f>'RESUMEN TOTAL'!Y272</f>
        <v>0</v>
      </c>
      <c r="S224" s="70">
        <f>'RESUMEN TOTAL'!Z272</f>
        <v>0</v>
      </c>
      <c r="T224" s="70">
        <f>'RESUMEN TOTAL'!AA272</f>
        <v>0</v>
      </c>
      <c r="U224" s="70">
        <f>'RESUMEN TOTAL'!AB272</f>
        <v>0</v>
      </c>
      <c r="V224" s="70">
        <f>'RESUMEN TOTAL'!AC272</f>
        <v>0</v>
      </c>
      <c r="W224" s="70">
        <f>'RESUMEN TOTAL'!AD272</f>
        <v>0</v>
      </c>
      <c r="X224" s="70">
        <f>'RESUMEN TOTAL'!AE272</f>
        <v>0</v>
      </c>
      <c r="Y224" s="70">
        <f>'RESUMEN TOTAL'!AF272</f>
        <v>0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>
        <f>'RESUMEN TOTAL'!S273</f>
        <v>0</v>
      </c>
      <c r="M225" s="70">
        <f>'RESUMEN TOTAL'!T273</f>
        <v>0</v>
      </c>
      <c r="N225" s="70">
        <f>'RESUMEN TOTAL'!U273</f>
        <v>0</v>
      </c>
      <c r="O225" s="70">
        <f>'RESUMEN TOTAL'!V273</f>
        <v>0</v>
      </c>
      <c r="P225" s="70">
        <f>'RESUMEN TOTAL'!W273</f>
        <v>0</v>
      </c>
      <c r="Q225" s="70">
        <f>'RESUMEN TOTAL'!X273</f>
        <v>0</v>
      </c>
      <c r="R225" s="70">
        <f>'RESUMEN TOTAL'!Y273</f>
        <v>0</v>
      </c>
      <c r="S225" s="70">
        <f>'RESUMEN TOTAL'!Z273</f>
        <v>0</v>
      </c>
      <c r="T225" s="70">
        <f>'RESUMEN TOTAL'!AA273</f>
        <v>0</v>
      </c>
      <c r="U225" s="70">
        <f>'RESUMEN TOTAL'!AB273</f>
        <v>0</v>
      </c>
      <c r="V225" s="70">
        <f>'RESUMEN TOTAL'!AC273</f>
        <v>0</v>
      </c>
      <c r="W225" s="70">
        <f>'RESUMEN TOTAL'!AD273</f>
        <v>0</v>
      </c>
      <c r="X225" s="70">
        <f>'RESUMEN TOTAL'!AE273</f>
        <v>0</v>
      </c>
      <c r="Y225" s="70">
        <f>'RESUMEN TOTAL'!AF273</f>
        <v>0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>
        <f>'RESUMEN TOTAL'!P286</f>
        <v>0</v>
      </c>
      <c r="J235" s="70">
        <f>'RESUMEN TOTAL'!Q286</f>
        <v>0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>
        <f>'RESUMEN TOTAL'!M287</f>
        <v>0</v>
      </c>
      <c r="G236" s="70">
        <f>'RESUMEN TOTAL'!N287</f>
        <v>0</v>
      </c>
      <c r="H236" s="70">
        <f>'RESUMEN TOTAL'!O287</f>
        <v>0</v>
      </c>
      <c r="I236" s="70">
        <f>'RESUMEN TOTAL'!P287</f>
        <v>0</v>
      </c>
      <c r="J236" s="70">
        <f>'RESUMEN TOTAL'!Q287</f>
        <v>0</v>
      </c>
      <c r="K236" s="70">
        <f>'RESUMEN TOTAL'!R287</f>
        <v>0</v>
      </c>
      <c r="L236" s="70">
        <f>'RESUMEN TOTAL'!S287</f>
        <v>0</v>
      </c>
      <c r="M236" s="70">
        <f>'RESUMEN TOTAL'!T287</f>
        <v>0</v>
      </c>
      <c r="N236" s="70">
        <f>'RESUMEN TOTAL'!U287</f>
        <v>0</v>
      </c>
      <c r="O236" s="70">
        <f>'RESUMEN TOTAL'!V287</f>
        <v>0</v>
      </c>
      <c r="P236" s="70">
        <f>'RESUMEN TOTAL'!W287</f>
        <v>0</v>
      </c>
      <c r="Q236" s="70">
        <f>'RESUMEN TOTAL'!X287</f>
        <v>0</v>
      </c>
      <c r="R236" s="70">
        <f>'RESUMEN TOTAL'!Y287</f>
        <v>0</v>
      </c>
      <c r="S236" s="70">
        <f>'RESUMEN TOTAL'!Z287</f>
        <v>0</v>
      </c>
      <c r="T236" s="70">
        <f>'RESUMEN TOTAL'!AA287</f>
        <v>0</v>
      </c>
      <c r="U236" s="70">
        <f>'RESUMEN TOTAL'!AB287</f>
        <v>0</v>
      </c>
      <c r="V236" s="70">
        <f>'RESUMEN TOTAL'!AC287</f>
        <v>0</v>
      </c>
      <c r="W236" s="70">
        <f>'RESUMEN TOTAL'!AD287</f>
        <v>0</v>
      </c>
      <c r="X236" s="70">
        <f>'RESUMEN TOTAL'!AE287</f>
        <v>0</v>
      </c>
      <c r="Y236" s="70">
        <f>'RESUMEN TOTAL'!AF287</f>
        <v>0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>
        <f>'RESUMEN TOTAL'!M288</f>
        <v>0</v>
      </c>
      <c r="G237" s="70">
        <f>'RESUMEN TOTAL'!N288</f>
        <v>0</v>
      </c>
      <c r="H237" s="70">
        <f>'RESUMEN TOTAL'!O288</f>
        <v>0</v>
      </c>
      <c r="I237" s="70">
        <f>'RESUMEN TOTAL'!P288</f>
        <v>0</v>
      </c>
      <c r="J237" s="70">
        <f>'RESUMEN TOTAL'!Q288</f>
        <v>0</v>
      </c>
      <c r="K237" s="70">
        <f>'RESUMEN TOTAL'!R288</f>
        <v>0</v>
      </c>
      <c r="L237" s="70">
        <f>'RESUMEN TOTAL'!S288</f>
        <v>0</v>
      </c>
      <c r="M237" s="70">
        <f>'RESUMEN TOTAL'!T288</f>
        <v>0</v>
      </c>
      <c r="N237" s="70">
        <f>'RESUMEN TOTAL'!U288</f>
        <v>0</v>
      </c>
      <c r="O237" s="70">
        <f>'RESUMEN TOTAL'!V288</f>
        <v>0</v>
      </c>
      <c r="P237" s="70">
        <f>'RESUMEN TOTAL'!W288</f>
        <v>0</v>
      </c>
      <c r="Q237" s="70">
        <f>'RESUMEN TOTAL'!X288</f>
        <v>0</v>
      </c>
      <c r="R237" s="70">
        <f>'RESUMEN TOTAL'!Y288</f>
        <v>0</v>
      </c>
      <c r="S237" s="70">
        <f>'RESUMEN TOTAL'!Z288</f>
        <v>0</v>
      </c>
      <c r="T237" s="70">
        <f>'RESUMEN TOTAL'!AA288</f>
        <v>0</v>
      </c>
      <c r="U237" s="70">
        <f>'RESUMEN TOTAL'!AB288</f>
        <v>0</v>
      </c>
      <c r="V237" s="70">
        <f>'RESUMEN TOTAL'!AC288</f>
        <v>0</v>
      </c>
      <c r="W237" s="70">
        <f>'RESUMEN TOTAL'!AD288</f>
        <v>0</v>
      </c>
      <c r="X237" s="70">
        <f>'RESUMEN TOTAL'!AE288</f>
        <v>0</v>
      </c>
      <c r="Y237" s="70">
        <f>'RESUMEN TOTAL'!AF288</f>
        <v>0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>
        <f>'RESUMEN TOTAL'!P289</f>
        <v>0</v>
      </c>
      <c r="J238" s="70">
        <f>'RESUMEN TOTAL'!Q289</f>
        <v>0</v>
      </c>
      <c r="K238" s="70">
        <f>'RESUMEN TOTAL'!R289</f>
        <v>0</v>
      </c>
      <c r="L238" s="70">
        <f>'RESUMEN TOTAL'!S289</f>
        <v>0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>
        <f>'RESUMEN TOTAL'!P290</f>
        <v>0</v>
      </c>
      <c r="J239" s="70">
        <f>'RESUMEN TOTAL'!Q290</f>
        <v>0</v>
      </c>
      <c r="K239" s="70">
        <f>'RESUMEN TOTAL'!R290</f>
        <v>0</v>
      </c>
      <c r="L239" s="70">
        <f>'RESUMEN TOTAL'!S290</f>
        <v>0</v>
      </c>
      <c r="M239" s="70">
        <f>'RESUMEN TOTAL'!T290</f>
        <v>0</v>
      </c>
      <c r="N239" s="70">
        <f>'RESUMEN TOTAL'!U290</f>
        <v>0</v>
      </c>
      <c r="O239" s="70">
        <f>'RESUMEN TOTAL'!V290</f>
        <v>0</v>
      </c>
      <c r="P239" s="70">
        <f>'RESUMEN TOTAL'!W290</f>
        <v>0</v>
      </c>
      <c r="Q239" s="70">
        <f>'RESUMEN TOTAL'!X290</f>
        <v>0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>
        <f>'RESUMEN TOTAL'!P291</f>
        <v>0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>
        <f>'RESUMEN TOTAL'!M299</f>
        <v>0</v>
      </c>
      <c r="G248" s="70">
        <f>'RESUMEN TOTAL'!N299</f>
        <v>0</v>
      </c>
      <c r="H248" s="70">
        <f>'RESUMEN TOTAL'!O299</f>
        <v>0</v>
      </c>
      <c r="I248" s="70">
        <f>'RESUMEN TOTAL'!P299</f>
        <v>0</v>
      </c>
      <c r="J248" s="70">
        <f>'RESUMEN TOTAL'!Q299</f>
        <v>0</v>
      </c>
      <c r="K248" s="70">
        <f>'RESUMEN TOTAL'!R299</f>
        <v>0</v>
      </c>
      <c r="L248" s="70">
        <f>'RESUMEN TOTAL'!S299</f>
        <v>0</v>
      </c>
      <c r="M248" s="70">
        <f>'RESUMEN TOTAL'!T299</f>
        <v>0</v>
      </c>
      <c r="N248" s="70">
        <f>'RESUMEN TOTAL'!U299</f>
        <v>0</v>
      </c>
      <c r="O248" s="70">
        <f>'RESUMEN TOTAL'!V299</f>
        <v>0</v>
      </c>
      <c r="P248" s="70">
        <f>'RESUMEN TOTAL'!W299</f>
        <v>0</v>
      </c>
      <c r="Q248" s="70">
        <f>'RESUMEN TOTAL'!X299</f>
        <v>0</v>
      </c>
      <c r="R248" s="70">
        <f>'RESUMEN TOTAL'!Y299</f>
        <v>0</v>
      </c>
      <c r="S248" s="70">
        <f>'RESUMEN TOTAL'!Z299</f>
        <v>0</v>
      </c>
      <c r="T248" s="70">
        <f>'RESUMEN TOTAL'!AA299</f>
        <v>0</v>
      </c>
      <c r="U248" s="70">
        <f>'RESUMEN TOTAL'!AB299</f>
        <v>0</v>
      </c>
      <c r="V248" s="70">
        <f>'RESUMEN TOTAL'!AC299</f>
        <v>0</v>
      </c>
      <c r="W248" s="70">
        <f>'RESUMEN TOTAL'!AD299</f>
        <v>0</v>
      </c>
      <c r="X248" s="70">
        <f>'RESUMEN TOTAL'!AE299</f>
        <v>0</v>
      </c>
      <c r="Y248" s="70">
        <f>'RESUMEN TOTAL'!AF299</f>
        <v>0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>
        <f>'RESUMEN TOTAL'!M301</f>
        <v>0</v>
      </c>
      <c r="G250" s="70">
        <f>'RESUMEN TOTAL'!N301</f>
        <v>0</v>
      </c>
      <c r="H250" s="70">
        <f>'RESUMEN TOTAL'!O301</f>
        <v>0</v>
      </c>
      <c r="I250" s="70">
        <f>'RESUMEN TOTAL'!P301</f>
        <v>0</v>
      </c>
      <c r="J250" s="70">
        <f>'RESUMEN TOTAL'!Q301</f>
        <v>0</v>
      </c>
      <c r="K250" s="70">
        <f>'RESUMEN TOTAL'!R301</f>
        <v>0</v>
      </c>
      <c r="L250" s="70">
        <f>'RESUMEN TOTAL'!S301</f>
        <v>0</v>
      </c>
      <c r="M250" s="70">
        <f>'RESUMEN TOTAL'!T301</f>
        <v>0</v>
      </c>
      <c r="N250" s="70">
        <f>'RESUMEN TOTAL'!U301</f>
        <v>0</v>
      </c>
      <c r="O250" s="70">
        <f>'RESUMEN TOTAL'!V301</f>
        <v>0</v>
      </c>
      <c r="P250" s="70">
        <f>'RESUMEN TOTAL'!W301</f>
        <v>0</v>
      </c>
      <c r="Q250" s="70">
        <f>'RESUMEN TOTAL'!X301</f>
        <v>0</v>
      </c>
      <c r="R250" s="70">
        <f>'RESUMEN TOTAL'!Y301</f>
        <v>0</v>
      </c>
      <c r="S250" s="70">
        <f>'RESUMEN TOTAL'!Z301</f>
        <v>0</v>
      </c>
      <c r="T250" s="70">
        <f>'RESUMEN TOTAL'!AA301</f>
        <v>0</v>
      </c>
      <c r="U250" s="70">
        <f>'RESUMEN TOTAL'!AB301</f>
        <v>0</v>
      </c>
      <c r="V250" s="70">
        <f>'RESUMEN TOTAL'!AC301</f>
        <v>0</v>
      </c>
      <c r="W250" s="70">
        <f>'RESUMEN TOTAL'!AD301</f>
        <v>0</v>
      </c>
      <c r="X250" s="70">
        <f>'RESUMEN TOTAL'!AE301</f>
        <v>0</v>
      </c>
      <c r="Y250" s="70">
        <f>'RESUMEN TOTAL'!AF301</f>
        <v>0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>
        <f>'RESUMEN TOTAL'!N305</f>
        <v>0</v>
      </c>
      <c r="H254" s="70">
        <f>'RESUMEN TOTAL'!O305</f>
        <v>0</v>
      </c>
      <c r="I254" s="70">
        <f>'RESUMEN TOTAL'!P305</f>
        <v>0</v>
      </c>
      <c r="J254" s="70">
        <f>'RESUMEN TOTAL'!Q305</f>
        <v>0</v>
      </c>
      <c r="K254" s="70">
        <f>'RESUMEN TOTAL'!R305</f>
        <v>0</v>
      </c>
      <c r="L254" s="70">
        <f>'RESUMEN TOTAL'!S305</f>
        <v>0</v>
      </c>
      <c r="M254" s="70">
        <f>'RESUMEN TOTAL'!T305</f>
        <v>0</v>
      </c>
      <c r="N254" s="70">
        <f>'RESUMEN TOTAL'!U305</f>
        <v>0</v>
      </c>
      <c r="O254" s="70">
        <f>'RESUMEN TOTAL'!V305</f>
        <v>0</v>
      </c>
      <c r="P254" s="70">
        <f>'RESUMEN TOTAL'!W305</f>
        <v>0</v>
      </c>
      <c r="Q254" s="70">
        <f>'RESUMEN TOTAL'!X305</f>
        <v>0</v>
      </c>
      <c r="R254" s="70">
        <f>'RESUMEN TOTAL'!Y305</f>
        <v>0</v>
      </c>
      <c r="S254" s="70">
        <f>'RESUMEN TOTAL'!Z305</f>
        <v>0</v>
      </c>
      <c r="T254" s="70">
        <f>'RESUMEN TOTAL'!AA305</f>
        <v>0</v>
      </c>
      <c r="U254" s="70">
        <f>'RESUMEN TOTAL'!AB305</f>
        <v>0</v>
      </c>
      <c r="V254" s="70">
        <f>'RESUMEN TOTAL'!AC305</f>
        <v>0</v>
      </c>
      <c r="W254" s="70">
        <f>'RESUMEN TOTAL'!AD305</f>
        <v>0</v>
      </c>
      <c r="X254" s="70">
        <f>'RESUMEN TOTAL'!AE305</f>
        <v>0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>
        <f>'RESUMEN TOTAL'!Y308</f>
        <v>0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>
        <f>'RESUMEN TOTAL'!Y309</f>
        <v>0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>
        <f>'RESUMEN TOTAL'!Y310</f>
        <v>0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>
        <f>'RESUMEN TOTAL'!AA339</f>
        <v>0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>
        <f>'RESUMEN TOTAL'!N340</f>
        <v>0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>
        <f>'RESUMEN TOTAL'!X340</f>
        <v>0</v>
      </c>
      <c r="R282" s="70">
        <f>'RESUMEN TOTAL'!Y340</f>
        <v>0</v>
      </c>
      <c r="S282" s="70">
        <f>'RESUMEN TOTAL'!Z340</f>
        <v>0</v>
      </c>
      <c r="T282" s="70">
        <f>'RESUMEN TOTAL'!AA340</f>
        <v>0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>
        <f>'RESUMEN TOTAL'!X341</f>
        <v>0</v>
      </c>
      <c r="R283" s="70">
        <f>'RESUMEN TOTAL'!Y341</f>
        <v>0</v>
      </c>
      <c r="S283" s="70">
        <f>'RESUMEN TOTAL'!Z341</f>
        <v>0</v>
      </c>
      <c r="T283" s="70">
        <f>'RESUMEN TOTAL'!AA341</f>
        <v>0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>
        <f>'RESUMEN TOTAL'!AA342</f>
        <v>0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>
        <f>'RESUMEN TOTAL'!P343</f>
        <v>0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>
        <f>'RESUMEN TOTAL'!U343</f>
        <v>0</v>
      </c>
      <c r="O285" s="70">
        <f>'RESUMEN TOTAL'!V343</f>
        <v>0</v>
      </c>
      <c r="P285" s="70">
        <f>'RESUMEN TOTAL'!W343</f>
        <v>0</v>
      </c>
      <c r="Q285" s="70">
        <f>'RESUMEN TOTAL'!X343</f>
        <v>0</v>
      </c>
      <c r="R285" s="70">
        <f>'RESUMEN TOTAL'!Y343</f>
        <v>0</v>
      </c>
      <c r="S285" s="70">
        <f>'RESUMEN TOTAL'!Z343</f>
        <v>0</v>
      </c>
      <c r="T285" s="70">
        <f>'RESUMEN TOTAL'!AA343</f>
        <v>0</v>
      </c>
      <c r="U285" s="70">
        <f>'RESUMEN TOTAL'!AB343</f>
        <v>0</v>
      </c>
      <c r="V285" s="70">
        <f>'RESUMEN TOTAL'!AC343</f>
        <v>0</v>
      </c>
      <c r="W285" s="70">
        <f>'RESUMEN TOTAL'!AD343</f>
        <v>0</v>
      </c>
      <c r="X285" s="70">
        <f>'RESUMEN TOTAL'!AE343</f>
        <v>0</v>
      </c>
      <c r="Y285" s="70">
        <f>'RESUMEN TOTAL'!AF343</f>
        <v>0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>
        <f>'RESUMEN TOTAL'!AA344</f>
        <v>0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>
        <f>'RESUMEN TOTAL'!AA345</f>
        <v>0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>
        <f>'RESUMEN TOTAL'!AA346</f>
        <v>0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>
        <f>'RESUMEN TOTAL'!AA347</f>
        <v>0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>
        <f>'RESUMEN TOTAL'!S363</f>
        <v>0</v>
      </c>
      <c r="M300" s="70">
        <f>'RESUMEN TOTAL'!T363</f>
        <v>0</v>
      </c>
      <c r="N300" s="70">
        <f>'RESUMEN TOTAL'!U363</f>
        <v>0</v>
      </c>
      <c r="O300" s="70">
        <f>'RESUMEN TOTAL'!V363</f>
        <v>0</v>
      </c>
      <c r="P300" s="70">
        <f>'RESUMEN TOTAL'!W363</f>
        <v>0</v>
      </c>
      <c r="Q300" s="70">
        <f>'RESUMEN TOTAL'!X363</f>
        <v>0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>
        <f>'RESUMEN TOTAL'!M364</f>
        <v>0</v>
      </c>
      <c r="G301" s="70">
        <f>'RESUMEN TOTAL'!N364</f>
        <v>0</v>
      </c>
      <c r="H301" s="70">
        <f>'RESUMEN TOTAL'!O364</f>
        <v>0</v>
      </c>
      <c r="I301" s="70">
        <f>'RESUMEN TOTAL'!P364</f>
        <v>0</v>
      </c>
      <c r="J301" s="70">
        <f>'RESUMEN TOTAL'!Q364</f>
        <v>0</v>
      </c>
      <c r="K301" s="70">
        <f>'RESUMEN TOTAL'!R364</f>
        <v>0</v>
      </c>
      <c r="L301" s="70">
        <f>'RESUMEN TOTAL'!S364</f>
        <v>0</v>
      </c>
      <c r="M301" s="70">
        <f>'RESUMEN TOTAL'!T364</f>
        <v>0</v>
      </c>
      <c r="N301" s="70">
        <f>'RESUMEN TOTAL'!U364</f>
        <v>0</v>
      </c>
      <c r="O301" s="70">
        <f>'RESUMEN TOTAL'!V364</f>
        <v>0</v>
      </c>
      <c r="P301" s="70">
        <f>'RESUMEN TOTAL'!W364</f>
        <v>0</v>
      </c>
      <c r="Q301" s="70">
        <f>'RESUMEN TOTAL'!X364</f>
        <v>0</v>
      </c>
      <c r="R301" s="70">
        <f>'RESUMEN TOTAL'!Y364</f>
        <v>0</v>
      </c>
      <c r="S301" s="70">
        <f>'RESUMEN TOTAL'!Z364</f>
        <v>0</v>
      </c>
      <c r="T301" s="70">
        <f>'RESUMEN TOTAL'!AA364</f>
        <v>0</v>
      </c>
      <c r="U301" s="70">
        <f>'RESUMEN TOTAL'!AB364</f>
        <v>0</v>
      </c>
      <c r="V301" s="70">
        <f>'RESUMEN TOTAL'!AC364</f>
        <v>0</v>
      </c>
      <c r="W301" s="70">
        <f>'RESUMEN TOTAL'!AD364</f>
        <v>0</v>
      </c>
      <c r="X301" s="70">
        <f>'RESUMEN TOTAL'!AE364</f>
        <v>0</v>
      </c>
      <c r="Y301" s="70">
        <f>'RESUMEN TOTAL'!AF364</f>
        <v>0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>
        <f>'RESUMEN TOTAL'!M365</f>
        <v>0</v>
      </c>
      <c r="G302" s="70">
        <f>'RESUMEN TOTAL'!N365</f>
        <v>0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>
        <f>'RESUMEN TOTAL'!AA377</f>
        <v>0</v>
      </c>
      <c r="U314" s="70">
        <f>'RESUMEN TOTAL'!AB377</f>
        <v>0</v>
      </c>
      <c r="V314" s="70">
        <f>'RESUMEN TOTAL'!AC377</f>
        <v>0</v>
      </c>
      <c r="W314" s="70">
        <f>'RESUMEN TOTAL'!AD377</f>
        <v>0</v>
      </c>
      <c r="X314" s="70">
        <f>'RESUMEN TOTAL'!AE377</f>
        <v>0</v>
      </c>
      <c r="Y314" s="70">
        <f>'RESUMEN TOTAL'!AF377</f>
        <v>0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>
        <f>'RESUMEN TOTAL'!M378</f>
        <v>0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>
        <f>'RESUMEN TOTAL'!M383</f>
        <v>0</v>
      </c>
      <c r="G316" s="70">
        <f>'RESUMEN TOTAL'!N383</f>
        <v>0</v>
      </c>
      <c r="H316" s="70">
        <f>'RESUMEN TOTAL'!O383</f>
        <v>0</v>
      </c>
      <c r="I316" s="70">
        <f>'RESUMEN TOTAL'!P383</f>
        <v>0</v>
      </c>
      <c r="J316" s="70">
        <f>'RESUMEN TOTAL'!Q383</f>
        <v>0</v>
      </c>
      <c r="K316" s="70">
        <f>'RESUMEN TOTAL'!R383</f>
        <v>0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>
        <f>'RESUMEN TOTAL'!AB383</f>
        <v>0</v>
      </c>
      <c r="V316" s="70">
        <f>'RESUMEN TOTAL'!AC383</f>
        <v>0</v>
      </c>
      <c r="W316" s="70">
        <f>'RESUMEN TOTAL'!AD383</f>
        <v>0</v>
      </c>
      <c r="X316" s="70">
        <f>'RESUMEN TOTAL'!AE383</f>
        <v>0</v>
      </c>
      <c r="Y316" s="70">
        <f>'RESUMEN TOTAL'!AF383</f>
        <v>0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>
        <v>0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>
        <v>0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>
        <f>'RESUMEN TOTAL'!M389</f>
        <v>0</v>
      </c>
      <c r="G322" s="70">
        <f>'RESUMEN TOTAL'!N389</f>
        <v>0</v>
      </c>
      <c r="H322" s="70">
        <f>'RESUMEN TOTAL'!P389</f>
        <v>0</v>
      </c>
      <c r="I322" s="70">
        <v>0</v>
      </c>
      <c r="J322" s="70">
        <f>'RESUMEN TOTAL'!Q389</f>
        <v>0</v>
      </c>
      <c r="K322" s="70">
        <f>'RESUMEN TOTAL'!R389</f>
        <v>0</v>
      </c>
      <c r="L322" s="70">
        <f>'RESUMEN TOTAL'!S389</f>
        <v>0</v>
      </c>
      <c r="M322" s="70">
        <f>'RESUMEN TOTAL'!T389</f>
        <v>0</v>
      </c>
      <c r="N322" s="70">
        <f>'RESUMEN TOTAL'!U389</f>
        <v>0</v>
      </c>
      <c r="O322" s="70">
        <f>'RESUMEN TOTAL'!V389</f>
        <v>0</v>
      </c>
      <c r="P322" s="70">
        <f>'RESUMEN TOTAL'!W389</f>
        <v>0</v>
      </c>
      <c r="Q322" s="70">
        <f>'RESUMEN TOTAL'!X389</f>
        <v>0</v>
      </c>
      <c r="R322" s="70">
        <f>'RESUMEN TOTAL'!Y389</f>
        <v>0</v>
      </c>
      <c r="S322" s="70">
        <f>'RESUMEN TOTAL'!Z389</f>
        <v>0</v>
      </c>
      <c r="T322" s="70">
        <f>'RESUMEN TOTAL'!AA389</f>
        <v>0</v>
      </c>
      <c r="U322" s="70">
        <f>'RESUMEN TOTAL'!AB389</f>
        <v>0</v>
      </c>
      <c r="V322" s="70">
        <f>'RESUMEN TOTAL'!AC389</f>
        <v>0</v>
      </c>
      <c r="W322" s="70">
        <f>'RESUMEN TOTAL'!AD389</f>
        <v>0</v>
      </c>
      <c r="X322" s="70">
        <f>'RESUMEN TOTAL'!AE389</f>
        <v>0</v>
      </c>
      <c r="Y322" s="70">
        <f>'RESUMEN TOTAL'!AF389</f>
        <v>0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>
        <f>'RESUMEN TOTAL'!M390</f>
        <v>0</v>
      </c>
      <c r="G323" s="70">
        <f>'RESUMEN TOTAL'!N390</f>
        <v>0</v>
      </c>
      <c r="H323" s="70">
        <f>'RESUMEN TOTAL'!P390</f>
        <v>0</v>
      </c>
      <c r="I323" s="70">
        <v>0</v>
      </c>
      <c r="J323" s="70">
        <f>'RESUMEN TOTAL'!Q390</f>
        <v>0</v>
      </c>
      <c r="K323" s="70">
        <f>'RESUMEN TOTAL'!R390</f>
        <v>0</v>
      </c>
      <c r="L323" s="70">
        <f>'RESUMEN TOTAL'!S390</f>
        <v>0</v>
      </c>
      <c r="M323" s="70">
        <f>'RESUMEN TOTAL'!T390</f>
        <v>0</v>
      </c>
      <c r="N323" s="70">
        <f>'RESUMEN TOTAL'!U390</f>
        <v>0</v>
      </c>
      <c r="O323" s="70">
        <f>'RESUMEN TOTAL'!V390</f>
        <v>0</v>
      </c>
      <c r="P323" s="70">
        <f>'RESUMEN TOTAL'!W390</f>
        <v>0</v>
      </c>
      <c r="Q323" s="70">
        <f>'RESUMEN TOTAL'!X390</f>
        <v>0</v>
      </c>
      <c r="R323" s="70">
        <f>'RESUMEN TOTAL'!Y390</f>
        <v>0</v>
      </c>
      <c r="S323" s="70">
        <f>'RESUMEN TOTAL'!Z390</f>
        <v>0</v>
      </c>
      <c r="T323" s="70">
        <f>'RESUMEN TOTAL'!AA390</f>
        <v>0</v>
      </c>
      <c r="U323" s="70">
        <f>'RESUMEN TOTAL'!AB390</f>
        <v>0</v>
      </c>
      <c r="V323" s="70">
        <f>'RESUMEN TOTAL'!AC390</f>
        <v>0</v>
      </c>
      <c r="W323" s="70">
        <f>'RESUMEN TOTAL'!AD390</f>
        <v>0</v>
      </c>
      <c r="X323" s="70">
        <f>'RESUMEN TOTAL'!AE390</f>
        <v>0</v>
      </c>
      <c r="Y323" s="70">
        <f>'RESUMEN TOTAL'!AF390</f>
        <v>0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>
        <v>0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>
        <v>0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>
        <f>'RESUMEN TOTAL'!M397</f>
        <v>0</v>
      </c>
      <c r="G326" s="70">
        <f>'RESUMEN TOTAL'!N397</f>
        <v>0</v>
      </c>
      <c r="H326" s="70">
        <f>'RESUMEN TOTAL'!O397</f>
        <v>0</v>
      </c>
      <c r="I326" s="70">
        <f>'RESUMEN TOTAL'!P397</f>
        <v>0</v>
      </c>
      <c r="J326" s="70">
        <f>'RESUMEN TOTAL'!Q397</f>
        <v>0</v>
      </c>
      <c r="K326" s="70">
        <f>'RESUMEN TOTAL'!R397</f>
        <v>0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>
        <f>'RESUMEN TOTAL'!U400</f>
        <v>0</v>
      </c>
      <c r="O327" s="70">
        <f>'RESUMEN TOTAL'!V400</f>
        <v>0</v>
      </c>
      <c r="P327" s="70">
        <f>'RESUMEN TOTAL'!W400</f>
        <v>0</v>
      </c>
      <c r="Q327" s="70">
        <f>'RESUMEN TOTAL'!X400</f>
        <v>0</v>
      </c>
      <c r="R327" s="70">
        <f>'RESUMEN TOTAL'!Y400</f>
        <v>0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>
        <f>'RESUMEN TOTAL'!M401</f>
        <v>0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>
        <f>'RESUMEN TOTAL'!M402</f>
        <v>0</v>
      </c>
      <c r="G329" s="70">
        <f>'RESUMEN TOTAL'!N402</f>
        <v>0</v>
      </c>
      <c r="H329" s="70">
        <f>'RESUMEN TOTAL'!O402</f>
        <v>0</v>
      </c>
      <c r="I329" s="70">
        <f>'RESUMEN TOTAL'!P402</f>
        <v>0</v>
      </c>
      <c r="J329" s="70">
        <f>'RESUMEN TOTAL'!Q402</f>
        <v>0</v>
      </c>
      <c r="K329" s="70">
        <f>'RESUMEN TOTAL'!R402</f>
        <v>0</v>
      </c>
      <c r="L329" s="70">
        <f>'RESUMEN TOTAL'!S402</f>
        <v>0</v>
      </c>
      <c r="M329" s="70">
        <f>'RESUMEN TOTAL'!T402</f>
        <v>0</v>
      </c>
      <c r="N329" s="70">
        <f>'RESUMEN TOTAL'!U402</f>
        <v>0</v>
      </c>
      <c r="O329" s="70">
        <f>'RESUMEN TOTAL'!V402</f>
        <v>0</v>
      </c>
      <c r="P329" s="70">
        <f>'RESUMEN TOTAL'!W402</f>
        <v>0</v>
      </c>
      <c r="Q329" s="70">
        <f>'RESUMEN TOTAL'!X402</f>
        <v>0</v>
      </c>
      <c r="R329" s="70">
        <f>'RESUMEN TOTAL'!Y402</f>
        <v>0</v>
      </c>
      <c r="S329" s="70">
        <f>'RESUMEN TOTAL'!Z402</f>
        <v>0</v>
      </c>
      <c r="T329" s="70">
        <f>'RESUMEN TOTAL'!AA402</f>
        <v>0</v>
      </c>
      <c r="U329" s="70">
        <f>'RESUMEN TOTAL'!AB402</f>
        <v>0</v>
      </c>
      <c r="V329" s="70">
        <f>'RESUMEN TOTAL'!AC402</f>
        <v>0</v>
      </c>
      <c r="W329" s="70">
        <f>'RESUMEN TOTAL'!AD402</f>
        <v>0</v>
      </c>
      <c r="X329" s="70">
        <f>'RESUMEN TOTAL'!AE402</f>
        <v>0</v>
      </c>
      <c r="Y329" s="70">
        <f>'RESUMEN TOTAL'!AF402</f>
        <v>0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>
        <f>'RESUMEN TOTAL'!U403</f>
        <v>0</v>
      </c>
      <c r="O330" s="70">
        <f>'RESUMEN TOTAL'!V403</f>
        <v>0</v>
      </c>
      <c r="P330" s="70">
        <f>'RESUMEN TOTAL'!W403</f>
        <v>0</v>
      </c>
      <c r="Q330" s="70">
        <f>'RESUMEN TOTAL'!X403</f>
        <v>0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>
        <v>0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>
        <v>0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>
        <f>'RESUMEN TOTAL'!R411</f>
        <v>0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>
        <f>'RESUMEN TOTAL'!R412</f>
        <v>0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>
        <f>'RESUMEN TOTAL'!R413</f>
        <v>0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>
        <f>'RESUMEN TOTAL'!W413</f>
        <v>0</v>
      </c>
      <c r="Q338" s="70">
        <f>'RESUMEN TOTAL'!X413</f>
        <v>0</v>
      </c>
      <c r="R338" s="70">
        <f>'RESUMEN TOTAL'!Y413</f>
        <v>0</v>
      </c>
      <c r="S338" s="70">
        <f>'RESUMEN TOTAL'!Z413</f>
        <v>0</v>
      </c>
      <c r="T338" s="70">
        <f>'RESUMEN TOTAL'!AA413</f>
        <v>0</v>
      </c>
      <c r="U338" s="70">
        <f>'RESUMEN TOTAL'!AB413</f>
        <v>0</v>
      </c>
      <c r="V338" s="70">
        <f>'RESUMEN TOTAL'!AC413</f>
        <v>0</v>
      </c>
      <c r="W338" s="70">
        <f>'RESUMEN TOTAL'!AD413</f>
        <v>0</v>
      </c>
      <c r="X338" s="70">
        <f>'RESUMEN TOTAL'!AE413</f>
        <v>0</v>
      </c>
      <c r="Y338" s="70">
        <f>'RESUMEN TOTAL'!AF413</f>
        <v>0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>
        <f>'RESUMEN TOTAL'!R414</f>
        <v>0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>
        <f>'RESUMEN TOTAL'!W414</f>
        <v>0</v>
      </c>
      <c r="Q339" s="70">
        <f>'RESUMEN TOTAL'!X414</f>
        <v>0</v>
      </c>
      <c r="R339" s="70">
        <f>'RESUMEN TOTAL'!Y414</f>
        <v>0</v>
      </c>
      <c r="S339" s="70">
        <f>'RESUMEN TOTAL'!Z414</f>
        <v>0</v>
      </c>
      <c r="T339" s="70">
        <f>'RESUMEN TOTAL'!AA414</f>
        <v>0</v>
      </c>
      <c r="U339" s="70">
        <f>'RESUMEN TOTAL'!AB414</f>
        <v>0</v>
      </c>
      <c r="V339" s="70">
        <f>'RESUMEN TOTAL'!AC414</f>
        <v>0</v>
      </c>
      <c r="W339" s="70">
        <f>'RESUMEN TOTAL'!AD414</f>
        <v>0</v>
      </c>
      <c r="X339" s="70">
        <f>'RESUMEN TOTAL'!AE414</f>
        <v>0</v>
      </c>
      <c r="Y339" s="70">
        <f>'RESUMEN TOTAL'!AF414</f>
        <v>0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>
        <f>'RESUMEN TOTAL'!N417</f>
        <v>0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>
        <f>'RESUMEN TOTAL'!M423</f>
        <v>0</v>
      </c>
      <c r="G348" s="70">
        <f>'RESUMEN TOTAL'!N423</f>
        <v>0</v>
      </c>
      <c r="H348" s="70">
        <f>'RESUMEN TOTAL'!O423</f>
        <v>0</v>
      </c>
      <c r="I348" s="70">
        <f>'RESUMEN TOTAL'!P423</f>
        <v>0</v>
      </c>
      <c r="J348" s="70">
        <f>'RESUMEN TOTAL'!Q423</f>
        <v>0</v>
      </c>
      <c r="K348" s="70">
        <f>'RESUMEN TOTAL'!R423</f>
        <v>0</v>
      </c>
      <c r="L348" s="70">
        <f>'RESUMEN TOTAL'!S423</f>
        <v>0</v>
      </c>
      <c r="M348" s="70">
        <f>'RESUMEN TOTAL'!T423</f>
        <v>0</v>
      </c>
      <c r="N348" s="70">
        <f>'RESUMEN TOTAL'!U423</f>
        <v>0</v>
      </c>
      <c r="O348" s="70">
        <f>'RESUMEN TOTAL'!V423</f>
        <v>0</v>
      </c>
      <c r="P348" s="70">
        <f>'RESUMEN TOTAL'!W423</f>
        <v>0</v>
      </c>
      <c r="Q348" s="70">
        <f>'RESUMEN TOTAL'!X423</f>
        <v>0</v>
      </c>
      <c r="R348" s="70">
        <f>'RESUMEN TOTAL'!Y423</f>
        <v>0</v>
      </c>
      <c r="S348" s="70">
        <f>'RESUMEN TOTAL'!Z423</f>
        <v>0</v>
      </c>
      <c r="T348" s="70">
        <f>'RESUMEN TOTAL'!AA423</f>
        <v>0</v>
      </c>
      <c r="U348" s="70">
        <f>'RESUMEN TOTAL'!AB423</f>
        <v>0</v>
      </c>
      <c r="V348" s="70">
        <f>'RESUMEN TOTAL'!AC423</f>
        <v>0</v>
      </c>
      <c r="W348" s="70">
        <f>'RESUMEN TOTAL'!AD423</f>
        <v>0</v>
      </c>
      <c r="X348" s="70">
        <f>'RESUMEN TOTAL'!AE423</f>
        <v>0</v>
      </c>
      <c r="Y348" s="70">
        <f>'RESUMEN TOTAL'!AF423</f>
        <v>0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>
        <f>'RESUMEN TOTAL'!N428</f>
        <v>0</v>
      </c>
      <c r="H353" s="70">
        <f>'RESUMEN TOTAL'!O428</f>
        <v>0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>
        <f>'RESUMEN TOTAL'!S428</f>
        <v>0</v>
      </c>
      <c r="M353" s="70">
        <f>'RESUMEN TOTAL'!T428</f>
        <v>0</v>
      </c>
      <c r="N353" s="70">
        <f>'RESUMEN TOTAL'!U428</f>
        <v>0</v>
      </c>
      <c r="O353" s="70">
        <f>'RESUMEN TOTAL'!V428</f>
        <v>0</v>
      </c>
      <c r="P353" s="70">
        <f>'RESUMEN TOTAL'!W428</f>
        <v>0</v>
      </c>
      <c r="Q353" s="70">
        <f>'RESUMEN TOTAL'!X428</f>
        <v>0</v>
      </c>
      <c r="R353" s="70">
        <f>'RESUMEN TOTAL'!Y428</f>
        <v>0</v>
      </c>
      <c r="S353" s="70">
        <f>'RESUMEN TOTAL'!Z428</f>
        <v>0</v>
      </c>
      <c r="T353" s="70">
        <f>'RESUMEN TOTAL'!AA428</f>
        <v>0</v>
      </c>
      <c r="U353" s="70">
        <f>'RESUMEN TOTAL'!AB428</f>
        <v>0</v>
      </c>
      <c r="V353" s="70">
        <f>'RESUMEN TOTAL'!AC428</f>
        <v>0</v>
      </c>
      <c r="W353" s="70">
        <f>'RESUMEN TOTAL'!AD428</f>
        <v>0</v>
      </c>
      <c r="X353" s="70">
        <f>'RESUMEN TOTAL'!AE428</f>
        <v>0</v>
      </c>
      <c r="Y353" s="70">
        <f>'RESUMEN TOTAL'!AF428</f>
        <v>0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>
        <f>'RESUMEN TOTAL'!M435</f>
        <v>0</v>
      </c>
      <c r="G360" s="70">
        <f>'RESUMEN TOTAL'!N435</f>
        <v>0</v>
      </c>
      <c r="H360" s="70">
        <f>'RESUMEN TOTAL'!O435</f>
        <v>0</v>
      </c>
      <c r="I360" s="70">
        <f>'RESUMEN TOTAL'!P435</f>
        <v>0</v>
      </c>
      <c r="J360" s="70">
        <f>'RESUMEN TOTAL'!Q435</f>
        <v>0</v>
      </c>
      <c r="K360" s="70">
        <f>'RESUMEN TOTAL'!R435</f>
        <v>0</v>
      </c>
      <c r="L360" s="70">
        <f>'RESUMEN TOTAL'!S435</f>
        <v>0</v>
      </c>
      <c r="M360" s="70">
        <f>'RESUMEN TOTAL'!T435</f>
        <v>0</v>
      </c>
      <c r="N360" s="70">
        <f>'RESUMEN TOTAL'!U435</f>
        <v>0</v>
      </c>
      <c r="O360" s="70">
        <f>'RESUMEN TOTAL'!V435</f>
        <v>0</v>
      </c>
      <c r="P360" s="70">
        <f>'RESUMEN TOTAL'!W435</f>
        <v>0</v>
      </c>
      <c r="Q360" s="70">
        <f>'RESUMEN TOTAL'!X435</f>
        <v>0</v>
      </c>
      <c r="R360" s="70">
        <f>'RESUMEN TOTAL'!Y435</f>
        <v>0</v>
      </c>
      <c r="S360" s="70">
        <f>'RESUMEN TOTAL'!Z435</f>
        <v>0</v>
      </c>
      <c r="T360" s="70">
        <f>'RESUMEN TOTAL'!AA435</f>
        <v>0</v>
      </c>
      <c r="U360" s="70">
        <f>'RESUMEN TOTAL'!AB435</f>
        <v>0</v>
      </c>
      <c r="V360" s="70">
        <f>'RESUMEN TOTAL'!AC435</f>
        <v>0</v>
      </c>
      <c r="W360" s="70">
        <f>'RESUMEN TOTAL'!AD435</f>
        <v>0</v>
      </c>
      <c r="X360" s="70">
        <f>'RESUMEN TOTAL'!AE435</f>
        <v>0</v>
      </c>
      <c r="Y360" s="70">
        <f>'RESUMEN TOTAL'!AF435</f>
        <v>0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>
        <f>'RESUMEN TOTAL'!M444</f>
        <v>0</v>
      </c>
      <c r="G363" s="70">
        <f>'RESUMEN TOTAL'!N444</f>
        <v>0</v>
      </c>
      <c r="H363" s="70">
        <f>'RESUMEN TOTAL'!O444</f>
        <v>0</v>
      </c>
      <c r="I363" s="70">
        <f>'RESUMEN TOTAL'!P444</f>
        <v>0</v>
      </c>
      <c r="J363" s="70">
        <f>'RESUMEN TOTAL'!Q444</f>
        <v>0</v>
      </c>
      <c r="K363" s="70">
        <f>'RESUMEN TOTAL'!R444</f>
        <v>0</v>
      </c>
      <c r="L363" s="70">
        <f>'RESUMEN TOTAL'!S444</f>
        <v>0</v>
      </c>
      <c r="M363" s="70">
        <f>'RESUMEN TOTAL'!T444</f>
        <v>0</v>
      </c>
      <c r="N363" s="70">
        <f>'RESUMEN TOTAL'!U444</f>
        <v>0</v>
      </c>
      <c r="O363" s="70">
        <f>'RESUMEN TOTAL'!V444</f>
        <v>0</v>
      </c>
      <c r="P363" s="70">
        <f>'RESUMEN TOTAL'!W444</f>
        <v>0</v>
      </c>
      <c r="Q363" s="70">
        <f>'RESUMEN TOTAL'!X444</f>
        <v>0</v>
      </c>
      <c r="R363" s="70">
        <f>'RESUMEN TOTAL'!Y444</f>
        <v>0</v>
      </c>
      <c r="S363" s="70">
        <f>'RESUMEN TOTAL'!Z444</f>
        <v>0</v>
      </c>
      <c r="T363" s="70">
        <f>'RESUMEN TOTAL'!AA444</f>
        <v>0</v>
      </c>
      <c r="U363" s="70">
        <f>'RESUMEN TOTAL'!AB444</f>
        <v>0</v>
      </c>
      <c r="V363" s="70">
        <f>'RESUMEN TOTAL'!AC444</f>
        <v>0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>
        <f>'RESUMEN TOTAL'!Q446</f>
        <v>0</v>
      </c>
      <c r="K364" s="70">
        <f>'RESUMEN TOTAL'!R446</f>
        <v>0</v>
      </c>
      <c r="L364" s="70">
        <f>'RESUMEN TOTAL'!S446</f>
        <v>0</v>
      </c>
      <c r="M364" s="70">
        <f>'RESUMEN TOTAL'!T446</f>
        <v>0</v>
      </c>
      <c r="N364" s="70">
        <f>'RESUMEN TOTAL'!U446</f>
        <v>0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>
        <f>'RESUMEN TOTAL'!AA446</f>
        <v>0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>
        <f>'RESUMEN TOTAL'!Q447</f>
        <v>0</v>
      </c>
      <c r="K365" s="70">
        <f>'RESUMEN TOTAL'!R447</f>
        <v>0</v>
      </c>
      <c r="L365" s="70">
        <f>'RESUMEN TOTAL'!S447</f>
        <v>0</v>
      </c>
      <c r="M365" s="70">
        <f>'RESUMEN TOTAL'!T447</f>
        <v>0</v>
      </c>
      <c r="N365" s="70">
        <f>'RESUMEN TOTAL'!U447</f>
        <v>0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>
        <f>'RESUMEN TOTAL'!AA447</f>
        <v>0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>
        <f>'RESUMEN TOTAL'!AC470</f>
        <v>0</v>
      </c>
      <c r="W382" s="70">
        <f>'RESUMEN TOTAL'!AD470</f>
        <v>0</v>
      </c>
      <c r="X382" s="70">
        <f>'RESUMEN TOTAL'!AE470</f>
        <v>0</v>
      </c>
      <c r="Y382" s="70">
        <f>'RESUMEN TOTAL'!AF470</f>
        <v>0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>
        <f>'RESUMEN TOTAL'!Y471</f>
        <v>0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>
        <f>'RESUMEN TOTAL'!Y478</f>
        <v>0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>
        <f>'RESUMEN TOTAL'!V479</f>
        <v>0</v>
      </c>
      <c r="P391" s="70">
        <f>'RESUMEN TOTAL'!W479</f>
        <v>0</v>
      </c>
      <c r="Q391" s="70">
        <f>'RESUMEN TOTAL'!X479</f>
        <v>0</v>
      </c>
      <c r="R391" s="70">
        <f>'RESUMEN TOTAL'!Y479</f>
        <v>0</v>
      </c>
      <c r="S391" s="70">
        <f>'RESUMEN TOTAL'!Z479</f>
        <v>0</v>
      </c>
      <c r="T391" s="70">
        <f>'RESUMEN TOTAL'!AA479</f>
        <v>0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>
        <f>'RESUMEN TOTAL'!V489</f>
        <v>0</v>
      </c>
      <c r="P401" s="70">
        <f>'RESUMEN TOTAL'!W489</f>
        <v>0</v>
      </c>
      <c r="Q401" s="70">
        <f>'RESUMEN TOTAL'!X489</f>
        <v>0</v>
      </c>
      <c r="R401" s="70">
        <f>'RESUMEN TOTAL'!Y489</f>
        <v>0</v>
      </c>
      <c r="S401" s="70">
        <f>'RESUMEN TOTAL'!Z489</f>
        <v>0</v>
      </c>
      <c r="T401" s="70">
        <f>'RESUMEN TOTAL'!AA489</f>
        <v>0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>
        <f>'RESUMEN TOTAL'!Q490</f>
        <v>0</v>
      </c>
      <c r="K402" s="70">
        <f>'RESUMEN TOTAL'!R490</f>
        <v>0</v>
      </c>
      <c r="L402" s="70">
        <f>'RESUMEN TOTAL'!S490</f>
        <v>0</v>
      </c>
      <c r="M402" s="70">
        <f>'RESUMEN TOTAL'!T490</f>
        <v>0</v>
      </c>
      <c r="N402" s="70">
        <f>'RESUMEN TOTAL'!U490</f>
        <v>0</v>
      </c>
      <c r="O402" s="70">
        <f>'RESUMEN TOTAL'!V490</f>
        <v>0</v>
      </c>
      <c r="P402" s="70">
        <f>'RESUMEN TOTAL'!W490</f>
        <v>0</v>
      </c>
      <c r="Q402" s="70">
        <f>'RESUMEN TOTAL'!X490</f>
        <v>0</v>
      </c>
      <c r="R402" s="70">
        <f>'RESUMEN TOTAL'!Y490</f>
        <v>0</v>
      </c>
      <c r="S402" s="70">
        <f>'RESUMEN TOTAL'!Z490</f>
        <v>0</v>
      </c>
      <c r="T402" s="70">
        <f>'RESUMEN TOTAL'!AA490</f>
        <v>0</v>
      </c>
      <c r="U402" s="70">
        <f>'RESUMEN TOTAL'!AB490</f>
        <v>0</v>
      </c>
      <c r="V402" s="70">
        <f>'RESUMEN TOTAL'!AC490</f>
        <v>0</v>
      </c>
      <c r="W402" s="70">
        <f>'RESUMEN TOTAL'!AD490</f>
        <v>0</v>
      </c>
      <c r="X402" s="70">
        <f>'RESUMEN TOTAL'!AE490</f>
        <v>0</v>
      </c>
      <c r="Y402" s="70">
        <f>'RESUMEN TOTAL'!AF490</f>
        <v>0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>
        <f>'RESUMEN TOTAL'!V491</f>
        <v>0</v>
      </c>
      <c r="P403" s="70">
        <f>'RESUMEN TOTAL'!W491</f>
        <v>0</v>
      </c>
      <c r="Q403" s="70">
        <f>'RESUMEN TOTAL'!X491</f>
        <v>0</v>
      </c>
      <c r="R403" s="70">
        <f>'RESUMEN TOTAL'!Y491</f>
        <v>0</v>
      </c>
      <c r="S403" s="70">
        <f>'RESUMEN TOTAL'!Z491</f>
        <v>0</v>
      </c>
      <c r="T403" s="70">
        <f>'RESUMEN TOTAL'!AA491</f>
        <v>0</v>
      </c>
      <c r="U403" s="70">
        <f>'RESUMEN TOTAL'!AB491</f>
        <v>0</v>
      </c>
      <c r="V403" s="70">
        <f>'RESUMEN TOTAL'!AC491</f>
        <v>0</v>
      </c>
      <c r="W403" s="70">
        <f>'RESUMEN TOTAL'!AD491</f>
        <v>0</v>
      </c>
      <c r="X403" s="70">
        <f>'RESUMEN TOTAL'!AE491</f>
        <v>0</v>
      </c>
      <c r="Y403" s="70">
        <f>'RESUMEN TOTAL'!AF491</f>
        <v>0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>
        <f>'RESUMEN TOTAL'!V492</f>
        <v>0</v>
      </c>
      <c r="P404" s="70">
        <f>'RESUMEN TOTAL'!W492</f>
        <v>0</v>
      </c>
      <c r="Q404" s="70">
        <f>'RESUMEN TOTAL'!X492</f>
        <v>0</v>
      </c>
      <c r="R404" s="70">
        <f>'RESUMEN TOTAL'!Y492</f>
        <v>0</v>
      </c>
      <c r="S404" s="70">
        <f>'RESUMEN TOTAL'!Z492</f>
        <v>0</v>
      </c>
      <c r="T404" s="70">
        <f>'RESUMEN TOTAL'!AA492</f>
        <v>0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>
        <f>'RESUMEN TOTAL'!V495</f>
        <v>0</v>
      </c>
      <c r="P407" s="70">
        <f>'RESUMEN TOTAL'!W495</f>
        <v>0</v>
      </c>
      <c r="Q407" s="70">
        <f>'RESUMEN TOTAL'!X495</f>
        <v>0</v>
      </c>
      <c r="R407" s="70">
        <f>'RESUMEN TOTAL'!Y495</f>
        <v>0</v>
      </c>
      <c r="S407" s="70">
        <f>'RESUMEN TOTAL'!Z495</f>
        <v>0</v>
      </c>
      <c r="T407" s="70">
        <f>'RESUMEN TOTAL'!AA495</f>
        <v>0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>
        <f>'RESUMEN TOTAL'!M497</f>
        <v>0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>
        <f>'RESUMEN TOTAL'!V503</f>
        <v>0</v>
      </c>
      <c r="P415" s="70">
        <f>'RESUMEN TOTAL'!W503</f>
        <v>0</v>
      </c>
      <c r="Q415" s="70">
        <f>'RESUMEN TOTAL'!X503</f>
        <v>0</v>
      </c>
      <c r="R415" s="70">
        <f>'RESUMEN TOTAL'!Y503</f>
        <v>0</v>
      </c>
      <c r="S415" s="70">
        <f>'RESUMEN TOTAL'!Z503</f>
        <v>0</v>
      </c>
      <c r="T415" s="70">
        <f>'RESUMEN TOTAL'!AA503</f>
        <v>0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>
        <f>'RESUMEN TOTAL'!V504</f>
        <v>0</v>
      </c>
      <c r="P416" s="70">
        <f>'RESUMEN TOTAL'!W504</f>
        <v>0</v>
      </c>
      <c r="Q416" s="70">
        <f>'RESUMEN TOTAL'!X504</f>
        <v>0</v>
      </c>
      <c r="R416" s="70">
        <f>'RESUMEN TOTAL'!Y504</f>
        <v>0</v>
      </c>
      <c r="S416" s="70">
        <f>'RESUMEN TOTAL'!Z504</f>
        <v>0</v>
      </c>
      <c r="T416" s="70">
        <f>'RESUMEN TOTAL'!AA504</f>
        <v>0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>
        <f>'RESUMEN TOTAL'!AE505</f>
        <v>0</v>
      </c>
      <c r="Y417" s="70">
        <f>'RESUMEN TOTAL'!AF505</f>
        <v>0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>
        <f>'RESUMEN TOTAL'!M515</f>
        <v>0</v>
      </c>
      <c r="G424" s="70">
        <f>'RESUMEN TOTAL'!N515</f>
        <v>0</v>
      </c>
      <c r="H424" s="70">
        <f>'RESUMEN TOTAL'!O515</f>
        <v>0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>
        <f>'RESUMEN TOTAL'!M520</f>
        <v>0</v>
      </c>
      <c r="G428" s="70">
        <f>'RESUMEN TOTAL'!N520</f>
        <v>0</v>
      </c>
      <c r="H428" s="70">
        <f>'RESUMEN TOTAL'!O520</f>
        <v>0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>
        <f>'RESUMEN TOTAL'!R526</f>
        <v>0</v>
      </c>
      <c r="L433" s="70">
        <f>'RESUMEN TOTAL'!S526</f>
        <v>0</v>
      </c>
      <c r="M433" s="70">
        <f>'RESUMEN TOTAL'!T526</f>
        <v>0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>
        <f>'RESUMEN TOTAL'!X526</f>
        <v>0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>
        <f>'RESUMEN TOTAL'!M532</f>
        <v>0</v>
      </c>
      <c r="G436" s="70">
        <f>'RESUMEN TOTAL'!N532</f>
        <v>0</v>
      </c>
      <c r="H436" s="70">
        <f>'RESUMEN TOTAL'!O532</f>
        <v>0</v>
      </c>
      <c r="I436" s="70">
        <f>'RESUMEN TOTAL'!P532</f>
        <v>0</v>
      </c>
      <c r="J436" s="70">
        <f>'RESUMEN TOTAL'!Q532</f>
        <v>0</v>
      </c>
      <c r="K436" s="70">
        <f>'RESUMEN TOTAL'!R532</f>
        <v>0</v>
      </c>
      <c r="L436" s="70">
        <f>'RESUMEN TOTAL'!S532</f>
        <v>0</v>
      </c>
      <c r="M436" s="70">
        <f>'RESUMEN TOTAL'!T532</f>
        <v>0</v>
      </c>
      <c r="N436" s="70">
        <f>'RESUMEN TOTAL'!U532</f>
        <v>0</v>
      </c>
      <c r="O436" s="70">
        <f>'RESUMEN TOTAL'!V532</f>
        <v>0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>
        <f>'RESUMEN TOTAL'!M534</f>
        <v>0</v>
      </c>
      <c r="G438" s="70">
        <f>'RESUMEN TOTAL'!N534</f>
        <v>0</v>
      </c>
      <c r="H438" s="70">
        <f>'RESUMEN TOTAL'!O534</f>
        <v>0</v>
      </c>
      <c r="I438" s="70">
        <f>'RESUMEN TOTAL'!P534</f>
        <v>0</v>
      </c>
      <c r="J438" s="70">
        <f>'RESUMEN TOTAL'!Q534</f>
        <v>0</v>
      </c>
      <c r="K438" s="70">
        <f>'RESUMEN TOTAL'!R534</f>
        <v>0</v>
      </c>
      <c r="L438" s="70">
        <f>'RESUMEN TOTAL'!S534</f>
        <v>0</v>
      </c>
      <c r="M438" s="70">
        <f>'RESUMEN TOTAL'!T534</f>
        <v>0</v>
      </c>
      <c r="N438" s="70">
        <f>'RESUMEN TOTAL'!U534</f>
        <v>0</v>
      </c>
      <c r="O438" s="70">
        <f>'RESUMEN TOTAL'!V534</f>
        <v>0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>
        <f>'RESUMEN TOTAL'!AE540</f>
        <v>0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>
        <f>'RESUMEN TOTAL'!M542</f>
        <v>0</v>
      </c>
      <c r="G445" s="70">
        <f>'RESUMEN TOTAL'!N542</f>
        <v>0</v>
      </c>
      <c r="H445" s="70">
        <f>'RESUMEN TOTAL'!O542</f>
        <v>0</v>
      </c>
      <c r="I445" s="70">
        <f>'RESUMEN TOTAL'!P542</f>
        <v>0</v>
      </c>
      <c r="J445" s="70">
        <f>'RESUMEN TOTAL'!Q542</f>
        <v>0</v>
      </c>
      <c r="K445" s="70">
        <f>'RESUMEN TOTAL'!R542</f>
        <v>0</v>
      </c>
      <c r="L445" s="70">
        <f>'RESUMEN TOTAL'!S542</f>
        <v>0</v>
      </c>
      <c r="M445" s="70">
        <f>'RESUMEN TOTAL'!T542</f>
        <v>0</v>
      </c>
      <c r="N445" s="70">
        <f>'RESUMEN TOTAL'!U542</f>
        <v>0</v>
      </c>
      <c r="O445" s="70">
        <f>'RESUMEN TOTAL'!V542</f>
        <v>0</v>
      </c>
      <c r="P445" s="70">
        <f>'RESUMEN TOTAL'!W542</f>
        <v>0</v>
      </c>
      <c r="Q445" s="70">
        <f>'RESUMEN TOTAL'!X542</f>
        <v>0</v>
      </c>
      <c r="R445" s="70">
        <f>'RESUMEN TOTAL'!Y542</f>
        <v>0</v>
      </c>
      <c r="S445" s="70">
        <f>'RESUMEN TOTAL'!Z542</f>
        <v>0</v>
      </c>
      <c r="T445" s="70">
        <f>'RESUMEN TOTAL'!AA542</f>
        <v>0</v>
      </c>
      <c r="U445" s="70">
        <f>'RESUMEN TOTAL'!AB542</f>
        <v>0</v>
      </c>
      <c r="V445" s="70">
        <f>'RESUMEN TOTAL'!AC542</f>
        <v>0</v>
      </c>
      <c r="W445" s="70">
        <f>'RESUMEN TOTAL'!AD542</f>
        <v>0</v>
      </c>
      <c r="X445" s="70">
        <f>'RESUMEN TOTAL'!AE542</f>
        <v>0</v>
      </c>
      <c r="Y445" s="70">
        <f>'RESUMEN TOTAL'!AF542</f>
        <v>0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>
        <f>'RESUMEN TOTAL'!S547</f>
        <v>0</v>
      </c>
      <c r="M450" s="70">
        <f>'RESUMEN TOTAL'!T547</f>
        <v>0</v>
      </c>
      <c r="N450" s="70">
        <f>'RESUMEN TOTAL'!U547</f>
        <v>0</v>
      </c>
      <c r="O450" s="70">
        <f>'RESUMEN TOTAL'!V547</f>
        <v>0</v>
      </c>
      <c r="P450" s="70">
        <f>'RESUMEN TOTAL'!W547</f>
        <v>0</v>
      </c>
      <c r="Q450" s="70">
        <f>'RESUMEN TOTAL'!X547</f>
        <v>0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>
        <f>'RESUMEN TOTAL'!M551</f>
        <v>0</v>
      </c>
      <c r="G454" s="70">
        <f>'RESUMEN TOTAL'!N551</f>
        <v>0</v>
      </c>
      <c r="H454" s="70">
        <f>'RESUMEN TOTAL'!O551</f>
        <v>0</v>
      </c>
      <c r="I454" s="70">
        <f>'RESUMEN TOTAL'!P551</f>
        <v>0</v>
      </c>
      <c r="J454" s="70">
        <f>'RESUMEN TOTAL'!Q551</f>
        <v>0</v>
      </c>
      <c r="K454" s="70">
        <f>'RESUMEN TOTAL'!R551</f>
        <v>0</v>
      </c>
      <c r="L454" s="70">
        <f>'RESUMEN TOTAL'!S551</f>
        <v>0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>
        <f>'RESUMEN TOTAL'!M552</f>
        <v>0</v>
      </c>
      <c r="G455" s="70">
        <f>'RESUMEN TOTAL'!N552</f>
        <v>0</v>
      </c>
      <c r="H455" s="70">
        <f>'RESUMEN TOTAL'!O552</f>
        <v>0</v>
      </c>
      <c r="I455" s="70">
        <f>'RESUMEN TOTAL'!P552</f>
        <v>0</v>
      </c>
      <c r="J455" s="70">
        <f>'RESUMEN TOTAL'!Q552</f>
        <v>0</v>
      </c>
      <c r="K455" s="70">
        <f>'RESUMEN TOTAL'!R552</f>
        <v>0</v>
      </c>
      <c r="L455" s="70">
        <f>'RESUMEN TOTAL'!S552</f>
        <v>0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>
        <f>'RESUMEN TOTAL'!M553</f>
        <v>0</v>
      </c>
      <c r="G456" s="70">
        <f>'RESUMEN TOTAL'!N553</f>
        <v>0</v>
      </c>
      <c r="H456" s="70">
        <f>'RESUMEN TOTAL'!O553</f>
        <v>0</v>
      </c>
      <c r="I456" s="70">
        <f>'RESUMEN TOTAL'!P553</f>
        <v>0</v>
      </c>
      <c r="J456" s="70">
        <f>'RESUMEN TOTAL'!Q553</f>
        <v>0</v>
      </c>
      <c r="K456" s="70">
        <f>'RESUMEN TOTAL'!R553</f>
        <v>0</v>
      </c>
      <c r="L456" s="70">
        <f>'RESUMEN TOTAL'!S553</f>
        <v>0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>
        <f>'RESUMEN TOTAL'!R558</f>
        <v>0</v>
      </c>
      <c r="L460" s="70">
        <f>'RESUMEN TOTAL'!S558</f>
        <v>0</v>
      </c>
      <c r="M460" s="70">
        <f>'RESUMEN TOTAL'!T558</f>
        <v>0</v>
      </c>
      <c r="N460" s="70">
        <f>'RESUMEN TOTAL'!U558</f>
        <v>0</v>
      </c>
      <c r="O460" s="70">
        <f>'RESUMEN TOTAL'!V558</f>
        <v>0</v>
      </c>
      <c r="P460" s="70">
        <f>'RESUMEN TOTAL'!W558</f>
        <v>0</v>
      </c>
      <c r="Q460" s="70">
        <f>'RESUMEN TOTAL'!X558</f>
        <v>0</v>
      </c>
      <c r="R460" s="70">
        <f>'RESUMEN TOTAL'!Y558</f>
        <v>0</v>
      </c>
      <c r="S460" s="70">
        <f>'RESUMEN TOTAL'!Z558</f>
        <v>0</v>
      </c>
      <c r="T460" s="70">
        <f>'RESUMEN TOTAL'!AA558</f>
        <v>0</v>
      </c>
      <c r="U460" s="70">
        <f>'RESUMEN TOTAL'!AB558</f>
        <v>0</v>
      </c>
      <c r="V460" s="70">
        <f>'RESUMEN TOTAL'!AC558</f>
        <v>0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AC18" sqref="A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TOTAL'!N8:N670,"=APAGADO",'RESUMEN TOTAL'!C8:C670,"=BONOMO")</f>
        <v>0</v>
      </c>
      <c r="H3" s="46">
        <f>COUNTIFS('RESUMEN TOTAL'!O8:O670,"=APAGADO",'RESUMEN TOTAL'!C8:C670,"=BONOMO")</f>
        <v>0</v>
      </c>
      <c r="I3" s="46">
        <f>COUNTIFS('RESUMEN TOTAL'!P8:P670,"=APAGADO",'RESUMEN TOTAL'!C8:C670,"=BONOMO")</f>
        <v>0</v>
      </c>
      <c r="J3" s="46">
        <f>COUNTIFS('RESUMEN TOTAL'!Q8:Q670,"=APAGADO",'RESUMEN TOTAL'!C8:C670,"=BONOMO")</f>
        <v>0</v>
      </c>
      <c r="K3" s="46">
        <f>COUNTIFS('RESUMEN TOTAL'!R8:R670,"=APAGADO",'RESUMEN TOTAL'!C8:C670,"=BONOMO")</f>
        <v>0</v>
      </c>
      <c r="L3" s="46">
        <f>COUNTIFS('RESUMEN TOTAL'!S8:S670,"=APAGADO",'RESUMEN TOTAL'!C8:C670,"=BONOMO")</f>
        <v>0</v>
      </c>
      <c r="M3" s="46">
        <f>COUNTIFS('RESUMEN TOTAL'!T8:T670,"=APAGADO",'RESUMEN TOTAL'!C8:C670,"=BONOMO")</f>
        <v>0</v>
      </c>
      <c r="N3" s="46">
        <f>COUNTIFS('RESUMEN TOTAL'!U8:U670,"=APAGADO",'RESUMEN TOTAL'!C8:C670,"=BONOMO")</f>
        <v>0</v>
      </c>
      <c r="O3" s="46">
        <f>COUNTIFS('RESUMEN TOTAL'!V8:V670,"=APAGADO",'RESUMEN TOTAL'!C8:C670,"=BONOMO")</f>
        <v>0</v>
      </c>
      <c r="P3" s="46">
        <f>COUNTIFS('RESUMEN TOTAL'!W8:W670,"=APAGADO",'RESUMEN TOTAL'!C8:C670,"=BONOMO")</f>
        <v>0</v>
      </c>
      <c r="Q3" s="46">
        <f>COUNTIFS('RESUMEN TOTAL'!X8:X670,"=APAGADO",'RESUMEN TOTAL'!C8:C670,"=BONOMO")</f>
        <v>0</v>
      </c>
      <c r="R3" s="46">
        <f>COUNTIFS('RESUMEN TOTAL'!Y8:Y670,"=APAGADO",'RESUMEN TOTAL'!C8:C670,"=BONOMO")</f>
        <v>0</v>
      </c>
      <c r="S3" s="46">
        <f>COUNTIFS('RESUMEN TOTAL'!Z8:Z670,"=APAGADO",'RESUMEN TOTAL'!C8:C670,"=BONOMO")</f>
        <v>0</v>
      </c>
      <c r="T3" s="46">
        <f>COUNTIFS('RESUMEN TOTAL'!AA8:AA670,"=APAGADO",'RESUMEN TOTAL'!C8:C670,"=BONOMO")</f>
        <v>0</v>
      </c>
      <c r="U3" s="46">
        <f>COUNTIFS('RESUMEN TOTAL'!AB8:AB670,"=APAGADO",'RESUMEN TOTAL'!C8:C670,"=BONOMO")</f>
        <v>0</v>
      </c>
      <c r="V3" s="46">
        <f>COUNTIFS('RESUMEN TOTAL'!AC8:AC670,"=APAGADO",'RESUMEN TOTAL'!C8:C670,"=BONOMO")</f>
        <v>0</v>
      </c>
      <c r="W3" s="46">
        <f>COUNTIFS('RESUMEN TOTAL'!AD8:AD670,"=APAGADO",'RESUMEN TOTAL'!C8:C670,"=BONOMO")</f>
        <v>0</v>
      </c>
      <c r="X3" s="46">
        <f>COUNTIFS('RESUMEN TOTAL'!AE8:AE670,"=APAGADO",'RESUMEN TOTAL'!C8:C670,"=BONOMO")</f>
        <v>0</v>
      </c>
      <c r="Y3" s="46">
        <f>COUNTIFS('RESUMEN TOTAL'!AF8:AF670,"=APAGADO",'RESUMEN TOTAL'!C8:C670,"=BONOMO")</f>
        <v>0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>
        <v>0</v>
      </c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0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0</v>
      </c>
      <c r="G5" s="46">
        <f>COUNTIFS('RESUMEN TOTAL'!N8:N670,"=APAGADO",'RESUMEN TOTAL'!C8:C670,"=COSEIDI")</f>
        <v>0</v>
      </c>
      <c r="H5" s="46">
        <f>COUNTIFS('RESUMEN TOTAL'!O10:O672,"=APAGADO",'RESUMEN TOTAL'!C10:C672,"=COSEIDI")</f>
        <v>0</v>
      </c>
      <c r="I5" s="46">
        <f>COUNTIFS('RESUMEN TOTAL'!P10:P672,"=APAGADO",'RESUMEN TOTAL'!C10:C672,"=COSEIDI")</f>
        <v>0</v>
      </c>
      <c r="J5" s="46">
        <f>COUNTIFS('RESUMEN TOTAL'!Q10:Q672,"=APAGADO",'RESUMEN TOTAL'!C10:C672,"=COSEIDI")</f>
        <v>0</v>
      </c>
      <c r="K5" s="46">
        <f>COUNTIFS('RESUMEN TOTAL'!R10:R672,"=APAGADO",'RESUMEN TOTAL'!C10:C672,"=COSEIDI")</f>
        <v>0</v>
      </c>
      <c r="L5" s="46">
        <f>COUNTIFS('RESUMEN TOTAL'!S10:S672,"=APAGADO",'RESUMEN TOTAL'!C10:C672,"=COSEIDI")</f>
        <v>0</v>
      </c>
      <c r="M5" s="46">
        <f>COUNTIFS('RESUMEN TOTAL'!T10:T672,"=APAGADO",'RESUMEN TOTAL'!C10:C672,"=COSEIDI")</f>
        <v>0</v>
      </c>
      <c r="N5" s="46">
        <f>COUNTIFS('RESUMEN TOTAL'!U10:U672,"=APAGADO",'RESUMEN TOTAL'!C10:C672,"=COSEIDI")</f>
        <v>0</v>
      </c>
      <c r="O5" s="46">
        <f>COUNTIFS('RESUMEN TOTAL'!V10:V672,"=APAGADO",'RESUMEN TOTAL'!C10:C672,"=COSEIDI")</f>
        <v>0</v>
      </c>
      <c r="P5" s="46">
        <f>COUNTIFS('RESUMEN TOTAL'!W10:W672,"=APAGADO",'RESUMEN TOTAL'!C10:C672,"=COSEIDI")</f>
        <v>0</v>
      </c>
      <c r="Q5" s="46">
        <f>COUNTIFS('RESUMEN TOTAL'!X10:X672,"=APAGADO",'RESUMEN TOTAL'!C10:C672,"=COSEIDI")</f>
        <v>0</v>
      </c>
      <c r="R5" s="46">
        <f>COUNTIFS('RESUMEN TOTAL'!Y10:Y672,"=APAGADO",'RESUMEN TOTAL'!C10:C672,"=COSEIDI")</f>
        <v>0</v>
      </c>
      <c r="S5" s="46">
        <f>COUNTIFS('RESUMEN TOTAL'!Z10:Z672,"=APAGADO",'RESUMEN TOTAL'!C10:C672,"=COSEIDI")</f>
        <v>0</v>
      </c>
      <c r="T5" s="46">
        <f>COUNTIFS('RESUMEN TOTAL'!AA10:AA672,"=APAGADO",'RESUMEN TOTAL'!C10:C672,"=COSEIDI")</f>
        <v>0</v>
      </c>
      <c r="U5" s="46">
        <v>0</v>
      </c>
      <c r="V5" s="46">
        <f>COUNTIFS('RESUMEN TOTAL'!AC10:AC672,"=APAGADO",'RESUMEN TOTAL'!C10:C672,"=COSEIDI")</f>
        <v>0</v>
      </c>
      <c r="W5" s="46">
        <f>COUNTIFS('RESUMEN TOTAL'!AD10:AD672,"=APAGADO",'RESUMEN TOTAL'!C10:C672,"=COSEIDI")</f>
        <v>0</v>
      </c>
      <c r="X5" s="46">
        <f>COUNTIFS('RESUMEN TOTAL'!AE10:AE672,"=APAGADO",'RESUMEN TOTAL'!C10:C672,"=COSEIDI")</f>
        <v>0</v>
      </c>
      <c r="Y5" s="46">
        <f>COUNTIFS('RESUMEN TOTAL'!AF10:AF672,"=APAGADO",'RESUMEN TOTAL'!C10:C672,"=COSEIDI")</f>
        <v>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v>0</v>
      </c>
      <c r="AH5" s="46">
        <f>COUNTIFS('RESUMEN TOTAL'!AO10:AO672,"=APAGADO",'RESUMEN TOTAL'!C10:C672,"=COSEIDI")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0</v>
      </c>
      <c r="H6" s="50">
        <f t="shared" ref="H6:AH6" si="1">H5/COSEIDIcam</f>
        <v>0</v>
      </c>
      <c r="I6" s="50">
        <v>0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2025-10-30T12:45:34Z</dcterms:modified>
</cp:coreProperties>
</file>