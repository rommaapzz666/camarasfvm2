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2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5\DICIEMBRE\"/>
    </mc:Choice>
  </mc:AlternateContent>
  <xr:revisionPtr revIDLastSave="0" documentId="13_ncr:1_{6ED61DB9-D1B9-4AD4-A166-7C329EED19DD}" xr6:coauthVersionLast="47" xr6:coauthVersionMax="47" xr10:uidLastSave="{00000000-0000-0000-0000-000000000000}"/>
  <bookViews>
    <workbookView xWindow="-120" yWindow="-120" windowWidth="20730" windowHeight="11160" tabRatio="602" xr2:uid="{00000000-000D-0000-FFFF-FFFF00000000}"/>
  </bookViews>
  <sheets>
    <sheet name="RESUMEN TOTAL" sheetId="2" r:id="rId1"/>
    <sheet name="AUXILIAR" sheetId="14" r:id="rId2"/>
    <sheet name="informe" sheetId="24" r:id="rId3"/>
    <sheet name="paradas" sheetId="26" r:id="rId4"/>
    <sheet name="Hoja1" sheetId="25" r:id="rId5"/>
  </sheets>
  <externalReferences>
    <externalReference r:id="rId6"/>
  </externalReferences>
  <definedNames>
    <definedName name="_25_de_agosto" localSheetId="0">'RESUMEN TOTAL'!$A$7:$D$486</definedName>
    <definedName name="_25_de_agosto_3" localSheetId="0">'RESUMEN TOTAL'!$A$7:$D$498</definedName>
    <definedName name="_30_mar">#REF!</definedName>
    <definedName name="_xlnm._FilterDatabase" localSheetId="3" hidden="1">paradas!$4:$4</definedName>
    <definedName name="_xlnm._FilterDatabase" localSheetId="0" hidden="1">'RESUMEN TOTAL'!$A$7:$AQ$577</definedName>
    <definedName name="BONOMOcam">Hoja1!$B$2</definedName>
    <definedName name="CANTIDAD_DE_CAMARAS">'RESUMEN TOTAL'!$B$1</definedName>
    <definedName name="COSEIDIcam">Hoja1!$B$4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218" i="2" l="1"/>
  <c r="I218" i="2"/>
  <c r="K410" i="2"/>
  <c r="I410" i="2"/>
  <c r="L410" i="2" s="1"/>
  <c r="K562" i="2"/>
  <c r="I562" i="2"/>
  <c r="K144" i="2"/>
  <c r="I144" i="2"/>
  <c r="K329" i="2"/>
  <c r="I329" i="2"/>
  <c r="AJ4" i="26"/>
  <c r="AJ5" i="26"/>
  <c r="AJ6" i="26"/>
  <c r="AJ7" i="26"/>
  <c r="AJ8" i="26"/>
  <c r="AJ9" i="26"/>
  <c r="AJ10" i="26"/>
  <c r="AJ11" i="26"/>
  <c r="AJ12" i="26"/>
  <c r="AJ13" i="26"/>
  <c r="AJ14" i="26"/>
  <c r="AJ15" i="26"/>
  <c r="AJ16" i="26"/>
  <c r="AJ17" i="26"/>
  <c r="AJ18" i="26"/>
  <c r="AJ19" i="26"/>
  <c r="AJ20" i="26"/>
  <c r="AJ21" i="26"/>
  <c r="AJ22" i="26"/>
  <c r="AJ23" i="26"/>
  <c r="AJ24" i="26"/>
  <c r="AJ25" i="26"/>
  <c r="AJ26" i="26"/>
  <c r="AJ27" i="26"/>
  <c r="AJ28" i="26"/>
  <c r="AJ29" i="26"/>
  <c r="AJ30" i="26"/>
  <c r="AJ31" i="26"/>
  <c r="AJ32" i="26"/>
  <c r="AJ33" i="26"/>
  <c r="AJ34" i="26"/>
  <c r="AJ35" i="26"/>
  <c r="AJ36" i="26"/>
  <c r="AJ37" i="26"/>
  <c r="AJ38" i="26"/>
  <c r="AJ39" i="26"/>
  <c r="AJ40" i="26"/>
  <c r="AJ41" i="26"/>
  <c r="AJ42" i="26"/>
  <c r="AJ43" i="26"/>
  <c r="AJ44" i="26"/>
  <c r="AJ45" i="26"/>
  <c r="AJ46" i="26"/>
  <c r="AJ47" i="26"/>
  <c r="AJ48" i="26"/>
  <c r="AJ49" i="26"/>
  <c r="AJ50" i="26"/>
  <c r="AJ51" i="26"/>
  <c r="AJ52" i="26"/>
  <c r="AJ53" i="26"/>
  <c r="AJ54" i="26"/>
  <c r="AJ55" i="26"/>
  <c r="AJ56" i="26"/>
  <c r="AJ57" i="26"/>
  <c r="AJ58" i="26"/>
  <c r="AJ59" i="26"/>
  <c r="AJ60" i="26"/>
  <c r="AJ61" i="26"/>
  <c r="AJ62" i="26"/>
  <c r="AJ63" i="26"/>
  <c r="AJ64" i="26"/>
  <c r="AJ65" i="26"/>
  <c r="AJ66" i="26"/>
  <c r="AJ67" i="26"/>
  <c r="AJ68" i="26"/>
  <c r="AJ69" i="26"/>
  <c r="AJ70" i="26"/>
  <c r="AJ71" i="26"/>
  <c r="AJ72" i="26"/>
  <c r="AJ73" i="26"/>
  <c r="AJ74" i="26"/>
  <c r="AJ75" i="26"/>
  <c r="AJ76" i="26"/>
  <c r="AJ77" i="26"/>
  <c r="AJ78" i="26"/>
  <c r="AJ79" i="26"/>
  <c r="AJ80" i="26"/>
  <c r="AJ81" i="26"/>
  <c r="AJ82" i="26"/>
  <c r="AJ83" i="26"/>
  <c r="AJ84" i="26"/>
  <c r="AJ85" i="26"/>
  <c r="AJ86" i="26"/>
  <c r="AJ87" i="26"/>
  <c r="AJ88" i="26"/>
  <c r="AJ89" i="26"/>
  <c r="AJ90" i="26"/>
  <c r="AJ91" i="26"/>
  <c r="AJ92" i="26"/>
  <c r="AJ93" i="26"/>
  <c r="AJ94" i="26"/>
  <c r="AJ95" i="26"/>
  <c r="AJ96" i="26"/>
  <c r="AJ97" i="26"/>
  <c r="AJ98" i="26"/>
  <c r="AJ99" i="26"/>
  <c r="AJ100" i="26"/>
  <c r="AJ101" i="26"/>
  <c r="AJ102" i="26"/>
  <c r="AJ103" i="26"/>
  <c r="AJ104" i="26"/>
  <c r="AJ105" i="26"/>
  <c r="AJ106" i="26"/>
  <c r="AJ107" i="26"/>
  <c r="AJ108" i="26"/>
  <c r="AJ109" i="26"/>
  <c r="AJ110" i="26"/>
  <c r="AJ111" i="26"/>
  <c r="AJ112" i="26"/>
  <c r="AJ113" i="26"/>
  <c r="AJ114" i="26"/>
  <c r="AJ115" i="26"/>
  <c r="AJ116" i="26"/>
  <c r="AJ117" i="26"/>
  <c r="AJ118" i="26"/>
  <c r="AJ119" i="26"/>
  <c r="AJ120" i="26"/>
  <c r="AJ121" i="26"/>
  <c r="AJ122" i="26"/>
  <c r="AJ123" i="26"/>
  <c r="AJ124" i="26"/>
  <c r="AJ125" i="26"/>
  <c r="AJ126" i="26"/>
  <c r="AJ127" i="26"/>
  <c r="AJ128" i="26"/>
  <c r="AJ129" i="26"/>
  <c r="AJ130" i="26"/>
  <c r="AJ131" i="26"/>
  <c r="AJ132" i="26"/>
  <c r="AJ133" i="26"/>
  <c r="AJ134" i="26"/>
  <c r="AJ135" i="26"/>
  <c r="AJ136" i="26"/>
  <c r="AJ137" i="26"/>
  <c r="AJ138" i="26"/>
  <c r="AJ139" i="26"/>
  <c r="AJ140" i="26"/>
  <c r="AJ141" i="26"/>
  <c r="AJ142" i="26"/>
  <c r="AJ143" i="26"/>
  <c r="AJ144" i="26"/>
  <c r="AJ145" i="26"/>
  <c r="AJ146" i="26"/>
  <c r="AJ147" i="26"/>
  <c r="AJ148" i="26"/>
  <c r="AJ149" i="26"/>
  <c r="AJ150" i="26"/>
  <c r="AJ151" i="26"/>
  <c r="AJ152" i="26"/>
  <c r="AJ153" i="26"/>
  <c r="AJ154" i="26"/>
  <c r="AJ155" i="26"/>
  <c r="AJ156" i="26"/>
  <c r="AJ157" i="26"/>
  <c r="AJ158" i="26"/>
  <c r="AJ159" i="26"/>
  <c r="AJ160" i="26"/>
  <c r="AJ161" i="26"/>
  <c r="AJ162" i="26"/>
  <c r="AJ163" i="26"/>
  <c r="AJ164" i="26"/>
  <c r="AJ165" i="26"/>
  <c r="AJ166" i="26"/>
  <c r="AJ167" i="26"/>
  <c r="AJ168" i="26"/>
  <c r="AJ169" i="26"/>
  <c r="AJ170" i="26"/>
  <c r="AJ171" i="26"/>
  <c r="AJ172" i="26"/>
  <c r="AJ173" i="26"/>
  <c r="AJ174" i="26"/>
  <c r="AJ175" i="26"/>
  <c r="AJ176" i="26"/>
  <c r="AJ177" i="26"/>
  <c r="AJ178" i="26"/>
  <c r="AJ179" i="26"/>
  <c r="AJ180" i="26"/>
  <c r="AJ181" i="26"/>
  <c r="AJ182" i="26"/>
  <c r="AJ183" i="26"/>
  <c r="AJ184" i="26"/>
  <c r="AJ185" i="26"/>
  <c r="AJ186" i="26"/>
  <c r="AJ187" i="26"/>
  <c r="AJ188" i="26"/>
  <c r="AJ189" i="26"/>
  <c r="AJ190" i="26"/>
  <c r="AJ191" i="26"/>
  <c r="AJ192" i="26"/>
  <c r="AJ193" i="26"/>
  <c r="AJ194" i="26"/>
  <c r="AJ195" i="26"/>
  <c r="AJ196" i="26"/>
  <c r="AJ197" i="26"/>
  <c r="AJ198" i="26"/>
  <c r="AJ199" i="26"/>
  <c r="AJ200" i="26"/>
  <c r="AJ201" i="26"/>
  <c r="AJ202" i="26"/>
  <c r="AJ203" i="26"/>
  <c r="AJ204" i="26"/>
  <c r="AJ205" i="26"/>
  <c r="AJ206" i="26"/>
  <c r="AJ207" i="26"/>
  <c r="AJ208" i="26"/>
  <c r="AJ209" i="26"/>
  <c r="AJ210" i="26"/>
  <c r="AJ211" i="26"/>
  <c r="AJ212" i="26"/>
  <c r="AJ213" i="26"/>
  <c r="AJ214" i="26"/>
  <c r="AJ215" i="26"/>
  <c r="AJ216" i="26"/>
  <c r="AJ217" i="26"/>
  <c r="AJ218" i="26"/>
  <c r="AJ219" i="26"/>
  <c r="AJ220" i="26"/>
  <c r="AJ221" i="26"/>
  <c r="AJ222" i="26"/>
  <c r="AJ223" i="26"/>
  <c r="AJ224" i="26"/>
  <c r="AJ225" i="26"/>
  <c r="AJ226" i="26"/>
  <c r="AJ227" i="26"/>
  <c r="AJ228" i="26"/>
  <c r="AJ229" i="26"/>
  <c r="AJ230" i="26"/>
  <c r="AJ231" i="26"/>
  <c r="AJ232" i="26"/>
  <c r="AJ233" i="26"/>
  <c r="AJ234" i="26"/>
  <c r="AJ235" i="26"/>
  <c r="AJ236" i="26"/>
  <c r="AJ237" i="26"/>
  <c r="AJ238" i="26"/>
  <c r="AJ239" i="26"/>
  <c r="AJ240" i="26"/>
  <c r="AJ241" i="26"/>
  <c r="AJ242" i="26"/>
  <c r="AJ243" i="26"/>
  <c r="AJ244" i="26"/>
  <c r="AJ245" i="26"/>
  <c r="AJ246" i="26"/>
  <c r="AJ247" i="26"/>
  <c r="AJ248" i="26"/>
  <c r="AJ249" i="26"/>
  <c r="AJ250" i="26"/>
  <c r="AJ251" i="26"/>
  <c r="AJ252" i="26"/>
  <c r="AJ253" i="26"/>
  <c r="AJ254" i="26"/>
  <c r="AJ255" i="26"/>
  <c r="AJ256" i="26"/>
  <c r="AJ257" i="26"/>
  <c r="AJ258" i="26"/>
  <c r="AJ259" i="26"/>
  <c r="AJ260" i="26"/>
  <c r="AJ261" i="26"/>
  <c r="AJ262" i="26"/>
  <c r="AJ263" i="26"/>
  <c r="AJ264" i="26"/>
  <c r="AJ265" i="26"/>
  <c r="AJ266" i="26"/>
  <c r="AJ267" i="26"/>
  <c r="AJ268" i="26"/>
  <c r="AJ269" i="26"/>
  <c r="AJ270" i="26"/>
  <c r="AJ271" i="26"/>
  <c r="AJ272" i="26"/>
  <c r="AJ273" i="26"/>
  <c r="AJ274" i="26"/>
  <c r="AJ275" i="26"/>
  <c r="AJ276" i="26"/>
  <c r="AJ277" i="26"/>
  <c r="AJ278" i="26"/>
  <c r="AJ279" i="26"/>
  <c r="AJ280" i="26"/>
  <c r="AJ281" i="26"/>
  <c r="AJ282" i="26"/>
  <c r="AJ283" i="26"/>
  <c r="AJ284" i="26"/>
  <c r="AJ285" i="26"/>
  <c r="AJ286" i="26"/>
  <c r="AJ287" i="26"/>
  <c r="AJ288" i="26"/>
  <c r="AJ289" i="26"/>
  <c r="AJ290" i="26"/>
  <c r="AJ291" i="26"/>
  <c r="AJ292" i="26"/>
  <c r="AJ293" i="26"/>
  <c r="AJ294" i="26"/>
  <c r="AJ295" i="26"/>
  <c r="AJ296" i="26"/>
  <c r="AJ297" i="26"/>
  <c r="AJ298" i="26"/>
  <c r="AJ299" i="26"/>
  <c r="AJ300" i="26"/>
  <c r="AJ301" i="26"/>
  <c r="AJ302" i="26"/>
  <c r="AJ303" i="26"/>
  <c r="AJ304" i="26"/>
  <c r="AJ305" i="26"/>
  <c r="AJ306" i="26"/>
  <c r="AJ307" i="26"/>
  <c r="AJ308" i="26"/>
  <c r="AJ309" i="26"/>
  <c r="AJ310" i="26"/>
  <c r="AJ311" i="26"/>
  <c r="AJ312" i="26"/>
  <c r="AJ313" i="26"/>
  <c r="AJ314" i="26"/>
  <c r="AJ315" i="26"/>
  <c r="AJ316" i="26"/>
  <c r="AJ317" i="26"/>
  <c r="AJ318" i="26"/>
  <c r="AJ319" i="26"/>
  <c r="AJ320" i="26"/>
  <c r="AJ321" i="26"/>
  <c r="AJ322" i="26"/>
  <c r="AJ323" i="26"/>
  <c r="AJ324" i="26"/>
  <c r="AJ325" i="26"/>
  <c r="AJ326" i="26"/>
  <c r="AJ327" i="26"/>
  <c r="AJ328" i="26"/>
  <c r="AJ329" i="26"/>
  <c r="AJ330" i="26"/>
  <c r="AJ331" i="26"/>
  <c r="AJ332" i="26"/>
  <c r="AJ333" i="26"/>
  <c r="AJ334" i="26"/>
  <c r="AJ335" i="26"/>
  <c r="AJ336" i="26"/>
  <c r="AJ337" i="26"/>
  <c r="AJ338" i="26"/>
  <c r="AJ339" i="26"/>
  <c r="AJ340" i="26"/>
  <c r="AJ341" i="26"/>
  <c r="AJ342" i="26"/>
  <c r="AJ343" i="26"/>
  <c r="AJ344" i="26"/>
  <c r="AJ345" i="26"/>
  <c r="AJ346" i="26"/>
  <c r="AJ347" i="26"/>
  <c r="AJ348" i="26"/>
  <c r="AJ349" i="26"/>
  <c r="AJ350" i="26"/>
  <c r="AJ351" i="26"/>
  <c r="AJ352" i="26"/>
  <c r="AJ353" i="26"/>
  <c r="AJ354" i="26"/>
  <c r="AJ355" i="26"/>
  <c r="AJ356" i="26"/>
  <c r="AJ357" i="26"/>
  <c r="AJ358" i="26"/>
  <c r="AJ359" i="26"/>
  <c r="AJ360" i="26"/>
  <c r="AJ361" i="26"/>
  <c r="AJ362" i="26"/>
  <c r="AJ363" i="26"/>
  <c r="AJ364" i="26"/>
  <c r="AJ365" i="26"/>
  <c r="AJ366" i="26"/>
  <c r="AJ367" i="26"/>
  <c r="AJ368" i="26"/>
  <c r="AJ369" i="26"/>
  <c r="AJ370" i="26"/>
  <c r="AJ371" i="26"/>
  <c r="AJ372" i="26"/>
  <c r="AJ373" i="26"/>
  <c r="AJ374" i="26"/>
  <c r="AJ375" i="26"/>
  <c r="AJ376" i="26"/>
  <c r="AJ377" i="26"/>
  <c r="AJ378" i="26"/>
  <c r="AJ379" i="26"/>
  <c r="AJ380" i="26"/>
  <c r="AJ381" i="26"/>
  <c r="AJ382" i="26"/>
  <c r="AJ383" i="26"/>
  <c r="AJ384" i="26"/>
  <c r="AJ385" i="26"/>
  <c r="AJ386" i="26"/>
  <c r="AJ387" i="26"/>
  <c r="AJ388" i="26"/>
  <c r="AJ389" i="26"/>
  <c r="AJ390" i="26"/>
  <c r="AJ391" i="26"/>
  <c r="AJ392" i="26"/>
  <c r="AJ393" i="26"/>
  <c r="AJ394" i="26"/>
  <c r="AJ395" i="26"/>
  <c r="AJ396" i="26"/>
  <c r="AJ397" i="26"/>
  <c r="AJ398" i="26"/>
  <c r="AJ399" i="26"/>
  <c r="AJ400" i="26"/>
  <c r="AJ401" i="26"/>
  <c r="AJ402" i="26"/>
  <c r="AJ403" i="26"/>
  <c r="AJ404" i="26"/>
  <c r="AJ405" i="26"/>
  <c r="AJ406" i="26"/>
  <c r="AJ407" i="26"/>
  <c r="AJ408" i="26"/>
  <c r="AJ409" i="26"/>
  <c r="AJ410" i="26"/>
  <c r="AJ411" i="26"/>
  <c r="AJ412" i="26"/>
  <c r="AJ413" i="26"/>
  <c r="AJ414" i="26"/>
  <c r="AJ415" i="26"/>
  <c r="AJ416" i="26"/>
  <c r="AJ417" i="26"/>
  <c r="AJ418" i="26"/>
  <c r="AJ419" i="26"/>
  <c r="AJ420" i="26"/>
  <c r="AJ421" i="26"/>
  <c r="AJ422" i="26"/>
  <c r="AJ423" i="26"/>
  <c r="AJ424" i="26"/>
  <c r="AJ425" i="26"/>
  <c r="AJ426" i="26"/>
  <c r="AJ427" i="26"/>
  <c r="AJ428" i="26"/>
  <c r="AJ429" i="26"/>
  <c r="AJ430" i="26"/>
  <c r="AJ431" i="26"/>
  <c r="AJ432" i="26"/>
  <c r="AJ433" i="26"/>
  <c r="AJ434" i="26"/>
  <c r="AJ435" i="26"/>
  <c r="AJ436" i="26"/>
  <c r="AJ437" i="26"/>
  <c r="AJ438" i="26"/>
  <c r="AJ439" i="26"/>
  <c r="AJ440" i="26"/>
  <c r="AJ441" i="26"/>
  <c r="AJ442" i="26"/>
  <c r="AJ443" i="26"/>
  <c r="AJ444" i="26"/>
  <c r="AJ445" i="26"/>
  <c r="AJ446" i="26"/>
  <c r="AJ447" i="26"/>
  <c r="AJ448" i="26"/>
  <c r="AJ449" i="26"/>
  <c r="AJ450" i="26"/>
  <c r="AJ451" i="26"/>
  <c r="AJ452" i="26"/>
  <c r="AJ453" i="26"/>
  <c r="AJ454" i="26"/>
  <c r="AJ455" i="26"/>
  <c r="AJ456" i="26"/>
  <c r="AJ457" i="26"/>
  <c r="AJ458" i="26"/>
  <c r="AJ459" i="26"/>
  <c r="AJ460" i="26"/>
  <c r="AJ461" i="26"/>
  <c r="AJ462" i="26"/>
  <c r="AJ463" i="26"/>
  <c r="AJ464" i="26"/>
  <c r="AJ465" i="26"/>
  <c r="AJ466" i="26"/>
  <c r="AJ467" i="26"/>
  <c r="AJ468" i="26"/>
  <c r="AJ469" i="26"/>
  <c r="AJ470" i="26"/>
  <c r="AJ471" i="26"/>
  <c r="AJ472" i="26"/>
  <c r="AJ473" i="26"/>
  <c r="AJ474" i="26"/>
  <c r="AJ475" i="26"/>
  <c r="AJ476" i="26"/>
  <c r="AJ477" i="26"/>
  <c r="AJ478" i="26"/>
  <c r="AJ479" i="26"/>
  <c r="AJ480" i="26"/>
  <c r="AJ481" i="26"/>
  <c r="AJ482" i="26"/>
  <c r="AJ483" i="26"/>
  <c r="AJ484" i="26"/>
  <c r="AJ485" i="26"/>
  <c r="AJ486" i="26"/>
  <c r="AJ487" i="26"/>
  <c r="AJ488" i="26"/>
  <c r="AJ489" i="26"/>
  <c r="AJ490" i="26"/>
  <c r="AJ491" i="26"/>
  <c r="AJ492" i="26"/>
  <c r="AJ493" i="26"/>
  <c r="AJ494" i="26"/>
  <c r="AJ495" i="26"/>
  <c r="AJ496" i="26"/>
  <c r="AJ497" i="26"/>
  <c r="AJ498" i="26"/>
  <c r="AJ499" i="26"/>
  <c r="AJ500" i="26"/>
  <c r="AJ501" i="26"/>
  <c r="AJ502" i="26"/>
  <c r="AJ503" i="26"/>
  <c r="AJ504" i="26"/>
  <c r="AJ505" i="26"/>
  <c r="AJ506" i="26"/>
  <c r="AJ507" i="26"/>
  <c r="AJ508" i="26"/>
  <c r="AJ509" i="26"/>
  <c r="AJ510" i="26"/>
  <c r="AJ511" i="26"/>
  <c r="AJ512" i="26"/>
  <c r="AJ513" i="26"/>
  <c r="AJ514" i="26"/>
  <c r="AJ515" i="26"/>
  <c r="AJ516" i="26"/>
  <c r="AJ517" i="26"/>
  <c r="AJ518" i="26"/>
  <c r="AJ519" i="26"/>
  <c r="AJ520" i="26"/>
  <c r="AJ521" i="26"/>
  <c r="AJ522" i="26"/>
  <c r="AJ523" i="26"/>
  <c r="AJ524" i="26"/>
  <c r="AJ525" i="26"/>
  <c r="AJ526" i="26"/>
  <c r="AJ527" i="26"/>
  <c r="AJ528" i="26"/>
  <c r="AJ529" i="26"/>
  <c r="AJ530" i="26"/>
  <c r="AJ531" i="26"/>
  <c r="AJ532" i="26"/>
  <c r="AJ533" i="26"/>
  <c r="AJ534" i="26"/>
  <c r="AJ535" i="26"/>
  <c r="AJ536" i="26"/>
  <c r="AJ537" i="26"/>
  <c r="AJ538" i="26"/>
  <c r="AJ539" i="26"/>
  <c r="AJ540" i="26"/>
  <c r="AJ541" i="26"/>
  <c r="AJ542" i="26"/>
  <c r="AJ543" i="26"/>
  <c r="AJ544" i="26"/>
  <c r="AJ545" i="26"/>
  <c r="AJ546" i="26"/>
  <c r="AJ547" i="26"/>
  <c r="AJ548" i="26"/>
  <c r="AJ549" i="26"/>
  <c r="AJ550" i="26"/>
  <c r="AJ551" i="26"/>
  <c r="AJ552" i="26"/>
  <c r="AJ553" i="26"/>
  <c r="AJ554" i="26"/>
  <c r="AJ555" i="26"/>
  <c r="AJ556" i="26"/>
  <c r="AJ557" i="26"/>
  <c r="AJ558" i="26"/>
  <c r="AJ559" i="26"/>
  <c r="AJ560" i="26"/>
  <c r="AJ561" i="26"/>
  <c r="AJ562" i="26"/>
  <c r="AJ563" i="26"/>
  <c r="AJ564" i="26"/>
  <c r="AJ565" i="26"/>
  <c r="AJ566" i="26"/>
  <c r="AJ567" i="26"/>
  <c r="AJ568" i="26"/>
  <c r="AJ569" i="26"/>
  <c r="AJ570" i="26"/>
  <c r="AJ571" i="26"/>
  <c r="AJ572" i="26"/>
  <c r="AJ573" i="26"/>
  <c r="AJ574" i="26"/>
  <c r="AJ575" i="26"/>
  <c r="AJ576" i="26"/>
  <c r="AJ577" i="26"/>
  <c r="AJ578" i="26"/>
  <c r="AJ579" i="26"/>
  <c r="AJ580" i="26"/>
  <c r="AJ581" i="26"/>
  <c r="AJ582" i="26"/>
  <c r="AJ583" i="26"/>
  <c r="AJ584" i="26"/>
  <c r="AJ585" i="26"/>
  <c r="AJ586" i="26"/>
  <c r="AJ587" i="26"/>
  <c r="AJ588" i="26"/>
  <c r="AJ589" i="26"/>
  <c r="AJ590" i="26"/>
  <c r="AJ591" i="26"/>
  <c r="AJ592" i="26"/>
  <c r="AJ593" i="26"/>
  <c r="AJ594" i="26"/>
  <c r="AJ595" i="26"/>
  <c r="AJ596" i="26"/>
  <c r="AJ597" i="26"/>
  <c r="AJ598" i="26"/>
  <c r="AJ599" i="26"/>
  <c r="AJ600" i="26"/>
  <c r="AJ601" i="26"/>
  <c r="AJ602" i="26"/>
  <c r="AJ603" i="26"/>
  <c r="AJ604" i="26"/>
  <c r="AJ605" i="26"/>
  <c r="AJ606" i="26"/>
  <c r="AJ607" i="26"/>
  <c r="AJ608" i="26"/>
  <c r="AJ609" i="26"/>
  <c r="AJ610" i="26"/>
  <c r="AJ611" i="26"/>
  <c r="AJ612" i="26"/>
  <c r="AJ613" i="26"/>
  <c r="AJ614" i="26"/>
  <c r="AJ615" i="26"/>
  <c r="AJ616" i="26"/>
  <c r="AJ617" i="26"/>
  <c r="AJ618" i="26"/>
  <c r="AJ619" i="26"/>
  <c r="AJ620" i="26"/>
  <c r="AJ621" i="26"/>
  <c r="AJ622" i="26"/>
  <c r="AJ623" i="26"/>
  <c r="AJ624" i="26"/>
  <c r="AJ625" i="26"/>
  <c r="AJ626" i="26"/>
  <c r="AJ627" i="26"/>
  <c r="AJ628" i="26"/>
  <c r="AJ629" i="26"/>
  <c r="AJ630" i="26"/>
  <c r="AJ631" i="26"/>
  <c r="AJ632" i="26"/>
  <c r="AJ633" i="26"/>
  <c r="AJ634" i="26"/>
  <c r="AJ635" i="26"/>
  <c r="AJ636" i="26"/>
  <c r="AJ637" i="26"/>
  <c r="AJ638" i="26"/>
  <c r="AJ639" i="26"/>
  <c r="AJ640" i="26"/>
  <c r="AJ641" i="26"/>
  <c r="AJ642" i="26"/>
  <c r="AJ643" i="26"/>
  <c r="AQ3" i="2"/>
  <c r="AQ4" i="2"/>
  <c r="AQ5" i="2"/>
  <c r="AQ6" i="2"/>
  <c r="K422" i="2"/>
  <c r="I422" i="2"/>
  <c r="K45" i="2"/>
  <c r="I45" i="2"/>
  <c r="K44" i="2"/>
  <c r="I44" i="2"/>
  <c r="K330" i="2"/>
  <c r="I330" i="2"/>
  <c r="K189" i="2"/>
  <c r="I189" i="2"/>
  <c r="K522" i="2"/>
  <c r="I522" i="2"/>
  <c r="K521" i="2"/>
  <c r="I521" i="2"/>
  <c r="K143" i="2"/>
  <c r="I143" i="2"/>
  <c r="L218" i="2" l="1"/>
  <c r="L562" i="2"/>
  <c r="L144" i="2"/>
  <c r="L329" i="2"/>
  <c r="AJ3" i="26"/>
  <c r="AJ2" i="26"/>
  <c r="L422" i="2"/>
  <c r="L45" i="2"/>
  <c r="L44" i="2"/>
  <c r="L330" i="2"/>
  <c r="L189" i="2"/>
  <c r="L521" i="2"/>
  <c r="L522" i="2"/>
  <c r="L143" i="2"/>
  <c r="K273" i="2" l="1"/>
  <c r="I273" i="2"/>
  <c r="K272" i="2"/>
  <c r="I272" i="2"/>
  <c r="K213" i="2"/>
  <c r="I213" i="2"/>
  <c r="L273" i="2" l="1"/>
  <c r="L272" i="2"/>
  <c r="L213" i="2"/>
  <c r="K569" i="2"/>
  <c r="I569" i="2"/>
  <c r="K367" i="2"/>
  <c r="I367" i="2"/>
  <c r="K453" i="2"/>
  <c r="I453" i="2"/>
  <c r="K188" i="2"/>
  <c r="I188" i="2"/>
  <c r="L367" i="2" l="1"/>
  <c r="L569" i="2"/>
  <c r="L453" i="2"/>
  <c r="L188" i="2"/>
  <c r="K36" i="2" l="1"/>
  <c r="I36" i="2"/>
  <c r="K405" i="2"/>
  <c r="K406" i="2"/>
  <c r="I405" i="2"/>
  <c r="I406" i="2"/>
  <c r="K457" i="2"/>
  <c r="I457" i="2"/>
  <c r="K551" i="2"/>
  <c r="I551" i="2"/>
  <c r="K538" i="2"/>
  <c r="I538" i="2"/>
  <c r="K142" i="2"/>
  <c r="I142" i="2"/>
  <c r="K544" i="2"/>
  <c r="I544" i="2"/>
  <c r="K161" i="2"/>
  <c r="I161" i="2"/>
  <c r="K543" i="2"/>
  <c r="K545" i="2"/>
  <c r="I543" i="2"/>
  <c r="I545" i="2"/>
  <c r="K518" i="2"/>
  <c r="K519" i="2"/>
  <c r="K520" i="2"/>
  <c r="I518" i="2"/>
  <c r="I519" i="2"/>
  <c r="I520" i="2"/>
  <c r="K473" i="2"/>
  <c r="K474" i="2"/>
  <c r="K475" i="2"/>
  <c r="K476" i="2"/>
  <c r="I473" i="2"/>
  <c r="I474" i="2"/>
  <c r="I475" i="2"/>
  <c r="I476" i="2"/>
  <c r="K448" i="2"/>
  <c r="K449" i="2"/>
  <c r="K450" i="2"/>
  <c r="K451" i="2"/>
  <c r="K452" i="2"/>
  <c r="I448" i="2"/>
  <c r="I449" i="2"/>
  <c r="I450" i="2"/>
  <c r="I451" i="2"/>
  <c r="I452" i="2"/>
  <c r="K420" i="2"/>
  <c r="K421" i="2"/>
  <c r="I420" i="2"/>
  <c r="I421" i="2"/>
  <c r="K360" i="2"/>
  <c r="K361" i="2"/>
  <c r="K362" i="2"/>
  <c r="K363" i="2"/>
  <c r="I360" i="2"/>
  <c r="I361" i="2"/>
  <c r="I362" i="2"/>
  <c r="I363" i="2"/>
  <c r="K284" i="2"/>
  <c r="K285" i="2"/>
  <c r="I284" i="2"/>
  <c r="I285" i="2"/>
  <c r="K270" i="2"/>
  <c r="K271" i="2"/>
  <c r="I270" i="2"/>
  <c r="I271" i="2"/>
  <c r="K227" i="2"/>
  <c r="I227" i="2"/>
  <c r="K217" i="2"/>
  <c r="I217" i="2"/>
  <c r="K212" i="2"/>
  <c r="I212" i="2"/>
  <c r="K187" i="2"/>
  <c r="K190" i="2"/>
  <c r="I187" i="2"/>
  <c r="I190" i="2"/>
  <c r="K186" i="2"/>
  <c r="I186" i="2"/>
  <c r="I37" i="2"/>
  <c r="K37" i="2"/>
  <c r="K20" i="2"/>
  <c r="K21" i="2"/>
  <c r="I20" i="2"/>
  <c r="I21" i="2"/>
  <c r="K40" i="2"/>
  <c r="K41" i="2"/>
  <c r="K42" i="2"/>
  <c r="K43" i="2"/>
  <c r="I40" i="2"/>
  <c r="I41" i="2"/>
  <c r="I42" i="2"/>
  <c r="I43" i="2"/>
  <c r="K31" i="2"/>
  <c r="K32" i="2"/>
  <c r="K33" i="2"/>
  <c r="I33" i="2"/>
  <c r="I32" i="2"/>
  <c r="I31" i="2"/>
  <c r="K134" i="2"/>
  <c r="K135" i="2"/>
  <c r="K136" i="2"/>
  <c r="K137" i="2"/>
  <c r="K138" i="2"/>
  <c r="K139" i="2"/>
  <c r="K140" i="2"/>
  <c r="K141" i="2"/>
  <c r="K160" i="2"/>
  <c r="I160" i="2"/>
  <c r="I135" i="2"/>
  <c r="I136" i="2"/>
  <c r="I137" i="2"/>
  <c r="I138" i="2"/>
  <c r="I139" i="2"/>
  <c r="I140" i="2"/>
  <c r="I141" i="2"/>
  <c r="I134" i="2"/>
  <c r="K392" i="2"/>
  <c r="I392" i="2"/>
  <c r="G5" i="25"/>
  <c r="F5" i="25"/>
  <c r="D10" i="24" s="1"/>
  <c r="K577" i="2"/>
  <c r="I577" i="2"/>
  <c r="I22" i="2"/>
  <c r="B4" i="25"/>
  <c r="C345" i="24" s="1"/>
  <c r="B2" i="25"/>
  <c r="C344" i="24" s="1"/>
  <c r="K169" i="2"/>
  <c r="K168" i="2"/>
  <c r="I169" i="2"/>
  <c r="I168" i="2"/>
  <c r="K404" i="2"/>
  <c r="I404" i="2"/>
  <c r="K403" i="2"/>
  <c r="I403" i="2"/>
  <c r="U3" i="25"/>
  <c r="W5" i="25"/>
  <c r="R15" i="26"/>
  <c r="Q15" i="26"/>
  <c r="P15" i="26"/>
  <c r="O15" i="26"/>
  <c r="N15" i="26"/>
  <c r="M15" i="26"/>
  <c r="L15" i="26"/>
  <c r="K15" i="26"/>
  <c r="J15" i="26"/>
  <c r="I15" i="26"/>
  <c r="H15" i="26"/>
  <c r="G15" i="26"/>
  <c r="F15" i="26"/>
  <c r="AI15" i="26"/>
  <c r="AH15" i="26"/>
  <c r="AG15" i="26"/>
  <c r="AF15" i="26"/>
  <c r="AE15" i="26"/>
  <c r="AD15" i="26"/>
  <c r="AC15" i="26"/>
  <c r="AB15" i="26"/>
  <c r="AA15" i="26"/>
  <c r="Z15" i="26"/>
  <c r="Y15" i="26"/>
  <c r="X15" i="26"/>
  <c r="W15" i="26"/>
  <c r="V15" i="26"/>
  <c r="U15" i="26"/>
  <c r="T15" i="26"/>
  <c r="S15" i="26"/>
  <c r="D15" i="26"/>
  <c r="B15" i="26"/>
  <c r="A15" i="26"/>
  <c r="K18" i="2"/>
  <c r="I18" i="2"/>
  <c r="AD6" i="2"/>
  <c r="D191" i="24"/>
  <c r="AP6" i="2"/>
  <c r="AP5" i="2"/>
  <c r="AP4" i="2"/>
  <c r="AO6" i="2"/>
  <c r="AO5" i="2"/>
  <c r="AO4" i="2"/>
  <c r="AN6" i="2"/>
  <c r="AN5" i="2"/>
  <c r="AN4" i="2"/>
  <c r="AM6" i="2"/>
  <c r="AM5" i="2"/>
  <c r="AM4" i="2"/>
  <c r="AL6" i="2"/>
  <c r="AL5" i="2"/>
  <c r="AL4" i="2"/>
  <c r="AK6" i="2"/>
  <c r="AK5" i="2"/>
  <c r="AK4" i="2"/>
  <c r="AJ6" i="2"/>
  <c r="AJ5" i="2"/>
  <c r="AJ4" i="2"/>
  <c r="AI6" i="2"/>
  <c r="AI5" i="2"/>
  <c r="AI4" i="2"/>
  <c r="AH6" i="2"/>
  <c r="AH5" i="2"/>
  <c r="AH4" i="2"/>
  <c r="AG6" i="2"/>
  <c r="AG5" i="2"/>
  <c r="C227" i="24" s="1"/>
  <c r="AG4" i="2"/>
  <c r="AF6" i="2"/>
  <c r="AF5" i="2"/>
  <c r="AF4" i="2"/>
  <c r="AE6" i="2"/>
  <c r="AE5" i="2"/>
  <c r="AE4" i="2"/>
  <c r="AD5" i="2"/>
  <c r="AD4" i="2"/>
  <c r="AC6" i="2"/>
  <c r="AC5" i="2"/>
  <c r="AC4" i="2"/>
  <c r="AB6" i="2"/>
  <c r="AB5" i="2"/>
  <c r="AB4" i="2"/>
  <c r="AA6" i="2"/>
  <c r="AA5" i="2"/>
  <c r="C160" i="24" s="1"/>
  <c r="AA4" i="2"/>
  <c r="Z6" i="2"/>
  <c r="Z5" i="2"/>
  <c r="Z4" i="2"/>
  <c r="Y6" i="2"/>
  <c r="Y5" i="2"/>
  <c r="Y4" i="2"/>
  <c r="X6" i="2"/>
  <c r="X5" i="2"/>
  <c r="X4" i="2"/>
  <c r="W6" i="2"/>
  <c r="W5" i="2"/>
  <c r="C116" i="24" s="1"/>
  <c r="W4" i="2"/>
  <c r="W3" i="2"/>
  <c r="C113" i="24" s="1"/>
  <c r="X3" i="2"/>
  <c r="C124" i="24" s="1"/>
  <c r="Y3" i="2"/>
  <c r="C135" i="24" s="1"/>
  <c r="D136" i="24" s="1"/>
  <c r="Z3" i="2"/>
  <c r="C146" i="24" s="1"/>
  <c r="D147" i="24" s="1"/>
  <c r="AA3" i="2"/>
  <c r="C157" i="24" s="1"/>
  <c r="AB3" i="2"/>
  <c r="C168" i="24" s="1"/>
  <c r="D169" i="24" s="1"/>
  <c r="AC3" i="2"/>
  <c r="C179" i="24" s="1"/>
  <c r="AD3" i="2"/>
  <c r="AE3" i="2"/>
  <c r="C201" i="24" s="1"/>
  <c r="AF3" i="2"/>
  <c r="AG3" i="2"/>
  <c r="C224" i="24" s="1"/>
  <c r="D225" i="24" s="1"/>
  <c r="AH3" i="2"/>
  <c r="AI3" i="2"/>
  <c r="AJ3" i="2"/>
  <c r="AK3" i="2"/>
  <c r="AL3" i="2"/>
  <c r="AM3" i="2"/>
  <c r="AN3" i="2"/>
  <c r="AO3" i="2"/>
  <c r="AP3" i="2"/>
  <c r="AH5" i="25"/>
  <c r="AF5" i="25"/>
  <c r="AE5" i="25"/>
  <c r="AD5" i="25"/>
  <c r="AC5" i="25"/>
  <c r="AB5" i="25"/>
  <c r="AA5" i="25"/>
  <c r="Z5" i="25"/>
  <c r="D231" i="24" s="1"/>
  <c r="Y5" i="25"/>
  <c r="X5" i="25"/>
  <c r="V5" i="25"/>
  <c r="D186" i="24" s="1"/>
  <c r="T5" i="25"/>
  <c r="D164" i="24" s="1"/>
  <c r="S5" i="25"/>
  <c r="R5" i="25"/>
  <c r="Q5" i="25"/>
  <c r="D131" i="24" s="1"/>
  <c r="P5" i="25"/>
  <c r="D120" i="24" s="1"/>
  <c r="AH3" i="25"/>
  <c r="AG3" i="25"/>
  <c r="AF3" i="25"/>
  <c r="AD3" i="25"/>
  <c r="AC3" i="25"/>
  <c r="AB3" i="25"/>
  <c r="AA3" i="25"/>
  <c r="Z3" i="25"/>
  <c r="D230" i="24" s="1"/>
  <c r="Y3" i="25"/>
  <c r="X3" i="25"/>
  <c r="W3" i="25"/>
  <c r="V3" i="25"/>
  <c r="D185" i="24" s="1"/>
  <c r="T3" i="25"/>
  <c r="D163" i="24" s="1"/>
  <c r="S3" i="25"/>
  <c r="R3" i="25"/>
  <c r="Q3" i="25"/>
  <c r="D130" i="24" s="1"/>
  <c r="P3" i="25"/>
  <c r="D119" i="24" s="1"/>
  <c r="N3" i="25"/>
  <c r="D97" i="24" s="1"/>
  <c r="O5" i="25"/>
  <c r="N5" i="25"/>
  <c r="D98" i="24" s="1"/>
  <c r="L5" i="25"/>
  <c r="K5" i="25"/>
  <c r="D65" i="24" s="1"/>
  <c r="J5" i="25"/>
  <c r="I5" i="25"/>
  <c r="O3" i="25"/>
  <c r="D108" i="24" s="1"/>
  <c r="D75" i="24"/>
  <c r="K3" i="25"/>
  <c r="D64" i="24" s="1"/>
  <c r="J3" i="25"/>
  <c r="D53" i="24" s="1"/>
  <c r="D31" i="24"/>
  <c r="G3" i="25"/>
  <c r="D20" i="24" s="1"/>
  <c r="V6" i="2"/>
  <c r="V5" i="2"/>
  <c r="C105" i="24" s="1"/>
  <c r="V4" i="2"/>
  <c r="U6" i="2"/>
  <c r="U5" i="2"/>
  <c r="U4" i="2"/>
  <c r="T6" i="2"/>
  <c r="T5" i="2"/>
  <c r="T4" i="2"/>
  <c r="S6" i="2"/>
  <c r="S5" i="2"/>
  <c r="C72" i="24" s="1"/>
  <c r="S4" i="2"/>
  <c r="R6" i="2"/>
  <c r="R5" i="2"/>
  <c r="C61" i="24" s="1"/>
  <c r="R4" i="2"/>
  <c r="Q6" i="2"/>
  <c r="Q5" i="2"/>
  <c r="C50" i="24" s="1"/>
  <c r="Q4" i="2"/>
  <c r="P6" i="2"/>
  <c r="P5" i="2"/>
  <c r="C39" i="24" s="1"/>
  <c r="P4" i="2"/>
  <c r="O6" i="2"/>
  <c r="O5" i="2"/>
  <c r="C28" i="24" s="1"/>
  <c r="O4" i="2"/>
  <c r="N6" i="2"/>
  <c r="N5" i="2"/>
  <c r="C17" i="24" s="1"/>
  <c r="N4" i="2"/>
  <c r="M6" i="2"/>
  <c r="M5" i="2"/>
  <c r="M4" i="2"/>
  <c r="L360" i="2" l="1"/>
  <c r="L363" i="2"/>
  <c r="L474" i="2"/>
  <c r="L41" i="2"/>
  <c r="L361" i="2"/>
  <c r="L36" i="2"/>
  <c r="L406" i="2"/>
  <c r="L405" i="2"/>
  <c r="L475" i="2"/>
  <c r="L457" i="2"/>
  <c r="L476" i="2"/>
  <c r="L43" i="2"/>
  <c r="L473" i="2"/>
  <c r="L448" i="2"/>
  <c r="L142" i="2"/>
  <c r="L551" i="2"/>
  <c r="L538" i="2"/>
  <c r="L139" i="2"/>
  <c r="L135" i="2"/>
  <c r="L451" i="2"/>
  <c r="L270" i="2"/>
  <c r="L284" i="2"/>
  <c r="L420" i="2"/>
  <c r="L138" i="2"/>
  <c r="L33" i="2"/>
  <c r="L519" i="2"/>
  <c r="L32" i="2"/>
  <c r="L217" i="2"/>
  <c r="L190" i="2"/>
  <c r="L450" i="2"/>
  <c r="L452" i="2"/>
  <c r="L187" i="2"/>
  <c r="L227" i="2"/>
  <c r="L544" i="2"/>
  <c r="L40" i="2"/>
  <c r="L140" i="2"/>
  <c r="L136" i="2"/>
  <c r="L31" i="2"/>
  <c r="L449" i="2"/>
  <c r="L518" i="2"/>
  <c r="L134" i="2"/>
  <c r="L42" i="2"/>
  <c r="L362" i="2"/>
  <c r="L545" i="2"/>
  <c r="L392" i="2"/>
  <c r="L160" i="2"/>
  <c r="L21" i="2"/>
  <c r="L186" i="2"/>
  <c r="L271" i="2"/>
  <c r="L285" i="2"/>
  <c r="L421" i="2"/>
  <c r="L520" i="2"/>
  <c r="L543" i="2"/>
  <c r="L161" i="2"/>
  <c r="L20" i="2"/>
  <c r="L141" i="2"/>
  <c r="L137" i="2"/>
  <c r="L212" i="2"/>
  <c r="L37" i="2"/>
  <c r="G6" i="25"/>
  <c r="AB6" i="25"/>
  <c r="W6" i="25"/>
  <c r="L577" i="2"/>
  <c r="L168" i="2"/>
  <c r="L169" i="2"/>
  <c r="L403" i="2"/>
  <c r="L404" i="2"/>
  <c r="L18" i="2"/>
  <c r="D180" i="24"/>
  <c r="D181" i="24" s="1"/>
  <c r="D182" i="24" s="1"/>
  <c r="D192" i="24"/>
  <c r="D193" i="24" s="1"/>
  <c r="D202" i="24"/>
  <c r="D213" i="24"/>
  <c r="D170" i="24"/>
  <c r="D158" i="24"/>
  <c r="D148" i="24"/>
  <c r="D137" i="24"/>
  <c r="D76" i="24"/>
  <c r="D54" i="24"/>
  <c r="D43" i="24"/>
  <c r="D32" i="24"/>
  <c r="D21" i="24"/>
  <c r="D109" i="24"/>
  <c r="K574" i="2"/>
  <c r="K575" i="2"/>
  <c r="K576" i="2"/>
  <c r="I574" i="2"/>
  <c r="I575" i="2"/>
  <c r="I576" i="2"/>
  <c r="K409" i="2"/>
  <c r="I409" i="2"/>
  <c r="K226" i="2"/>
  <c r="I226" i="2"/>
  <c r="K133" i="2"/>
  <c r="I133" i="2"/>
  <c r="K39" i="2"/>
  <c r="K38" i="2"/>
  <c r="I39" i="2"/>
  <c r="I38" i="2"/>
  <c r="K35" i="2"/>
  <c r="I35" i="2"/>
  <c r="K390" i="2"/>
  <c r="K389" i="2"/>
  <c r="K391" i="2"/>
  <c r="I389" i="2"/>
  <c r="I390" i="2"/>
  <c r="I391" i="2"/>
  <c r="K344" i="2"/>
  <c r="K345" i="2"/>
  <c r="K346" i="2"/>
  <c r="I344" i="2"/>
  <c r="I345" i="2"/>
  <c r="I346" i="2"/>
  <c r="D203" i="24" l="1"/>
  <c r="D204" i="24" s="1"/>
  <c r="D214" i="24"/>
  <c r="D194" i="24"/>
  <c r="D171" i="24"/>
  <c r="D159" i="24"/>
  <c r="D149" i="24"/>
  <c r="D138" i="24"/>
  <c r="L38" i="2"/>
  <c r="L409" i="2"/>
  <c r="L574" i="2"/>
  <c r="L575" i="2"/>
  <c r="L576" i="2"/>
  <c r="L133" i="2"/>
  <c r="L226" i="2"/>
  <c r="L39" i="2"/>
  <c r="L391" i="2"/>
  <c r="L390" i="2"/>
  <c r="L344" i="2"/>
  <c r="L389" i="2"/>
  <c r="L35" i="2"/>
  <c r="L346" i="2"/>
  <c r="L345" i="2"/>
  <c r="K326" i="2"/>
  <c r="K327" i="2"/>
  <c r="K328" i="2"/>
  <c r="I328" i="2"/>
  <c r="I327" i="2"/>
  <c r="I326" i="2"/>
  <c r="S3" i="2"/>
  <c r="C69" i="24" s="1"/>
  <c r="R3" i="2"/>
  <c r="C58" i="24" s="1"/>
  <c r="K408" i="2"/>
  <c r="I408" i="2"/>
  <c r="K472" i="2"/>
  <c r="I472" i="2"/>
  <c r="K34" i="2"/>
  <c r="I34" i="2"/>
  <c r="K30" i="2"/>
  <c r="I30" i="2"/>
  <c r="D215" i="24" l="1"/>
  <c r="D205" i="24"/>
  <c r="D172" i="24"/>
  <c r="D160" i="24"/>
  <c r="D150" i="24"/>
  <c r="D70" i="24"/>
  <c r="L327" i="2"/>
  <c r="L328" i="2"/>
  <c r="L326" i="2"/>
  <c r="L408" i="2"/>
  <c r="L472" i="2"/>
  <c r="L34" i="2"/>
  <c r="L30" i="2"/>
  <c r="K531" i="2"/>
  <c r="I531" i="2"/>
  <c r="K283" i="2"/>
  <c r="I283" i="2"/>
  <c r="K471" i="2"/>
  <c r="I471" i="2"/>
  <c r="AI643" i="26"/>
  <c r="AI642" i="26"/>
  <c r="AH643" i="26"/>
  <c r="AH642" i="26"/>
  <c r="AG643" i="26"/>
  <c r="AG642" i="26"/>
  <c r="AF643" i="26"/>
  <c r="AF642" i="26"/>
  <c r="AE643" i="26"/>
  <c r="AE642" i="26"/>
  <c r="AD643" i="26"/>
  <c r="AD642" i="26"/>
  <c r="AC643" i="26"/>
  <c r="AC642" i="26"/>
  <c r="AB643" i="26"/>
  <c r="AB642" i="26"/>
  <c r="AA643" i="26"/>
  <c r="AA642" i="26"/>
  <c r="Z643" i="26"/>
  <c r="Z642" i="26"/>
  <c r="Y643" i="26"/>
  <c r="Y642" i="26"/>
  <c r="X643" i="26"/>
  <c r="X642" i="26"/>
  <c r="W643" i="26"/>
  <c r="W642" i="26"/>
  <c r="V643" i="26"/>
  <c r="V642" i="26"/>
  <c r="U643" i="26"/>
  <c r="U642" i="26"/>
  <c r="T643" i="26"/>
  <c r="T642" i="26"/>
  <c r="S643" i="26"/>
  <c r="S642" i="26"/>
  <c r="R643" i="26"/>
  <c r="R642" i="26"/>
  <c r="Q643" i="26"/>
  <c r="Q642" i="26"/>
  <c r="P643" i="26"/>
  <c r="P642" i="26"/>
  <c r="O643" i="26"/>
  <c r="O642" i="26"/>
  <c r="N643" i="26"/>
  <c r="N642" i="26"/>
  <c r="M643" i="26"/>
  <c r="M642" i="26"/>
  <c r="L643" i="26"/>
  <c r="L642" i="26"/>
  <c r="K643" i="26"/>
  <c r="K642" i="26"/>
  <c r="J643" i="26"/>
  <c r="J642" i="26"/>
  <c r="I643" i="26"/>
  <c r="I642" i="26"/>
  <c r="G643" i="26"/>
  <c r="G642" i="26"/>
  <c r="F643" i="26"/>
  <c r="F642" i="26"/>
  <c r="H643" i="26"/>
  <c r="H642" i="26"/>
  <c r="K325" i="2"/>
  <c r="I325" i="2"/>
  <c r="I331" i="2"/>
  <c r="K331" i="2"/>
  <c r="K163" i="2"/>
  <c r="I163" i="2"/>
  <c r="AI5" i="26"/>
  <c r="AI6" i="26"/>
  <c r="AI7" i="26"/>
  <c r="AI8" i="26"/>
  <c r="AI9" i="26"/>
  <c r="AI10" i="26"/>
  <c r="AI11" i="26"/>
  <c r="AI12" i="26"/>
  <c r="AI13" i="26"/>
  <c r="AI14" i="26"/>
  <c r="AI16" i="26"/>
  <c r="AI17" i="26"/>
  <c r="AI18" i="26"/>
  <c r="AI19" i="26"/>
  <c r="AI20" i="26"/>
  <c r="AI21" i="26"/>
  <c r="AI22" i="26"/>
  <c r="AI23" i="26"/>
  <c r="AI24" i="26"/>
  <c r="AI25" i="26"/>
  <c r="AI26" i="26"/>
  <c r="AI27" i="26"/>
  <c r="AI28" i="26"/>
  <c r="AI29" i="26"/>
  <c r="AI30" i="26"/>
  <c r="AI31" i="26"/>
  <c r="AI32" i="26"/>
  <c r="AI33" i="26"/>
  <c r="AI34" i="26"/>
  <c r="AI35" i="26"/>
  <c r="AI36" i="26"/>
  <c r="AI37" i="26"/>
  <c r="AI38" i="26"/>
  <c r="AI39" i="26"/>
  <c r="AI40" i="26"/>
  <c r="AI41" i="26"/>
  <c r="AI42" i="26"/>
  <c r="AI43" i="26"/>
  <c r="AI44" i="26"/>
  <c r="AI45" i="26"/>
  <c r="AI46" i="26"/>
  <c r="AI47" i="26"/>
  <c r="AI48" i="26"/>
  <c r="AI49" i="26"/>
  <c r="AI50" i="26"/>
  <c r="AI51" i="26"/>
  <c r="AI52" i="26"/>
  <c r="AI53" i="26"/>
  <c r="AI54" i="26"/>
  <c r="AI55" i="26"/>
  <c r="AI56" i="26"/>
  <c r="AI57" i="26"/>
  <c r="AI58" i="26"/>
  <c r="AI59" i="26"/>
  <c r="AI60" i="26"/>
  <c r="AI61" i="26"/>
  <c r="AI62" i="26"/>
  <c r="AI63" i="26"/>
  <c r="AI64" i="26"/>
  <c r="AI65" i="26"/>
  <c r="AI66" i="26"/>
  <c r="AI67" i="26"/>
  <c r="AI68" i="26"/>
  <c r="AI69" i="26"/>
  <c r="AI70" i="26"/>
  <c r="AI71" i="26"/>
  <c r="AI72" i="26"/>
  <c r="AI73" i="26"/>
  <c r="AI74" i="26"/>
  <c r="AI75" i="26"/>
  <c r="AI76" i="26"/>
  <c r="AI77" i="26"/>
  <c r="AI78" i="26"/>
  <c r="AI79" i="26"/>
  <c r="AI80" i="26"/>
  <c r="AI81" i="26"/>
  <c r="AI82" i="26"/>
  <c r="AI83" i="26"/>
  <c r="AI84" i="26"/>
  <c r="AI85" i="26"/>
  <c r="AI86" i="26"/>
  <c r="AI87" i="26"/>
  <c r="AI88" i="26"/>
  <c r="AI89" i="26"/>
  <c r="AI90" i="26"/>
  <c r="AI91" i="26"/>
  <c r="AI92" i="26"/>
  <c r="AI93" i="26"/>
  <c r="AI94" i="26"/>
  <c r="AI95" i="26"/>
  <c r="AI96" i="26"/>
  <c r="AI97" i="26"/>
  <c r="AI98" i="26"/>
  <c r="AI99" i="26"/>
  <c r="AI100" i="26"/>
  <c r="AI101" i="26"/>
  <c r="AI102" i="26"/>
  <c r="AI103" i="26"/>
  <c r="AI104" i="26"/>
  <c r="AI105" i="26"/>
  <c r="AI106" i="26"/>
  <c r="AI107" i="26"/>
  <c r="AI108" i="26"/>
  <c r="AI109" i="26"/>
  <c r="AI110" i="26"/>
  <c r="AI111" i="26"/>
  <c r="AI112" i="26"/>
  <c r="AI113" i="26"/>
  <c r="AI114" i="26"/>
  <c r="AI115" i="26"/>
  <c r="AI116" i="26"/>
  <c r="AI117" i="26"/>
  <c r="AI118" i="26"/>
  <c r="AI119" i="26"/>
  <c r="AI120" i="26"/>
  <c r="AI121" i="26"/>
  <c r="AI122" i="26"/>
  <c r="AI123" i="26"/>
  <c r="AI124" i="26"/>
  <c r="AI125" i="26"/>
  <c r="AI126" i="26"/>
  <c r="AI127" i="26"/>
  <c r="AI128" i="26"/>
  <c r="AI129" i="26"/>
  <c r="AI130" i="26"/>
  <c r="AI131" i="26"/>
  <c r="AI132" i="26"/>
  <c r="AI133" i="26"/>
  <c r="AI134" i="26"/>
  <c r="AI135" i="26"/>
  <c r="AI136" i="26"/>
  <c r="AI137" i="26"/>
  <c r="AI138" i="26"/>
  <c r="AI139" i="26"/>
  <c r="AI140" i="26"/>
  <c r="AI141" i="26"/>
  <c r="AI142" i="26"/>
  <c r="AI143" i="26"/>
  <c r="AI144" i="26"/>
  <c r="AI145" i="26"/>
  <c r="AI146" i="26"/>
  <c r="AI147" i="26"/>
  <c r="AI148" i="26"/>
  <c r="AI149" i="26"/>
  <c r="AI150" i="26"/>
  <c r="AI151" i="26"/>
  <c r="AI152" i="26"/>
  <c r="AI153" i="26"/>
  <c r="AI154" i="26"/>
  <c r="AI155" i="26"/>
  <c r="AI156" i="26"/>
  <c r="AI157" i="26"/>
  <c r="AI158" i="26"/>
  <c r="AI159" i="26"/>
  <c r="AI160" i="26"/>
  <c r="AI161" i="26"/>
  <c r="AI162" i="26"/>
  <c r="AI163" i="26"/>
  <c r="AI164" i="26"/>
  <c r="AI165" i="26"/>
  <c r="AI166" i="26"/>
  <c r="AI167" i="26"/>
  <c r="AI168" i="26"/>
  <c r="AI169" i="26"/>
  <c r="AI170" i="26"/>
  <c r="AI171" i="26"/>
  <c r="AI172" i="26"/>
  <c r="AI173" i="26"/>
  <c r="AI174" i="26"/>
  <c r="AI175" i="26"/>
  <c r="AI176" i="26"/>
  <c r="AI177" i="26"/>
  <c r="AI178" i="26"/>
  <c r="AI179" i="26"/>
  <c r="AI180" i="26"/>
  <c r="AI181" i="26"/>
  <c r="AI182" i="26"/>
  <c r="AI183" i="26"/>
  <c r="AI184" i="26"/>
  <c r="AI185" i="26"/>
  <c r="AI186" i="26"/>
  <c r="AI187" i="26"/>
  <c r="AI188" i="26"/>
  <c r="AI189" i="26"/>
  <c r="AI190" i="26"/>
  <c r="AI191" i="26"/>
  <c r="AI192" i="26"/>
  <c r="AI193" i="26"/>
  <c r="AI194" i="26"/>
  <c r="AI195" i="26"/>
  <c r="AI196" i="26"/>
  <c r="AI197" i="26"/>
  <c r="AI198" i="26"/>
  <c r="AI199" i="26"/>
  <c r="AI200" i="26"/>
  <c r="AI201" i="26"/>
  <c r="AI202" i="26"/>
  <c r="AI203" i="26"/>
  <c r="AI204" i="26"/>
  <c r="AI205" i="26"/>
  <c r="AI206" i="26"/>
  <c r="AI207" i="26"/>
  <c r="AI208" i="26"/>
  <c r="AI209" i="26"/>
  <c r="AI210" i="26"/>
  <c r="AI211" i="26"/>
  <c r="AI212" i="26"/>
  <c r="AI213" i="26"/>
  <c r="AI214" i="26"/>
  <c r="AI215" i="26"/>
  <c r="AI216" i="26"/>
  <c r="AI217" i="26"/>
  <c r="AI218" i="26"/>
  <c r="AI219" i="26"/>
  <c r="AI220" i="26"/>
  <c r="AI221" i="26"/>
  <c r="AI222" i="26"/>
  <c r="AI223" i="26"/>
  <c r="AI224" i="26"/>
  <c r="AI225" i="26"/>
  <c r="AI226" i="26"/>
  <c r="AI227" i="26"/>
  <c r="AI228" i="26"/>
  <c r="AI229" i="26"/>
  <c r="AI230" i="26"/>
  <c r="AI231" i="26"/>
  <c r="AI232" i="26"/>
  <c r="AI233" i="26"/>
  <c r="AI234" i="26"/>
  <c r="AI235" i="26"/>
  <c r="AI236" i="26"/>
  <c r="AI237" i="26"/>
  <c r="AI238" i="26"/>
  <c r="AI239" i="26"/>
  <c r="AI240" i="26"/>
  <c r="AI241" i="26"/>
  <c r="AI242" i="26"/>
  <c r="AI243" i="26"/>
  <c r="AI244" i="26"/>
  <c r="AI245" i="26"/>
  <c r="AI246" i="26"/>
  <c r="AI247" i="26"/>
  <c r="AI248" i="26"/>
  <c r="AI249" i="26"/>
  <c r="AI250" i="26"/>
  <c r="AI251" i="26"/>
  <c r="AI252" i="26"/>
  <c r="AI253" i="26"/>
  <c r="AI254" i="26"/>
  <c r="AI255" i="26"/>
  <c r="AI256" i="26"/>
  <c r="AI257" i="26"/>
  <c r="AI258" i="26"/>
  <c r="AI259" i="26"/>
  <c r="AI260" i="26"/>
  <c r="AI261" i="26"/>
  <c r="AI262" i="26"/>
  <c r="AI263" i="26"/>
  <c r="AI264" i="26"/>
  <c r="AI265" i="26"/>
  <c r="AI266" i="26"/>
  <c r="AI267" i="26"/>
  <c r="AI268" i="26"/>
  <c r="AI269" i="26"/>
  <c r="AI270" i="26"/>
  <c r="AI271" i="26"/>
  <c r="AI272" i="26"/>
  <c r="AI273" i="26"/>
  <c r="AI274" i="26"/>
  <c r="AI275" i="26"/>
  <c r="AI276" i="26"/>
  <c r="AI277" i="26"/>
  <c r="AI278" i="26"/>
  <c r="AI279" i="26"/>
  <c r="AI280" i="26"/>
  <c r="AI281" i="26"/>
  <c r="AI282" i="26"/>
  <c r="AI283" i="26"/>
  <c r="AI284" i="26"/>
  <c r="AI285" i="26"/>
  <c r="AI286" i="26"/>
  <c r="AI287" i="26"/>
  <c r="AI288" i="26"/>
  <c r="AI289" i="26"/>
  <c r="AI290" i="26"/>
  <c r="AI291" i="26"/>
  <c r="AI292" i="26"/>
  <c r="AI293" i="26"/>
  <c r="AI294" i="26"/>
  <c r="AI295" i="26"/>
  <c r="AI296" i="26"/>
  <c r="AI297" i="26"/>
  <c r="AI298" i="26"/>
  <c r="AI299" i="26"/>
  <c r="AI300" i="26"/>
  <c r="AI301" i="26"/>
  <c r="AI302" i="26"/>
  <c r="AI303" i="26"/>
  <c r="AI304" i="26"/>
  <c r="AI305" i="26"/>
  <c r="AI306" i="26"/>
  <c r="AI307" i="26"/>
  <c r="AI308" i="26"/>
  <c r="AI309" i="26"/>
  <c r="AI310" i="26"/>
  <c r="AI311" i="26"/>
  <c r="AI312" i="26"/>
  <c r="AI313" i="26"/>
  <c r="AI314" i="26"/>
  <c r="AI315" i="26"/>
  <c r="AI316" i="26"/>
  <c r="AI317" i="26"/>
  <c r="AI318" i="26"/>
  <c r="AI319" i="26"/>
  <c r="AI320" i="26"/>
  <c r="AI321" i="26"/>
  <c r="AI322" i="26"/>
  <c r="AI323" i="26"/>
  <c r="AI324" i="26"/>
  <c r="AI325" i="26"/>
  <c r="AI326" i="26"/>
  <c r="AI327" i="26"/>
  <c r="AI328" i="26"/>
  <c r="AI329" i="26"/>
  <c r="AI330" i="26"/>
  <c r="AI331" i="26"/>
  <c r="AI332" i="26"/>
  <c r="AI333" i="26"/>
  <c r="AI334" i="26"/>
  <c r="AI335" i="26"/>
  <c r="AI336" i="26"/>
  <c r="AI337" i="26"/>
  <c r="AI338" i="26"/>
  <c r="AI339" i="26"/>
  <c r="AI340" i="26"/>
  <c r="AI341" i="26"/>
  <c r="AI342" i="26"/>
  <c r="AI343" i="26"/>
  <c r="AI344" i="26"/>
  <c r="AI345" i="26"/>
  <c r="AI346" i="26"/>
  <c r="AI347" i="26"/>
  <c r="AI348" i="26"/>
  <c r="AI349" i="26"/>
  <c r="AI350" i="26"/>
  <c r="AI351" i="26"/>
  <c r="AI352" i="26"/>
  <c r="AI353" i="26"/>
  <c r="AI354" i="26"/>
  <c r="AI355" i="26"/>
  <c r="AI356" i="26"/>
  <c r="AI357" i="26"/>
  <c r="AI358" i="26"/>
  <c r="AI359" i="26"/>
  <c r="AI360" i="26"/>
  <c r="AI361" i="26"/>
  <c r="AI362" i="26"/>
  <c r="AI363" i="26"/>
  <c r="AI364" i="26"/>
  <c r="AI365" i="26"/>
  <c r="AI366" i="26"/>
  <c r="AI367" i="26"/>
  <c r="AI368" i="26"/>
  <c r="AI369" i="26"/>
  <c r="AI370" i="26"/>
  <c r="AI371" i="26"/>
  <c r="AI372" i="26"/>
  <c r="AI373" i="26"/>
  <c r="AI374" i="26"/>
  <c r="AI375" i="26"/>
  <c r="AI376" i="26"/>
  <c r="AI377" i="26"/>
  <c r="AI378" i="26"/>
  <c r="AI379" i="26"/>
  <c r="AI380" i="26"/>
  <c r="AI381" i="26"/>
  <c r="AI382" i="26"/>
  <c r="AI383" i="26"/>
  <c r="AI384" i="26"/>
  <c r="AI385" i="26"/>
  <c r="AI386" i="26"/>
  <c r="AI387" i="26"/>
  <c r="AI388" i="26"/>
  <c r="AI389" i="26"/>
  <c r="AI390" i="26"/>
  <c r="AI391" i="26"/>
  <c r="AI392" i="26"/>
  <c r="AI393" i="26"/>
  <c r="AI394" i="26"/>
  <c r="AI395" i="26"/>
  <c r="AI396" i="26"/>
  <c r="AI397" i="26"/>
  <c r="AI398" i="26"/>
  <c r="AI399" i="26"/>
  <c r="AI400" i="26"/>
  <c r="AI401" i="26"/>
  <c r="AI402" i="26"/>
  <c r="AI403" i="26"/>
  <c r="AI404" i="26"/>
  <c r="AI405" i="26"/>
  <c r="AI406" i="26"/>
  <c r="AI407" i="26"/>
  <c r="AI408" i="26"/>
  <c r="AI409" i="26"/>
  <c r="AI410" i="26"/>
  <c r="AI411" i="26"/>
  <c r="AI412" i="26"/>
  <c r="AI413" i="26"/>
  <c r="AI414" i="26"/>
  <c r="AI415" i="26"/>
  <c r="AI416" i="26"/>
  <c r="AI417" i="26"/>
  <c r="AI418" i="26"/>
  <c r="AI419" i="26"/>
  <c r="AI420" i="26"/>
  <c r="AI421" i="26"/>
  <c r="AI422" i="26"/>
  <c r="AI423" i="26"/>
  <c r="AI424" i="26"/>
  <c r="AI425" i="26"/>
  <c r="AI426" i="26"/>
  <c r="AI427" i="26"/>
  <c r="AI428" i="26"/>
  <c r="AI429" i="26"/>
  <c r="AI430" i="26"/>
  <c r="AI431" i="26"/>
  <c r="AI432" i="26"/>
  <c r="AI433" i="26"/>
  <c r="AI434" i="26"/>
  <c r="AI435" i="26"/>
  <c r="AI436" i="26"/>
  <c r="AI437" i="26"/>
  <c r="AI438" i="26"/>
  <c r="AI439" i="26"/>
  <c r="AI440" i="26"/>
  <c r="AI441" i="26"/>
  <c r="AI442" i="26"/>
  <c r="AI443" i="26"/>
  <c r="AI444" i="26"/>
  <c r="AI445" i="26"/>
  <c r="AI446" i="26"/>
  <c r="AI447" i="26"/>
  <c r="AI448" i="26"/>
  <c r="AI449" i="26"/>
  <c r="AI450" i="26"/>
  <c r="AI451" i="26"/>
  <c r="AI452" i="26"/>
  <c r="AI453" i="26"/>
  <c r="AI454" i="26"/>
  <c r="AI455" i="26"/>
  <c r="AI456" i="26"/>
  <c r="AI457" i="26"/>
  <c r="AI458" i="26"/>
  <c r="AI459" i="26"/>
  <c r="AI460" i="26"/>
  <c r="AI461" i="26"/>
  <c r="AI462" i="26"/>
  <c r="AI463" i="26"/>
  <c r="AI464" i="26"/>
  <c r="AI465" i="26"/>
  <c r="AI466" i="26"/>
  <c r="AI467" i="26"/>
  <c r="AI468" i="26"/>
  <c r="AI469" i="26"/>
  <c r="AI470" i="26"/>
  <c r="AI471" i="26"/>
  <c r="AI472" i="26"/>
  <c r="AI473" i="26"/>
  <c r="AI474" i="26"/>
  <c r="AI475" i="26"/>
  <c r="AI476" i="26"/>
  <c r="AI477" i="26"/>
  <c r="AI478" i="26"/>
  <c r="AI479" i="26"/>
  <c r="AI480" i="26"/>
  <c r="AI481" i="26"/>
  <c r="AI482" i="26"/>
  <c r="AI483" i="26"/>
  <c r="AI484" i="26"/>
  <c r="AI485" i="26"/>
  <c r="AI486" i="26"/>
  <c r="AI487" i="26"/>
  <c r="AI488" i="26"/>
  <c r="AI489" i="26"/>
  <c r="AI490" i="26"/>
  <c r="AI491" i="26"/>
  <c r="AI492" i="26"/>
  <c r="AI493" i="26"/>
  <c r="AI494" i="26"/>
  <c r="AI495" i="26"/>
  <c r="AI496" i="26"/>
  <c r="AI497" i="26"/>
  <c r="AI498" i="26"/>
  <c r="AI499" i="26"/>
  <c r="AI500" i="26"/>
  <c r="AI501" i="26"/>
  <c r="AI502" i="26"/>
  <c r="AI503" i="26"/>
  <c r="AI504" i="26"/>
  <c r="AI505" i="26"/>
  <c r="AI506" i="26"/>
  <c r="AI507" i="26"/>
  <c r="AI508" i="26"/>
  <c r="AI509" i="26"/>
  <c r="AI510" i="26"/>
  <c r="AI511" i="26"/>
  <c r="AI512" i="26"/>
  <c r="AI513" i="26"/>
  <c r="AI514" i="26"/>
  <c r="AI515" i="26"/>
  <c r="AI516" i="26"/>
  <c r="AI517" i="26"/>
  <c r="AI518" i="26"/>
  <c r="AI519" i="26"/>
  <c r="AI520" i="26"/>
  <c r="AI521" i="26"/>
  <c r="AI522" i="26"/>
  <c r="AI523" i="26"/>
  <c r="AI524" i="26"/>
  <c r="AI525" i="26"/>
  <c r="AI526" i="26"/>
  <c r="AI527" i="26"/>
  <c r="AI528" i="26"/>
  <c r="AI529" i="26"/>
  <c r="AI530" i="26"/>
  <c r="AI531" i="26"/>
  <c r="AI532" i="26"/>
  <c r="AI533" i="26"/>
  <c r="AI534" i="26"/>
  <c r="AI535" i="26"/>
  <c r="AI536" i="26"/>
  <c r="AI537" i="26"/>
  <c r="AI538" i="26"/>
  <c r="AI539" i="26"/>
  <c r="AI540" i="26"/>
  <c r="AI541" i="26"/>
  <c r="AI542" i="26"/>
  <c r="AI543" i="26"/>
  <c r="AI544" i="26"/>
  <c r="AI545" i="26"/>
  <c r="AI546" i="26"/>
  <c r="AI547" i="26"/>
  <c r="AI548" i="26"/>
  <c r="AI549" i="26"/>
  <c r="AI550" i="26"/>
  <c r="AI551" i="26"/>
  <c r="AI552" i="26"/>
  <c r="AI553" i="26"/>
  <c r="AI554" i="26"/>
  <c r="AI555" i="26"/>
  <c r="AI556" i="26"/>
  <c r="AI557" i="26"/>
  <c r="AI558" i="26"/>
  <c r="AI559" i="26"/>
  <c r="AI560" i="26"/>
  <c r="AI561" i="26"/>
  <c r="AI562" i="26"/>
  <c r="AI563" i="26"/>
  <c r="AI564" i="26"/>
  <c r="AI565" i="26"/>
  <c r="AI566" i="26"/>
  <c r="AI567" i="26"/>
  <c r="AI568" i="26"/>
  <c r="AI569" i="26"/>
  <c r="AI570" i="26"/>
  <c r="AI571" i="26"/>
  <c r="AI572" i="26"/>
  <c r="AI573" i="26"/>
  <c r="AI574" i="26"/>
  <c r="AI575" i="26"/>
  <c r="AI576" i="26"/>
  <c r="AI577" i="26"/>
  <c r="AI578" i="26"/>
  <c r="AI579" i="26"/>
  <c r="AI580" i="26"/>
  <c r="AI581" i="26"/>
  <c r="AI582" i="26"/>
  <c r="AI583" i="26"/>
  <c r="AI584" i="26"/>
  <c r="AI585" i="26"/>
  <c r="AI586" i="26"/>
  <c r="AI587" i="26"/>
  <c r="AI588" i="26"/>
  <c r="AI589" i="26"/>
  <c r="AI590" i="26"/>
  <c r="AI591" i="26"/>
  <c r="AI592" i="26"/>
  <c r="AI593" i="26"/>
  <c r="AI594" i="26"/>
  <c r="AI595" i="26"/>
  <c r="AI596" i="26"/>
  <c r="AI597" i="26"/>
  <c r="AI598" i="26"/>
  <c r="AI599" i="26"/>
  <c r="AI600" i="26"/>
  <c r="AI601" i="26"/>
  <c r="AI602" i="26"/>
  <c r="AI603" i="26"/>
  <c r="AI604" i="26"/>
  <c r="AI605" i="26"/>
  <c r="AI606" i="26"/>
  <c r="AI607" i="26"/>
  <c r="AI608" i="26"/>
  <c r="AI609" i="26"/>
  <c r="AI610" i="26"/>
  <c r="AI611" i="26"/>
  <c r="AI612" i="26"/>
  <c r="AI613" i="26"/>
  <c r="AI614" i="26"/>
  <c r="AI615" i="26"/>
  <c r="AI616" i="26"/>
  <c r="AI617" i="26"/>
  <c r="AI618" i="26"/>
  <c r="AI619" i="26"/>
  <c r="AI620" i="26"/>
  <c r="AI621" i="26"/>
  <c r="AI622" i="26"/>
  <c r="AI623" i="26"/>
  <c r="AI624" i="26"/>
  <c r="AI625" i="26"/>
  <c r="AI626" i="26"/>
  <c r="AI627" i="26"/>
  <c r="AI628" i="26"/>
  <c r="AI629" i="26"/>
  <c r="AI630" i="26"/>
  <c r="AI631" i="26"/>
  <c r="AI632" i="26"/>
  <c r="AI633" i="26"/>
  <c r="AI634" i="26"/>
  <c r="AI635" i="26"/>
  <c r="AI636" i="26"/>
  <c r="AI637" i="26"/>
  <c r="AI638" i="26"/>
  <c r="AI639" i="26"/>
  <c r="AI640" i="26"/>
  <c r="AI641" i="26"/>
  <c r="AI4" i="26"/>
  <c r="D216" i="24" l="1"/>
  <c r="D161" i="24"/>
  <c r="D71" i="24"/>
  <c r="L531" i="2"/>
  <c r="L283" i="2"/>
  <c r="L471" i="2"/>
  <c r="L325" i="2"/>
  <c r="L331" i="2"/>
  <c r="L163" i="2"/>
  <c r="D279" i="26"/>
  <c r="A461" i="26"/>
  <c r="I225" i="2"/>
  <c r="K225" i="2"/>
  <c r="K132" i="2"/>
  <c r="I132" i="2"/>
  <c r="D72" i="24" l="1"/>
  <c r="L132" i="2"/>
  <c r="L225" i="2"/>
  <c r="K162" i="2"/>
  <c r="I162" i="2"/>
  <c r="K257" i="2"/>
  <c r="I257" i="2"/>
  <c r="K6" i="26"/>
  <c r="L6" i="26"/>
  <c r="M6" i="26"/>
  <c r="N6" i="26"/>
  <c r="O6" i="26"/>
  <c r="P6" i="26"/>
  <c r="Q6" i="26"/>
  <c r="R6" i="26"/>
  <c r="S6" i="26"/>
  <c r="T6" i="26"/>
  <c r="U6" i="26"/>
  <c r="V6" i="26"/>
  <c r="W6" i="26"/>
  <c r="X6" i="26"/>
  <c r="Y6" i="26"/>
  <c r="Z6" i="26"/>
  <c r="AA6" i="26"/>
  <c r="AB6" i="26"/>
  <c r="AC6" i="26"/>
  <c r="AD6" i="26"/>
  <c r="AE6" i="26"/>
  <c r="AF6" i="26"/>
  <c r="AG6" i="26"/>
  <c r="AH6" i="26"/>
  <c r="K7" i="26"/>
  <c r="L7" i="26"/>
  <c r="M7" i="26"/>
  <c r="N7" i="26"/>
  <c r="O7" i="26"/>
  <c r="P7" i="26"/>
  <c r="Q7" i="26"/>
  <c r="R7" i="26"/>
  <c r="S7" i="26"/>
  <c r="T7" i="26"/>
  <c r="U7" i="26"/>
  <c r="V7" i="26"/>
  <c r="W7" i="26"/>
  <c r="X7" i="26"/>
  <c r="Y7" i="26"/>
  <c r="Z7" i="26"/>
  <c r="AA7" i="26"/>
  <c r="AB7" i="26"/>
  <c r="AC7" i="26"/>
  <c r="AD7" i="26"/>
  <c r="AE7" i="26"/>
  <c r="AF7" i="26"/>
  <c r="AG7" i="26"/>
  <c r="AH7" i="26"/>
  <c r="K8" i="26"/>
  <c r="L8" i="26"/>
  <c r="M8" i="26"/>
  <c r="N8" i="26"/>
  <c r="O8" i="26"/>
  <c r="P8" i="26"/>
  <c r="Q8" i="26"/>
  <c r="R8" i="26"/>
  <c r="S8" i="26"/>
  <c r="T8" i="26"/>
  <c r="U8" i="26"/>
  <c r="V8" i="26"/>
  <c r="W8" i="26"/>
  <c r="X8" i="26"/>
  <c r="Y8" i="26"/>
  <c r="Z8" i="26"/>
  <c r="AA8" i="26"/>
  <c r="AB8" i="26"/>
  <c r="AC8" i="26"/>
  <c r="AD8" i="26"/>
  <c r="AE8" i="26"/>
  <c r="AF8" i="26"/>
  <c r="AG8" i="26"/>
  <c r="AH8" i="26"/>
  <c r="K9" i="26"/>
  <c r="L9" i="26"/>
  <c r="M9" i="26"/>
  <c r="N9" i="26"/>
  <c r="O9" i="26"/>
  <c r="P9" i="26"/>
  <c r="Q9" i="26"/>
  <c r="R9" i="26"/>
  <c r="S9" i="26"/>
  <c r="T9" i="26"/>
  <c r="U9" i="26"/>
  <c r="V9" i="26"/>
  <c r="W9" i="26"/>
  <c r="X9" i="26"/>
  <c r="Y9" i="26"/>
  <c r="Z9" i="26"/>
  <c r="AA9" i="26"/>
  <c r="AB9" i="26"/>
  <c r="AC9" i="26"/>
  <c r="AD9" i="26"/>
  <c r="AE9" i="26"/>
  <c r="AF9" i="26"/>
  <c r="AG9" i="26"/>
  <c r="AH9" i="26"/>
  <c r="K10" i="26"/>
  <c r="L10" i="26"/>
  <c r="M10" i="26"/>
  <c r="N10" i="26"/>
  <c r="O10" i="26"/>
  <c r="P10" i="26"/>
  <c r="Q10" i="26"/>
  <c r="R10" i="26"/>
  <c r="S10" i="26"/>
  <c r="T10" i="26"/>
  <c r="U10" i="26"/>
  <c r="V10" i="26"/>
  <c r="W10" i="26"/>
  <c r="X10" i="26"/>
  <c r="Y10" i="26"/>
  <c r="Z10" i="26"/>
  <c r="AA10" i="26"/>
  <c r="AB10" i="26"/>
  <c r="AC10" i="26"/>
  <c r="AD10" i="26"/>
  <c r="AE10" i="26"/>
  <c r="AF10" i="26"/>
  <c r="AG10" i="26"/>
  <c r="AH10" i="26"/>
  <c r="K11" i="26"/>
  <c r="L11" i="26"/>
  <c r="M11" i="26"/>
  <c r="N11" i="26"/>
  <c r="O11" i="26"/>
  <c r="P11" i="26"/>
  <c r="Q11" i="26"/>
  <c r="R11" i="26"/>
  <c r="S11" i="26"/>
  <c r="T11" i="26"/>
  <c r="U11" i="26"/>
  <c r="V11" i="26"/>
  <c r="W11" i="26"/>
  <c r="X11" i="26"/>
  <c r="Y11" i="26"/>
  <c r="Z11" i="26"/>
  <c r="AA11" i="26"/>
  <c r="AB11" i="26"/>
  <c r="AC11" i="26"/>
  <c r="AD11" i="26"/>
  <c r="AE11" i="26"/>
  <c r="AF11" i="26"/>
  <c r="AG11" i="26"/>
  <c r="AH11" i="26"/>
  <c r="K12" i="26"/>
  <c r="L12" i="26"/>
  <c r="M12" i="26"/>
  <c r="N12" i="26"/>
  <c r="O12" i="26"/>
  <c r="P12" i="26"/>
  <c r="Q12" i="26"/>
  <c r="R12" i="26"/>
  <c r="S12" i="26"/>
  <c r="T12" i="26"/>
  <c r="U12" i="26"/>
  <c r="V12" i="26"/>
  <c r="W12" i="26"/>
  <c r="X12" i="26"/>
  <c r="Y12" i="26"/>
  <c r="Z12" i="26"/>
  <c r="AA12" i="26"/>
  <c r="AB12" i="26"/>
  <c r="AC12" i="26"/>
  <c r="AD12" i="26"/>
  <c r="AE12" i="26"/>
  <c r="AF12" i="26"/>
  <c r="AG12" i="26"/>
  <c r="AH12" i="26"/>
  <c r="K13" i="26"/>
  <c r="L13" i="26"/>
  <c r="M13" i="26"/>
  <c r="N13" i="26"/>
  <c r="O13" i="26"/>
  <c r="P13" i="26"/>
  <c r="Q13" i="26"/>
  <c r="R13" i="26"/>
  <c r="S13" i="26"/>
  <c r="T13" i="26"/>
  <c r="U13" i="26"/>
  <c r="V13" i="26"/>
  <c r="W13" i="26"/>
  <c r="X13" i="26"/>
  <c r="Y13" i="26"/>
  <c r="Z13" i="26"/>
  <c r="AA13" i="26"/>
  <c r="AB13" i="26"/>
  <c r="AC13" i="26"/>
  <c r="AD13" i="26"/>
  <c r="AE13" i="26"/>
  <c r="AF13" i="26"/>
  <c r="AG13" i="26"/>
  <c r="AH13" i="26"/>
  <c r="K14" i="26"/>
  <c r="L14" i="26"/>
  <c r="M14" i="26"/>
  <c r="N14" i="26"/>
  <c r="O14" i="26"/>
  <c r="P14" i="26"/>
  <c r="Q14" i="26"/>
  <c r="R14" i="26"/>
  <c r="S14" i="26"/>
  <c r="T14" i="26"/>
  <c r="U14" i="26"/>
  <c r="V14" i="26"/>
  <c r="W14" i="26"/>
  <c r="X14" i="26"/>
  <c r="Y14" i="26"/>
  <c r="Z14" i="26"/>
  <c r="AA14" i="26"/>
  <c r="AB14" i="26"/>
  <c r="AC14" i="26"/>
  <c r="AD14" i="26"/>
  <c r="AE14" i="26"/>
  <c r="AF14" i="26"/>
  <c r="AG14" i="26"/>
  <c r="AH14" i="26"/>
  <c r="K16" i="26"/>
  <c r="L16" i="26"/>
  <c r="M16" i="26"/>
  <c r="N16" i="26"/>
  <c r="O16" i="26"/>
  <c r="P16" i="26"/>
  <c r="Q16" i="26"/>
  <c r="R16" i="26"/>
  <c r="S16" i="26"/>
  <c r="T16" i="26"/>
  <c r="U16" i="26"/>
  <c r="V16" i="26"/>
  <c r="W16" i="26"/>
  <c r="X16" i="26"/>
  <c r="Y16" i="26"/>
  <c r="Z16" i="26"/>
  <c r="AA16" i="26"/>
  <c r="AB16" i="26"/>
  <c r="AC16" i="26"/>
  <c r="AD16" i="26"/>
  <c r="AE16" i="26"/>
  <c r="AF16" i="26"/>
  <c r="AG16" i="26"/>
  <c r="AH16" i="26"/>
  <c r="K17" i="26"/>
  <c r="L17" i="26"/>
  <c r="M17" i="26"/>
  <c r="N17" i="26"/>
  <c r="O17" i="26"/>
  <c r="P17" i="26"/>
  <c r="Q17" i="26"/>
  <c r="R17" i="26"/>
  <c r="S17" i="26"/>
  <c r="T17" i="26"/>
  <c r="U17" i="26"/>
  <c r="V17" i="26"/>
  <c r="W17" i="26"/>
  <c r="X17" i="26"/>
  <c r="Y17" i="26"/>
  <c r="Z17" i="26"/>
  <c r="AA17" i="26"/>
  <c r="AB17" i="26"/>
  <c r="AC17" i="26"/>
  <c r="AD17" i="26"/>
  <c r="AE17" i="26"/>
  <c r="AF17" i="26"/>
  <c r="AG17" i="26"/>
  <c r="AH17" i="26"/>
  <c r="K18" i="26"/>
  <c r="L18" i="26"/>
  <c r="M18" i="26"/>
  <c r="N18" i="26"/>
  <c r="O18" i="26"/>
  <c r="P18" i="26"/>
  <c r="Q18" i="26"/>
  <c r="R18" i="26"/>
  <c r="S18" i="26"/>
  <c r="T18" i="26"/>
  <c r="U18" i="26"/>
  <c r="V18" i="26"/>
  <c r="W18" i="26"/>
  <c r="X18" i="26"/>
  <c r="Y18" i="26"/>
  <c r="Z18" i="26"/>
  <c r="AA18" i="26"/>
  <c r="AB18" i="26"/>
  <c r="AC18" i="26"/>
  <c r="AD18" i="26"/>
  <c r="AE18" i="26"/>
  <c r="AF18" i="26"/>
  <c r="AG18" i="26"/>
  <c r="AH18" i="26"/>
  <c r="K19" i="26"/>
  <c r="L19" i="26"/>
  <c r="M19" i="26"/>
  <c r="N19" i="26"/>
  <c r="O19" i="26"/>
  <c r="P19" i="26"/>
  <c r="Q19" i="26"/>
  <c r="R19" i="26"/>
  <c r="S19" i="26"/>
  <c r="T19" i="26"/>
  <c r="U19" i="26"/>
  <c r="V19" i="26"/>
  <c r="W19" i="26"/>
  <c r="X19" i="26"/>
  <c r="Y19" i="26"/>
  <c r="Z19" i="26"/>
  <c r="AA19" i="26"/>
  <c r="AB19" i="26"/>
  <c r="AC19" i="26"/>
  <c r="AD19" i="26"/>
  <c r="AE19" i="26"/>
  <c r="AF19" i="26"/>
  <c r="AG19" i="26"/>
  <c r="AH19" i="26"/>
  <c r="K20" i="26"/>
  <c r="L20" i="26"/>
  <c r="M20" i="26"/>
  <c r="N20" i="26"/>
  <c r="O20" i="26"/>
  <c r="P20" i="26"/>
  <c r="Q20" i="26"/>
  <c r="R20" i="26"/>
  <c r="S20" i="26"/>
  <c r="T20" i="26"/>
  <c r="U20" i="26"/>
  <c r="V20" i="26"/>
  <c r="W20" i="26"/>
  <c r="X20" i="26"/>
  <c r="Y20" i="26"/>
  <c r="Z20" i="26"/>
  <c r="AA20" i="26"/>
  <c r="AB20" i="26"/>
  <c r="AC20" i="26"/>
  <c r="AD20" i="26"/>
  <c r="AE20" i="26"/>
  <c r="AF20" i="26"/>
  <c r="AG20" i="26"/>
  <c r="AH20" i="26"/>
  <c r="K21" i="26"/>
  <c r="L21" i="26"/>
  <c r="M21" i="26"/>
  <c r="N21" i="26"/>
  <c r="O21" i="26"/>
  <c r="P21" i="26"/>
  <c r="Q21" i="26"/>
  <c r="R21" i="26"/>
  <c r="S21" i="26"/>
  <c r="T21" i="26"/>
  <c r="U21" i="26"/>
  <c r="V21" i="26"/>
  <c r="W21" i="26"/>
  <c r="X21" i="26"/>
  <c r="Y21" i="26"/>
  <c r="Z21" i="26"/>
  <c r="AA21" i="26"/>
  <c r="AB21" i="26"/>
  <c r="AC21" i="26"/>
  <c r="AD21" i="26"/>
  <c r="AE21" i="26"/>
  <c r="AF21" i="26"/>
  <c r="AG21" i="26"/>
  <c r="AH21" i="26"/>
  <c r="K22" i="26"/>
  <c r="L22" i="26"/>
  <c r="M22" i="26"/>
  <c r="N22" i="26"/>
  <c r="O22" i="26"/>
  <c r="P22" i="26"/>
  <c r="Q22" i="26"/>
  <c r="R22" i="26"/>
  <c r="S22" i="26"/>
  <c r="T22" i="26"/>
  <c r="U22" i="26"/>
  <c r="V22" i="26"/>
  <c r="W22" i="26"/>
  <c r="X22" i="26"/>
  <c r="Y22" i="26"/>
  <c r="Z22" i="26"/>
  <c r="AA22" i="26"/>
  <c r="AB22" i="26"/>
  <c r="AC22" i="26"/>
  <c r="AD22" i="26"/>
  <c r="AE22" i="26"/>
  <c r="AF22" i="26"/>
  <c r="AG22" i="26"/>
  <c r="AH22" i="26"/>
  <c r="K23" i="26"/>
  <c r="L23" i="26"/>
  <c r="M23" i="26"/>
  <c r="N23" i="26"/>
  <c r="O23" i="26"/>
  <c r="P23" i="26"/>
  <c r="Q23" i="26"/>
  <c r="R23" i="26"/>
  <c r="S23" i="26"/>
  <c r="T23" i="26"/>
  <c r="U23" i="26"/>
  <c r="V23" i="26"/>
  <c r="W23" i="26"/>
  <c r="X23" i="26"/>
  <c r="Y23" i="26"/>
  <c r="Z23" i="26"/>
  <c r="AA23" i="26"/>
  <c r="AB23" i="26"/>
  <c r="AC23" i="26"/>
  <c r="AD23" i="26"/>
  <c r="AE23" i="26"/>
  <c r="AF23" i="26"/>
  <c r="AG23" i="26"/>
  <c r="AH23" i="26"/>
  <c r="K24" i="26"/>
  <c r="L24" i="26"/>
  <c r="M24" i="26"/>
  <c r="N24" i="26"/>
  <c r="O24" i="26"/>
  <c r="P24" i="26"/>
  <c r="Q24" i="26"/>
  <c r="R24" i="26"/>
  <c r="S24" i="26"/>
  <c r="T24" i="26"/>
  <c r="U24" i="26"/>
  <c r="V24" i="26"/>
  <c r="W24" i="26"/>
  <c r="X24" i="26"/>
  <c r="Y24" i="26"/>
  <c r="Z24" i="26"/>
  <c r="AA24" i="26"/>
  <c r="AB24" i="26"/>
  <c r="AC24" i="26"/>
  <c r="AD24" i="26"/>
  <c r="AE24" i="26"/>
  <c r="AF24" i="26"/>
  <c r="AG24" i="26"/>
  <c r="AH24" i="26"/>
  <c r="K25" i="26"/>
  <c r="L25" i="26"/>
  <c r="M25" i="26"/>
  <c r="N25" i="26"/>
  <c r="O25" i="26"/>
  <c r="P25" i="26"/>
  <c r="Q25" i="26"/>
  <c r="R25" i="26"/>
  <c r="S25" i="26"/>
  <c r="T25" i="26"/>
  <c r="U25" i="26"/>
  <c r="V25" i="26"/>
  <c r="W25" i="26"/>
  <c r="X25" i="26"/>
  <c r="Y25" i="26"/>
  <c r="Z25" i="26"/>
  <c r="AA25" i="26"/>
  <c r="AB25" i="26"/>
  <c r="AC25" i="26"/>
  <c r="AD25" i="26"/>
  <c r="AE25" i="26"/>
  <c r="AF25" i="26"/>
  <c r="AG25" i="26"/>
  <c r="AH25" i="26"/>
  <c r="K26" i="26"/>
  <c r="L26" i="26"/>
  <c r="M26" i="26"/>
  <c r="N26" i="26"/>
  <c r="O26" i="26"/>
  <c r="P26" i="26"/>
  <c r="Q26" i="26"/>
  <c r="R26" i="26"/>
  <c r="S26" i="26"/>
  <c r="T26" i="26"/>
  <c r="U26" i="26"/>
  <c r="V26" i="26"/>
  <c r="W26" i="26"/>
  <c r="X26" i="26"/>
  <c r="Y26" i="26"/>
  <c r="Z26" i="26"/>
  <c r="AA26" i="26"/>
  <c r="AB26" i="26"/>
  <c r="AC26" i="26"/>
  <c r="AD26" i="26"/>
  <c r="AE26" i="26"/>
  <c r="AF26" i="26"/>
  <c r="AG26" i="26"/>
  <c r="AH26" i="26"/>
  <c r="K27" i="26"/>
  <c r="L27" i="26"/>
  <c r="M27" i="26"/>
  <c r="N27" i="26"/>
  <c r="O27" i="26"/>
  <c r="P27" i="26"/>
  <c r="Q27" i="26"/>
  <c r="R27" i="26"/>
  <c r="S27" i="26"/>
  <c r="T27" i="26"/>
  <c r="U27" i="26"/>
  <c r="V27" i="26"/>
  <c r="W27" i="26"/>
  <c r="X27" i="26"/>
  <c r="Y27" i="26"/>
  <c r="Z27" i="26"/>
  <c r="AA27" i="26"/>
  <c r="AB27" i="26"/>
  <c r="AC27" i="26"/>
  <c r="AD27" i="26"/>
  <c r="AE27" i="26"/>
  <c r="AF27" i="26"/>
  <c r="AG27" i="26"/>
  <c r="AH27" i="26"/>
  <c r="K28" i="26"/>
  <c r="L28" i="26"/>
  <c r="M28" i="26"/>
  <c r="N28" i="26"/>
  <c r="O28" i="26"/>
  <c r="P28" i="26"/>
  <c r="Q28" i="26"/>
  <c r="R28" i="26"/>
  <c r="S28" i="26"/>
  <c r="T28" i="26"/>
  <c r="U28" i="26"/>
  <c r="V28" i="26"/>
  <c r="W28" i="26"/>
  <c r="X28" i="26"/>
  <c r="Y28" i="26"/>
  <c r="Z28" i="26"/>
  <c r="AA28" i="26"/>
  <c r="AB28" i="26"/>
  <c r="AC28" i="26"/>
  <c r="AD28" i="26"/>
  <c r="AE28" i="26"/>
  <c r="AF28" i="26"/>
  <c r="AG28" i="26"/>
  <c r="AH28" i="26"/>
  <c r="K29" i="26"/>
  <c r="L29" i="26"/>
  <c r="M29" i="26"/>
  <c r="N29" i="26"/>
  <c r="O29" i="26"/>
  <c r="P29" i="26"/>
  <c r="Q29" i="26"/>
  <c r="R29" i="26"/>
  <c r="S29" i="26"/>
  <c r="T29" i="26"/>
  <c r="U29" i="26"/>
  <c r="V29" i="26"/>
  <c r="W29" i="26"/>
  <c r="X29" i="26"/>
  <c r="Y29" i="26"/>
  <c r="Z29" i="26"/>
  <c r="AA29" i="26"/>
  <c r="AB29" i="26"/>
  <c r="AC29" i="26"/>
  <c r="AD29" i="26"/>
  <c r="AE29" i="26"/>
  <c r="AF29" i="26"/>
  <c r="AG29" i="26"/>
  <c r="AH29" i="26"/>
  <c r="K30" i="26"/>
  <c r="L30" i="26"/>
  <c r="M30" i="26"/>
  <c r="N30" i="26"/>
  <c r="O30" i="26"/>
  <c r="P30" i="26"/>
  <c r="Q30" i="26"/>
  <c r="R30" i="26"/>
  <c r="S30" i="26"/>
  <c r="T30" i="26"/>
  <c r="U30" i="26"/>
  <c r="V30" i="26"/>
  <c r="W30" i="26"/>
  <c r="X30" i="26"/>
  <c r="Y30" i="26"/>
  <c r="Z30" i="26"/>
  <c r="AA30" i="26"/>
  <c r="AB30" i="26"/>
  <c r="AC30" i="26"/>
  <c r="AD30" i="26"/>
  <c r="AE30" i="26"/>
  <c r="AF30" i="26"/>
  <c r="AG30" i="26"/>
  <c r="AH30" i="26"/>
  <c r="K31" i="26"/>
  <c r="L31" i="26"/>
  <c r="M31" i="26"/>
  <c r="N31" i="26"/>
  <c r="O31" i="26"/>
  <c r="P31" i="26"/>
  <c r="Q31" i="26"/>
  <c r="R31" i="26"/>
  <c r="S31" i="26"/>
  <c r="T31" i="26"/>
  <c r="U31" i="26"/>
  <c r="V31" i="26"/>
  <c r="W31" i="26"/>
  <c r="X31" i="26"/>
  <c r="Y31" i="26"/>
  <c r="Z31" i="26"/>
  <c r="AA31" i="26"/>
  <c r="AB31" i="26"/>
  <c r="AC31" i="26"/>
  <c r="AD31" i="26"/>
  <c r="AE31" i="26"/>
  <c r="AF31" i="26"/>
  <c r="AG31" i="26"/>
  <c r="AH31" i="26"/>
  <c r="K32" i="26"/>
  <c r="L32" i="26"/>
  <c r="M32" i="26"/>
  <c r="N32" i="26"/>
  <c r="O32" i="26"/>
  <c r="P32" i="26"/>
  <c r="Q32" i="26"/>
  <c r="R32" i="26"/>
  <c r="S32" i="26"/>
  <c r="T32" i="26"/>
  <c r="U32" i="26"/>
  <c r="V32" i="26"/>
  <c r="W32" i="26"/>
  <c r="X32" i="26"/>
  <c r="Y32" i="26"/>
  <c r="Z32" i="26"/>
  <c r="AA32" i="26"/>
  <c r="AB32" i="26"/>
  <c r="AC32" i="26"/>
  <c r="AD32" i="26"/>
  <c r="AE32" i="26"/>
  <c r="AF32" i="26"/>
  <c r="AG32" i="26"/>
  <c r="AH32" i="26"/>
  <c r="K33" i="26"/>
  <c r="L33" i="26"/>
  <c r="M33" i="26"/>
  <c r="N33" i="26"/>
  <c r="O33" i="26"/>
  <c r="P33" i="26"/>
  <c r="Q33" i="26"/>
  <c r="R33" i="26"/>
  <c r="S33" i="26"/>
  <c r="T33" i="26"/>
  <c r="U33" i="26"/>
  <c r="V33" i="26"/>
  <c r="W33" i="26"/>
  <c r="X33" i="26"/>
  <c r="Y33" i="26"/>
  <c r="Z33" i="26"/>
  <c r="AA33" i="26"/>
  <c r="AB33" i="26"/>
  <c r="AC33" i="26"/>
  <c r="AD33" i="26"/>
  <c r="AE33" i="26"/>
  <c r="AF33" i="26"/>
  <c r="AG33" i="26"/>
  <c r="AH33" i="26"/>
  <c r="K34" i="26"/>
  <c r="L34" i="26"/>
  <c r="M34" i="26"/>
  <c r="N34" i="26"/>
  <c r="O34" i="26"/>
  <c r="P34" i="26"/>
  <c r="Q34" i="26"/>
  <c r="R34" i="26"/>
  <c r="S34" i="26"/>
  <c r="T34" i="26"/>
  <c r="U34" i="26"/>
  <c r="V34" i="26"/>
  <c r="W34" i="26"/>
  <c r="X34" i="26"/>
  <c r="Y34" i="26"/>
  <c r="Z34" i="26"/>
  <c r="AA34" i="26"/>
  <c r="AB34" i="26"/>
  <c r="AC34" i="26"/>
  <c r="AD34" i="26"/>
  <c r="AE34" i="26"/>
  <c r="AF34" i="26"/>
  <c r="AG34" i="26"/>
  <c r="AH34" i="26"/>
  <c r="K35" i="26"/>
  <c r="L35" i="26"/>
  <c r="M35" i="26"/>
  <c r="N35" i="26"/>
  <c r="O35" i="26"/>
  <c r="P35" i="26"/>
  <c r="Q35" i="26"/>
  <c r="R35" i="26"/>
  <c r="S35" i="26"/>
  <c r="T35" i="26"/>
  <c r="U35" i="26"/>
  <c r="V35" i="26"/>
  <c r="W35" i="26"/>
  <c r="X35" i="26"/>
  <c r="Y35" i="26"/>
  <c r="Z35" i="26"/>
  <c r="AA35" i="26"/>
  <c r="AB35" i="26"/>
  <c r="AC35" i="26"/>
  <c r="AD35" i="26"/>
  <c r="AE35" i="26"/>
  <c r="AF35" i="26"/>
  <c r="AG35" i="26"/>
  <c r="AH35" i="26"/>
  <c r="K36" i="26"/>
  <c r="L36" i="26"/>
  <c r="M36" i="26"/>
  <c r="N36" i="26"/>
  <c r="O36" i="26"/>
  <c r="P36" i="26"/>
  <c r="Q36" i="26"/>
  <c r="R36" i="26"/>
  <c r="S36" i="26"/>
  <c r="T36" i="26"/>
  <c r="U36" i="26"/>
  <c r="V36" i="26"/>
  <c r="W36" i="26"/>
  <c r="X36" i="26"/>
  <c r="Y36" i="26"/>
  <c r="Z36" i="26"/>
  <c r="AA36" i="26"/>
  <c r="AB36" i="26"/>
  <c r="AC36" i="26"/>
  <c r="AD36" i="26"/>
  <c r="AE36" i="26"/>
  <c r="AF36" i="26"/>
  <c r="AG36" i="26"/>
  <c r="AH36" i="26"/>
  <c r="K37" i="26"/>
  <c r="L37" i="26"/>
  <c r="M37" i="26"/>
  <c r="N37" i="26"/>
  <c r="O37" i="26"/>
  <c r="P37" i="26"/>
  <c r="Q37" i="26"/>
  <c r="R37" i="26"/>
  <c r="S37" i="26"/>
  <c r="T37" i="26"/>
  <c r="U37" i="26"/>
  <c r="V37" i="26"/>
  <c r="W37" i="26"/>
  <c r="X37" i="26"/>
  <c r="Y37" i="26"/>
  <c r="Z37" i="26"/>
  <c r="AA37" i="26"/>
  <c r="AB37" i="26"/>
  <c r="AC37" i="26"/>
  <c r="AD37" i="26"/>
  <c r="AE37" i="26"/>
  <c r="AF37" i="26"/>
  <c r="AG37" i="26"/>
  <c r="AH37" i="26"/>
  <c r="K38" i="26"/>
  <c r="L38" i="26"/>
  <c r="M38" i="26"/>
  <c r="N38" i="26"/>
  <c r="O38" i="26"/>
  <c r="P38" i="26"/>
  <c r="Q38" i="26"/>
  <c r="R38" i="26"/>
  <c r="S38" i="26"/>
  <c r="T38" i="26"/>
  <c r="U38" i="26"/>
  <c r="V38" i="26"/>
  <c r="W38" i="26"/>
  <c r="X38" i="26"/>
  <c r="Y38" i="26"/>
  <c r="Z38" i="26"/>
  <c r="AA38" i="26"/>
  <c r="AB38" i="26"/>
  <c r="AC38" i="26"/>
  <c r="AD38" i="26"/>
  <c r="AE38" i="26"/>
  <c r="AF38" i="26"/>
  <c r="AG38" i="26"/>
  <c r="AH38" i="26"/>
  <c r="K39" i="26"/>
  <c r="L39" i="26"/>
  <c r="M39" i="26"/>
  <c r="N39" i="26"/>
  <c r="O39" i="26"/>
  <c r="P39" i="26"/>
  <c r="Q39" i="26"/>
  <c r="R39" i="26"/>
  <c r="S39" i="26"/>
  <c r="T39" i="26"/>
  <c r="U39" i="26"/>
  <c r="V39" i="26"/>
  <c r="W39" i="26"/>
  <c r="X39" i="26"/>
  <c r="Y39" i="26"/>
  <c r="Z39" i="26"/>
  <c r="AA39" i="26"/>
  <c r="AB39" i="26"/>
  <c r="AC39" i="26"/>
  <c r="AD39" i="26"/>
  <c r="AE39" i="26"/>
  <c r="AF39" i="26"/>
  <c r="AG39" i="26"/>
  <c r="AH39" i="26"/>
  <c r="K40" i="26"/>
  <c r="L40" i="26"/>
  <c r="M40" i="26"/>
  <c r="N40" i="26"/>
  <c r="O40" i="26"/>
  <c r="P40" i="26"/>
  <c r="Q40" i="26"/>
  <c r="R40" i="26"/>
  <c r="S40" i="26"/>
  <c r="T40" i="26"/>
  <c r="U40" i="26"/>
  <c r="V40" i="26"/>
  <c r="W40" i="26"/>
  <c r="X40" i="26"/>
  <c r="Y40" i="26"/>
  <c r="Z40" i="26"/>
  <c r="AA40" i="26"/>
  <c r="AB40" i="26"/>
  <c r="AC40" i="26"/>
  <c r="AD40" i="26"/>
  <c r="AE40" i="26"/>
  <c r="AF40" i="26"/>
  <c r="AG40" i="26"/>
  <c r="AH40" i="26"/>
  <c r="K41" i="26"/>
  <c r="L41" i="26"/>
  <c r="M41" i="26"/>
  <c r="N41" i="26"/>
  <c r="O41" i="26"/>
  <c r="P41" i="26"/>
  <c r="Q41" i="26"/>
  <c r="R41" i="26"/>
  <c r="S41" i="26"/>
  <c r="T41" i="26"/>
  <c r="U41" i="26"/>
  <c r="V41" i="26"/>
  <c r="W41" i="26"/>
  <c r="X41" i="26"/>
  <c r="Y41" i="26"/>
  <c r="Z41" i="26"/>
  <c r="AA41" i="26"/>
  <c r="AB41" i="26"/>
  <c r="AC41" i="26"/>
  <c r="AD41" i="26"/>
  <c r="AE41" i="26"/>
  <c r="AF41" i="26"/>
  <c r="AG41" i="26"/>
  <c r="AH41" i="26"/>
  <c r="K42" i="26"/>
  <c r="L42" i="26"/>
  <c r="M42" i="26"/>
  <c r="N42" i="26"/>
  <c r="O42" i="26"/>
  <c r="P42" i="26"/>
  <c r="Q42" i="26"/>
  <c r="R42" i="26"/>
  <c r="S42" i="26"/>
  <c r="T42" i="26"/>
  <c r="U42" i="26"/>
  <c r="V42" i="26"/>
  <c r="W42" i="26"/>
  <c r="X42" i="26"/>
  <c r="Y42" i="26"/>
  <c r="Z42" i="26"/>
  <c r="AA42" i="26"/>
  <c r="AB42" i="26"/>
  <c r="AC42" i="26"/>
  <c r="AD42" i="26"/>
  <c r="AE42" i="26"/>
  <c r="AF42" i="26"/>
  <c r="AG42" i="26"/>
  <c r="AH42" i="26"/>
  <c r="K43" i="26"/>
  <c r="L43" i="26"/>
  <c r="M43" i="26"/>
  <c r="N43" i="26"/>
  <c r="O43" i="26"/>
  <c r="P43" i="26"/>
  <c r="Q43" i="26"/>
  <c r="R43" i="26"/>
  <c r="S43" i="26"/>
  <c r="T43" i="26"/>
  <c r="U43" i="26"/>
  <c r="V43" i="26"/>
  <c r="W43" i="26"/>
  <c r="X43" i="26"/>
  <c r="Y43" i="26"/>
  <c r="Z43" i="26"/>
  <c r="AA43" i="26"/>
  <c r="AB43" i="26"/>
  <c r="AC43" i="26"/>
  <c r="AD43" i="26"/>
  <c r="AE43" i="26"/>
  <c r="AF43" i="26"/>
  <c r="AG43" i="26"/>
  <c r="AH43" i="26"/>
  <c r="K44" i="26"/>
  <c r="L44" i="26"/>
  <c r="M44" i="26"/>
  <c r="N44" i="26"/>
  <c r="O44" i="26"/>
  <c r="P44" i="26"/>
  <c r="Q44" i="26"/>
  <c r="R44" i="26"/>
  <c r="S44" i="26"/>
  <c r="T44" i="26"/>
  <c r="U44" i="26"/>
  <c r="V44" i="26"/>
  <c r="W44" i="26"/>
  <c r="X44" i="26"/>
  <c r="Y44" i="26"/>
  <c r="Z44" i="26"/>
  <c r="AA44" i="26"/>
  <c r="AB44" i="26"/>
  <c r="AC44" i="26"/>
  <c r="AD44" i="26"/>
  <c r="AE44" i="26"/>
  <c r="AF44" i="26"/>
  <c r="AG44" i="26"/>
  <c r="AH44" i="26"/>
  <c r="K45" i="26"/>
  <c r="L45" i="26"/>
  <c r="M45" i="26"/>
  <c r="N45" i="26"/>
  <c r="O45" i="26"/>
  <c r="P45" i="26"/>
  <c r="Q45" i="26"/>
  <c r="R45" i="26"/>
  <c r="S45" i="26"/>
  <c r="T45" i="26"/>
  <c r="U45" i="26"/>
  <c r="V45" i="26"/>
  <c r="W45" i="26"/>
  <c r="X45" i="26"/>
  <c r="Y45" i="26"/>
  <c r="Z45" i="26"/>
  <c r="AA45" i="26"/>
  <c r="AB45" i="26"/>
  <c r="AC45" i="26"/>
  <c r="AD45" i="26"/>
  <c r="AE45" i="26"/>
  <c r="AF45" i="26"/>
  <c r="AG45" i="26"/>
  <c r="AH45" i="26"/>
  <c r="K46" i="26"/>
  <c r="L46" i="26"/>
  <c r="M46" i="26"/>
  <c r="N46" i="26"/>
  <c r="O46" i="26"/>
  <c r="P46" i="26"/>
  <c r="Q46" i="26"/>
  <c r="R46" i="26"/>
  <c r="S46" i="26"/>
  <c r="T46" i="26"/>
  <c r="U46" i="26"/>
  <c r="V46" i="26"/>
  <c r="W46" i="26"/>
  <c r="X46" i="26"/>
  <c r="Y46" i="26"/>
  <c r="Z46" i="26"/>
  <c r="AA46" i="26"/>
  <c r="AB46" i="26"/>
  <c r="AC46" i="26"/>
  <c r="AD46" i="26"/>
  <c r="AE46" i="26"/>
  <c r="AF46" i="26"/>
  <c r="AG46" i="26"/>
  <c r="AH46" i="26"/>
  <c r="K47" i="26"/>
  <c r="L47" i="26"/>
  <c r="M47" i="26"/>
  <c r="N47" i="26"/>
  <c r="O47" i="26"/>
  <c r="P47" i="26"/>
  <c r="Q47" i="26"/>
  <c r="R47" i="26"/>
  <c r="S47" i="26"/>
  <c r="T47" i="26"/>
  <c r="U47" i="26"/>
  <c r="V47" i="26"/>
  <c r="W47" i="26"/>
  <c r="X47" i="26"/>
  <c r="Y47" i="26"/>
  <c r="Z47" i="26"/>
  <c r="AA47" i="26"/>
  <c r="AB47" i="26"/>
  <c r="AC47" i="26"/>
  <c r="AD47" i="26"/>
  <c r="AE47" i="26"/>
  <c r="AF47" i="26"/>
  <c r="AG47" i="26"/>
  <c r="AH47" i="26"/>
  <c r="K48" i="26"/>
  <c r="L48" i="26"/>
  <c r="M48" i="26"/>
  <c r="N48" i="26"/>
  <c r="O48" i="26"/>
  <c r="P48" i="26"/>
  <c r="Q48" i="26"/>
  <c r="R48" i="26"/>
  <c r="S48" i="26"/>
  <c r="T48" i="26"/>
  <c r="U48" i="26"/>
  <c r="V48" i="26"/>
  <c r="W48" i="26"/>
  <c r="X48" i="26"/>
  <c r="Y48" i="26"/>
  <c r="Z48" i="26"/>
  <c r="AA48" i="26"/>
  <c r="AB48" i="26"/>
  <c r="AC48" i="26"/>
  <c r="AD48" i="26"/>
  <c r="AE48" i="26"/>
  <c r="AF48" i="26"/>
  <c r="AG48" i="26"/>
  <c r="AH48" i="26"/>
  <c r="K49" i="26"/>
  <c r="L49" i="26"/>
  <c r="M49" i="26"/>
  <c r="N49" i="26"/>
  <c r="O49" i="26"/>
  <c r="P49" i="26"/>
  <c r="Q49" i="26"/>
  <c r="R49" i="26"/>
  <c r="S49" i="26"/>
  <c r="T49" i="26"/>
  <c r="U49" i="26"/>
  <c r="V49" i="26"/>
  <c r="W49" i="26"/>
  <c r="X49" i="26"/>
  <c r="Y49" i="26"/>
  <c r="Z49" i="26"/>
  <c r="AA49" i="26"/>
  <c r="AB49" i="26"/>
  <c r="AC49" i="26"/>
  <c r="AD49" i="26"/>
  <c r="AE49" i="26"/>
  <c r="AF49" i="26"/>
  <c r="AG49" i="26"/>
  <c r="AH49" i="26"/>
  <c r="K50" i="26"/>
  <c r="L50" i="26"/>
  <c r="M50" i="26"/>
  <c r="N50" i="26"/>
  <c r="O50" i="26"/>
  <c r="P50" i="26"/>
  <c r="Q50" i="26"/>
  <c r="R50" i="26"/>
  <c r="S50" i="26"/>
  <c r="T50" i="26"/>
  <c r="U50" i="26"/>
  <c r="V50" i="26"/>
  <c r="W50" i="26"/>
  <c r="X50" i="26"/>
  <c r="Y50" i="26"/>
  <c r="Z50" i="26"/>
  <c r="AA50" i="26"/>
  <c r="AB50" i="26"/>
  <c r="AC50" i="26"/>
  <c r="AD50" i="26"/>
  <c r="AE50" i="26"/>
  <c r="AF50" i="26"/>
  <c r="AG50" i="26"/>
  <c r="AH50" i="26"/>
  <c r="K51" i="26"/>
  <c r="L51" i="26"/>
  <c r="M51" i="26"/>
  <c r="N51" i="26"/>
  <c r="O51" i="26"/>
  <c r="P51" i="26"/>
  <c r="Q51" i="26"/>
  <c r="R51" i="26"/>
  <c r="S51" i="26"/>
  <c r="T51" i="26"/>
  <c r="U51" i="26"/>
  <c r="V51" i="26"/>
  <c r="W51" i="26"/>
  <c r="X51" i="26"/>
  <c r="Y51" i="26"/>
  <c r="Z51" i="26"/>
  <c r="AA51" i="26"/>
  <c r="AB51" i="26"/>
  <c r="AC51" i="26"/>
  <c r="AD51" i="26"/>
  <c r="AE51" i="26"/>
  <c r="AF51" i="26"/>
  <c r="AG51" i="26"/>
  <c r="AH51" i="26"/>
  <c r="K52" i="26"/>
  <c r="L52" i="26"/>
  <c r="M52" i="26"/>
  <c r="N52" i="26"/>
  <c r="O52" i="26"/>
  <c r="P52" i="26"/>
  <c r="Q52" i="26"/>
  <c r="R52" i="26"/>
  <c r="S52" i="26"/>
  <c r="T52" i="26"/>
  <c r="U52" i="26"/>
  <c r="V52" i="26"/>
  <c r="W52" i="26"/>
  <c r="X52" i="26"/>
  <c r="Y52" i="26"/>
  <c r="Z52" i="26"/>
  <c r="AA52" i="26"/>
  <c r="AB52" i="26"/>
  <c r="AC52" i="26"/>
  <c r="AD52" i="26"/>
  <c r="AE52" i="26"/>
  <c r="AF52" i="26"/>
  <c r="AG52" i="26"/>
  <c r="AH52" i="26"/>
  <c r="K53" i="26"/>
  <c r="L53" i="26"/>
  <c r="M53" i="26"/>
  <c r="N53" i="26"/>
  <c r="O53" i="26"/>
  <c r="P53" i="26"/>
  <c r="Q53" i="26"/>
  <c r="R53" i="26"/>
  <c r="S53" i="26"/>
  <c r="T53" i="26"/>
  <c r="U53" i="26"/>
  <c r="V53" i="26"/>
  <c r="W53" i="26"/>
  <c r="X53" i="26"/>
  <c r="Y53" i="26"/>
  <c r="Z53" i="26"/>
  <c r="AA53" i="26"/>
  <c r="AB53" i="26"/>
  <c r="AC53" i="26"/>
  <c r="AD53" i="26"/>
  <c r="AE53" i="26"/>
  <c r="AF53" i="26"/>
  <c r="AG53" i="26"/>
  <c r="AH53" i="26"/>
  <c r="K54" i="26"/>
  <c r="L54" i="26"/>
  <c r="M54" i="26"/>
  <c r="N54" i="26"/>
  <c r="O54" i="26"/>
  <c r="P54" i="26"/>
  <c r="Q54" i="26"/>
  <c r="R54" i="26"/>
  <c r="S54" i="26"/>
  <c r="T54" i="26"/>
  <c r="U54" i="26"/>
  <c r="V54" i="26"/>
  <c r="W54" i="26"/>
  <c r="X54" i="26"/>
  <c r="Y54" i="26"/>
  <c r="Z54" i="26"/>
  <c r="AA54" i="26"/>
  <c r="AB54" i="26"/>
  <c r="AC54" i="26"/>
  <c r="AD54" i="26"/>
  <c r="AE54" i="26"/>
  <c r="AF54" i="26"/>
  <c r="AG54" i="26"/>
  <c r="AH54" i="26"/>
  <c r="K55" i="26"/>
  <c r="L55" i="26"/>
  <c r="M55" i="26"/>
  <c r="N55" i="26"/>
  <c r="O55" i="26"/>
  <c r="P55" i="26"/>
  <c r="Q55" i="26"/>
  <c r="R55" i="26"/>
  <c r="S55" i="26"/>
  <c r="T55" i="26"/>
  <c r="U55" i="26"/>
  <c r="V55" i="26"/>
  <c r="W55" i="26"/>
  <c r="X55" i="26"/>
  <c r="Y55" i="26"/>
  <c r="Z55" i="26"/>
  <c r="AA55" i="26"/>
  <c r="AB55" i="26"/>
  <c r="AC55" i="26"/>
  <c r="AD55" i="26"/>
  <c r="AE55" i="26"/>
  <c r="AF55" i="26"/>
  <c r="AG55" i="26"/>
  <c r="AH55" i="26"/>
  <c r="K56" i="26"/>
  <c r="L56" i="26"/>
  <c r="M56" i="26"/>
  <c r="N56" i="26"/>
  <c r="O56" i="26"/>
  <c r="P56" i="26"/>
  <c r="Q56" i="26"/>
  <c r="R56" i="26"/>
  <c r="S56" i="26"/>
  <c r="T56" i="26"/>
  <c r="U56" i="26"/>
  <c r="V56" i="26"/>
  <c r="W56" i="26"/>
  <c r="X56" i="26"/>
  <c r="Y56" i="26"/>
  <c r="Z56" i="26"/>
  <c r="AA56" i="26"/>
  <c r="AB56" i="26"/>
  <c r="AC56" i="26"/>
  <c r="AD56" i="26"/>
  <c r="AE56" i="26"/>
  <c r="AF56" i="26"/>
  <c r="AG56" i="26"/>
  <c r="AH56" i="26"/>
  <c r="K57" i="26"/>
  <c r="L57" i="26"/>
  <c r="M57" i="26"/>
  <c r="N57" i="26"/>
  <c r="O57" i="26"/>
  <c r="P57" i="26"/>
  <c r="Q57" i="26"/>
  <c r="R57" i="26"/>
  <c r="S57" i="26"/>
  <c r="T57" i="26"/>
  <c r="U57" i="26"/>
  <c r="V57" i="26"/>
  <c r="W57" i="26"/>
  <c r="X57" i="26"/>
  <c r="Y57" i="26"/>
  <c r="Z57" i="26"/>
  <c r="AA57" i="26"/>
  <c r="AB57" i="26"/>
  <c r="AC57" i="26"/>
  <c r="AD57" i="26"/>
  <c r="AE57" i="26"/>
  <c r="AF57" i="26"/>
  <c r="AG57" i="26"/>
  <c r="AH57" i="26"/>
  <c r="K58" i="26"/>
  <c r="L58" i="26"/>
  <c r="M58" i="26"/>
  <c r="N58" i="26"/>
  <c r="O58" i="26"/>
  <c r="P58" i="26"/>
  <c r="Q58" i="26"/>
  <c r="R58" i="26"/>
  <c r="S58" i="26"/>
  <c r="T58" i="26"/>
  <c r="U58" i="26"/>
  <c r="V58" i="26"/>
  <c r="W58" i="26"/>
  <c r="X58" i="26"/>
  <c r="Y58" i="26"/>
  <c r="Z58" i="26"/>
  <c r="AA58" i="26"/>
  <c r="AB58" i="26"/>
  <c r="AC58" i="26"/>
  <c r="AD58" i="26"/>
  <c r="AE58" i="26"/>
  <c r="AF58" i="26"/>
  <c r="AG58" i="26"/>
  <c r="AH58" i="26"/>
  <c r="K59" i="26"/>
  <c r="L59" i="26"/>
  <c r="M59" i="26"/>
  <c r="N59" i="26"/>
  <c r="O59" i="26"/>
  <c r="P59" i="26"/>
  <c r="Q59" i="26"/>
  <c r="R59" i="26"/>
  <c r="S59" i="26"/>
  <c r="T59" i="26"/>
  <c r="U59" i="26"/>
  <c r="V59" i="26"/>
  <c r="W59" i="26"/>
  <c r="X59" i="26"/>
  <c r="Y59" i="26"/>
  <c r="Z59" i="26"/>
  <c r="AA59" i="26"/>
  <c r="AB59" i="26"/>
  <c r="AC59" i="26"/>
  <c r="AD59" i="26"/>
  <c r="AE59" i="26"/>
  <c r="AF59" i="26"/>
  <c r="AG59" i="26"/>
  <c r="AH59" i="26"/>
  <c r="K60" i="26"/>
  <c r="L60" i="26"/>
  <c r="M60" i="26"/>
  <c r="N60" i="26"/>
  <c r="O60" i="26"/>
  <c r="P60" i="26"/>
  <c r="Q60" i="26"/>
  <c r="R60" i="26"/>
  <c r="S60" i="26"/>
  <c r="T60" i="26"/>
  <c r="U60" i="26"/>
  <c r="V60" i="26"/>
  <c r="W60" i="26"/>
  <c r="X60" i="26"/>
  <c r="Y60" i="26"/>
  <c r="Z60" i="26"/>
  <c r="AA60" i="26"/>
  <c r="AB60" i="26"/>
  <c r="AC60" i="26"/>
  <c r="AD60" i="26"/>
  <c r="AE60" i="26"/>
  <c r="AF60" i="26"/>
  <c r="AG60" i="26"/>
  <c r="AH60" i="26"/>
  <c r="K61" i="26"/>
  <c r="L61" i="26"/>
  <c r="M61" i="26"/>
  <c r="N61" i="26"/>
  <c r="O61" i="26"/>
  <c r="P61" i="26"/>
  <c r="Q61" i="26"/>
  <c r="R61" i="26"/>
  <c r="S61" i="26"/>
  <c r="T61" i="26"/>
  <c r="U61" i="26"/>
  <c r="V61" i="26"/>
  <c r="W61" i="26"/>
  <c r="X61" i="26"/>
  <c r="Y61" i="26"/>
  <c r="Z61" i="26"/>
  <c r="AA61" i="26"/>
  <c r="AB61" i="26"/>
  <c r="AC61" i="26"/>
  <c r="AD61" i="26"/>
  <c r="AE61" i="26"/>
  <c r="AF61" i="26"/>
  <c r="AG61" i="26"/>
  <c r="AH61" i="26"/>
  <c r="K62" i="26"/>
  <c r="L62" i="26"/>
  <c r="M62" i="26"/>
  <c r="N62" i="26"/>
  <c r="O62" i="26"/>
  <c r="P62" i="26"/>
  <c r="Q62" i="26"/>
  <c r="R62" i="26"/>
  <c r="S62" i="26"/>
  <c r="T62" i="26"/>
  <c r="U62" i="26"/>
  <c r="V62" i="26"/>
  <c r="W62" i="26"/>
  <c r="X62" i="26"/>
  <c r="Y62" i="26"/>
  <c r="Z62" i="26"/>
  <c r="AA62" i="26"/>
  <c r="AB62" i="26"/>
  <c r="AC62" i="26"/>
  <c r="AD62" i="26"/>
  <c r="AE62" i="26"/>
  <c r="AF62" i="26"/>
  <c r="AG62" i="26"/>
  <c r="AH62" i="26"/>
  <c r="K63" i="26"/>
  <c r="L63" i="26"/>
  <c r="M63" i="26"/>
  <c r="N63" i="26"/>
  <c r="O63" i="26"/>
  <c r="P63" i="26"/>
  <c r="Q63" i="26"/>
  <c r="R63" i="26"/>
  <c r="S63" i="26"/>
  <c r="T63" i="26"/>
  <c r="U63" i="26"/>
  <c r="V63" i="26"/>
  <c r="W63" i="26"/>
  <c r="X63" i="26"/>
  <c r="Y63" i="26"/>
  <c r="Z63" i="26"/>
  <c r="AA63" i="26"/>
  <c r="AB63" i="26"/>
  <c r="AC63" i="26"/>
  <c r="AD63" i="26"/>
  <c r="AE63" i="26"/>
  <c r="AF63" i="26"/>
  <c r="AG63" i="26"/>
  <c r="AH63" i="26"/>
  <c r="K64" i="26"/>
  <c r="L64" i="26"/>
  <c r="M64" i="26"/>
  <c r="N64" i="26"/>
  <c r="O64" i="26"/>
  <c r="P64" i="26"/>
  <c r="Q64" i="26"/>
  <c r="R64" i="26"/>
  <c r="S64" i="26"/>
  <c r="T64" i="26"/>
  <c r="U64" i="26"/>
  <c r="V64" i="26"/>
  <c r="W64" i="26"/>
  <c r="X64" i="26"/>
  <c r="Y64" i="26"/>
  <c r="Z64" i="26"/>
  <c r="AA64" i="26"/>
  <c r="AB64" i="26"/>
  <c r="AC64" i="26"/>
  <c r="AD64" i="26"/>
  <c r="AE64" i="26"/>
  <c r="AF64" i="26"/>
  <c r="AG64" i="26"/>
  <c r="AH64" i="26"/>
  <c r="K65" i="26"/>
  <c r="L65" i="26"/>
  <c r="M65" i="26"/>
  <c r="N65" i="26"/>
  <c r="O65" i="26"/>
  <c r="P65" i="26"/>
  <c r="Q65" i="26"/>
  <c r="R65" i="26"/>
  <c r="S65" i="26"/>
  <c r="T65" i="26"/>
  <c r="U65" i="26"/>
  <c r="V65" i="26"/>
  <c r="W65" i="26"/>
  <c r="X65" i="26"/>
  <c r="Y65" i="26"/>
  <c r="Z65" i="26"/>
  <c r="AA65" i="26"/>
  <c r="AB65" i="26"/>
  <c r="AC65" i="26"/>
  <c r="AD65" i="26"/>
  <c r="AE65" i="26"/>
  <c r="AF65" i="26"/>
  <c r="AG65" i="26"/>
  <c r="AH65" i="26"/>
  <c r="K66" i="26"/>
  <c r="L66" i="26"/>
  <c r="M66" i="26"/>
  <c r="N66" i="26"/>
  <c r="O66" i="26"/>
  <c r="P66" i="26"/>
  <c r="Q66" i="26"/>
  <c r="R66" i="26"/>
  <c r="S66" i="26"/>
  <c r="T66" i="26"/>
  <c r="U66" i="26"/>
  <c r="V66" i="26"/>
  <c r="W66" i="26"/>
  <c r="X66" i="26"/>
  <c r="Y66" i="26"/>
  <c r="Z66" i="26"/>
  <c r="AA66" i="26"/>
  <c r="AB66" i="26"/>
  <c r="AC66" i="26"/>
  <c r="AD66" i="26"/>
  <c r="AE66" i="26"/>
  <c r="AF66" i="26"/>
  <c r="AG66" i="26"/>
  <c r="AH66" i="26"/>
  <c r="K67" i="26"/>
  <c r="L67" i="26"/>
  <c r="M67" i="26"/>
  <c r="N67" i="26"/>
  <c r="O67" i="26"/>
  <c r="P67" i="26"/>
  <c r="Q67" i="26"/>
  <c r="R67" i="26"/>
  <c r="S67" i="26"/>
  <c r="T67" i="26"/>
  <c r="U67" i="26"/>
  <c r="V67" i="26"/>
  <c r="W67" i="26"/>
  <c r="X67" i="26"/>
  <c r="Y67" i="26"/>
  <c r="Z67" i="26"/>
  <c r="AA67" i="26"/>
  <c r="AB67" i="26"/>
  <c r="AC67" i="26"/>
  <c r="AD67" i="26"/>
  <c r="AE67" i="26"/>
  <c r="AF67" i="26"/>
  <c r="AG67" i="26"/>
  <c r="AH67" i="26"/>
  <c r="K68" i="26"/>
  <c r="L68" i="26"/>
  <c r="M68" i="26"/>
  <c r="N68" i="26"/>
  <c r="O68" i="26"/>
  <c r="P68" i="26"/>
  <c r="Q68" i="26"/>
  <c r="R68" i="26"/>
  <c r="S68" i="26"/>
  <c r="T68" i="26"/>
  <c r="U68" i="26"/>
  <c r="V68" i="26"/>
  <c r="W68" i="26"/>
  <c r="X68" i="26"/>
  <c r="Y68" i="26"/>
  <c r="Z68" i="26"/>
  <c r="AA68" i="26"/>
  <c r="AB68" i="26"/>
  <c r="AC68" i="26"/>
  <c r="AD68" i="26"/>
  <c r="AE68" i="26"/>
  <c r="AF68" i="26"/>
  <c r="AG68" i="26"/>
  <c r="AH68" i="26"/>
  <c r="K69" i="26"/>
  <c r="L69" i="26"/>
  <c r="M69" i="26"/>
  <c r="N69" i="26"/>
  <c r="O69" i="26"/>
  <c r="P69" i="26"/>
  <c r="Q69" i="26"/>
  <c r="R69" i="26"/>
  <c r="S69" i="26"/>
  <c r="T69" i="26"/>
  <c r="U69" i="26"/>
  <c r="V69" i="26"/>
  <c r="W69" i="26"/>
  <c r="X69" i="26"/>
  <c r="Y69" i="26"/>
  <c r="Z69" i="26"/>
  <c r="AA69" i="26"/>
  <c r="AB69" i="26"/>
  <c r="AC69" i="26"/>
  <c r="AD69" i="26"/>
  <c r="AE69" i="26"/>
  <c r="AF69" i="26"/>
  <c r="AG69" i="26"/>
  <c r="AH69" i="26"/>
  <c r="K70" i="26"/>
  <c r="L70" i="26"/>
  <c r="M70" i="26"/>
  <c r="N70" i="26"/>
  <c r="O70" i="26"/>
  <c r="P70" i="26"/>
  <c r="Q70" i="26"/>
  <c r="R70" i="26"/>
  <c r="S70" i="26"/>
  <c r="T70" i="26"/>
  <c r="U70" i="26"/>
  <c r="V70" i="26"/>
  <c r="W70" i="26"/>
  <c r="X70" i="26"/>
  <c r="Y70" i="26"/>
  <c r="Z70" i="26"/>
  <c r="AA70" i="26"/>
  <c r="AB70" i="26"/>
  <c r="AC70" i="26"/>
  <c r="AD70" i="26"/>
  <c r="AE70" i="26"/>
  <c r="AF70" i="26"/>
  <c r="AG70" i="26"/>
  <c r="AH70" i="26"/>
  <c r="K71" i="26"/>
  <c r="L71" i="26"/>
  <c r="M71" i="26"/>
  <c r="N71" i="26"/>
  <c r="O71" i="26"/>
  <c r="P71" i="26"/>
  <c r="Q71" i="26"/>
  <c r="R71" i="26"/>
  <c r="S71" i="26"/>
  <c r="T71" i="26"/>
  <c r="U71" i="26"/>
  <c r="V71" i="26"/>
  <c r="W71" i="26"/>
  <c r="X71" i="26"/>
  <c r="Y71" i="26"/>
  <c r="Z71" i="26"/>
  <c r="AA71" i="26"/>
  <c r="AB71" i="26"/>
  <c r="AC71" i="26"/>
  <c r="AD71" i="26"/>
  <c r="AE71" i="26"/>
  <c r="AF71" i="26"/>
  <c r="AG71" i="26"/>
  <c r="AH71" i="26"/>
  <c r="K72" i="26"/>
  <c r="L72" i="26"/>
  <c r="M72" i="26"/>
  <c r="N72" i="26"/>
  <c r="O72" i="26"/>
  <c r="P72" i="26"/>
  <c r="Q72" i="26"/>
  <c r="R72" i="26"/>
  <c r="S72" i="26"/>
  <c r="T72" i="26"/>
  <c r="U72" i="26"/>
  <c r="V72" i="26"/>
  <c r="W72" i="26"/>
  <c r="X72" i="26"/>
  <c r="Y72" i="26"/>
  <c r="Z72" i="26"/>
  <c r="AA72" i="26"/>
  <c r="AB72" i="26"/>
  <c r="AC72" i="26"/>
  <c r="AD72" i="26"/>
  <c r="AE72" i="26"/>
  <c r="AF72" i="26"/>
  <c r="AG72" i="26"/>
  <c r="AH72" i="26"/>
  <c r="K73" i="26"/>
  <c r="L73" i="26"/>
  <c r="M73" i="26"/>
  <c r="N73" i="26"/>
  <c r="O73" i="26"/>
  <c r="P73" i="26"/>
  <c r="Q73" i="26"/>
  <c r="R73" i="26"/>
  <c r="S73" i="26"/>
  <c r="T73" i="26"/>
  <c r="U73" i="26"/>
  <c r="V73" i="26"/>
  <c r="W73" i="26"/>
  <c r="X73" i="26"/>
  <c r="Y73" i="26"/>
  <c r="Z73" i="26"/>
  <c r="AA73" i="26"/>
  <c r="AB73" i="26"/>
  <c r="AC73" i="26"/>
  <c r="AD73" i="26"/>
  <c r="AE73" i="26"/>
  <c r="AF73" i="26"/>
  <c r="AG73" i="26"/>
  <c r="AH73" i="26"/>
  <c r="K74" i="26"/>
  <c r="L74" i="26"/>
  <c r="M74" i="26"/>
  <c r="N74" i="26"/>
  <c r="O74" i="26"/>
  <c r="P74" i="26"/>
  <c r="Q74" i="26"/>
  <c r="R74" i="26"/>
  <c r="S74" i="26"/>
  <c r="T74" i="26"/>
  <c r="U74" i="26"/>
  <c r="V74" i="26"/>
  <c r="W74" i="26"/>
  <c r="X74" i="26"/>
  <c r="Y74" i="26"/>
  <c r="Z74" i="26"/>
  <c r="AA74" i="26"/>
  <c r="AB74" i="26"/>
  <c r="AC74" i="26"/>
  <c r="AD74" i="26"/>
  <c r="AE74" i="26"/>
  <c r="AF74" i="26"/>
  <c r="AG74" i="26"/>
  <c r="AH74" i="26"/>
  <c r="K75" i="26"/>
  <c r="L75" i="26"/>
  <c r="M75" i="26"/>
  <c r="N75" i="26"/>
  <c r="O75" i="26"/>
  <c r="P75" i="26"/>
  <c r="Q75" i="26"/>
  <c r="R75" i="26"/>
  <c r="S75" i="26"/>
  <c r="T75" i="26"/>
  <c r="U75" i="26"/>
  <c r="V75" i="26"/>
  <c r="W75" i="26"/>
  <c r="X75" i="26"/>
  <c r="Y75" i="26"/>
  <c r="Z75" i="26"/>
  <c r="AA75" i="26"/>
  <c r="AB75" i="26"/>
  <c r="AC75" i="26"/>
  <c r="AD75" i="26"/>
  <c r="AE75" i="26"/>
  <c r="AF75" i="26"/>
  <c r="AG75" i="26"/>
  <c r="AH75" i="26"/>
  <c r="K76" i="26"/>
  <c r="L76" i="26"/>
  <c r="M76" i="26"/>
  <c r="N76" i="26"/>
  <c r="O76" i="26"/>
  <c r="P76" i="26"/>
  <c r="Q76" i="26"/>
  <c r="R76" i="26"/>
  <c r="S76" i="26"/>
  <c r="T76" i="26"/>
  <c r="U76" i="26"/>
  <c r="V76" i="26"/>
  <c r="W76" i="26"/>
  <c r="X76" i="26"/>
  <c r="Y76" i="26"/>
  <c r="Z76" i="26"/>
  <c r="AA76" i="26"/>
  <c r="AB76" i="26"/>
  <c r="AC76" i="26"/>
  <c r="AD76" i="26"/>
  <c r="AE76" i="26"/>
  <c r="AF76" i="26"/>
  <c r="AG76" i="26"/>
  <c r="AH76" i="26"/>
  <c r="K77" i="26"/>
  <c r="L77" i="26"/>
  <c r="M77" i="26"/>
  <c r="N77" i="26"/>
  <c r="O77" i="26"/>
  <c r="P77" i="26"/>
  <c r="Q77" i="26"/>
  <c r="R77" i="26"/>
  <c r="S77" i="26"/>
  <c r="T77" i="26"/>
  <c r="U77" i="26"/>
  <c r="V77" i="26"/>
  <c r="W77" i="26"/>
  <c r="X77" i="26"/>
  <c r="Y77" i="26"/>
  <c r="Z77" i="26"/>
  <c r="AA77" i="26"/>
  <c r="AB77" i="26"/>
  <c r="AC77" i="26"/>
  <c r="AD77" i="26"/>
  <c r="AE77" i="26"/>
  <c r="AF77" i="26"/>
  <c r="AG77" i="26"/>
  <c r="AH77" i="26"/>
  <c r="K78" i="26"/>
  <c r="L78" i="26"/>
  <c r="M78" i="26"/>
  <c r="N78" i="26"/>
  <c r="O78" i="26"/>
  <c r="P78" i="26"/>
  <c r="Q78" i="26"/>
  <c r="R78" i="26"/>
  <c r="S78" i="26"/>
  <c r="T78" i="26"/>
  <c r="U78" i="26"/>
  <c r="V78" i="26"/>
  <c r="W78" i="26"/>
  <c r="X78" i="26"/>
  <c r="Y78" i="26"/>
  <c r="Z78" i="26"/>
  <c r="AA78" i="26"/>
  <c r="AB78" i="26"/>
  <c r="AC78" i="26"/>
  <c r="AD78" i="26"/>
  <c r="AE78" i="26"/>
  <c r="AF78" i="26"/>
  <c r="AG78" i="26"/>
  <c r="AH78" i="26"/>
  <c r="K79" i="26"/>
  <c r="L79" i="26"/>
  <c r="M79" i="26"/>
  <c r="N79" i="26"/>
  <c r="O79" i="26"/>
  <c r="P79" i="26"/>
  <c r="Q79" i="26"/>
  <c r="R79" i="26"/>
  <c r="S79" i="26"/>
  <c r="T79" i="26"/>
  <c r="U79" i="26"/>
  <c r="V79" i="26"/>
  <c r="W79" i="26"/>
  <c r="X79" i="26"/>
  <c r="Y79" i="26"/>
  <c r="Z79" i="26"/>
  <c r="AA79" i="26"/>
  <c r="AB79" i="26"/>
  <c r="AC79" i="26"/>
  <c r="AD79" i="26"/>
  <c r="AE79" i="26"/>
  <c r="AF79" i="26"/>
  <c r="AG79" i="26"/>
  <c r="AH79" i="26"/>
  <c r="K80" i="26"/>
  <c r="L80" i="26"/>
  <c r="M80" i="26"/>
  <c r="N80" i="26"/>
  <c r="O80" i="26"/>
  <c r="P80" i="26"/>
  <c r="Q80" i="26"/>
  <c r="R80" i="26"/>
  <c r="S80" i="26"/>
  <c r="T80" i="26"/>
  <c r="U80" i="26"/>
  <c r="V80" i="26"/>
  <c r="W80" i="26"/>
  <c r="X80" i="26"/>
  <c r="Y80" i="26"/>
  <c r="Z80" i="26"/>
  <c r="AA80" i="26"/>
  <c r="AB80" i="26"/>
  <c r="AC80" i="26"/>
  <c r="AD80" i="26"/>
  <c r="AE80" i="26"/>
  <c r="AF80" i="26"/>
  <c r="AG80" i="26"/>
  <c r="AH80" i="26"/>
  <c r="K81" i="26"/>
  <c r="L81" i="26"/>
  <c r="M81" i="26"/>
  <c r="N81" i="26"/>
  <c r="O81" i="26"/>
  <c r="P81" i="26"/>
  <c r="Q81" i="26"/>
  <c r="R81" i="26"/>
  <c r="S81" i="26"/>
  <c r="T81" i="26"/>
  <c r="U81" i="26"/>
  <c r="V81" i="26"/>
  <c r="W81" i="26"/>
  <c r="X81" i="26"/>
  <c r="Y81" i="26"/>
  <c r="Z81" i="26"/>
  <c r="AA81" i="26"/>
  <c r="AB81" i="26"/>
  <c r="AC81" i="26"/>
  <c r="AD81" i="26"/>
  <c r="AE81" i="26"/>
  <c r="AF81" i="26"/>
  <c r="AG81" i="26"/>
  <c r="AH81" i="26"/>
  <c r="K82" i="26"/>
  <c r="L82" i="26"/>
  <c r="M82" i="26"/>
  <c r="N82" i="26"/>
  <c r="O82" i="26"/>
  <c r="P82" i="26"/>
  <c r="Q82" i="26"/>
  <c r="R82" i="26"/>
  <c r="S82" i="26"/>
  <c r="T82" i="26"/>
  <c r="U82" i="26"/>
  <c r="V82" i="26"/>
  <c r="W82" i="26"/>
  <c r="X82" i="26"/>
  <c r="Y82" i="26"/>
  <c r="Z82" i="26"/>
  <c r="AA82" i="26"/>
  <c r="AB82" i="26"/>
  <c r="AC82" i="26"/>
  <c r="AD82" i="26"/>
  <c r="AE82" i="26"/>
  <c r="AF82" i="26"/>
  <c r="AG82" i="26"/>
  <c r="AH82" i="26"/>
  <c r="K83" i="26"/>
  <c r="L83" i="26"/>
  <c r="M83" i="26"/>
  <c r="N83" i="26"/>
  <c r="O83" i="26"/>
  <c r="P83" i="26"/>
  <c r="Q83" i="26"/>
  <c r="R83" i="26"/>
  <c r="S83" i="26"/>
  <c r="T83" i="26"/>
  <c r="U83" i="26"/>
  <c r="V83" i="26"/>
  <c r="W83" i="26"/>
  <c r="X83" i="26"/>
  <c r="Y83" i="26"/>
  <c r="Z83" i="26"/>
  <c r="AA83" i="26"/>
  <c r="AB83" i="26"/>
  <c r="AC83" i="26"/>
  <c r="AD83" i="26"/>
  <c r="AE83" i="26"/>
  <c r="AF83" i="26"/>
  <c r="AG83" i="26"/>
  <c r="AH83" i="26"/>
  <c r="K84" i="26"/>
  <c r="L84" i="26"/>
  <c r="M84" i="26"/>
  <c r="N84" i="26"/>
  <c r="O84" i="26"/>
  <c r="P84" i="26"/>
  <c r="Q84" i="26"/>
  <c r="R84" i="26"/>
  <c r="S84" i="26"/>
  <c r="T84" i="26"/>
  <c r="U84" i="26"/>
  <c r="V84" i="26"/>
  <c r="W84" i="26"/>
  <c r="X84" i="26"/>
  <c r="Y84" i="26"/>
  <c r="Z84" i="26"/>
  <c r="AA84" i="26"/>
  <c r="AB84" i="26"/>
  <c r="AC84" i="26"/>
  <c r="AD84" i="26"/>
  <c r="AE84" i="26"/>
  <c r="AF84" i="26"/>
  <c r="AG84" i="26"/>
  <c r="AH84" i="26"/>
  <c r="K85" i="26"/>
  <c r="L85" i="26"/>
  <c r="M85" i="26"/>
  <c r="N85" i="26"/>
  <c r="O85" i="26"/>
  <c r="P85" i="26"/>
  <c r="Q85" i="26"/>
  <c r="R85" i="26"/>
  <c r="S85" i="26"/>
  <c r="T85" i="26"/>
  <c r="U85" i="26"/>
  <c r="V85" i="26"/>
  <c r="W85" i="26"/>
  <c r="X85" i="26"/>
  <c r="Y85" i="26"/>
  <c r="Z85" i="26"/>
  <c r="AA85" i="26"/>
  <c r="AB85" i="26"/>
  <c r="AC85" i="26"/>
  <c r="AD85" i="26"/>
  <c r="AE85" i="26"/>
  <c r="AF85" i="26"/>
  <c r="AG85" i="26"/>
  <c r="AH85" i="26"/>
  <c r="K86" i="26"/>
  <c r="L86" i="26"/>
  <c r="M86" i="26"/>
  <c r="N86" i="26"/>
  <c r="O86" i="26"/>
  <c r="P86" i="26"/>
  <c r="Q86" i="26"/>
  <c r="R86" i="26"/>
  <c r="S86" i="26"/>
  <c r="T86" i="26"/>
  <c r="U86" i="26"/>
  <c r="V86" i="26"/>
  <c r="W86" i="26"/>
  <c r="X86" i="26"/>
  <c r="Y86" i="26"/>
  <c r="Z86" i="26"/>
  <c r="AA86" i="26"/>
  <c r="AB86" i="26"/>
  <c r="AC86" i="26"/>
  <c r="AD86" i="26"/>
  <c r="AE86" i="26"/>
  <c r="AF86" i="26"/>
  <c r="AG86" i="26"/>
  <c r="AH86" i="26"/>
  <c r="K87" i="26"/>
  <c r="L87" i="26"/>
  <c r="M87" i="26"/>
  <c r="N87" i="26"/>
  <c r="O87" i="26"/>
  <c r="P87" i="26"/>
  <c r="Q87" i="26"/>
  <c r="R87" i="26"/>
  <c r="S87" i="26"/>
  <c r="T87" i="26"/>
  <c r="U87" i="26"/>
  <c r="V87" i="26"/>
  <c r="W87" i="26"/>
  <c r="X87" i="26"/>
  <c r="Y87" i="26"/>
  <c r="Z87" i="26"/>
  <c r="AA87" i="26"/>
  <c r="AB87" i="26"/>
  <c r="AC87" i="26"/>
  <c r="AD87" i="26"/>
  <c r="AE87" i="26"/>
  <c r="AF87" i="26"/>
  <c r="AG87" i="26"/>
  <c r="AH87" i="26"/>
  <c r="K88" i="26"/>
  <c r="L88" i="26"/>
  <c r="M88" i="26"/>
  <c r="N88" i="26"/>
  <c r="O88" i="26"/>
  <c r="P88" i="26"/>
  <c r="Q88" i="26"/>
  <c r="R88" i="26"/>
  <c r="S88" i="26"/>
  <c r="T88" i="26"/>
  <c r="U88" i="26"/>
  <c r="V88" i="26"/>
  <c r="W88" i="26"/>
  <c r="X88" i="26"/>
  <c r="Y88" i="26"/>
  <c r="Z88" i="26"/>
  <c r="AA88" i="26"/>
  <c r="AB88" i="26"/>
  <c r="AC88" i="26"/>
  <c r="AD88" i="26"/>
  <c r="AE88" i="26"/>
  <c r="AF88" i="26"/>
  <c r="AG88" i="26"/>
  <c r="AH88" i="26"/>
  <c r="K89" i="26"/>
  <c r="L89" i="26"/>
  <c r="M89" i="26"/>
  <c r="N89" i="26"/>
  <c r="O89" i="26"/>
  <c r="P89" i="26"/>
  <c r="Q89" i="26"/>
  <c r="R89" i="26"/>
  <c r="S89" i="26"/>
  <c r="T89" i="26"/>
  <c r="U89" i="26"/>
  <c r="V89" i="26"/>
  <c r="W89" i="26"/>
  <c r="X89" i="26"/>
  <c r="Y89" i="26"/>
  <c r="Z89" i="26"/>
  <c r="AA89" i="26"/>
  <c r="AB89" i="26"/>
  <c r="AC89" i="26"/>
  <c r="AD89" i="26"/>
  <c r="AE89" i="26"/>
  <c r="AF89" i="26"/>
  <c r="AG89" i="26"/>
  <c r="AH89" i="26"/>
  <c r="K90" i="26"/>
  <c r="L90" i="26"/>
  <c r="M90" i="26"/>
  <c r="N90" i="26"/>
  <c r="O90" i="26"/>
  <c r="P90" i="26"/>
  <c r="Q90" i="26"/>
  <c r="R90" i="26"/>
  <c r="S90" i="26"/>
  <c r="T90" i="26"/>
  <c r="U90" i="26"/>
  <c r="V90" i="26"/>
  <c r="W90" i="26"/>
  <c r="X90" i="26"/>
  <c r="Y90" i="26"/>
  <c r="Z90" i="26"/>
  <c r="AA90" i="26"/>
  <c r="AB90" i="26"/>
  <c r="AC90" i="26"/>
  <c r="AD90" i="26"/>
  <c r="AE90" i="26"/>
  <c r="AF90" i="26"/>
  <c r="AG90" i="26"/>
  <c r="AH90" i="26"/>
  <c r="K91" i="26"/>
  <c r="L91" i="26"/>
  <c r="M91" i="26"/>
  <c r="N91" i="26"/>
  <c r="O91" i="26"/>
  <c r="P91" i="26"/>
  <c r="Q91" i="26"/>
  <c r="R91" i="26"/>
  <c r="S91" i="26"/>
  <c r="T91" i="26"/>
  <c r="U91" i="26"/>
  <c r="V91" i="26"/>
  <c r="W91" i="26"/>
  <c r="X91" i="26"/>
  <c r="Y91" i="26"/>
  <c r="Z91" i="26"/>
  <c r="AA91" i="26"/>
  <c r="AB91" i="26"/>
  <c r="AC91" i="26"/>
  <c r="AD91" i="26"/>
  <c r="AE91" i="26"/>
  <c r="AF91" i="26"/>
  <c r="AG91" i="26"/>
  <c r="AH91" i="26"/>
  <c r="K92" i="26"/>
  <c r="L92" i="26"/>
  <c r="M92" i="26"/>
  <c r="N92" i="26"/>
  <c r="O92" i="26"/>
  <c r="P92" i="26"/>
  <c r="Q92" i="26"/>
  <c r="R92" i="26"/>
  <c r="S92" i="26"/>
  <c r="T92" i="26"/>
  <c r="U92" i="26"/>
  <c r="V92" i="26"/>
  <c r="W92" i="26"/>
  <c r="X92" i="26"/>
  <c r="Y92" i="26"/>
  <c r="Z92" i="26"/>
  <c r="AA92" i="26"/>
  <c r="AB92" i="26"/>
  <c r="AC92" i="26"/>
  <c r="AD92" i="26"/>
  <c r="AE92" i="26"/>
  <c r="AF92" i="26"/>
  <c r="AG92" i="26"/>
  <c r="AH92" i="26"/>
  <c r="K93" i="26"/>
  <c r="L93" i="26"/>
  <c r="M93" i="26"/>
  <c r="N93" i="26"/>
  <c r="O93" i="26"/>
  <c r="P93" i="26"/>
  <c r="Q93" i="26"/>
  <c r="R93" i="26"/>
  <c r="S93" i="26"/>
  <c r="T93" i="26"/>
  <c r="U93" i="26"/>
  <c r="V93" i="26"/>
  <c r="W93" i="26"/>
  <c r="X93" i="26"/>
  <c r="Y93" i="26"/>
  <c r="Z93" i="26"/>
  <c r="AA93" i="26"/>
  <c r="AB93" i="26"/>
  <c r="AC93" i="26"/>
  <c r="AD93" i="26"/>
  <c r="AE93" i="26"/>
  <c r="AF93" i="26"/>
  <c r="AG93" i="26"/>
  <c r="AH93" i="26"/>
  <c r="K94" i="26"/>
  <c r="L94" i="26"/>
  <c r="M94" i="26"/>
  <c r="N94" i="26"/>
  <c r="O94" i="26"/>
  <c r="P94" i="26"/>
  <c r="Q94" i="26"/>
  <c r="R94" i="26"/>
  <c r="S94" i="26"/>
  <c r="T94" i="26"/>
  <c r="U94" i="26"/>
  <c r="V94" i="26"/>
  <c r="W94" i="26"/>
  <c r="X94" i="26"/>
  <c r="Y94" i="26"/>
  <c r="Z94" i="26"/>
  <c r="AA94" i="26"/>
  <c r="AB94" i="26"/>
  <c r="AC94" i="26"/>
  <c r="AD94" i="26"/>
  <c r="AE94" i="26"/>
  <c r="AF94" i="26"/>
  <c r="AG94" i="26"/>
  <c r="AH94" i="26"/>
  <c r="K95" i="26"/>
  <c r="L95" i="26"/>
  <c r="M95" i="26"/>
  <c r="N95" i="26"/>
  <c r="O95" i="26"/>
  <c r="P95" i="26"/>
  <c r="Q95" i="26"/>
  <c r="R95" i="26"/>
  <c r="S95" i="26"/>
  <c r="T95" i="26"/>
  <c r="U95" i="26"/>
  <c r="V95" i="26"/>
  <c r="W95" i="26"/>
  <c r="X95" i="26"/>
  <c r="Y95" i="26"/>
  <c r="Z95" i="26"/>
  <c r="AA95" i="26"/>
  <c r="AB95" i="26"/>
  <c r="AC95" i="26"/>
  <c r="AD95" i="26"/>
  <c r="AE95" i="26"/>
  <c r="AF95" i="26"/>
  <c r="AG95" i="26"/>
  <c r="AH95" i="26"/>
  <c r="K96" i="26"/>
  <c r="L96" i="26"/>
  <c r="M96" i="26"/>
  <c r="N96" i="26"/>
  <c r="O96" i="26"/>
  <c r="P96" i="26"/>
  <c r="Q96" i="26"/>
  <c r="R96" i="26"/>
  <c r="S96" i="26"/>
  <c r="T96" i="26"/>
  <c r="U96" i="26"/>
  <c r="V96" i="26"/>
  <c r="W96" i="26"/>
  <c r="X96" i="26"/>
  <c r="Y96" i="26"/>
  <c r="Z96" i="26"/>
  <c r="AA96" i="26"/>
  <c r="AB96" i="26"/>
  <c r="AC96" i="26"/>
  <c r="AD96" i="26"/>
  <c r="AE96" i="26"/>
  <c r="AF96" i="26"/>
  <c r="AG96" i="26"/>
  <c r="AH96" i="26"/>
  <c r="K97" i="26"/>
  <c r="L97" i="26"/>
  <c r="M97" i="26"/>
  <c r="N97" i="26"/>
  <c r="O97" i="26"/>
  <c r="P97" i="26"/>
  <c r="Q97" i="26"/>
  <c r="R97" i="26"/>
  <c r="S97" i="26"/>
  <c r="T97" i="26"/>
  <c r="U97" i="26"/>
  <c r="V97" i="26"/>
  <c r="W97" i="26"/>
  <c r="X97" i="26"/>
  <c r="Y97" i="26"/>
  <c r="Z97" i="26"/>
  <c r="AA97" i="26"/>
  <c r="AB97" i="26"/>
  <c r="AC97" i="26"/>
  <c r="AD97" i="26"/>
  <c r="AE97" i="26"/>
  <c r="AF97" i="26"/>
  <c r="AG97" i="26"/>
  <c r="AH97" i="26"/>
  <c r="K98" i="26"/>
  <c r="L98" i="26"/>
  <c r="M98" i="26"/>
  <c r="N98" i="26"/>
  <c r="O98" i="26"/>
  <c r="P98" i="26"/>
  <c r="Q98" i="26"/>
  <c r="R98" i="26"/>
  <c r="S98" i="26"/>
  <c r="T98" i="26"/>
  <c r="U98" i="26"/>
  <c r="V98" i="26"/>
  <c r="W98" i="26"/>
  <c r="X98" i="26"/>
  <c r="Y98" i="26"/>
  <c r="Z98" i="26"/>
  <c r="AA98" i="26"/>
  <c r="AB98" i="26"/>
  <c r="AC98" i="26"/>
  <c r="AD98" i="26"/>
  <c r="AE98" i="26"/>
  <c r="AF98" i="26"/>
  <c r="AG98" i="26"/>
  <c r="AH98" i="26"/>
  <c r="K99" i="26"/>
  <c r="L99" i="26"/>
  <c r="M99" i="26"/>
  <c r="N99" i="26"/>
  <c r="O99" i="26"/>
  <c r="P99" i="26"/>
  <c r="Q99" i="26"/>
  <c r="R99" i="26"/>
  <c r="S99" i="26"/>
  <c r="T99" i="26"/>
  <c r="U99" i="26"/>
  <c r="V99" i="26"/>
  <c r="W99" i="26"/>
  <c r="X99" i="26"/>
  <c r="Y99" i="26"/>
  <c r="Z99" i="26"/>
  <c r="AA99" i="26"/>
  <c r="AB99" i="26"/>
  <c r="AC99" i="26"/>
  <c r="AD99" i="26"/>
  <c r="AE99" i="26"/>
  <c r="AF99" i="26"/>
  <c r="AG99" i="26"/>
  <c r="AH99" i="26"/>
  <c r="K100" i="26"/>
  <c r="L100" i="26"/>
  <c r="M100" i="26"/>
  <c r="N100" i="26"/>
  <c r="O100" i="26"/>
  <c r="P100" i="26"/>
  <c r="Q100" i="26"/>
  <c r="R100" i="26"/>
  <c r="S100" i="26"/>
  <c r="T100" i="26"/>
  <c r="U100" i="26"/>
  <c r="V100" i="26"/>
  <c r="W100" i="26"/>
  <c r="X100" i="26"/>
  <c r="Y100" i="26"/>
  <c r="Z100" i="26"/>
  <c r="AA100" i="26"/>
  <c r="AB100" i="26"/>
  <c r="AC100" i="26"/>
  <c r="AD100" i="26"/>
  <c r="AE100" i="26"/>
  <c r="AF100" i="26"/>
  <c r="AG100" i="26"/>
  <c r="AH100" i="26"/>
  <c r="K101" i="26"/>
  <c r="L101" i="26"/>
  <c r="M101" i="26"/>
  <c r="N101" i="26"/>
  <c r="O101" i="26"/>
  <c r="P101" i="26"/>
  <c r="Q101" i="26"/>
  <c r="R101" i="26"/>
  <c r="S101" i="26"/>
  <c r="T101" i="26"/>
  <c r="U101" i="26"/>
  <c r="V101" i="26"/>
  <c r="W101" i="26"/>
  <c r="X101" i="26"/>
  <c r="Y101" i="26"/>
  <c r="Z101" i="26"/>
  <c r="AA101" i="26"/>
  <c r="AB101" i="26"/>
  <c r="AC101" i="26"/>
  <c r="AD101" i="26"/>
  <c r="AE101" i="26"/>
  <c r="AF101" i="26"/>
  <c r="AG101" i="26"/>
  <c r="AH101" i="26"/>
  <c r="K102" i="26"/>
  <c r="L102" i="26"/>
  <c r="M102" i="26"/>
  <c r="N102" i="26"/>
  <c r="O102" i="26"/>
  <c r="P102" i="26"/>
  <c r="Q102" i="26"/>
  <c r="R102" i="26"/>
  <c r="S102" i="26"/>
  <c r="T102" i="26"/>
  <c r="U102" i="26"/>
  <c r="V102" i="26"/>
  <c r="W102" i="26"/>
  <c r="X102" i="26"/>
  <c r="Y102" i="26"/>
  <c r="Z102" i="26"/>
  <c r="AA102" i="26"/>
  <c r="AB102" i="26"/>
  <c r="AC102" i="26"/>
  <c r="AD102" i="26"/>
  <c r="AE102" i="26"/>
  <c r="AF102" i="26"/>
  <c r="AG102" i="26"/>
  <c r="AH102" i="26"/>
  <c r="K103" i="26"/>
  <c r="L103" i="26"/>
  <c r="M103" i="26"/>
  <c r="N103" i="26"/>
  <c r="O103" i="26"/>
  <c r="P103" i="26"/>
  <c r="Q103" i="26"/>
  <c r="R103" i="26"/>
  <c r="S103" i="26"/>
  <c r="T103" i="26"/>
  <c r="U103" i="26"/>
  <c r="V103" i="26"/>
  <c r="W103" i="26"/>
  <c r="X103" i="26"/>
  <c r="Y103" i="26"/>
  <c r="Z103" i="26"/>
  <c r="AA103" i="26"/>
  <c r="AB103" i="26"/>
  <c r="AC103" i="26"/>
  <c r="AD103" i="26"/>
  <c r="AE103" i="26"/>
  <c r="AF103" i="26"/>
  <c r="AG103" i="26"/>
  <c r="AH103" i="26"/>
  <c r="K104" i="26"/>
  <c r="L104" i="26"/>
  <c r="M104" i="26"/>
  <c r="N104" i="26"/>
  <c r="O104" i="26"/>
  <c r="P104" i="26"/>
  <c r="Q104" i="26"/>
  <c r="R104" i="26"/>
  <c r="S104" i="26"/>
  <c r="T104" i="26"/>
  <c r="U104" i="26"/>
  <c r="V104" i="26"/>
  <c r="W104" i="26"/>
  <c r="X104" i="26"/>
  <c r="Y104" i="26"/>
  <c r="Z104" i="26"/>
  <c r="AA104" i="26"/>
  <c r="AB104" i="26"/>
  <c r="AC104" i="26"/>
  <c r="AD104" i="26"/>
  <c r="AE104" i="26"/>
  <c r="AF104" i="26"/>
  <c r="AG104" i="26"/>
  <c r="AH104" i="26"/>
  <c r="K105" i="26"/>
  <c r="L105" i="26"/>
  <c r="M105" i="26"/>
  <c r="N105" i="26"/>
  <c r="O105" i="26"/>
  <c r="P105" i="26"/>
  <c r="Q105" i="26"/>
  <c r="R105" i="26"/>
  <c r="S105" i="26"/>
  <c r="T105" i="26"/>
  <c r="U105" i="26"/>
  <c r="V105" i="26"/>
  <c r="W105" i="26"/>
  <c r="X105" i="26"/>
  <c r="Y105" i="26"/>
  <c r="Z105" i="26"/>
  <c r="AA105" i="26"/>
  <c r="AB105" i="26"/>
  <c r="AC105" i="26"/>
  <c r="AD105" i="26"/>
  <c r="AE105" i="26"/>
  <c r="AF105" i="26"/>
  <c r="AG105" i="26"/>
  <c r="AH105" i="26"/>
  <c r="K106" i="26"/>
  <c r="L106" i="26"/>
  <c r="M106" i="26"/>
  <c r="N106" i="26"/>
  <c r="O106" i="26"/>
  <c r="P106" i="26"/>
  <c r="Q106" i="26"/>
  <c r="R106" i="26"/>
  <c r="S106" i="26"/>
  <c r="T106" i="26"/>
  <c r="U106" i="26"/>
  <c r="V106" i="26"/>
  <c r="W106" i="26"/>
  <c r="X106" i="26"/>
  <c r="Y106" i="26"/>
  <c r="Z106" i="26"/>
  <c r="AA106" i="26"/>
  <c r="AB106" i="26"/>
  <c r="AC106" i="26"/>
  <c r="AD106" i="26"/>
  <c r="AE106" i="26"/>
  <c r="AF106" i="26"/>
  <c r="AG106" i="26"/>
  <c r="AH106" i="26"/>
  <c r="K107" i="26"/>
  <c r="L107" i="26"/>
  <c r="M107" i="26"/>
  <c r="N107" i="26"/>
  <c r="O107" i="26"/>
  <c r="P107" i="26"/>
  <c r="Q107" i="26"/>
  <c r="R107" i="26"/>
  <c r="S107" i="26"/>
  <c r="T107" i="26"/>
  <c r="U107" i="26"/>
  <c r="V107" i="26"/>
  <c r="W107" i="26"/>
  <c r="X107" i="26"/>
  <c r="Y107" i="26"/>
  <c r="Z107" i="26"/>
  <c r="AA107" i="26"/>
  <c r="AB107" i="26"/>
  <c r="AC107" i="26"/>
  <c r="AD107" i="26"/>
  <c r="AE107" i="26"/>
  <c r="AF107" i="26"/>
  <c r="AG107" i="26"/>
  <c r="AH107" i="26"/>
  <c r="K108" i="26"/>
  <c r="L108" i="26"/>
  <c r="M108" i="26"/>
  <c r="N108" i="26"/>
  <c r="O108" i="26"/>
  <c r="P108" i="26"/>
  <c r="Q108" i="26"/>
  <c r="R108" i="26"/>
  <c r="S108" i="26"/>
  <c r="T108" i="26"/>
  <c r="U108" i="26"/>
  <c r="V108" i="26"/>
  <c r="W108" i="26"/>
  <c r="X108" i="26"/>
  <c r="Y108" i="26"/>
  <c r="Z108" i="26"/>
  <c r="AA108" i="26"/>
  <c r="AB108" i="26"/>
  <c r="AC108" i="26"/>
  <c r="AD108" i="26"/>
  <c r="AE108" i="26"/>
  <c r="AF108" i="26"/>
  <c r="AG108" i="26"/>
  <c r="AH108" i="26"/>
  <c r="K109" i="26"/>
  <c r="L109" i="26"/>
  <c r="M109" i="26"/>
  <c r="N109" i="26"/>
  <c r="O109" i="26"/>
  <c r="P109" i="26"/>
  <c r="Q109" i="26"/>
  <c r="R109" i="26"/>
  <c r="S109" i="26"/>
  <c r="T109" i="26"/>
  <c r="U109" i="26"/>
  <c r="V109" i="26"/>
  <c r="W109" i="26"/>
  <c r="X109" i="26"/>
  <c r="Y109" i="26"/>
  <c r="Z109" i="26"/>
  <c r="AA109" i="26"/>
  <c r="AB109" i="26"/>
  <c r="AC109" i="26"/>
  <c r="AD109" i="26"/>
  <c r="AE109" i="26"/>
  <c r="AF109" i="26"/>
  <c r="AG109" i="26"/>
  <c r="AH109" i="26"/>
  <c r="K110" i="26"/>
  <c r="L110" i="26"/>
  <c r="M110" i="26"/>
  <c r="N110" i="26"/>
  <c r="O110" i="26"/>
  <c r="P110" i="26"/>
  <c r="Q110" i="26"/>
  <c r="R110" i="26"/>
  <c r="S110" i="26"/>
  <c r="T110" i="26"/>
  <c r="U110" i="26"/>
  <c r="V110" i="26"/>
  <c r="W110" i="26"/>
  <c r="X110" i="26"/>
  <c r="Y110" i="26"/>
  <c r="Z110" i="26"/>
  <c r="AA110" i="26"/>
  <c r="AB110" i="26"/>
  <c r="AC110" i="26"/>
  <c r="AD110" i="26"/>
  <c r="AE110" i="26"/>
  <c r="AF110" i="26"/>
  <c r="AG110" i="26"/>
  <c r="AH110" i="26"/>
  <c r="K111" i="26"/>
  <c r="L111" i="26"/>
  <c r="M111" i="26"/>
  <c r="N111" i="26"/>
  <c r="O111" i="26"/>
  <c r="P111" i="26"/>
  <c r="Q111" i="26"/>
  <c r="R111" i="26"/>
  <c r="S111" i="26"/>
  <c r="T111" i="26"/>
  <c r="U111" i="26"/>
  <c r="V111" i="26"/>
  <c r="W111" i="26"/>
  <c r="X111" i="26"/>
  <c r="Y111" i="26"/>
  <c r="Z111" i="26"/>
  <c r="AA111" i="26"/>
  <c r="AB111" i="26"/>
  <c r="AC111" i="26"/>
  <c r="AD111" i="26"/>
  <c r="AE111" i="26"/>
  <c r="AF111" i="26"/>
  <c r="AG111" i="26"/>
  <c r="AH111" i="26"/>
  <c r="K112" i="26"/>
  <c r="L112" i="26"/>
  <c r="M112" i="26"/>
  <c r="N112" i="26"/>
  <c r="O112" i="26"/>
  <c r="P112" i="26"/>
  <c r="Q112" i="26"/>
  <c r="R112" i="26"/>
  <c r="S112" i="26"/>
  <c r="T112" i="26"/>
  <c r="U112" i="26"/>
  <c r="V112" i="26"/>
  <c r="W112" i="26"/>
  <c r="X112" i="26"/>
  <c r="Y112" i="26"/>
  <c r="Z112" i="26"/>
  <c r="AA112" i="26"/>
  <c r="AB112" i="26"/>
  <c r="AC112" i="26"/>
  <c r="AD112" i="26"/>
  <c r="AE112" i="26"/>
  <c r="AF112" i="26"/>
  <c r="AG112" i="26"/>
  <c r="AH112" i="26"/>
  <c r="K113" i="26"/>
  <c r="L113" i="26"/>
  <c r="M113" i="26"/>
  <c r="N113" i="26"/>
  <c r="O113" i="26"/>
  <c r="P113" i="26"/>
  <c r="Q113" i="26"/>
  <c r="R113" i="26"/>
  <c r="S113" i="26"/>
  <c r="T113" i="26"/>
  <c r="U113" i="26"/>
  <c r="V113" i="26"/>
  <c r="W113" i="26"/>
  <c r="X113" i="26"/>
  <c r="Y113" i="26"/>
  <c r="Z113" i="26"/>
  <c r="AA113" i="26"/>
  <c r="AB113" i="26"/>
  <c r="AC113" i="26"/>
  <c r="AD113" i="26"/>
  <c r="AE113" i="26"/>
  <c r="AF113" i="26"/>
  <c r="AG113" i="26"/>
  <c r="AH113" i="26"/>
  <c r="K114" i="26"/>
  <c r="L114" i="26"/>
  <c r="M114" i="26"/>
  <c r="N114" i="26"/>
  <c r="O114" i="26"/>
  <c r="P114" i="26"/>
  <c r="Q114" i="26"/>
  <c r="R114" i="26"/>
  <c r="S114" i="26"/>
  <c r="T114" i="26"/>
  <c r="U114" i="26"/>
  <c r="V114" i="26"/>
  <c r="W114" i="26"/>
  <c r="X114" i="26"/>
  <c r="Y114" i="26"/>
  <c r="Z114" i="26"/>
  <c r="AA114" i="26"/>
  <c r="AB114" i="26"/>
  <c r="AC114" i="26"/>
  <c r="AD114" i="26"/>
  <c r="AE114" i="26"/>
  <c r="AF114" i="26"/>
  <c r="AG114" i="26"/>
  <c r="AH114" i="26"/>
  <c r="K115" i="26"/>
  <c r="L115" i="26"/>
  <c r="M115" i="26"/>
  <c r="N115" i="26"/>
  <c r="O115" i="26"/>
  <c r="P115" i="26"/>
  <c r="Q115" i="26"/>
  <c r="R115" i="26"/>
  <c r="S115" i="26"/>
  <c r="T115" i="26"/>
  <c r="U115" i="26"/>
  <c r="V115" i="26"/>
  <c r="W115" i="26"/>
  <c r="X115" i="26"/>
  <c r="Y115" i="26"/>
  <c r="Z115" i="26"/>
  <c r="AA115" i="26"/>
  <c r="AB115" i="26"/>
  <c r="AC115" i="26"/>
  <c r="AD115" i="26"/>
  <c r="AE115" i="26"/>
  <c r="AF115" i="26"/>
  <c r="AG115" i="26"/>
  <c r="AH115" i="26"/>
  <c r="K116" i="26"/>
  <c r="L116" i="26"/>
  <c r="M116" i="26"/>
  <c r="N116" i="26"/>
  <c r="O116" i="26"/>
  <c r="P116" i="26"/>
  <c r="Q116" i="26"/>
  <c r="R116" i="26"/>
  <c r="S116" i="26"/>
  <c r="T116" i="26"/>
  <c r="U116" i="26"/>
  <c r="V116" i="26"/>
  <c r="W116" i="26"/>
  <c r="X116" i="26"/>
  <c r="Y116" i="26"/>
  <c r="Z116" i="26"/>
  <c r="AA116" i="26"/>
  <c r="AB116" i="26"/>
  <c r="AC116" i="26"/>
  <c r="AD116" i="26"/>
  <c r="AE116" i="26"/>
  <c r="AF116" i="26"/>
  <c r="AG116" i="26"/>
  <c r="AH116" i="26"/>
  <c r="K117" i="26"/>
  <c r="L117" i="26"/>
  <c r="M117" i="26"/>
  <c r="N117" i="26"/>
  <c r="O117" i="26"/>
  <c r="P117" i="26"/>
  <c r="Q117" i="26"/>
  <c r="R117" i="26"/>
  <c r="S117" i="26"/>
  <c r="T117" i="26"/>
  <c r="U117" i="26"/>
  <c r="V117" i="26"/>
  <c r="W117" i="26"/>
  <c r="X117" i="26"/>
  <c r="Y117" i="26"/>
  <c r="Z117" i="26"/>
  <c r="AA117" i="26"/>
  <c r="AB117" i="26"/>
  <c r="AC117" i="26"/>
  <c r="AD117" i="26"/>
  <c r="AE117" i="26"/>
  <c r="AF117" i="26"/>
  <c r="AG117" i="26"/>
  <c r="AH117" i="26"/>
  <c r="K118" i="26"/>
  <c r="L118" i="26"/>
  <c r="M118" i="26"/>
  <c r="N118" i="26"/>
  <c r="O118" i="26"/>
  <c r="P118" i="26"/>
  <c r="Q118" i="26"/>
  <c r="R118" i="26"/>
  <c r="S118" i="26"/>
  <c r="T118" i="26"/>
  <c r="U118" i="26"/>
  <c r="V118" i="26"/>
  <c r="W118" i="26"/>
  <c r="X118" i="26"/>
  <c r="Y118" i="26"/>
  <c r="Z118" i="26"/>
  <c r="AA118" i="26"/>
  <c r="AB118" i="26"/>
  <c r="AC118" i="26"/>
  <c r="AD118" i="26"/>
  <c r="AE118" i="26"/>
  <c r="AF118" i="26"/>
  <c r="AG118" i="26"/>
  <c r="AH118" i="26"/>
  <c r="K119" i="26"/>
  <c r="L119" i="26"/>
  <c r="M119" i="26"/>
  <c r="N119" i="26"/>
  <c r="O119" i="26"/>
  <c r="P119" i="26"/>
  <c r="Q119" i="26"/>
  <c r="R119" i="26"/>
  <c r="S119" i="26"/>
  <c r="T119" i="26"/>
  <c r="U119" i="26"/>
  <c r="V119" i="26"/>
  <c r="W119" i="26"/>
  <c r="X119" i="26"/>
  <c r="Y119" i="26"/>
  <c r="Z119" i="26"/>
  <c r="AA119" i="26"/>
  <c r="AB119" i="26"/>
  <c r="AC119" i="26"/>
  <c r="AD119" i="26"/>
  <c r="AE119" i="26"/>
  <c r="AF119" i="26"/>
  <c r="AG119" i="26"/>
  <c r="AH119" i="26"/>
  <c r="K120" i="26"/>
  <c r="L120" i="26"/>
  <c r="M120" i="26"/>
  <c r="N120" i="26"/>
  <c r="O120" i="26"/>
  <c r="P120" i="26"/>
  <c r="Q120" i="26"/>
  <c r="R120" i="26"/>
  <c r="S120" i="26"/>
  <c r="T120" i="26"/>
  <c r="U120" i="26"/>
  <c r="V120" i="26"/>
  <c r="W120" i="26"/>
  <c r="X120" i="26"/>
  <c r="Y120" i="26"/>
  <c r="Z120" i="26"/>
  <c r="AA120" i="26"/>
  <c r="AB120" i="26"/>
  <c r="AC120" i="26"/>
  <c r="AD120" i="26"/>
  <c r="AE120" i="26"/>
  <c r="AF120" i="26"/>
  <c r="AG120" i="26"/>
  <c r="AH120" i="26"/>
  <c r="K121" i="26"/>
  <c r="L121" i="26"/>
  <c r="M121" i="26"/>
  <c r="N121" i="26"/>
  <c r="O121" i="26"/>
  <c r="P121" i="26"/>
  <c r="Q121" i="26"/>
  <c r="R121" i="26"/>
  <c r="S121" i="26"/>
  <c r="T121" i="26"/>
  <c r="U121" i="26"/>
  <c r="V121" i="26"/>
  <c r="W121" i="26"/>
  <c r="X121" i="26"/>
  <c r="Y121" i="26"/>
  <c r="Z121" i="26"/>
  <c r="AA121" i="26"/>
  <c r="AB121" i="26"/>
  <c r="AC121" i="26"/>
  <c r="AD121" i="26"/>
  <c r="AE121" i="26"/>
  <c r="AF121" i="26"/>
  <c r="AG121" i="26"/>
  <c r="AH121" i="26"/>
  <c r="K122" i="26"/>
  <c r="L122" i="26"/>
  <c r="M122" i="26"/>
  <c r="N122" i="26"/>
  <c r="O122" i="26"/>
  <c r="P122" i="26"/>
  <c r="Q122" i="26"/>
  <c r="R122" i="26"/>
  <c r="S122" i="26"/>
  <c r="T122" i="26"/>
  <c r="U122" i="26"/>
  <c r="V122" i="26"/>
  <c r="W122" i="26"/>
  <c r="X122" i="26"/>
  <c r="Y122" i="26"/>
  <c r="Z122" i="26"/>
  <c r="AA122" i="26"/>
  <c r="AB122" i="26"/>
  <c r="AC122" i="26"/>
  <c r="AD122" i="26"/>
  <c r="AE122" i="26"/>
  <c r="AF122" i="26"/>
  <c r="AG122" i="26"/>
  <c r="AH122" i="26"/>
  <c r="K123" i="26"/>
  <c r="L123" i="26"/>
  <c r="M123" i="26"/>
  <c r="N123" i="26"/>
  <c r="O123" i="26"/>
  <c r="P123" i="26"/>
  <c r="Q123" i="26"/>
  <c r="R123" i="26"/>
  <c r="S123" i="26"/>
  <c r="T123" i="26"/>
  <c r="U123" i="26"/>
  <c r="V123" i="26"/>
  <c r="W123" i="26"/>
  <c r="X123" i="26"/>
  <c r="Y123" i="26"/>
  <c r="Z123" i="26"/>
  <c r="AA123" i="26"/>
  <c r="AB123" i="26"/>
  <c r="AC123" i="26"/>
  <c r="AD123" i="26"/>
  <c r="AE123" i="26"/>
  <c r="AF123" i="26"/>
  <c r="AG123" i="26"/>
  <c r="AH123" i="26"/>
  <c r="K124" i="26"/>
  <c r="L124" i="26"/>
  <c r="M124" i="26"/>
  <c r="N124" i="26"/>
  <c r="O124" i="26"/>
  <c r="P124" i="26"/>
  <c r="Q124" i="26"/>
  <c r="R124" i="26"/>
  <c r="S124" i="26"/>
  <c r="T124" i="26"/>
  <c r="U124" i="26"/>
  <c r="V124" i="26"/>
  <c r="W124" i="26"/>
  <c r="X124" i="26"/>
  <c r="Y124" i="26"/>
  <c r="Z124" i="26"/>
  <c r="AA124" i="26"/>
  <c r="AB124" i="26"/>
  <c r="AC124" i="26"/>
  <c r="AD124" i="26"/>
  <c r="AE124" i="26"/>
  <c r="AF124" i="26"/>
  <c r="AG124" i="26"/>
  <c r="AH124" i="26"/>
  <c r="K125" i="26"/>
  <c r="L125" i="26"/>
  <c r="M125" i="26"/>
  <c r="N125" i="26"/>
  <c r="O125" i="26"/>
  <c r="P125" i="26"/>
  <c r="Q125" i="26"/>
  <c r="R125" i="26"/>
  <c r="S125" i="26"/>
  <c r="T125" i="26"/>
  <c r="U125" i="26"/>
  <c r="V125" i="26"/>
  <c r="W125" i="26"/>
  <c r="X125" i="26"/>
  <c r="Y125" i="26"/>
  <c r="Z125" i="26"/>
  <c r="AA125" i="26"/>
  <c r="AB125" i="26"/>
  <c r="AC125" i="26"/>
  <c r="AD125" i="26"/>
  <c r="AE125" i="26"/>
  <c r="AF125" i="26"/>
  <c r="AG125" i="26"/>
  <c r="AH125" i="26"/>
  <c r="K126" i="26"/>
  <c r="L126" i="26"/>
  <c r="M126" i="26"/>
  <c r="N126" i="26"/>
  <c r="O126" i="26"/>
  <c r="P126" i="26"/>
  <c r="Q126" i="26"/>
  <c r="R126" i="26"/>
  <c r="S126" i="26"/>
  <c r="T126" i="26"/>
  <c r="U126" i="26"/>
  <c r="V126" i="26"/>
  <c r="W126" i="26"/>
  <c r="X126" i="26"/>
  <c r="Y126" i="26"/>
  <c r="Z126" i="26"/>
  <c r="AA126" i="26"/>
  <c r="AB126" i="26"/>
  <c r="AC126" i="26"/>
  <c r="AD126" i="26"/>
  <c r="AE126" i="26"/>
  <c r="AF126" i="26"/>
  <c r="AG126" i="26"/>
  <c r="AH126" i="26"/>
  <c r="K127" i="26"/>
  <c r="L127" i="26"/>
  <c r="M127" i="26"/>
  <c r="N127" i="26"/>
  <c r="O127" i="26"/>
  <c r="P127" i="26"/>
  <c r="Q127" i="26"/>
  <c r="R127" i="26"/>
  <c r="S127" i="26"/>
  <c r="T127" i="26"/>
  <c r="U127" i="26"/>
  <c r="V127" i="26"/>
  <c r="W127" i="26"/>
  <c r="X127" i="26"/>
  <c r="Y127" i="26"/>
  <c r="Z127" i="26"/>
  <c r="AA127" i="26"/>
  <c r="AB127" i="26"/>
  <c r="AC127" i="26"/>
  <c r="AD127" i="26"/>
  <c r="AE127" i="26"/>
  <c r="AF127" i="26"/>
  <c r="AG127" i="26"/>
  <c r="AH127" i="26"/>
  <c r="K128" i="26"/>
  <c r="L128" i="26"/>
  <c r="M128" i="26"/>
  <c r="N128" i="26"/>
  <c r="O128" i="26"/>
  <c r="P128" i="26"/>
  <c r="Q128" i="26"/>
  <c r="R128" i="26"/>
  <c r="S128" i="26"/>
  <c r="T128" i="26"/>
  <c r="U128" i="26"/>
  <c r="V128" i="26"/>
  <c r="W128" i="26"/>
  <c r="X128" i="26"/>
  <c r="Y128" i="26"/>
  <c r="Z128" i="26"/>
  <c r="AA128" i="26"/>
  <c r="AB128" i="26"/>
  <c r="AC128" i="26"/>
  <c r="AD128" i="26"/>
  <c r="AE128" i="26"/>
  <c r="AF128" i="26"/>
  <c r="AG128" i="26"/>
  <c r="AH128" i="26"/>
  <c r="K129" i="26"/>
  <c r="L129" i="26"/>
  <c r="M129" i="26"/>
  <c r="N129" i="26"/>
  <c r="O129" i="26"/>
  <c r="P129" i="26"/>
  <c r="Q129" i="26"/>
  <c r="R129" i="26"/>
  <c r="S129" i="26"/>
  <c r="T129" i="26"/>
  <c r="U129" i="26"/>
  <c r="V129" i="26"/>
  <c r="W129" i="26"/>
  <c r="X129" i="26"/>
  <c r="Y129" i="26"/>
  <c r="Z129" i="26"/>
  <c r="AA129" i="26"/>
  <c r="AB129" i="26"/>
  <c r="AC129" i="26"/>
  <c r="AD129" i="26"/>
  <c r="AE129" i="26"/>
  <c r="AF129" i="26"/>
  <c r="AG129" i="26"/>
  <c r="AH129" i="26"/>
  <c r="K130" i="26"/>
  <c r="L130" i="26"/>
  <c r="M130" i="26"/>
  <c r="N130" i="26"/>
  <c r="O130" i="26"/>
  <c r="P130" i="26"/>
  <c r="Q130" i="26"/>
  <c r="R130" i="26"/>
  <c r="S130" i="26"/>
  <c r="T130" i="26"/>
  <c r="U130" i="26"/>
  <c r="V130" i="26"/>
  <c r="W130" i="26"/>
  <c r="X130" i="26"/>
  <c r="Y130" i="26"/>
  <c r="Z130" i="26"/>
  <c r="AA130" i="26"/>
  <c r="AB130" i="26"/>
  <c r="AC130" i="26"/>
  <c r="AD130" i="26"/>
  <c r="AE130" i="26"/>
  <c r="AF130" i="26"/>
  <c r="AG130" i="26"/>
  <c r="AH130" i="26"/>
  <c r="K131" i="26"/>
  <c r="L131" i="26"/>
  <c r="M131" i="26"/>
  <c r="N131" i="26"/>
  <c r="O131" i="26"/>
  <c r="P131" i="26"/>
  <c r="Q131" i="26"/>
  <c r="R131" i="26"/>
  <c r="S131" i="26"/>
  <c r="T131" i="26"/>
  <c r="U131" i="26"/>
  <c r="V131" i="26"/>
  <c r="W131" i="26"/>
  <c r="X131" i="26"/>
  <c r="Y131" i="26"/>
  <c r="Z131" i="26"/>
  <c r="AA131" i="26"/>
  <c r="AB131" i="26"/>
  <c r="AC131" i="26"/>
  <c r="AD131" i="26"/>
  <c r="AE131" i="26"/>
  <c r="AF131" i="26"/>
  <c r="AG131" i="26"/>
  <c r="AH131" i="26"/>
  <c r="K132" i="26"/>
  <c r="L132" i="26"/>
  <c r="M132" i="26"/>
  <c r="N132" i="26"/>
  <c r="O132" i="26"/>
  <c r="P132" i="26"/>
  <c r="Q132" i="26"/>
  <c r="R132" i="26"/>
  <c r="S132" i="26"/>
  <c r="T132" i="26"/>
  <c r="U132" i="26"/>
  <c r="V132" i="26"/>
  <c r="W132" i="26"/>
  <c r="X132" i="26"/>
  <c r="Y132" i="26"/>
  <c r="Z132" i="26"/>
  <c r="AA132" i="26"/>
  <c r="AB132" i="26"/>
  <c r="AC132" i="26"/>
  <c r="AD132" i="26"/>
  <c r="AE132" i="26"/>
  <c r="AF132" i="26"/>
  <c r="AG132" i="26"/>
  <c r="AH132" i="26"/>
  <c r="K133" i="26"/>
  <c r="L133" i="26"/>
  <c r="M133" i="26"/>
  <c r="N133" i="26"/>
  <c r="O133" i="26"/>
  <c r="P133" i="26"/>
  <c r="Q133" i="26"/>
  <c r="R133" i="26"/>
  <c r="S133" i="26"/>
  <c r="T133" i="26"/>
  <c r="U133" i="26"/>
  <c r="V133" i="26"/>
  <c r="W133" i="26"/>
  <c r="X133" i="26"/>
  <c r="Y133" i="26"/>
  <c r="Z133" i="26"/>
  <c r="AA133" i="26"/>
  <c r="AB133" i="26"/>
  <c r="AC133" i="26"/>
  <c r="AD133" i="26"/>
  <c r="AE133" i="26"/>
  <c r="AF133" i="26"/>
  <c r="AG133" i="26"/>
  <c r="AH133" i="26"/>
  <c r="K134" i="26"/>
  <c r="L134" i="26"/>
  <c r="M134" i="26"/>
  <c r="N134" i="26"/>
  <c r="O134" i="26"/>
  <c r="P134" i="26"/>
  <c r="Q134" i="26"/>
  <c r="R134" i="26"/>
  <c r="S134" i="26"/>
  <c r="T134" i="26"/>
  <c r="U134" i="26"/>
  <c r="V134" i="26"/>
  <c r="W134" i="26"/>
  <c r="X134" i="26"/>
  <c r="Y134" i="26"/>
  <c r="Z134" i="26"/>
  <c r="AA134" i="26"/>
  <c r="AB134" i="26"/>
  <c r="AC134" i="26"/>
  <c r="AD134" i="26"/>
  <c r="AE134" i="26"/>
  <c r="AF134" i="26"/>
  <c r="AG134" i="26"/>
  <c r="AH134" i="26"/>
  <c r="K135" i="26"/>
  <c r="L135" i="26"/>
  <c r="M135" i="26"/>
  <c r="N135" i="26"/>
  <c r="O135" i="26"/>
  <c r="P135" i="26"/>
  <c r="Q135" i="26"/>
  <c r="R135" i="26"/>
  <c r="S135" i="26"/>
  <c r="T135" i="26"/>
  <c r="U135" i="26"/>
  <c r="V135" i="26"/>
  <c r="W135" i="26"/>
  <c r="X135" i="26"/>
  <c r="Y135" i="26"/>
  <c r="Z135" i="26"/>
  <c r="AA135" i="26"/>
  <c r="AB135" i="26"/>
  <c r="AC135" i="26"/>
  <c r="AD135" i="26"/>
  <c r="AE135" i="26"/>
  <c r="AF135" i="26"/>
  <c r="AG135" i="26"/>
  <c r="AH135" i="26"/>
  <c r="K136" i="26"/>
  <c r="L136" i="26"/>
  <c r="M136" i="26"/>
  <c r="N136" i="26"/>
  <c r="O136" i="26"/>
  <c r="P136" i="26"/>
  <c r="Q136" i="26"/>
  <c r="R136" i="26"/>
  <c r="S136" i="26"/>
  <c r="T136" i="26"/>
  <c r="U136" i="26"/>
  <c r="V136" i="26"/>
  <c r="W136" i="26"/>
  <c r="X136" i="26"/>
  <c r="Y136" i="26"/>
  <c r="Z136" i="26"/>
  <c r="AA136" i="26"/>
  <c r="AB136" i="26"/>
  <c r="AC136" i="26"/>
  <c r="AD136" i="26"/>
  <c r="AE136" i="26"/>
  <c r="AF136" i="26"/>
  <c r="AG136" i="26"/>
  <c r="AH136" i="26"/>
  <c r="K137" i="26"/>
  <c r="L137" i="26"/>
  <c r="M137" i="26"/>
  <c r="N137" i="26"/>
  <c r="O137" i="26"/>
  <c r="P137" i="26"/>
  <c r="Q137" i="26"/>
  <c r="R137" i="26"/>
  <c r="S137" i="26"/>
  <c r="T137" i="26"/>
  <c r="U137" i="26"/>
  <c r="V137" i="26"/>
  <c r="W137" i="26"/>
  <c r="X137" i="26"/>
  <c r="Y137" i="26"/>
  <c r="Z137" i="26"/>
  <c r="AA137" i="26"/>
  <c r="AB137" i="26"/>
  <c r="AC137" i="26"/>
  <c r="AD137" i="26"/>
  <c r="AE137" i="26"/>
  <c r="AF137" i="26"/>
  <c r="AG137" i="26"/>
  <c r="AH137" i="26"/>
  <c r="K138" i="26"/>
  <c r="L138" i="26"/>
  <c r="M138" i="26"/>
  <c r="N138" i="26"/>
  <c r="O138" i="26"/>
  <c r="P138" i="26"/>
  <c r="Q138" i="26"/>
  <c r="R138" i="26"/>
  <c r="S138" i="26"/>
  <c r="T138" i="26"/>
  <c r="U138" i="26"/>
  <c r="V138" i="26"/>
  <c r="W138" i="26"/>
  <c r="X138" i="26"/>
  <c r="Y138" i="26"/>
  <c r="Z138" i="26"/>
  <c r="AA138" i="26"/>
  <c r="AB138" i="26"/>
  <c r="AC138" i="26"/>
  <c r="AD138" i="26"/>
  <c r="AE138" i="26"/>
  <c r="AF138" i="26"/>
  <c r="AG138" i="26"/>
  <c r="AH138" i="26"/>
  <c r="K139" i="26"/>
  <c r="L139" i="26"/>
  <c r="M139" i="26"/>
  <c r="N139" i="26"/>
  <c r="O139" i="26"/>
  <c r="P139" i="26"/>
  <c r="Q139" i="26"/>
  <c r="R139" i="26"/>
  <c r="S139" i="26"/>
  <c r="T139" i="26"/>
  <c r="U139" i="26"/>
  <c r="V139" i="26"/>
  <c r="W139" i="26"/>
  <c r="X139" i="26"/>
  <c r="Y139" i="26"/>
  <c r="Z139" i="26"/>
  <c r="AA139" i="26"/>
  <c r="AB139" i="26"/>
  <c r="AC139" i="26"/>
  <c r="AD139" i="26"/>
  <c r="AE139" i="26"/>
  <c r="AF139" i="26"/>
  <c r="AG139" i="26"/>
  <c r="AH139" i="26"/>
  <c r="K140" i="26"/>
  <c r="L140" i="26"/>
  <c r="M140" i="26"/>
  <c r="N140" i="26"/>
  <c r="O140" i="26"/>
  <c r="P140" i="26"/>
  <c r="Q140" i="26"/>
  <c r="R140" i="26"/>
  <c r="S140" i="26"/>
  <c r="T140" i="26"/>
  <c r="U140" i="26"/>
  <c r="V140" i="26"/>
  <c r="W140" i="26"/>
  <c r="X140" i="26"/>
  <c r="Y140" i="26"/>
  <c r="Z140" i="26"/>
  <c r="AA140" i="26"/>
  <c r="AB140" i="26"/>
  <c r="AC140" i="26"/>
  <c r="AD140" i="26"/>
  <c r="AE140" i="26"/>
  <c r="AF140" i="26"/>
  <c r="AG140" i="26"/>
  <c r="AH140" i="26"/>
  <c r="K141" i="26"/>
  <c r="L141" i="26"/>
  <c r="M141" i="26"/>
  <c r="N141" i="26"/>
  <c r="O141" i="26"/>
  <c r="P141" i="26"/>
  <c r="Q141" i="26"/>
  <c r="R141" i="26"/>
  <c r="S141" i="26"/>
  <c r="T141" i="26"/>
  <c r="U141" i="26"/>
  <c r="V141" i="26"/>
  <c r="W141" i="26"/>
  <c r="X141" i="26"/>
  <c r="Y141" i="26"/>
  <c r="Z141" i="26"/>
  <c r="AA141" i="26"/>
  <c r="AB141" i="26"/>
  <c r="AC141" i="26"/>
  <c r="AD141" i="26"/>
  <c r="AE141" i="26"/>
  <c r="AF141" i="26"/>
  <c r="AG141" i="26"/>
  <c r="AH141" i="26"/>
  <c r="K142" i="26"/>
  <c r="L142" i="26"/>
  <c r="M142" i="26"/>
  <c r="N142" i="26"/>
  <c r="O142" i="26"/>
  <c r="P142" i="26"/>
  <c r="Q142" i="26"/>
  <c r="R142" i="26"/>
  <c r="S142" i="26"/>
  <c r="T142" i="26"/>
  <c r="U142" i="26"/>
  <c r="V142" i="26"/>
  <c r="W142" i="26"/>
  <c r="X142" i="26"/>
  <c r="Y142" i="26"/>
  <c r="Z142" i="26"/>
  <c r="AA142" i="26"/>
  <c r="AB142" i="26"/>
  <c r="AC142" i="26"/>
  <c r="AD142" i="26"/>
  <c r="AE142" i="26"/>
  <c r="AF142" i="26"/>
  <c r="AG142" i="26"/>
  <c r="AH142" i="26"/>
  <c r="K143" i="26"/>
  <c r="L143" i="26"/>
  <c r="M143" i="26"/>
  <c r="N143" i="26"/>
  <c r="O143" i="26"/>
  <c r="P143" i="26"/>
  <c r="Q143" i="26"/>
  <c r="R143" i="26"/>
  <c r="S143" i="26"/>
  <c r="T143" i="26"/>
  <c r="U143" i="26"/>
  <c r="V143" i="26"/>
  <c r="W143" i="26"/>
  <c r="X143" i="26"/>
  <c r="Y143" i="26"/>
  <c r="Z143" i="26"/>
  <c r="AA143" i="26"/>
  <c r="AB143" i="26"/>
  <c r="AC143" i="26"/>
  <c r="AD143" i="26"/>
  <c r="AE143" i="26"/>
  <c r="AF143" i="26"/>
  <c r="AG143" i="26"/>
  <c r="AH143" i="26"/>
  <c r="K144" i="26"/>
  <c r="L144" i="26"/>
  <c r="M144" i="26"/>
  <c r="N144" i="26"/>
  <c r="O144" i="26"/>
  <c r="P144" i="26"/>
  <c r="Q144" i="26"/>
  <c r="R144" i="26"/>
  <c r="S144" i="26"/>
  <c r="T144" i="26"/>
  <c r="U144" i="26"/>
  <c r="V144" i="26"/>
  <c r="W144" i="26"/>
  <c r="X144" i="26"/>
  <c r="Y144" i="26"/>
  <c r="Z144" i="26"/>
  <c r="AA144" i="26"/>
  <c r="AB144" i="26"/>
  <c r="AC144" i="26"/>
  <c r="AD144" i="26"/>
  <c r="AE144" i="26"/>
  <c r="AF144" i="26"/>
  <c r="AG144" i="26"/>
  <c r="AH144" i="26"/>
  <c r="K145" i="26"/>
  <c r="L145" i="26"/>
  <c r="M145" i="26"/>
  <c r="N145" i="26"/>
  <c r="O145" i="26"/>
  <c r="P145" i="26"/>
  <c r="Q145" i="26"/>
  <c r="R145" i="26"/>
  <c r="S145" i="26"/>
  <c r="T145" i="26"/>
  <c r="U145" i="26"/>
  <c r="V145" i="26"/>
  <c r="W145" i="26"/>
  <c r="X145" i="26"/>
  <c r="Y145" i="26"/>
  <c r="Z145" i="26"/>
  <c r="AA145" i="26"/>
  <c r="AB145" i="26"/>
  <c r="AC145" i="26"/>
  <c r="AD145" i="26"/>
  <c r="AE145" i="26"/>
  <c r="AF145" i="26"/>
  <c r="AG145" i="26"/>
  <c r="AH145" i="26"/>
  <c r="K146" i="26"/>
  <c r="L146" i="26"/>
  <c r="M146" i="26"/>
  <c r="N146" i="26"/>
  <c r="O146" i="26"/>
  <c r="P146" i="26"/>
  <c r="Q146" i="26"/>
  <c r="R146" i="26"/>
  <c r="S146" i="26"/>
  <c r="T146" i="26"/>
  <c r="U146" i="26"/>
  <c r="V146" i="26"/>
  <c r="W146" i="26"/>
  <c r="X146" i="26"/>
  <c r="Y146" i="26"/>
  <c r="Z146" i="26"/>
  <c r="AA146" i="26"/>
  <c r="AB146" i="26"/>
  <c r="AC146" i="26"/>
  <c r="AD146" i="26"/>
  <c r="AE146" i="26"/>
  <c r="AF146" i="26"/>
  <c r="AG146" i="26"/>
  <c r="AH146" i="26"/>
  <c r="K147" i="26"/>
  <c r="L147" i="26"/>
  <c r="M147" i="26"/>
  <c r="N147" i="26"/>
  <c r="O147" i="26"/>
  <c r="P147" i="26"/>
  <c r="Q147" i="26"/>
  <c r="R147" i="26"/>
  <c r="S147" i="26"/>
  <c r="T147" i="26"/>
  <c r="U147" i="26"/>
  <c r="V147" i="26"/>
  <c r="W147" i="26"/>
  <c r="X147" i="26"/>
  <c r="Y147" i="26"/>
  <c r="Z147" i="26"/>
  <c r="AA147" i="26"/>
  <c r="AB147" i="26"/>
  <c r="AC147" i="26"/>
  <c r="AD147" i="26"/>
  <c r="AE147" i="26"/>
  <c r="AF147" i="26"/>
  <c r="AG147" i="26"/>
  <c r="AH147" i="26"/>
  <c r="K148" i="26"/>
  <c r="L148" i="26"/>
  <c r="M148" i="26"/>
  <c r="N148" i="26"/>
  <c r="O148" i="26"/>
  <c r="P148" i="26"/>
  <c r="Q148" i="26"/>
  <c r="R148" i="26"/>
  <c r="S148" i="26"/>
  <c r="T148" i="26"/>
  <c r="U148" i="26"/>
  <c r="V148" i="26"/>
  <c r="W148" i="26"/>
  <c r="X148" i="26"/>
  <c r="Y148" i="26"/>
  <c r="Z148" i="26"/>
  <c r="AA148" i="26"/>
  <c r="AB148" i="26"/>
  <c r="AC148" i="26"/>
  <c r="AD148" i="26"/>
  <c r="AE148" i="26"/>
  <c r="AF148" i="26"/>
  <c r="AG148" i="26"/>
  <c r="AH148" i="26"/>
  <c r="K149" i="26"/>
  <c r="L149" i="26"/>
  <c r="M149" i="26"/>
  <c r="N149" i="26"/>
  <c r="O149" i="26"/>
  <c r="P149" i="26"/>
  <c r="Q149" i="26"/>
  <c r="R149" i="26"/>
  <c r="S149" i="26"/>
  <c r="T149" i="26"/>
  <c r="U149" i="26"/>
  <c r="V149" i="26"/>
  <c r="W149" i="26"/>
  <c r="X149" i="26"/>
  <c r="Y149" i="26"/>
  <c r="Z149" i="26"/>
  <c r="AA149" i="26"/>
  <c r="AB149" i="26"/>
  <c r="AC149" i="26"/>
  <c r="AD149" i="26"/>
  <c r="AE149" i="26"/>
  <c r="AF149" i="26"/>
  <c r="AG149" i="26"/>
  <c r="AH149" i="26"/>
  <c r="K150" i="26"/>
  <c r="L150" i="26"/>
  <c r="M150" i="26"/>
  <c r="N150" i="26"/>
  <c r="O150" i="26"/>
  <c r="P150" i="26"/>
  <c r="Q150" i="26"/>
  <c r="R150" i="26"/>
  <c r="S150" i="26"/>
  <c r="T150" i="26"/>
  <c r="U150" i="26"/>
  <c r="V150" i="26"/>
  <c r="W150" i="26"/>
  <c r="X150" i="26"/>
  <c r="Y150" i="26"/>
  <c r="Z150" i="26"/>
  <c r="AA150" i="26"/>
  <c r="AB150" i="26"/>
  <c r="AC150" i="26"/>
  <c r="AD150" i="26"/>
  <c r="AE150" i="26"/>
  <c r="AF150" i="26"/>
  <c r="AG150" i="26"/>
  <c r="AH150" i="26"/>
  <c r="K151" i="26"/>
  <c r="L151" i="26"/>
  <c r="M151" i="26"/>
  <c r="N151" i="26"/>
  <c r="O151" i="26"/>
  <c r="P151" i="26"/>
  <c r="Q151" i="26"/>
  <c r="R151" i="26"/>
  <c r="S151" i="26"/>
  <c r="T151" i="26"/>
  <c r="U151" i="26"/>
  <c r="V151" i="26"/>
  <c r="W151" i="26"/>
  <c r="X151" i="26"/>
  <c r="Y151" i="26"/>
  <c r="Z151" i="26"/>
  <c r="AA151" i="26"/>
  <c r="AB151" i="26"/>
  <c r="AC151" i="26"/>
  <c r="AD151" i="26"/>
  <c r="AE151" i="26"/>
  <c r="AF151" i="26"/>
  <c r="AG151" i="26"/>
  <c r="AH151" i="26"/>
  <c r="K152" i="26"/>
  <c r="L152" i="26"/>
  <c r="M152" i="26"/>
  <c r="N152" i="26"/>
  <c r="O152" i="26"/>
  <c r="P152" i="26"/>
  <c r="Q152" i="26"/>
  <c r="R152" i="26"/>
  <c r="S152" i="26"/>
  <c r="T152" i="26"/>
  <c r="U152" i="26"/>
  <c r="V152" i="26"/>
  <c r="W152" i="26"/>
  <c r="X152" i="26"/>
  <c r="Y152" i="26"/>
  <c r="Z152" i="26"/>
  <c r="AA152" i="26"/>
  <c r="AB152" i="26"/>
  <c r="AC152" i="26"/>
  <c r="AD152" i="26"/>
  <c r="AE152" i="26"/>
  <c r="AF152" i="26"/>
  <c r="AG152" i="26"/>
  <c r="AH152" i="26"/>
  <c r="K153" i="26"/>
  <c r="L153" i="26"/>
  <c r="M153" i="26"/>
  <c r="N153" i="26"/>
  <c r="O153" i="26"/>
  <c r="P153" i="26"/>
  <c r="Q153" i="26"/>
  <c r="R153" i="26"/>
  <c r="S153" i="26"/>
  <c r="T153" i="26"/>
  <c r="U153" i="26"/>
  <c r="V153" i="26"/>
  <c r="W153" i="26"/>
  <c r="X153" i="26"/>
  <c r="Y153" i="26"/>
  <c r="Z153" i="26"/>
  <c r="AA153" i="26"/>
  <c r="AB153" i="26"/>
  <c r="AC153" i="26"/>
  <c r="AD153" i="26"/>
  <c r="AE153" i="26"/>
  <c r="AF153" i="26"/>
  <c r="AG153" i="26"/>
  <c r="AH153" i="26"/>
  <c r="K154" i="26"/>
  <c r="L154" i="26"/>
  <c r="M154" i="26"/>
  <c r="N154" i="26"/>
  <c r="O154" i="26"/>
  <c r="P154" i="26"/>
  <c r="Q154" i="26"/>
  <c r="R154" i="26"/>
  <c r="S154" i="26"/>
  <c r="T154" i="26"/>
  <c r="U154" i="26"/>
  <c r="V154" i="26"/>
  <c r="W154" i="26"/>
  <c r="X154" i="26"/>
  <c r="Y154" i="26"/>
  <c r="Z154" i="26"/>
  <c r="AA154" i="26"/>
  <c r="AB154" i="26"/>
  <c r="AC154" i="26"/>
  <c r="AD154" i="26"/>
  <c r="AE154" i="26"/>
  <c r="AF154" i="26"/>
  <c r="AG154" i="26"/>
  <c r="AH154" i="26"/>
  <c r="K155" i="26"/>
  <c r="L155" i="26"/>
  <c r="M155" i="26"/>
  <c r="N155" i="26"/>
  <c r="O155" i="26"/>
  <c r="P155" i="26"/>
  <c r="Q155" i="26"/>
  <c r="R155" i="26"/>
  <c r="S155" i="26"/>
  <c r="T155" i="26"/>
  <c r="U155" i="26"/>
  <c r="V155" i="26"/>
  <c r="W155" i="26"/>
  <c r="X155" i="26"/>
  <c r="Y155" i="26"/>
  <c r="Z155" i="26"/>
  <c r="AA155" i="26"/>
  <c r="AB155" i="26"/>
  <c r="AC155" i="26"/>
  <c r="AD155" i="26"/>
  <c r="AE155" i="26"/>
  <c r="AF155" i="26"/>
  <c r="AG155" i="26"/>
  <c r="AH155" i="26"/>
  <c r="K156" i="26"/>
  <c r="L156" i="26"/>
  <c r="M156" i="26"/>
  <c r="N156" i="26"/>
  <c r="O156" i="26"/>
  <c r="P156" i="26"/>
  <c r="Q156" i="26"/>
  <c r="R156" i="26"/>
  <c r="S156" i="26"/>
  <c r="T156" i="26"/>
  <c r="U156" i="26"/>
  <c r="V156" i="26"/>
  <c r="W156" i="26"/>
  <c r="X156" i="26"/>
  <c r="Y156" i="26"/>
  <c r="Z156" i="26"/>
  <c r="AA156" i="26"/>
  <c r="AB156" i="26"/>
  <c r="AC156" i="26"/>
  <c r="AD156" i="26"/>
  <c r="AE156" i="26"/>
  <c r="AF156" i="26"/>
  <c r="AG156" i="26"/>
  <c r="AH156" i="26"/>
  <c r="K157" i="26"/>
  <c r="L157" i="26"/>
  <c r="M157" i="26"/>
  <c r="N157" i="26"/>
  <c r="O157" i="26"/>
  <c r="P157" i="26"/>
  <c r="Q157" i="26"/>
  <c r="R157" i="26"/>
  <c r="S157" i="26"/>
  <c r="T157" i="26"/>
  <c r="U157" i="26"/>
  <c r="V157" i="26"/>
  <c r="W157" i="26"/>
  <c r="X157" i="26"/>
  <c r="Y157" i="26"/>
  <c r="Z157" i="26"/>
  <c r="AA157" i="26"/>
  <c r="AB157" i="26"/>
  <c r="AC157" i="26"/>
  <c r="AD157" i="26"/>
  <c r="AE157" i="26"/>
  <c r="AF157" i="26"/>
  <c r="AG157" i="26"/>
  <c r="AH157" i="26"/>
  <c r="K158" i="26"/>
  <c r="L158" i="26"/>
  <c r="M158" i="26"/>
  <c r="N158" i="26"/>
  <c r="O158" i="26"/>
  <c r="P158" i="26"/>
  <c r="Q158" i="26"/>
  <c r="R158" i="26"/>
  <c r="S158" i="26"/>
  <c r="T158" i="26"/>
  <c r="U158" i="26"/>
  <c r="V158" i="26"/>
  <c r="W158" i="26"/>
  <c r="X158" i="26"/>
  <c r="Y158" i="26"/>
  <c r="Z158" i="26"/>
  <c r="AA158" i="26"/>
  <c r="AB158" i="26"/>
  <c r="AC158" i="26"/>
  <c r="AD158" i="26"/>
  <c r="AE158" i="26"/>
  <c r="AF158" i="26"/>
  <c r="AG158" i="26"/>
  <c r="AH158" i="26"/>
  <c r="K159" i="26"/>
  <c r="L159" i="26"/>
  <c r="M159" i="26"/>
  <c r="N159" i="26"/>
  <c r="O159" i="26"/>
  <c r="P159" i="26"/>
  <c r="Q159" i="26"/>
  <c r="R159" i="26"/>
  <c r="S159" i="26"/>
  <c r="T159" i="26"/>
  <c r="U159" i="26"/>
  <c r="V159" i="26"/>
  <c r="W159" i="26"/>
  <c r="X159" i="26"/>
  <c r="Y159" i="26"/>
  <c r="Z159" i="26"/>
  <c r="AA159" i="26"/>
  <c r="AB159" i="26"/>
  <c r="AC159" i="26"/>
  <c r="AD159" i="26"/>
  <c r="AE159" i="26"/>
  <c r="AF159" i="26"/>
  <c r="AG159" i="26"/>
  <c r="AH159" i="26"/>
  <c r="K160" i="26"/>
  <c r="L160" i="26"/>
  <c r="M160" i="26"/>
  <c r="N160" i="26"/>
  <c r="O160" i="26"/>
  <c r="P160" i="26"/>
  <c r="Q160" i="26"/>
  <c r="R160" i="26"/>
  <c r="S160" i="26"/>
  <c r="T160" i="26"/>
  <c r="U160" i="26"/>
  <c r="V160" i="26"/>
  <c r="W160" i="26"/>
  <c r="X160" i="26"/>
  <c r="Y160" i="26"/>
  <c r="Z160" i="26"/>
  <c r="AA160" i="26"/>
  <c r="AB160" i="26"/>
  <c r="AC160" i="26"/>
  <c r="AD160" i="26"/>
  <c r="AE160" i="26"/>
  <c r="AF160" i="26"/>
  <c r="AG160" i="26"/>
  <c r="AH160" i="26"/>
  <c r="K161" i="26"/>
  <c r="L161" i="26"/>
  <c r="M161" i="26"/>
  <c r="N161" i="26"/>
  <c r="O161" i="26"/>
  <c r="P161" i="26"/>
  <c r="Q161" i="26"/>
  <c r="R161" i="26"/>
  <c r="S161" i="26"/>
  <c r="T161" i="26"/>
  <c r="U161" i="26"/>
  <c r="V161" i="26"/>
  <c r="W161" i="26"/>
  <c r="X161" i="26"/>
  <c r="Y161" i="26"/>
  <c r="Z161" i="26"/>
  <c r="AA161" i="26"/>
  <c r="AB161" i="26"/>
  <c r="AC161" i="26"/>
  <c r="AD161" i="26"/>
  <c r="AE161" i="26"/>
  <c r="AF161" i="26"/>
  <c r="AG161" i="26"/>
  <c r="AH161" i="26"/>
  <c r="K162" i="26"/>
  <c r="L162" i="26"/>
  <c r="M162" i="26"/>
  <c r="N162" i="26"/>
  <c r="O162" i="26"/>
  <c r="P162" i="26"/>
  <c r="Q162" i="26"/>
  <c r="R162" i="26"/>
  <c r="S162" i="26"/>
  <c r="T162" i="26"/>
  <c r="U162" i="26"/>
  <c r="V162" i="26"/>
  <c r="W162" i="26"/>
  <c r="X162" i="26"/>
  <c r="Y162" i="26"/>
  <c r="Z162" i="26"/>
  <c r="AA162" i="26"/>
  <c r="AB162" i="26"/>
  <c r="AC162" i="26"/>
  <c r="AD162" i="26"/>
  <c r="AE162" i="26"/>
  <c r="AF162" i="26"/>
  <c r="AG162" i="26"/>
  <c r="AH162" i="26"/>
  <c r="K163" i="26"/>
  <c r="L163" i="26"/>
  <c r="M163" i="26"/>
  <c r="N163" i="26"/>
  <c r="O163" i="26"/>
  <c r="P163" i="26"/>
  <c r="Q163" i="26"/>
  <c r="R163" i="26"/>
  <c r="S163" i="26"/>
  <c r="T163" i="26"/>
  <c r="U163" i="26"/>
  <c r="V163" i="26"/>
  <c r="W163" i="26"/>
  <c r="X163" i="26"/>
  <c r="Y163" i="26"/>
  <c r="Z163" i="26"/>
  <c r="AA163" i="26"/>
  <c r="AB163" i="26"/>
  <c r="AC163" i="26"/>
  <c r="AD163" i="26"/>
  <c r="AE163" i="26"/>
  <c r="AF163" i="26"/>
  <c r="AG163" i="26"/>
  <c r="AH163" i="26"/>
  <c r="K164" i="26"/>
  <c r="L164" i="26"/>
  <c r="M164" i="26"/>
  <c r="N164" i="26"/>
  <c r="O164" i="26"/>
  <c r="P164" i="26"/>
  <c r="Q164" i="26"/>
  <c r="R164" i="26"/>
  <c r="S164" i="26"/>
  <c r="T164" i="26"/>
  <c r="U164" i="26"/>
  <c r="V164" i="26"/>
  <c r="W164" i="26"/>
  <c r="X164" i="26"/>
  <c r="Y164" i="26"/>
  <c r="Z164" i="26"/>
  <c r="AA164" i="26"/>
  <c r="AB164" i="26"/>
  <c r="AC164" i="26"/>
  <c r="AD164" i="26"/>
  <c r="AE164" i="26"/>
  <c r="AF164" i="26"/>
  <c r="AG164" i="26"/>
  <c r="AH164" i="26"/>
  <c r="K165" i="26"/>
  <c r="L165" i="26"/>
  <c r="M165" i="26"/>
  <c r="N165" i="26"/>
  <c r="O165" i="26"/>
  <c r="P165" i="26"/>
  <c r="Q165" i="26"/>
  <c r="R165" i="26"/>
  <c r="S165" i="26"/>
  <c r="T165" i="26"/>
  <c r="U165" i="26"/>
  <c r="V165" i="26"/>
  <c r="W165" i="26"/>
  <c r="X165" i="26"/>
  <c r="Y165" i="26"/>
  <c r="Z165" i="26"/>
  <c r="AA165" i="26"/>
  <c r="AB165" i="26"/>
  <c r="AC165" i="26"/>
  <c r="AD165" i="26"/>
  <c r="AE165" i="26"/>
  <c r="AF165" i="26"/>
  <c r="AG165" i="26"/>
  <c r="AH165" i="26"/>
  <c r="K166" i="26"/>
  <c r="L166" i="26"/>
  <c r="M166" i="26"/>
  <c r="N166" i="26"/>
  <c r="O166" i="26"/>
  <c r="P166" i="26"/>
  <c r="Q166" i="26"/>
  <c r="R166" i="26"/>
  <c r="S166" i="26"/>
  <c r="T166" i="26"/>
  <c r="U166" i="26"/>
  <c r="V166" i="26"/>
  <c r="W166" i="26"/>
  <c r="X166" i="26"/>
  <c r="Y166" i="26"/>
  <c r="Z166" i="26"/>
  <c r="AA166" i="26"/>
  <c r="AB166" i="26"/>
  <c r="AC166" i="26"/>
  <c r="AD166" i="26"/>
  <c r="AE166" i="26"/>
  <c r="AF166" i="26"/>
  <c r="AG166" i="26"/>
  <c r="AH166" i="26"/>
  <c r="K167" i="26"/>
  <c r="L167" i="26"/>
  <c r="M167" i="26"/>
  <c r="N167" i="26"/>
  <c r="O167" i="26"/>
  <c r="P167" i="26"/>
  <c r="Q167" i="26"/>
  <c r="R167" i="26"/>
  <c r="S167" i="26"/>
  <c r="T167" i="26"/>
  <c r="U167" i="26"/>
  <c r="V167" i="26"/>
  <c r="W167" i="26"/>
  <c r="X167" i="26"/>
  <c r="Y167" i="26"/>
  <c r="Z167" i="26"/>
  <c r="AA167" i="26"/>
  <c r="AB167" i="26"/>
  <c r="AC167" i="26"/>
  <c r="AD167" i="26"/>
  <c r="AE167" i="26"/>
  <c r="AF167" i="26"/>
  <c r="AG167" i="26"/>
  <c r="AH167" i="26"/>
  <c r="K168" i="26"/>
  <c r="L168" i="26"/>
  <c r="M168" i="26"/>
  <c r="N168" i="26"/>
  <c r="O168" i="26"/>
  <c r="P168" i="26"/>
  <c r="Q168" i="26"/>
  <c r="R168" i="26"/>
  <c r="S168" i="26"/>
  <c r="T168" i="26"/>
  <c r="U168" i="26"/>
  <c r="V168" i="26"/>
  <c r="W168" i="26"/>
  <c r="X168" i="26"/>
  <c r="Y168" i="26"/>
  <c r="Z168" i="26"/>
  <c r="AA168" i="26"/>
  <c r="AB168" i="26"/>
  <c r="AC168" i="26"/>
  <c r="AD168" i="26"/>
  <c r="AE168" i="26"/>
  <c r="AF168" i="26"/>
  <c r="AG168" i="26"/>
  <c r="AH168" i="26"/>
  <c r="K169" i="26"/>
  <c r="L169" i="26"/>
  <c r="M169" i="26"/>
  <c r="N169" i="26"/>
  <c r="O169" i="26"/>
  <c r="P169" i="26"/>
  <c r="Q169" i="26"/>
  <c r="R169" i="26"/>
  <c r="S169" i="26"/>
  <c r="T169" i="26"/>
  <c r="U169" i="26"/>
  <c r="V169" i="26"/>
  <c r="W169" i="26"/>
  <c r="X169" i="26"/>
  <c r="Y169" i="26"/>
  <c r="Z169" i="26"/>
  <c r="AA169" i="26"/>
  <c r="AB169" i="26"/>
  <c r="AC169" i="26"/>
  <c r="AD169" i="26"/>
  <c r="AE169" i="26"/>
  <c r="AF169" i="26"/>
  <c r="AG169" i="26"/>
  <c r="AH169" i="26"/>
  <c r="K170" i="26"/>
  <c r="L170" i="26"/>
  <c r="M170" i="26"/>
  <c r="N170" i="26"/>
  <c r="O170" i="26"/>
  <c r="P170" i="26"/>
  <c r="Q170" i="26"/>
  <c r="R170" i="26"/>
  <c r="S170" i="26"/>
  <c r="T170" i="26"/>
  <c r="U170" i="26"/>
  <c r="V170" i="26"/>
  <c r="W170" i="26"/>
  <c r="X170" i="26"/>
  <c r="Y170" i="26"/>
  <c r="Z170" i="26"/>
  <c r="AA170" i="26"/>
  <c r="AB170" i="26"/>
  <c r="AC170" i="26"/>
  <c r="AD170" i="26"/>
  <c r="AE170" i="26"/>
  <c r="AF170" i="26"/>
  <c r="AG170" i="26"/>
  <c r="AH170" i="26"/>
  <c r="K171" i="26"/>
  <c r="L171" i="26"/>
  <c r="M171" i="26"/>
  <c r="N171" i="26"/>
  <c r="O171" i="26"/>
  <c r="P171" i="26"/>
  <c r="Q171" i="26"/>
  <c r="R171" i="26"/>
  <c r="S171" i="26"/>
  <c r="T171" i="26"/>
  <c r="U171" i="26"/>
  <c r="V171" i="26"/>
  <c r="W171" i="26"/>
  <c r="X171" i="26"/>
  <c r="Y171" i="26"/>
  <c r="Z171" i="26"/>
  <c r="AA171" i="26"/>
  <c r="AB171" i="26"/>
  <c r="AC171" i="26"/>
  <c r="AD171" i="26"/>
  <c r="AE171" i="26"/>
  <c r="AF171" i="26"/>
  <c r="AG171" i="26"/>
  <c r="AH171" i="26"/>
  <c r="K172" i="26"/>
  <c r="L172" i="26"/>
  <c r="M172" i="26"/>
  <c r="N172" i="26"/>
  <c r="O172" i="26"/>
  <c r="P172" i="26"/>
  <c r="Q172" i="26"/>
  <c r="R172" i="26"/>
  <c r="S172" i="26"/>
  <c r="T172" i="26"/>
  <c r="U172" i="26"/>
  <c r="V172" i="26"/>
  <c r="W172" i="26"/>
  <c r="X172" i="26"/>
  <c r="Y172" i="26"/>
  <c r="Z172" i="26"/>
  <c r="AA172" i="26"/>
  <c r="AB172" i="26"/>
  <c r="AC172" i="26"/>
  <c r="AD172" i="26"/>
  <c r="AE172" i="26"/>
  <c r="AF172" i="26"/>
  <c r="AG172" i="26"/>
  <c r="AH172" i="26"/>
  <c r="K173" i="26"/>
  <c r="L173" i="26"/>
  <c r="M173" i="26"/>
  <c r="N173" i="26"/>
  <c r="O173" i="26"/>
  <c r="P173" i="26"/>
  <c r="Q173" i="26"/>
  <c r="R173" i="26"/>
  <c r="S173" i="26"/>
  <c r="T173" i="26"/>
  <c r="U173" i="26"/>
  <c r="V173" i="26"/>
  <c r="W173" i="26"/>
  <c r="X173" i="26"/>
  <c r="Y173" i="26"/>
  <c r="Z173" i="26"/>
  <c r="AA173" i="26"/>
  <c r="AB173" i="26"/>
  <c r="AC173" i="26"/>
  <c r="AD173" i="26"/>
  <c r="AE173" i="26"/>
  <c r="AF173" i="26"/>
  <c r="AG173" i="26"/>
  <c r="AH173" i="26"/>
  <c r="K174" i="26"/>
  <c r="L174" i="26"/>
  <c r="M174" i="26"/>
  <c r="N174" i="26"/>
  <c r="O174" i="26"/>
  <c r="P174" i="26"/>
  <c r="Q174" i="26"/>
  <c r="R174" i="26"/>
  <c r="S174" i="26"/>
  <c r="T174" i="26"/>
  <c r="U174" i="26"/>
  <c r="V174" i="26"/>
  <c r="W174" i="26"/>
  <c r="X174" i="26"/>
  <c r="Y174" i="26"/>
  <c r="Z174" i="26"/>
  <c r="AA174" i="26"/>
  <c r="AB174" i="26"/>
  <c r="AC174" i="26"/>
  <c r="AD174" i="26"/>
  <c r="AE174" i="26"/>
  <c r="AF174" i="26"/>
  <c r="AG174" i="26"/>
  <c r="AH174" i="26"/>
  <c r="K175" i="26"/>
  <c r="L175" i="26"/>
  <c r="M175" i="26"/>
  <c r="N175" i="26"/>
  <c r="O175" i="26"/>
  <c r="P175" i="26"/>
  <c r="Q175" i="26"/>
  <c r="R175" i="26"/>
  <c r="S175" i="26"/>
  <c r="T175" i="26"/>
  <c r="U175" i="26"/>
  <c r="V175" i="26"/>
  <c r="W175" i="26"/>
  <c r="X175" i="26"/>
  <c r="Y175" i="26"/>
  <c r="Z175" i="26"/>
  <c r="AA175" i="26"/>
  <c r="AB175" i="26"/>
  <c r="AC175" i="26"/>
  <c r="AD175" i="26"/>
  <c r="AE175" i="26"/>
  <c r="AF175" i="26"/>
  <c r="AG175" i="26"/>
  <c r="AH175" i="26"/>
  <c r="K176" i="26"/>
  <c r="L176" i="26"/>
  <c r="M176" i="26"/>
  <c r="N176" i="26"/>
  <c r="O176" i="26"/>
  <c r="P176" i="26"/>
  <c r="Q176" i="26"/>
  <c r="R176" i="26"/>
  <c r="S176" i="26"/>
  <c r="T176" i="26"/>
  <c r="U176" i="26"/>
  <c r="V176" i="26"/>
  <c r="W176" i="26"/>
  <c r="X176" i="26"/>
  <c r="Y176" i="26"/>
  <c r="Z176" i="26"/>
  <c r="AA176" i="26"/>
  <c r="AB176" i="26"/>
  <c r="AC176" i="26"/>
  <c r="AD176" i="26"/>
  <c r="AE176" i="26"/>
  <c r="AF176" i="26"/>
  <c r="AG176" i="26"/>
  <c r="AH176" i="26"/>
  <c r="K177" i="26"/>
  <c r="L177" i="26"/>
  <c r="M177" i="26"/>
  <c r="N177" i="26"/>
  <c r="O177" i="26"/>
  <c r="P177" i="26"/>
  <c r="Q177" i="26"/>
  <c r="R177" i="26"/>
  <c r="S177" i="26"/>
  <c r="T177" i="26"/>
  <c r="U177" i="26"/>
  <c r="V177" i="26"/>
  <c r="W177" i="26"/>
  <c r="X177" i="26"/>
  <c r="Y177" i="26"/>
  <c r="Z177" i="26"/>
  <c r="AA177" i="26"/>
  <c r="AB177" i="26"/>
  <c r="AC177" i="26"/>
  <c r="AD177" i="26"/>
  <c r="AE177" i="26"/>
  <c r="AF177" i="26"/>
  <c r="AG177" i="26"/>
  <c r="AH177" i="26"/>
  <c r="K178" i="26"/>
  <c r="L178" i="26"/>
  <c r="M178" i="26"/>
  <c r="N178" i="26"/>
  <c r="O178" i="26"/>
  <c r="P178" i="26"/>
  <c r="Q178" i="26"/>
  <c r="R178" i="26"/>
  <c r="S178" i="26"/>
  <c r="T178" i="26"/>
  <c r="U178" i="26"/>
  <c r="V178" i="26"/>
  <c r="W178" i="26"/>
  <c r="X178" i="26"/>
  <c r="Y178" i="26"/>
  <c r="Z178" i="26"/>
  <c r="AA178" i="26"/>
  <c r="AB178" i="26"/>
  <c r="AC178" i="26"/>
  <c r="AD178" i="26"/>
  <c r="AE178" i="26"/>
  <c r="AF178" i="26"/>
  <c r="AG178" i="26"/>
  <c r="AH178" i="26"/>
  <c r="K179" i="26"/>
  <c r="L179" i="26"/>
  <c r="M179" i="26"/>
  <c r="N179" i="26"/>
  <c r="O179" i="26"/>
  <c r="P179" i="26"/>
  <c r="Q179" i="26"/>
  <c r="R179" i="26"/>
  <c r="S179" i="26"/>
  <c r="T179" i="26"/>
  <c r="U179" i="26"/>
  <c r="V179" i="26"/>
  <c r="W179" i="26"/>
  <c r="X179" i="26"/>
  <c r="Y179" i="26"/>
  <c r="Z179" i="26"/>
  <c r="AA179" i="26"/>
  <c r="AB179" i="26"/>
  <c r="AC179" i="26"/>
  <c r="AD179" i="26"/>
  <c r="AE179" i="26"/>
  <c r="AF179" i="26"/>
  <c r="AG179" i="26"/>
  <c r="AH179" i="26"/>
  <c r="K180" i="26"/>
  <c r="L180" i="26"/>
  <c r="M180" i="26"/>
  <c r="N180" i="26"/>
  <c r="O180" i="26"/>
  <c r="P180" i="26"/>
  <c r="Q180" i="26"/>
  <c r="R180" i="26"/>
  <c r="S180" i="26"/>
  <c r="T180" i="26"/>
  <c r="U180" i="26"/>
  <c r="V180" i="26"/>
  <c r="W180" i="26"/>
  <c r="X180" i="26"/>
  <c r="Y180" i="26"/>
  <c r="Z180" i="26"/>
  <c r="AA180" i="26"/>
  <c r="AB180" i="26"/>
  <c r="AC180" i="26"/>
  <c r="AD180" i="26"/>
  <c r="AE180" i="26"/>
  <c r="AF180" i="26"/>
  <c r="AG180" i="26"/>
  <c r="AH180" i="26"/>
  <c r="K181" i="26"/>
  <c r="L181" i="26"/>
  <c r="M181" i="26"/>
  <c r="N181" i="26"/>
  <c r="O181" i="26"/>
  <c r="P181" i="26"/>
  <c r="Q181" i="26"/>
  <c r="R181" i="26"/>
  <c r="S181" i="26"/>
  <c r="T181" i="26"/>
  <c r="U181" i="26"/>
  <c r="V181" i="26"/>
  <c r="W181" i="26"/>
  <c r="X181" i="26"/>
  <c r="Y181" i="26"/>
  <c r="Z181" i="26"/>
  <c r="AA181" i="26"/>
  <c r="AB181" i="26"/>
  <c r="AC181" i="26"/>
  <c r="AD181" i="26"/>
  <c r="AE181" i="26"/>
  <c r="AF181" i="26"/>
  <c r="AG181" i="26"/>
  <c r="AH181" i="26"/>
  <c r="K182" i="26"/>
  <c r="L182" i="26"/>
  <c r="M182" i="26"/>
  <c r="N182" i="26"/>
  <c r="O182" i="26"/>
  <c r="P182" i="26"/>
  <c r="Q182" i="26"/>
  <c r="R182" i="26"/>
  <c r="S182" i="26"/>
  <c r="T182" i="26"/>
  <c r="U182" i="26"/>
  <c r="V182" i="26"/>
  <c r="W182" i="26"/>
  <c r="X182" i="26"/>
  <c r="Y182" i="26"/>
  <c r="Z182" i="26"/>
  <c r="AA182" i="26"/>
  <c r="AB182" i="26"/>
  <c r="AC182" i="26"/>
  <c r="AD182" i="26"/>
  <c r="AE182" i="26"/>
  <c r="AF182" i="26"/>
  <c r="AG182" i="26"/>
  <c r="AH182" i="26"/>
  <c r="K183" i="26"/>
  <c r="L183" i="26"/>
  <c r="M183" i="26"/>
  <c r="N183" i="26"/>
  <c r="O183" i="26"/>
  <c r="P183" i="26"/>
  <c r="Q183" i="26"/>
  <c r="R183" i="26"/>
  <c r="S183" i="26"/>
  <c r="T183" i="26"/>
  <c r="U183" i="26"/>
  <c r="V183" i="26"/>
  <c r="W183" i="26"/>
  <c r="X183" i="26"/>
  <c r="Y183" i="26"/>
  <c r="Z183" i="26"/>
  <c r="AA183" i="26"/>
  <c r="AB183" i="26"/>
  <c r="AC183" i="26"/>
  <c r="AD183" i="26"/>
  <c r="AE183" i="26"/>
  <c r="AF183" i="26"/>
  <c r="AG183" i="26"/>
  <c r="AH183" i="26"/>
  <c r="K184" i="26"/>
  <c r="L184" i="26"/>
  <c r="M184" i="26"/>
  <c r="N184" i="26"/>
  <c r="O184" i="26"/>
  <c r="P184" i="26"/>
  <c r="Q184" i="26"/>
  <c r="R184" i="26"/>
  <c r="S184" i="26"/>
  <c r="T184" i="26"/>
  <c r="U184" i="26"/>
  <c r="V184" i="26"/>
  <c r="W184" i="26"/>
  <c r="X184" i="26"/>
  <c r="Y184" i="26"/>
  <c r="Z184" i="26"/>
  <c r="AA184" i="26"/>
  <c r="AB184" i="26"/>
  <c r="AC184" i="26"/>
  <c r="AD184" i="26"/>
  <c r="AE184" i="26"/>
  <c r="AF184" i="26"/>
  <c r="AG184" i="26"/>
  <c r="AH184" i="26"/>
  <c r="K185" i="26"/>
  <c r="L185" i="26"/>
  <c r="M185" i="26"/>
  <c r="N185" i="26"/>
  <c r="O185" i="26"/>
  <c r="P185" i="26"/>
  <c r="Q185" i="26"/>
  <c r="R185" i="26"/>
  <c r="S185" i="26"/>
  <c r="T185" i="26"/>
  <c r="U185" i="26"/>
  <c r="V185" i="26"/>
  <c r="W185" i="26"/>
  <c r="X185" i="26"/>
  <c r="Y185" i="26"/>
  <c r="Z185" i="26"/>
  <c r="AA185" i="26"/>
  <c r="AB185" i="26"/>
  <c r="AC185" i="26"/>
  <c r="AD185" i="26"/>
  <c r="AE185" i="26"/>
  <c r="AF185" i="26"/>
  <c r="AG185" i="26"/>
  <c r="AH185" i="26"/>
  <c r="K186" i="26"/>
  <c r="L186" i="26"/>
  <c r="M186" i="26"/>
  <c r="N186" i="26"/>
  <c r="O186" i="26"/>
  <c r="P186" i="26"/>
  <c r="Q186" i="26"/>
  <c r="R186" i="26"/>
  <c r="S186" i="26"/>
  <c r="T186" i="26"/>
  <c r="U186" i="26"/>
  <c r="V186" i="26"/>
  <c r="W186" i="26"/>
  <c r="X186" i="26"/>
  <c r="Y186" i="26"/>
  <c r="Z186" i="26"/>
  <c r="AA186" i="26"/>
  <c r="AB186" i="26"/>
  <c r="AC186" i="26"/>
  <c r="AD186" i="26"/>
  <c r="AE186" i="26"/>
  <c r="AF186" i="26"/>
  <c r="AG186" i="26"/>
  <c r="AH186" i="26"/>
  <c r="K187" i="26"/>
  <c r="L187" i="26"/>
  <c r="M187" i="26"/>
  <c r="N187" i="26"/>
  <c r="O187" i="26"/>
  <c r="P187" i="26"/>
  <c r="Q187" i="26"/>
  <c r="R187" i="26"/>
  <c r="S187" i="26"/>
  <c r="T187" i="26"/>
  <c r="U187" i="26"/>
  <c r="V187" i="26"/>
  <c r="W187" i="26"/>
  <c r="X187" i="26"/>
  <c r="Y187" i="26"/>
  <c r="Z187" i="26"/>
  <c r="AA187" i="26"/>
  <c r="AB187" i="26"/>
  <c r="AC187" i="26"/>
  <c r="AD187" i="26"/>
  <c r="AE187" i="26"/>
  <c r="AF187" i="26"/>
  <c r="AG187" i="26"/>
  <c r="AH187" i="26"/>
  <c r="K188" i="26"/>
  <c r="L188" i="26"/>
  <c r="M188" i="26"/>
  <c r="N188" i="26"/>
  <c r="O188" i="26"/>
  <c r="P188" i="26"/>
  <c r="Q188" i="26"/>
  <c r="R188" i="26"/>
  <c r="S188" i="26"/>
  <c r="T188" i="26"/>
  <c r="U188" i="26"/>
  <c r="V188" i="26"/>
  <c r="W188" i="26"/>
  <c r="X188" i="26"/>
  <c r="Y188" i="26"/>
  <c r="Z188" i="26"/>
  <c r="AA188" i="26"/>
  <c r="AB188" i="26"/>
  <c r="AC188" i="26"/>
  <c r="AD188" i="26"/>
  <c r="AE188" i="26"/>
  <c r="AF188" i="26"/>
  <c r="AG188" i="26"/>
  <c r="AH188" i="26"/>
  <c r="K189" i="26"/>
  <c r="L189" i="26"/>
  <c r="M189" i="26"/>
  <c r="N189" i="26"/>
  <c r="O189" i="26"/>
  <c r="P189" i="26"/>
  <c r="Q189" i="26"/>
  <c r="R189" i="26"/>
  <c r="S189" i="26"/>
  <c r="T189" i="26"/>
  <c r="U189" i="26"/>
  <c r="V189" i="26"/>
  <c r="W189" i="26"/>
  <c r="X189" i="26"/>
  <c r="Y189" i="26"/>
  <c r="Z189" i="26"/>
  <c r="AA189" i="26"/>
  <c r="AB189" i="26"/>
  <c r="AC189" i="26"/>
  <c r="AD189" i="26"/>
  <c r="AE189" i="26"/>
  <c r="AF189" i="26"/>
  <c r="AG189" i="26"/>
  <c r="AH189" i="26"/>
  <c r="K190" i="26"/>
  <c r="L190" i="26"/>
  <c r="M190" i="26"/>
  <c r="N190" i="26"/>
  <c r="O190" i="26"/>
  <c r="P190" i="26"/>
  <c r="Q190" i="26"/>
  <c r="R190" i="26"/>
  <c r="S190" i="26"/>
  <c r="T190" i="26"/>
  <c r="U190" i="26"/>
  <c r="V190" i="26"/>
  <c r="W190" i="26"/>
  <c r="X190" i="26"/>
  <c r="Y190" i="26"/>
  <c r="Z190" i="26"/>
  <c r="AA190" i="26"/>
  <c r="AB190" i="26"/>
  <c r="AC190" i="26"/>
  <c r="AD190" i="26"/>
  <c r="AE190" i="26"/>
  <c r="AF190" i="26"/>
  <c r="AG190" i="26"/>
  <c r="AH190" i="26"/>
  <c r="K191" i="26"/>
  <c r="L191" i="26"/>
  <c r="M191" i="26"/>
  <c r="N191" i="26"/>
  <c r="O191" i="26"/>
  <c r="P191" i="26"/>
  <c r="Q191" i="26"/>
  <c r="R191" i="26"/>
  <c r="S191" i="26"/>
  <c r="T191" i="26"/>
  <c r="U191" i="26"/>
  <c r="V191" i="26"/>
  <c r="W191" i="26"/>
  <c r="X191" i="26"/>
  <c r="Y191" i="26"/>
  <c r="Z191" i="26"/>
  <c r="AA191" i="26"/>
  <c r="AB191" i="26"/>
  <c r="AC191" i="26"/>
  <c r="AD191" i="26"/>
  <c r="AE191" i="26"/>
  <c r="AF191" i="26"/>
  <c r="AG191" i="26"/>
  <c r="AH191" i="26"/>
  <c r="K192" i="26"/>
  <c r="L192" i="26"/>
  <c r="M192" i="26"/>
  <c r="N192" i="26"/>
  <c r="O192" i="26"/>
  <c r="P192" i="26"/>
  <c r="Q192" i="26"/>
  <c r="R192" i="26"/>
  <c r="S192" i="26"/>
  <c r="T192" i="26"/>
  <c r="U192" i="26"/>
  <c r="V192" i="26"/>
  <c r="W192" i="26"/>
  <c r="X192" i="26"/>
  <c r="Y192" i="26"/>
  <c r="Z192" i="26"/>
  <c r="AA192" i="26"/>
  <c r="AB192" i="26"/>
  <c r="AC192" i="26"/>
  <c r="AD192" i="26"/>
  <c r="AE192" i="26"/>
  <c r="AF192" i="26"/>
  <c r="AG192" i="26"/>
  <c r="AH192" i="26"/>
  <c r="K193" i="26"/>
  <c r="L193" i="26"/>
  <c r="M193" i="26"/>
  <c r="N193" i="26"/>
  <c r="O193" i="26"/>
  <c r="P193" i="26"/>
  <c r="Q193" i="26"/>
  <c r="R193" i="26"/>
  <c r="S193" i="26"/>
  <c r="T193" i="26"/>
  <c r="U193" i="26"/>
  <c r="V193" i="26"/>
  <c r="W193" i="26"/>
  <c r="X193" i="26"/>
  <c r="Y193" i="26"/>
  <c r="Z193" i="26"/>
  <c r="AA193" i="26"/>
  <c r="AB193" i="26"/>
  <c r="AC193" i="26"/>
  <c r="AD193" i="26"/>
  <c r="AE193" i="26"/>
  <c r="AF193" i="26"/>
  <c r="AG193" i="26"/>
  <c r="AH193" i="26"/>
  <c r="K194" i="26"/>
  <c r="L194" i="26"/>
  <c r="M194" i="26"/>
  <c r="N194" i="26"/>
  <c r="O194" i="26"/>
  <c r="P194" i="26"/>
  <c r="Q194" i="26"/>
  <c r="R194" i="26"/>
  <c r="S194" i="26"/>
  <c r="T194" i="26"/>
  <c r="U194" i="26"/>
  <c r="V194" i="26"/>
  <c r="W194" i="26"/>
  <c r="X194" i="26"/>
  <c r="Y194" i="26"/>
  <c r="Z194" i="26"/>
  <c r="AA194" i="26"/>
  <c r="AB194" i="26"/>
  <c r="AC194" i="26"/>
  <c r="AD194" i="26"/>
  <c r="AE194" i="26"/>
  <c r="AF194" i="26"/>
  <c r="AG194" i="26"/>
  <c r="AH194" i="26"/>
  <c r="K195" i="26"/>
  <c r="L195" i="26"/>
  <c r="M195" i="26"/>
  <c r="N195" i="26"/>
  <c r="O195" i="26"/>
  <c r="P195" i="26"/>
  <c r="Q195" i="26"/>
  <c r="R195" i="26"/>
  <c r="S195" i="26"/>
  <c r="T195" i="26"/>
  <c r="U195" i="26"/>
  <c r="V195" i="26"/>
  <c r="W195" i="26"/>
  <c r="X195" i="26"/>
  <c r="Y195" i="26"/>
  <c r="Z195" i="26"/>
  <c r="AA195" i="26"/>
  <c r="AB195" i="26"/>
  <c r="AC195" i="26"/>
  <c r="AD195" i="26"/>
  <c r="AE195" i="26"/>
  <c r="AF195" i="26"/>
  <c r="AG195" i="26"/>
  <c r="AH195" i="26"/>
  <c r="K196" i="26"/>
  <c r="L196" i="26"/>
  <c r="M196" i="26"/>
  <c r="N196" i="26"/>
  <c r="O196" i="26"/>
  <c r="P196" i="26"/>
  <c r="Q196" i="26"/>
  <c r="R196" i="26"/>
  <c r="S196" i="26"/>
  <c r="T196" i="26"/>
  <c r="U196" i="26"/>
  <c r="V196" i="26"/>
  <c r="W196" i="26"/>
  <c r="X196" i="26"/>
  <c r="Y196" i="26"/>
  <c r="Z196" i="26"/>
  <c r="AA196" i="26"/>
  <c r="AB196" i="26"/>
  <c r="AC196" i="26"/>
  <c r="AD196" i="26"/>
  <c r="AE196" i="26"/>
  <c r="AF196" i="26"/>
  <c r="AG196" i="26"/>
  <c r="AH196" i="26"/>
  <c r="K197" i="26"/>
  <c r="L197" i="26"/>
  <c r="M197" i="26"/>
  <c r="N197" i="26"/>
  <c r="O197" i="26"/>
  <c r="P197" i="26"/>
  <c r="Q197" i="26"/>
  <c r="R197" i="26"/>
  <c r="S197" i="26"/>
  <c r="T197" i="26"/>
  <c r="U197" i="26"/>
  <c r="V197" i="26"/>
  <c r="W197" i="26"/>
  <c r="X197" i="26"/>
  <c r="Y197" i="26"/>
  <c r="Z197" i="26"/>
  <c r="AA197" i="26"/>
  <c r="AB197" i="26"/>
  <c r="AC197" i="26"/>
  <c r="AD197" i="26"/>
  <c r="AE197" i="26"/>
  <c r="AF197" i="26"/>
  <c r="AG197" i="26"/>
  <c r="AH197" i="26"/>
  <c r="K198" i="26"/>
  <c r="L198" i="26"/>
  <c r="M198" i="26"/>
  <c r="N198" i="26"/>
  <c r="O198" i="26"/>
  <c r="P198" i="26"/>
  <c r="Q198" i="26"/>
  <c r="R198" i="26"/>
  <c r="S198" i="26"/>
  <c r="T198" i="26"/>
  <c r="U198" i="26"/>
  <c r="V198" i="26"/>
  <c r="W198" i="26"/>
  <c r="X198" i="26"/>
  <c r="Y198" i="26"/>
  <c r="Z198" i="26"/>
  <c r="AA198" i="26"/>
  <c r="AB198" i="26"/>
  <c r="AC198" i="26"/>
  <c r="AD198" i="26"/>
  <c r="AE198" i="26"/>
  <c r="AF198" i="26"/>
  <c r="AG198" i="26"/>
  <c r="AH198" i="26"/>
  <c r="K199" i="26"/>
  <c r="L199" i="26"/>
  <c r="M199" i="26"/>
  <c r="N199" i="26"/>
  <c r="O199" i="26"/>
  <c r="P199" i="26"/>
  <c r="Q199" i="26"/>
  <c r="R199" i="26"/>
  <c r="S199" i="26"/>
  <c r="T199" i="26"/>
  <c r="U199" i="26"/>
  <c r="V199" i="26"/>
  <c r="W199" i="26"/>
  <c r="X199" i="26"/>
  <c r="Y199" i="26"/>
  <c r="Z199" i="26"/>
  <c r="AA199" i="26"/>
  <c r="AB199" i="26"/>
  <c r="AC199" i="26"/>
  <c r="AD199" i="26"/>
  <c r="AE199" i="26"/>
  <c r="AF199" i="26"/>
  <c r="AG199" i="26"/>
  <c r="AH199" i="26"/>
  <c r="K200" i="26"/>
  <c r="L200" i="26"/>
  <c r="M200" i="26"/>
  <c r="N200" i="26"/>
  <c r="O200" i="26"/>
  <c r="P200" i="26"/>
  <c r="Q200" i="26"/>
  <c r="R200" i="26"/>
  <c r="S200" i="26"/>
  <c r="T200" i="26"/>
  <c r="U200" i="26"/>
  <c r="V200" i="26"/>
  <c r="W200" i="26"/>
  <c r="X200" i="26"/>
  <c r="Y200" i="26"/>
  <c r="Z200" i="26"/>
  <c r="AA200" i="26"/>
  <c r="AB200" i="26"/>
  <c r="AC200" i="26"/>
  <c r="AD200" i="26"/>
  <c r="AE200" i="26"/>
  <c r="AF200" i="26"/>
  <c r="AG200" i="26"/>
  <c r="AH200" i="26"/>
  <c r="K201" i="26"/>
  <c r="L201" i="26"/>
  <c r="M201" i="26"/>
  <c r="N201" i="26"/>
  <c r="O201" i="26"/>
  <c r="P201" i="26"/>
  <c r="Q201" i="26"/>
  <c r="R201" i="26"/>
  <c r="S201" i="26"/>
  <c r="T201" i="26"/>
  <c r="U201" i="26"/>
  <c r="V201" i="26"/>
  <c r="W201" i="26"/>
  <c r="X201" i="26"/>
  <c r="Y201" i="26"/>
  <c r="Z201" i="26"/>
  <c r="AA201" i="26"/>
  <c r="AB201" i="26"/>
  <c r="AC201" i="26"/>
  <c r="AD201" i="26"/>
  <c r="AE201" i="26"/>
  <c r="AF201" i="26"/>
  <c r="AG201" i="26"/>
  <c r="AH201" i="26"/>
  <c r="K202" i="26"/>
  <c r="L202" i="26"/>
  <c r="M202" i="26"/>
  <c r="N202" i="26"/>
  <c r="O202" i="26"/>
  <c r="P202" i="26"/>
  <c r="Q202" i="26"/>
  <c r="R202" i="26"/>
  <c r="S202" i="26"/>
  <c r="T202" i="26"/>
  <c r="U202" i="26"/>
  <c r="V202" i="26"/>
  <c r="W202" i="26"/>
  <c r="X202" i="26"/>
  <c r="Y202" i="26"/>
  <c r="Z202" i="26"/>
  <c r="AA202" i="26"/>
  <c r="AB202" i="26"/>
  <c r="AC202" i="26"/>
  <c r="AD202" i="26"/>
  <c r="AE202" i="26"/>
  <c r="AF202" i="26"/>
  <c r="AG202" i="26"/>
  <c r="AH202" i="26"/>
  <c r="K203" i="26"/>
  <c r="L203" i="26"/>
  <c r="M203" i="26"/>
  <c r="N203" i="26"/>
  <c r="O203" i="26"/>
  <c r="P203" i="26"/>
  <c r="Q203" i="26"/>
  <c r="R203" i="26"/>
  <c r="S203" i="26"/>
  <c r="T203" i="26"/>
  <c r="U203" i="26"/>
  <c r="V203" i="26"/>
  <c r="W203" i="26"/>
  <c r="X203" i="26"/>
  <c r="Y203" i="26"/>
  <c r="Z203" i="26"/>
  <c r="AA203" i="26"/>
  <c r="AB203" i="26"/>
  <c r="AC203" i="26"/>
  <c r="AD203" i="26"/>
  <c r="AE203" i="26"/>
  <c r="AF203" i="26"/>
  <c r="AG203" i="26"/>
  <c r="AH203" i="26"/>
  <c r="K204" i="26"/>
  <c r="L204" i="26"/>
  <c r="M204" i="26"/>
  <c r="N204" i="26"/>
  <c r="O204" i="26"/>
  <c r="P204" i="26"/>
  <c r="Q204" i="26"/>
  <c r="R204" i="26"/>
  <c r="S204" i="26"/>
  <c r="T204" i="26"/>
  <c r="U204" i="26"/>
  <c r="V204" i="26"/>
  <c r="W204" i="26"/>
  <c r="X204" i="26"/>
  <c r="Y204" i="26"/>
  <c r="Z204" i="26"/>
  <c r="AA204" i="26"/>
  <c r="AB204" i="26"/>
  <c r="AC204" i="26"/>
  <c r="AD204" i="26"/>
  <c r="AE204" i="26"/>
  <c r="AF204" i="26"/>
  <c r="AG204" i="26"/>
  <c r="AH204" i="26"/>
  <c r="K205" i="26"/>
  <c r="L205" i="26"/>
  <c r="M205" i="26"/>
  <c r="N205" i="26"/>
  <c r="O205" i="26"/>
  <c r="P205" i="26"/>
  <c r="Q205" i="26"/>
  <c r="R205" i="26"/>
  <c r="S205" i="26"/>
  <c r="T205" i="26"/>
  <c r="U205" i="26"/>
  <c r="V205" i="26"/>
  <c r="W205" i="26"/>
  <c r="X205" i="26"/>
  <c r="Y205" i="26"/>
  <c r="Z205" i="26"/>
  <c r="AA205" i="26"/>
  <c r="AB205" i="26"/>
  <c r="AC205" i="26"/>
  <c r="AD205" i="26"/>
  <c r="AE205" i="26"/>
  <c r="AF205" i="26"/>
  <c r="AG205" i="26"/>
  <c r="AH205" i="26"/>
  <c r="K206" i="26"/>
  <c r="L206" i="26"/>
  <c r="M206" i="26"/>
  <c r="N206" i="26"/>
  <c r="O206" i="26"/>
  <c r="P206" i="26"/>
  <c r="Q206" i="26"/>
  <c r="R206" i="26"/>
  <c r="S206" i="26"/>
  <c r="T206" i="26"/>
  <c r="U206" i="26"/>
  <c r="V206" i="26"/>
  <c r="W206" i="26"/>
  <c r="X206" i="26"/>
  <c r="Y206" i="26"/>
  <c r="Z206" i="26"/>
  <c r="AA206" i="26"/>
  <c r="AB206" i="26"/>
  <c r="AC206" i="26"/>
  <c r="AD206" i="26"/>
  <c r="AE206" i="26"/>
  <c r="AF206" i="26"/>
  <c r="AG206" i="26"/>
  <c r="AH206" i="26"/>
  <c r="K207" i="26"/>
  <c r="L207" i="26"/>
  <c r="M207" i="26"/>
  <c r="N207" i="26"/>
  <c r="O207" i="26"/>
  <c r="P207" i="26"/>
  <c r="Q207" i="26"/>
  <c r="R207" i="26"/>
  <c r="S207" i="26"/>
  <c r="T207" i="26"/>
  <c r="U207" i="26"/>
  <c r="V207" i="26"/>
  <c r="W207" i="26"/>
  <c r="X207" i="26"/>
  <c r="Y207" i="26"/>
  <c r="Z207" i="26"/>
  <c r="AA207" i="26"/>
  <c r="AB207" i="26"/>
  <c r="AC207" i="26"/>
  <c r="AD207" i="26"/>
  <c r="AE207" i="26"/>
  <c r="AF207" i="26"/>
  <c r="AG207" i="26"/>
  <c r="AH207" i="26"/>
  <c r="K208" i="26"/>
  <c r="L208" i="26"/>
  <c r="M208" i="26"/>
  <c r="N208" i="26"/>
  <c r="O208" i="26"/>
  <c r="P208" i="26"/>
  <c r="Q208" i="26"/>
  <c r="R208" i="26"/>
  <c r="S208" i="26"/>
  <c r="T208" i="26"/>
  <c r="U208" i="26"/>
  <c r="V208" i="26"/>
  <c r="W208" i="26"/>
  <c r="X208" i="26"/>
  <c r="Y208" i="26"/>
  <c r="Z208" i="26"/>
  <c r="AA208" i="26"/>
  <c r="AB208" i="26"/>
  <c r="AC208" i="26"/>
  <c r="AD208" i="26"/>
  <c r="AE208" i="26"/>
  <c r="AF208" i="26"/>
  <c r="AG208" i="26"/>
  <c r="AH208" i="26"/>
  <c r="K209" i="26"/>
  <c r="L209" i="26"/>
  <c r="M209" i="26"/>
  <c r="N209" i="26"/>
  <c r="O209" i="26"/>
  <c r="P209" i="26"/>
  <c r="Q209" i="26"/>
  <c r="R209" i="26"/>
  <c r="S209" i="26"/>
  <c r="T209" i="26"/>
  <c r="U209" i="26"/>
  <c r="V209" i="26"/>
  <c r="W209" i="26"/>
  <c r="X209" i="26"/>
  <c r="Y209" i="26"/>
  <c r="Z209" i="26"/>
  <c r="AA209" i="26"/>
  <c r="AB209" i="26"/>
  <c r="AC209" i="26"/>
  <c r="AD209" i="26"/>
  <c r="AE209" i="26"/>
  <c r="AF209" i="26"/>
  <c r="AG209" i="26"/>
  <c r="AH209" i="26"/>
  <c r="K210" i="26"/>
  <c r="L210" i="26"/>
  <c r="M210" i="26"/>
  <c r="N210" i="26"/>
  <c r="O210" i="26"/>
  <c r="P210" i="26"/>
  <c r="Q210" i="26"/>
  <c r="R210" i="26"/>
  <c r="S210" i="26"/>
  <c r="T210" i="26"/>
  <c r="U210" i="26"/>
  <c r="V210" i="26"/>
  <c r="W210" i="26"/>
  <c r="X210" i="26"/>
  <c r="Y210" i="26"/>
  <c r="Z210" i="26"/>
  <c r="AA210" i="26"/>
  <c r="AB210" i="26"/>
  <c r="AC210" i="26"/>
  <c r="AD210" i="26"/>
  <c r="AE210" i="26"/>
  <c r="AF210" i="26"/>
  <c r="AG210" i="26"/>
  <c r="AH210" i="26"/>
  <c r="K211" i="26"/>
  <c r="L211" i="26"/>
  <c r="M211" i="26"/>
  <c r="N211" i="26"/>
  <c r="O211" i="26"/>
  <c r="P211" i="26"/>
  <c r="Q211" i="26"/>
  <c r="R211" i="26"/>
  <c r="S211" i="26"/>
  <c r="T211" i="26"/>
  <c r="U211" i="26"/>
  <c r="V211" i="26"/>
  <c r="W211" i="26"/>
  <c r="X211" i="26"/>
  <c r="Y211" i="26"/>
  <c r="Z211" i="26"/>
  <c r="AA211" i="26"/>
  <c r="AB211" i="26"/>
  <c r="AC211" i="26"/>
  <c r="AD211" i="26"/>
  <c r="AE211" i="26"/>
  <c r="AF211" i="26"/>
  <c r="AG211" i="26"/>
  <c r="AH211" i="26"/>
  <c r="K212" i="26"/>
  <c r="L212" i="26"/>
  <c r="M212" i="26"/>
  <c r="N212" i="26"/>
  <c r="O212" i="26"/>
  <c r="P212" i="26"/>
  <c r="Q212" i="26"/>
  <c r="R212" i="26"/>
  <c r="S212" i="26"/>
  <c r="T212" i="26"/>
  <c r="U212" i="26"/>
  <c r="V212" i="26"/>
  <c r="W212" i="26"/>
  <c r="X212" i="26"/>
  <c r="Y212" i="26"/>
  <c r="Z212" i="26"/>
  <c r="AA212" i="26"/>
  <c r="AB212" i="26"/>
  <c r="AC212" i="26"/>
  <c r="AD212" i="26"/>
  <c r="AE212" i="26"/>
  <c r="AF212" i="26"/>
  <c r="AG212" i="26"/>
  <c r="AH212" i="26"/>
  <c r="K213" i="26"/>
  <c r="L213" i="26"/>
  <c r="M213" i="26"/>
  <c r="N213" i="26"/>
  <c r="O213" i="26"/>
  <c r="P213" i="26"/>
  <c r="Q213" i="26"/>
  <c r="R213" i="26"/>
  <c r="S213" i="26"/>
  <c r="T213" i="26"/>
  <c r="U213" i="26"/>
  <c r="V213" i="26"/>
  <c r="W213" i="26"/>
  <c r="X213" i="26"/>
  <c r="Y213" i="26"/>
  <c r="Z213" i="26"/>
  <c r="AA213" i="26"/>
  <c r="AB213" i="26"/>
  <c r="AC213" i="26"/>
  <c r="AD213" i="26"/>
  <c r="AE213" i="26"/>
  <c r="AF213" i="26"/>
  <c r="AG213" i="26"/>
  <c r="AH213" i="26"/>
  <c r="K214" i="26"/>
  <c r="L214" i="26"/>
  <c r="M214" i="26"/>
  <c r="N214" i="26"/>
  <c r="O214" i="26"/>
  <c r="P214" i="26"/>
  <c r="Q214" i="26"/>
  <c r="R214" i="26"/>
  <c r="S214" i="26"/>
  <c r="T214" i="26"/>
  <c r="U214" i="26"/>
  <c r="V214" i="26"/>
  <c r="W214" i="26"/>
  <c r="X214" i="26"/>
  <c r="Y214" i="26"/>
  <c r="Z214" i="26"/>
  <c r="AA214" i="26"/>
  <c r="AB214" i="26"/>
  <c r="AC214" i="26"/>
  <c r="AD214" i="26"/>
  <c r="AE214" i="26"/>
  <c r="AF214" i="26"/>
  <c r="AG214" i="26"/>
  <c r="AH214" i="26"/>
  <c r="K215" i="26"/>
  <c r="L215" i="26"/>
  <c r="M215" i="26"/>
  <c r="N215" i="26"/>
  <c r="O215" i="26"/>
  <c r="P215" i="26"/>
  <c r="Q215" i="26"/>
  <c r="R215" i="26"/>
  <c r="S215" i="26"/>
  <c r="T215" i="26"/>
  <c r="U215" i="26"/>
  <c r="V215" i="26"/>
  <c r="W215" i="26"/>
  <c r="X215" i="26"/>
  <c r="Y215" i="26"/>
  <c r="Z215" i="26"/>
  <c r="AA215" i="26"/>
  <c r="AB215" i="26"/>
  <c r="AC215" i="26"/>
  <c r="AD215" i="26"/>
  <c r="AE215" i="26"/>
  <c r="AF215" i="26"/>
  <c r="AG215" i="26"/>
  <c r="AH215" i="26"/>
  <c r="K216" i="26"/>
  <c r="L216" i="26"/>
  <c r="M216" i="26"/>
  <c r="N216" i="26"/>
  <c r="O216" i="26"/>
  <c r="P216" i="26"/>
  <c r="Q216" i="26"/>
  <c r="R216" i="26"/>
  <c r="S216" i="26"/>
  <c r="T216" i="26"/>
  <c r="U216" i="26"/>
  <c r="V216" i="26"/>
  <c r="W216" i="26"/>
  <c r="X216" i="26"/>
  <c r="Y216" i="26"/>
  <c r="Z216" i="26"/>
  <c r="AA216" i="26"/>
  <c r="AB216" i="26"/>
  <c r="AC216" i="26"/>
  <c r="AD216" i="26"/>
  <c r="AE216" i="26"/>
  <c r="AF216" i="26"/>
  <c r="AG216" i="26"/>
  <c r="AH216" i="26"/>
  <c r="K217" i="26"/>
  <c r="L217" i="26"/>
  <c r="M217" i="26"/>
  <c r="N217" i="26"/>
  <c r="O217" i="26"/>
  <c r="P217" i="26"/>
  <c r="Q217" i="26"/>
  <c r="R217" i="26"/>
  <c r="S217" i="26"/>
  <c r="T217" i="26"/>
  <c r="U217" i="26"/>
  <c r="V217" i="26"/>
  <c r="W217" i="26"/>
  <c r="X217" i="26"/>
  <c r="Y217" i="26"/>
  <c r="Z217" i="26"/>
  <c r="AA217" i="26"/>
  <c r="AB217" i="26"/>
  <c r="AC217" i="26"/>
  <c r="AD217" i="26"/>
  <c r="AE217" i="26"/>
  <c r="AF217" i="26"/>
  <c r="AG217" i="26"/>
  <c r="AH217" i="26"/>
  <c r="K218" i="26"/>
  <c r="L218" i="26"/>
  <c r="M218" i="26"/>
  <c r="N218" i="26"/>
  <c r="O218" i="26"/>
  <c r="P218" i="26"/>
  <c r="Q218" i="26"/>
  <c r="R218" i="26"/>
  <c r="S218" i="26"/>
  <c r="T218" i="26"/>
  <c r="U218" i="26"/>
  <c r="V218" i="26"/>
  <c r="W218" i="26"/>
  <c r="X218" i="26"/>
  <c r="Y218" i="26"/>
  <c r="Z218" i="26"/>
  <c r="AA218" i="26"/>
  <c r="AB218" i="26"/>
  <c r="AC218" i="26"/>
  <c r="AD218" i="26"/>
  <c r="AE218" i="26"/>
  <c r="AF218" i="26"/>
  <c r="AG218" i="26"/>
  <c r="AH218" i="26"/>
  <c r="K219" i="26"/>
  <c r="L219" i="26"/>
  <c r="M219" i="26"/>
  <c r="N219" i="26"/>
  <c r="O219" i="26"/>
  <c r="P219" i="26"/>
  <c r="Q219" i="26"/>
  <c r="R219" i="26"/>
  <c r="S219" i="26"/>
  <c r="T219" i="26"/>
  <c r="U219" i="26"/>
  <c r="V219" i="26"/>
  <c r="W219" i="26"/>
  <c r="X219" i="26"/>
  <c r="Y219" i="26"/>
  <c r="Z219" i="26"/>
  <c r="AA219" i="26"/>
  <c r="AB219" i="26"/>
  <c r="AC219" i="26"/>
  <c r="AD219" i="26"/>
  <c r="AE219" i="26"/>
  <c r="AF219" i="26"/>
  <c r="AG219" i="26"/>
  <c r="AH219" i="26"/>
  <c r="K220" i="26"/>
  <c r="L220" i="26"/>
  <c r="M220" i="26"/>
  <c r="N220" i="26"/>
  <c r="O220" i="26"/>
  <c r="P220" i="26"/>
  <c r="Q220" i="26"/>
  <c r="R220" i="26"/>
  <c r="S220" i="26"/>
  <c r="T220" i="26"/>
  <c r="U220" i="26"/>
  <c r="V220" i="26"/>
  <c r="W220" i="26"/>
  <c r="X220" i="26"/>
  <c r="Y220" i="26"/>
  <c r="Z220" i="26"/>
  <c r="AA220" i="26"/>
  <c r="AB220" i="26"/>
  <c r="AC220" i="26"/>
  <c r="AD220" i="26"/>
  <c r="AE220" i="26"/>
  <c r="AF220" i="26"/>
  <c r="AG220" i="26"/>
  <c r="AH220" i="26"/>
  <c r="K221" i="26"/>
  <c r="L221" i="26"/>
  <c r="M221" i="26"/>
  <c r="N221" i="26"/>
  <c r="O221" i="26"/>
  <c r="P221" i="26"/>
  <c r="Q221" i="26"/>
  <c r="R221" i="26"/>
  <c r="S221" i="26"/>
  <c r="T221" i="26"/>
  <c r="U221" i="26"/>
  <c r="V221" i="26"/>
  <c r="W221" i="26"/>
  <c r="X221" i="26"/>
  <c r="Y221" i="26"/>
  <c r="Z221" i="26"/>
  <c r="AA221" i="26"/>
  <c r="AB221" i="26"/>
  <c r="AC221" i="26"/>
  <c r="AD221" i="26"/>
  <c r="AE221" i="26"/>
  <c r="AF221" i="26"/>
  <c r="AG221" i="26"/>
  <c r="AH221" i="26"/>
  <c r="K222" i="26"/>
  <c r="L222" i="26"/>
  <c r="M222" i="26"/>
  <c r="N222" i="26"/>
  <c r="O222" i="26"/>
  <c r="P222" i="26"/>
  <c r="Q222" i="26"/>
  <c r="R222" i="26"/>
  <c r="S222" i="26"/>
  <c r="T222" i="26"/>
  <c r="U222" i="26"/>
  <c r="V222" i="26"/>
  <c r="W222" i="26"/>
  <c r="X222" i="26"/>
  <c r="Y222" i="26"/>
  <c r="Z222" i="26"/>
  <c r="AA222" i="26"/>
  <c r="AB222" i="26"/>
  <c r="AC222" i="26"/>
  <c r="AD222" i="26"/>
  <c r="AE222" i="26"/>
  <c r="AF222" i="26"/>
  <c r="AG222" i="26"/>
  <c r="AH222" i="26"/>
  <c r="K223" i="26"/>
  <c r="L223" i="26"/>
  <c r="M223" i="26"/>
  <c r="N223" i="26"/>
  <c r="O223" i="26"/>
  <c r="P223" i="26"/>
  <c r="Q223" i="26"/>
  <c r="R223" i="26"/>
  <c r="S223" i="26"/>
  <c r="T223" i="26"/>
  <c r="U223" i="26"/>
  <c r="V223" i="26"/>
  <c r="W223" i="26"/>
  <c r="X223" i="26"/>
  <c r="Y223" i="26"/>
  <c r="Z223" i="26"/>
  <c r="AA223" i="26"/>
  <c r="AB223" i="26"/>
  <c r="AC223" i="26"/>
  <c r="AD223" i="26"/>
  <c r="AE223" i="26"/>
  <c r="AF223" i="26"/>
  <c r="AG223" i="26"/>
  <c r="AH223" i="26"/>
  <c r="K224" i="26"/>
  <c r="L224" i="26"/>
  <c r="M224" i="26"/>
  <c r="N224" i="26"/>
  <c r="O224" i="26"/>
  <c r="P224" i="26"/>
  <c r="Q224" i="26"/>
  <c r="R224" i="26"/>
  <c r="S224" i="26"/>
  <c r="T224" i="26"/>
  <c r="U224" i="26"/>
  <c r="V224" i="26"/>
  <c r="W224" i="26"/>
  <c r="X224" i="26"/>
  <c r="Y224" i="26"/>
  <c r="Z224" i="26"/>
  <c r="AA224" i="26"/>
  <c r="AB224" i="26"/>
  <c r="AC224" i="26"/>
  <c r="AD224" i="26"/>
  <c r="AE224" i="26"/>
  <c r="AF224" i="26"/>
  <c r="AG224" i="26"/>
  <c r="AH224" i="26"/>
  <c r="K225" i="26"/>
  <c r="L225" i="26"/>
  <c r="M225" i="26"/>
  <c r="N225" i="26"/>
  <c r="O225" i="26"/>
  <c r="P225" i="26"/>
  <c r="Q225" i="26"/>
  <c r="R225" i="26"/>
  <c r="S225" i="26"/>
  <c r="T225" i="26"/>
  <c r="U225" i="26"/>
  <c r="V225" i="26"/>
  <c r="W225" i="26"/>
  <c r="X225" i="26"/>
  <c r="Y225" i="26"/>
  <c r="Z225" i="26"/>
  <c r="AA225" i="26"/>
  <c r="AB225" i="26"/>
  <c r="AC225" i="26"/>
  <c r="AD225" i="26"/>
  <c r="AE225" i="26"/>
  <c r="AF225" i="26"/>
  <c r="AG225" i="26"/>
  <c r="AH225" i="26"/>
  <c r="K226" i="26"/>
  <c r="L226" i="26"/>
  <c r="M226" i="26"/>
  <c r="N226" i="26"/>
  <c r="O226" i="26"/>
  <c r="P226" i="26"/>
  <c r="Q226" i="26"/>
  <c r="R226" i="26"/>
  <c r="S226" i="26"/>
  <c r="T226" i="26"/>
  <c r="U226" i="26"/>
  <c r="V226" i="26"/>
  <c r="W226" i="26"/>
  <c r="X226" i="26"/>
  <c r="Y226" i="26"/>
  <c r="Z226" i="26"/>
  <c r="AA226" i="26"/>
  <c r="AB226" i="26"/>
  <c r="AC226" i="26"/>
  <c r="AD226" i="26"/>
  <c r="AE226" i="26"/>
  <c r="AF226" i="26"/>
  <c r="AG226" i="26"/>
  <c r="AH226" i="26"/>
  <c r="K227" i="26"/>
  <c r="L227" i="26"/>
  <c r="M227" i="26"/>
  <c r="N227" i="26"/>
  <c r="O227" i="26"/>
  <c r="P227" i="26"/>
  <c r="Q227" i="26"/>
  <c r="R227" i="26"/>
  <c r="S227" i="26"/>
  <c r="T227" i="26"/>
  <c r="U227" i="26"/>
  <c r="V227" i="26"/>
  <c r="W227" i="26"/>
  <c r="X227" i="26"/>
  <c r="Y227" i="26"/>
  <c r="Z227" i="26"/>
  <c r="AA227" i="26"/>
  <c r="AB227" i="26"/>
  <c r="AC227" i="26"/>
  <c r="AD227" i="26"/>
  <c r="AE227" i="26"/>
  <c r="AF227" i="26"/>
  <c r="AG227" i="26"/>
  <c r="AH227" i="26"/>
  <c r="K228" i="26"/>
  <c r="L228" i="26"/>
  <c r="M228" i="26"/>
  <c r="N228" i="26"/>
  <c r="O228" i="26"/>
  <c r="P228" i="26"/>
  <c r="Q228" i="26"/>
  <c r="R228" i="26"/>
  <c r="S228" i="26"/>
  <c r="T228" i="26"/>
  <c r="U228" i="26"/>
  <c r="V228" i="26"/>
  <c r="W228" i="26"/>
  <c r="X228" i="26"/>
  <c r="Y228" i="26"/>
  <c r="Z228" i="26"/>
  <c r="AA228" i="26"/>
  <c r="AB228" i="26"/>
  <c r="AC228" i="26"/>
  <c r="AD228" i="26"/>
  <c r="AE228" i="26"/>
  <c r="AF228" i="26"/>
  <c r="AG228" i="26"/>
  <c r="AH228" i="26"/>
  <c r="K229" i="26"/>
  <c r="L229" i="26"/>
  <c r="M229" i="26"/>
  <c r="N229" i="26"/>
  <c r="O229" i="26"/>
  <c r="P229" i="26"/>
  <c r="Q229" i="26"/>
  <c r="R229" i="26"/>
  <c r="S229" i="26"/>
  <c r="T229" i="26"/>
  <c r="U229" i="26"/>
  <c r="V229" i="26"/>
  <c r="W229" i="26"/>
  <c r="X229" i="26"/>
  <c r="Y229" i="26"/>
  <c r="Z229" i="26"/>
  <c r="AA229" i="26"/>
  <c r="AB229" i="26"/>
  <c r="AC229" i="26"/>
  <c r="AD229" i="26"/>
  <c r="AE229" i="26"/>
  <c r="AF229" i="26"/>
  <c r="AG229" i="26"/>
  <c r="AH229" i="26"/>
  <c r="K230" i="26"/>
  <c r="L230" i="26"/>
  <c r="M230" i="26"/>
  <c r="N230" i="26"/>
  <c r="O230" i="26"/>
  <c r="P230" i="26"/>
  <c r="Q230" i="26"/>
  <c r="R230" i="26"/>
  <c r="S230" i="26"/>
  <c r="T230" i="26"/>
  <c r="U230" i="26"/>
  <c r="V230" i="26"/>
  <c r="W230" i="26"/>
  <c r="X230" i="26"/>
  <c r="Y230" i="26"/>
  <c r="Z230" i="26"/>
  <c r="AA230" i="26"/>
  <c r="AB230" i="26"/>
  <c r="AC230" i="26"/>
  <c r="AD230" i="26"/>
  <c r="AE230" i="26"/>
  <c r="AF230" i="26"/>
  <c r="AG230" i="26"/>
  <c r="AH230" i="26"/>
  <c r="K231" i="26"/>
  <c r="L231" i="26"/>
  <c r="M231" i="26"/>
  <c r="N231" i="26"/>
  <c r="O231" i="26"/>
  <c r="P231" i="26"/>
  <c r="Q231" i="26"/>
  <c r="R231" i="26"/>
  <c r="S231" i="26"/>
  <c r="T231" i="26"/>
  <c r="U231" i="26"/>
  <c r="V231" i="26"/>
  <c r="W231" i="26"/>
  <c r="X231" i="26"/>
  <c r="Y231" i="26"/>
  <c r="Z231" i="26"/>
  <c r="AA231" i="26"/>
  <c r="AB231" i="26"/>
  <c r="AC231" i="26"/>
  <c r="AD231" i="26"/>
  <c r="AE231" i="26"/>
  <c r="AF231" i="26"/>
  <c r="AG231" i="26"/>
  <c r="AH231" i="26"/>
  <c r="K232" i="26"/>
  <c r="L232" i="26"/>
  <c r="M232" i="26"/>
  <c r="N232" i="26"/>
  <c r="O232" i="26"/>
  <c r="P232" i="26"/>
  <c r="Q232" i="26"/>
  <c r="R232" i="26"/>
  <c r="S232" i="26"/>
  <c r="T232" i="26"/>
  <c r="U232" i="26"/>
  <c r="V232" i="26"/>
  <c r="W232" i="26"/>
  <c r="X232" i="26"/>
  <c r="Y232" i="26"/>
  <c r="Z232" i="26"/>
  <c r="AA232" i="26"/>
  <c r="AB232" i="26"/>
  <c r="AC232" i="26"/>
  <c r="AD232" i="26"/>
  <c r="AE232" i="26"/>
  <c r="AF232" i="26"/>
  <c r="AG232" i="26"/>
  <c r="AH232" i="26"/>
  <c r="K233" i="26"/>
  <c r="L233" i="26"/>
  <c r="M233" i="26"/>
  <c r="N233" i="26"/>
  <c r="O233" i="26"/>
  <c r="P233" i="26"/>
  <c r="Q233" i="26"/>
  <c r="R233" i="26"/>
  <c r="S233" i="26"/>
  <c r="T233" i="26"/>
  <c r="U233" i="26"/>
  <c r="V233" i="26"/>
  <c r="W233" i="26"/>
  <c r="X233" i="26"/>
  <c r="Y233" i="26"/>
  <c r="Z233" i="26"/>
  <c r="AA233" i="26"/>
  <c r="AB233" i="26"/>
  <c r="AC233" i="26"/>
  <c r="AD233" i="26"/>
  <c r="AE233" i="26"/>
  <c r="AF233" i="26"/>
  <c r="AG233" i="26"/>
  <c r="AH233" i="26"/>
  <c r="K234" i="26"/>
  <c r="L234" i="26"/>
  <c r="M234" i="26"/>
  <c r="N234" i="26"/>
  <c r="O234" i="26"/>
  <c r="P234" i="26"/>
  <c r="Q234" i="26"/>
  <c r="R234" i="26"/>
  <c r="S234" i="26"/>
  <c r="T234" i="26"/>
  <c r="U234" i="26"/>
  <c r="V234" i="26"/>
  <c r="W234" i="26"/>
  <c r="X234" i="26"/>
  <c r="Y234" i="26"/>
  <c r="Z234" i="26"/>
  <c r="AA234" i="26"/>
  <c r="AB234" i="26"/>
  <c r="AC234" i="26"/>
  <c r="AD234" i="26"/>
  <c r="AE234" i="26"/>
  <c r="AF234" i="26"/>
  <c r="AG234" i="26"/>
  <c r="AH234" i="26"/>
  <c r="K235" i="26"/>
  <c r="L235" i="26"/>
  <c r="M235" i="26"/>
  <c r="N235" i="26"/>
  <c r="O235" i="26"/>
  <c r="P235" i="26"/>
  <c r="Q235" i="26"/>
  <c r="R235" i="26"/>
  <c r="S235" i="26"/>
  <c r="T235" i="26"/>
  <c r="U235" i="26"/>
  <c r="V235" i="26"/>
  <c r="W235" i="26"/>
  <c r="X235" i="26"/>
  <c r="Y235" i="26"/>
  <c r="Z235" i="26"/>
  <c r="AA235" i="26"/>
  <c r="AB235" i="26"/>
  <c r="AC235" i="26"/>
  <c r="AD235" i="26"/>
  <c r="AE235" i="26"/>
  <c r="AF235" i="26"/>
  <c r="AG235" i="26"/>
  <c r="AH235" i="26"/>
  <c r="K236" i="26"/>
  <c r="L236" i="26"/>
  <c r="M236" i="26"/>
  <c r="N236" i="26"/>
  <c r="O236" i="26"/>
  <c r="P236" i="26"/>
  <c r="Q236" i="26"/>
  <c r="R236" i="26"/>
  <c r="S236" i="26"/>
  <c r="T236" i="26"/>
  <c r="U236" i="26"/>
  <c r="V236" i="26"/>
  <c r="W236" i="26"/>
  <c r="X236" i="26"/>
  <c r="Y236" i="26"/>
  <c r="Z236" i="26"/>
  <c r="AA236" i="26"/>
  <c r="AB236" i="26"/>
  <c r="AC236" i="26"/>
  <c r="AD236" i="26"/>
  <c r="AE236" i="26"/>
  <c r="AF236" i="26"/>
  <c r="AG236" i="26"/>
  <c r="AH236" i="26"/>
  <c r="K237" i="26"/>
  <c r="L237" i="26"/>
  <c r="M237" i="26"/>
  <c r="N237" i="26"/>
  <c r="O237" i="26"/>
  <c r="P237" i="26"/>
  <c r="Q237" i="26"/>
  <c r="R237" i="26"/>
  <c r="S237" i="26"/>
  <c r="T237" i="26"/>
  <c r="U237" i="26"/>
  <c r="V237" i="26"/>
  <c r="W237" i="26"/>
  <c r="X237" i="26"/>
  <c r="Y237" i="26"/>
  <c r="Z237" i="26"/>
  <c r="AA237" i="26"/>
  <c r="AB237" i="26"/>
  <c r="AC237" i="26"/>
  <c r="AD237" i="26"/>
  <c r="AE237" i="26"/>
  <c r="AF237" i="26"/>
  <c r="AG237" i="26"/>
  <c r="AH237" i="26"/>
  <c r="K238" i="26"/>
  <c r="L238" i="26"/>
  <c r="M238" i="26"/>
  <c r="N238" i="26"/>
  <c r="O238" i="26"/>
  <c r="P238" i="26"/>
  <c r="Q238" i="26"/>
  <c r="R238" i="26"/>
  <c r="S238" i="26"/>
  <c r="T238" i="26"/>
  <c r="U238" i="26"/>
  <c r="V238" i="26"/>
  <c r="W238" i="26"/>
  <c r="X238" i="26"/>
  <c r="Y238" i="26"/>
  <c r="Z238" i="26"/>
  <c r="AA238" i="26"/>
  <c r="AB238" i="26"/>
  <c r="AC238" i="26"/>
  <c r="AD238" i="26"/>
  <c r="AE238" i="26"/>
  <c r="AF238" i="26"/>
  <c r="AG238" i="26"/>
  <c r="AH238" i="26"/>
  <c r="K239" i="26"/>
  <c r="L239" i="26"/>
  <c r="M239" i="26"/>
  <c r="N239" i="26"/>
  <c r="O239" i="26"/>
  <c r="P239" i="26"/>
  <c r="Q239" i="26"/>
  <c r="R239" i="26"/>
  <c r="S239" i="26"/>
  <c r="T239" i="26"/>
  <c r="U239" i="26"/>
  <c r="V239" i="26"/>
  <c r="W239" i="26"/>
  <c r="X239" i="26"/>
  <c r="Y239" i="26"/>
  <c r="Z239" i="26"/>
  <c r="AA239" i="26"/>
  <c r="AB239" i="26"/>
  <c r="AC239" i="26"/>
  <c r="AD239" i="26"/>
  <c r="AE239" i="26"/>
  <c r="AF239" i="26"/>
  <c r="AG239" i="26"/>
  <c r="AH239" i="26"/>
  <c r="K240" i="26"/>
  <c r="L240" i="26"/>
  <c r="M240" i="26"/>
  <c r="N240" i="26"/>
  <c r="O240" i="26"/>
  <c r="P240" i="26"/>
  <c r="Q240" i="26"/>
  <c r="R240" i="26"/>
  <c r="S240" i="26"/>
  <c r="T240" i="26"/>
  <c r="U240" i="26"/>
  <c r="V240" i="26"/>
  <c r="W240" i="26"/>
  <c r="X240" i="26"/>
  <c r="Y240" i="26"/>
  <c r="Z240" i="26"/>
  <c r="AA240" i="26"/>
  <c r="AB240" i="26"/>
  <c r="AC240" i="26"/>
  <c r="AD240" i="26"/>
  <c r="AE240" i="26"/>
  <c r="AF240" i="26"/>
  <c r="AG240" i="26"/>
  <c r="AH240" i="26"/>
  <c r="K241" i="26"/>
  <c r="L241" i="26"/>
  <c r="M241" i="26"/>
  <c r="N241" i="26"/>
  <c r="O241" i="26"/>
  <c r="P241" i="26"/>
  <c r="Q241" i="26"/>
  <c r="R241" i="26"/>
  <c r="S241" i="26"/>
  <c r="T241" i="26"/>
  <c r="U241" i="26"/>
  <c r="V241" i="26"/>
  <c r="W241" i="26"/>
  <c r="X241" i="26"/>
  <c r="Y241" i="26"/>
  <c r="Z241" i="26"/>
  <c r="AA241" i="26"/>
  <c r="AB241" i="26"/>
  <c r="AC241" i="26"/>
  <c r="AD241" i="26"/>
  <c r="AE241" i="26"/>
  <c r="AF241" i="26"/>
  <c r="AG241" i="26"/>
  <c r="AH241" i="26"/>
  <c r="K242" i="26"/>
  <c r="L242" i="26"/>
  <c r="M242" i="26"/>
  <c r="N242" i="26"/>
  <c r="O242" i="26"/>
  <c r="P242" i="26"/>
  <c r="Q242" i="26"/>
  <c r="R242" i="26"/>
  <c r="S242" i="26"/>
  <c r="T242" i="26"/>
  <c r="U242" i="26"/>
  <c r="V242" i="26"/>
  <c r="W242" i="26"/>
  <c r="X242" i="26"/>
  <c r="Y242" i="26"/>
  <c r="Z242" i="26"/>
  <c r="AA242" i="26"/>
  <c r="AB242" i="26"/>
  <c r="AC242" i="26"/>
  <c r="AD242" i="26"/>
  <c r="AE242" i="26"/>
  <c r="AF242" i="26"/>
  <c r="AG242" i="26"/>
  <c r="AH242" i="26"/>
  <c r="K243" i="26"/>
  <c r="L243" i="26"/>
  <c r="M243" i="26"/>
  <c r="N243" i="26"/>
  <c r="O243" i="26"/>
  <c r="P243" i="26"/>
  <c r="Q243" i="26"/>
  <c r="R243" i="26"/>
  <c r="S243" i="26"/>
  <c r="T243" i="26"/>
  <c r="U243" i="26"/>
  <c r="V243" i="26"/>
  <c r="W243" i="26"/>
  <c r="X243" i="26"/>
  <c r="Y243" i="26"/>
  <c r="Z243" i="26"/>
  <c r="AA243" i="26"/>
  <c r="AB243" i="26"/>
  <c r="AC243" i="26"/>
  <c r="AD243" i="26"/>
  <c r="AE243" i="26"/>
  <c r="AF243" i="26"/>
  <c r="AG243" i="26"/>
  <c r="AH243" i="26"/>
  <c r="K244" i="26"/>
  <c r="L244" i="26"/>
  <c r="M244" i="26"/>
  <c r="N244" i="26"/>
  <c r="O244" i="26"/>
  <c r="P244" i="26"/>
  <c r="Q244" i="26"/>
  <c r="R244" i="26"/>
  <c r="S244" i="26"/>
  <c r="T244" i="26"/>
  <c r="U244" i="26"/>
  <c r="V244" i="26"/>
  <c r="W244" i="26"/>
  <c r="X244" i="26"/>
  <c r="Y244" i="26"/>
  <c r="Z244" i="26"/>
  <c r="AA244" i="26"/>
  <c r="AB244" i="26"/>
  <c r="AC244" i="26"/>
  <c r="AD244" i="26"/>
  <c r="AE244" i="26"/>
  <c r="AF244" i="26"/>
  <c r="AG244" i="26"/>
  <c r="AH244" i="26"/>
  <c r="K245" i="26"/>
  <c r="L245" i="26"/>
  <c r="M245" i="26"/>
  <c r="N245" i="26"/>
  <c r="O245" i="26"/>
  <c r="P245" i="26"/>
  <c r="Q245" i="26"/>
  <c r="R245" i="26"/>
  <c r="S245" i="26"/>
  <c r="T245" i="26"/>
  <c r="U245" i="26"/>
  <c r="V245" i="26"/>
  <c r="W245" i="26"/>
  <c r="X245" i="26"/>
  <c r="Y245" i="26"/>
  <c r="Z245" i="26"/>
  <c r="AA245" i="26"/>
  <c r="AB245" i="26"/>
  <c r="AC245" i="26"/>
  <c r="AD245" i="26"/>
  <c r="AE245" i="26"/>
  <c r="AF245" i="26"/>
  <c r="AG245" i="26"/>
  <c r="AH245" i="26"/>
  <c r="K246" i="26"/>
  <c r="L246" i="26"/>
  <c r="M246" i="26"/>
  <c r="N246" i="26"/>
  <c r="O246" i="26"/>
  <c r="P246" i="26"/>
  <c r="Q246" i="26"/>
  <c r="R246" i="26"/>
  <c r="S246" i="26"/>
  <c r="T246" i="26"/>
  <c r="U246" i="26"/>
  <c r="V246" i="26"/>
  <c r="W246" i="26"/>
  <c r="X246" i="26"/>
  <c r="Y246" i="26"/>
  <c r="Z246" i="26"/>
  <c r="AA246" i="26"/>
  <c r="AB246" i="26"/>
  <c r="AC246" i="26"/>
  <c r="AD246" i="26"/>
  <c r="AE246" i="26"/>
  <c r="AF246" i="26"/>
  <c r="AG246" i="26"/>
  <c r="AH246" i="26"/>
  <c r="K247" i="26"/>
  <c r="L247" i="26"/>
  <c r="M247" i="26"/>
  <c r="N247" i="26"/>
  <c r="O247" i="26"/>
  <c r="P247" i="26"/>
  <c r="Q247" i="26"/>
  <c r="R247" i="26"/>
  <c r="S247" i="26"/>
  <c r="T247" i="26"/>
  <c r="U247" i="26"/>
  <c r="V247" i="26"/>
  <c r="W247" i="26"/>
  <c r="X247" i="26"/>
  <c r="Y247" i="26"/>
  <c r="Z247" i="26"/>
  <c r="AA247" i="26"/>
  <c r="AB247" i="26"/>
  <c r="AC247" i="26"/>
  <c r="AD247" i="26"/>
  <c r="AE247" i="26"/>
  <c r="AF247" i="26"/>
  <c r="AG247" i="26"/>
  <c r="AH247" i="26"/>
  <c r="K248" i="26"/>
  <c r="L248" i="26"/>
  <c r="M248" i="26"/>
  <c r="N248" i="26"/>
  <c r="O248" i="26"/>
  <c r="P248" i="26"/>
  <c r="Q248" i="26"/>
  <c r="R248" i="26"/>
  <c r="S248" i="26"/>
  <c r="T248" i="26"/>
  <c r="U248" i="26"/>
  <c r="V248" i="26"/>
  <c r="W248" i="26"/>
  <c r="X248" i="26"/>
  <c r="Y248" i="26"/>
  <c r="Z248" i="26"/>
  <c r="AA248" i="26"/>
  <c r="AB248" i="26"/>
  <c r="AC248" i="26"/>
  <c r="AD248" i="26"/>
  <c r="AE248" i="26"/>
  <c r="AF248" i="26"/>
  <c r="AG248" i="26"/>
  <c r="AH248" i="26"/>
  <c r="K249" i="26"/>
  <c r="L249" i="26"/>
  <c r="M249" i="26"/>
  <c r="N249" i="26"/>
  <c r="O249" i="26"/>
  <c r="P249" i="26"/>
  <c r="Q249" i="26"/>
  <c r="R249" i="26"/>
  <c r="S249" i="26"/>
  <c r="T249" i="26"/>
  <c r="U249" i="26"/>
  <c r="V249" i="26"/>
  <c r="W249" i="26"/>
  <c r="X249" i="26"/>
  <c r="Y249" i="26"/>
  <c r="Z249" i="26"/>
  <c r="AA249" i="26"/>
  <c r="AB249" i="26"/>
  <c r="AC249" i="26"/>
  <c r="AD249" i="26"/>
  <c r="AE249" i="26"/>
  <c r="AF249" i="26"/>
  <c r="AG249" i="26"/>
  <c r="AH249" i="26"/>
  <c r="K250" i="26"/>
  <c r="L250" i="26"/>
  <c r="M250" i="26"/>
  <c r="N250" i="26"/>
  <c r="O250" i="26"/>
  <c r="P250" i="26"/>
  <c r="Q250" i="26"/>
  <c r="R250" i="26"/>
  <c r="S250" i="26"/>
  <c r="T250" i="26"/>
  <c r="U250" i="26"/>
  <c r="V250" i="26"/>
  <c r="W250" i="26"/>
  <c r="X250" i="26"/>
  <c r="Y250" i="26"/>
  <c r="Z250" i="26"/>
  <c r="AA250" i="26"/>
  <c r="AB250" i="26"/>
  <c r="AC250" i="26"/>
  <c r="AD250" i="26"/>
  <c r="AE250" i="26"/>
  <c r="AF250" i="26"/>
  <c r="AG250" i="26"/>
  <c r="AH250" i="26"/>
  <c r="K251" i="26"/>
  <c r="L251" i="26"/>
  <c r="M251" i="26"/>
  <c r="N251" i="26"/>
  <c r="O251" i="26"/>
  <c r="P251" i="26"/>
  <c r="Q251" i="26"/>
  <c r="R251" i="26"/>
  <c r="S251" i="26"/>
  <c r="T251" i="26"/>
  <c r="U251" i="26"/>
  <c r="V251" i="26"/>
  <c r="W251" i="26"/>
  <c r="X251" i="26"/>
  <c r="Y251" i="26"/>
  <c r="Z251" i="26"/>
  <c r="AA251" i="26"/>
  <c r="AB251" i="26"/>
  <c r="AC251" i="26"/>
  <c r="AD251" i="26"/>
  <c r="AE251" i="26"/>
  <c r="AF251" i="26"/>
  <c r="AG251" i="26"/>
  <c r="AH251" i="26"/>
  <c r="K252" i="26"/>
  <c r="L252" i="26"/>
  <c r="M252" i="26"/>
  <c r="N252" i="26"/>
  <c r="O252" i="26"/>
  <c r="P252" i="26"/>
  <c r="Q252" i="26"/>
  <c r="R252" i="26"/>
  <c r="S252" i="26"/>
  <c r="T252" i="26"/>
  <c r="U252" i="26"/>
  <c r="V252" i="26"/>
  <c r="W252" i="26"/>
  <c r="X252" i="26"/>
  <c r="Y252" i="26"/>
  <c r="Z252" i="26"/>
  <c r="AA252" i="26"/>
  <c r="AB252" i="26"/>
  <c r="AC252" i="26"/>
  <c r="AD252" i="26"/>
  <c r="AE252" i="26"/>
  <c r="AF252" i="26"/>
  <c r="AG252" i="26"/>
  <c r="AH252" i="26"/>
  <c r="K253" i="26"/>
  <c r="L253" i="26"/>
  <c r="M253" i="26"/>
  <c r="N253" i="26"/>
  <c r="O253" i="26"/>
  <c r="P253" i="26"/>
  <c r="Q253" i="26"/>
  <c r="R253" i="26"/>
  <c r="S253" i="26"/>
  <c r="T253" i="26"/>
  <c r="U253" i="26"/>
  <c r="V253" i="26"/>
  <c r="W253" i="26"/>
  <c r="X253" i="26"/>
  <c r="Y253" i="26"/>
  <c r="Z253" i="26"/>
  <c r="AA253" i="26"/>
  <c r="AB253" i="26"/>
  <c r="AC253" i="26"/>
  <c r="AD253" i="26"/>
  <c r="AE253" i="26"/>
  <c r="AF253" i="26"/>
  <c r="AG253" i="26"/>
  <c r="AH253" i="26"/>
  <c r="K254" i="26"/>
  <c r="L254" i="26"/>
  <c r="M254" i="26"/>
  <c r="N254" i="26"/>
  <c r="O254" i="26"/>
  <c r="P254" i="26"/>
  <c r="Q254" i="26"/>
  <c r="R254" i="26"/>
  <c r="S254" i="26"/>
  <c r="T254" i="26"/>
  <c r="U254" i="26"/>
  <c r="V254" i="26"/>
  <c r="W254" i="26"/>
  <c r="X254" i="26"/>
  <c r="Y254" i="26"/>
  <c r="Z254" i="26"/>
  <c r="AA254" i="26"/>
  <c r="AB254" i="26"/>
  <c r="AC254" i="26"/>
  <c r="AD254" i="26"/>
  <c r="AE254" i="26"/>
  <c r="AF254" i="26"/>
  <c r="AG254" i="26"/>
  <c r="AH254" i="26"/>
  <c r="K255" i="26"/>
  <c r="L255" i="26"/>
  <c r="M255" i="26"/>
  <c r="N255" i="26"/>
  <c r="O255" i="26"/>
  <c r="P255" i="26"/>
  <c r="Q255" i="26"/>
  <c r="R255" i="26"/>
  <c r="S255" i="26"/>
  <c r="T255" i="26"/>
  <c r="U255" i="26"/>
  <c r="V255" i="26"/>
  <c r="W255" i="26"/>
  <c r="X255" i="26"/>
  <c r="Y255" i="26"/>
  <c r="Z255" i="26"/>
  <c r="AA255" i="26"/>
  <c r="AB255" i="26"/>
  <c r="AC255" i="26"/>
  <c r="AD255" i="26"/>
  <c r="AE255" i="26"/>
  <c r="AF255" i="26"/>
  <c r="AG255" i="26"/>
  <c r="AH255" i="26"/>
  <c r="K256" i="26"/>
  <c r="L256" i="26"/>
  <c r="M256" i="26"/>
  <c r="N256" i="26"/>
  <c r="O256" i="26"/>
  <c r="P256" i="26"/>
  <c r="Q256" i="26"/>
  <c r="R256" i="26"/>
  <c r="S256" i="26"/>
  <c r="T256" i="26"/>
  <c r="U256" i="26"/>
  <c r="V256" i="26"/>
  <c r="W256" i="26"/>
  <c r="X256" i="26"/>
  <c r="Y256" i="26"/>
  <c r="Z256" i="26"/>
  <c r="AA256" i="26"/>
  <c r="AB256" i="26"/>
  <c r="AC256" i="26"/>
  <c r="AD256" i="26"/>
  <c r="AE256" i="26"/>
  <c r="AF256" i="26"/>
  <c r="AG256" i="26"/>
  <c r="AH256" i="26"/>
  <c r="K257" i="26"/>
  <c r="L257" i="26"/>
  <c r="M257" i="26"/>
  <c r="N257" i="26"/>
  <c r="O257" i="26"/>
  <c r="P257" i="26"/>
  <c r="Q257" i="26"/>
  <c r="R257" i="26"/>
  <c r="S257" i="26"/>
  <c r="T257" i="26"/>
  <c r="U257" i="26"/>
  <c r="V257" i="26"/>
  <c r="W257" i="26"/>
  <c r="X257" i="26"/>
  <c r="Y257" i="26"/>
  <c r="Z257" i="26"/>
  <c r="AA257" i="26"/>
  <c r="AB257" i="26"/>
  <c r="AC257" i="26"/>
  <c r="AD257" i="26"/>
  <c r="AE257" i="26"/>
  <c r="AF257" i="26"/>
  <c r="AG257" i="26"/>
  <c r="AH257" i="26"/>
  <c r="K258" i="26"/>
  <c r="L258" i="26"/>
  <c r="M258" i="26"/>
  <c r="N258" i="26"/>
  <c r="O258" i="26"/>
  <c r="P258" i="26"/>
  <c r="Q258" i="26"/>
  <c r="R258" i="26"/>
  <c r="S258" i="26"/>
  <c r="T258" i="26"/>
  <c r="U258" i="26"/>
  <c r="V258" i="26"/>
  <c r="W258" i="26"/>
  <c r="X258" i="26"/>
  <c r="Y258" i="26"/>
  <c r="Z258" i="26"/>
  <c r="AA258" i="26"/>
  <c r="AB258" i="26"/>
  <c r="AC258" i="26"/>
  <c r="AD258" i="26"/>
  <c r="AE258" i="26"/>
  <c r="AF258" i="26"/>
  <c r="AG258" i="26"/>
  <c r="AH258" i="26"/>
  <c r="K259" i="26"/>
  <c r="L259" i="26"/>
  <c r="M259" i="26"/>
  <c r="N259" i="26"/>
  <c r="O259" i="26"/>
  <c r="P259" i="26"/>
  <c r="Q259" i="26"/>
  <c r="R259" i="26"/>
  <c r="S259" i="26"/>
  <c r="T259" i="26"/>
  <c r="U259" i="26"/>
  <c r="V259" i="26"/>
  <c r="W259" i="26"/>
  <c r="X259" i="26"/>
  <c r="Y259" i="26"/>
  <c r="Z259" i="26"/>
  <c r="AA259" i="26"/>
  <c r="AB259" i="26"/>
  <c r="AC259" i="26"/>
  <c r="AD259" i="26"/>
  <c r="AE259" i="26"/>
  <c r="AF259" i="26"/>
  <c r="AG259" i="26"/>
  <c r="AH259" i="26"/>
  <c r="K260" i="26"/>
  <c r="L260" i="26"/>
  <c r="M260" i="26"/>
  <c r="N260" i="26"/>
  <c r="O260" i="26"/>
  <c r="P260" i="26"/>
  <c r="Q260" i="26"/>
  <c r="R260" i="26"/>
  <c r="S260" i="26"/>
  <c r="T260" i="26"/>
  <c r="U260" i="26"/>
  <c r="V260" i="26"/>
  <c r="W260" i="26"/>
  <c r="X260" i="26"/>
  <c r="Y260" i="26"/>
  <c r="Z260" i="26"/>
  <c r="AA260" i="26"/>
  <c r="AB260" i="26"/>
  <c r="AC260" i="26"/>
  <c r="AD260" i="26"/>
  <c r="AE260" i="26"/>
  <c r="AF260" i="26"/>
  <c r="AG260" i="26"/>
  <c r="AH260" i="26"/>
  <c r="K261" i="26"/>
  <c r="L261" i="26"/>
  <c r="M261" i="26"/>
  <c r="N261" i="26"/>
  <c r="O261" i="26"/>
  <c r="P261" i="26"/>
  <c r="Q261" i="26"/>
  <c r="R261" i="26"/>
  <c r="S261" i="26"/>
  <c r="T261" i="26"/>
  <c r="U261" i="26"/>
  <c r="V261" i="26"/>
  <c r="W261" i="26"/>
  <c r="X261" i="26"/>
  <c r="Y261" i="26"/>
  <c r="Z261" i="26"/>
  <c r="AA261" i="26"/>
  <c r="AB261" i="26"/>
  <c r="AC261" i="26"/>
  <c r="AD261" i="26"/>
  <c r="AE261" i="26"/>
  <c r="AF261" i="26"/>
  <c r="AG261" i="26"/>
  <c r="AH261" i="26"/>
  <c r="K262" i="26"/>
  <c r="L262" i="26"/>
  <c r="M262" i="26"/>
  <c r="N262" i="26"/>
  <c r="O262" i="26"/>
  <c r="P262" i="26"/>
  <c r="Q262" i="26"/>
  <c r="R262" i="26"/>
  <c r="S262" i="26"/>
  <c r="T262" i="26"/>
  <c r="U262" i="26"/>
  <c r="V262" i="26"/>
  <c r="W262" i="26"/>
  <c r="X262" i="26"/>
  <c r="Y262" i="26"/>
  <c r="Z262" i="26"/>
  <c r="AA262" i="26"/>
  <c r="AB262" i="26"/>
  <c r="AC262" i="26"/>
  <c r="AD262" i="26"/>
  <c r="AE262" i="26"/>
  <c r="AF262" i="26"/>
  <c r="AG262" i="26"/>
  <c r="AH262" i="26"/>
  <c r="K263" i="26"/>
  <c r="L263" i="26"/>
  <c r="M263" i="26"/>
  <c r="N263" i="26"/>
  <c r="O263" i="26"/>
  <c r="P263" i="26"/>
  <c r="Q263" i="26"/>
  <c r="R263" i="26"/>
  <c r="S263" i="26"/>
  <c r="T263" i="26"/>
  <c r="U263" i="26"/>
  <c r="V263" i="26"/>
  <c r="W263" i="26"/>
  <c r="X263" i="26"/>
  <c r="Y263" i="26"/>
  <c r="Z263" i="26"/>
  <c r="AA263" i="26"/>
  <c r="AB263" i="26"/>
  <c r="AC263" i="26"/>
  <c r="AD263" i="26"/>
  <c r="AE263" i="26"/>
  <c r="AF263" i="26"/>
  <c r="AG263" i="26"/>
  <c r="AH263" i="26"/>
  <c r="K264" i="26"/>
  <c r="L264" i="26"/>
  <c r="M264" i="26"/>
  <c r="N264" i="26"/>
  <c r="O264" i="26"/>
  <c r="P264" i="26"/>
  <c r="Q264" i="26"/>
  <c r="R264" i="26"/>
  <c r="S264" i="26"/>
  <c r="T264" i="26"/>
  <c r="U264" i="26"/>
  <c r="V264" i="26"/>
  <c r="W264" i="26"/>
  <c r="X264" i="26"/>
  <c r="Y264" i="26"/>
  <c r="Z264" i="26"/>
  <c r="AA264" i="26"/>
  <c r="AB264" i="26"/>
  <c r="AC264" i="26"/>
  <c r="AD264" i="26"/>
  <c r="AE264" i="26"/>
  <c r="AF264" i="26"/>
  <c r="AG264" i="26"/>
  <c r="AH264" i="26"/>
  <c r="K265" i="26"/>
  <c r="L265" i="26"/>
  <c r="M265" i="26"/>
  <c r="N265" i="26"/>
  <c r="O265" i="26"/>
  <c r="P265" i="26"/>
  <c r="Q265" i="26"/>
  <c r="R265" i="26"/>
  <c r="S265" i="26"/>
  <c r="T265" i="26"/>
  <c r="U265" i="26"/>
  <c r="V265" i="26"/>
  <c r="W265" i="26"/>
  <c r="X265" i="26"/>
  <c r="Y265" i="26"/>
  <c r="Z265" i="26"/>
  <c r="AA265" i="26"/>
  <c r="AB265" i="26"/>
  <c r="AC265" i="26"/>
  <c r="AD265" i="26"/>
  <c r="AE265" i="26"/>
  <c r="AF265" i="26"/>
  <c r="AG265" i="26"/>
  <c r="AH265" i="26"/>
  <c r="K266" i="26"/>
  <c r="L266" i="26"/>
  <c r="M266" i="26"/>
  <c r="N266" i="26"/>
  <c r="O266" i="26"/>
  <c r="P266" i="26"/>
  <c r="Q266" i="26"/>
  <c r="R266" i="26"/>
  <c r="S266" i="26"/>
  <c r="T266" i="26"/>
  <c r="U266" i="26"/>
  <c r="V266" i="26"/>
  <c r="W266" i="26"/>
  <c r="X266" i="26"/>
  <c r="Y266" i="26"/>
  <c r="Z266" i="26"/>
  <c r="AA266" i="26"/>
  <c r="AB266" i="26"/>
  <c r="AC266" i="26"/>
  <c r="AD266" i="26"/>
  <c r="AE266" i="26"/>
  <c r="AF266" i="26"/>
  <c r="AG266" i="26"/>
  <c r="AH266" i="26"/>
  <c r="K267" i="26"/>
  <c r="L267" i="26"/>
  <c r="M267" i="26"/>
  <c r="N267" i="26"/>
  <c r="O267" i="26"/>
  <c r="P267" i="26"/>
  <c r="Q267" i="26"/>
  <c r="R267" i="26"/>
  <c r="S267" i="26"/>
  <c r="T267" i="26"/>
  <c r="U267" i="26"/>
  <c r="V267" i="26"/>
  <c r="W267" i="26"/>
  <c r="X267" i="26"/>
  <c r="Y267" i="26"/>
  <c r="Z267" i="26"/>
  <c r="AA267" i="26"/>
  <c r="AB267" i="26"/>
  <c r="AC267" i="26"/>
  <c r="AD267" i="26"/>
  <c r="AE267" i="26"/>
  <c r="AF267" i="26"/>
  <c r="AG267" i="26"/>
  <c r="AH267" i="26"/>
  <c r="K268" i="26"/>
  <c r="L268" i="26"/>
  <c r="M268" i="26"/>
  <c r="N268" i="26"/>
  <c r="O268" i="26"/>
  <c r="P268" i="26"/>
  <c r="Q268" i="26"/>
  <c r="R268" i="26"/>
  <c r="S268" i="26"/>
  <c r="T268" i="26"/>
  <c r="U268" i="26"/>
  <c r="V268" i="26"/>
  <c r="W268" i="26"/>
  <c r="X268" i="26"/>
  <c r="Y268" i="26"/>
  <c r="Z268" i="26"/>
  <c r="AA268" i="26"/>
  <c r="AB268" i="26"/>
  <c r="AC268" i="26"/>
  <c r="AD268" i="26"/>
  <c r="AE268" i="26"/>
  <c r="AF268" i="26"/>
  <c r="AG268" i="26"/>
  <c r="AH268" i="26"/>
  <c r="K269" i="26"/>
  <c r="L269" i="26"/>
  <c r="M269" i="26"/>
  <c r="N269" i="26"/>
  <c r="O269" i="26"/>
  <c r="P269" i="26"/>
  <c r="Q269" i="26"/>
  <c r="R269" i="26"/>
  <c r="S269" i="26"/>
  <c r="T269" i="26"/>
  <c r="U269" i="26"/>
  <c r="V269" i="26"/>
  <c r="W269" i="26"/>
  <c r="X269" i="26"/>
  <c r="Y269" i="26"/>
  <c r="Z269" i="26"/>
  <c r="AA269" i="26"/>
  <c r="AB269" i="26"/>
  <c r="AC269" i="26"/>
  <c r="AD269" i="26"/>
  <c r="AE269" i="26"/>
  <c r="AF269" i="26"/>
  <c r="AG269" i="26"/>
  <c r="AH269" i="26"/>
  <c r="K270" i="26"/>
  <c r="L270" i="26"/>
  <c r="M270" i="26"/>
  <c r="N270" i="26"/>
  <c r="O270" i="26"/>
  <c r="P270" i="26"/>
  <c r="Q270" i="26"/>
  <c r="R270" i="26"/>
  <c r="S270" i="26"/>
  <c r="T270" i="26"/>
  <c r="U270" i="26"/>
  <c r="V270" i="26"/>
  <c r="W270" i="26"/>
  <c r="X270" i="26"/>
  <c r="Y270" i="26"/>
  <c r="Z270" i="26"/>
  <c r="AA270" i="26"/>
  <c r="AB270" i="26"/>
  <c r="AC270" i="26"/>
  <c r="AD270" i="26"/>
  <c r="AE270" i="26"/>
  <c r="AF270" i="26"/>
  <c r="AG270" i="26"/>
  <c r="AH270" i="26"/>
  <c r="K271" i="26"/>
  <c r="L271" i="26"/>
  <c r="M271" i="26"/>
  <c r="N271" i="26"/>
  <c r="O271" i="26"/>
  <c r="P271" i="26"/>
  <c r="Q271" i="26"/>
  <c r="R271" i="26"/>
  <c r="S271" i="26"/>
  <c r="T271" i="26"/>
  <c r="U271" i="26"/>
  <c r="V271" i="26"/>
  <c r="W271" i="26"/>
  <c r="X271" i="26"/>
  <c r="Y271" i="26"/>
  <c r="Z271" i="26"/>
  <c r="AA271" i="26"/>
  <c r="AB271" i="26"/>
  <c r="AC271" i="26"/>
  <c r="AD271" i="26"/>
  <c r="AE271" i="26"/>
  <c r="AF271" i="26"/>
  <c r="AG271" i="26"/>
  <c r="AH271" i="26"/>
  <c r="K272" i="26"/>
  <c r="L272" i="26"/>
  <c r="M272" i="26"/>
  <c r="N272" i="26"/>
  <c r="O272" i="26"/>
  <c r="P272" i="26"/>
  <c r="Q272" i="26"/>
  <c r="R272" i="26"/>
  <c r="S272" i="26"/>
  <c r="T272" i="26"/>
  <c r="U272" i="26"/>
  <c r="V272" i="26"/>
  <c r="W272" i="26"/>
  <c r="X272" i="26"/>
  <c r="Y272" i="26"/>
  <c r="Z272" i="26"/>
  <c r="AA272" i="26"/>
  <c r="AB272" i="26"/>
  <c r="AC272" i="26"/>
  <c r="AD272" i="26"/>
  <c r="AE272" i="26"/>
  <c r="AF272" i="26"/>
  <c r="AG272" i="26"/>
  <c r="AH272" i="26"/>
  <c r="K273" i="26"/>
  <c r="L273" i="26"/>
  <c r="M273" i="26"/>
  <c r="N273" i="26"/>
  <c r="O273" i="26"/>
  <c r="P273" i="26"/>
  <c r="Q273" i="26"/>
  <c r="R273" i="26"/>
  <c r="S273" i="26"/>
  <c r="T273" i="26"/>
  <c r="U273" i="26"/>
  <c r="V273" i="26"/>
  <c r="W273" i="26"/>
  <c r="X273" i="26"/>
  <c r="Y273" i="26"/>
  <c r="Z273" i="26"/>
  <c r="AA273" i="26"/>
  <c r="AB273" i="26"/>
  <c r="AC273" i="26"/>
  <c r="AD273" i="26"/>
  <c r="AE273" i="26"/>
  <c r="AF273" i="26"/>
  <c r="AG273" i="26"/>
  <c r="AH273" i="26"/>
  <c r="K274" i="26"/>
  <c r="L274" i="26"/>
  <c r="M274" i="26"/>
  <c r="N274" i="26"/>
  <c r="O274" i="26"/>
  <c r="P274" i="26"/>
  <c r="Q274" i="26"/>
  <c r="R274" i="26"/>
  <c r="S274" i="26"/>
  <c r="T274" i="26"/>
  <c r="U274" i="26"/>
  <c r="V274" i="26"/>
  <c r="W274" i="26"/>
  <c r="X274" i="26"/>
  <c r="Y274" i="26"/>
  <c r="Z274" i="26"/>
  <c r="AA274" i="26"/>
  <c r="AB274" i="26"/>
  <c r="AC274" i="26"/>
  <c r="AD274" i="26"/>
  <c r="AE274" i="26"/>
  <c r="AF274" i="26"/>
  <c r="AG274" i="26"/>
  <c r="AH274" i="26"/>
  <c r="K275" i="26"/>
  <c r="L275" i="26"/>
  <c r="M275" i="26"/>
  <c r="N275" i="26"/>
  <c r="O275" i="26"/>
  <c r="P275" i="26"/>
  <c r="Q275" i="26"/>
  <c r="R275" i="26"/>
  <c r="S275" i="26"/>
  <c r="T275" i="26"/>
  <c r="U275" i="26"/>
  <c r="V275" i="26"/>
  <c r="W275" i="26"/>
  <c r="X275" i="26"/>
  <c r="Y275" i="26"/>
  <c r="Z275" i="26"/>
  <c r="AA275" i="26"/>
  <c r="AB275" i="26"/>
  <c r="AC275" i="26"/>
  <c r="AD275" i="26"/>
  <c r="AE275" i="26"/>
  <c r="AF275" i="26"/>
  <c r="AG275" i="26"/>
  <c r="AH275" i="26"/>
  <c r="K276" i="26"/>
  <c r="L276" i="26"/>
  <c r="M276" i="26"/>
  <c r="N276" i="26"/>
  <c r="O276" i="26"/>
  <c r="P276" i="26"/>
  <c r="Q276" i="26"/>
  <c r="R276" i="26"/>
  <c r="S276" i="26"/>
  <c r="T276" i="26"/>
  <c r="U276" i="26"/>
  <c r="V276" i="26"/>
  <c r="W276" i="26"/>
  <c r="X276" i="26"/>
  <c r="Y276" i="26"/>
  <c r="Z276" i="26"/>
  <c r="AA276" i="26"/>
  <c r="AB276" i="26"/>
  <c r="AC276" i="26"/>
  <c r="AD276" i="26"/>
  <c r="AE276" i="26"/>
  <c r="AF276" i="26"/>
  <c r="AG276" i="26"/>
  <c r="AH276" i="26"/>
  <c r="K277" i="26"/>
  <c r="L277" i="26"/>
  <c r="M277" i="26"/>
  <c r="N277" i="26"/>
  <c r="O277" i="26"/>
  <c r="P277" i="26"/>
  <c r="Q277" i="26"/>
  <c r="R277" i="26"/>
  <c r="S277" i="26"/>
  <c r="T277" i="26"/>
  <c r="U277" i="26"/>
  <c r="V277" i="26"/>
  <c r="W277" i="26"/>
  <c r="X277" i="26"/>
  <c r="Y277" i="26"/>
  <c r="Z277" i="26"/>
  <c r="AA277" i="26"/>
  <c r="AB277" i="26"/>
  <c r="AC277" i="26"/>
  <c r="AD277" i="26"/>
  <c r="AE277" i="26"/>
  <c r="AF277" i="26"/>
  <c r="AG277" i="26"/>
  <c r="AH277" i="26"/>
  <c r="K278" i="26"/>
  <c r="L278" i="26"/>
  <c r="M278" i="26"/>
  <c r="N278" i="26"/>
  <c r="O278" i="26"/>
  <c r="P278" i="26"/>
  <c r="Q278" i="26"/>
  <c r="R278" i="26"/>
  <c r="S278" i="26"/>
  <c r="T278" i="26"/>
  <c r="U278" i="26"/>
  <c r="V278" i="26"/>
  <c r="W278" i="26"/>
  <c r="X278" i="26"/>
  <c r="Y278" i="26"/>
  <c r="Z278" i="26"/>
  <c r="AA278" i="26"/>
  <c r="AB278" i="26"/>
  <c r="AC278" i="26"/>
  <c r="AD278" i="26"/>
  <c r="AE278" i="26"/>
  <c r="AF278" i="26"/>
  <c r="AG278" i="26"/>
  <c r="AH278" i="26"/>
  <c r="K279" i="26"/>
  <c r="L279" i="26"/>
  <c r="M279" i="26"/>
  <c r="N279" i="26"/>
  <c r="O279" i="26"/>
  <c r="P279" i="26"/>
  <c r="Q279" i="26"/>
  <c r="R279" i="26"/>
  <c r="S279" i="26"/>
  <c r="T279" i="26"/>
  <c r="U279" i="26"/>
  <c r="V279" i="26"/>
  <c r="W279" i="26"/>
  <c r="X279" i="26"/>
  <c r="Y279" i="26"/>
  <c r="Z279" i="26"/>
  <c r="AA279" i="26"/>
  <c r="AB279" i="26"/>
  <c r="AC279" i="26"/>
  <c r="AD279" i="26"/>
  <c r="AE279" i="26"/>
  <c r="AF279" i="26"/>
  <c r="AG279" i="26"/>
  <c r="AH279" i="26"/>
  <c r="K280" i="26"/>
  <c r="L280" i="26"/>
  <c r="M280" i="26"/>
  <c r="N280" i="26"/>
  <c r="O280" i="26"/>
  <c r="P280" i="26"/>
  <c r="Q280" i="26"/>
  <c r="R280" i="26"/>
  <c r="S280" i="26"/>
  <c r="T280" i="26"/>
  <c r="U280" i="26"/>
  <c r="V280" i="26"/>
  <c r="W280" i="26"/>
  <c r="X280" i="26"/>
  <c r="Y280" i="26"/>
  <c r="Z280" i="26"/>
  <c r="AA280" i="26"/>
  <c r="AB280" i="26"/>
  <c r="AC280" i="26"/>
  <c r="AD280" i="26"/>
  <c r="AE280" i="26"/>
  <c r="AF280" i="26"/>
  <c r="AG280" i="26"/>
  <c r="AH280" i="26"/>
  <c r="K281" i="26"/>
  <c r="L281" i="26"/>
  <c r="M281" i="26"/>
  <c r="N281" i="26"/>
  <c r="O281" i="26"/>
  <c r="P281" i="26"/>
  <c r="Q281" i="26"/>
  <c r="R281" i="26"/>
  <c r="S281" i="26"/>
  <c r="T281" i="26"/>
  <c r="U281" i="26"/>
  <c r="V281" i="26"/>
  <c r="W281" i="26"/>
  <c r="X281" i="26"/>
  <c r="Y281" i="26"/>
  <c r="Z281" i="26"/>
  <c r="AA281" i="26"/>
  <c r="AB281" i="26"/>
  <c r="AC281" i="26"/>
  <c r="AD281" i="26"/>
  <c r="AE281" i="26"/>
  <c r="AF281" i="26"/>
  <c r="AG281" i="26"/>
  <c r="AH281" i="26"/>
  <c r="K282" i="26"/>
  <c r="L282" i="26"/>
  <c r="M282" i="26"/>
  <c r="N282" i="26"/>
  <c r="O282" i="26"/>
  <c r="P282" i="26"/>
  <c r="Q282" i="26"/>
  <c r="R282" i="26"/>
  <c r="S282" i="26"/>
  <c r="T282" i="26"/>
  <c r="U282" i="26"/>
  <c r="V282" i="26"/>
  <c r="W282" i="26"/>
  <c r="X282" i="26"/>
  <c r="Y282" i="26"/>
  <c r="Z282" i="26"/>
  <c r="AA282" i="26"/>
  <c r="AB282" i="26"/>
  <c r="AC282" i="26"/>
  <c r="AD282" i="26"/>
  <c r="AE282" i="26"/>
  <c r="AF282" i="26"/>
  <c r="AG282" i="26"/>
  <c r="AH282" i="26"/>
  <c r="K283" i="26"/>
  <c r="L283" i="26"/>
  <c r="M283" i="26"/>
  <c r="N283" i="26"/>
  <c r="O283" i="26"/>
  <c r="P283" i="26"/>
  <c r="Q283" i="26"/>
  <c r="R283" i="26"/>
  <c r="S283" i="26"/>
  <c r="T283" i="26"/>
  <c r="U283" i="26"/>
  <c r="V283" i="26"/>
  <c r="W283" i="26"/>
  <c r="X283" i="26"/>
  <c r="Y283" i="26"/>
  <c r="Z283" i="26"/>
  <c r="AA283" i="26"/>
  <c r="AB283" i="26"/>
  <c r="AC283" i="26"/>
  <c r="AD283" i="26"/>
  <c r="AE283" i="26"/>
  <c r="AF283" i="26"/>
  <c r="AG283" i="26"/>
  <c r="AH283" i="26"/>
  <c r="K284" i="26"/>
  <c r="L284" i="26"/>
  <c r="M284" i="26"/>
  <c r="N284" i="26"/>
  <c r="O284" i="26"/>
  <c r="P284" i="26"/>
  <c r="Q284" i="26"/>
  <c r="R284" i="26"/>
  <c r="S284" i="26"/>
  <c r="T284" i="26"/>
  <c r="U284" i="26"/>
  <c r="V284" i="26"/>
  <c r="W284" i="26"/>
  <c r="X284" i="26"/>
  <c r="Y284" i="26"/>
  <c r="Z284" i="26"/>
  <c r="AA284" i="26"/>
  <c r="AB284" i="26"/>
  <c r="AC284" i="26"/>
  <c r="AD284" i="26"/>
  <c r="AE284" i="26"/>
  <c r="AF284" i="26"/>
  <c r="AG284" i="26"/>
  <c r="AH284" i="26"/>
  <c r="K285" i="26"/>
  <c r="L285" i="26"/>
  <c r="M285" i="26"/>
  <c r="N285" i="26"/>
  <c r="O285" i="26"/>
  <c r="P285" i="26"/>
  <c r="Q285" i="26"/>
  <c r="R285" i="26"/>
  <c r="S285" i="26"/>
  <c r="T285" i="26"/>
  <c r="U285" i="26"/>
  <c r="V285" i="26"/>
  <c r="W285" i="26"/>
  <c r="X285" i="26"/>
  <c r="Y285" i="26"/>
  <c r="Z285" i="26"/>
  <c r="AA285" i="26"/>
  <c r="AB285" i="26"/>
  <c r="AC285" i="26"/>
  <c r="AD285" i="26"/>
  <c r="AE285" i="26"/>
  <c r="AF285" i="26"/>
  <c r="AG285" i="26"/>
  <c r="AH285" i="26"/>
  <c r="K286" i="26"/>
  <c r="L286" i="26"/>
  <c r="M286" i="26"/>
  <c r="N286" i="26"/>
  <c r="O286" i="26"/>
  <c r="P286" i="26"/>
  <c r="Q286" i="26"/>
  <c r="R286" i="26"/>
  <c r="S286" i="26"/>
  <c r="T286" i="26"/>
  <c r="U286" i="26"/>
  <c r="V286" i="26"/>
  <c r="W286" i="26"/>
  <c r="X286" i="26"/>
  <c r="Y286" i="26"/>
  <c r="Z286" i="26"/>
  <c r="AA286" i="26"/>
  <c r="AB286" i="26"/>
  <c r="AC286" i="26"/>
  <c r="AD286" i="26"/>
  <c r="AE286" i="26"/>
  <c r="AF286" i="26"/>
  <c r="AG286" i="26"/>
  <c r="AH286" i="26"/>
  <c r="K287" i="26"/>
  <c r="L287" i="26"/>
  <c r="M287" i="26"/>
  <c r="N287" i="26"/>
  <c r="O287" i="26"/>
  <c r="P287" i="26"/>
  <c r="Q287" i="26"/>
  <c r="R287" i="26"/>
  <c r="S287" i="26"/>
  <c r="T287" i="26"/>
  <c r="U287" i="26"/>
  <c r="V287" i="26"/>
  <c r="W287" i="26"/>
  <c r="X287" i="26"/>
  <c r="Y287" i="26"/>
  <c r="Z287" i="26"/>
  <c r="AA287" i="26"/>
  <c r="AB287" i="26"/>
  <c r="AC287" i="26"/>
  <c r="AD287" i="26"/>
  <c r="AE287" i="26"/>
  <c r="AF287" i="26"/>
  <c r="AG287" i="26"/>
  <c r="AH287" i="26"/>
  <c r="K288" i="26"/>
  <c r="L288" i="26"/>
  <c r="M288" i="26"/>
  <c r="N288" i="26"/>
  <c r="O288" i="26"/>
  <c r="P288" i="26"/>
  <c r="Q288" i="26"/>
  <c r="R288" i="26"/>
  <c r="S288" i="26"/>
  <c r="T288" i="26"/>
  <c r="U288" i="26"/>
  <c r="V288" i="26"/>
  <c r="W288" i="26"/>
  <c r="X288" i="26"/>
  <c r="Y288" i="26"/>
  <c r="Z288" i="26"/>
  <c r="AA288" i="26"/>
  <c r="AB288" i="26"/>
  <c r="AC288" i="26"/>
  <c r="AD288" i="26"/>
  <c r="AE288" i="26"/>
  <c r="AF288" i="26"/>
  <c r="AG288" i="26"/>
  <c r="AH288" i="26"/>
  <c r="K289" i="26"/>
  <c r="L289" i="26"/>
  <c r="M289" i="26"/>
  <c r="N289" i="26"/>
  <c r="O289" i="26"/>
  <c r="P289" i="26"/>
  <c r="Q289" i="26"/>
  <c r="R289" i="26"/>
  <c r="S289" i="26"/>
  <c r="T289" i="26"/>
  <c r="U289" i="26"/>
  <c r="V289" i="26"/>
  <c r="W289" i="26"/>
  <c r="X289" i="26"/>
  <c r="Y289" i="26"/>
  <c r="Z289" i="26"/>
  <c r="AA289" i="26"/>
  <c r="AB289" i="26"/>
  <c r="AC289" i="26"/>
  <c r="AD289" i="26"/>
  <c r="AE289" i="26"/>
  <c r="AF289" i="26"/>
  <c r="AG289" i="26"/>
  <c r="AH289" i="26"/>
  <c r="K290" i="26"/>
  <c r="L290" i="26"/>
  <c r="M290" i="26"/>
  <c r="N290" i="26"/>
  <c r="O290" i="26"/>
  <c r="P290" i="26"/>
  <c r="Q290" i="26"/>
  <c r="R290" i="26"/>
  <c r="S290" i="26"/>
  <c r="T290" i="26"/>
  <c r="U290" i="26"/>
  <c r="V290" i="26"/>
  <c r="W290" i="26"/>
  <c r="X290" i="26"/>
  <c r="Y290" i="26"/>
  <c r="Z290" i="26"/>
  <c r="AA290" i="26"/>
  <c r="AB290" i="26"/>
  <c r="AC290" i="26"/>
  <c r="AD290" i="26"/>
  <c r="AE290" i="26"/>
  <c r="AF290" i="26"/>
  <c r="AG290" i="26"/>
  <c r="AH290" i="26"/>
  <c r="K291" i="26"/>
  <c r="L291" i="26"/>
  <c r="M291" i="26"/>
  <c r="N291" i="26"/>
  <c r="O291" i="26"/>
  <c r="P291" i="26"/>
  <c r="Q291" i="26"/>
  <c r="R291" i="26"/>
  <c r="S291" i="26"/>
  <c r="T291" i="26"/>
  <c r="U291" i="26"/>
  <c r="V291" i="26"/>
  <c r="W291" i="26"/>
  <c r="X291" i="26"/>
  <c r="Y291" i="26"/>
  <c r="Z291" i="26"/>
  <c r="AA291" i="26"/>
  <c r="AB291" i="26"/>
  <c r="AC291" i="26"/>
  <c r="AD291" i="26"/>
  <c r="AE291" i="26"/>
  <c r="AF291" i="26"/>
  <c r="AG291" i="26"/>
  <c r="AH291" i="26"/>
  <c r="K292" i="26"/>
  <c r="L292" i="26"/>
  <c r="M292" i="26"/>
  <c r="N292" i="26"/>
  <c r="O292" i="26"/>
  <c r="P292" i="26"/>
  <c r="Q292" i="26"/>
  <c r="R292" i="26"/>
  <c r="S292" i="26"/>
  <c r="T292" i="26"/>
  <c r="U292" i="26"/>
  <c r="V292" i="26"/>
  <c r="W292" i="26"/>
  <c r="X292" i="26"/>
  <c r="Y292" i="26"/>
  <c r="Z292" i="26"/>
  <c r="AA292" i="26"/>
  <c r="AB292" i="26"/>
  <c r="AC292" i="26"/>
  <c r="AD292" i="26"/>
  <c r="AE292" i="26"/>
  <c r="AF292" i="26"/>
  <c r="AG292" i="26"/>
  <c r="AH292" i="26"/>
  <c r="K293" i="26"/>
  <c r="L293" i="26"/>
  <c r="M293" i="26"/>
  <c r="N293" i="26"/>
  <c r="O293" i="26"/>
  <c r="P293" i="26"/>
  <c r="Q293" i="26"/>
  <c r="R293" i="26"/>
  <c r="S293" i="26"/>
  <c r="T293" i="26"/>
  <c r="U293" i="26"/>
  <c r="V293" i="26"/>
  <c r="W293" i="26"/>
  <c r="X293" i="26"/>
  <c r="Y293" i="26"/>
  <c r="Z293" i="26"/>
  <c r="AA293" i="26"/>
  <c r="AB293" i="26"/>
  <c r="AC293" i="26"/>
  <c r="AD293" i="26"/>
  <c r="AE293" i="26"/>
  <c r="AF293" i="26"/>
  <c r="AG293" i="26"/>
  <c r="AH293" i="26"/>
  <c r="K294" i="26"/>
  <c r="L294" i="26"/>
  <c r="M294" i="26"/>
  <c r="N294" i="26"/>
  <c r="O294" i="26"/>
  <c r="P294" i="26"/>
  <c r="Q294" i="26"/>
  <c r="R294" i="26"/>
  <c r="S294" i="26"/>
  <c r="T294" i="26"/>
  <c r="U294" i="26"/>
  <c r="V294" i="26"/>
  <c r="W294" i="26"/>
  <c r="X294" i="26"/>
  <c r="Y294" i="26"/>
  <c r="Z294" i="26"/>
  <c r="AA294" i="26"/>
  <c r="AB294" i="26"/>
  <c r="AC294" i="26"/>
  <c r="AD294" i="26"/>
  <c r="AE294" i="26"/>
  <c r="AF294" i="26"/>
  <c r="AG294" i="26"/>
  <c r="AH294" i="26"/>
  <c r="K295" i="26"/>
  <c r="L295" i="26"/>
  <c r="M295" i="26"/>
  <c r="N295" i="26"/>
  <c r="O295" i="26"/>
  <c r="P295" i="26"/>
  <c r="Q295" i="26"/>
  <c r="R295" i="26"/>
  <c r="S295" i="26"/>
  <c r="T295" i="26"/>
  <c r="U295" i="26"/>
  <c r="V295" i="26"/>
  <c r="W295" i="26"/>
  <c r="X295" i="26"/>
  <c r="Y295" i="26"/>
  <c r="Z295" i="26"/>
  <c r="AA295" i="26"/>
  <c r="AB295" i="26"/>
  <c r="AC295" i="26"/>
  <c r="AD295" i="26"/>
  <c r="AE295" i="26"/>
  <c r="AF295" i="26"/>
  <c r="AG295" i="26"/>
  <c r="AH295" i="26"/>
  <c r="K296" i="26"/>
  <c r="L296" i="26"/>
  <c r="M296" i="26"/>
  <c r="N296" i="26"/>
  <c r="O296" i="26"/>
  <c r="P296" i="26"/>
  <c r="Q296" i="26"/>
  <c r="R296" i="26"/>
  <c r="S296" i="26"/>
  <c r="T296" i="26"/>
  <c r="U296" i="26"/>
  <c r="V296" i="26"/>
  <c r="W296" i="26"/>
  <c r="X296" i="26"/>
  <c r="Y296" i="26"/>
  <c r="Z296" i="26"/>
  <c r="AA296" i="26"/>
  <c r="AB296" i="26"/>
  <c r="AC296" i="26"/>
  <c r="AD296" i="26"/>
  <c r="AE296" i="26"/>
  <c r="AF296" i="26"/>
  <c r="AG296" i="26"/>
  <c r="AH296" i="26"/>
  <c r="K297" i="26"/>
  <c r="L297" i="26"/>
  <c r="M297" i="26"/>
  <c r="N297" i="26"/>
  <c r="O297" i="26"/>
  <c r="P297" i="26"/>
  <c r="Q297" i="26"/>
  <c r="R297" i="26"/>
  <c r="S297" i="26"/>
  <c r="T297" i="26"/>
  <c r="U297" i="26"/>
  <c r="V297" i="26"/>
  <c r="W297" i="26"/>
  <c r="X297" i="26"/>
  <c r="Y297" i="26"/>
  <c r="Z297" i="26"/>
  <c r="AA297" i="26"/>
  <c r="AB297" i="26"/>
  <c r="AC297" i="26"/>
  <c r="AD297" i="26"/>
  <c r="AE297" i="26"/>
  <c r="AF297" i="26"/>
  <c r="AG297" i="26"/>
  <c r="AH297" i="26"/>
  <c r="K298" i="26"/>
  <c r="L298" i="26"/>
  <c r="M298" i="26"/>
  <c r="N298" i="26"/>
  <c r="O298" i="26"/>
  <c r="P298" i="26"/>
  <c r="Q298" i="26"/>
  <c r="R298" i="26"/>
  <c r="S298" i="26"/>
  <c r="T298" i="26"/>
  <c r="U298" i="26"/>
  <c r="V298" i="26"/>
  <c r="W298" i="26"/>
  <c r="X298" i="26"/>
  <c r="Y298" i="26"/>
  <c r="Z298" i="26"/>
  <c r="AA298" i="26"/>
  <c r="AB298" i="26"/>
  <c r="AC298" i="26"/>
  <c r="AD298" i="26"/>
  <c r="AE298" i="26"/>
  <c r="AF298" i="26"/>
  <c r="AG298" i="26"/>
  <c r="AH298" i="26"/>
  <c r="K299" i="26"/>
  <c r="L299" i="26"/>
  <c r="M299" i="26"/>
  <c r="N299" i="26"/>
  <c r="O299" i="26"/>
  <c r="P299" i="26"/>
  <c r="Q299" i="26"/>
  <c r="R299" i="26"/>
  <c r="S299" i="26"/>
  <c r="T299" i="26"/>
  <c r="U299" i="26"/>
  <c r="V299" i="26"/>
  <c r="W299" i="26"/>
  <c r="X299" i="26"/>
  <c r="Y299" i="26"/>
  <c r="Z299" i="26"/>
  <c r="AA299" i="26"/>
  <c r="AB299" i="26"/>
  <c r="AC299" i="26"/>
  <c r="AD299" i="26"/>
  <c r="AE299" i="26"/>
  <c r="AF299" i="26"/>
  <c r="AG299" i="26"/>
  <c r="AH299" i="26"/>
  <c r="K300" i="26"/>
  <c r="L300" i="26"/>
  <c r="M300" i="26"/>
  <c r="N300" i="26"/>
  <c r="O300" i="26"/>
  <c r="P300" i="26"/>
  <c r="Q300" i="26"/>
  <c r="R300" i="26"/>
  <c r="S300" i="26"/>
  <c r="T300" i="26"/>
  <c r="U300" i="26"/>
  <c r="V300" i="26"/>
  <c r="W300" i="26"/>
  <c r="X300" i="26"/>
  <c r="Y300" i="26"/>
  <c r="Z300" i="26"/>
  <c r="AA300" i="26"/>
  <c r="AB300" i="26"/>
  <c r="AC300" i="26"/>
  <c r="AD300" i="26"/>
  <c r="AE300" i="26"/>
  <c r="AF300" i="26"/>
  <c r="AG300" i="26"/>
  <c r="AH300" i="26"/>
  <c r="K301" i="26"/>
  <c r="L301" i="26"/>
  <c r="M301" i="26"/>
  <c r="N301" i="26"/>
  <c r="O301" i="26"/>
  <c r="P301" i="26"/>
  <c r="Q301" i="26"/>
  <c r="R301" i="26"/>
  <c r="S301" i="26"/>
  <c r="T301" i="26"/>
  <c r="U301" i="26"/>
  <c r="V301" i="26"/>
  <c r="W301" i="26"/>
  <c r="X301" i="26"/>
  <c r="Y301" i="26"/>
  <c r="Z301" i="26"/>
  <c r="AA301" i="26"/>
  <c r="AB301" i="26"/>
  <c r="AC301" i="26"/>
  <c r="AD301" i="26"/>
  <c r="AE301" i="26"/>
  <c r="AF301" i="26"/>
  <c r="AG301" i="26"/>
  <c r="AH301" i="26"/>
  <c r="K302" i="26"/>
  <c r="L302" i="26"/>
  <c r="M302" i="26"/>
  <c r="N302" i="26"/>
  <c r="O302" i="26"/>
  <c r="P302" i="26"/>
  <c r="Q302" i="26"/>
  <c r="R302" i="26"/>
  <c r="S302" i="26"/>
  <c r="T302" i="26"/>
  <c r="U302" i="26"/>
  <c r="V302" i="26"/>
  <c r="W302" i="26"/>
  <c r="X302" i="26"/>
  <c r="Y302" i="26"/>
  <c r="Z302" i="26"/>
  <c r="AA302" i="26"/>
  <c r="AB302" i="26"/>
  <c r="AC302" i="26"/>
  <c r="AD302" i="26"/>
  <c r="AE302" i="26"/>
  <c r="AF302" i="26"/>
  <c r="AG302" i="26"/>
  <c r="AH302" i="26"/>
  <c r="K303" i="26"/>
  <c r="L303" i="26"/>
  <c r="M303" i="26"/>
  <c r="N303" i="26"/>
  <c r="O303" i="26"/>
  <c r="P303" i="26"/>
  <c r="Q303" i="26"/>
  <c r="R303" i="26"/>
  <c r="S303" i="26"/>
  <c r="T303" i="26"/>
  <c r="U303" i="26"/>
  <c r="V303" i="26"/>
  <c r="W303" i="26"/>
  <c r="X303" i="26"/>
  <c r="Y303" i="26"/>
  <c r="Z303" i="26"/>
  <c r="AA303" i="26"/>
  <c r="AB303" i="26"/>
  <c r="AC303" i="26"/>
  <c r="AD303" i="26"/>
  <c r="AE303" i="26"/>
  <c r="AF303" i="26"/>
  <c r="AG303" i="26"/>
  <c r="AH303" i="26"/>
  <c r="K304" i="26"/>
  <c r="L304" i="26"/>
  <c r="M304" i="26"/>
  <c r="N304" i="26"/>
  <c r="O304" i="26"/>
  <c r="P304" i="26"/>
  <c r="Q304" i="26"/>
  <c r="R304" i="26"/>
  <c r="S304" i="26"/>
  <c r="T304" i="26"/>
  <c r="U304" i="26"/>
  <c r="V304" i="26"/>
  <c r="W304" i="26"/>
  <c r="X304" i="26"/>
  <c r="Y304" i="26"/>
  <c r="Z304" i="26"/>
  <c r="AA304" i="26"/>
  <c r="AB304" i="26"/>
  <c r="AC304" i="26"/>
  <c r="AD304" i="26"/>
  <c r="AE304" i="26"/>
  <c r="AF304" i="26"/>
  <c r="AG304" i="26"/>
  <c r="AH304" i="26"/>
  <c r="K305" i="26"/>
  <c r="L305" i="26"/>
  <c r="M305" i="26"/>
  <c r="N305" i="26"/>
  <c r="O305" i="26"/>
  <c r="P305" i="26"/>
  <c r="Q305" i="26"/>
  <c r="R305" i="26"/>
  <c r="S305" i="26"/>
  <c r="T305" i="26"/>
  <c r="U305" i="26"/>
  <c r="V305" i="26"/>
  <c r="W305" i="26"/>
  <c r="X305" i="26"/>
  <c r="Y305" i="26"/>
  <c r="Z305" i="26"/>
  <c r="AA305" i="26"/>
  <c r="AB305" i="26"/>
  <c r="AC305" i="26"/>
  <c r="AD305" i="26"/>
  <c r="AE305" i="26"/>
  <c r="AF305" i="26"/>
  <c r="AG305" i="26"/>
  <c r="AH305" i="26"/>
  <c r="K306" i="26"/>
  <c r="L306" i="26"/>
  <c r="M306" i="26"/>
  <c r="N306" i="26"/>
  <c r="O306" i="26"/>
  <c r="P306" i="26"/>
  <c r="Q306" i="26"/>
  <c r="R306" i="26"/>
  <c r="S306" i="26"/>
  <c r="T306" i="26"/>
  <c r="U306" i="26"/>
  <c r="V306" i="26"/>
  <c r="W306" i="26"/>
  <c r="X306" i="26"/>
  <c r="Y306" i="26"/>
  <c r="Z306" i="26"/>
  <c r="AA306" i="26"/>
  <c r="AB306" i="26"/>
  <c r="AC306" i="26"/>
  <c r="AD306" i="26"/>
  <c r="AE306" i="26"/>
  <c r="AF306" i="26"/>
  <c r="AG306" i="26"/>
  <c r="AH306" i="26"/>
  <c r="K307" i="26"/>
  <c r="L307" i="26"/>
  <c r="M307" i="26"/>
  <c r="N307" i="26"/>
  <c r="O307" i="26"/>
  <c r="P307" i="26"/>
  <c r="Q307" i="26"/>
  <c r="R307" i="26"/>
  <c r="S307" i="26"/>
  <c r="T307" i="26"/>
  <c r="U307" i="26"/>
  <c r="V307" i="26"/>
  <c r="W307" i="26"/>
  <c r="X307" i="26"/>
  <c r="Y307" i="26"/>
  <c r="Z307" i="26"/>
  <c r="AA307" i="26"/>
  <c r="AB307" i="26"/>
  <c r="AC307" i="26"/>
  <c r="AD307" i="26"/>
  <c r="AE307" i="26"/>
  <c r="AF307" i="26"/>
  <c r="AG307" i="26"/>
  <c r="AH307" i="26"/>
  <c r="K308" i="26"/>
  <c r="L308" i="26"/>
  <c r="M308" i="26"/>
  <c r="N308" i="26"/>
  <c r="O308" i="26"/>
  <c r="P308" i="26"/>
  <c r="Q308" i="26"/>
  <c r="R308" i="26"/>
  <c r="S308" i="26"/>
  <c r="T308" i="26"/>
  <c r="U308" i="26"/>
  <c r="V308" i="26"/>
  <c r="W308" i="26"/>
  <c r="X308" i="26"/>
  <c r="Y308" i="26"/>
  <c r="Z308" i="26"/>
  <c r="AA308" i="26"/>
  <c r="AB308" i="26"/>
  <c r="AC308" i="26"/>
  <c r="AD308" i="26"/>
  <c r="AE308" i="26"/>
  <c r="AF308" i="26"/>
  <c r="AG308" i="26"/>
  <c r="AH308" i="26"/>
  <c r="K309" i="26"/>
  <c r="L309" i="26"/>
  <c r="M309" i="26"/>
  <c r="N309" i="26"/>
  <c r="O309" i="26"/>
  <c r="P309" i="26"/>
  <c r="Q309" i="26"/>
  <c r="R309" i="26"/>
  <c r="S309" i="26"/>
  <c r="T309" i="26"/>
  <c r="U309" i="26"/>
  <c r="V309" i="26"/>
  <c r="W309" i="26"/>
  <c r="X309" i="26"/>
  <c r="Y309" i="26"/>
  <c r="Z309" i="26"/>
  <c r="AA309" i="26"/>
  <c r="AB309" i="26"/>
  <c r="AC309" i="26"/>
  <c r="AD309" i="26"/>
  <c r="AE309" i="26"/>
  <c r="AF309" i="26"/>
  <c r="AG309" i="26"/>
  <c r="AH309" i="26"/>
  <c r="K310" i="26"/>
  <c r="L310" i="26"/>
  <c r="M310" i="26"/>
  <c r="N310" i="26"/>
  <c r="O310" i="26"/>
  <c r="P310" i="26"/>
  <c r="Q310" i="26"/>
  <c r="R310" i="26"/>
  <c r="S310" i="26"/>
  <c r="T310" i="26"/>
  <c r="U310" i="26"/>
  <c r="V310" i="26"/>
  <c r="W310" i="26"/>
  <c r="X310" i="26"/>
  <c r="Y310" i="26"/>
  <c r="Z310" i="26"/>
  <c r="AA310" i="26"/>
  <c r="AB310" i="26"/>
  <c r="AC310" i="26"/>
  <c r="AD310" i="26"/>
  <c r="AE310" i="26"/>
  <c r="AF310" i="26"/>
  <c r="AG310" i="26"/>
  <c r="AH310" i="26"/>
  <c r="K311" i="26"/>
  <c r="L311" i="26"/>
  <c r="M311" i="26"/>
  <c r="N311" i="26"/>
  <c r="O311" i="26"/>
  <c r="P311" i="26"/>
  <c r="Q311" i="26"/>
  <c r="R311" i="26"/>
  <c r="S311" i="26"/>
  <c r="T311" i="26"/>
  <c r="U311" i="26"/>
  <c r="V311" i="26"/>
  <c r="W311" i="26"/>
  <c r="X311" i="26"/>
  <c r="Y311" i="26"/>
  <c r="Z311" i="26"/>
  <c r="AA311" i="26"/>
  <c r="AB311" i="26"/>
  <c r="AC311" i="26"/>
  <c r="AD311" i="26"/>
  <c r="AE311" i="26"/>
  <c r="AF311" i="26"/>
  <c r="AG311" i="26"/>
  <c r="AH311" i="26"/>
  <c r="K312" i="26"/>
  <c r="L312" i="26"/>
  <c r="M312" i="26"/>
  <c r="N312" i="26"/>
  <c r="O312" i="26"/>
  <c r="P312" i="26"/>
  <c r="Q312" i="26"/>
  <c r="R312" i="26"/>
  <c r="S312" i="26"/>
  <c r="T312" i="26"/>
  <c r="U312" i="26"/>
  <c r="V312" i="26"/>
  <c r="W312" i="26"/>
  <c r="X312" i="26"/>
  <c r="Y312" i="26"/>
  <c r="Z312" i="26"/>
  <c r="AA312" i="26"/>
  <c r="AB312" i="26"/>
  <c r="AC312" i="26"/>
  <c r="AD312" i="26"/>
  <c r="AE312" i="26"/>
  <c r="AF312" i="26"/>
  <c r="AG312" i="26"/>
  <c r="AH312" i="26"/>
  <c r="K313" i="26"/>
  <c r="L313" i="26"/>
  <c r="M313" i="26"/>
  <c r="N313" i="26"/>
  <c r="O313" i="26"/>
  <c r="P313" i="26"/>
  <c r="Q313" i="26"/>
  <c r="R313" i="26"/>
  <c r="S313" i="26"/>
  <c r="T313" i="26"/>
  <c r="U313" i="26"/>
  <c r="V313" i="26"/>
  <c r="W313" i="26"/>
  <c r="X313" i="26"/>
  <c r="Y313" i="26"/>
  <c r="Z313" i="26"/>
  <c r="AA313" i="26"/>
  <c r="AB313" i="26"/>
  <c r="AC313" i="26"/>
  <c r="AD313" i="26"/>
  <c r="AE313" i="26"/>
  <c r="AF313" i="26"/>
  <c r="AG313" i="26"/>
  <c r="AH313" i="26"/>
  <c r="K314" i="26"/>
  <c r="L314" i="26"/>
  <c r="M314" i="26"/>
  <c r="N314" i="26"/>
  <c r="O314" i="26"/>
  <c r="P314" i="26"/>
  <c r="Q314" i="26"/>
  <c r="R314" i="26"/>
  <c r="S314" i="26"/>
  <c r="T314" i="26"/>
  <c r="U314" i="26"/>
  <c r="V314" i="26"/>
  <c r="W314" i="26"/>
  <c r="X314" i="26"/>
  <c r="Y314" i="26"/>
  <c r="Z314" i="26"/>
  <c r="AA314" i="26"/>
  <c r="AB314" i="26"/>
  <c r="AC314" i="26"/>
  <c r="AD314" i="26"/>
  <c r="AE314" i="26"/>
  <c r="AF314" i="26"/>
  <c r="AG314" i="26"/>
  <c r="AH314" i="26"/>
  <c r="K315" i="26"/>
  <c r="L315" i="26"/>
  <c r="M315" i="26"/>
  <c r="N315" i="26"/>
  <c r="O315" i="26"/>
  <c r="P315" i="26"/>
  <c r="Q315" i="26"/>
  <c r="R315" i="26"/>
  <c r="S315" i="26"/>
  <c r="T315" i="26"/>
  <c r="U315" i="26"/>
  <c r="V315" i="26"/>
  <c r="W315" i="26"/>
  <c r="X315" i="26"/>
  <c r="Y315" i="26"/>
  <c r="Z315" i="26"/>
  <c r="AA315" i="26"/>
  <c r="AB315" i="26"/>
  <c r="AC315" i="26"/>
  <c r="AD315" i="26"/>
  <c r="AE315" i="26"/>
  <c r="AF315" i="26"/>
  <c r="AG315" i="26"/>
  <c r="AH315" i="26"/>
  <c r="K316" i="26"/>
  <c r="L316" i="26"/>
  <c r="M316" i="26"/>
  <c r="N316" i="26"/>
  <c r="O316" i="26"/>
  <c r="P316" i="26"/>
  <c r="Q316" i="26"/>
  <c r="R316" i="26"/>
  <c r="S316" i="26"/>
  <c r="T316" i="26"/>
  <c r="U316" i="26"/>
  <c r="V316" i="26"/>
  <c r="W316" i="26"/>
  <c r="X316" i="26"/>
  <c r="Y316" i="26"/>
  <c r="Z316" i="26"/>
  <c r="AA316" i="26"/>
  <c r="AB316" i="26"/>
  <c r="AC316" i="26"/>
  <c r="AD316" i="26"/>
  <c r="AE316" i="26"/>
  <c r="AF316" i="26"/>
  <c r="AG316" i="26"/>
  <c r="AH316" i="26"/>
  <c r="K317" i="26"/>
  <c r="L317" i="26"/>
  <c r="M317" i="26"/>
  <c r="N317" i="26"/>
  <c r="O317" i="26"/>
  <c r="P317" i="26"/>
  <c r="Q317" i="26"/>
  <c r="R317" i="26"/>
  <c r="S317" i="26"/>
  <c r="T317" i="26"/>
  <c r="U317" i="26"/>
  <c r="V317" i="26"/>
  <c r="W317" i="26"/>
  <c r="X317" i="26"/>
  <c r="Y317" i="26"/>
  <c r="Z317" i="26"/>
  <c r="AA317" i="26"/>
  <c r="AB317" i="26"/>
  <c r="AC317" i="26"/>
  <c r="AD317" i="26"/>
  <c r="AE317" i="26"/>
  <c r="AF317" i="26"/>
  <c r="AG317" i="26"/>
  <c r="AH317" i="26"/>
  <c r="K318" i="26"/>
  <c r="L318" i="26"/>
  <c r="M318" i="26"/>
  <c r="N318" i="26"/>
  <c r="O318" i="26"/>
  <c r="P318" i="26"/>
  <c r="Q318" i="26"/>
  <c r="R318" i="26"/>
  <c r="S318" i="26"/>
  <c r="T318" i="26"/>
  <c r="U318" i="26"/>
  <c r="V318" i="26"/>
  <c r="W318" i="26"/>
  <c r="X318" i="26"/>
  <c r="Y318" i="26"/>
  <c r="Z318" i="26"/>
  <c r="AA318" i="26"/>
  <c r="AB318" i="26"/>
  <c r="AC318" i="26"/>
  <c r="AD318" i="26"/>
  <c r="AE318" i="26"/>
  <c r="AF318" i="26"/>
  <c r="AG318" i="26"/>
  <c r="AH318" i="26"/>
  <c r="K319" i="26"/>
  <c r="L319" i="26"/>
  <c r="M319" i="26"/>
  <c r="N319" i="26"/>
  <c r="O319" i="26"/>
  <c r="P319" i="26"/>
  <c r="Q319" i="26"/>
  <c r="R319" i="26"/>
  <c r="S319" i="26"/>
  <c r="T319" i="26"/>
  <c r="U319" i="26"/>
  <c r="V319" i="26"/>
  <c r="W319" i="26"/>
  <c r="X319" i="26"/>
  <c r="Y319" i="26"/>
  <c r="Z319" i="26"/>
  <c r="AA319" i="26"/>
  <c r="AB319" i="26"/>
  <c r="AC319" i="26"/>
  <c r="AD319" i="26"/>
  <c r="AE319" i="26"/>
  <c r="AF319" i="26"/>
  <c r="AG319" i="26"/>
  <c r="AH319" i="26"/>
  <c r="K320" i="26"/>
  <c r="L320" i="26"/>
  <c r="M320" i="26"/>
  <c r="N320" i="26"/>
  <c r="O320" i="26"/>
  <c r="P320" i="26"/>
  <c r="Q320" i="26"/>
  <c r="R320" i="26"/>
  <c r="S320" i="26"/>
  <c r="T320" i="26"/>
  <c r="U320" i="26"/>
  <c r="V320" i="26"/>
  <c r="W320" i="26"/>
  <c r="X320" i="26"/>
  <c r="Y320" i="26"/>
  <c r="Z320" i="26"/>
  <c r="AA320" i="26"/>
  <c r="AB320" i="26"/>
  <c r="AC320" i="26"/>
  <c r="AD320" i="26"/>
  <c r="AE320" i="26"/>
  <c r="AF320" i="26"/>
  <c r="AG320" i="26"/>
  <c r="AH320" i="26"/>
  <c r="K321" i="26"/>
  <c r="L321" i="26"/>
  <c r="M321" i="26"/>
  <c r="N321" i="26"/>
  <c r="O321" i="26"/>
  <c r="P321" i="26"/>
  <c r="Q321" i="26"/>
  <c r="R321" i="26"/>
  <c r="S321" i="26"/>
  <c r="T321" i="26"/>
  <c r="U321" i="26"/>
  <c r="V321" i="26"/>
  <c r="W321" i="26"/>
  <c r="X321" i="26"/>
  <c r="Y321" i="26"/>
  <c r="Z321" i="26"/>
  <c r="AA321" i="26"/>
  <c r="AB321" i="26"/>
  <c r="AC321" i="26"/>
  <c r="AD321" i="26"/>
  <c r="AE321" i="26"/>
  <c r="AF321" i="26"/>
  <c r="AG321" i="26"/>
  <c r="AH321" i="26"/>
  <c r="K322" i="26"/>
  <c r="L322" i="26"/>
  <c r="M322" i="26"/>
  <c r="N322" i="26"/>
  <c r="O322" i="26"/>
  <c r="P322" i="26"/>
  <c r="Q322" i="26"/>
  <c r="R322" i="26"/>
  <c r="S322" i="26"/>
  <c r="T322" i="26"/>
  <c r="U322" i="26"/>
  <c r="V322" i="26"/>
  <c r="W322" i="26"/>
  <c r="X322" i="26"/>
  <c r="Y322" i="26"/>
  <c r="Z322" i="26"/>
  <c r="AA322" i="26"/>
  <c r="AB322" i="26"/>
  <c r="AC322" i="26"/>
  <c r="AD322" i="26"/>
  <c r="AE322" i="26"/>
  <c r="AF322" i="26"/>
  <c r="AG322" i="26"/>
  <c r="AH322" i="26"/>
  <c r="K323" i="26"/>
  <c r="L323" i="26"/>
  <c r="M323" i="26"/>
  <c r="N323" i="26"/>
  <c r="O323" i="26"/>
  <c r="P323" i="26"/>
  <c r="Q323" i="26"/>
  <c r="R323" i="26"/>
  <c r="S323" i="26"/>
  <c r="T323" i="26"/>
  <c r="U323" i="26"/>
  <c r="V323" i="26"/>
  <c r="W323" i="26"/>
  <c r="X323" i="26"/>
  <c r="Y323" i="26"/>
  <c r="Z323" i="26"/>
  <c r="AA323" i="26"/>
  <c r="AB323" i="26"/>
  <c r="AC323" i="26"/>
  <c r="AD323" i="26"/>
  <c r="AE323" i="26"/>
  <c r="AF323" i="26"/>
  <c r="AG323" i="26"/>
  <c r="AH323" i="26"/>
  <c r="K324" i="26"/>
  <c r="L324" i="26"/>
  <c r="M324" i="26"/>
  <c r="N324" i="26"/>
  <c r="O324" i="26"/>
  <c r="P324" i="26"/>
  <c r="Q324" i="26"/>
  <c r="R324" i="26"/>
  <c r="S324" i="26"/>
  <c r="T324" i="26"/>
  <c r="U324" i="26"/>
  <c r="V324" i="26"/>
  <c r="W324" i="26"/>
  <c r="X324" i="26"/>
  <c r="Y324" i="26"/>
  <c r="Z324" i="26"/>
  <c r="AA324" i="26"/>
  <c r="AB324" i="26"/>
  <c r="AC324" i="26"/>
  <c r="AD324" i="26"/>
  <c r="AE324" i="26"/>
  <c r="AF324" i="26"/>
  <c r="AG324" i="26"/>
  <c r="AH324" i="26"/>
  <c r="K325" i="26"/>
  <c r="L325" i="26"/>
  <c r="M325" i="26"/>
  <c r="N325" i="26"/>
  <c r="O325" i="26"/>
  <c r="P325" i="26"/>
  <c r="Q325" i="26"/>
  <c r="R325" i="26"/>
  <c r="S325" i="26"/>
  <c r="T325" i="26"/>
  <c r="U325" i="26"/>
  <c r="V325" i="26"/>
  <c r="W325" i="26"/>
  <c r="X325" i="26"/>
  <c r="Y325" i="26"/>
  <c r="Z325" i="26"/>
  <c r="AA325" i="26"/>
  <c r="AB325" i="26"/>
  <c r="AC325" i="26"/>
  <c r="AD325" i="26"/>
  <c r="AE325" i="26"/>
  <c r="AF325" i="26"/>
  <c r="AG325" i="26"/>
  <c r="AH325" i="26"/>
  <c r="K326" i="26"/>
  <c r="L326" i="26"/>
  <c r="M326" i="26"/>
  <c r="N326" i="26"/>
  <c r="O326" i="26"/>
  <c r="P326" i="26"/>
  <c r="Q326" i="26"/>
  <c r="R326" i="26"/>
  <c r="S326" i="26"/>
  <c r="T326" i="26"/>
  <c r="U326" i="26"/>
  <c r="V326" i="26"/>
  <c r="W326" i="26"/>
  <c r="X326" i="26"/>
  <c r="Y326" i="26"/>
  <c r="Z326" i="26"/>
  <c r="AA326" i="26"/>
  <c r="AB326" i="26"/>
  <c r="AC326" i="26"/>
  <c r="AD326" i="26"/>
  <c r="AE326" i="26"/>
  <c r="AF326" i="26"/>
  <c r="AG326" i="26"/>
  <c r="AH326" i="26"/>
  <c r="K327" i="26"/>
  <c r="L327" i="26"/>
  <c r="M327" i="26"/>
  <c r="N327" i="26"/>
  <c r="O327" i="26"/>
  <c r="P327" i="26"/>
  <c r="Q327" i="26"/>
  <c r="R327" i="26"/>
  <c r="S327" i="26"/>
  <c r="T327" i="26"/>
  <c r="U327" i="26"/>
  <c r="V327" i="26"/>
  <c r="W327" i="26"/>
  <c r="X327" i="26"/>
  <c r="Y327" i="26"/>
  <c r="Z327" i="26"/>
  <c r="AA327" i="26"/>
  <c r="AB327" i="26"/>
  <c r="AC327" i="26"/>
  <c r="AD327" i="26"/>
  <c r="AE327" i="26"/>
  <c r="AF327" i="26"/>
  <c r="AG327" i="26"/>
  <c r="AH327" i="26"/>
  <c r="K328" i="26"/>
  <c r="L328" i="26"/>
  <c r="M328" i="26"/>
  <c r="N328" i="26"/>
  <c r="O328" i="26"/>
  <c r="P328" i="26"/>
  <c r="Q328" i="26"/>
  <c r="R328" i="26"/>
  <c r="S328" i="26"/>
  <c r="T328" i="26"/>
  <c r="U328" i="26"/>
  <c r="V328" i="26"/>
  <c r="W328" i="26"/>
  <c r="X328" i="26"/>
  <c r="Y328" i="26"/>
  <c r="Z328" i="26"/>
  <c r="AA328" i="26"/>
  <c r="AB328" i="26"/>
  <c r="AC328" i="26"/>
  <c r="AD328" i="26"/>
  <c r="AE328" i="26"/>
  <c r="AF328" i="26"/>
  <c r="AG328" i="26"/>
  <c r="AH328" i="26"/>
  <c r="K329" i="26"/>
  <c r="L329" i="26"/>
  <c r="M329" i="26"/>
  <c r="N329" i="26"/>
  <c r="O329" i="26"/>
  <c r="P329" i="26"/>
  <c r="Q329" i="26"/>
  <c r="R329" i="26"/>
  <c r="S329" i="26"/>
  <c r="T329" i="26"/>
  <c r="U329" i="26"/>
  <c r="V329" i="26"/>
  <c r="W329" i="26"/>
  <c r="X329" i="26"/>
  <c r="Y329" i="26"/>
  <c r="Z329" i="26"/>
  <c r="AA329" i="26"/>
  <c r="AB329" i="26"/>
  <c r="AC329" i="26"/>
  <c r="AD329" i="26"/>
  <c r="AE329" i="26"/>
  <c r="AF329" i="26"/>
  <c r="AG329" i="26"/>
  <c r="AH329" i="26"/>
  <c r="K330" i="26"/>
  <c r="L330" i="26"/>
  <c r="M330" i="26"/>
  <c r="N330" i="26"/>
  <c r="O330" i="26"/>
  <c r="P330" i="26"/>
  <c r="Q330" i="26"/>
  <c r="R330" i="26"/>
  <c r="S330" i="26"/>
  <c r="T330" i="26"/>
  <c r="U330" i="26"/>
  <c r="V330" i="26"/>
  <c r="W330" i="26"/>
  <c r="X330" i="26"/>
  <c r="Y330" i="26"/>
  <c r="Z330" i="26"/>
  <c r="AA330" i="26"/>
  <c r="AB330" i="26"/>
  <c r="AC330" i="26"/>
  <c r="AD330" i="26"/>
  <c r="AE330" i="26"/>
  <c r="AF330" i="26"/>
  <c r="AG330" i="26"/>
  <c r="AH330" i="26"/>
  <c r="K331" i="26"/>
  <c r="L331" i="26"/>
  <c r="M331" i="26"/>
  <c r="N331" i="26"/>
  <c r="O331" i="26"/>
  <c r="P331" i="26"/>
  <c r="Q331" i="26"/>
  <c r="R331" i="26"/>
  <c r="S331" i="26"/>
  <c r="T331" i="26"/>
  <c r="U331" i="26"/>
  <c r="V331" i="26"/>
  <c r="W331" i="26"/>
  <c r="X331" i="26"/>
  <c r="Y331" i="26"/>
  <c r="Z331" i="26"/>
  <c r="AA331" i="26"/>
  <c r="AB331" i="26"/>
  <c r="AC331" i="26"/>
  <c r="AD331" i="26"/>
  <c r="AE331" i="26"/>
  <c r="AF331" i="26"/>
  <c r="AG331" i="26"/>
  <c r="AH331" i="26"/>
  <c r="K332" i="26"/>
  <c r="L332" i="26"/>
  <c r="M332" i="26"/>
  <c r="N332" i="26"/>
  <c r="O332" i="26"/>
  <c r="P332" i="26"/>
  <c r="Q332" i="26"/>
  <c r="R332" i="26"/>
  <c r="S332" i="26"/>
  <c r="T332" i="26"/>
  <c r="U332" i="26"/>
  <c r="V332" i="26"/>
  <c r="W332" i="26"/>
  <c r="X332" i="26"/>
  <c r="Y332" i="26"/>
  <c r="Z332" i="26"/>
  <c r="AA332" i="26"/>
  <c r="AB332" i="26"/>
  <c r="AC332" i="26"/>
  <c r="AD332" i="26"/>
  <c r="AE332" i="26"/>
  <c r="AF332" i="26"/>
  <c r="AG332" i="26"/>
  <c r="AH332" i="26"/>
  <c r="K333" i="26"/>
  <c r="L333" i="26"/>
  <c r="M333" i="26"/>
  <c r="N333" i="26"/>
  <c r="O333" i="26"/>
  <c r="P333" i="26"/>
  <c r="Q333" i="26"/>
  <c r="R333" i="26"/>
  <c r="S333" i="26"/>
  <c r="T333" i="26"/>
  <c r="U333" i="26"/>
  <c r="V333" i="26"/>
  <c r="W333" i="26"/>
  <c r="X333" i="26"/>
  <c r="Y333" i="26"/>
  <c r="Z333" i="26"/>
  <c r="AA333" i="26"/>
  <c r="AB333" i="26"/>
  <c r="AC333" i="26"/>
  <c r="AD333" i="26"/>
  <c r="AE333" i="26"/>
  <c r="AF333" i="26"/>
  <c r="AG333" i="26"/>
  <c r="AH333" i="26"/>
  <c r="K334" i="26"/>
  <c r="L334" i="26"/>
  <c r="M334" i="26"/>
  <c r="N334" i="26"/>
  <c r="O334" i="26"/>
  <c r="P334" i="26"/>
  <c r="Q334" i="26"/>
  <c r="R334" i="26"/>
  <c r="S334" i="26"/>
  <c r="T334" i="26"/>
  <c r="U334" i="26"/>
  <c r="V334" i="26"/>
  <c r="W334" i="26"/>
  <c r="X334" i="26"/>
  <c r="Y334" i="26"/>
  <c r="Z334" i="26"/>
  <c r="AA334" i="26"/>
  <c r="AB334" i="26"/>
  <c r="AC334" i="26"/>
  <c r="AD334" i="26"/>
  <c r="AE334" i="26"/>
  <c r="AF334" i="26"/>
  <c r="AG334" i="26"/>
  <c r="AH334" i="26"/>
  <c r="K335" i="26"/>
  <c r="L335" i="26"/>
  <c r="M335" i="26"/>
  <c r="N335" i="26"/>
  <c r="O335" i="26"/>
  <c r="P335" i="26"/>
  <c r="Q335" i="26"/>
  <c r="R335" i="26"/>
  <c r="S335" i="26"/>
  <c r="T335" i="26"/>
  <c r="U335" i="26"/>
  <c r="V335" i="26"/>
  <c r="W335" i="26"/>
  <c r="X335" i="26"/>
  <c r="Y335" i="26"/>
  <c r="Z335" i="26"/>
  <c r="AA335" i="26"/>
  <c r="AB335" i="26"/>
  <c r="AC335" i="26"/>
  <c r="AD335" i="26"/>
  <c r="AE335" i="26"/>
  <c r="AF335" i="26"/>
  <c r="AG335" i="26"/>
  <c r="AH335" i="26"/>
  <c r="K336" i="26"/>
  <c r="L336" i="26"/>
  <c r="M336" i="26"/>
  <c r="N336" i="26"/>
  <c r="O336" i="26"/>
  <c r="P336" i="26"/>
  <c r="Q336" i="26"/>
  <c r="R336" i="26"/>
  <c r="S336" i="26"/>
  <c r="T336" i="26"/>
  <c r="U336" i="26"/>
  <c r="V336" i="26"/>
  <c r="W336" i="26"/>
  <c r="X336" i="26"/>
  <c r="Y336" i="26"/>
  <c r="Z336" i="26"/>
  <c r="AA336" i="26"/>
  <c r="AB336" i="26"/>
  <c r="AC336" i="26"/>
  <c r="AD336" i="26"/>
  <c r="AE336" i="26"/>
  <c r="AF336" i="26"/>
  <c r="AG336" i="26"/>
  <c r="AH336" i="26"/>
  <c r="K337" i="26"/>
  <c r="L337" i="26"/>
  <c r="M337" i="26"/>
  <c r="N337" i="26"/>
  <c r="O337" i="26"/>
  <c r="P337" i="26"/>
  <c r="Q337" i="26"/>
  <c r="R337" i="26"/>
  <c r="S337" i="26"/>
  <c r="T337" i="26"/>
  <c r="U337" i="26"/>
  <c r="V337" i="26"/>
  <c r="W337" i="26"/>
  <c r="X337" i="26"/>
  <c r="Y337" i="26"/>
  <c r="Z337" i="26"/>
  <c r="AA337" i="26"/>
  <c r="AB337" i="26"/>
  <c r="AC337" i="26"/>
  <c r="AD337" i="26"/>
  <c r="AE337" i="26"/>
  <c r="AF337" i="26"/>
  <c r="AG337" i="26"/>
  <c r="AH337" i="26"/>
  <c r="K338" i="26"/>
  <c r="L338" i="26"/>
  <c r="M338" i="26"/>
  <c r="N338" i="26"/>
  <c r="O338" i="26"/>
  <c r="P338" i="26"/>
  <c r="Q338" i="26"/>
  <c r="R338" i="26"/>
  <c r="S338" i="26"/>
  <c r="T338" i="26"/>
  <c r="U338" i="26"/>
  <c r="V338" i="26"/>
  <c r="W338" i="26"/>
  <c r="X338" i="26"/>
  <c r="Y338" i="26"/>
  <c r="Z338" i="26"/>
  <c r="AA338" i="26"/>
  <c r="AB338" i="26"/>
  <c r="AC338" i="26"/>
  <c r="AD338" i="26"/>
  <c r="AE338" i="26"/>
  <c r="AF338" i="26"/>
  <c r="AG338" i="26"/>
  <c r="AH338" i="26"/>
  <c r="K339" i="26"/>
  <c r="L339" i="26"/>
  <c r="M339" i="26"/>
  <c r="N339" i="26"/>
  <c r="O339" i="26"/>
  <c r="P339" i="26"/>
  <c r="Q339" i="26"/>
  <c r="R339" i="26"/>
  <c r="S339" i="26"/>
  <c r="T339" i="26"/>
  <c r="U339" i="26"/>
  <c r="V339" i="26"/>
  <c r="W339" i="26"/>
  <c r="X339" i="26"/>
  <c r="Y339" i="26"/>
  <c r="Z339" i="26"/>
  <c r="AA339" i="26"/>
  <c r="AB339" i="26"/>
  <c r="AC339" i="26"/>
  <c r="AD339" i="26"/>
  <c r="AE339" i="26"/>
  <c r="AF339" i="26"/>
  <c r="AG339" i="26"/>
  <c r="AH339" i="26"/>
  <c r="K340" i="26"/>
  <c r="L340" i="26"/>
  <c r="M340" i="26"/>
  <c r="N340" i="26"/>
  <c r="O340" i="26"/>
  <c r="P340" i="26"/>
  <c r="Q340" i="26"/>
  <c r="R340" i="26"/>
  <c r="S340" i="26"/>
  <c r="T340" i="26"/>
  <c r="U340" i="26"/>
  <c r="V340" i="26"/>
  <c r="W340" i="26"/>
  <c r="X340" i="26"/>
  <c r="Y340" i="26"/>
  <c r="Z340" i="26"/>
  <c r="AA340" i="26"/>
  <c r="AB340" i="26"/>
  <c r="AC340" i="26"/>
  <c r="AD340" i="26"/>
  <c r="AE340" i="26"/>
  <c r="AF340" i="26"/>
  <c r="AG340" i="26"/>
  <c r="AH340" i="26"/>
  <c r="K341" i="26"/>
  <c r="L341" i="26"/>
  <c r="M341" i="26"/>
  <c r="N341" i="26"/>
  <c r="O341" i="26"/>
  <c r="P341" i="26"/>
  <c r="Q341" i="26"/>
  <c r="R341" i="26"/>
  <c r="S341" i="26"/>
  <c r="T341" i="26"/>
  <c r="U341" i="26"/>
  <c r="V341" i="26"/>
  <c r="W341" i="26"/>
  <c r="X341" i="26"/>
  <c r="Y341" i="26"/>
  <c r="Z341" i="26"/>
  <c r="AA341" i="26"/>
  <c r="AB341" i="26"/>
  <c r="AC341" i="26"/>
  <c r="AD341" i="26"/>
  <c r="AE341" i="26"/>
  <c r="AF341" i="26"/>
  <c r="AG341" i="26"/>
  <c r="AH341" i="26"/>
  <c r="K342" i="26"/>
  <c r="L342" i="26"/>
  <c r="M342" i="26"/>
  <c r="N342" i="26"/>
  <c r="O342" i="26"/>
  <c r="P342" i="26"/>
  <c r="Q342" i="26"/>
  <c r="R342" i="26"/>
  <c r="S342" i="26"/>
  <c r="T342" i="26"/>
  <c r="U342" i="26"/>
  <c r="V342" i="26"/>
  <c r="W342" i="26"/>
  <c r="X342" i="26"/>
  <c r="Y342" i="26"/>
  <c r="Z342" i="26"/>
  <c r="AA342" i="26"/>
  <c r="AB342" i="26"/>
  <c r="AC342" i="26"/>
  <c r="AD342" i="26"/>
  <c r="AE342" i="26"/>
  <c r="AF342" i="26"/>
  <c r="AG342" i="26"/>
  <c r="AH342" i="26"/>
  <c r="K343" i="26"/>
  <c r="L343" i="26"/>
  <c r="M343" i="26"/>
  <c r="N343" i="26"/>
  <c r="O343" i="26"/>
  <c r="P343" i="26"/>
  <c r="Q343" i="26"/>
  <c r="R343" i="26"/>
  <c r="S343" i="26"/>
  <c r="T343" i="26"/>
  <c r="U343" i="26"/>
  <c r="V343" i="26"/>
  <c r="W343" i="26"/>
  <c r="X343" i="26"/>
  <c r="Y343" i="26"/>
  <c r="Z343" i="26"/>
  <c r="AA343" i="26"/>
  <c r="AB343" i="26"/>
  <c r="AC343" i="26"/>
  <c r="AD343" i="26"/>
  <c r="AE343" i="26"/>
  <c r="AF343" i="26"/>
  <c r="AG343" i="26"/>
  <c r="AH343" i="26"/>
  <c r="K344" i="26"/>
  <c r="L344" i="26"/>
  <c r="M344" i="26"/>
  <c r="N344" i="26"/>
  <c r="O344" i="26"/>
  <c r="P344" i="26"/>
  <c r="Q344" i="26"/>
  <c r="R344" i="26"/>
  <c r="S344" i="26"/>
  <c r="T344" i="26"/>
  <c r="U344" i="26"/>
  <c r="V344" i="26"/>
  <c r="W344" i="26"/>
  <c r="X344" i="26"/>
  <c r="Y344" i="26"/>
  <c r="Z344" i="26"/>
  <c r="AA344" i="26"/>
  <c r="AB344" i="26"/>
  <c r="AC344" i="26"/>
  <c r="AD344" i="26"/>
  <c r="AE344" i="26"/>
  <c r="AF344" i="26"/>
  <c r="AG344" i="26"/>
  <c r="AH344" i="26"/>
  <c r="K345" i="26"/>
  <c r="L345" i="26"/>
  <c r="M345" i="26"/>
  <c r="N345" i="26"/>
  <c r="O345" i="26"/>
  <c r="P345" i="26"/>
  <c r="Q345" i="26"/>
  <c r="R345" i="26"/>
  <c r="S345" i="26"/>
  <c r="T345" i="26"/>
  <c r="U345" i="26"/>
  <c r="V345" i="26"/>
  <c r="W345" i="26"/>
  <c r="X345" i="26"/>
  <c r="Y345" i="26"/>
  <c r="Z345" i="26"/>
  <c r="AA345" i="26"/>
  <c r="AB345" i="26"/>
  <c r="AC345" i="26"/>
  <c r="AD345" i="26"/>
  <c r="AE345" i="26"/>
  <c r="AF345" i="26"/>
  <c r="AG345" i="26"/>
  <c r="AH345" i="26"/>
  <c r="K346" i="26"/>
  <c r="L346" i="26"/>
  <c r="M346" i="26"/>
  <c r="N346" i="26"/>
  <c r="O346" i="26"/>
  <c r="P346" i="26"/>
  <c r="Q346" i="26"/>
  <c r="R346" i="26"/>
  <c r="S346" i="26"/>
  <c r="T346" i="26"/>
  <c r="U346" i="26"/>
  <c r="V346" i="26"/>
  <c r="W346" i="26"/>
  <c r="X346" i="26"/>
  <c r="Y346" i="26"/>
  <c r="Z346" i="26"/>
  <c r="AA346" i="26"/>
  <c r="AB346" i="26"/>
  <c r="AC346" i="26"/>
  <c r="AD346" i="26"/>
  <c r="AE346" i="26"/>
  <c r="AF346" i="26"/>
  <c r="AG346" i="26"/>
  <c r="AH346" i="26"/>
  <c r="K347" i="26"/>
  <c r="L347" i="26"/>
  <c r="M347" i="26"/>
  <c r="N347" i="26"/>
  <c r="O347" i="26"/>
  <c r="P347" i="26"/>
  <c r="Q347" i="26"/>
  <c r="R347" i="26"/>
  <c r="S347" i="26"/>
  <c r="T347" i="26"/>
  <c r="U347" i="26"/>
  <c r="V347" i="26"/>
  <c r="W347" i="26"/>
  <c r="X347" i="26"/>
  <c r="Y347" i="26"/>
  <c r="Z347" i="26"/>
  <c r="AA347" i="26"/>
  <c r="AB347" i="26"/>
  <c r="AC347" i="26"/>
  <c r="AD347" i="26"/>
  <c r="AE347" i="26"/>
  <c r="AF347" i="26"/>
  <c r="AG347" i="26"/>
  <c r="AH347" i="26"/>
  <c r="K348" i="26"/>
  <c r="L348" i="26"/>
  <c r="M348" i="26"/>
  <c r="N348" i="26"/>
  <c r="O348" i="26"/>
  <c r="P348" i="26"/>
  <c r="Q348" i="26"/>
  <c r="R348" i="26"/>
  <c r="S348" i="26"/>
  <c r="T348" i="26"/>
  <c r="U348" i="26"/>
  <c r="V348" i="26"/>
  <c r="W348" i="26"/>
  <c r="X348" i="26"/>
  <c r="Y348" i="26"/>
  <c r="Z348" i="26"/>
  <c r="AA348" i="26"/>
  <c r="AB348" i="26"/>
  <c r="AC348" i="26"/>
  <c r="AD348" i="26"/>
  <c r="AE348" i="26"/>
  <c r="AF348" i="26"/>
  <c r="AG348" i="26"/>
  <c r="AH348" i="26"/>
  <c r="K349" i="26"/>
  <c r="L349" i="26"/>
  <c r="M349" i="26"/>
  <c r="N349" i="26"/>
  <c r="O349" i="26"/>
  <c r="P349" i="26"/>
  <c r="Q349" i="26"/>
  <c r="R349" i="26"/>
  <c r="S349" i="26"/>
  <c r="T349" i="26"/>
  <c r="U349" i="26"/>
  <c r="V349" i="26"/>
  <c r="W349" i="26"/>
  <c r="X349" i="26"/>
  <c r="Y349" i="26"/>
  <c r="Z349" i="26"/>
  <c r="AA349" i="26"/>
  <c r="AB349" i="26"/>
  <c r="AC349" i="26"/>
  <c r="AD349" i="26"/>
  <c r="AE349" i="26"/>
  <c r="AF349" i="26"/>
  <c r="AG349" i="26"/>
  <c r="AH349" i="26"/>
  <c r="K350" i="26"/>
  <c r="L350" i="26"/>
  <c r="M350" i="26"/>
  <c r="N350" i="26"/>
  <c r="O350" i="26"/>
  <c r="P350" i="26"/>
  <c r="Q350" i="26"/>
  <c r="R350" i="26"/>
  <c r="S350" i="26"/>
  <c r="T350" i="26"/>
  <c r="U350" i="26"/>
  <c r="V350" i="26"/>
  <c r="W350" i="26"/>
  <c r="X350" i="26"/>
  <c r="Y350" i="26"/>
  <c r="Z350" i="26"/>
  <c r="AA350" i="26"/>
  <c r="AB350" i="26"/>
  <c r="AC350" i="26"/>
  <c r="AD350" i="26"/>
  <c r="AE350" i="26"/>
  <c r="AF350" i="26"/>
  <c r="AG350" i="26"/>
  <c r="AH350" i="26"/>
  <c r="K351" i="26"/>
  <c r="L351" i="26"/>
  <c r="M351" i="26"/>
  <c r="N351" i="26"/>
  <c r="O351" i="26"/>
  <c r="P351" i="26"/>
  <c r="Q351" i="26"/>
  <c r="R351" i="26"/>
  <c r="S351" i="26"/>
  <c r="T351" i="26"/>
  <c r="U351" i="26"/>
  <c r="V351" i="26"/>
  <c r="W351" i="26"/>
  <c r="X351" i="26"/>
  <c r="Y351" i="26"/>
  <c r="Z351" i="26"/>
  <c r="AA351" i="26"/>
  <c r="AB351" i="26"/>
  <c r="AC351" i="26"/>
  <c r="AD351" i="26"/>
  <c r="AE351" i="26"/>
  <c r="AF351" i="26"/>
  <c r="AG351" i="26"/>
  <c r="AH351" i="26"/>
  <c r="K352" i="26"/>
  <c r="L352" i="26"/>
  <c r="M352" i="26"/>
  <c r="N352" i="26"/>
  <c r="O352" i="26"/>
  <c r="P352" i="26"/>
  <c r="Q352" i="26"/>
  <c r="R352" i="26"/>
  <c r="S352" i="26"/>
  <c r="T352" i="26"/>
  <c r="U352" i="26"/>
  <c r="V352" i="26"/>
  <c r="W352" i="26"/>
  <c r="X352" i="26"/>
  <c r="Y352" i="26"/>
  <c r="Z352" i="26"/>
  <c r="AA352" i="26"/>
  <c r="AB352" i="26"/>
  <c r="AC352" i="26"/>
  <c r="AD352" i="26"/>
  <c r="AE352" i="26"/>
  <c r="AF352" i="26"/>
  <c r="AG352" i="26"/>
  <c r="AH352" i="26"/>
  <c r="K353" i="26"/>
  <c r="L353" i="26"/>
  <c r="M353" i="26"/>
  <c r="N353" i="26"/>
  <c r="O353" i="26"/>
  <c r="P353" i="26"/>
  <c r="Q353" i="26"/>
  <c r="R353" i="26"/>
  <c r="S353" i="26"/>
  <c r="T353" i="26"/>
  <c r="U353" i="26"/>
  <c r="V353" i="26"/>
  <c r="W353" i="26"/>
  <c r="X353" i="26"/>
  <c r="Y353" i="26"/>
  <c r="Z353" i="26"/>
  <c r="AA353" i="26"/>
  <c r="AB353" i="26"/>
  <c r="AC353" i="26"/>
  <c r="AD353" i="26"/>
  <c r="AE353" i="26"/>
  <c r="AF353" i="26"/>
  <c r="AG353" i="26"/>
  <c r="AH353" i="26"/>
  <c r="K354" i="26"/>
  <c r="L354" i="26"/>
  <c r="M354" i="26"/>
  <c r="N354" i="26"/>
  <c r="O354" i="26"/>
  <c r="P354" i="26"/>
  <c r="Q354" i="26"/>
  <c r="R354" i="26"/>
  <c r="S354" i="26"/>
  <c r="T354" i="26"/>
  <c r="U354" i="26"/>
  <c r="V354" i="26"/>
  <c r="W354" i="26"/>
  <c r="X354" i="26"/>
  <c r="Y354" i="26"/>
  <c r="Z354" i="26"/>
  <c r="AA354" i="26"/>
  <c r="AB354" i="26"/>
  <c r="AC354" i="26"/>
  <c r="AD354" i="26"/>
  <c r="AE354" i="26"/>
  <c r="AF354" i="26"/>
  <c r="AG354" i="26"/>
  <c r="AH354" i="26"/>
  <c r="K355" i="26"/>
  <c r="L355" i="26"/>
  <c r="M355" i="26"/>
  <c r="N355" i="26"/>
  <c r="O355" i="26"/>
  <c r="P355" i="26"/>
  <c r="Q355" i="26"/>
  <c r="R355" i="26"/>
  <c r="S355" i="26"/>
  <c r="T355" i="26"/>
  <c r="U355" i="26"/>
  <c r="V355" i="26"/>
  <c r="W355" i="26"/>
  <c r="X355" i="26"/>
  <c r="Y355" i="26"/>
  <c r="Z355" i="26"/>
  <c r="AA355" i="26"/>
  <c r="AB355" i="26"/>
  <c r="AC355" i="26"/>
  <c r="AD355" i="26"/>
  <c r="AE355" i="26"/>
  <c r="AF355" i="26"/>
  <c r="AG355" i="26"/>
  <c r="AH355" i="26"/>
  <c r="K356" i="26"/>
  <c r="L356" i="26"/>
  <c r="M356" i="26"/>
  <c r="N356" i="26"/>
  <c r="O356" i="26"/>
  <c r="P356" i="26"/>
  <c r="Q356" i="26"/>
  <c r="R356" i="26"/>
  <c r="S356" i="26"/>
  <c r="T356" i="26"/>
  <c r="U356" i="26"/>
  <c r="V356" i="26"/>
  <c r="W356" i="26"/>
  <c r="X356" i="26"/>
  <c r="Y356" i="26"/>
  <c r="Z356" i="26"/>
  <c r="AA356" i="26"/>
  <c r="AB356" i="26"/>
  <c r="AC356" i="26"/>
  <c r="AD356" i="26"/>
  <c r="AE356" i="26"/>
  <c r="AF356" i="26"/>
  <c r="AG356" i="26"/>
  <c r="AH356" i="26"/>
  <c r="K357" i="26"/>
  <c r="L357" i="26"/>
  <c r="M357" i="26"/>
  <c r="N357" i="26"/>
  <c r="O357" i="26"/>
  <c r="P357" i="26"/>
  <c r="Q357" i="26"/>
  <c r="R357" i="26"/>
  <c r="S357" i="26"/>
  <c r="T357" i="26"/>
  <c r="U357" i="26"/>
  <c r="V357" i="26"/>
  <c r="W357" i="26"/>
  <c r="X357" i="26"/>
  <c r="Y357" i="26"/>
  <c r="Z357" i="26"/>
  <c r="AA357" i="26"/>
  <c r="AB357" i="26"/>
  <c r="AC357" i="26"/>
  <c r="AD357" i="26"/>
  <c r="AE357" i="26"/>
  <c r="AF357" i="26"/>
  <c r="AG357" i="26"/>
  <c r="AH357" i="26"/>
  <c r="K358" i="26"/>
  <c r="L358" i="26"/>
  <c r="M358" i="26"/>
  <c r="N358" i="26"/>
  <c r="O358" i="26"/>
  <c r="P358" i="26"/>
  <c r="Q358" i="26"/>
  <c r="R358" i="26"/>
  <c r="S358" i="26"/>
  <c r="T358" i="26"/>
  <c r="U358" i="26"/>
  <c r="V358" i="26"/>
  <c r="W358" i="26"/>
  <c r="X358" i="26"/>
  <c r="Y358" i="26"/>
  <c r="Z358" i="26"/>
  <c r="AA358" i="26"/>
  <c r="AB358" i="26"/>
  <c r="AC358" i="26"/>
  <c r="AD358" i="26"/>
  <c r="AE358" i="26"/>
  <c r="AF358" i="26"/>
  <c r="AG358" i="26"/>
  <c r="AH358" i="26"/>
  <c r="K359" i="26"/>
  <c r="L359" i="26"/>
  <c r="M359" i="26"/>
  <c r="N359" i="26"/>
  <c r="O359" i="26"/>
  <c r="P359" i="26"/>
  <c r="Q359" i="26"/>
  <c r="R359" i="26"/>
  <c r="S359" i="26"/>
  <c r="T359" i="26"/>
  <c r="U359" i="26"/>
  <c r="V359" i="26"/>
  <c r="W359" i="26"/>
  <c r="X359" i="26"/>
  <c r="Y359" i="26"/>
  <c r="Z359" i="26"/>
  <c r="AA359" i="26"/>
  <c r="AB359" i="26"/>
  <c r="AC359" i="26"/>
  <c r="AD359" i="26"/>
  <c r="AE359" i="26"/>
  <c r="AF359" i="26"/>
  <c r="AG359" i="26"/>
  <c r="AH359" i="26"/>
  <c r="K360" i="26"/>
  <c r="L360" i="26"/>
  <c r="M360" i="26"/>
  <c r="N360" i="26"/>
  <c r="O360" i="26"/>
  <c r="P360" i="26"/>
  <c r="Q360" i="26"/>
  <c r="R360" i="26"/>
  <c r="S360" i="26"/>
  <c r="T360" i="26"/>
  <c r="U360" i="26"/>
  <c r="V360" i="26"/>
  <c r="W360" i="26"/>
  <c r="X360" i="26"/>
  <c r="Y360" i="26"/>
  <c r="Z360" i="26"/>
  <c r="AA360" i="26"/>
  <c r="AB360" i="26"/>
  <c r="AC360" i="26"/>
  <c r="AD360" i="26"/>
  <c r="AE360" i="26"/>
  <c r="AF360" i="26"/>
  <c r="AG360" i="26"/>
  <c r="AH360" i="26"/>
  <c r="K361" i="26"/>
  <c r="L361" i="26"/>
  <c r="M361" i="26"/>
  <c r="N361" i="26"/>
  <c r="O361" i="26"/>
  <c r="P361" i="26"/>
  <c r="Q361" i="26"/>
  <c r="R361" i="26"/>
  <c r="S361" i="26"/>
  <c r="T361" i="26"/>
  <c r="U361" i="26"/>
  <c r="V361" i="26"/>
  <c r="W361" i="26"/>
  <c r="X361" i="26"/>
  <c r="Y361" i="26"/>
  <c r="Z361" i="26"/>
  <c r="AA361" i="26"/>
  <c r="AB361" i="26"/>
  <c r="AC361" i="26"/>
  <c r="AD361" i="26"/>
  <c r="AE361" i="26"/>
  <c r="AF361" i="26"/>
  <c r="AG361" i="26"/>
  <c r="AH361" i="26"/>
  <c r="K362" i="26"/>
  <c r="L362" i="26"/>
  <c r="M362" i="26"/>
  <c r="N362" i="26"/>
  <c r="O362" i="26"/>
  <c r="P362" i="26"/>
  <c r="Q362" i="26"/>
  <c r="R362" i="26"/>
  <c r="S362" i="26"/>
  <c r="T362" i="26"/>
  <c r="U362" i="26"/>
  <c r="V362" i="26"/>
  <c r="W362" i="26"/>
  <c r="X362" i="26"/>
  <c r="Y362" i="26"/>
  <c r="Z362" i="26"/>
  <c r="AA362" i="26"/>
  <c r="AB362" i="26"/>
  <c r="AC362" i="26"/>
  <c r="AD362" i="26"/>
  <c r="AE362" i="26"/>
  <c r="AF362" i="26"/>
  <c r="AG362" i="26"/>
  <c r="AH362" i="26"/>
  <c r="K363" i="26"/>
  <c r="L363" i="26"/>
  <c r="M363" i="26"/>
  <c r="N363" i="26"/>
  <c r="O363" i="26"/>
  <c r="P363" i="26"/>
  <c r="Q363" i="26"/>
  <c r="R363" i="26"/>
  <c r="S363" i="26"/>
  <c r="T363" i="26"/>
  <c r="U363" i="26"/>
  <c r="V363" i="26"/>
  <c r="W363" i="26"/>
  <c r="X363" i="26"/>
  <c r="Y363" i="26"/>
  <c r="Z363" i="26"/>
  <c r="AA363" i="26"/>
  <c r="AB363" i="26"/>
  <c r="AC363" i="26"/>
  <c r="AD363" i="26"/>
  <c r="AE363" i="26"/>
  <c r="AF363" i="26"/>
  <c r="AG363" i="26"/>
  <c r="AH363" i="26"/>
  <c r="K364" i="26"/>
  <c r="L364" i="26"/>
  <c r="M364" i="26"/>
  <c r="N364" i="26"/>
  <c r="O364" i="26"/>
  <c r="P364" i="26"/>
  <c r="Q364" i="26"/>
  <c r="R364" i="26"/>
  <c r="S364" i="26"/>
  <c r="T364" i="26"/>
  <c r="U364" i="26"/>
  <c r="V364" i="26"/>
  <c r="W364" i="26"/>
  <c r="X364" i="26"/>
  <c r="Y364" i="26"/>
  <c r="Z364" i="26"/>
  <c r="AA364" i="26"/>
  <c r="AB364" i="26"/>
  <c r="AC364" i="26"/>
  <c r="AD364" i="26"/>
  <c r="AE364" i="26"/>
  <c r="AF364" i="26"/>
  <c r="AG364" i="26"/>
  <c r="AH364" i="26"/>
  <c r="K365" i="26"/>
  <c r="L365" i="26"/>
  <c r="M365" i="26"/>
  <c r="N365" i="26"/>
  <c r="O365" i="26"/>
  <c r="P365" i="26"/>
  <c r="Q365" i="26"/>
  <c r="R365" i="26"/>
  <c r="S365" i="26"/>
  <c r="T365" i="26"/>
  <c r="U365" i="26"/>
  <c r="V365" i="26"/>
  <c r="W365" i="26"/>
  <c r="X365" i="26"/>
  <c r="Y365" i="26"/>
  <c r="Z365" i="26"/>
  <c r="AA365" i="26"/>
  <c r="AB365" i="26"/>
  <c r="AC365" i="26"/>
  <c r="AD365" i="26"/>
  <c r="AE365" i="26"/>
  <c r="AF365" i="26"/>
  <c r="AG365" i="26"/>
  <c r="AH365" i="26"/>
  <c r="K366" i="26"/>
  <c r="L366" i="26"/>
  <c r="M366" i="26"/>
  <c r="N366" i="26"/>
  <c r="O366" i="26"/>
  <c r="P366" i="26"/>
  <c r="Q366" i="26"/>
  <c r="R366" i="26"/>
  <c r="S366" i="26"/>
  <c r="T366" i="26"/>
  <c r="U366" i="26"/>
  <c r="V366" i="26"/>
  <c r="W366" i="26"/>
  <c r="X366" i="26"/>
  <c r="Y366" i="26"/>
  <c r="Z366" i="26"/>
  <c r="AA366" i="26"/>
  <c r="AB366" i="26"/>
  <c r="AC366" i="26"/>
  <c r="AD366" i="26"/>
  <c r="AE366" i="26"/>
  <c r="AF366" i="26"/>
  <c r="AG366" i="26"/>
  <c r="AH366" i="26"/>
  <c r="K367" i="26"/>
  <c r="L367" i="26"/>
  <c r="M367" i="26"/>
  <c r="N367" i="26"/>
  <c r="O367" i="26"/>
  <c r="P367" i="26"/>
  <c r="Q367" i="26"/>
  <c r="R367" i="26"/>
  <c r="S367" i="26"/>
  <c r="T367" i="26"/>
  <c r="U367" i="26"/>
  <c r="V367" i="26"/>
  <c r="W367" i="26"/>
  <c r="X367" i="26"/>
  <c r="Y367" i="26"/>
  <c r="Z367" i="26"/>
  <c r="AA367" i="26"/>
  <c r="AB367" i="26"/>
  <c r="AC367" i="26"/>
  <c r="AD367" i="26"/>
  <c r="AE367" i="26"/>
  <c r="AF367" i="26"/>
  <c r="AG367" i="26"/>
  <c r="AH367" i="26"/>
  <c r="K368" i="26"/>
  <c r="L368" i="26"/>
  <c r="M368" i="26"/>
  <c r="N368" i="26"/>
  <c r="O368" i="26"/>
  <c r="P368" i="26"/>
  <c r="Q368" i="26"/>
  <c r="R368" i="26"/>
  <c r="S368" i="26"/>
  <c r="T368" i="26"/>
  <c r="U368" i="26"/>
  <c r="V368" i="26"/>
  <c r="W368" i="26"/>
  <c r="X368" i="26"/>
  <c r="Y368" i="26"/>
  <c r="Z368" i="26"/>
  <c r="AA368" i="26"/>
  <c r="AB368" i="26"/>
  <c r="AC368" i="26"/>
  <c r="AD368" i="26"/>
  <c r="AE368" i="26"/>
  <c r="AF368" i="26"/>
  <c r="AG368" i="26"/>
  <c r="AH368" i="26"/>
  <c r="K369" i="26"/>
  <c r="L369" i="26"/>
  <c r="M369" i="26"/>
  <c r="N369" i="26"/>
  <c r="O369" i="26"/>
  <c r="P369" i="26"/>
  <c r="Q369" i="26"/>
  <c r="R369" i="26"/>
  <c r="S369" i="26"/>
  <c r="T369" i="26"/>
  <c r="U369" i="26"/>
  <c r="V369" i="26"/>
  <c r="W369" i="26"/>
  <c r="X369" i="26"/>
  <c r="Y369" i="26"/>
  <c r="Z369" i="26"/>
  <c r="AA369" i="26"/>
  <c r="AB369" i="26"/>
  <c r="AC369" i="26"/>
  <c r="AD369" i="26"/>
  <c r="AE369" i="26"/>
  <c r="AF369" i="26"/>
  <c r="AG369" i="26"/>
  <c r="AH369" i="26"/>
  <c r="K370" i="26"/>
  <c r="L370" i="26"/>
  <c r="M370" i="26"/>
  <c r="N370" i="26"/>
  <c r="O370" i="26"/>
  <c r="P370" i="26"/>
  <c r="Q370" i="26"/>
  <c r="R370" i="26"/>
  <c r="S370" i="26"/>
  <c r="T370" i="26"/>
  <c r="U370" i="26"/>
  <c r="V370" i="26"/>
  <c r="W370" i="26"/>
  <c r="X370" i="26"/>
  <c r="Y370" i="26"/>
  <c r="Z370" i="26"/>
  <c r="AA370" i="26"/>
  <c r="AB370" i="26"/>
  <c r="AC370" i="26"/>
  <c r="AD370" i="26"/>
  <c r="AE370" i="26"/>
  <c r="AF370" i="26"/>
  <c r="AG370" i="26"/>
  <c r="AH370" i="26"/>
  <c r="K371" i="26"/>
  <c r="L371" i="26"/>
  <c r="M371" i="26"/>
  <c r="N371" i="26"/>
  <c r="O371" i="26"/>
  <c r="P371" i="26"/>
  <c r="Q371" i="26"/>
  <c r="R371" i="26"/>
  <c r="S371" i="26"/>
  <c r="T371" i="26"/>
  <c r="U371" i="26"/>
  <c r="V371" i="26"/>
  <c r="W371" i="26"/>
  <c r="X371" i="26"/>
  <c r="Y371" i="26"/>
  <c r="Z371" i="26"/>
  <c r="AA371" i="26"/>
  <c r="AB371" i="26"/>
  <c r="AC371" i="26"/>
  <c r="AD371" i="26"/>
  <c r="AE371" i="26"/>
  <c r="AF371" i="26"/>
  <c r="AG371" i="26"/>
  <c r="AH371" i="26"/>
  <c r="K372" i="26"/>
  <c r="L372" i="26"/>
  <c r="M372" i="26"/>
  <c r="N372" i="26"/>
  <c r="O372" i="26"/>
  <c r="P372" i="26"/>
  <c r="Q372" i="26"/>
  <c r="R372" i="26"/>
  <c r="S372" i="26"/>
  <c r="T372" i="26"/>
  <c r="U372" i="26"/>
  <c r="V372" i="26"/>
  <c r="W372" i="26"/>
  <c r="X372" i="26"/>
  <c r="Y372" i="26"/>
  <c r="Z372" i="26"/>
  <c r="AA372" i="26"/>
  <c r="AB372" i="26"/>
  <c r="AC372" i="26"/>
  <c r="AD372" i="26"/>
  <c r="AE372" i="26"/>
  <c r="AF372" i="26"/>
  <c r="AG372" i="26"/>
  <c r="AH372" i="26"/>
  <c r="K373" i="26"/>
  <c r="L373" i="26"/>
  <c r="M373" i="26"/>
  <c r="N373" i="26"/>
  <c r="O373" i="26"/>
  <c r="P373" i="26"/>
  <c r="Q373" i="26"/>
  <c r="R373" i="26"/>
  <c r="S373" i="26"/>
  <c r="T373" i="26"/>
  <c r="U373" i="26"/>
  <c r="V373" i="26"/>
  <c r="W373" i="26"/>
  <c r="X373" i="26"/>
  <c r="Y373" i="26"/>
  <c r="Z373" i="26"/>
  <c r="AA373" i="26"/>
  <c r="AB373" i="26"/>
  <c r="AC373" i="26"/>
  <c r="AD373" i="26"/>
  <c r="AE373" i="26"/>
  <c r="AF373" i="26"/>
  <c r="AG373" i="26"/>
  <c r="AH373" i="26"/>
  <c r="K374" i="26"/>
  <c r="L374" i="26"/>
  <c r="M374" i="26"/>
  <c r="N374" i="26"/>
  <c r="O374" i="26"/>
  <c r="P374" i="26"/>
  <c r="Q374" i="26"/>
  <c r="R374" i="26"/>
  <c r="S374" i="26"/>
  <c r="T374" i="26"/>
  <c r="U374" i="26"/>
  <c r="V374" i="26"/>
  <c r="W374" i="26"/>
  <c r="X374" i="26"/>
  <c r="Y374" i="26"/>
  <c r="Z374" i="26"/>
  <c r="AA374" i="26"/>
  <c r="AB374" i="26"/>
  <c r="AC374" i="26"/>
  <c r="AD374" i="26"/>
  <c r="AE374" i="26"/>
  <c r="AF374" i="26"/>
  <c r="AG374" i="26"/>
  <c r="AH374" i="26"/>
  <c r="K375" i="26"/>
  <c r="L375" i="26"/>
  <c r="M375" i="26"/>
  <c r="N375" i="26"/>
  <c r="O375" i="26"/>
  <c r="P375" i="26"/>
  <c r="Q375" i="26"/>
  <c r="R375" i="26"/>
  <c r="S375" i="26"/>
  <c r="T375" i="26"/>
  <c r="U375" i="26"/>
  <c r="V375" i="26"/>
  <c r="W375" i="26"/>
  <c r="X375" i="26"/>
  <c r="Y375" i="26"/>
  <c r="Z375" i="26"/>
  <c r="AA375" i="26"/>
  <c r="AB375" i="26"/>
  <c r="AC375" i="26"/>
  <c r="AD375" i="26"/>
  <c r="AE375" i="26"/>
  <c r="AF375" i="26"/>
  <c r="AG375" i="26"/>
  <c r="AH375" i="26"/>
  <c r="K376" i="26"/>
  <c r="L376" i="26"/>
  <c r="M376" i="26"/>
  <c r="N376" i="26"/>
  <c r="O376" i="26"/>
  <c r="P376" i="26"/>
  <c r="Q376" i="26"/>
  <c r="R376" i="26"/>
  <c r="S376" i="26"/>
  <c r="T376" i="26"/>
  <c r="U376" i="26"/>
  <c r="V376" i="26"/>
  <c r="W376" i="26"/>
  <c r="X376" i="26"/>
  <c r="Y376" i="26"/>
  <c r="Z376" i="26"/>
  <c r="AA376" i="26"/>
  <c r="AB376" i="26"/>
  <c r="AC376" i="26"/>
  <c r="AD376" i="26"/>
  <c r="AE376" i="26"/>
  <c r="AF376" i="26"/>
  <c r="AG376" i="26"/>
  <c r="AH376" i="26"/>
  <c r="K377" i="26"/>
  <c r="L377" i="26"/>
  <c r="M377" i="26"/>
  <c r="N377" i="26"/>
  <c r="O377" i="26"/>
  <c r="P377" i="26"/>
  <c r="Q377" i="26"/>
  <c r="R377" i="26"/>
  <c r="S377" i="26"/>
  <c r="T377" i="26"/>
  <c r="U377" i="26"/>
  <c r="V377" i="26"/>
  <c r="W377" i="26"/>
  <c r="X377" i="26"/>
  <c r="Y377" i="26"/>
  <c r="Z377" i="26"/>
  <c r="AA377" i="26"/>
  <c r="AB377" i="26"/>
  <c r="AC377" i="26"/>
  <c r="AD377" i="26"/>
  <c r="AE377" i="26"/>
  <c r="AF377" i="26"/>
  <c r="AG377" i="26"/>
  <c r="AH377" i="26"/>
  <c r="K378" i="26"/>
  <c r="L378" i="26"/>
  <c r="M378" i="26"/>
  <c r="N378" i="26"/>
  <c r="O378" i="26"/>
  <c r="P378" i="26"/>
  <c r="Q378" i="26"/>
  <c r="R378" i="26"/>
  <c r="S378" i="26"/>
  <c r="T378" i="26"/>
  <c r="U378" i="26"/>
  <c r="V378" i="26"/>
  <c r="W378" i="26"/>
  <c r="X378" i="26"/>
  <c r="Y378" i="26"/>
  <c r="Z378" i="26"/>
  <c r="AA378" i="26"/>
  <c r="AB378" i="26"/>
  <c r="AC378" i="26"/>
  <c r="AD378" i="26"/>
  <c r="AE378" i="26"/>
  <c r="AF378" i="26"/>
  <c r="AG378" i="26"/>
  <c r="AH378" i="26"/>
  <c r="K379" i="26"/>
  <c r="L379" i="26"/>
  <c r="M379" i="26"/>
  <c r="N379" i="26"/>
  <c r="O379" i="26"/>
  <c r="P379" i="26"/>
  <c r="Q379" i="26"/>
  <c r="R379" i="26"/>
  <c r="S379" i="26"/>
  <c r="T379" i="26"/>
  <c r="U379" i="26"/>
  <c r="V379" i="26"/>
  <c r="W379" i="26"/>
  <c r="X379" i="26"/>
  <c r="Y379" i="26"/>
  <c r="Z379" i="26"/>
  <c r="AA379" i="26"/>
  <c r="AB379" i="26"/>
  <c r="AC379" i="26"/>
  <c r="AD379" i="26"/>
  <c r="AE379" i="26"/>
  <c r="AF379" i="26"/>
  <c r="AG379" i="26"/>
  <c r="AH379" i="26"/>
  <c r="K380" i="26"/>
  <c r="L380" i="26"/>
  <c r="M380" i="26"/>
  <c r="N380" i="26"/>
  <c r="O380" i="26"/>
  <c r="P380" i="26"/>
  <c r="Q380" i="26"/>
  <c r="R380" i="26"/>
  <c r="S380" i="26"/>
  <c r="T380" i="26"/>
  <c r="U380" i="26"/>
  <c r="V380" i="26"/>
  <c r="W380" i="26"/>
  <c r="X380" i="26"/>
  <c r="Y380" i="26"/>
  <c r="Z380" i="26"/>
  <c r="AA380" i="26"/>
  <c r="AB380" i="26"/>
  <c r="AC380" i="26"/>
  <c r="AD380" i="26"/>
  <c r="AE380" i="26"/>
  <c r="AF380" i="26"/>
  <c r="AG380" i="26"/>
  <c r="AH380" i="26"/>
  <c r="K381" i="26"/>
  <c r="L381" i="26"/>
  <c r="M381" i="26"/>
  <c r="N381" i="26"/>
  <c r="O381" i="26"/>
  <c r="P381" i="26"/>
  <c r="Q381" i="26"/>
  <c r="R381" i="26"/>
  <c r="S381" i="26"/>
  <c r="T381" i="26"/>
  <c r="U381" i="26"/>
  <c r="V381" i="26"/>
  <c r="W381" i="26"/>
  <c r="X381" i="26"/>
  <c r="Y381" i="26"/>
  <c r="Z381" i="26"/>
  <c r="AA381" i="26"/>
  <c r="AB381" i="26"/>
  <c r="AC381" i="26"/>
  <c r="AD381" i="26"/>
  <c r="AE381" i="26"/>
  <c r="AF381" i="26"/>
  <c r="AG381" i="26"/>
  <c r="AH381" i="26"/>
  <c r="K382" i="26"/>
  <c r="L382" i="26"/>
  <c r="M382" i="26"/>
  <c r="N382" i="26"/>
  <c r="O382" i="26"/>
  <c r="P382" i="26"/>
  <c r="Q382" i="26"/>
  <c r="R382" i="26"/>
  <c r="S382" i="26"/>
  <c r="T382" i="26"/>
  <c r="U382" i="26"/>
  <c r="V382" i="26"/>
  <c r="W382" i="26"/>
  <c r="X382" i="26"/>
  <c r="Y382" i="26"/>
  <c r="Z382" i="26"/>
  <c r="AA382" i="26"/>
  <c r="AB382" i="26"/>
  <c r="AC382" i="26"/>
  <c r="AD382" i="26"/>
  <c r="AE382" i="26"/>
  <c r="AF382" i="26"/>
  <c r="AG382" i="26"/>
  <c r="AH382" i="26"/>
  <c r="K383" i="26"/>
  <c r="L383" i="26"/>
  <c r="M383" i="26"/>
  <c r="N383" i="26"/>
  <c r="O383" i="26"/>
  <c r="P383" i="26"/>
  <c r="Q383" i="26"/>
  <c r="R383" i="26"/>
  <c r="S383" i="26"/>
  <c r="T383" i="26"/>
  <c r="U383" i="26"/>
  <c r="V383" i="26"/>
  <c r="W383" i="26"/>
  <c r="X383" i="26"/>
  <c r="Y383" i="26"/>
  <c r="Z383" i="26"/>
  <c r="AA383" i="26"/>
  <c r="AB383" i="26"/>
  <c r="AC383" i="26"/>
  <c r="AD383" i="26"/>
  <c r="AE383" i="26"/>
  <c r="AF383" i="26"/>
  <c r="AG383" i="26"/>
  <c r="AH383" i="26"/>
  <c r="K384" i="26"/>
  <c r="L384" i="26"/>
  <c r="M384" i="26"/>
  <c r="N384" i="26"/>
  <c r="O384" i="26"/>
  <c r="P384" i="26"/>
  <c r="Q384" i="26"/>
  <c r="R384" i="26"/>
  <c r="S384" i="26"/>
  <c r="T384" i="26"/>
  <c r="U384" i="26"/>
  <c r="V384" i="26"/>
  <c r="W384" i="26"/>
  <c r="X384" i="26"/>
  <c r="Y384" i="26"/>
  <c r="Z384" i="26"/>
  <c r="AA384" i="26"/>
  <c r="AB384" i="26"/>
  <c r="AC384" i="26"/>
  <c r="AD384" i="26"/>
  <c r="AE384" i="26"/>
  <c r="AF384" i="26"/>
  <c r="AG384" i="26"/>
  <c r="AH384" i="26"/>
  <c r="K385" i="26"/>
  <c r="L385" i="26"/>
  <c r="M385" i="26"/>
  <c r="N385" i="26"/>
  <c r="O385" i="26"/>
  <c r="P385" i="26"/>
  <c r="Q385" i="26"/>
  <c r="R385" i="26"/>
  <c r="S385" i="26"/>
  <c r="T385" i="26"/>
  <c r="U385" i="26"/>
  <c r="V385" i="26"/>
  <c r="W385" i="26"/>
  <c r="X385" i="26"/>
  <c r="Y385" i="26"/>
  <c r="Z385" i="26"/>
  <c r="AA385" i="26"/>
  <c r="AB385" i="26"/>
  <c r="AC385" i="26"/>
  <c r="AD385" i="26"/>
  <c r="AE385" i="26"/>
  <c r="AF385" i="26"/>
  <c r="AG385" i="26"/>
  <c r="AH385" i="26"/>
  <c r="K386" i="26"/>
  <c r="L386" i="26"/>
  <c r="M386" i="26"/>
  <c r="N386" i="26"/>
  <c r="O386" i="26"/>
  <c r="P386" i="26"/>
  <c r="Q386" i="26"/>
  <c r="R386" i="26"/>
  <c r="S386" i="26"/>
  <c r="T386" i="26"/>
  <c r="U386" i="26"/>
  <c r="V386" i="26"/>
  <c r="W386" i="26"/>
  <c r="X386" i="26"/>
  <c r="Y386" i="26"/>
  <c r="Z386" i="26"/>
  <c r="AA386" i="26"/>
  <c r="AB386" i="26"/>
  <c r="AC386" i="26"/>
  <c r="AD386" i="26"/>
  <c r="AE386" i="26"/>
  <c r="AF386" i="26"/>
  <c r="AG386" i="26"/>
  <c r="AH386" i="26"/>
  <c r="K387" i="26"/>
  <c r="L387" i="26"/>
  <c r="M387" i="26"/>
  <c r="N387" i="26"/>
  <c r="O387" i="26"/>
  <c r="P387" i="26"/>
  <c r="Q387" i="26"/>
  <c r="R387" i="26"/>
  <c r="S387" i="26"/>
  <c r="T387" i="26"/>
  <c r="U387" i="26"/>
  <c r="V387" i="26"/>
  <c r="W387" i="26"/>
  <c r="X387" i="26"/>
  <c r="Y387" i="26"/>
  <c r="Z387" i="26"/>
  <c r="AA387" i="26"/>
  <c r="AB387" i="26"/>
  <c r="AC387" i="26"/>
  <c r="AD387" i="26"/>
  <c r="AE387" i="26"/>
  <c r="AF387" i="26"/>
  <c r="AG387" i="26"/>
  <c r="AH387" i="26"/>
  <c r="K388" i="26"/>
  <c r="L388" i="26"/>
  <c r="M388" i="26"/>
  <c r="N388" i="26"/>
  <c r="O388" i="26"/>
  <c r="P388" i="26"/>
  <c r="Q388" i="26"/>
  <c r="R388" i="26"/>
  <c r="S388" i="26"/>
  <c r="T388" i="26"/>
  <c r="U388" i="26"/>
  <c r="V388" i="26"/>
  <c r="W388" i="26"/>
  <c r="X388" i="26"/>
  <c r="Y388" i="26"/>
  <c r="Z388" i="26"/>
  <c r="AA388" i="26"/>
  <c r="AB388" i="26"/>
  <c r="AC388" i="26"/>
  <c r="AD388" i="26"/>
  <c r="AE388" i="26"/>
  <c r="AF388" i="26"/>
  <c r="AG388" i="26"/>
  <c r="AH388" i="26"/>
  <c r="K389" i="26"/>
  <c r="L389" i="26"/>
  <c r="M389" i="26"/>
  <c r="N389" i="26"/>
  <c r="O389" i="26"/>
  <c r="P389" i="26"/>
  <c r="Q389" i="26"/>
  <c r="R389" i="26"/>
  <c r="S389" i="26"/>
  <c r="T389" i="26"/>
  <c r="U389" i="26"/>
  <c r="V389" i="26"/>
  <c r="W389" i="26"/>
  <c r="X389" i="26"/>
  <c r="Y389" i="26"/>
  <c r="Z389" i="26"/>
  <c r="AA389" i="26"/>
  <c r="AB389" i="26"/>
  <c r="AC389" i="26"/>
  <c r="AD389" i="26"/>
  <c r="AE389" i="26"/>
  <c r="AF389" i="26"/>
  <c r="AG389" i="26"/>
  <c r="AH389" i="26"/>
  <c r="K390" i="26"/>
  <c r="L390" i="26"/>
  <c r="M390" i="26"/>
  <c r="N390" i="26"/>
  <c r="O390" i="26"/>
  <c r="P390" i="26"/>
  <c r="Q390" i="26"/>
  <c r="R390" i="26"/>
  <c r="S390" i="26"/>
  <c r="T390" i="26"/>
  <c r="U390" i="26"/>
  <c r="V390" i="26"/>
  <c r="W390" i="26"/>
  <c r="X390" i="26"/>
  <c r="Y390" i="26"/>
  <c r="Z390" i="26"/>
  <c r="AA390" i="26"/>
  <c r="AB390" i="26"/>
  <c r="AC390" i="26"/>
  <c r="AD390" i="26"/>
  <c r="AE390" i="26"/>
  <c r="AF390" i="26"/>
  <c r="AG390" i="26"/>
  <c r="AH390" i="26"/>
  <c r="K391" i="26"/>
  <c r="L391" i="26"/>
  <c r="M391" i="26"/>
  <c r="N391" i="26"/>
  <c r="O391" i="26"/>
  <c r="P391" i="26"/>
  <c r="Q391" i="26"/>
  <c r="R391" i="26"/>
  <c r="S391" i="26"/>
  <c r="T391" i="26"/>
  <c r="U391" i="26"/>
  <c r="V391" i="26"/>
  <c r="W391" i="26"/>
  <c r="X391" i="26"/>
  <c r="Y391" i="26"/>
  <c r="Z391" i="26"/>
  <c r="AA391" i="26"/>
  <c r="AB391" i="26"/>
  <c r="AC391" i="26"/>
  <c r="AD391" i="26"/>
  <c r="AE391" i="26"/>
  <c r="AF391" i="26"/>
  <c r="AG391" i="26"/>
  <c r="AH391" i="26"/>
  <c r="K392" i="26"/>
  <c r="L392" i="26"/>
  <c r="M392" i="26"/>
  <c r="N392" i="26"/>
  <c r="O392" i="26"/>
  <c r="P392" i="26"/>
  <c r="Q392" i="26"/>
  <c r="R392" i="26"/>
  <c r="S392" i="26"/>
  <c r="T392" i="26"/>
  <c r="U392" i="26"/>
  <c r="V392" i="26"/>
  <c r="W392" i="26"/>
  <c r="X392" i="26"/>
  <c r="Y392" i="26"/>
  <c r="Z392" i="26"/>
  <c r="AA392" i="26"/>
  <c r="AB392" i="26"/>
  <c r="AC392" i="26"/>
  <c r="AD392" i="26"/>
  <c r="AE392" i="26"/>
  <c r="AF392" i="26"/>
  <c r="AG392" i="26"/>
  <c r="AH392" i="26"/>
  <c r="K393" i="26"/>
  <c r="L393" i="26"/>
  <c r="M393" i="26"/>
  <c r="N393" i="26"/>
  <c r="O393" i="26"/>
  <c r="P393" i="26"/>
  <c r="Q393" i="26"/>
  <c r="R393" i="26"/>
  <c r="S393" i="26"/>
  <c r="T393" i="26"/>
  <c r="U393" i="26"/>
  <c r="V393" i="26"/>
  <c r="W393" i="26"/>
  <c r="X393" i="26"/>
  <c r="Y393" i="26"/>
  <c r="Z393" i="26"/>
  <c r="AA393" i="26"/>
  <c r="AB393" i="26"/>
  <c r="AC393" i="26"/>
  <c r="AD393" i="26"/>
  <c r="AE393" i="26"/>
  <c r="AF393" i="26"/>
  <c r="AG393" i="26"/>
  <c r="AH393" i="26"/>
  <c r="K394" i="26"/>
  <c r="L394" i="26"/>
  <c r="M394" i="26"/>
  <c r="N394" i="26"/>
  <c r="O394" i="26"/>
  <c r="P394" i="26"/>
  <c r="Q394" i="26"/>
  <c r="R394" i="26"/>
  <c r="S394" i="26"/>
  <c r="T394" i="26"/>
  <c r="U394" i="26"/>
  <c r="V394" i="26"/>
  <c r="W394" i="26"/>
  <c r="X394" i="26"/>
  <c r="Y394" i="26"/>
  <c r="Z394" i="26"/>
  <c r="AA394" i="26"/>
  <c r="AB394" i="26"/>
  <c r="AC394" i="26"/>
  <c r="AD394" i="26"/>
  <c r="AE394" i="26"/>
  <c r="AF394" i="26"/>
  <c r="AG394" i="26"/>
  <c r="AH394" i="26"/>
  <c r="K395" i="26"/>
  <c r="L395" i="26"/>
  <c r="M395" i="26"/>
  <c r="N395" i="26"/>
  <c r="O395" i="26"/>
  <c r="P395" i="26"/>
  <c r="Q395" i="26"/>
  <c r="R395" i="26"/>
  <c r="S395" i="26"/>
  <c r="T395" i="26"/>
  <c r="U395" i="26"/>
  <c r="V395" i="26"/>
  <c r="W395" i="26"/>
  <c r="X395" i="26"/>
  <c r="Y395" i="26"/>
  <c r="Z395" i="26"/>
  <c r="AA395" i="26"/>
  <c r="AB395" i="26"/>
  <c r="AC395" i="26"/>
  <c r="AD395" i="26"/>
  <c r="AE395" i="26"/>
  <c r="AF395" i="26"/>
  <c r="AG395" i="26"/>
  <c r="AH395" i="26"/>
  <c r="K396" i="26"/>
  <c r="L396" i="26"/>
  <c r="M396" i="26"/>
  <c r="N396" i="26"/>
  <c r="O396" i="26"/>
  <c r="P396" i="26"/>
  <c r="Q396" i="26"/>
  <c r="R396" i="26"/>
  <c r="S396" i="26"/>
  <c r="T396" i="26"/>
  <c r="U396" i="26"/>
  <c r="V396" i="26"/>
  <c r="W396" i="26"/>
  <c r="X396" i="26"/>
  <c r="Y396" i="26"/>
  <c r="Z396" i="26"/>
  <c r="AA396" i="26"/>
  <c r="AB396" i="26"/>
  <c r="AC396" i="26"/>
  <c r="AD396" i="26"/>
  <c r="AE396" i="26"/>
  <c r="AF396" i="26"/>
  <c r="AG396" i="26"/>
  <c r="AH396" i="26"/>
  <c r="K397" i="26"/>
  <c r="L397" i="26"/>
  <c r="M397" i="26"/>
  <c r="N397" i="26"/>
  <c r="O397" i="26"/>
  <c r="P397" i="26"/>
  <c r="Q397" i="26"/>
  <c r="R397" i="26"/>
  <c r="S397" i="26"/>
  <c r="T397" i="26"/>
  <c r="U397" i="26"/>
  <c r="V397" i="26"/>
  <c r="W397" i="26"/>
  <c r="X397" i="26"/>
  <c r="Y397" i="26"/>
  <c r="Z397" i="26"/>
  <c r="AA397" i="26"/>
  <c r="AB397" i="26"/>
  <c r="AC397" i="26"/>
  <c r="AD397" i="26"/>
  <c r="AE397" i="26"/>
  <c r="AF397" i="26"/>
  <c r="AG397" i="26"/>
  <c r="AH397" i="26"/>
  <c r="K398" i="26"/>
  <c r="L398" i="26"/>
  <c r="M398" i="26"/>
  <c r="N398" i="26"/>
  <c r="O398" i="26"/>
  <c r="P398" i="26"/>
  <c r="Q398" i="26"/>
  <c r="R398" i="26"/>
  <c r="S398" i="26"/>
  <c r="T398" i="26"/>
  <c r="U398" i="26"/>
  <c r="V398" i="26"/>
  <c r="W398" i="26"/>
  <c r="X398" i="26"/>
  <c r="Y398" i="26"/>
  <c r="Z398" i="26"/>
  <c r="AA398" i="26"/>
  <c r="AB398" i="26"/>
  <c r="AC398" i="26"/>
  <c r="AD398" i="26"/>
  <c r="AE398" i="26"/>
  <c r="AF398" i="26"/>
  <c r="AG398" i="26"/>
  <c r="AH398" i="26"/>
  <c r="K399" i="26"/>
  <c r="L399" i="26"/>
  <c r="M399" i="26"/>
  <c r="N399" i="26"/>
  <c r="O399" i="26"/>
  <c r="P399" i="26"/>
  <c r="Q399" i="26"/>
  <c r="R399" i="26"/>
  <c r="S399" i="26"/>
  <c r="T399" i="26"/>
  <c r="U399" i="26"/>
  <c r="V399" i="26"/>
  <c r="W399" i="26"/>
  <c r="X399" i="26"/>
  <c r="Y399" i="26"/>
  <c r="Z399" i="26"/>
  <c r="AA399" i="26"/>
  <c r="AB399" i="26"/>
  <c r="AC399" i="26"/>
  <c r="AD399" i="26"/>
  <c r="AE399" i="26"/>
  <c r="AF399" i="26"/>
  <c r="AG399" i="26"/>
  <c r="AH399" i="26"/>
  <c r="K400" i="26"/>
  <c r="L400" i="26"/>
  <c r="M400" i="26"/>
  <c r="N400" i="26"/>
  <c r="O400" i="26"/>
  <c r="P400" i="26"/>
  <c r="Q400" i="26"/>
  <c r="R400" i="26"/>
  <c r="S400" i="26"/>
  <c r="T400" i="26"/>
  <c r="U400" i="26"/>
  <c r="V400" i="26"/>
  <c r="W400" i="26"/>
  <c r="X400" i="26"/>
  <c r="Y400" i="26"/>
  <c r="Z400" i="26"/>
  <c r="AA400" i="26"/>
  <c r="AB400" i="26"/>
  <c r="AC400" i="26"/>
  <c r="AD400" i="26"/>
  <c r="AE400" i="26"/>
  <c r="AF400" i="26"/>
  <c r="AG400" i="26"/>
  <c r="AH400" i="26"/>
  <c r="K401" i="26"/>
  <c r="L401" i="26"/>
  <c r="M401" i="26"/>
  <c r="N401" i="26"/>
  <c r="O401" i="26"/>
  <c r="P401" i="26"/>
  <c r="Q401" i="26"/>
  <c r="R401" i="26"/>
  <c r="S401" i="26"/>
  <c r="T401" i="26"/>
  <c r="U401" i="26"/>
  <c r="V401" i="26"/>
  <c r="W401" i="26"/>
  <c r="X401" i="26"/>
  <c r="Y401" i="26"/>
  <c r="Z401" i="26"/>
  <c r="AA401" i="26"/>
  <c r="AB401" i="26"/>
  <c r="AC401" i="26"/>
  <c r="AD401" i="26"/>
  <c r="AE401" i="26"/>
  <c r="AF401" i="26"/>
  <c r="AG401" i="26"/>
  <c r="AH401" i="26"/>
  <c r="K402" i="26"/>
  <c r="L402" i="26"/>
  <c r="M402" i="26"/>
  <c r="N402" i="26"/>
  <c r="O402" i="26"/>
  <c r="P402" i="26"/>
  <c r="Q402" i="26"/>
  <c r="R402" i="26"/>
  <c r="S402" i="26"/>
  <c r="T402" i="26"/>
  <c r="U402" i="26"/>
  <c r="V402" i="26"/>
  <c r="W402" i="26"/>
  <c r="X402" i="26"/>
  <c r="Y402" i="26"/>
  <c r="Z402" i="26"/>
  <c r="AA402" i="26"/>
  <c r="AB402" i="26"/>
  <c r="AC402" i="26"/>
  <c r="AD402" i="26"/>
  <c r="AE402" i="26"/>
  <c r="AF402" i="26"/>
  <c r="AG402" i="26"/>
  <c r="AH402" i="26"/>
  <c r="K403" i="26"/>
  <c r="L403" i="26"/>
  <c r="M403" i="26"/>
  <c r="N403" i="26"/>
  <c r="O403" i="26"/>
  <c r="P403" i="26"/>
  <c r="Q403" i="26"/>
  <c r="R403" i="26"/>
  <c r="S403" i="26"/>
  <c r="T403" i="26"/>
  <c r="U403" i="26"/>
  <c r="V403" i="26"/>
  <c r="W403" i="26"/>
  <c r="X403" i="26"/>
  <c r="Y403" i="26"/>
  <c r="Z403" i="26"/>
  <c r="AA403" i="26"/>
  <c r="AB403" i="26"/>
  <c r="AC403" i="26"/>
  <c r="AD403" i="26"/>
  <c r="AE403" i="26"/>
  <c r="AF403" i="26"/>
  <c r="AG403" i="26"/>
  <c r="AH403" i="26"/>
  <c r="K404" i="26"/>
  <c r="L404" i="26"/>
  <c r="M404" i="26"/>
  <c r="N404" i="26"/>
  <c r="O404" i="26"/>
  <c r="P404" i="26"/>
  <c r="Q404" i="26"/>
  <c r="R404" i="26"/>
  <c r="S404" i="26"/>
  <c r="T404" i="26"/>
  <c r="U404" i="26"/>
  <c r="V404" i="26"/>
  <c r="W404" i="26"/>
  <c r="X404" i="26"/>
  <c r="Y404" i="26"/>
  <c r="Z404" i="26"/>
  <c r="AA404" i="26"/>
  <c r="AB404" i="26"/>
  <c r="AC404" i="26"/>
  <c r="AD404" i="26"/>
  <c r="AE404" i="26"/>
  <c r="AF404" i="26"/>
  <c r="AG404" i="26"/>
  <c r="AH404" i="26"/>
  <c r="K405" i="26"/>
  <c r="L405" i="26"/>
  <c r="M405" i="26"/>
  <c r="N405" i="26"/>
  <c r="O405" i="26"/>
  <c r="P405" i="26"/>
  <c r="Q405" i="26"/>
  <c r="R405" i="26"/>
  <c r="S405" i="26"/>
  <c r="T405" i="26"/>
  <c r="U405" i="26"/>
  <c r="V405" i="26"/>
  <c r="W405" i="26"/>
  <c r="X405" i="26"/>
  <c r="Y405" i="26"/>
  <c r="Z405" i="26"/>
  <c r="AA405" i="26"/>
  <c r="AB405" i="26"/>
  <c r="AC405" i="26"/>
  <c r="AD405" i="26"/>
  <c r="AE405" i="26"/>
  <c r="AF405" i="26"/>
  <c r="AG405" i="26"/>
  <c r="AH405" i="26"/>
  <c r="K406" i="26"/>
  <c r="L406" i="26"/>
  <c r="M406" i="26"/>
  <c r="N406" i="26"/>
  <c r="O406" i="26"/>
  <c r="P406" i="26"/>
  <c r="Q406" i="26"/>
  <c r="R406" i="26"/>
  <c r="S406" i="26"/>
  <c r="T406" i="26"/>
  <c r="U406" i="26"/>
  <c r="V406" i="26"/>
  <c r="W406" i="26"/>
  <c r="X406" i="26"/>
  <c r="Y406" i="26"/>
  <c r="Z406" i="26"/>
  <c r="AA406" i="26"/>
  <c r="AB406" i="26"/>
  <c r="AC406" i="26"/>
  <c r="AD406" i="26"/>
  <c r="AE406" i="26"/>
  <c r="AF406" i="26"/>
  <c r="AG406" i="26"/>
  <c r="AH406" i="26"/>
  <c r="K407" i="26"/>
  <c r="L407" i="26"/>
  <c r="M407" i="26"/>
  <c r="N407" i="26"/>
  <c r="O407" i="26"/>
  <c r="P407" i="26"/>
  <c r="Q407" i="26"/>
  <c r="R407" i="26"/>
  <c r="S407" i="26"/>
  <c r="T407" i="26"/>
  <c r="U407" i="26"/>
  <c r="V407" i="26"/>
  <c r="W407" i="26"/>
  <c r="X407" i="26"/>
  <c r="Y407" i="26"/>
  <c r="Z407" i="26"/>
  <c r="AA407" i="26"/>
  <c r="AB407" i="26"/>
  <c r="AC407" i="26"/>
  <c r="AD407" i="26"/>
  <c r="AE407" i="26"/>
  <c r="AF407" i="26"/>
  <c r="AG407" i="26"/>
  <c r="AH407" i="26"/>
  <c r="K408" i="26"/>
  <c r="L408" i="26"/>
  <c r="M408" i="26"/>
  <c r="N408" i="26"/>
  <c r="O408" i="26"/>
  <c r="P408" i="26"/>
  <c r="Q408" i="26"/>
  <c r="R408" i="26"/>
  <c r="S408" i="26"/>
  <c r="T408" i="26"/>
  <c r="U408" i="26"/>
  <c r="V408" i="26"/>
  <c r="W408" i="26"/>
  <c r="X408" i="26"/>
  <c r="Y408" i="26"/>
  <c r="Z408" i="26"/>
  <c r="AA408" i="26"/>
  <c r="AB408" i="26"/>
  <c r="AC408" i="26"/>
  <c r="AD408" i="26"/>
  <c r="AE408" i="26"/>
  <c r="AF408" i="26"/>
  <c r="AG408" i="26"/>
  <c r="AH408" i="26"/>
  <c r="K409" i="26"/>
  <c r="L409" i="26"/>
  <c r="M409" i="26"/>
  <c r="N409" i="26"/>
  <c r="O409" i="26"/>
  <c r="P409" i="26"/>
  <c r="Q409" i="26"/>
  <c r="R409" i="26"/>
  <c r="S409" i="26"/>
  <c r="T409" i="26"/>
  <c r="U409" i="26"/>
  <c r="V409" i="26"/>
  <c r="W409" i="26"/>
  <c r="X409" i="26"/>
  <c r="Y409" i="26"/>
  <c r="Z409" i="26"/>
  <c r="AA409" i="26"/>
  <c r="AB409" i="26"/>
  <c r="AC409" i="26"/>
  <c r="AD409" i="26"/>
  <c r="AE409" i="26"/>
  <c r="AF409" i="26"/>
  <c r="AG409" i="26"/>
  <c r="AH409" i="26"/>
  <c r="K410" i="26"/>
  <c r="L410" i="26"/>
  <c r="M410" i="26"/>
  <c r="N410" i="26"/>
  <c r="O410" i="26"/>
  <c r="P410" i="26"/>
  <c r="Q410" i="26"/>
  <c r="R410" i="26"/>
  <c r="S410" i="26"/>
  <c r="T410" i="26"/>
  <c r="U410" i="26"/>
  <c r="V410" i="26"/>
  <c r="W410" i="26"/>
  <c r="X410" i="26"/>
  <c r="Y410" i="26"/>
  <c r="Z410" i="26"/>
  <c r="AA410" i="26"/>
  <c r="AB410" i="26"/>
  <c r="AC410" i="26"/>
  <c r="AD410" i="26"/>
  <c r="AE410" i="26"/>
  <c r="AF410" i="26"/>
  <c r="AG410" i="26"/>
  <c r="AH410" i="26"/>
  <c r="K411" i="26"/>
  <c r="L411" i="26"/>
  <c r="M411" i="26"/>
  <c r="N411" i="26"/>
  <c r="O411" i="26"/>
  <c r="P411" i="26"/>
  <c r="Q411" i="26"/>
  <c r="R411" i="26"/>
  <c r="S411" i="26"/>
  <c r="T411" i="26"/>
  <c r="U411" i="26"/>
  <c r="V411" i="26"/>
  <c r="W411" i="26"/>
  <c r="X411" i="26"/>
  <c r="Y411" i="26"/>
  <c r="Z411" i="26"/>
  <c r="AA411" i="26"/>
  <c r="AB411" i="26"/>
  <c r="AC411" i="26"/>
  <c r="AD411" i="26"/>
  <c r="AE411" i="26"/>
  <c r="AF411" i="26"/>
  <c r="AG411" i="26"/>
  <c r="AH411" i="26"/>
  <c r="K412" i="26"/>
  <c r="L412" i="26"/>
  <c r="M412" i="26"/>
  <c r="N412" i="26"/>
  <c r="O412" i="26"/>
  <c r="P412" i="26"/>
  <c r="Q412" i="26"/>
  <c r="R412" i="26"/>
  <c r="S412" i="26"/>
  <c r="T412" i="26"/>
  <c r="U412" i="26"/>
  <c r="V412" i="26"/>
  <c r="W412" i="26"/>
  <c r="X412" i="26"/>
  <c r="Y412" i="26"/>
  <c r="Z412" i="26"/>
  <c r="AA412" i="26"/>
  <c r="AB412" i="26"/>
  <c r="AC412" i="26"/>
  <c r="AD412" i="26"/>
  <c r="AE412" i="26"/>
  <c r="AF412" i="26"/>
  <c r="AG412" i="26"/>
  <c r="AH412" i="26"/>
  <c r="K413" i="26"/>
  <c r="L413" i="26"/>
  <c r="M413" i="26"/>
  <c r="N413" i="26"/>
  <c r="O413" i="26"/>
  <c r="P413" i="26"/>
  <c r="Q413" i="26"/>
  <c r="R413" i="26"/>
  <c r="S413" i="26"/>
  <c r="T413" i="26"/>
  <c r="U413" i="26"/>
  <c r="V413" i="26"/>
  <c r="W413" i="26"/>
  <c r="X413" i="26"/>
  <c r="Y413" i="26"/>
  <c r="Z413" i="26"/>
  <c r="AA413" i="26"/>
  <c r="AB413" i="26"/>
  <c r="AC413" i="26"/>
  <c r="AD413" i="26"/>
  <c r="AE413" i="26"/>
  <c r="AF413" i="26"/>
  <c r="AG413" i="26"/>
  <c r="AH413" i="26"/>
  <c r="K414" i="26"/>
  <c r="L414" i="26"/>
  <c r="M414" i="26"/>
  <c r="N414" i="26"/>
  <c r="O414" i="26"/>
  <c r="P414" i="26"/>
  <c r="Q414" i="26"/>
  <c r="R414" i="26"/>
  <c r="S414" i="26"/>
  <c r="T414" i="26"/>
  <c r="U414" i="26"/>
  <c r="V414" i="26"/>
  <c r="W414" i="26"/>
  <c r="X414" i="26"/>
  <c r="Y414" i="26"/>
  <c r="Z414" i="26"/>
  <c r="AA414" i="26"/>
  <c r="AB414" i="26"/>
  <c r="AC414" i="26"/>
  <c r="AD414" i="26"/>
  <c r="AE414" i="26"/>
  <c r="AF414" i="26"/>
  <c r="AG414" i="26"/>
  <c r="AH414" i="26"/>
  <c r="K415" i="26"/>
  <c r="L415" i="26"/>
  <c r="M415" i="26"/>
  <c r="N415" i="26"/>
  <c r="O415" i="26"/>
  <c r="P415" i="26"/>
  <c r="Q415" i="26"/>
  <c r="R415" i="26"/>
  <c r="S415" i="26"/>
  <c r="T415" i="26"/>
  <c r="U415" i="26"/>
  <c r="V415" i="26"/>
  <c r="W415" i="26"/>
  <c r="X415" i="26"/>
  <c r="Y415" i="26"/>
  <c r="Z415" i="26"/>
  <c r="AA415" i="26"/>
  <c r="AB415" i="26"/>
  <c r="AC415" i="26"/>
  <c r="AD415" i="26"/>
  <c r="AE415" i="26"/>
  <c r="AF415" i="26"/>
  <c r="AG415" i="26"/>
  <c r="AH415" i="26"/>
  <c r="K416" i="26"/>
  <c r="L416" i="26"/>
  <c r="M416" i="26"/>
  <c r="N416" i="26"/>
  <c r="O416" i="26"/>
  <c r="P416" i="26"/>
  <c r="Q416" i="26"/>
  <c r="R416" i="26"/>
  <c r="S416" i="26"/>
  <c r="T416" i="26"/>
  <c r="U416" i="26"/>
  <c r="V416" i="26"/>
  <c r="W416" i="26"/>
  <c r="X416" i="26"/>
  <c r="Y416" i="26"/>
  <c r="Z416" i="26"/>
  <c r="AA416" i="26"/>
  <c r="AB416" i="26"/>
  <c r="AC416" i="26"/>
  <c r="AD416" i="26"/>
  <c r="AE416" i="26"/>
  <c r="AF416" i="26"/>
  <c r="AG416" i="26"/>
  <c r="AH416" i="26"/>
  <c r="K417" i="26"/>
  <c r="L417" i="26"/>
  <c r="M417" i="26"/>
  <c r="N417" i="26"/>
  <c r="O417" i="26"/>
  <c r="P417" i="26"/>
  <c r="Q417" i="26"/>
  <c r="R417" i="26"/>
  <c r="S417" i="26"/>
  <c r="T417" i="26"/>
  <c r="U417" i="26"/>
  <c r="V417" i="26"/>
  <c r="W417" i="26"/>
  <c r="X417" i="26"/>
  <c r="Y417" i="26"/>
  <c r="Z417" i="26"/>
  <c r="AA417" i="26"/>
  <c r="AB417" i="26"/>
  <c r="AC417" i="26"/>
  <c r="AD417" i="26"/>
  <c r="AE417" i="26"/>
  <c r="AF417" i="26"/>
  <c r="AG417" i="26"/>
  <c r="AH417" i="26"/>
  <c r="K418" i="26"/>
  <c r="L418" i="26"/>
  <c r="M418" i="26"/>
  <c r="N418" i="26"/>
  <c r="O418" i="26"/>
  <c r="P418" i="26"/>
  <c r="Q418" i="26"/>
  <c r="R418" i="26"/>
  <c r="S418" i="26"/>
  <c r="T418" i="26"/>
  <c r="U418" i="26"/>
  <c r="V418" i="26"/>
  <c r="W418" i="26"/>
  <c r="X418" i="26"/>
  <c r="Y418" i="26"/>
  <c r="Z418" i="26"/>
  <c r="AA418" i="26"/>
  <c r="AB418" i="26"/>
  <c r="AC418" i="26"/>
  <c r="AD418" i="26"/>
  <c r="AE418" i="26"/>
  <c r="AF418" i="26"/>
  <c r="AG418" i="26"/>
  <c r="AH418" i="26"/>
  <c r="K419" i="26"/>
  <c r="L419" i="26"/>
  <c r="M419" i="26"/>
  <c r="N419" i="26"/>
  <c r="O419" i="26"/>
  <c r="P419" i="26"/>
  <c r="Q419" i="26"/>
  <c r="R419" i="26"/>
  <c r="S419" i="26"/>
  <c r="T419" i="26"/>
  <c r="U419" i="26"/>
  <c r="V419" i="26"/>
  <c r="W419" i="26"/>
  <c r="X419" i="26"/>
  <c r="Y419" i="26"/>
  <c r="Z419" i="26"/>
  <c r="AA419" i="26"/>
  <c r="AB419" i="26"/>
  <c r="AC419" i="26"/>
  <c r="AD419" i="26"/>
  <c r="AE419" i="26"/>
  <c r="AF419" i="26"/>
  <c r="AG419" i="26"/>
  <c r="AH419" i="26"/>
  <c r="K420" i="26"/>
  <c r="L420" i="26"/>
  <c r="M420" i="26"/>
  <c r="N420" i="26"/>
  <c r="O420" i="26"/>
  <c r="P420" i="26"/>
  <c r="Q420" i="26"/>
  <c r="R420" i="26"/>
  <c r="S420" i="26"/>
  <c r="T420" i="26"/>
  <c r="U420" i="26"/>
  <c r="V420" i="26"/>
  <c r="W420" i="26"/>
  <c r="X420" i="26"/>
  <c r="Y420" i="26"/>
  <c r="Z420" i="26"/>
  <c r="AA420" i="26"/>
  <c r="AB420" i="26"/>
  <c r="AC420" i="26"/>
  <c r="AD420" i="26"/>
  <c r="AE420" i="26"/>
  <c r="AF420" i="26"/>
  <c r="AG420" i="26"/>
  <c r="AH420" i="26"/>
  <c r="K421" i="26"/>
  <c r="L421" i="26"/>
  <c r="M421" i="26"/>
  <c r="N421" i="26"/>
  <c r="O421" i="26"/>
  <c r="P421" i="26"/>
  <c r="Q421" i="26"/>
  <c r="R421" i="26"/>
  <c r="S421" i="26"/>
  <c r="T421" i="26"/>
  <c r="U421" i="26"/>
  <c r="V421" i="26"/>
  <c r="W421" i="26"/>
  <c r="X421" i="26"/>
  <c r="Y421" i="26"/>
  <c r="Z421" i="26"/>
  <c r="AA421" i="26"/>
  <c r="AB421" i="26"/>
  <c r="AC421" i="26"/>
  <c r="AD421" i="26"/>
  <c r="AE421" i="26"/>
  <c r="AF421" i="26"/>
  <c r="AG421" i="26"/>
  <c r="AH421" i="26"/>
  <c r="K422" i="26"/>
  <c r="L422" i="26"/>
  <c r="M422" i="26"/>
  <c r="N422" i="26"/>
  <c r="O422" i="26"/>
  <c r="P422" i="26"/>
  <c r="Q422" i="26"/>
  <c r="R422" i="26"/>
  <c r="S422" i="26"/>
  <c r="T422" i="26"/>
  <c r="U422" i="26"/>
  <c r="V422" i="26"/>
  <c r="W422" i="26"/>
  <c r="X422" i="26"/>
  <c r="Y422" i="26"/>
  <c r="Z422" i="26"/>
  <c r="AA422" i="26"/>
  <c r="AB422" i="26"/>
  <c r="AC422" i="26"/>
  <c r="AD422" i="26"/>
  <c r="AE422" i="26"/>
  <c r="AF422" i="26"/>
  <c r="AG422" i="26"/>
  <c r="AH422" i="26"/>
  <c r="K423" i="26"/>
  <c r="L423" i="26"/>
  <c r="M423" i="26"/>
  <c r="N423" i="26"/>
  <c r="O423" i="26"/>
  <c r="P423" i="26"/>
  <c r="Q423" i="26"/>
  <c r="R423" i="26"/>
  <c r="S423" i="26"/>
  <c r="T423" i="26"/>
  <c r="U423" i="26"/>
  <c r="V423" i="26"/>
  <c r="W423" i="26"/>
  <c r="X423" i="26"/>
  <c r="Y423" i="26"/>
  <c r="Z423" i="26"/>
  <c r="AA423" i="26"/>
  <c r="AB423" i="26"/>
  <c r="AC423" i="26"/>
  <c r="AD423" i="26"/>
  <c r="AE423" i="26"/>
  <c r="AF423" i="26"/>
  <c r="AG423" i="26"/>
  <c r="AH423" i="26"/>
  <c r="K424" i="26"/>
  <c r="L424" i="26"/>
  <c r="M424" i="26"/>
  <c r="N424" i="26"/>
  <c r="O424" i="26"/>
  <c r="P424" i="26"/>
  <c r="Q424" i="26"/>
  <c r="R424" i="26"/>
  <c r="S424" i="26"/>
  <c r="T424" i="26"/>
  <c r="U424" i="26"/>
  <c r="V424" i="26"/>
  <c r="W424" i="26"/>
  <c r="X424" i="26"/>
  <c r="Y424" i="26"/>
  <c r="Z424" i="26"/>
  <c r="AA424" i="26"/>
  <c r="AB424" i="26"/>
  <c r="AC424" i="26"/>
  <c r="AD424" i="26"/>
  <c r="AE424" i="26"/>
  <c r="AF424" i="26"/>
  <c r="AG424" i="26"/>
  <c r="AH424" i="26"/>
  <c r="K425" i="26"/>
  <c r="L425" i="26"/>
  <c r="M425" i="26"/>
  <c r="N425" i="26"/>
  <c r="O425" i="26"/>
  <c r="P425" i="26"/>
  <c r="Q425" i="26"/>
  <c r="R425" i="26"/>
  <c r="S425" i="26"/>
  <c r="T425" i="26"/>
  <c r="U425" i="26"/>
  <c r="V425" i="26"/>
  <c r="W425" i="26"/>
  <c r="X425" i="26"/>
  <c r="Y425" i="26"/>
  <c r="Z425" i="26"/>
  <c r="AA425" i="26"/>
  <c r="AB425" i="26"/>
  <c r="AC425" i="26"/>
  <c r="AD425" i="26"/>
  <c r="AE425" i="26"/>
  <c r="AF425" i="26"/>
  <c r="AG425" i="26"/>
  <c r="AH425" i="26"/>
  <c r="K426" i="26"/>
  <c r="L426" i="26"/>
  <c r="M426" i="26"/>
  <c r="N426" i="26"/>
  <c r="O426" i="26"/>
  <c r="P426" i="26"/>
  <c r="Q426" i="26"/>
  <c r="R426" i="26"/>
  <c r="S426" i="26"/>
  <c r="T426" i="26"/>
  <c r="U426" i="26"/>
  <c r="V426" i="26"/>
  <c r="W426" i="26"/>
  <c r="X426" i="26"/>
  <c r="Y426" i="26"/>
  <c r="Z426" i="26"/>
  <c r="AA426" i="26"/>
  <c r="AB426" i="26"/>
  <c r="AC426" i="26"/>
  <c r="AD426" i="26"/>
  <c r="AE426" i="26"/>
  <c r="AF426" i="26"/>
  <c r="AG426" i="26"/>
  <c r="AH426" i="26"/>
  <c r="K427" i="26"/>
  <c r="L427" i="26"/>
  <c r="M427" i="26"/>
  <c r="N427" i="26"/>
  <c r="O427" i="26"/>
  <c r="P427" i="26"/>
  <c r="Q427" i="26"/>
  <c r="R427" i="26"/>
  <c r="S427" i="26"/>
  <c r="T427" i="26"/>
  <c r="U427" i="26"/>
  <c r="V427" i="26"/>
  <c r="W427" i="26"/>
  <c r="X427" i="26"/>
  <c r="Y427" i="26"/>
  <c r="Z427" i="26"/>
  <c r="AA427" i="26"/>
  <c r="AB427" i="26"/>
  <c r="AC427" i="26"/>
  <c r="AD427" i="26"/>
  <c r="AE427" i="26"/>
  <c r="AF427" i="26"/>
  <c r="AG427" i="26"/>
  <c r="AH427" i="26"/>
  <c r="K428" i="26"/>
  <c r="L428" i="26"/>
  <c r="M428" i="26"/>
  <c r="N428" i="26"/>
  <c r="O428" i="26"/>
  <c r="P428" i="26"/>
  <c r="Q428" i="26"/>
  <c r="R428" i="26"/>
  <c r="S428" i="26"/>
  <c r="T428" i="26"/>
  <c r="U428" i="26"/>
  <c r="V428" i="26"/>
  <c r="W428" i="26"/>
  <c r="X428" i="26"/>
  <c r="Y428" i="26"/>
  <c r="Z428" i="26"/>
  <c r="AA428" i="26"/>
  <c r="AB428" i="26"/>
  <c r="AC428" i="26"/>
  <c r="AD428" i="26"/>
  <c r="AE428" i="26"/>
  <c r="AF428" i="26"/>
  <c r="AG428" i="26"/>
  <c r="AH428" i="26"/>
  <c r="K429" i="26"/>
  <c r="L429" i="26"/>
  <c r="M429" i="26"/>
  <c r="N429" i="26"/>
  <c r="O429" i="26"/>
  <c r="P429" i="26"/>
  <c r="Q429" i="26"/>
  <c r="R429" i="26"/>
  <c r="S429" i="26"/>
  <c r="T429" i="26"/>
  <c r="U429" i="26"/>
  <c r="V429" i="26"/>
  <c r="W429" i="26"/>
  <c r="X429" i="26"/>
  <c r="Y429" i="26"/>
  <c r="Z429" i="26"/>
  <c r="AA429" i="26"/>
  <c r="AB429" i="26"/>
  <c r="AC429" i="26"/>
  <c r="AD429" i="26"/>
  <c r="AE429" i="26"/>
  <c r="AF429" i="26"/>
  <c r="AG429" i="26"/>
  <c r="AH429" i="26"/>
  <c r="K430" i="26"/>
  <c r="L430" i="26"/>
  <c r="M430" i="26"/>
  <c r="N430" i="26"/>
  <c r="O430" i="26"/>
  <c r="P430" i="26"/>
  <c r="Q430" i="26"/>
  <c r="R430" i="26"/>
  <c r="S430" i="26"/>
  <c r="T430" i="26"/>
  <c r="U430" i="26"/>
  <c r="V430" i="26"/>
  <c r="W430" i="26"/>
  <c r="X430" i="26"/>
  <c r="Y430" i="26"/>
  <c r="Z430" i="26"/>
  <c r="AA430" i="26"/>
  <c r="AB430" i="26"/>
  <c r="AC430" i="26"/>
  <c r="AD430" i="26"/>
  <c r="AE430" i="26"/>
  <c r="AF430" i="26"/>
  <c r="AG430" i="26"/>
  <c r="AH430" i="26"/>
  <c r="K431" i="26"/>
  <c r="L431" i="26"/>
  <c r="M431" i="26"/>
  <c r="N431" i="26"/>
  <c r="O431" i="26"/>
  <c r="P431" i="26"/>
  <c r="Q431" i="26"/>
  <c r="R431" i="26"/>
  <c r="S431" i="26"/>
  <c r="T431" i="26"/>
  <c r="U431" i="26"/>
  <c r="V431" i="26"/>
  <c r="W431" i="26"/>
  <c r="X431" i="26"/>
  <c r="Y431" i="26"/>
  <c r="Z431" i="26"/>
  <c r="AA431" i="26"/>
  <c r="AB431" i="26"/>
  <c r="AC431" i="26"/>
  <c r="AD431" i="26"/>
  <c r="AE431" i="26"/>
  <c r="AF431" i="26"/>
  <c r="AG431" i="26"/>
  <c r="AH431" i="26"/>
  <c r="K432" i="26"/>
  <c r="L432" i="26"/>
  <c r="M432" i="26"/>
  <c r="N432" i="26"/>
  <c r="O432" i="26"/>
  <c r="P432" i="26"/>
  <c r="Q432" i="26"/>
  <c r="R432" i="26"/>
  <c r="S432" i="26"/>
  <c r="T432" i="26"/>
  <c r="U432" i="26"/>
  <c r="V432" i="26"/>
  <c r="W432" i="26"/>
  <c r="X432" i="26"/>
  <c r="Y432" i="26"/>
  <c r="Z432" i="26"/>
  <c r="AA432" i="26"/>
  <c r="AB432" i="26"/>
  <c r="AC432" i="26"/>
  <c r="AD432" i="26"/>
  <c r="AE432" i="26"/>
  <c r="AF432" i="26"/>
  <c r="AG432" i="26"/>
  <c r="AH432" i="26"/>
  <c r="K433" i="26"/>
  <c r="L433" i="26"/>
  <c r="M433" i="26"/>
  <c r="N433" i="26"/>
  <c r="O433" i="26"/>
  <c r="P433" i="26"/>
  <c r="Q433" i="26"/>
  <c r="R433" i="26"/>
  <c r="S433" i="26"/>
  <c r="T433" i="26"/>
  <c r="U433" i="26"/>
  <c r="V433" i="26"/>
  <c r="W433" i="26"/>
  <c r="X433" i="26"/>
  <c r="Y433" i="26"/>
  <c r="Z433" i="26"/>
  <c r="AA433" i="26"/>
  <c r="AB433" i="26"/>
  <c r="AC433" i="26"/>
  <c r="AD433" i="26"/>
  <c r="AE433" i="26"/>
  <c r="AF433" i="26"/>
  <c r="AG433" i="26"/>
  <c r="AH433" i="26"/>
  <c r="K434" i="26"/>
  <c r="L434" i="26"/>
  <c r="M434" i="26"/>
  <c r="N434" i="26"/>
  <c r="O434" i="26"/>
  <c r="P434" i="26"/>
  <c r="Q434" i="26"/>
  <c r="R434" i="26"/>
  <c r="S434" i="26"/>
  <c r="T434" i="26"/>
  <c r="U434" i="26"/>
  <c r="V434" i="26"/>
  <c r="W434" i="26"/>
  <c r="X434" i="26"/>
  <c r="Y434" i="26"/>
  <c r="Z434" i="26"/>
  <c r="AA434" i="26"/>
  <c r="AB434" i="26"/>
  <c r="AC434" i="26"/>
  <c r="AD434" i="26"/>
  <c r="AE434" i="26"/>
  <c r="AF434" i="26"/>
  <c r="AG434" i="26"/>
  <c r="AH434" i="26"/>
  <c r="K435" i="26"/>
  <c r="L435" i="26"/>
  <c r="M435" i="26"/>
  <c r="N435" i="26"/>
  <c r="O435" i="26"/>
  <c r="P435" i="26"/>
  <c r="Q435" i="26"/>
  <c r="R435" i="26"/>
  <c r="S435" i="26"/>
  <c r="T435" i="26"/>
  <c r="U435" i="26"/>
  <c r="V435" i="26"/>
  <c r="W435" i="26"/>
  <c r="X435" i="26"/>
  <c r="Y435" i="26"/>
  <c r="Z435" i="26"/>
  <c r="AA435" i="26"/>
  <c r="AB435" i="26"/>
  <c r="AC435" i="26"/>
  <c r="AD435" i="26"/>
  <c r="AE435" i="26"/>
  <c r="AF435" i="26"/>
  <c r="AG435" i="26"/>
  <c r="AH435" i="26"/>
  <c r="K436" i="26"/>
  <c r="L436" i="26"/>
  <c r="M436" i="26"/>
  <c r="N436" i="26"/>
  <c r="O436" i="26"/>
  <c r="P436" i="26"/>
  <c r="Q436" i="26"/>
  <c r="R436" i="26"/>
  <c r="S436" i="26"/>
  <c r="T436" i="26"/>
  <c r="U436" i="26"/>
  <c r="V436" i="26"/>
  <c r="W436" i="26"/>
  <c r="X436" i="26"/>
  <c r="Y436" i="26"/>
  <c r="Z436" i="26"/>
  <c r="AA436" i="26"/>
  <c r="AB436" i="26"/>
  <c r="AC436" i="26"/>
  <c r="AD436" i="26"/>
  <c r="AE436" i="26"/>
  <c r="AF436" i="26"/>
  <c r="AG436" i="26"/>
  <c r="AH436" i="26"/>
  <c r="K437" i="26"/>
  <c r="L437" i="26"/>
  <c r="M437" i="26"/>
  <c r="N437" i="26"/>
  <c r="O437" i="26"/>
  <c r="P437" i="26"/>
  <c r="Q437" i="26"/>
  <c r="R437" i="26"/>
  <c r="S437" i="26"/>
  <c r="T437" i="26"/>
  <c r="U437" i="26"/>
  <c r="V437" i="26"/>
  <c r="W437" i="26"/>
  <c r="X437" i="26"/>
  <c r="Y437" i="26"/>
  <c r="Z437" i="26"/>
  <c r="AA437" i="26"/>
  <c r="AB437" i="26"/>
  <c r="AC437" i="26"/>
  <c r="AD437" i="26"/>
  <c r="AE437" i="26"/>
  <c r="AF437" i="26"/>
  <c r="AG437" i="26"/>
  <c r="AH437" i="26"/>
  <c r="K438" i="26"/>
  <c r="L438" i="26"/>
  <c r="M438" i="26"/>
  <c r="N438" i="26"/>
  <c r="O438" i="26"/>
  <c r="P438" i="26"/>
  <c r="Q438" i="26"/>
  <c r="R438" i="26"/>
  <c r="S438" i="26"/>
  <c r="T438" i="26"/>
  <c r="U438" i="26"/>
  <c r="V438" i="26"/>
  <c r="W438" i="26"/>
  <c r="X438" i="26"/>
  <c r="Y438" i="26"/>
  <c r="Z438" i="26"/>
  <c r="AA438" i="26"/>
  <c r="AB438" i="26"/>
  <c r="AC438" i="26"/>
  <c r="AD438" i="26"/>
  <c r="AE438" i="26"/>
  <c r="AF438" i="26"/>
  <c r="AG438" i="26"/>
  <c r="AH438" i="26"/>
  <c r="K439" i="26"/>
  <c r="L439" i="26"/>
  <c r="M439" i="26"/>
  <c r="N439" i="26"/>
  <c r="O439" i="26"/>
  <c r="P439" i="26"/>
  <c r="Q439" i="26"/>
  <c r="R439" i="26"/>
  <c r="S439" i="26"/>
  <c r="T439" i="26"/>
  <c r="U439" i="26"/>
  <c r="V439" i="26"/>
  <c r="W439" i="26"/>
  <c r="X439" i="26"/>
  <c r="Y439" i="26"/>
  <c r="Z439" i="26"/>
  <c r="AA439" i="26"/>
  <c r="AB439" i="26"/>
  <c r="AC439" i="26"/>
  <c r="AD439" i="26"/>
  <c r="AE439" i="26"/>
  <c r="AF439" i="26"/>
  <c r="AG439" i="26"/>
  <c r="AH439" i="26"/>
  <c r="K440" i="26"/>
  <c r="L440" i="26"/>
  <c r="M440" i="26"/>
  <c r="N440" i="26"/>
  <c r="O440" i="26"/>
  <c r="P440" i="26"/>
  <c r="Q440" i="26"/>
  <c r="R440" i="26"/>
  <c r="S440" i="26"/>
  <c r="T440" i="26"/>
  <c r="U440" i="26"/>
  <c r="V440" i="26"/>
  <c r="W440" i="26"/>
  <c r="X440" i="26"/>
  <c r="Y440" i="26"/>
  <c r="Z440" i="26"/>
  <c r="AA440" i="26"/>
  <c r="AB440" i="26"/>
  <c r="AC440" i="26"/>
  <c r="AD440" i="26"/>
  <c r="AE440" i="26"/>
  <c r="AF440" i="26"/>
  <c r="AG440" i="26"/>
  <c r="AH440" i="26"/>
  <c r="K441" i="26"/>
  <c r="L441" i="26"/>
  <c r="M441" i="26"/>
  <c r="N441" i="26"/>
  <c r="O441" i="26"/>
  <c r="P441" i="26"/>
  <c r="Q441" i="26"/>
  <c r="R441" i="26"/>
  <c r="S441" i="26"/>
  <c r="T441" i="26"/>
  <c r="U441" i="26"/>
  <c r="V441" i="26"/>
  <c r="W441" i="26"/>
  <c r="X441" i="26"/>
  <c r="Y441" i="26"/>
  <c r="Z441" i="26"/>
  <c r="AA441" i="26"/>
  <c r="AB441" i="26"/>
  <c r="AC441" i="26"/>
  <c r="AD441" i="26"/>
  <c r="AE441" i="26"/>
  <c r="AF441" i="26"/>
  <c r="AG441" i="26"/>
  <c r="AH441" i="26"/>
  <c r="K442" i="26"/>
  <c r="L442" i="26"/>
  <c r="M442" i="26"/>
  <c r="N442" i="26"/>
  <c r="O442" i="26"/>
  <c r="P442" i="26"/>
  <c r="Q442" i="26"/>
  <c r="R442" i="26"/>
  <c r="S442" i="26"/>
  <c r="T442" i="26"/>
  <c r="U442" i="26"/>
  <c r="V442" i="26"/>
  <c r="W442" i="26"/>
  <c r="X442" i="26"/>
  <c r="Y442" i="26"/>
  <c r="Z442" i="26"/>
  <c r="AA442" i="26"/>
  <c r="AB442" i="26"/>
  <c r="AC442" i="26"/>
  <c r="AD442" i="26"/>
  <c r="AE442" i="26"/>
  <c r="AF442" i="26"/>
  <c r="AG442" i="26"/>
  <c r="AH442" i="26"/>
  <c r="K443" i="26"/>
  <c r="L443" i="26"/>
  <c r="M443" i="26"/>
  <c r="N443" i="26"/>
  <c r="O443" i="26"/>
  <c r="P443" i="26"/>
  <c r="Q443" i="26"/>
  <c r="R443" i="26"/>
  <c r="S443" i="26"/>
  <c r="T443" i="26"/>
  <c r="U443" i="26"/>
  <c r="V443" i="26"/>
  <c r="W443" i="26"/>
  <c r="X443" i="26"/>
  <c r="Y443" i="26"/>
  <c r="Z443" i="26"/>
  <c r="AA443" i="26"/>
  <c r="AB443" i="26"/>
  <c r="AC443" i="26"/>
  <c r="AD443" i="26"/>
  <c r="AE443" i="26"/>
  <c r="AF443" i="26"/>
  <c r="AG443" i="26"/>
  <c r="AH443" i="26"/>
  <c r="K444" i="26"/>
  <c r="L444" i="26"/>
  <c r="M444" i="26"/>
  <c r="N444" i="26"/>
  <c r="O444" i="26"/>
  <c r="P444" i="26"/>
  <c r="Q444" i="26"/>
  <c r="R444" i="26"/>
  <c r="S444" i="26"/>
  <c r="T444" i="26"/>
  <c r="U444" i="26"/>
  <c r="V444" i="26"/>
  <c r="W444" i="26"/>
  <c r="X444" i="26"/>
  <c r="Y444" i="26"/>
  <c r="Z444" i="26"/>
  <c r="AA444" i="26"/>
  <c r="AB444" i="26"/>
  <c r="AC444" i="26"/>
  <c r="AD444" i="26"/>
  <c r="AE444" i="26"/>
  <c r="AF444" i="26"/>
  <c r="AG444" i="26"/>
  <c r="AH444" i="26"/>
  <c r="K445" i="26"/>
  <c r="L445" i="26"/>
  <c r="M445" i="26"/>
  <c r="N445" i="26"/>
  <c r="O445" i="26"/>
  <c r="P445" i="26"/>
  <c r="Q445" i="26"/>
  <c r="R445" i="26"/>
  <c r="S445" i="26"/>
  <c r="T445" i="26"/>
  <c r="U445" i="26"/>
  <c r="V445" i="26"/>
  <c r="W445" i="26"/>
  <c r="X445" i="26"/>
  <c r="Y445" i="26"/>
  <c r="Z445" i="26"/>
  <c r="AA445" i="26"/>
  <c r="AB445" i="26"/>
  <c r="AC445" i="26"/>
  <c r="AD445" i="26"/>
  <c r="AE445" i="26"/>
  <c r="AF445" i="26"/>
  <c r="AG445" i="26"/>
  <c r="AH445" i="26"/>
  <c r="K446" i="26"/>
  <c r="L446" i="26"/>
  <c r="M446" i="26"/>
  <c r="N446" i="26"/>
  <c r="O446" i="26"/>
  <c r="P446" i="26"/>
  <c r="Q446" i="26"/>
  <c r="R446" i="26"/>
  <c r="S446" i="26"/>
  <c r="T446" i="26"/>
  <c r="U446" i="26"/>
  <c r="V446" i="26"/>
  <c r="W446" i="26"/>
  <c r="X446" i="26"/>
  <c r="Y446" i="26"/>
  <c r="Z446" i="26"/>
  <c r="AA446" i="26"/>
  <c r="AB446" i="26"/>
  <c r="AC446" i="26"/>
  <c r="AD446" i="26"/>
  <c r="AE446" i="26"/>
  <c r="AF446" i="26"/>
  <c r="AG446" i="26"/>
  <c r="AH446" i="26"/>
  <c r="K447" i="26"/>
  <c r="L447" i="26"/>
  <c r="M447" i="26"/>
  <c r="N447" i="26"/>
  <c r="O447" i="26"/>
  <c r="P447" i="26"/>
  <c r="Q447" i="26"/>
  <c r="R447" i="26"/>
  <c r="S447" i="26"/>
  <c r="T447" i="26"/>
  <c r="U447" i="26"/>
  <c r="V447" i="26"/>
  <c r="W447" i="26"/>
  <c r="X447" i="26"/>
  <c r="Y447" i="26"/>
  <c r="Z447" i="26"/>
  <c r="AA447" i="26"/>
  <c r="AB447" i="26"/>
  <c r="AC447" i="26"/>
  <c r="AD447" i="26"/>
  <c r="AE447" i="26"/>
  <c r="AF447" i="26"/>
  <c r="AG447" i="26"/>
  <c r="AH447" i="26"/>
  <c r="K448" i="26"/>
  <c r="L448" i="26"/>
  <c r="M448" i="26"/>
  <c r="N448" i="26"/>
  <c r="O448" i="26"/>
  <c r="P448" i="26"/>
  <c r="Q448" i="26"/>
  <c r="R448" i="26"/>
  <c r="S448" i="26"/>
  <c r="T448" i="26"/>
  <c r="U448" i="26"/>
  <c r="V448" i="26"/>
  <c r="W448" i="26"/>
  <c r="X448" i="26"/>
  <c r="Y448" i="26"/>
  <c r="Z448" i="26"/>
  <c r="AA448" i="26"/>
  <c r="AB448" i="26"/>
  <c r="AC448" i="26"/>
  <c r="AD448" i="26"/>
  <c r="AE448" i="26"/>
  <c r="AF448" i="26"/>
  <c r="AG448" i="26"/>
  <c r="AH448" i="26"/>
  <c r="K449" i="26"/>
  <c r="L449" i="26"/>
  <c r="M449" i="26"/>
  <c r="N449" i="26"/>
  <c r="O449" i="26"/>
  <c r="P449" i="26"/>
  <c r="Q449" i="26"/>
  <c r="R449" i="26"/>
  <c r="S449" i="26"/>
  <c r="T449" i="26"/>
  <c r="U449" i="26"/>
  <c r="V449" i="26"/>
  <c r="W449" i="26"/>
  <c r="X449" i="26"/>
  <c r="Y449" i="26"/>
  <c r="Z449" i="26"/>
  <c r="AA449" i="26"/>
  <c r="AB449" i="26"/>
  <c r="AC449" i="26"/>
  <c r="AD449" i="26"/>
  <c r="AE449" i="26"/>
  <c r="AF449" i="26"/>
  <c r="AG449" i="26"/>
  <c r="AH449" i="26"/>
  <c r="K450" i="26"/>
  <c r="L450" i="26"/>
  <c r="M450" i="26"/>
  <c r="N450" i="26"/>
  <c r="O450" i="26"/>
  <c r="P450" i="26"/>
  <c r="Q450" i="26"/>
  <c r="R450" i="26"/>
  <c r="S450" i="26"/>
  <c r="T450" i="26"/>
  <c r="U450" i="26"/>
  <c r="V450" i="26"/>
  <c r="W450" i="26"/>
  <c r="X450" i="26"/>
  <c r="Y450" i="26"/>
  <c r="Z450" i="26"/>
  <c r="AA450" i="26"/>
  <c r="AB450" i="26"/>
  <c r="AC450" i="26"/>
  <c r="AD450" i="26"/>
  <c r="AE450" i="26"/>
  <c r="AF450" i="26"/>
  <c r="AG450" i="26"/>
  <c r="AH450" i="26"/>
  <c r="K451" i="26"/>
  <c r="L451" i="26"/>
  <c r="M451" i="26"/>
  <c r="N451" i="26"/>
  <c r="O451" i="26"/>
  <c r="P451" i="26"/>
  <c r="Q451" i="26"/>
  <c r="R451" i="26"/>
  <c r="S451" i="26"/>
  <c r="T451" i="26"/>
  <c r="U451" i="26"/>
  <c r="V451" i="26"/>
  <c r="W451" i="26"/>
  <c r="X451" i="26"/>
  <c r="Y451" i="26"/>
  <c r="Z451" i="26"/>
  <c r="AA451" i="26"/>
  <c r="AB451" i="26"/>
  <c r="AC451" i="26"/>
  <c r="AD451" i="26"/>
  <c r="AE451" i="26"/>
  <c r="AF451" i="26"/>
  <c r="AG451" i="26"/>
  <c r="AH451" i="26"/>
  <c r="K452" i="26"/>
  <c r="L452" i="26"/>
  <c r="M452" i="26"/>
  <c r="N452" i="26"/>
  <c r="O452" i="26"/>
  <c r="P452" i="26"/>
  <c r="Q452" i="26"/>
  <c r="R452" i="26"/>
  <c r="S452" i="26"/>
  <c r="T452" i="26"/>
  <c r="U452" i="26"/>
  <c r="V452" i="26"/>
  <c r="W452" i="26"/>
  <c r="X452" i="26"/>
  <c r="Y452" i="26"/>
  <c r="Z452" i="26"/>
  <c r="AA452" i="26"/>
  <c r="AB452" i="26"/>
  <c r="AC452" i="26"/>
  <c r="AD452" i="26"/>
  <c r="AE452" i="26"/>
  <c r="AF452" i="26"/>
  <c r="AG452" i="26"/>
  <c r="AH452" i="26"/>
  <c r="K453" i="26"/>
  <c r="L453" i="26"/>
  <c r="M453" i="26"/>
  <c r="N453" i="26"/>
  <c r="O453" i="26"/>
  <c r="P453" i="26"/>
  <c r="Q453" i="26"/>
  <c r="R453" i="26"/>
  <c r="S453" i="26"/>
  <c r="T453" i="26"/>
  <c r="U453" i="26"/>
  <c r="V453" i="26"/>
  <c r="W453" i="26"/>
  <c r="X453" i="26"/>
  <c r="Y453" i="26"/>
  <c r="Z453" i="26"/>
  <c r="AA453" i="26"/>
  <c r="AB453" i="26"/>
  <c r="AC453" i="26"/>
  <c r="AD453" i="26"/>
  <c r="AE453" i="26"/>
  <c r="AF453" i="26"/>
  <c r="AG453" i="26"/>
  <c r="AH453" i="26"/>
  <c r="K454" i="26"/>
  <c r="L454" i="26"/>
  <c r="M454" i="26"/>
  <c r="N454" i="26"/>
  <c r="O454" i="26"/>
  <c r="P454" i="26"/>
  <c r="Q454" i="26"/>
  <c r="R454" i="26"/>
  <c r="S454" i="26"/>
  <c r="T454" i="26"/>
  <c r="U454" i="26"/>
  <c r="V454" i="26"/>
  <c r="W454" i="26"/>
  <c r="X454" i="26"/>
  <c r="Y454" i="26"/>
  <c r="Z454" i="26"/>
  <c r="AA454" i="26"/>
  <c r="AB454" i="26"/>
  <c r="AC454" i="26"/>
  <c r="AD454" i="26"/>
  <c r="AE454" i="26"/>
  <c r="AF454" i="26"/>
  <c r="AG454" i="26"/>
  <c r="AH454" i="26"/>
  <c r="K455" i="26"/>
  <c r="L455" i="26"/>
  <c r="M455" i="26"/>
  <c r="N455" i="26"/>
  <c r="O455" i="26"/>
  <c r="P455" i="26"/>
  <c r="Q455" i="26"/>
  <c r="R455" i="26"/>
  <c r="S455" i="26"/>
  <c r="T455" i="26"/>
  <c r="U455" i="26"/>
  <c r="V455" i="26"/>
  <c r="W455" i="26"/>
  <c r="X455" i="26"/>
  <c r="Y455" i="26"/>
  <c r="Z455" i="26"/>
  <c r="AA455" i="26"/>
  <c r="AB455" i="26"/>
  <c r="AC455" i="26"/>
  <c r="AD455" i="26"/>
  <c r="AE455" i="26"/>
  <c r="AF455" i="26"/>
  <c r="AG455" i="26"/>
  <c r="AH455" i="26"/>
  <c r="K456" i="26"/>
  <c r="L456" i="26"/>
  <c r="M456" i="26"/>
  <c r="N456" i="26"/>
  <c r="O456" i="26"/>
  <c r="P456" i="26"/>
  <c r="Q456" i="26"/>
  <c r="R456" i="26"/>
  <c r="S456" i="26"/>
  <c r="T456" i="26"/>
  <c r="U456" i="26"/>
  <c r="V456" i="26"/>
  <c r="W456" i="26"/>
  <c r="X456" i="26"/>
  <c r="Y456" i="26"/>
  <c r="Z456" i="26"/>
  <c r="AA456" i="26"/>
  <c r="AB456" i="26"/>
  <c r="AC456" i="26"/>
  <c r="AD456" i="26"/>
  <c r="AE456" i="26"/>
  <c r="AF456" i="26"/>
  <c r="AG456" i="26"/>
  <c r="AH456" i="26"/>
  <c r="K457" i="26"/>
  <c r="L457" i="26"/>
  <c r="M457" i="26"/>
  <c r="N457" i="26"/>
  <c r="O457" i="26"/>
  <c r="P457" i="26"/>
  <c r="Q457" i="26"/>
  <c r="R457" i="26"/>
  <c r="S457" i="26"/>
  <c r="T457" i="26"/>
  <c r="U457" i="26"/>
  <c r="V457" i="26"/>
  <c r="W457" i="26"/>
  <c r="X457" i="26"/>
  <c r="Y457" i="26"/>
  <c r="Z457" i="26"/>
  <c r="AA457" i="26"/>
  <c r="AB457" i="26"/>
  <c r="AC457" i="26"/>
  <c r="AD457" i="26"/>
  <c r="AE457" i="26"/>
  <c r="AF457" i="26"/>
  <c r="AG457" i="26"/>
  <c r="AH457" i="26"/>
  <c r="K458" i="26"/>
  <c r="L458" i="26"/>
  <c r="M458" i="26"/>
  <c r="N458" i="26"/>
  <c r="O458" i="26"/>
  <c r="P458" i="26"/>
  <c r="Q458" i="26"/>
  <c r="R458" i="26"/>
  <c r="S458" i="26"/>
  <c r="T458" i="26"/>
  <c r="U458" i="26"/>
  <c r="V458" i="26"/>
  <c r="W458" i="26"/>
  <c r="X458" i="26"/>
  <c r="Y458" i="26"/>
  <c r="Z458" i="26"/>
  <c r="AA458" i="26"/>
  <c r="AB458" i="26"/>
  <c r="AC458" i="26"/>
  <c r="AD458" i="26"/>
  <c r="AE458" i="26"/>
  <c r="AF458" i="26"/>
  <c r="AG458" i="26"/>
  <c r="AH458" i="26"/>
  <c r="K459" i="26"/>
  <c r="L459" i="26"/>
  <c r="M459" i="26"/>
  <c r="N459" i="26"/>
  <c r="O459" i="26"/>
  <c r="P459" i="26"/>
  <c r="Q459" i="26"/>
  <c r="R459" i="26"/>
  <c r="S459" i="26"/>
  <c r="T459" i="26"/>
  <c r="U459" i="26"/>
  <c r="V459" i="26"/>
  <c r="W459" i="26"/>
  <c r="X459" i="26"/>
  <c r="Y459" i="26"/>
  <c r="Z459" i="26"/>
  <c r="AA459" i="26"/>
  <c r="AB459" i="26"/>
  <c r="AC459" i="26"/>
  <c r="AD459" i="26"/>
  <c r="AE459" i="26"/>
  <c r="AF459" i="26"/>
  <c r="AG459" i="26"/>
  <c r="AH459" i="26"/>
  <c r="K460" i="26"/>
  <c r="L460" i="26"/>
  <c r="M460" i="26"/>
  <c r="N460" i="26"/>
  <c r="O460" i="26"/>
  <c r="P460" i="26"/>
  <c r="Q460" i="26"/>
  <c r="R460" i="26"/>
  <c r="S460" i="26"/>
  <c r="T460" i="26"/>
  <c r="U460" i="26"/>
  <c r="V460" i="26"/>
  <c r="W460" i="26"/>
  <c r="X460" i="26"/>
  <c r="Y460" i="26"/>
  <c r="Z460" i="26"/>
  <c r="AA460" i="26"/>
  <c r="AB460" i="26"/>
  <c r="AC460" i="26"/>
  <c r="AD460" i="26"/>
  <c r="AE460" i="26"/>
  <c r="AF460" i="26"/>
  <c r="AG460" i="26"/>
  <c r="AH460" i="26"/>
  <c r="K461" i="26"/>
  <c r="L461" i="26"/>
  <c r="M461" i="26"/>
  <c r="N461" i="26"/>
  <c r="O461" i="26"/>
  <c r="P461" i="26"/>
  <c r="Q461" i="26"/>
  <c r="R461" i="26"/>
  <c r="S461" i="26"/>
  <c r="T461" i="26"/>
  <c r="U461" i="26"/>
  <c r="V461" i="26"/>
  <c r="W461" i="26"/>
  <c r="X461" i="26"/>
  <c r="Y461" i="26"/>
  <c r="Z461" i="26"/>
  <c r="AA461" i="26"/>
  <c r="AB461" i="26"/>
  <c r="AC461" i="26"/>
  <c r="AD461" i="26"/>
  <c r="AE461" i="26"/>
  <c r="AF461" i="26"/>
  <c r="AG461" i="26"/>
  <c r="AH461" i="26"/>
  <c r="K462" i="26"/>
  <c r="L462" i="26"/>
  <c r="M462" i="26"/>
  <c r="N462" i="26"/>
  <c r="O462" i="26"/>
  <c r="P462" i="26"/>
  <c r="Q462" i="26"/>
  <c r="R462" i="26"/>
  <c r="S462" i="26"/>
  <c r="T462" i="26"/>
  <c r="U462" i="26"/>
  <c r="V462" i="26"/>
  <c r="W462" i="26"/>
  <c r="X462" i="26"/>
  <c r="Y462" i="26"/>
  <c r="Z462" i="26"/>
  <c r="AA462" i="26"/>
  <c r="AB462" i="26"/>
  <c r="AC462" i="26"/>
  <c r="AD462" i="26"/>
  <c r="AE462" i="26"/>
  <c r="AF462" i="26"/>
  <c r="AG462" i="26"/>
  <c r="AH462" i="26"/>
  <c r="K463" i="26"/>
  <c r="L463" i="26"/>
  <c r="M463" i="26"/>
  <c r="N463" i="26"/>
  <c r="O463" i="26"/>
  <c r="P463" i="26"/>
  <c r="R463" i="26"/>
  <c r="S463" i="26"/>
  <c r="T463" i="26"/>
  <c r="U463" i="26"/>
  <c r="V463" i="26"/>
  <c r="W463" i="26"/>
  <c r="X463" i="26"/>
  <c r="Y463" i="26"/>
  <c r="Z463" i="26"/>
  <c r="AA463" i="26"/>
  <c r="AB463" i="26"/>
  <c r="AC463" i="26"/>
  <c r="AD463" i="26"/>
  <c r="AE463" i="26"/>
  <c r="AF463" i="26"/>
  <c r="AG463" i="26"/>
  <c r="AH463" i="26"/>
  <c r="K464" i="26"/>
  <c r="L464" i="26"/>
  <c r="M464" i="26"/>
  <c r="N464" i="26"/>
  <c r="O464" i="26"/>
  <c r="P464" i="26"/>
  <c r="Q464" i="26"/>
  <c r="R464" i="26"/>
  <c r="S464" i="26"/>
  <c r="T464" i="26"/>
  <c r="U464" i="26"/>
  <c r="V464" i="26"/>
  <c r="W464" i="26"/>
  <c r="X464" i="26"/>
  <c r="Y464" i="26"/>
  <c r="Z464" i="26"/>
  <c r="AA464" i="26"/>
  <c r="AB464" i="26"/>
  <c r="AC464" i="26"/>
  <c r="AD464" i="26"/>
  <c r="AE464" i="26"/>
  <c r="AF464" i="26"/>
  <c r="AG464" i="26"/>
  <c r="AH464" i="26"/>
  <c r="K465" i="26"/>
  <c r="L465" i="26"/>
  <c r="M465" i="26"/>
  <c r="N465" i="26"/>
  <c r="O465" i="26"/>
  <c r="P465" i="26"/>
  <c r="R465" i="26"/>
  <c r="S465" i="26"/>
  <c r="T465" i="26"/>
  <c r="U465" i="26"/>
  <c r="V465" i="26"/>
  <c r="W465" i="26"/>
  <c r="X465" i="26"/>
  <c r="Y465" i="26"/>
  <c r="Z465" i="26"/>
  <c r="AA465" i="26"/>
  <c r="AB465" i="26"/>
  <c r="AC465" i="26"/>
  <c r="AD465" i="26"/>
  <c r="AE465" i="26"/>
  <c r="AF465" i="26"/>
  <c r="AG465" i="26"/>
  <c r="AH465" i="26"/>
  <c r="K466" i="26"/>
  <c r="L466" i="26"/>
  <c r="M466" i="26"/>
  <c r="N466" i="26"/>
  <c r="O466" i="26"/>
  <c r="P466" i="26"/>
  <c r="Q466" i="26"/>
  <c r="R466" i="26"/>
  <c r="S466" i="26"/>
  <c r="T466" i="26"/>
  <c r="U466" i="26"/>
  <c r="V466" i="26"/>
  <c r="W466" i="26"/>
  <c r="X466" i="26"/>
  <c r="Y466" i="26"/>
  <c r="Z466" i="26"/>
  <c r="AA466" i="26"/>
  <c r="AB466" i="26"/>
  <c r="AC466" i="26"/>
  <c r="AD466" i="26"/>
  <c r="AE466" i="26"/>
  <c r="AF466" i="26"/>
  <c r="AG466" i="26"/>
  <c r="AH466" i="26"/>
  <c r="K467" i="26"/>
  <c r="L467" i="26"/>
  <c r="M467" i="26"/>
  <c r="N467" i="26"/>
  <c r="O467" i="26"/>
  <c r="P467" i="26"/>
  <c r="Q467" i="26"/>
  <c r="R467" i="26"/>
  <c r="S467" i="26"/>
  <c r="T467" i="26"/>
  <c r="U467" i="26"/>
  <c r="V467" i="26"/>
  <c r="W467" i="26"/>
  <c r="X467" i="26"/>
  <c r="Y467" i="26"/>
  <c r="Z467" i="26"/>
  <c r="AA467" i="26"/>
  <c r="AB467" i="26"/>
  <c r="AC467" i="26"/>
  <c r="AD467" i="26"/>
  <c r="AE467" i="26"/>
  <c r="AF467" i="26"/>
  <c r="AG467" i="26"/>
  <c r="AH467" i="26"/>
  <c r="K468" i="26"/>
  <c r="L468" i="26"/>
  <c r="M468" i="26"/>
  <c r="N468" i="26"/>
  <c r="O468" i="26"/>
  <c r="P468" i="26"/>
  <c r="Q468" i="26"/>
  <c r="R468" i="26"/>
  <c r="S468" i="26"/>
  <c r="T468" i="26"/>
  <c r="U468" i="26"/>
  <c r="V468" i="26"/>
  <c r="W468" i="26"/>
  <c r="X468" i="26"/>
  <c r="Y468" i="26"/>
  <c r="Z468" i="26"/>
  <c r="AA468" i="26"/>
  <c r="AB468" i="26"/>
  <c r="AC468" i="26"/>
  <c r="AD468" i="26"/>
  <c r="AE468" i="26"/>
  <c r="AF468" i="26"/>
  <c r="AG468" i="26"/>
  <c r="AH468" i="26"/>
  <c r="K469" i="26"/>
  <c r="L469" i="26"/>
  <c r="M469" i="26"/>
  <c r="N469" i="26"/>
  <c r="O469" i="26"/>
  <c r="P469" i="26"/>
  <c r="Q469" i="26"/>
  <c r="R469" i="26"/>
  <c r="S469" i="26"/>
  <c r="T469" i="26"/>
  <c r="U469" i="26"/>
  <c r="V469" i="26"/>
  <c r="W469" i="26"/>
  <c r="X469" i="26"/>
  <c r="Y469" i="26"/>
  <c r="Z469" i="26"/>
  <c r="AA469" i="26"/>
  <c r="AB469" i="26"/>
  <c r="AC469" i="26"/>
  <c r="AD469" i="26"/>
  <c r="AE469" i="26"/>
  <c r="AF469" i="26"/>
  <c r="AG469" i="26"/>
  <c r="AH469" i="26"/>
  <c r="K470" i="26"/>
  <c r="L470" i="26"/>
  <c r="M470" i="26"/>
  <c r="N470" i="26"/>
  <c r="O470" i="26"/>
  <c r="P470" i="26"/>
  <c r="Q470" i="26"/>
  <c r="R470" i="26"/>
  <c r="S470" i="26"/>
  <c r="T470" i="26"/>
  <c r="U470" i="26"/>
  <c r="V470" i="26"/>
  <c r="W470" i="26"/>
  <c r="X470" i="26"/>
  <c r="Y470" i="26"/>
  <c r="Z470" i="26"/>
  <c r="AA470" i="26"/>
  <c r="AB470" i="26"/>
  <c r="AC470" i="26"/>
  <c r="AD470" i="26"/>
  <c r="AE470" i="26"/>
  <c r="AF470" i="26"/>
  <c r="AG470" i="26"/>
  <c r="AH470" i="26"/>
  <c r="K471" i="26"/>
  <c r="L471" i="26"/>
  <c r="M471" i="26"/>
  <c r="N471" i="26"/>
  <c r="O471" i="26"/>
  <c r="P471" i="26"/>
  <c r="Q471" i="26"/>
  <c r="R471" i="26"/>
  <c r="S471" i="26"/>
  <c r="T471" i="26"/>
  <c r="U471" i="26"/>
  <c r="V471" i="26"/>
  <c r="W471" i="26"/>
  <c r="X471" i="26"/>
  <c r="Y471" i="26"/>
  <c r="Z471" i="26"/>
  <c r="AA471" i="26"/>
  <c r="AB471" i="26"/>
  <c r="AC471" i="26"/>
  <c r="AD471" i="26"/>
  <c r="AE471" i="26"/>
  <c r="AF471" i="26"/>
  <c r="AG471" i="26"/>
  <c r="AH471" i="26"/>
  <c r="K472" i="26"/>
  <c r="L472" i="26"/>
  <c r="M472" i="26"/>
  <c r="N472" i="26"/>
  <c r="O472" i="26"/>
  <c r="P472" i="26"/>
  <c r="Q472" i="26"/>
  <c r="R472" i="26"/>
  <c r="S472" i="26"/>
  <c r="T472" i="26"/>
  <c r="U472" i="26"/>
  <c r="V472" i="26"/>
  <c r="W472" i="26"/>
  <c r="X472" i="26"/>
  <c r="Y472" i="26"/>
  <c r="Z472" i="26"/>
  <c r="AA472" i="26"/>
  <c r="AB472" i="26"/>
  <c r="AC472" i="26"/>
  <c r="AD472" i="26"/>
  <c r="AE472" i="26"/>
  <c r="AF472" i="26"/>
  <c r="AG472" i="26"/>
  <c r="AH472" i="26"/>
  <c r="K473" i="26"/>
  <c r="L473" i="26"/>
  <c r="M473" i="26"/>
  <c r="N473" i="26"/>
  <c r="O473" i="26"/>
  <c r="P473" i="26"/>
  <c r="Q473" i="26"/>
  <c r="R473" i="26"/>
  <c r="S473" i="26"/>
  <c r="T473" i="26"/>
  <c r="U473" i="26"/>
  <c r="V473" i="26"/>
  <c r="W473" i="26"/>
  <c r="X473" i="26"/>
  <c r="Y473" i="26"/>
  <c r="Z473" i="26"/>
  <c r="AA473" i="26"/>
  <c r="AB473" i="26"/>
  <c r="AC473" i="26"/>
  <c r="AD473" i="26"/>
  <c r="AE473" i="26"/>
  <c r="AF473" i="26"/>
  <c r="AG473" i="26"/>
  <c r="AH473" i="26"/>
  <c r="K474" i="26"/>
  <c r="L474" i="26"/>
  <c r="M474" i="26"/>
  <c r="N474" i="26"/>
  <c r="O474" i="26"/>
  <c r="P474" i="26"/>
  <c r="Q474" i="26"/>
  <c r="R474" i="26"/>
  <c r="S474" i="26"/>
  <c r="T474" i="26"/>
  <c r="U474" i="26"/>
  <c r="V474" i="26"/>
  <c r="W474" i="26"/>
  <c r="X474" i="26"/>
  <c r="Y474" i="26"/>
  <c r="Z474" i="26"/>
  <c r="AA474" i="26"/>
  <c r="AB474" i="26"/>
  <c r="AC474" i="26"/>
  <c r="AD474" i="26"/>
  <c r="AE474" i="26"/>
  <c r="AF474" i="26"/>
  <c r="AG474" i="26"/>
  <c r="AH474" i="26"/>
  <c r="K475" i="26"/>
  <c r="L475" i="26"/>
  <c r="M475" i="26"/>
  <c r="N475" i="26"/>
  <c r="O475" i="26"/>
  <c r="P475" i="26"/>
  <c r="Q475" i="26"/>
  <c r="R475" i="26"/>
  <c r="S475" i="26"/>
  <c r="T475" i="26"/>
  <c r="U475" i="26"/>
  <c r="V475" i="26"/>
  <c r="W475" i="26"/>
  <c r="X475" i="26"/>
  <c r="Y475" i="26"/>
  <c r="Z475" i="26"/>
  <c r="AA475" i="26"/>
  <c r="AB475" i="26"/>
  <c r="AC475" i="26"/>
  <c r="AD475" i="26"/>
  <c r="AE475" i="26"/>
  <c r="AF475" i="26"/>
  <c r="AG475" i="26"/>
  <c r="AH475" i="26"/>
  <c r="K476" i="26"/>
  <c r="L476" i="26"/>
  <c r="M476" i="26"/>
  <c r="N476" i="26"/>
  <c r="O476" i="26"/>
  <c r="P476" i="26"/>
  <c r="Q476" i="26"/>
  <c r="R476" i="26"/>
  <c r="S476" i="26"/>
  <c r="T476" i="26"/>
  <c r="U476" i="26"/>
  <c r="V476" i="26"/>
  <c r="W476" i="26"/>
  <c r="X476" i="26"/>
  <c r="Y476" i="26"/>
  <c r="Z476" i="26"/>
  <c r="AA476" i="26"/>
  <c r="AB476" i="26"/>
  <c r="AC476" i="26"/>
  <c r="AD476" i="26"/>
  <c r="AE476" i="26"/>
  <c r="AF476" i="26"/>
  <c r="AG476" i="26"/>
  <c r="AH476" i="26"/>
  <c r="K477" i="26"/>
  <c r="L477" i="26"/>
  <c r="M477" i="26"/>
  <c r="N477" i="26"/>
  <c r="O477" i="26"/>
  <c r="P477" i="26"/>
  <c r="Q477" i="26"/>
  <c r="R477" i="26"/>
  <c r="S477" i="26"/>
  <c r="T477" i="26"/>
  <c r="U477" i="26"/>
  <c r="V477" i="26"/>
  <c r="W477" i="26"/>
  <c r="X477" i="26"/>
  <c r="Y477" i="26"/>
  <c r="Z477" i="26"/>
  <c r="AA477" i="26"/>
  <c r="AB477" i="26"/>
  <c r="AC477" i="26"/>
  <c r="AD477" i="26"/>
  <c r="AE477" i="26"/>
  <c r="AF477" i="26"/>
  <c r="AG477" i="26"/>
  <c r="AH477" i="26"/>
  <c r="K478" i="26"/>
  <c r="L478" i="26"/>
  <c r="M478" i="26"/>
  <c r="N478" i="26"/>
  <c r="O478" i="26"/>
  <c r="P478" i="26"/>
  <c r="Q478" i="26"/>
  <c r="R478" i="26"/>
  <c r="S478" i="26"/>
  <c r="T478" i="26"/>
  <c r="U478" i="26"/>
  <c r="V478" i="26"/>
  <c r="W478" i="26"/>
  <c r="X478" i="26"/>
  <c r="Y478" i="26"/>
  <c r="Z478" i="26"/>
  <c r="AA478" i="26"/>
  <c r="AB478" i="26"/>
  <c r="AC478" i="26"/>
  <c r="AD478" i="26"/>
  <c r="AE478" i="26"/>
  <c r="AF478" i="26"/>
  <c r="AG478" i="26"/>
  <c r="AH478" i="26"/>
  <c r="K479" i="26"/>
  <c r="L479" i="26"/>
  <c r="M479" i="26"/>
  <c r="N479" i="26"/>
  <c r="O479" i="26"/>
  <c r="P479" i="26"/>
  <c r="Q479" i="26"/>
  <c r="R479" i="26"/>
  <c r="S479" i="26"/>
  <c r="T479" i="26"/>
  <c r="U479" i="26"/>
  <c r="V479" i="26"/>
  <c r="W479" i="26"/>
  <c r="X479" i="26"/>
  <c r="Y479" i="26"/>
  <c r="Z479" i="26"/>
  <c r="AA479" i="26"/>
  <c r="AB479" i="26"/>
  <c r="AC479" i="26"/>
  <c r="AD479" i="26"/>
  <c r="AE479" i="26"/>
  <c r="AF479" i="26"/>
  <c r="AG479" i="26"/>
  <c r="AH479" i="26"/>
  <c r="K480" i="26"/>
  <c r="L480" i="26"/>
  <c r="M480" i="26"/>
  <c r="N480" i="26"/>
  <c r="O480" i="26"/>
  <c r="P480" i="26"/>
  <c r="Q480" i="26"/>
  <c r="R480" i="26"/>
  <c r="S480" i="26"/>
  <c r="T480" i="26"/>
  <c r="U480" i="26"/>
  <c r="V480" i="26"/>
  <c r="W480" i="26"/>
  <c r="X480" i="26"/>
  <c r="Y480" i="26"/>
  <c r="Z480" i="26"/>
  <c r="AA480" i="26"/>
  <c r="AB480" i="26"/>
  <c r="AC480" i="26"/>
  <c r="AD480" i="26"/>
  <c r="AE480" i="26"/>
  <c r="AF480" i="26"/>
  <c r="AG480" i="26"/>
  <c r="AH480" i="26"/>
  <c r="K481" i="26"/>
  <c r="L481" i="26"/>
  <c r="M481" i="26"/>
  <c r="N481" i="26"/>
  <c r="O481" i="26"/>
  <c r="P481" i="26"/>
  <c r="Q481" i="26"/>
  <c r="R481" i="26"/>
  <c r="S481" i="26"/>
  <c r="T481" i="26"/>
  <c r="U481" i="26"/>
  <c r="V481" i="26"/>
  <c r="W481" i="26"/>
  <c r="X481" i="26"/>
  <c r="Y481" i="26"/>
  <c r="Z481" i="26"/>
  <c r="AA481" i="26"/>
  <c r="AB481" i="26"/>
  <c r="AC481" i="26"/>
  <c r="AD481" i="26"/>
  <c r="AE481" i="26"/>
  <c r="AF481" i="26"/>
  <c r="AG481" i="26"/>
  <c r="AH481" i="26"/>
  <c r="K482" i="26"/>
  <c r="L482" i="26"/>
  <c r="M482" i="26"/>
  <c r="N482" i="26"/>
  <c r="O482" i="26"/>
  <c r="P482" i="26"/>
  <c r="Q482" i="26"/>
  <c r="R482" i="26"/>
  <c r="S482" i="26"/>
  <c r="T482" i="26"/>
  <c r="U482" i="26"/>
  <c r="V482" i="26"/>
  <c r="W482" i="26"/>
  <c r="X482" i="26"/>
  <c r="Y482" i="26"/>
  <c r="Z482" i="26"/>
  <c r="AA482" i="26"/>
  <c r="AB482" i="26"/>
  <c r="AC482" i="26"/>
  <c r="AD482" i="26"/>
  <c r="AE482" i="26"/>
  <c r="AF482" i="26"/>
  <c r="AG482" i="26"/>
  <c r="AH482" i="26"/>
  <c r="K483" i="26"/>
  <c r="L483" i="26"/>
  <c r="M483" i="26"/>
  <c r="N483" i="26"/>
  <c r="O483" i="26"/>
  <c r="P483" i="26"/>
  <c r="Q483" i="26"/>
  <c r="R483" i="26"/>
  <c r="S483" i="26"/>
  <c r="T483" i="26"/>
  <c r="U483" i="26"/>
  <c r="V483" i="26"/>
  <c r="W483" i="26"/>
  <c r="X483" i="26"/>
  <c r="Y483" i="26"/>
  <c r="Z483" i="26"/>
  <c r="AA483" i="26"/>
  <c r="AB483" i="26"/>
  <c r="AC483" i="26"/>
  <c r="AD483" i="26"/>
  <c r="AE483" i="26"/>
  <c r="AF483" i="26"/>
  <c r="AG483" i="26"/>
  <c r="AH483" i="26"/>
  <c r="K484" i="26"/>
  <c r="L484" i="26"/>
  <c r="M484" i="26"/>
  <c r="N484" i="26"/>
  <c r="O484" i="26"/>
  <c r="P484" i="26"/>
  <c r="Q484" i="26"/>
  <c r="R484" i="26"/>
  <c r="S484" i="26"/>
  <c r="T484" i="26"/>
  <c r="U484" i="26"/>
  <c r="V484" i="26"/>
  <c r="W484" i="26"/>
  <c r="X484" i="26"/>
  <c r="Y484" i="26"/>
  <c r="Z484" i="26"/>
  <c r="AA484" i="26"/>
  <c r="AB484" i="26"/>
  <c r="AC484" i="26"/>
  <c r="AD484" i="26"/>
  <c r="AE484" i="26"/>
  <c r="AF484" i="26"/>
  <c r="AG484" i="26"/>
  <c r="AH484" i="26"/>
  <c r="K485" i="26"/>
  <c r="L485" i="26"/>
  <c r="M485" i="26"/>
  <c r="N485" i="26"/>
  <c r="O485" i="26"/>
  <c r="P485" i="26"/>
  <c r="Q485" i="26"/>
  <c r="R485" i="26"/>
  <c r="S485" i="26"/>
  <c r="T485" i="26"/>
  <c r="U485" i="26"/>
  <c r="V485" i="26"/>
  <c r="W485" i="26"/>
  <c r="X485" i="26"/>
  <c r="Y485" i="26"/>
  <c r="Z485" i="26"/>
  <c r="AA485" i="26"/>
  <c r="AB485" i="26"/>
  <c r="AC485" i="26"/>
  <c r="AD485" i="26"/>
  <c r="AE485" i="26"/>
  <c r="AF485" i="26"/>
  <c r="AG485" i="26"/>
  <c r="AH485" i="26"/>
  <c r="K486" i="26"/>
  <c r="L486" i="26"/>
  <c r="M486" i="26"/>
  <c r="N486" i="26"/>
  <c r="O486" i="26"/>
  <c r="P486" i="26"/>
  <c r="Q486" i="26"/>
  <c r="R486" i="26"/>
  <c r="S486" i="26"/>
  <c r="T486" i="26"/>
  <c r="U486" i="26"/>
  <c r="V486" i="26"/>
  <c r="W486" i="26"/>
  <c r="X486" i="26"/>
  <c r="Y486" i="26"/>
  <c r="Z486" i="26"/>
  <c r="AA486" i="26"/>
  <c r="AB486" i="26"/>
  <c r="AC486" i="26"/>
  <c r="AD486" i="26"/>
  <c r="AE486" i="26"/>
  <c r="AF486" i="26"/>
  <c r="AG486" i="26"/>
  <c r="AH486" i="26"/>
  <c r="K487" i="26"/>
  <c r="L487" i="26"/>
  <c r="M487" i="26"/>
  <c r="N487" i="26"/>
  <c r="O487" i="26"/>
  <c r="P487" i="26"/>
  <c r="Q487" i="26"/>
  <c r="R487" i="26"/>
  <c r="S487" i="26"/>
  <c r="T487" i="26"/>
  <c r="U487" i="26"/>
  <c r="V487" i="26"/>
  <c r="W487" i="26"/>
  <c r="X487" i="26"/>
  <c r="Y487" i="26"/>
  <c r="Z487" i="26"/>
  <c r="AA487" i="26"/>
  <c r="AB487" i="26"/>
  <c r="AC487" i="26"/>
  <c r="AD487" i="26"/>
  <c r="AE487" i="26"/>
  <c r="AF487" i="26"/>
  <c r="AG487" i="26"/>
  <c r="AH487" i="26"/>
  <c r="K488" i="26"/>
  <c r="L488" i="26"/>
  <c r="M488" i="26"/>
  <c r="N488" i="26"/>
  <c r="O488" i="26"/>
  <c r="P488" i="26"/>
  <c r="Q488" i="26"/>
  <c r="R488" i="26"/>
  <c r="S488" i="26"/>
  <c r="T488" i="26"/>
  <c r="U488" i="26"/>
  <c r="V488" i="26"/>
  <c r="W488" i="26"/>
  <c r="X488" i="26"/>
  <c r="Y488" i="26"/>
  <c r="Z488" i="26"/>
  <c r="AA488" i="26"/>
  <c r="AB488" i="26"/>
  <c r="AC488" i="26"/>
  <c r="AD488" i="26"/>
  <c r="AE488" i="26"/>
  <c r="AF488" i="26"/>
  <c r="AG488" i="26"/>
  <c r="AH488" i="26"/>
  <c r="K489" i="26"/>
  <c r="L489" i="26"/>
  <c r="M489" i="26"/>
  <c r="N489" i="26"/>
  <c r="O489" i="26"/>
  <c r="P489" i="26"/>
  <c r="Q489" i="26"/>
  <c r="R489" i="26"/>
  <c r="S489" i="26"/>
  <c r="T489" i="26"/>
  <c r="U489" i="26"/>
  <c r="V489" i="26"/>
  <c r="W489" i="26"/>
  <c r="X489" i="26"/>
  <c r="Y489" i="26"/>
  <c r="Z489" i="26"/>
  <c r="AA489" i="26"/>
  <c r="AB489" i="26"/>
  <c r="AC489" i="26"/>
  <c r="AD489" i="26"/>
  <c r="AE489" i="26"/>
  <c r="AF489" i="26"/>
  <c r="AG489" i="26"/>
  <c r="AH489" i="26"/>
  <c r="K490" i="26"/>
  <c r="L490" i="26"/>
  <c r="M490" i="26"/>
  <c r="N490" i="26"/>
  <c r="O490" i="26"/>
  <c r="P490" i="26"/>
  <c r="Q490" i="26"/>
  <c r="R490" i="26"/>
  <c r="S490" i="26"/>
  <c r="T490" i="26"/>
  <c r="U490" i="26"/>
  <c r="V490" i="26"/>
  <c r="W490" i="26"/>
  <c r="X490" i="26"/>
  <c r="Y490" i="26"/>
  <c r="Z490" i="26"/>
  <c r="AA490" i="26"/>
  <c r="AB490" i="26"/>
  <c r="AC490" i="26"/>
  <c r="AD490" i="26"/>
  <c r="AE490" i="26"/>
  <c r="AF490" i="26"/>
  <c r="AG490" i="26"/>
  <c r="AH490" i="26"/>
  <c r="K491" i="26"/>
  <c r="L491" i="26"/>
  <c r="M491" i="26"/>
  <c r="N491" i="26"/>
  <c r="O491" i="26"/>
  <c r="P491" i="26"/>
  <c r="Q491" i="26"/>
  <c r="R491" i="26"/>
  <c r="S491" i="26"/>
  <c r="T491" i="26"/>
  <c r="U491" i="26"/>
  <c r="V491" i="26"/>
  <c r="W491" i="26"/>
  <c r="X491" i="26"/>
  <c r="Y491" i="26"/>
  <c r="Z491" i="26"/>
  <c r="AA491" i="26"/>
  <c r="AB491" i="26"/>
  <c r="AC491" i="26"/>
  <c r="AD491" i="26"/>
  <c r="AE491" i="26"/>
  <c r="AF491" i="26"/>
  <c r="AG491" i="26"/>
  <c r="AH491" i="26"/>
  <c r="K492" i="26"/>
  <c r="L492" i="26"/>
  <c r="M492" i="26"/>
  <c r="N492" i="26"/>
  <c r="O492" i="26"/>
  <c r="P492" i="26"/>
  <c r="Q492" i="26"/>
  <c r="R492" i="26"/>
  <c r="S492" i="26"/>
  <c r="T492" i="26"/>
  <c r="U492" i="26"/>
  <c r="V492" i="26"/>
  <c r="W492" i="26"/>
  <c r="X492" i="26"/>
  <c r="Y492" i="26"/>
  <c r="Z492" i="26"/>
  <c r="AA492" i="26"/>
  <c r="AB492" i="26"/>
  <c r="AC492" i="26"/>
  <c r="AD492" i="26"/>
  <c r="AE492" i="26"/>
  <c r="AF492" i="26"/>
  <c r="AG492" i="26"/>
  <c r="AH492" i="26"/>
  <c r="K493" i="26"/>
  <c r="L493" i="26"/>
  <c r="M493" i="26"/>
  <c r="N493" i="26"/>
  <c r="O493" i="26"/>
  <c r="P493" i="26"/>
  <c r="Q493" i="26"/>
  <c r="R493" i="26"/>
  <c r="S493" i="26"/>
  <c r="T493" i="26"/>
  <c r="U493" i="26"/>
  <c r="V493" i="26"/>
  <c r="W493" i="26"/>
  <c r="X493" i="26"/>
  <c r="Y493" i="26"/>
  <c r="Z493" i="26"/>
  <c r="AA493" i="26"/>
  <c r="AB493" i="26"/>
  <c r="AC493" i="26"/>
  <c r="AD493" i="26"/>
  <c r="AE493" i="26"/>
  <c r="AF493" i="26"/>
  <c r="AG493" i="26"/>
  <c r="AH493" i="26"/>
  <c r="K494" i="26"/>
  <c r="L494" i="26"/>
  <c r="M494" i="26"/>
  <c r="N494" i="26"/>
  <c r="O494" i="26"/>
  <c r="P494" i="26"/>
  <c r="Q494" i="26"/>
  <c r="R494" i="26"/>
  <c r="S494" i="26"/>
  <c r="T494" i="26"/>
  <c r="U494" i="26"/>
  <c r="V494" i="26"/>
  <c r="W494" i="26"/>
  <c r="X494" i="26"/>
  <c r="Y494" i="26"/>
  <c r="Z494" i="26"/>
  <c r="AA494" i="26"/>
  <c r="AB494" i="26"/>
  <c r="AC494" i="26"/>
  <c r="AD494" i="26"/>
  <c r="AE494" i="26"/>
  <c r="AF494" i="26"/>
  <c r="AG494" i="26"/>
  <c r="AH494" i="26"/>
  <c r="K495" i="26"/>
  <c r="L495" i="26"/>
  <c r="M495" i="26"/>
  <c r="N495" i="26"/>
  <c r="O495" i="26"/>
  <c r="P495" i="26"/>
  <c r="Q495" i="26"/>
  <c r="R495" i="26"/>
  <c r="S495" i="26"/>
  <c r="T495" i="26"/>
  <c r="U495" i="26"/>
  <c r="V495" i="26"/>
  <c r="W495" i="26"/>
  <c r="X495" i="26"/>
  <c r="Y495" i="26"/>
  <c r="Z495" i="26"/>
  <c r="AA495" i="26"/>
  <c r="AB495" i="26"/>
  <c r="AC495" i="26"/>
  <c r="AD495" i="26"/>
  <c r="AE495" i="26"/>
  <c r="AF495" i="26"/>
  <c r="AG495" i="26"/>
  <c r="AH495" i="26"/>
  <c r="K496" i="26"/>
  <c r="L496" i="26"/>
  <c r="M496" i="26"/>
  <c r="N496" i="26"/>
  <c r="O496" i="26"/>
  <c r="P496" i="26"/>
  <c r="Q496" i="26"/>
  <c r="R496" i="26"/>
  <c r="S496" i="26"/>
  <c r="T496" i="26"/>
  <c r="U496" i="26"/>
  <c r="V496" i="26"/>
  <c r="W496" i="26"/>
  <c r="X496" i="26"/>
  <c r="Y496" i="26"/>
  <c r="Z496" i="26"/>
  <c r="AA496" i="26"/>
  <c r="AB496" i="26"/>
  <c r="AC496" i="26"/>
  <c r="AD496" i="26"/>
  <c r="AE496" i="26"/>
  <c r="AF496" i="26"/>
  <c r="AG496" i="26"/>
  <c r="AH496" i="26"/>
  <c r="K497" i="26"/>
  <c r="L497" i="26"/>
  <c r="M497" i="26"/>
  <c r="N497" i="26"/>
  <c r="O497" i="26"/>
  <c r="P497" i="26"/>
  <c r="Q497" i="26"/>
  <c r="R497" i="26"/>
  <c r="S497" i="26"/>
  <c r="T497" i="26"/>
  <c r="U497" i="26"/>
  <c r="V497" i="26"/>
  <c r="W497" i="26"/>
  <c r="X497" i="26"/>
  <c r="Y497" i="26"/>
  <c r="Z497" i="26"/>
  <c r="AA497" i="26"/>
  <c r="AB497" i="26"/>
  <c r="AC497" i="26"/>
  <c r="AD497" i="26"/>
  <c r="AE497" i="26"/>
  <c r="AF497" i="26"/>
  <c r="AG497" i="26"/>
  <c r="AH497" i="26"/>
  <c r="K498" i="26"/>
  <c r="L498" i="26"/>
  <c r="M498" i="26"/>
  <c r="N498" i="26"/>
  <c r="O498" i="26"/>
  <c r="P498" i="26"/>
  <c r="Q498" i="26"/>
  <c r="R498" i="26"/>
  <c r="S498" i="26"/>
  <c r="T498" i="26"/>
  <c r="U498" i="26"/>
  <c r="V498" i="26"/>
  <c r="W498" i="26"/>
  <c r="X498" i="26"/>
  <c r="Y498" i="26"/>
  <c r="Z498" i="26"/>
  <c r="AA498" i="26"/>
  <c r="AB498" i="26"/>
  <c r="AC498" i="26"/>
  <c r="AD498" i="26"/>
  <c r="AE498" i="26"/>
  <c r="AF498" i="26"/>
  <c r="AG498" i="26"/>
  <c r="AH498" i="26"/>
  <c r="K499" i="26"/>
  <c r="L499" i="26"/>
  <c r="M499" i="26"/>
  <c r="N499" i="26"/>
  <c r="O499" i="26"/>
  <c r="P499" i="26"/>
  <c r="Q499" i="26"/>
  <c r="R499" i="26"/>
  <c r="S499" i="26"/>
  <c r="T499" i="26"/>
  <c r="U499" i="26"/>
  <c r="V499" i="26"/>
  <c r="W499" i="26"/>
  <c r="X499" i="26"/>
  <c r="Y499" i="26"/>
  <c r="Z499" i="26"/>
  <c r="AA499" i="26"/>
  <c r="AB499" i="26"/>
  <c r="AC499" i="26"/>
  <c r="AD499" i="26"/>
  <c r="AE499" i="26"/>
  <c r="AF499" i="26"/>
  <c r="AG499" i="26"/>
  <c r="AH499" i="26"/>
  <c r="K500" i="26"/>
  <c r="L500" i="26"/>
  <c r="M500" i="26"/>
  <c r="N500" i="26"/>
  <c r="O500" i="26"/>
  <c r="P500" i="26"/>
  <c r="Q500" i="26"/>
  <c r="R500" i="26"/>
  <c r="S500" i="26"/>
  <c r="T500" i="26"/>
  <c r="U500" i="26"/>
  <c r="V500" i="26"/>
  <c r="W500" i="26"/>
  <c r="X500" i="26"/>
  <c r="Y500" i="26"/>
  <c r="Z500" i="26"/>
  <c r="AA500" i="26"/>
  <c r="AB500" i="26"/>
  <c r="AC500" i="26"/>
  <c r="AD500" i="26"/>
  <c r="AE500" i="26"/>
  <c r="AF500" i="26"/>
  <c r="AG500" i="26"/>
  <c r="AH500" i="26"/>
  <c r="K501" i="26"/>
  <c r="L501" i="26"/>
  <c r="M501" i="26"/>
  <c r="N501" i="26"/>
  <c r="O501" i="26"/>
  <c r="P501" i="26"/>
  <c r="Q501" i="26"/>
  <c r="R501" i="26"/>
  <c r="S501" i="26"/>
  <c r="T501" i="26"/>
  <c r="U501" i="26"/>
  <c r="V501" i="26"/>
  <c r="W501" i="26"/>
  <c r="X501" i="26"/>
  <c r="Y501" i="26"/>
  <c r="Z501" i="26"/>
  <c r="AA501" i="26"/>
  <c r="AB501" i="26"/>
  <c r="AC501" i="26"/>
  <c r="AD501" i="26"/>
  <c r="AE501" i="26"/>
  <c r="AF501" i="26"/>
  <c r="AG501" i="26"/>
  <c r="AH501" i="26"/>
  <c r="K502" i="26"/>
  <c r="L502" i="26"/>
  <c r="M502" i="26"/>
  <c r="N502" i="26"/>
  <c r="O502" i="26"/>
  <c r="P502" i="26"/>
  <c r="Q502" i="26"/>
  <c r="R502" i="26"/>
  <c r="S502" i="26"/>
  <c r="T502" i="26"/>
  <c r="U502" i="26"/>
  <c r="V502" i="26"/>
  <c r="W502" i="26"/>
  <c r="X502" i="26"/>
  <c r="Y502" i="26"/>
  <c r="Z502" i="26"/>
  <c r="AA502" i="26"/>
  <c r="AB502" i="26"/>
  <c r="AC502" i="26"/>
  <c r="AD502" i="26"/>
  <c r="AE502" i="26"/>
  <c r="AF502" i="26"/>
  <c r="AG502" i="26"/>
  <c r="AH502" i="26"/>
  <c r="K503" i="26"/>
  <c r="L503" i="26"/>
  <c r="M503" i="26"/>
  <c r="N503" i="26"/>
  <c r="O503" i="26"/>
  <c r="P503" i="26"/>
  <c r="Q503" i="26"/>
  <c r="R503" i="26"/>
  <c r="S503" i="26"/>
  <c r="T503" i="26"/>
  <c r="U503" i="26"/>
  <c r="V503" i="26"/>
  <c r="W503" i="26"/>
  <c r="X503" i="26"/>
  <c r="Y503" i="26"/>
  <c r="Z503" i="26"/>
  <c r="AA503" i="26"/>
  <c r="AB503" i="26"/>
  <c r="AC503" i="26"/>
  <c r="AD503" i="26"/>
  <c r="AE503" i="26"/>
  <c r="AF503" i="26"/>
  <c r="AG503" i="26"/>
  <c r="AH503" i="26"/>
  <c r="K504" i="26"/>
  <c r="L504" i="26"/>
  <c r="M504" i="26"/>
  <c r="N504" i="26"/>
  <c r="O504" i="26"/>
  <c r="P504" i="26"/>
  <c r="Q504" i="26"/>
  <c r="R504" i="26"/>
  <c r="S504" i="26"/>
  <c r="T504" i="26"/>
  <c r="U504" i="26"/>
  <c r="V504" i="26"/>
  <c r="W504" i="26"/>
  <c r="X504" i="26"/>
  <c r="Y504" i="26"/>
  <c r="Z504" i="26"/>
  <c r="AA504" i="26"/>
  <c r="AB504" i="26"/>
  <c r="AC504" i="26"/>
  <c r="AD504" i="26"/>
  <c r="AE504" i="26"/>
  <c r="AF504" i="26"/>
  <c r="AG504" i="26"/>
  <c r="AH504" i="26"/>
  <c r="K505" i="26"/>
  <c r="L505" i="26"/>
  <c r="M505" i="26"/>
  <c r="N505" i="26"/>
  <c r="O505" i="26"/>
  <c r="P505" i="26"/>
  <c r="Q505" i="26"/>
  <c r="R505" i="26"/>
  <c r="S505" i="26"/>
  <c r="T505" i="26"/>
  <c r="U505" i="26"/>
  <c r="V505" i="26"/>
  <c r="W505" i="26"/>
  <c r="X505" i="26"/>
  <c r="Y505" i="26"/>
  <c r="Z505" i="26"/>
  <c r="AA505" i="26"/>
  <c r="AB505" i="26"/>
  <c r="AC505" i="26"/>
  <c r="AD505" i="26"/>
  <c r="AE505" i="26"/>
  <c r="AF505" i="26"/>
  <c r="AG505" i="26"/>
  <c r="AH505" i="26"/>
  <c r="K506" i="26"/>
  <c r="L506" i="26"/>
  <c r="M506" i="26"/>
  <c r="N506" i="26"/>
  <c r="O506" i="26"/>
  <c r="P506" i="26"/>
  <c r="Q506" i="26"/>
  <c r="R506" i="26"/>
  <c r="S506" i="26"/>
  <c r="T506" i="26"/>
  <c r="U506" i="26"/>
  <c r="V506" i="26"/>
  <c r="W506" i="26"/>
  <c r="X506" i="26"/>
  <c r="Y506" i="26"/>
  <c r="Z506" i="26"/>
  <c r="AA506" i="26"/>
  <c r="AB506" i="26"/>
  <c r="AC506" i="26"/>
  <c r="AD506" i="26"/>
  <c r="AE506" i="26"/>
  <c r="AF506" i="26"/>
  <c r="AG506" i="26"/>
  <c r="AH506" i="26"/>
  <c r="K507" i="26"/>
  <c r="L507" i="26"/>
  <c r="M507" i="26"/>
  <c r="N507" i="26"/>
  <c r="O507" i="26"/>
  <c r="P507" i="26"/>
  <c r="Q507" i="26"/>
  <c r="R507" i="26"/>
  <c r="S507" i="26"/>
  <c r="T507" i="26"/>
  <c r="U507" i="26"/>
  <c r="V507" i="26"/>
  <c r="W507" i="26"/>
  <c r="X507" i="26"/>
  <c r="Y507" i="26"/>
  <c r="Z507" i="26"/>
  <c r="AA507" i="26"/>
  <c r="AB507" i="26"/>
  <c r="AC507" i="26"/>
  <c r="AD507" i="26"/>
  <c r="AE507" i="26"/>
  <c r="AF507" i="26"/>
  <c r="AG507" i="26"/>
  <c r="AH507" i="26"/>
  <c r="K508" i="26"/>
  <c r="L508" i="26"/>
  <c r="M508" i="26"/>
  <c r="N508" i="26"/>
  <c r="O508" i="26"/>
  <c r="P508" i="26"/>
  <c r="Q508" i="26"/>
  <c r="R508" i="26"/>
  <c r="S508" i="26"/>
  <c r="T508" i="26"/>
  <c r="U508" i="26"/>
  <c r="V508" i="26"/>
  <c r="W508" i="26"/>
  <c r="X508" i="26"/>
  <c r="Y508" i="26"/>
  <c r="Z508" i="26"/>
  <c r="AA508" i="26"/>
  <c r="AB508" i="26"/>
  <c r="AC508" i="26"/>
  <c r="AD508" i="26"/>
  <c r="AE508" i="26"/>
  <c r="AF508" i="26"/>
  <c r="AG508" i="26"/>
  <c r="AH508" i="26"/>
  <c r="K509" i="26"/>
  <c r="L509" i="26"/>
  <c r="M509" i="26"/>
  <c r="N509" i="26"/>
  <c r="O509" i="26"/>
  <c r="P509" i="26"/>
  <c r="Q509" i="26"/>
  <c r="R509" i="26"/>
  <c r="S509" i="26"/>
  <c r="T509" i="26"/>
  <c r="U509" i="26"/>
  <c r="V509" i="26"/>
  <c r="W509" i="26"/>
  <c r="X509" i="26"/>
  <c r="Y509" i="26"/>
  <c r="Z509" i="26"/>
  <c r="AA509" i="26"/>
  <c r="AB509" i="26"/>
  <c r="AC509" i="26"/>
  <c r="AD509" i="26"/>
  <c r="AE509" i="26"/>
  <c r="AF509" i="26"/>
  <c r="AG509" i="26"/>
  <c r="AH509" i="26"/>
  <c r="K510" i="26"/>
  <c r="L510" i="26"/>
  <c r="M510" i="26"/>
  <c r="N510" i="26"/>
  <c r="O510" i="26"/>
  <c r="P510" i="26"/>
  <c r="Q510" i="26"/>
  <c r="R510" i="26"/>
  <c r="S510" i="26"/>
  <c r="T510" i="26"/>
  <c r="U510" i="26"/>
  <c r="V510" i="26"/>
  <c r="W510" i="26"/>
  <c r="X510" i="26"/>
  <c r="Y510" i="26"/>
  <c r="Z510" i="26"/>
  <c r="AA510" i="26"/>
  <c r="AB510" i="26"/>
  <c r="AC510" i="26"/>
  <c r="AD510" i="26"/>
  <c r="AE510" i="26"/>
  <c r="AF510" i="26"/>
  <c r="AG510" i="26"/>
  <c r="AH510" i="26"/>
  <c r="K511" i="26"/>
  <c r="L511" i="26"/>
  <c r="M511" i="26"/>
  <c r="N511" i="26"/>
  <c r="O511" i="26"/>
  <c r="P511" i="26"/>
  <c r="Q511" i="26"/>
  <c r="R511" i="26"/>
  <c r="S511" i="26"/>
  <c r="T511" i="26"/>
  <c r="U511" i="26"/>
  <c r="V511" i="26"/>
  <c r="W511" i="26"/>
  <c r="X511" i="26"/>
  <c r="Y511" i="26"/>
  <c r="Z511" i="26"/>
  <c r="AA511" i="26"/>
  <c r="AB511" i="26"/>
  <c r="AC511" i="26"/>
  <c r="AD511" i="26"/>
  <c r="AE511" i="26"/>
  <c r="AF511" i="26"/>
  <c r="AG511" i="26"/>
  <c r="AH511" i="26"/>
  <c r="K512" i="26"/>
  <c r="L512" i="26"/>
  <c r="M512" i="26"/>
  <c r="N512" i="26"/>
  <c r="O512" i="26"/>
  <c r="P512" i="26"/>
  <c r="Q512" i="26"/>
  <c r="R512" i="26"/>
  <c r="S512" i="26"/>
  <c r="T512" i="26"/>
  <c r="U512" i="26"/>
  <c r="V512" i="26"/>
  <c r="W512" i="26"/>
  <c r="X512" i="26"/>
  <c r="Y512" i="26"/>
  <c r="Z512" i="26"/>
  <c r="AA512" i="26"/>
  <c r="AB512" i="26"/>
  <c r="AC512" i="26"/>
  <c r="AD512" i="26"/>
  <c r="AE512" i="26"/>
  <c r="AF512" i="26"/>
  <c r="AG512" i="26"/>
  <c r="AH512" i="26"/>
  <c r="K513" i="26"/>
  <c r="L513" i="26"/>
  <c r="M513" i="26"/>
  <c r="N513" i="26"/>
  <c r="O513" i="26"/>
  <c r="P513" i="26"/>
  <c r="Q513" i="26"/>
  <c r="R513" i="26"/>
  <c r="S513" i="26"/>
  <c r="T513" i="26"/>
  <c r="U513" i="26"/>
  <c r="V513" i="26"/>
  <c r="W513" i="26"/>
  <c r="X513" i="26"/>
  <c r="Y513" i="26"/>
  <c r="Z513" i="26"/>
  <c r="AA513" i="26"/>
  <c r="AB513" i="26"/>
  <c r="AC513" i="26"/>
  <c r="AD513" i="26"/>
  <c r="AE513" i="26"/>
  <c r="AF513" i="26"/>
  <c r="AG513" i="26"/>
  <c r="AH513" i="26"/>
  <c r="K514" i="26"/>
  <c r="L514" i="26"/>
  <c r="M514" i="26"/>
  <c r="N514" i="26"/>
  <c r="O514" i="26"/>
  <c r="P514" i="26"/>
  <c r="Q514" i="26"/>
  <c r="R514" i="26"/>
  <c r="S514" i="26"/>
  <c r="T514" i="26"/>
  <c r="U514" i="26"/>
  <c r="V514" i="26"/>
  <c r="W514" i="26"/>
  <c r="X514" i="26"/>
  <c r="Y514" i="26"/>
  <c r="Z514" i="26"/>
  <c r="AA514" i="26"/>
  <c r="AB514" i="26"/>
  <c r="AC514" i="26"/>
  <c r="AD514" i="26"/>
  <c r="AE514" i="26"/>
  <c r="AF514" i="26"/>
  <c r="AG514" i="26"/>
  <c r="AH514" i="26"/>
  <c r="K515" i="26"/>
  <c r="L515" i="26"/>
  <c r="M515" i="26"/>
  <c r="N515" i="26"/>
  <c r="O515" i="26"/>
  <c r="P515" i="26"/>
  <c r="Q515" i="26"/>
  <c r="R515" i="26"/>
  <c r="S515" i="26"/>
  <c r="T515" i="26"/>
  <c r="U515" i="26"/>
  <c r="V515" i="26"/>
  <c r="W515" i="26"/>
  <c r="X515" i="26"/>
  <c r="Y515" i="26"/>
  <c r="Z515" i="26"/>
  <c r="AA515" i="26"/>
  <c r="AB515" i="26"/>
  <c r="AC515" i="26"/>
  <c r="AD515" i="26"/>
  <c r="AE515" i="26"/>
  <c r="AF515" i="26"/>
  <c r="AG515" i="26"/>
  <c r="AH515" i="26"/>
  <c r="K516" i="26"/>
  <c r="L516" i="26"/>
  <c r="M516" i="26"/>
  <c r="N516" i="26"/>
  <c r="O516" i="26"/>
  <c r="P516" i="26"/>
  <c r="Q516" i="26"/>
  <c r="R516" i="26"/>
  <c r="S516" i="26"/>
  <c r="T516" i="26"/>
  <c r="U516" i="26"/>
  <c r="V516" i="26"/>
  <c r="W516" i="26"/>
  <c r="X516" i="26"/>
  <c r="Y516" i="26"/>
  <c r="Z516" i="26"/>
  <c r="AA516" i="26"/>
  <c r="AB516" i="26"/>
  <c r="AC516" i="26"/>
  <c r="AD516" i="26"/>
  <c r="AE516" i="26"/>
  <c r="AF516" i="26"/>
  <c r="AG516" i="26"/>
  <c r="AH516" i="26"/>
  <c r="K517" i="26"/>
  <c r="L517" i="26"/>
  <c r="M517" i="26"/>
  <c r="N517" i="26"/>
  <c r="O517" i="26"/>
  <c r="P517" i="26"/>
  <c r="Q517" i="26"/>
  <c r="R517" i="26"/>
  <c r="S517" i="26"/>
  <c r="T517" i="26"/>
  <c r="U517" i="26"/>
  <c r="V517" i="26"/>
  <c r="W517" i="26"/>
  <c r="X517" i="26"/>
  <c r="Y517" i="26"/>
  <c r="Z517" i="26"/>
  <c r="AA517" i="26"/>
  <c r="AB517" i="26"/>
  <c r="AC517" i="26"/>
  <c r="AD517" i="26"/>
  <c r="AE517" i="26"/>
  <c r="AF517" i="26"/>
  <c r="AG517" i="26"/>
  <c r="AH517" i="26"/>
  <c r="K518" i="26"/>
  <c r="L518" i="26"/>
  <c r="M518" i="26"/>
  <c r="N518" i="26"/>
  <c r="O518" i="26"/>
  <c r="P518" i="26"/>
  <c r="Q518" i="26"/>
  <c r="R518" i="26"/>
  <c r="S518" i="26"/>
  <c r="T518" i="26"/>
  <c r="U518" i="26"/>
  <c r="V518" i="26"/>
  <c r="W518" i="26"/>
  <c r="X518" i="26"/>
  <c r="Y518" i="26"/>
  <c r="Z518" i="26"/>
  <c r="AA518" i="26"/>
  <c r="AB518" i="26"/>
  <c r="AC518" i="26"/>
  <c r="AD518" i="26"/>
  <c r="AE518" i="26"/>
  <c r="AF518" i="26"/>
  <c r="AG518" i="26"/>
  <c r="AH518" i="26"/>
  <c r="K519" i="26"/>
  <c r="L519" i="26"/>
  <c r="M519" i="26"/>
  <c r="N519" i="26"/>
  <c r="O519" i="26"/>
  <c r="P519" i="26"/>
  <c r="Q519" i="26"/>
  <c r="R519" i="26"/>
  <c r="S519" i="26"/>
  <c r="T519" i="26"/>
  <c r="U519" i="26"/>
  <c r="V519" i="26"/>
  <c r="W519" i="26"/>
  <c r="X519" i="26"/>
  <c r="Y519" i="26"/>
  <c r="Z519" i="26"/>
  <c r="AA519" i="26"/>
  <c r="AB519" i="26"/>
  <c r="AC519" i="26"/>
  <c r="AD519" i="26"/>
  <c r="AE519" i="26"/>
  <c r="AF519" i="26"/>
  <c r="AG519" i="26"/>
  <c r="AH519" i="26"/>
  <c r="K520" i="26"/>
  <c r="L520" i="26"/>
  <c r="M520" i="26"/>
  <c r="N520" i="26"/>
  <c r="O520" i="26"/>
  <c r="P520" i="26"/>
  <c r="Q520" i="26"/>
  <c r="R520" i="26"/>
  <c r="S520" i="26"/>
  <c r="T520" i="26"/>
  <c r="U520" i="26"/>
  <c r="V520" i="26"/>
  <c r="W520" i="26"/>
  <c r="X520" i="26"/>
  <c r="Y520" i="26"/>
  <c r="Z520" i="26"/>
  <c r="AA520" i="26"/>
  <c r="AB520" i="26"/>
  <c r="AC520" i="26"/>
  <c r="AD520" i="26"/>
  <c r="AE520" i="26"/>
  <c r="AF520" i="26"/>
  <c r="AG520" i="26"/>
  <c r="AH520" i="26"/>
  <c r="K521" i="26"/>
  <c r="L521" i="26"/>
  <c r="M521" i="26"/>
  <c r="N521" i="26"/>
  <c r="O521" i="26"/>
  <c r="P521" i="26"/>
  <c r="Q521" i="26"/>
  <c r="R521" i="26"/>
  <c r="S521" i="26"/>
  <c r="T521" i="26"/>
  <c r="U521" i="26"/>
  <c r="V521" i="26"/>
  <c r="W521" i="26"/>
  <c r="X521" i="26"/>
  <c r="Y521" i="26"/>
  <c r="Z521" i="26"/>
  <c r="AA521" i="26"/>
  <c r="AB521" i="26"/>
  <c r="AC521" i="26"/>
  <c r="AD521" i="26"/>
  <c r="AE521" i="26"/>
  <c r="AF521" i="26"/>
  <c r="AG521" i="26"/>
  <c r="AH521" i="26"/>
  <c r="K522" i="26"/>
  <c r="L522" i="26"/>
  <c r="M522" i="26"/>
  <c r="N522" i="26"/>
  <c r="O522" i="26"/>
  <c r="P522" i="26"/>
  <c r="Q522" i="26"/>
  <c r="R522" i="26"/>
  <c r="S522" i="26"/>
  <c r="T522" i="26"/>
  <c r="U522" i="26"/>
  <c r="V522" i="26"/>
  <c r="W522" i="26"/>
  <c r="X522" i="26"/>
  <c r="Y522" i="26"/>
  <c r="Z522" i="26"/>
  <c r="AA522" i="26"/>
  <c r="AB522" i="26"/>
  <c r="AC522" i="26"/>
  <c r="AD522" i="26"/>
  <c r="AE522" i="26"/>
  <c r="AF522" i="26"/>
  <c r="AG522" i="26"/>
  <c r="AH522" i="26"/>
  <c r="K523" i="26"/>
  <c r="L523" i="26"/>
  <c r="M523" i="26"/>
  <c r="N523" i="26"/>
  <c r="O523" i="26"/>
  <c r="P523" i="26"/>
  <c r="Q523" i="26"/>
  <c r="R523" i="26"/>
  <c r="S523" i="26"/>
  <c r="T523" i="26"/>
  <c r="U523" i="26"/>
  <c r="V523" i="26"/>
  <c r="W523" i="26"/>
  <c r="X523" i="26"/>
  <c r="Y523" i="26"/>
  <c r="Z523" i="26"/>
  <c r="AA523" i="26"/>
  <c r="AB523" i="26"/>
  <c r="AC523" i="26"/>
  <c r="AD523" i="26"/>
  <c r="AE523" i="26"/>
  <c r="AF523" i="26"/>
  <c r="AG523" i="26"/>
  <c r="AH523" i="26"/>
  <c r="K524" i="26"/>
  <c r="L524" i="26"/>
  <c r="M524" i="26"/>
  <c r="N524" i="26"/>
  <c r="O524" i="26"/>
  <c r="P524" i="26"/>
  <c r="Q524" i="26"/>
  <c r="R524" i="26"/>
  <c r="S524" i="26"/>
  <c r="T524" i="26"/>
  <c r="U524" i="26"/>
  <c r="V524" i="26"/>
  <c r="W524" i="26"/>
  <c r="X524" i="26"/>
  <c r="Y524" i="26"/>
  <c r="Z524" i="26"/>
  <c r="AA524" i="26"/>
  <c r="AB524" i="26"/>
  <c r="AC524" i="26"/>
  <c r="AD524" i="26"/>
  <c r="AE524" i="26"/>
  <c r="AF524" i="26"/>
  <c r="AG524" i="26"/>
  <c r="AH524" i="26"/>
  <c r="K525" i="26"/>
  <c r="L525" i="26"/>
  <c r="M525" i="26"/>
  <c r="N525" i="26"/>
  <c r="O525" i="26"/>
  <c r="P525" i="26"/>
  <c r="Q525" i="26"/>
  <c r="R525" i="26"/>
  <c r="S525" i="26"/>
  <c r="T525" i="26"/>
  <c r="U525" i="26"/>
  <c r="V525" i="26"/>
  <c r="W525" i="26"/>
  <c r="X525" i="26"/>
  <c r="Y525" i="26"/>
  <c r="Z525" i="26"/>
  <c r="AA525" i="26"/>
  <c r="AB525" i="26"/>
  <c r="AC525" i="26"/>
  <c r="AD525" i="26"/>
  <c r="AE525" i="26"/>
  <c r="AF525" i="26"/>
  <c r="AG525" i="26"/>
  <c r="AH525" i="26"/>
  <c r="K526" i="26"/>
  <c r="L526" i="26"/>
  <c r="M526" i="26"/>
  <c r="N526" i="26"/>
  <c r="O526" i="26"/>
  <c r="P526" i="26"/>
  <c r="Q526" i="26"/>
  <c r="R526" i="26"/>
  <c r="S526" i="26"/>
  <c r="T526" i="26"/>
  <c r="U526" i="26"/>
  <c r="V526" i="26"/>
  <c r="W526" i="26"/>
  <c r="X526" i="26"/>
  <c r="Y526" i="26"/>
  <c r="Z526" i="26"/>
  <c r="AA526" i="26"/>
  <c r="AB526" i="26"/>
  <c r="AC526" i="26"/>
  <c r="AD526" i="26"/>
  <c r="AE526" i="26"/>
  <c r="AF526" i="26"/>
  <c r="AG526" i="26"/>
  <c r="AH526" i="26"/>
  <c r="K527" i="26"/>
  <c r="L527" i="26"/>
  <c r="M527" i="26"/>
  <c r="N527" i="26"/>
  <c r="O527" i="26"/>
  <c r="P527" i="26"/>
  <c r="Q527" i="26"/>
  <c r="R527" i="26"/>
  <c r="S527" i="26"/>
  <c r="T527" i="26"/>
  <c r="U527" i="26"/>
  <c r="V527" i="26"/>
  <c r="W527" i="26"/>
  <c r="X527" i="26"/>
  <c r="Y527" i="26"/>
  <c r="Z527" i="26"/>
  <c r="AA527" i="26"/>
  <c r="AB527" i="26"/>
  <c r="AC527" i="26"/>
  <c r="AD527" i="26"/>
  <c r="AE527" i="26"/>
  <c r="AF527" i="26"/>
  <c r="AG527" i="26"/>
  <c r="AH527" i="26"/>
  <c r="K528" i="26"/>
  <c r="L528" i="26"/>
  <c r="M528" i="26"/>
  <c r="N528" i="26"/>
  <c r="O528" i="26"/>
  <c r="P528" i="26"/>
  <c r="Q528" i="26"/>
  <c r="R528" i="26"/>
  <c r="S528" i="26"/>
  <c r="T528" i="26"/>
  <c r="U528" i="26"/>
  <c r="V528" i="26"/>
  <c r="W528" i="26"/>
  <c r="X528" i="26"/>
  <c r="Y528" i="26"/>
  <c r="Z528" i="26"/>
  <c r="AA528" i="26"/>
  <c r="AB528" i="26"/>
  <c r="AC528" i="26"/>
  <c r="AD528" i="26"/>
  <c r="AE528" i="26"/>
  <c r="AF528" i="26"/>
  <c r="AG528" i="26"/>
  <c r="AH528" i="26"/>
  <c r="K529" i="26"/>
  <c r="L529" i="26"/>
  <c r="M529" i="26"/>
  <c r="N529" i="26"/>
  <c r="O529" i="26"/>
  <c r="P529" i="26"/>
  <c r="Q529" i="26"/>
  <c r="R529" i="26"/>
  <c r="S529" i="26"/>
  <c r="T529" i="26"/>
  <c r="U529" i="26"/>
  <c r="V529" i="26"/>
  <c r="W529" i="26"/>
  <c r="X529" i="26"/>
  <c r="Y529" i="26"/>
  <c r="Z529" i="26"/>
  <c r="AA529" i="26"/>
  <c r="AB529" i="26"/>
  <c r="AC529" i="26"/>
  <c r="AD529" i="26"/>
  <c r="AE529" i="26"/>
  <c r="AF529" i="26"/>
  <c r="AG529" i="26"/>
  <c r="AH529" i="26"/>
  <c r="K530" i="26"/>
  <c r="L530" i="26"/>
  <c r="M530" i="26"/>
  <c r="N530" i="26"/>
  <c r="O530" i="26"/>
  <c r="P530" i="26"/>
  <c r="Q530" i="26"/>
  <c r="R530" i="26"/>
  <c r="S530" i="26"/>
  <c r="T530" i="26"/>
  <c r="U530" i="26"/>
  <c r="V530" i="26"/>
  <c r="W530" i="26"/>
  <c r="X530" i="26"/>
  <c r="Y530" i="26"/>
  <c r="Z530" i="26"/>
  <c r="AA530" i="26"/>
  <c r="AB530" i="26"/>
  <c r="AC530" i="26"/>
  <c r="AD530" i="26"/>
  <c r="AE530" i="26"/>
  <c r="AF530" i="26"/>
  <c r="AG530" i="26"/>
  <c r="AH530" i="26"/>
  <c r="K531" i="26"/>
  <c r="L531" i="26"/>
  <c r="M531" i="26"/>
  <c r="N531" i="26"/>
  <c r="O531" i="26"/>
  <c r="P531" i="26"/>
  <c r="Q531" i="26"/>
  <c r="R531" i="26"/>
  <c r="S531" i="26"/>
  <c r="T531" i="26"/>
  <c r="U531" i="26"/>
  <c r="V531" i="26"/>
  <c r="W531" i="26"/>
  <c r="X531" i="26"/>
  <c r="Y531" i="26"/>
  <c r="Z531" i="26"/>
  <c r="AA531" i="26"/>
  <c r="AB531" i="26"/>
  <c r="AC531" i="26"/>
  <c r="AD531" i="26"/>
  <c r="AE531" i="26"/>
  <c r="AF531" i="26"/>
  <c r="AG531" i="26"/>
  <c r="AH531" i="26"/>
  <c r="K532" i="26"/>
  <c r="L532" i="26"/>
  <c r="M532" i="26"/>
  <c r="N532" i="26"/>
  <c r="O532" i="26"/>
  <c r="P532" i="26"/>
  <c r="Q532" i="26"/>
  <c r="R532" i="26"/>
  <c r="S532" i="26"/>
  <c r="T532" i="26"/>
  <c r="U532" i="26"/>
  <c r="V532" i="26"/>
  <c r="W532" i="26"/>
  <c r="X532" i="26"/>
  <c r="Y532" i="26"/>
  <c r="Z532" i="26"/>
  <c r="AA532" i="26"/>
  <c r="AB532" i="26"/>
  <c r="AC532" i="26"/>
  <c r="AD532" i="26"/>
  <c r="AE532" i="26"/>
  <c r="AF532" i="26"/>
  <c r="AG532" i="26"/>
  <c r="AH532" i="26"/>
  <c r="K533" i="26"/>
  <c r="L533" i="26"/>
  <c r="M533" i="26"/>
  <c r="N533" i="26"/>
  <c r="O533" i="26"/>
  <c r="P533" i="26"/>
  <c r="Q533" i="26"/>
  <c r="R533" i="26"/>
  <c r="S533" i="26"/>
  <c r="T533" i="26"/>
  <c r="U533" i="26"/>
  <c r="V533" i="26"/>
  <c r="W533" i="26"/>
  <c r="X533" i="26"/>
  <c r="Y533" i="26"/>
  <c r="Z533" i="26"/>
  <c r="AA533" i="26"/>
  <c r="AB533" i="26"/>
  <c r="AC533" i="26"/>
  <c r="AD533" i="26"/>
  <c r="AE533" i="26"/>
  <c r="AF533" i="26"/>
  <c r="AG533" i="26"/>
  <c r="AH533" i="26"/>
  <c r="K534" i="26"/>
  <c r="L534" i="26"/>
  <c r="M534" i="26"/>
  <c r="N534" i="26"/>
  <c r="O534" i="26"/>
  <c r="P534" i="26"/>
  <c r="Q534" i="26"/>
  <c r="R534" i="26"/>
  <c r="S534" i="26"/>
  <c r="T534" i="26"/>
  <c r="U534" i="26"/>
  <c r="V534" i="26"/>
  <c r="W534" i="26"/>
  <c r="X534" i="26"/>
  <c r="Y534" i="26"/>
  <c r="Z534" i="26"/>
  <c r="AA534" i="26"/>
  <c r="AB534" i="26"/>
  <c r="AC534" i="26"/>
  <c r="AD534" i="26"/>
  <c r="AE534" i="26"/>
  <c r="AF534" i="26"/>
  <c r="AG534" i="26"/>
  <c r="AH534" i="26"/>
  <c r="K535" i="26"/>
  <c r="L535" i="26"/>
  <c r="M535" i="26"/>
  <c r="N535" i="26"/>
  <c r="O535" i="26"/>
  <c r="P535" i="26"/>
  <c r="Q535" i="26"/>
  <c r="R535" i="26"/>
  <c r="S535" i="26"/>
  <c r="T535" i="26"/>
  <c r="U535" i="26"/>
  <c r="V535" i="26"/>
  <c r="W535" i="26"/>
  <c r="X535" i="26"/>
  <c r="Y535" i="26"/>
  <c r="Z535" i="26"/>
  <c r="AA535" i="26"/>
  <c r="AB535" i="26"/>
  <c r="AC535" i="26"/>
  <c r="AD535" i="26"/>
  <c r="AE535" i="26"/>
  <c r="AF535" i="26"/>
  <c r="AG535" i="26"/>
  <c r="AH535" i="26"/>
  <c r="K536" i="26"/>
  <c r="L536" i="26"/>
  <c r="M536" i="26"/>
  <c r="N536" i="26"/>
  <c r="O536" i="26"/>
  <c r="P536" i="26"/>
  <c r="Q536" i="26"/>
  <c r="R536" i="26"/>
  <c r="S536" i="26"/>
  <c r="T536" i="26"/>
  <c r="U536" i="26"/>
  <c r="V536" i="26"/>
  <c r="W536" i="26"/>
  <c r="X536" i="26"/>
  <c r="Y536" i="26"/>
  <c r="Z536" i="26"/>
  <c r="AA536" i="26"/>
  <c r="AB536" i="26"/>
  <c r="AC536" i="26"/>
  <c r="AD536" i="26"/>
  <c r="AE536" i="26"/>
  <c r="AF536" i="26"/>
  <c r="AG536" i="26"/>
  <c r="AH536" i="26"/>
  <c r="K537" i="26"/>
  <c r="L537" i="26"/>
  <c r="M537" i="26"/>
  <c r="N537" i="26"/>
  <c r="O537" i="26"/>
  <c r="P537" i="26"/>
  <c r="Q537" i="26"/>
  <c r="R537" i="26"/>
  <c r="S537" i="26"/>
  <c r="T537" i="26"/>
  <c r="U537" i="26"/>
  <c r="V537" i="26"/>
  <c r="W537" i="26"/>
  <c r="X537" i="26"/>
  <c r="Y537" i="26"/>
  <c r="Z537" i="26"/>
  <c r="AA537" i="26"/>
  <c r="AB537" i="26"/>
  <c r="AC537" i="26"/>
  <c r="AD537" i="26"/>
  <c r="AE537" i="26"/>
  <c r="AF537" i="26"/>
  <c r="AG537" i="26"/>
  <c r="AH537" i="26"/>
  <c r="K538" i="26"/>
  <c r="L538" i="26"/>
  <c r="M538" i="26"/>
  <c r="N538" i="26"/>
  <c r="O538" i="26"/>
  <c r="P538" i="26"/>
  <c r="Q538" i="26"/>
  <c r="R538" i="26"/>
  <c r="S538" i="26"/>
  <c r="T538" i="26"/>
  <c r="U538" i="26"/>
  <c r="V538" i="26"/>
  <c r="W538" i="26"/>
  <c r="X538" i="26"/>
  <c r="Y538" i="26"/>
  <c r="Z538" i="26"/>
  <c r="AA538" i="26"/>
  <c r="AB538" i="26"/>
  <c r="AC538" i="26"/>
  <c r="AD538" i="26"/>
  <c r="AE538" i="26"/>
  <c r="AF538" i="26"/>
  <c r="AG538" i="26"/>
  <c r="AH538" i="26"/>
  <c r="K539" i="26"/>
  <c r="L539" i="26"/>
  <c r="M539" i="26"/>
  <c r="N539" i="26"/>
  <c r="O539" i="26"/>
  <c r="P539" i="26"/>
  <c r="Q539" i="26"/>
  <c r="R539" i="26"/>
  <c r="S539" i="26"/>
  <c r="T539" i="26"/>
  <c r="U539" i="26"/>
  <c r="V539" i="26"/>
  <c r="W539" i="26"/>
  <c r="X539" i="26"/>
  <c r="Y539" i="26"/>
  <c r="Z539" i="26"/>
  <c r="AA539" i="26"/>
  <c r="AB539" i="26"/>
  <c r="AC539" i="26"/>
  <c r="AD539" i="26"/>
  <c r="AE539" i="26"/>
  <c r="AF539" i="26"/>
  <c r="AG539" i="26"/>
  <c r="AH539" i="26"/>
  <c r="K540" i="26"/>
  <c r="L540" i="26"/>
  <c r="M540" i="26"/>
  <c r="N540" i="26"/>
  <c r="O540" i="26"/>
  <c r="P540" i="26"/>
  <c r="Q540" i="26"/>
  <c r="R540" i="26"/>
  <c r="S540" i="26"/>
  <c r="T540" i="26"/>
  <c r="U540" i="26"/>
  <c r="V540" i="26"/>
  <c r="W540" i="26"/>
  <c r="X540" i="26"/>
  <c r="Y540" i="26"/>
  <c r="Z540" i="26"/>
  <c r="AA540" i="26"/>
  <c r="AB540" i="26"/>
  <c r="AC540" i="26"/>
  <c r="AD540" i="26"/>
  <c r="AE540" i="26"/>
  <c r="AF540" i="26"/>
  <c r="AG540" i="26"/>
  <c r="AH540" i="26"/>
  <c r="K541" i="26"/>
  <c r="L541" i="26"/>
  <c r="M541" i="26"/>
  <c r="N541" i="26"/>
  <c r="O541" i="26"/>
  <c r="P541" i="26"/>
  <c r="Q541" i="26"/>
  <c r="R541" i="26"/>
  <c r="S541" i="26"/>
  <c r="T541" i="26"/>
  <c r="U541" i="26"/>
  <c r="V541" i="26"/>
  <c r="W541" i="26"/>
  <c r="X541" i="26"/>
  <c r="Y541" i="26"/>
  <c r="Z541" i="26"/>
  <c r="AA541" i="26"/>
  <c r="AB541" i="26"/>
  <c r="AC541" i="26"/>
  <c r="AD541" i="26"/>
  <c r="AE541" i="26"/>
  <c r="AF541" i="26"/>
  <c r="AG541" i="26"/>
  <c r="AH541" i="26"/>
  <c r="K542" i="26"/>
  <c r="L542" i="26"/>
  <c r="M542" i="26"/>
  <c r="N542" i="26"/>
  <c r="O542" i="26"/>
  <c r="P542" i="26"/>
  <c r="Q542" i="26"/>
  <c r="R542" i="26"/>
  <c r="S542" i="26"/>
  <c r="T542" i="26"/>
  <c r="U542" i="26"/>
  <c r="V542" i="26"/>
  <c r="W542" i="26"/>
  <c r="X542" i="26"/>
  <c r="Y542" i="26"/>
  <c r="Z542" i="26"/>
  <c r="AA542" i="26"/>
  <c r="AB542" i="26"/>
  <c r="AC542" i="26"/>
  <c r="AD542" i="26"/>
  <c r="AE542" i="26"/>
  <c r="AF542" i="26"/>
  <c r="AG542" i="26"/>
  <c r="AH542" i="26"/>
  <c r="K543" i="26"/>
  <c r="L543" i="26"/>
  <c r="M543" i="26"/>
  <c r="N543" i="26"/>
  <c r="O543" i="26"/>
  <c r="P543" i="26"/>
  <c r="Q543" i="26"/>
  <c r="R543" i="26"/>
  <c r="S543" i="26"/>
  <c r="T543" i="26"/>
  <c r="U543" i="26"/>
  <c r="V543" i="26"/>
  <c r="W543" i="26"/>
  <c r="X543" i="26"/>
  <c r="Y543" i="26"/>
  <c r="Z543" i="26"/>
  <c r="AA543" i="26"/>
  <c r="AB543" i="26"/>
  <c r="AC543" i="26"/>
  <c r="AD543" i="26"/>
  <c r="AE543" i="26"/>
  <c r="AF543" i="26"/>
  <c r="AG543" i="26"/>
  <c r="AH543" i="26"/>
  <c r="K544" i="26"/>
  <c r="L544" i="26"/>
  <c r="M544" i="26"/>
  <c r="N544" i="26"/>
  <c r="O544" i="26"/>
  <c r="P544" i="26"/>
  <c r="Q544" i="26"/>
  <c r="R544" i="26"/>
  <c r="S544" i="26"/>
  <c r="T544" i="26"/>
  <c r="U544" i="26"/>
  <c r="V544" i="26"/>
  <c r="W544" i="26"/>
  <c r="X544" i="26"/>
  <c r="Y544" i="26"/>
  <c r="Z544" i="26"/>
  <c r="AA544" i="26"/>
  <c r="AB544" i="26"/>
  <c r="AC544" i="26"/>
  <c r="AD544" i="26"/>
  <c r="AE544" i="26"/>
  <c r="AF544" i="26"/>
  <c r="AG544" i="26"/>
  <c r="AH544" i="26"/>
  <c r="K545" i="26"/>
  <c r="L545" i="26"/>
  <c r="M545" i="26"/>
  <c r="N545" i="26"/>
  <c r="O545" i="26"/>
  <c r="P545" i="26"/>
  <c r="Q545" i="26"/>
  <c r="R545" i="26"/>
  <c r="S545" i="26"/>
  <c r="T545" i="26"/>
  <c r="U545" i="26"/>
  <c r="V545" i="26"/>
  <c r="W545" i="26"/>
  <c r="X545" i="26"/>
  <c r="Y545" i="26"/>
  <c r="Z545" i="26"/>
  <c r="AA545" i="26"/>
  <c r="AB545" i="26"/>
  <c r="AC545" i="26"/>
  <c r="AD545" i="26"/>
  <c r="AE545" i="26"/>
  <c r="AF545" i="26"/>
  <c r="AG545" i="26"/>
  <c r="AH545" i="26"/>
  <c r="K546" i="26"/>
  <c r="L546" i="26"/>
  <c r="M546" i="26"/>
  <c r="N546" i="26"/>
  <c r="O546" i="26"/>
  <c r="P546" i="26"/>
  <c r="Q546" i="26"/>
  <c r="R546" i="26"/>
  <c r="S546" i="26"/>
  <c r="T546" i="26"/>
  <c r="U546" i="26"/>
  <c r="V546" i="26"/>
  <c r="W546" i="26"/>
  <c r="X546" i="26"/>
  <c r="Y546" i="26"/>
  <c r="Z546" i="26"/>
  <c r="AA546" i="26"/>
  <c r="AB546" i="26"/>
  <c r="AC546" i="26"/>
  <c r="AD546" i="26"/>
  <c r="AE546" i="26"/>
  <c r="AF546" i="26"/>
  <c r="AG546" i="26"/>
  <c r="AH546" i="26"/>
  <c r="K547" i="26"/>
  <c r="L547" i="26"/>
  <c r="M547" i="26"/>
  <c r="N547" i="26"/>
  <c r="O547" i="26"/>
  <c r="P547" i="26"/>
  <c r="Q547" i="26"/>
  <c r="R547" i="26"/>
  <c r="S547" i="26"/>
  <c r="T547" i="26"/>
  <c r="U547" i="26"/>
  <c r="V547" i="26"/>
  <c r="W547" i="26"/>
  <c r="X547" i="26"/>
  <c r="Y547" i="26"/>
  <c r="Z547" i="26"/>
  <c r="AA547" i="26"/>
  <c r="AB547" i="26"/>
  <c r="AC547" i="26"/>
  <c r="AD547" i="26"/>
  <c r="AE547" i="26"/>
  <c r="AF547" i="26"/>
  <c r="AG547" i="26"/>
  <c r="AH547" i="26"/>
  <c r="K548" i="26"/>
  <c r="L548" i="26"/>
  <c r="M548" i="26"/>
  <c r="N548" i="26"/>
  <c r="O548" i="26"/>
  <c r="P548" i="26"/>
  <c r="Q548" i="26"/>
  <c r="R548" i="26"/>
  <c r="S548" i="26"/>
  <c r="T548" i="26"/>
  <c r="U548" i="26"/>
  <c r="V548" i="26"/>
  <c r="W548" i="26"/>
  <c r="X548" i="26"/>
  <c r="Y548" i="26"/>
  <c r="Z548" i="26"/>
  <c r="AA548" i="26"/>
  <c r="AB548" i="26"/>
  <c r="AC548" i="26"/>
  <c r="AD548" i="26"/>
  <c r="AE548" i="26"/>
  <c r="AF548" i="26"/>
  <c r="AG548" i="26"/>
  <c r="AH548" i="26"/>
  <c r="K549" i="26"/>
  <c r="L549" i="26"/>
  <c r="M549" i="26"/>
  <c r="N549" i="26"/>
  <c r="O549" i="26"/>
  <c r="P549" i="26"/>
  <c r="Q549" i="26"/>
  <c r="R549" i="26"/>
  <c r="S549" i="26"/>
  <c r="T549" i="26"/>
  <c r="U549" i="26"/>
  <c r="V549" i="26"/>
  <c r="W549" i="26"/>
  <c r="X549" i="26"/>
  <c r="Y549" i="26"/>
  <c r="Z549" i="26"/>
  <c r="AA549" i="26"/>
  <c r="AB549" i="26"/>
  <c r="AC549" i="26"/>
  <c r="AD549" i="26"/>
  <c r="AE549" i="26"/>
  <c r="AF549" i="26"/>
  <c r="AG549" i="26"/>
  <c r="AH549" i="26"/>
  <c r="K550" i="26"/>
  <c r="L550" i="26"/>
  <c r="M550" i="26"/>
  <c r="N550" i="26"/>
  <c r="O550" i="26"/>
  <c r="P550" i="26"/>
  <c r="Q550" i="26"/>
  <c r="R550" i="26"/>
  <c r="S550" i="26"/>
  <c r="T550" i="26"/>
  <c r="U550" i="26"/>
  <c r="V550" i="26"/>
  <c r="W550" i="26"/>
  <c r="X550" i="26"/>
  <c r="Y550" i="26"/>
  <c r="Z550" i="26"/>
  <c r="AA550" i="26"/>
  <c r="AB550" i="26"/>
  <c r="AC550" i="26"/>
  <c r="AD550" i="26"/>
  <c r="AE550" i="26"/>
  <c r="AF550" i="26"/>
  <c r="AG550" i="26"/>
  <c r="AH550" i="26"/>
  <c r="K551" i="26"/>
  <c r="L551" i="26"/>
  <c r="M551" i="26"/>
  <c r="N551" i="26"/>
  <c r="O551" i="26"/>
  <c r="P551" i="26"/>
  <c r="Q551" i="26"/>
  <c r="R551" i="26"/>
  <c r="S551" i="26"/>
  <c r="T551" i="26"/>
  <c r="U551" i="26"/>
  <c r="V551" i="26"/>
  <c r="W551" i="26"/>
  <c r="X551" i="26"/>
  <c r="Y551" i="26"/>
  <c r="Z551" i="26"/>
  <c r="AA551" i="26"/>
  <c r="AB551" i="26"/>
  <c r="AC551" i="26"/>
  <c r="AD551" i="26"/>
  <c r="AE551" i="26"/>
  <c r="AF551" i="26"/>
  <c r="AG551" i="26"/>
  <c r="AH551" i="26"/>
  <c r="K552" i="26"/>
  <c r="L552" i="26"/>
  <c r="M552" i="26"/>
  <c r="N552" i="26"/>
  <c r="O552" i="26"/>
  <c r="P552" i="26"/>
  <c r="Q552" i="26"/>
  <c r="R552" i="26"/>
  <c r="S552" i="26"/>
  <c r="T552" i="26"/>
  <c r="U552" i="26"/>
  <c r="V552" i="26"/>
  <c r="W552" i="26"/>
  <c r="X552" i="26"/>
  <c r="Y552" i="26"/>
  <c r="Z552" i="26"/>
  <c r="AA552" i="26"/>
  <c r="AB552" i="26"/>
  <c r="AC552" i="26"/>
  <c r="AD552" i="26"/>
  <c r="AE552" i="26"/>
  <c r="AF552" i="26"/>
  <c r="AG552" i="26"/>
  <c r="AH552" i="26"/>
  <c r="K553" i="26"/>
  <c r="L553" i="26"/>
  <c r="M553" i="26"/>
  <c r="N553" i="26"/>
  <c r="O553" i="26"/>
  <c r="P553" i="26"/>
  <c r="Q553" i="26"/>
  <c r="R553" i="26"/>
  <c r="S553" i="26"/>
  <c r="T553" i="26"/>
  <c r="U553" i="26"/>
  <c r="V553" i="26"/>
  <c r="W553" i="26"/>
  <c r="X553" i="26"/>
  <c r="Y553" i="26"/>
  <c r="Z553" i="26"/>
  <c r="AA553" i="26"/>
  <c r="AB553" i="26"/>
  <c r="AC553" i="26"/>
  <c r="AD553" i="26"/>
  <c r="AE553" i="26"/>
  <c r="AF553" i="26"/>
  <c r="AG553" i="26"/>
  <c r="AH553" i="26"/>
  <c r="K554" i="26"/>
  <c r="L554" i="26"/>
  <c r="M554" i="26"/>
  <c r="N554" i="26"/>
  <c r="O554" i="26"/>
  <c r="P554" i="26"/>
  <c r="Q554" i="26"/>
  <c r="R554" i="26"/>
  <c r="S554" i="26"/>
  <c r="T554" i="26"/>
  <c r="U554" i="26"/>
  <c r="V554" i="26"/>
  <c r="W554" i="26"/>
  <c r="X554" i="26"/>
  <c r="Y554" i="26"/>
  <c r="Z554" i="26"/>
  <c r="AA554" i="26"/>
  <c r="AB554" i="26"/>
  <c r="AC554" i="26"/>
  <c r="AD554" i="26"/>
  <c r="AE554" i="26"/>
  <c r="AF554" i="26"/>
  <c r="AG554" i="26"/>
  <c r="AH554" i="26"/>
  <c r="K555" i="26"/>
  <c r="L555" i="26"/>
  <c r="M555" i="26"/>
  <c r="N555" i="26"/>
  <c r="O555" i="26"/>
  <c r="P555" i="26"/>
  <c r="Q555" i="26"/>
  <c r="R555" i="26"/>
  <c r="S555" i="26"/>
  <c r="T555" i="26"/>
  <c r="U555" i="26"/>
  <c r="V555" i="26"/>
  <c r="W555" i="26"/>
  <c r="X555" i="26"/>
  <c r="Y555" i="26"/>
  <c r="Z555" i="26"/>
  <c r="AA555" i="26"/>
  <c r="AB555" i="26"/>
  <c r="AC555" i="26"/>
  <c r="AD555" i="26"/>
  <c r="AE555" i="26"/>
  <c r="AF555" i="26"/>
  <c r="AG555" i="26"/>
  <c r="AH555" i="26"/>
  <c r="K556" i="26"/>
  <c r="L556" i="26"/>
  <c r="M556" i="26"/>
  <c r="N556" i="26"/>
  <c r="O556" i="26"/>
  <c r="P556" i="26"/>
  <c r="Q556" i="26"/>
  <c r="R556" i="26"/>
  <c r="S556" i="26"/>
  <c r="T556" i="26"/>
  <c r="U556" i="26"/>
  <c r="V556" i="26"/>
  <c r="W556" i="26"/>
  <c r="X556" i="26"/>
  <c r="Y556" i="26"/>
  <c r="Z556" i="26"/>
  <c r="AA556" i="26"/>
  <c r="AB556" i="26"/>
  <c r="AC556" i="26"/>
  <c r="AD556" i="26"/>
  <c r="AE556" i="26"/>
  <c r="AF556" i="26"/>
  <c r="AG556" i="26"/>
  <c r="AH556" i="26"/>
  <c r="K557" i="26"/>
  <c r="L557" i="26"/>
  <c r="M557" i="26"/>
  <c r="N557" i="26"/>
  <c r="O557" i="26"/>
  <c r="P557" i="26"/>
  <c r="Q557" i="26"/>
  <c r="R557" i="26"/>
  <c r="S557" i="26"/>
  <c r="T557" i="26"/>
  <c r="U557" i="26"/>
  <c r="V557" i="26"/>
  <c r="W557" i="26"/>
  <c r="X557" i="26"/>
  <c r="Y557" i="26"/>
  <c r="Z557" i="26"/>
  <c r="AA557" i="26"/>
  <c r="AB557" i="26"/>
  <c r="AC557" i="26"/>
  <c r="AD557" i="26"/>
  <c r="AE557" i="26"/>
  <c r="AF557" i="26"/>
  <c r="AG557" i="26"/>
  <c r="AH557" i="26"/>
  <c r="K558" i="26"/>
  <c r="L558" i="26"/>
  <c r="M558" i="26"/>
  <c r="N558" i="26"/>
  <c r="O558" i="26"/>
  <c r="P558" i="26"/>
  <c r="Q558" i="26"/>
  <c r="R558" i="26"/>
  <c r="S558" i="26"/>
  <c r="T558" i="26"/>
  <c r="U558" i="26"/>
  <c r="V558" i="26"/>
  <c r="W558" i="26"/>
  <c r="X558" i="26"/>
  <c r="Y558" i="26"/>
  <c r="Z558" i="26"/>
  <c r="AA558" i="26"/>
  <c r="AB558" i="26"/>
  <c r="AC558" i="26"/>
  <c r="AD558" i="26"/>
  <c r="AE558" i="26"/>
  <c r="AF558" i="26"/>
  <c r="AG558" i="26"/>
  <c r="AH558" i="26"/>
  <c r="K559" i="26"/>
  <c r="L559" i="26"/>
  <c r="M559" i="26"/>
  <c r="N559" i="26"/>
  <c r="O559" i="26"/>
  <c r="P559" i="26"/>
  <c r="Q559" i="26"/>
  <c r="R559" i="26"/>
  <c r="S559" i="26"/>
  <c r="T559" i="26"/>
  <c r="U559" i="26"/>
  <c r="V559" i="26"/>
  <c r="W559" i="26"/>
  <c r="X559" i="26"/>
  <c r="Y559" i="26"/>
  <c r="Z559" i="26"/>
  <c r="AA559" i="26"/>
  <c r="AB559" i="26"/>
  <c r="AC559" i="26"/>
  <c r="AD559" i="26"/>
  <c r="AE559" i="26"/>
  <c r="AF559" i="26"/>
  <c r="AG559" i="26"/>
  <c r="AH559" i="26"/>
  <c r="K560" i="26"/>
  <c r="L560" i="26"/>
  <c r="M560" i="26"/>
  <c r="N560" i="26"/>
  <c r="O560" i="26"/>
  <c r="P560" i="26"/>
  <c r="Q560" i="26"/>
  <c r="R560" i="26"/>
  <c r="S560" i="26"/>
  <c r="T560" i="26"/>
  <c r="U560" i="26"/>
  <c r="V560" i="26"/>
  <c r="W560" i="26"/>
  <c r="X560" i="26"/>
  <c r="Y560" i="26"/>
  <c r="Z560" i="26"/>
  <c r="AA560" i="26"/>
  <c r="AB560" i="26"/>
  <c r="AC560" i="26"/>
  <c r="AD560" i="26"/>
  <c r="AE560" i="26"/>
  <c r="AF560" i="26"/>
  <c r="AG560" i="26"/>
  <c r="AH560" i="26"/>
  <c r="K561" i="26"/>
  <c r="L561" i="26"/>
  <c r="M561" i="26"/>
  <c r="N561" i="26"/>
  <c r="O561" i="26"/>
  <c r="P561" i="26"/>
  <c r="Q561" i="26"/>
  <c r="R561" i="26"/>
  <c r="S561" i="26"/>
  <c r="T561" i="26"/>
  <c r="U561" i="26"/>
  <c r="V561" i="26"/>
  <c r="W561" i="26"/>
  <c r="X561" i="26"/>
  <c r="Y561" i="26"/>
  <c r="Z561" i="26"/>
  <c r="AA561" i="26"/>
  <c r="AB561" i="26"/>
  <c r="AC561" i="26"/>
  <c r="AD561" i="26"/>
  <c r="AE561" i="26"/>
  <c r="AF561" i="26"/>
  <c r="AG561" i="26"/>
  <c r="AH561" i="26"/>
  <c r="K562" i="26"/>
  <c r="L562" i="26"/>
  <c r="M562" i="26"/>
  <c r="N562" i="26"/>
  <c r="O562" i="26"/>
  <c r="P562" i="26"/>
  <c r="Q562" i="26"/>
  <c r="R562" i="26"/>
  <c r="S562" i="26"/>
  <c r="T562" i="26"/>
  <c r="U562" i="26"/>
  <c r="V562" i="26"/>
  <c r="W562" i="26"/>
  <c r="X562" i="26"/>
  <c r="Y562" i="26"/>
  <c r="Z562" i="26"/>
  <c r="AA562" i="26"/>
  <c r="AB562" i="26"/>
  <c r="AC562" i="26"/>
  <c r="AD562" i="26"/>
  <c r="AE562" i="26"/>
  <c r="AF562" i="26"/>
  <c r="AG562" i="26"/>
  <c r="AH562" i="26"/>
  <c r="K563" i="26"/>
  <c r="L563" i="26"/>
  <c r="M563" i="26"/>
  <c r="N563" i="26"/>
  <c r="O563" i="26"/>
  <c r="P563" i="26"/>
  <c r="Q563" i="26"/>
  <c r="R563" i="26"/>
  <c r="S563" i="26"/>
  <c r="T563" i="26"/>
  <c r="U563" i="26"/>
  <c r="V563" i="26"/>
  <c r="W563" i="26"/>
  <c r="X563" i="26"/>
  <c r="Y563" i="26"/>
  <c r="Z563" i="26"/>
  <c r="AA563" i="26"/>
  <c r="AB563" i="26"/>
  <c r="AC563" i="26"/>
  <c r="AD563" i="26"/>
  <c r="AE563" i="26"/>
  <c r="AF563" i="26"/>
  <c r="AG563" i="26"/>
  <c r="AH563" i="26"/>
  <c r="K564" i="26"/>
  <c r="L564" i="26"/>
  <c r="M564" i="26"/>
  <c r="N564" i="26"/>
  <c r="O564" i="26"/>
  <c r="P564" i="26"/>
  <c r="Q564" i="26"/>
  <c r="R564" i="26"/>
  <c r="S564" i="26"/>
  <c r="T564" i="26"/>
  <c r="U564" i="26"/>
  <c r="V564" i="26"/>
  <c r="W564" i="26"/>
  <c r="X564" i="26"/>
  <c r="Y564" i="26"/>
  <c r="Z564" i="26"/>
  <c r="AA564" i="26"/>
  <c r="AB564" i="26"/>
  <c r="AC564" i="26"/>
  <c r="AD564" i="26"/>
  <c r="AE564" i="26"/>
  <c r="AF564" i="26"/>
  <c r="AG564" i="26"/>
  <c r="AH564" i="26"/>
  <c r="K565" i="26"/>
  <c r="L565" i="26"/>
  <c r="M565" i="26"/>
  <c r="N565" i="26"/>
  <c r="O565" i="26"/>
  <c r="P565" i="26"/>
  <c r="Q565" i="26"/>
  <c r="R565" i="26"/>
  <c r="S565" i="26"/>
  <c r="T565" i="26"/>
  <c r="U565" i="26"/>
  <c r="V565" i="26"/>
  <c r="W565" i="26"/>
  <c r="X565" i="26"/>
  <c r="Y565" i="26"/>
  <c r="Z565" i="26"/>
  <c r="AA565" i="26"/>
  <c r="AB565" i="26"/>
  <c r="AC565" i="26"/>
  <c r="AD565" i="26"/>
  <c r="AE565" i="26"/>
  <c r="AF565" i="26"/>
  <c r="AG565" i="26"/>
  <c r="AH565" i="26"/>
  <c r="K566" i="26"/>
  <c r="L566" i="26"/>
  <c r="M566" i="26"/>
  <c r="N566" i="26"/>
  <c r="O566" i="26"/>
  <c r="P566" i="26"/>
  <c r="Q566" i="26"/>
  <c r="R566" i="26"/>
  <c r="S566" i="26"/>
  <c r="T566" i="26"/>
  <c r="U566" i="26"/>
  <c r="V566" i="26"/>
  <c r="W566" i="26"/>
  <c r="X566" i="26"/>
  <c r="Y566" i="26"/>
  <c r="Z566" i="26"/>
  <c r="AA566" i="26"/>
  <c r="AB566" i="26"/>
  <c r="AC566" i="26"/>
  <c r="AD566" i="26"/>
  <c r="AE566" i="26"/>
  <c r="AF566" i="26"/>
  <c r="AG566" i="26"/>
  <c r="AH566" i="26"/>
  <c r="K567" i="26"/>
  <c r="L567" i="26"/>
  <c r="M567" i="26"/>
  <c r="N567" i="26"/>
  <c r="O567" i="26"/>
  <c r="P567" i="26"/>
  <c r="Q567" i="26"/>
  <c r="R567" i="26"/>
  <c r="S567" i="26"/>
  <c r="T567" i="26"/>
  <c r="U567" i="26"/>
  <c r="V567" i="26"/>
  <c r="W567" i="26"/>
  <c r="X567" i="26"/>
  <c r="Y567" i="26"/>
  <c r="Z567" i="26"/>
  <c r="AA567" i="26"/>
  <c r="AB567" i="26"/>
  <c r="AC567" i="26"/>
  <c r="AD567" i="26"/>
  <c r="AE567" i="26"/>
  <c r="AF567" i="26"/>
  <c r="AG567" i="26"/>
  <c r="AH567" i="26"/>
  <c r="K568" i="26"/>
  <c r="L568" i="26"/>
  <c r="M568" i="26"/>
  <c r="N568" i="26"/>
  <c r="O568" i="26"/>
  <c r="P568" i="26"/>
  <c r="Q568" i="26"/>
  <c r="R568" i="26"/>
  <c r="S568" i="26"/>
  <c r="T568" i="26"/>
  <c r="U568" i="26"/>
  <c r="V568" i="26"/>
  <c r="W568" i="26"/>
  <c r="X568" i="26"/>
  <c r="Y568" i="26"/>
  <c r="Z568" i="26"/>
  <c r="AA568" i="26"/>
  <c r="AB568" i="26"/>
  <c r="AC568" i="26"/>
  <c r="AD568" i="26"/>
  <c r="AE568" i="26"/>
  <c r="AF568" i="26"/>
  <c r="AG568" i="26"/>
  <c r="AH568" i="26"/>
  <c r="K569" i="26"/>
  <c r="L569" i="26"/>
  <c r="M569" i="26"/>
  <c r="N569" i="26"/>
  <c r="O569" i="26"/>
  <c r="P569" i="26"/>
  <c r="Q569" i="26"/>
  <c r="R569" i="26"/>
  <c r="S569" i="26"/>
  <c r="T569" i="26"/>
  <c r="U569" i="26"/>
  <c r="V569" i="26"/>
  <c r="W569" i="26"/>
  <c r="X569" i="26"/>
  <c r="Y569" i="26"/>
  <c r="Z569" i="26"/>
  <c r="AA569" i="26"/>
  <c r="AB569" i="26"/>
  <c r="AC569" i="26"/>
  <c r="AD569" i="26"/>
  <c r="AE569" i="26"/>
  <c r="AF569" i="26"/>
  <c r="AG569" i="26"/>
  <c r="AH569" i="26"/>
  <c r="K570" i="26"/>
  <c r="L570" i="26"/>
  <c r="M570" i="26"/>
  <c r="N570" i="26"/>
  <c r="O570" i="26"/>
  <c r="P570" i="26"/>
  <c r="Q570" i="26"/>
  <c r="R570" i="26"/>
  <c r="S570" i="26"/>
  <c r="T570" i="26"/>
  <c r="U570" i="26"/>
  <c r="V570" i="26"/>
  <c r="W570" i="26"/>
  <c r="X570" i="26"/>
  <c r="Y570" i="26"/>
  <c r="Z570" i="26"/>
  <c r="AA570" i="26"/>
  <c r="AB570" i="26"/>
  <c r="AC570" i="26"/>
  <c r="AD570" i="26"/>
  <c r="AE570" i="26"/>
  <c r="AF570" i="26"/>
  <c r="AG570" i="26"/>
  <c r="AH570" i="26"/>
  <c r="K571" i="26"/>
  <c r="L571" i="26"/>
  <c r="M571" i="26"/>
  <c r="N571" i="26"/>
  <c r="O571" i="26"/>
  <c r="P571" i="26"/>
  <c r="Q571" i="26"/>
  <c r="R571" i="26"/>
  <c r="S571" i="26"/>
  <c r="T571" i="26"/>
  <c r="U571" i="26"/>
  <c r="V571" i="26"/>
  <c r="W571" i="26"/>
  <c r="X571" i="26"/>
  <c r="Y571" i="26"/>
  <c r="Z571" i="26"/>
  <c r="AA571" i="26"/>
  <c r="AB571" i="26"/>
  <c r="AC571" i="26"/>
  <c r="AD571" i="26"/>
  <c r="AE571" i="26"/>
  <c r="AF571" i="26"/>
  <c r="AG571" i="26"/>
  <c r="AH571" i="26"/>
  <c r="K572" i="26"/>
  <c r="L572" i="26"/>
  <c r="M572" i="26"/>
  <c r="N572" i="26"/>
  <c r="O572" i="26"/>
  <c r="P572" i="26"/>
  <c r="Q572" i="26"/>
  <c r="R572" i="26"/>
  <c r="S572" i="26"/>
  <c r="T572" i="26"/>
  <c r="U572" i="26"/>
  <c r="V572" i="26"/>
  <c r="W572" i="26"/>
  <c r="X572" i="26"/>
  <c r="Y572" i="26"/>
  <c r="Z572" i="26"/>
  <c r="AA572" i="26"/>
  <c r="AB572" i="26"/>
  <c r="AC572" i="26"/>
  <c r="AD572" i="26"/>
  <c r="AE572" i="26"/>
  <c r="AF572" i="26"/>
  <c r="AG572" i="26"/>
  <c r="AH572" i="26"/>
  <c r="K573" i="26"/>
  <c r="L573" i="26"/>
  <c r="M573" i="26"/>
  <c r="N573" i="26"/>
  <c r="O573" i="26"/>
  <c r="P573" i="26"/>
  <c r="Q573" i="26"/>
  <c r="R573" i="26"/>
  <c r="S573" i="26"/>
  <c r="T573" i="26"/>
  <c r="U573" i="26"/>
  <c r="V573" i="26"/>
  <c r="W573" i="26"/>
  <c r="X573" i="26"/>
  <c r="Y573" i="26"/>
  <c r="Z573" i="26"/>
  <c r="AA573" i="26"/>
  <c r="AB573" i="26"/>
  <c r="AC573" i="26"/>
  <c r="AD573" i="26"/>
  <c r="AE573" i="26"/>
  <c r="AF573" i="26"/>
  <c r="AG573" i="26"/>
  <c r="AH573" i="26"/>
  <c r="K574" i="26"/>
  <c r="L574" i="26"/>
  <c r="M574" i="26"/>
  <c r="N574" i="26"/>
  <c r="O574" i="26"/>
  <c r="P574" i="26"/>
  <c r="Q574" i="26"/>
  <c r="R574" i="26"/>
  <c r="S574" i="26"/>
  <c r="T574" i="26"/>
  <c r="U574" i="26"/>
  <c r="V574" i="26"/>
  <c r="W574" i="26"/>
  <c r="X574" i="26"/>
  <c r="Y574" i="26"/>
  <c r="Z574" i="26"/>
  <c r="AA574" i="26"/>
  <c r="AB574" i="26"/>
  <c r="AC574" i="26"/>
  <c r="AD574" i="26"/>
  <c r="AE574" i="26"/>
  <c r="AF574" i="26"/>
  <c r="AG574" i="26"/>
  <c r="AH574" i="26"/>
  <c r="K575" i="26"/>
  <c r="L575" i="26"/>
  <c r="M575" i="26"/>
  <c r="N575" i="26"/>
  <c r="O575" i="26"/>
  <c r="P575" i="26"/>
  <c r="Q575" i="26"/>
  <c r="R575" i="26"/>
  <c r="S575" i="26"/>
  <c r="T575" i="26"/>
  <c r="U575" i="26"/>
  <c r="V575" i="26"/>
  <c r="W575" i="26"/>
  <c r="X575" i="26"/>
  <c r="Y575" i="26"/>
  <c r="Z575" i="26"/>
  <c r="AA575" i="26"/>
  <c r="AB575" i="26"/>
  <c r="AC575" i="26"/>
  <c r="AD575" i="26"/>
  <c r="AE575" i="26"/>
  <c r="AF575" i="26"/>
  <c r="AG575" i="26"/>
  <c r="AH575" i="26"/>
  <c r="K576" i="26"/>
  <c r="L576" i="26"/>
  <c r="M576" i="26"/>
  <c r="N576" i="26"/>
  <c r="O576" i="26"/>
  <c r="P576" i="26"/>
  <c r="Q576" i="26"/>
  <c r="R576" i="26"/>
  <c r="S576" i="26"/>
  <c r="T576" i="26"/>
  <c r="U576" i="26"/>
  <c r="V576" i="26"/>
  <c r="W576" i="26"/>
  <c r="X576" i="26"/>
  <c r="Y576" i="26"/>
  <c r="Z576" i="26"/>
  <c r="AA576" i="26"/>
  <c r="AB576" i="26"/>
  <c r="AC576" i="26"/>
  <c r="AD576" i="26"/>
  <c r="AE576" i="26"/>
  <c r="AF576" i="26"/>
  <c r="AG576" i="26"/>
  <c r="AH576" i="26"/>
  <c r="K577" i="26"/>
  <c r="L577" i="26"/>
  <c r="M577" i="26"/>
  <c r="N577" i="26"/>
  <c r="O577" i="26"/>
  <c r="P577" i="26"/>
  <c r="Q577" i="26"/>
  <c r="R577" i="26"/>
  <c r="S577" i="26"/>
  <c r="T577" i="26"/>
  <c r="U577" i="26"/>
  <c r="V577" i="26"/>
  <c r="W577" i="26"/>
  <c r="X577" i="26"/>
  <c r="Y577" i="26"/>
  <c r="Z577" i="26"/>
  <c r="AA577" i="26"/>
  <c r="AB577" i="26"/>
  <c r="AC577" i="26"/>
  <c r="AD577" i="26"/>
  <c r="AE577" i="26"/>
  <c r="AF577" i="26"/>
  <c r="AG577" i="26"/>
  <c r="AH577" i="26"/>
  <c r="K578" i="26"/>
  <c r="L578" i="26"/>
  <c r="M578" i="26"/>
  <c r="N578" i="26"/>
  <c r="O578" i="26"/>
  <c r="P578" i="26"/>
  <c r="Q578" i="26"/>
  <c r="R578" i="26"/>
  <c r="S578" i="26"/>
  <c r="T578" i="26"/>
  <c r="U578" i="26"/>
  <c r="V578" i="26"/>
  <c r="W578" i="26"/>
  <c r="X578" i="26"/>
  <c r="Y578" i="26"/>
  <c r="Z578" i="26"/>
  <c r="AA578" i="26"/>
  <c r="AB578" i="26"/>
  <c r="AC578" i="26"/>
  <c r="AD578" i="26"/>
  <c r="AE578" i="26"/>
  <c r="AF578" i="26"/>
  <c r="AG578" i="26"/>
  <c r="AH578" i="26"/>
  <c r="K579" i="26"/>
  <c r="L579" i="26"/>
  <c r="M579" i="26"/>
  <c r="N579" i="26"/>
  <c r="O579" i="26"/>
  <c r="P579" i="26"/>
  <c r="Q579" i="26"/>
  <c r="R579" i="26"/>
  <c r="S579" i="26"/>
  <c r="T579" i="26"/>
  <c r="U579" i="26"/>
  <c r="V579" i="26"/>
  <c r="W579" i="26"/>
  <c r="X579" i="26"/>
  <c r="Y579" i="26"/>
  <c r="Z579" i="26"/>
  <c r="AA579" i="26"/>
  <c r="AB579" i="26"/>
  <c r="AC579" i="26"/>
  <c r="AD579" i="26"/>
  <c r="AE579" i="26"/>
  <c r="AF579" i="26"/>
  <c r="AG579" i="26"/>
  <c r="AH579" i="26"/>
  <c r="K580" i="26"/>
  <c r="L580" i="26"/>
  <c r="M580" i="26"/>
  <c r="N580" i="26"/>
  <c r="O580" i="26"/>
  <c r="P580" i="26"/>
  <c r="Q580" i="26"/>
  <c r="R580" i="26"/>
  <c r="S580" i="26"/>
  <c r="T580" i="26"/>
  <c r="U580" i="26"/>
  <c r="V580" i="26"/>
  <c r="W580" i="26"/>
  <c r="X580" i="26"/>
  <c r="Y580" i="26"/>
  <c r="Z580" i="26"/>
  <c r="AA580" i="26"/>
  <c r="AB580" i="26"/>
  <c r="AC580" i="26"/>
  <c r="AD580" i="26"/>
  <c r="AE580" i="26"/>
  <c r="AF580" i="26"/>
  <c r="AG580" i="26"/>
  <c r="AH580" i="26"/>
  <c r="K581" i="26"/>
  <c r="L581" i="26"/>
  <c r="M581" i="26"/>
  <c r="N581" i="26"/>
  <c r="O581" i="26"/>
  <c r="P581" i="26"/>
  <c r="Q581" i="26"/>
  <c r="R581" i="26"/>
  <c r="S581" i="26"/>
  <c r="T581" i="26"/>
  <c r="U581" i="26"/>
  <c r="V581" i="26"/>
  <c r="W581" i="26"/>
  <c r="X581" i="26"/>
  <c r="Y581" i="26"/>
  <c r="Z581" i="26"/>
  <c r="AA581" i="26"/>
  <c r="AB581" i="26"/>
  <c r="AC581" i="26"/>
  <c r="AD581" i="26"/>
  <c r="AE581" i="26"/>
  <c r="AF581" i="26"/>
  <c r="AG581" i="26"/>
  <c r="AH581" i="26"/>
  <c r="K582" i="26"/>
  <c r="L582" i="26"/>
  <c r="M582" i="26"/>
  <c r="N582" i="26"/>
  <c r="O582" i="26"/>
  <c r="P582" i="26"/>
  <c r="Q582" i="26"/>
  <c r="R582" i="26"/>
  <c r="S582" i="26"/>
  <c r="T582" i="26"/>
  <c r="U582" i="26"/>
  <c r="V582" i="26"/>
  <c r="W582" i="26"/>
  <c r="X582" i="26"/>
  <c r="Y582" i="26"/>
  <c r="Z582" i="26"/>
  <c r="AA582" i="26"/>
  <c r="AB582" i="26"/>
  <c r="AC582" i="26"/>
  <c r="AD582" i="26"/>
  <c r="AE582" i="26"/>
  <c r="AF582" i="26"/>
  <c r="AG582" i="26"/>
  <c r="AH582" i="26"/>
  <c r="K583" i="26"/>
  <c r="L583" i="26"/>
  <c r="M583" i="26"/>
  <c r="N583" i="26"/>
  <c r="O583" i="26"/>
  <c r="P583" i="26"/>
  <c r="Q583" i="26"/>
  <c r="R583" i="26"/>
  <c r="S583" i="26"/>
  <c r="T583" i="26"/>
  <c r="U583" i="26"/>
  <c r="V583" i="26"/>
  <c r="W583" i="26"/>
  <c r="X583" i="26"/>
  <c r="Y583" i="26"/>
  <c r="Z583" i="26"/>
  <c r="AA583" i="26"/>
  <c r="AB583" i="26"/>
  <c r="AC583" i="26"/>
  <c r="AD583" i="26"/>
  <c r="AE583" i="26"/>
  <c r="AF583" i="26"/>
  <c r="AG583" i="26"/>
  <c r="AH583" i="26"/>
  <c r="K584" i="26"/>
  <c r="L584" i="26"/>
  <c r="M584" i="26"/>
  <c r="N584" i="26"/>
  <c r="O584" i="26"/>
  <c r="P584" i="26"/>
  <c r="Q584" i="26"/>
  <c r="R584" i="26"/>
  <c r="S584" i="26"/>
  <c r="T584" i="26"/>
  <c r="U584" i="26"/>
  <c r="V584" i="26"/>
  <c r="W584" i="26"/>
  <c r="X584" i="26"/>
  <c r="Y584" i="26"/>
  <c r="Z584" i="26"/>
  <c r="AA584" i="26"/>
  <c r="AB584" i="26"/>
  <c r="AC584" i="26"/>
  <c r="AD584" i="26"/>
  <c r="AE584" i="26"/>
  <c r="AF584" i="26"/>
  <c r="AG584" i="26"/>
  <c r="AH584" i="26"/>
  <c r="K585" i="26"/>
  <c r="L585" i="26"/>
  <c r="M585" i="26"/>
  <c r="N585" i="26"/>
  <c r="O585" i="26"/>
  <c r="P585" i="26"/>
  <c r="Q585" i="26"/>
  <c r="R585" i="26"/>
  <c r="S585" i="26"/>
  <c r="T585" i="26"/>
  <c r="U585" i="26"/>
  <c r="V585" i="26"/>
  <c r="W585" i="26"/>
  <c r="X585" i="26"/>
  <c r="Y585" i="26"/>
  <c r="Z585" i="26"/>
  <c r="AA585" i="26"/>
  <c r="AB585" i="26"/>
  <c r="AC585" i="26"/>
  <c r="AD585" i="26"/>
  <c r="AE585" i="26"/>
  <c r="AF585" i="26"/>
  <c r="AG585" i="26"/>
  <c r="AH585" i="26"/>
  <c r="K586" i="26"/>
  <c r="L586" i="26"/>
  <c r="M586" i="26"/>
  <c r="N586" i="26"/>
  <c r="O586" i="26"/>
  <c r="P586" i="26"/>
  <c r="Q586" i="26"/>
  <c r="R586" i="26"/>
  <c r="S586" i="26"/>
  <c r="T586" i="26"/>
  <c r="U586" i="26"/>
  <c r="V586" i="26"/>
  <c r="W586" i="26"/>
  <c r="X586" i="26"/>
  <c r="Y586" i="26"/>
  <c r="Z586" i="26"/>
  <c r="AA586" i="26"/>
  <c r="AB586" i="26"/>
  <c r="AC586" i="26"/>
  <c r="AD586" i="26"/>
  <c r="AE586" i="26"/>
  <c r="AF586" i="26"/>
  <c r="AG586" i="26"/>
  <c r="AH586" i="26"/>
  <c r="K587" i="26"/>
  <c r="L587" i="26"/>
  <c r="M587" i="26"/>
  <c r="N587" i="26"/>
  <c r="O587" i="26"/>
  <c r="P587" i="26"/>
  <c r="Q587" i="26"/>
  <c r="R587" i="26"/>
  <c r="S587" i="26"/>
  <c r="T587" i="26"/>
  <c r="U587" i="26"/>
  <c r="V587" i="26"/>
  <c r="W587" i="26"/>
  <c r="X587" i="26"/>
  <c r="Y587" i="26"/>
  <c r="Z587" i="26"/>
  <c r="AA587" i="26"/>
  <c r="AB587" i="26"/>
  <c r="AC587" i="26"/>
  <c r="AD587" i="26"/>
  <c r="AE587" i="26"/>
  <c r="AF587" i="26"/>
  <c r="AG587" i="26"/>
  <c r="AH587" i="26"/>
  <c r="K588" i="26"/>
  <c r="L588" i="26"/>
  <c r="M588" i="26"/>
  <c r="N588" i="26"/>
  <c r="O588" i="26"/>
  <c r="P588" i="26"/>
  <c r="Q588" i="26"/>
  <c r="R588" i="26"/>
  <c r="S588" i="26"/>
  <c r="T588" i="26"/>
  <c r="U588" i="26"/>
  <c r="V588" i="26"/>
  <c r="W588" i="26"/>
  <c r="X588" i="26"/>
  <c r="Y588" i="26"/>
  <c r="Z588" i="26"/>
  <c r="AA588" i="26"/>
  <c r="AB588" i="26"/>
  <c r="AC588" i="26"/>
  <c r="AD588" i="26"/>
  <c r="AE588" i="26"/>
  <c r="AF588" i="26"/>
  <c r="AG588" i="26"/>
  <c r="AH588" i="26"/>
  <c r="K589" i="26"/>
  <c r="L589" i="26"/>
  <c r="M589" i="26"/>
  <c r="N589" i="26"/>
  <c r="O589" i="26"/>
  <c r="P589" i="26"/>
  <c r="Q589" i="26"/>
  <c r="R589" i="26"/>
  <c r="S589" i="26"/>
  <c r="T589" i="26"/>
  <c r="U589" i="26"/>
  <c r="V589" i="26"/>
  <c r="W589" i="26"/>
  <c r="X589" i="26"/>
  <c r="Y589" i="26"/>
  <c r="Z589" i="26"/>
  <c r="AA589" i="26"/>
  <c r="AB589" i="26"/>
  <c r="AC589" i="26"/>
  <c r="AD589" i="26"/>
  <c r="AE589" i="26"/>
  <c r="AF589" i="26"/>
  <c r="AG589" i="26"/>
  <c r="AH589" i="26"/>
  <c r="K590" i="26"/>
  <c r="L590" i="26"/>
  <c r="M590" i="26"/>
  <c r="N590" i="26"/>
  <c r="O590" i="26"/>
  <c r="P590" i="26"/>
  <c r="Q590" i="26"/>
  <c r="R590" i="26"/>
  <c r="S590" i="26"/>
  <c r="T590" i="26"/>
  <c r="U590" i="26"/>
  <c r="V590" i="26"/>
  <c r="W590" i="26"/>
  <c r="X590" i="26"/>
  <c r="Y590" i="26"/>
  <c r="Z590" i="26"/>
  <c r="AA590" i="26"/>
  <c r="AB590" i="26"/>
  <c r="AC590" i="26"/>
  <c r="AD590" i="26"/>
  <c r="AE590" i="26"/>
  <c r="AF590" i="26"/>
  <c r="AG590" i="26"/>
  <c r="AH590" i="26"/>
  <c r="K591" i="26"/>
  <c r="L591" i="26"/>
  <c r="M591" i="26"/>
  <c r="N591" i="26"/>
  <c r="O591" i="26"/>
  <c r="P591" i="26"/>
  <c r="Q591" i="26"/>
  <c r="R591" i="26"/>
  <c r="S591" i="26"/>
  <c r="T591" i="26"/>
  <c r="U591" i="26"/>
  <c r="V591" i="26"/>
  <c r="W591" i="26"/>
  <c r="X591" i="26"/>
  <c r="Y591" i="26"/>
  <c r="Z591" i="26"/>
  <c r="AA591" i="26"/>
  <c r="AB591" i="26"/>
  <c r="AC591" i="26"/>
  <c r="AD591" i="26"/>
  <c r="AE591" i="26"/>
  <c r="AF591" i="26"/>
  <c r="AG591" i="26"/>
  <c r="AH591" i="26"/>
  <c r="K592" i="26"/>
  <c r="L592" i="26"/>
  <c r="M592" i="26"/>
  <c r="N592" i="26"/>
  <c r="O592" i="26"/>
  <c r="P592" i="26"/>
  <c r="Q592" i="26"/>
  <c r="R592" i="26"/>
  <c r="S592" i="26"/>
  <c r="T592" i="26"/>
  <c r="U592" i="26"/>
  <c r="V592" i="26"/>
  <c r="W592" i="26"/>
  <c r="X592" i="26"/>
  <c r="Y592" i="26"/>
  <c r="Z592" i="26"/>
  <c r="AA592" i="26"/>
  <c r="AB592" i="26"/>
  <c r="AC592" i="26"/>
  <c r="AD592" i="26"/>
  <c r="AE592" i="26"/>
  <c r="AF592" i="26"/>
  <c r="AG592" i="26"/>
  <c r="AH592" i="26"/>
  <c r="K593" i="26"/>
  <c r="L593" i="26"/>
  <c r="M593" i="26"/>
  <c r="N593" i="26"/>
  <c r="O593" i="26"/>
  <c r="P593" i="26"/>
  <c r="Q593" i="26"/>
  <c r="R593" i="26"/>
  <c r="S593" i="26"/>
  <c r="T593" i="26"/>
  <c r="U593" i="26"/>
  <c r="V593" i="26"/>
  <c r="W593" i="26"/>
  <c r="X593" i="26"/>
  <c r="Y593" i="26"/>
  <c r="Z593" i="26"/>
  <c r="AA593" i="26"/>
  <c r="AB593" i="26"/>
  <c r="AC593" i="26"/>
  <c r="AD593" i="26"/>
  <c r="AE593" i="26"/>
  <c r="AF593" i="26"/>
  <c r="AG593" i="26"/>
  <c r="AH593" i="26"/>
  <c r="K594" i="26"/>
  <c r="L594" i="26"/>
  <c r="M594" i="26"/>
  <c r="N594" i="26"/>
  <c r="O594" i="26"/>
  <c r="P594" i="26"/>
  <c r="Q594" i="26"/>
  <c r="R594" i="26"/>
  <c r="S594" i="26"/>
  <c r="T594" i="26"/>
  <c r="U594" i="26"/>
  <c r="V594" i="26"/>
  <c r="W594" i="26"/>
  <c r="X594" i="26"/>
  <c r="Y594" i="26"/>
  <c r="Z594" i="26"/>
  <c r="AA594" i="26"/>
  <c r="AB594" i="26"/>
  <c r="AC594" i="26"/>
  <c r="AD594" i="26"/>
  <c r="AE594" i="26"/>
  <c r="AF594" i="26"/>
  <c r="AG594" i="26"/>
  <c r="AH594" i="26"/>
  <c r="K595" i="26"/>
  <c r="L595" i="26"/>
  <c r="M595" i="26"/>
  <c r="N595" i="26"/>
  <c r="O595" i="26"/>
  <c r="P595" i="26"/>
  <c r="Q595" i="26"/>
  <c r="R595" i="26"/>
  <c r="S595" i="26"/>
  <c r="T595" i="26"/>
  <c r="U595" i="26"/>
  <c r="V595" i="26"/>
  <c r="W595" i="26"/>
  <c r="X595" i="26"/>
  <c r="Y595" i="26"/>
  <c r="Z595" i="26"/>
  <c r="AA595" i="26"/>
  <c r="AB595" i="26"/>
  <c r="AC595" i="26"/>
  <c r="AD595" i="26"/>
  <c r="AE595" i="26"/>
  <c r="AF595" i="26"/>
  <c r="AG595" i="26"/>
  <c r="AH595" i="26"/>
  <c r="K596" i="26"/>
  <c r="L596" i="26"/>
  <c r="M596" i="26"/>
  <c r="N596" i="26"/>
  <c r="O596" i="26"/>
  <c r="P596" i="26"/>
  <c r="Q596" i="26"/>
  <c r="R596" i="26"/>
  <c r="S596" i="26"/>
  <c r="T596" i="26"/>
  <c r="U596" i="26"/>
  <c r="V596" i="26"/>
  <c r="W596" i="26"/>
  <c r="X596" i="26"/>
  <c r="Y596" i="26"/>
  <c r="Z596" i="26"/>
  <c r="AA596" i="26"/>
  <c r="AB596" i="26"/>
  <c r="AC596" i="26"/>
  <c r="AD596" i="26"/>
  <c r="AE596" i="26"/>
  <c r="AF596" i="26"/>
  <c r="AG596" i="26"/>
  <c r="AH596" i="26"/>
  <c r="K597" i="26"/>
  <c r="L597" i="26"/>
  <c r="M597" i="26"/>
  <c r="N597" i="26"/>
  <c r="O597" i="26"/>
  <c r="P597" i="26"/>
  <c r="Q597" i="26"/>
  <c r="R597" i="26"/>
  <c r="S597" i="26"/>
  <c r="T597" i="26"/>
  <c r="U597" i="26"/>
  <c r="V597" i="26"/>
  <c r="W597" i="26"/>
  <c r="X597" i="26"/>
  <c r="Y597" i="26"/>
  <c r="Z597" i="26"/>
  <c r="AA597" i="26"/>
  <c r="AB597" i="26"/>
  <c r="AC597" i="26"/>
  <c r="AD597" i="26"/>
  <c r="AE597" i="26"/>
  <c r="AF597" i="26"/>
  <c r="AG597" i="26"/>
  <c r="AH597" i="26"/>
  <c r="K598" i="26"/>
  <c r="L598" i="26"/>
  <c r="M598" i="26"/>
  <c r="N598" i="26"/>
  <c r="O598" i="26"/>
  <c r="P598" i="26"/>
  <c r="Q598" i="26"/>
  <c r="R598" i="26"/>
  <c r="S598" i="26"/>
  <c r="T598" i="26"/>
  <c r="U598" i="26"/>
  <c r="V598" i="26"/>
  <c r="W598" i="26"/>
  <c r="X598" i="26"/>
  <c r="Y598" i="26"/>
  <c r="Z598" i="26"/>
  <c r="AA598" i="26"/>
  <c r="AB598" i="26"/>
  <c r="AC598" i="26"/>
  <c r="AD598" i="26"/>
  <c r="AE598" i="26"/>
  <c r="AF598" i="26"/>
  <c r="AG598" i="26"/>
  <c r="AH598" i="26"/>
  <c r="K599" i="26"/>
  <c r="L599" i="26"/>
  <c r="M599" i="26"/>
  <c r="N599" i="26"/>
  <c r="O599" i="26"/>
  <c r="P599" i="26"/>
  <c r="Q599" i="26"/>
  <c r="R599" i="26"/>
  <c r="S599" i="26"/>
  <c r="T599" i="26"/>
  <c r="U599" i="26"/>
  <c r="V599" i="26"/>
  <c r="W599" i="26"/>
  <c r="X599" i="26"/>
  <c r="Y599" i="26"/>
  <c r="Z599" i="26"/>
  <c r="AA599" i="26"/>
  <c r="AB599" i="26"/>
  <c r="AC599" i="26"/>
  <c r="AD599" i="26"/>
  <c r="AE599" i="26"/>
  <c r="AF599" i="26"/>
  <c r="AG599" i="26"/>
  <c r="AH599" i="26"/>
  <c r="K600" i="26"/>
  <c r="L600" i="26"/>
  <c r="M600" i="26"/>
  <c r="N600" i="26"/>
  <c r="O600" i="26"/>
  <c r="P600" i="26"/>
  <c r="Q600" i="26"/>
  <c r="R600" i="26"/>
  <c r="S600" i="26"/>
  <c r="T600" i="26"/>
  <c r="U600" i="26"/>
  <c r="V600" i="26"/>
  <c r="W600" i="26"/>
  <c r="X600" i="26"/>
  <c r="Y600" i="26"/>
  <c r="Z600" i="26"/>
  <c r="AA600" i="26"/>
  <c r="AB600" i="26"/>
  <c r="AC600" i="26"/>
  <c r="AD600" i="26"/>
  <c r="AE600" i="26"/>
  <c r="AF600" i="26"/>
  <c r="AG600" i="26"/>
  <c r="AH600" i="26"/>
  <c r="K601" i="26"/>
  <c r="L601" i="26"/>
  <c r="M601" i="26"/>
  <c r="N601" i="26"/>
  <c r="O601" i="26"/>
  <c r="P601" i="26"/>
  <c r="Q601" i="26"/>
  <c r="R601" i="26"/>
  <c r="S601" i="26"/>
  <c r="T601" i="26"/>
  <c r="U601" i="26"/>
  <c r="V601" i="26"/>
  <c r="W601" i="26"/>
  <c r="X601" i="26"/>
  <c r="Y601" i="26"/>
  <c r="Z601" i="26"/>
  <c r="AA601" i="26"/>
  <c r="AB601" i="26"/>
  <c r="AC601" i="26"/>
  <c r="AD601" i="26"/>
  <c r="AE601" i="26"/>
  <c r="AF601" i="26"/>
  <c r="AG601" i="26"/>
  <c r="AH601" i="26"/>
  <c r="K602" i="26"/>
  <c r="L602" i="26"/>
  <c r="M602" i="26"/>
  <c r="N602" i="26"/>
  <c r="O602" i="26"/>
  <c r="P602" i="26"/>
  <c r="Q602" i="26"/>
  <c r="R602" i="26"/>
  <c r="S602" i="26"/>
  <c r="T602" i="26"/>
  <c r="U602" i="26"/>
  <c r="V602" i="26"/>
  <c r="W602" i="26"/>
  <c r="X602" i="26"/>
  <c r="Y602" i="26"/>
  <c r="Z602" i="26"/>
  <c r="AA602" i="26"/>
  <c r="AB602" i="26"/>
  <c r="AC602" i="26"/>
  <c r="AD602" i="26"/>
  <c r="AE602" i="26"/>
  <c r="AF602" i="26"/>
  <c r="AG602" i="26"/>
  <c r="AH602" i="26"/>
  <c r="K603" i="26"/>
  <c r="L603" i="26"/>
  <c r="M603" i="26"/>
  <c r="N603" i="26"/>
  <c r="O603" i="26"/>
  <c r="P603" i="26"/>
  <c r="Q603" i="26"/>
  <c r="R603" i="26"/>
  <c r="S603" i="26"/>
  <c r="T603" i="26"/>
  <c r="U603" i="26"/>
  <c r="V603" i="26"/>
  <c r="W603" i="26"/>
  <c r="X603" i="26"/>
  <c r="Y603" i="26"/>
  <c r="Z603" i="26"/>
  <c r="AA603" i="26"/>
  <c r="AB603" i="26"/>
  <c r="AC603" i="26"/>
  <c r="AD603" i="26"/>
  <c r="AE603" i="26"/>
  <c r="AF603" i="26"/>
  <c r="AG603" i="26"/>
  <c r="AH603" i="26"/>
  <c r="K604" i="26"/>
  <c r="L604" i="26"/>
  <c r="M604" i="26"/>
  <c r="N604" i="26"/>
  <c r="O604" i="26"/>
  <c r="P604" i="26"/>
  <c r="Q604" i="26"/>
  <c r="R604" i="26"/>
  <c r="S604" i="26"/>
  <c r="T604" i="26"/>
  <c r="U604" i="26"/>
  <c r="V604" i="26"/>
  <c r="W604" i="26"/>
  <c r="X604" i="26"/>
  <c r="Y604" i="26"/>
  <c r="Z604" i="26"/>
  <c r="AA604" i="26"/>
  <c r="AB604" i="26"/>
  <c r="AC604" i="26"/>
  <c r="AD604" i="26"/>
  <c r="AE604" i="26"/>
  <c r="AF604" i="26"/>
  <c r="AG604" i="26"/>
  <c r="AH604" i="26"/>
  <c r="K605" i="26"/>
  <c r="L605" i="26"/>
  <c r="M605" i="26"/>
  <c r="N605" i="26"/>
  <c r="O605" i="26"/>
  <c r="P605" i="26"/>
  <c r="Q605" i="26"/>
  <c r="R605" i="26"/>
  <c r="S605" i="26"/>
  <c r="T605" i="26"/>
  <c r="U605" i="26"/>
  <c r="V605" i="26"/>
  <c r="W605" i="26"/>
  <c r="X605" i="26"/>
  <c r="Y605" i="26"/>
  <c r="Z605" i="26"/>
  <c r="AA605" i="26"/>
  <c r="AB605" i="26"/>
  <c r="AC605" i="26"/>
  <c r="AD605" i="26"/>
  <c r="AE605" i="26"/>
  <c r="AF605" i="26"/>
  <c r="AG605" i="26"/>
  <c r="AH605" i="26"/>
  <c r="K606" i="26"/>
  <c r="L606" i="26"/>
  <c r="M606" i="26"/>
  <c r="N606" i="26"/>
  <c r="O606" i="26"/>
  <c r="P606" i="26"/>
  <c r="Q606" i="26"/>
  <c r="R606" i="26"/>
  <c r="S606" i="26"/>
  <c r="T606" i="26"/>
  <c r="U606" i="26"/>
  <c r="V606" i="26"/>
  <c r="W606" i="26"/>
  <c r="X606" i="26"/>
  <c r="Y606" i="26"/>
  <c r="Z606" i="26"/>
  <c r="AA606" i="26"/>
  <c r="AB606" i="26"/>
  <c r="AC606" i="26"/>
  <c r="AD606" i="26"/>
  <c r="AE606" i="26"/>
  <c r="AF606" i="26"/>
  <c r="AG606" i="26"/>
  <c r="AH606" i="26"/>
  <c r="K607" i="26"/>
  <c r="L607" i="26"/>
  <c r="M607" i="26"/>
  <c r="N607" i="26"/>
  <c r="O607" i="26"/>
  <c r="P607" i="26"/>
  <c r="Q607" i="26"/>
  <c r="R607" i="26"/>
  <c r="S607" i="26"/>
  <c r="T607" i="26"/>
  <c r="U607" i="26"/>
  <c r="V607" i="26"/>
  <c r="W607" i="26"/>
  <c r="X607" i="26"/>
  <c r="Y607" i="26"/>
  <c r="Z607" i="26"/>
  <c r="AA607" i="26"/>
  <c r="AB607" i="26"/>
  <c r="AC607" i="26"/>
  <c r="AD607" i="26"/>
  <c r="AE607" i="26"/>
  <c r="AF607" i="26"/>
  <c r="AG607" i="26"/>
  <c r="AH607" i="26"/>
  <c r="K608" i="26"/>
  <c r="L608" i="26"/>
  <c r="M608" i="26"/>
  <c r="N608" i="26"/>
  <c r="O608" i="26"/>
  <c r="P608" i="26"/>
  <c r="Q608" i="26"/>
  <c r="R608" i="26"/>
  <c r="S608" i="26"/>
  <c r="T608" i="26"/>
  <c r="U608" i="26"/>
  <c r="V608" i="26"/>
  <c r="W608" i="26"/>
  <c r="X608" i="26"/>
  <c r="Y608" i="26"/>
  <c r="Z608" i="26"/>
  <c r="AA608" i="26"/>
  <c r="AB608" i="26"/>
  <c r="AC608" i="26"/>
  <c r="AD608" i="26"/>
  <c r="AE608" i="26"/>
  <c r="AF608" i="26"/>
  <c r="AG608" i="26"/>
  <c r="AH608" i="26"/>
  <c r="K609" i="26"/>
  <c r="L609" i="26"/>
  <c r="M609" i="26"/>
  <c r="N609" i="26"/>
  <c r="O609" i="26"/>
  <c r="P609" i="26"/>
  <c r="Q609" i="26"/>
  <c r="R609" i="26"/>
  <c r="S609" i="26"/>
  <c r="T609" i="26"/>
  <c r="U609" i="26"/>
  <c r="V609" i="26"/>
  <c r="W609" i="26"/>
  <c r="X609" i="26"/>
  <c r="Y609" i="26"/>
  <c r="Z609" i="26"/>
  <c r="AA609" i="26"/>
  <c r="AB609" i="26"/>
  <c r="AC609" i="26"/>
  <c r="AD609" i="26"/>
  <c r="AE609" i="26"/>
  <c r="AF609" i="26"/>
  <c r="AG609" i="26"/>
  <c r="AH609" i="26"/>
  <c r="K610" i="26"/>
  <c r="L610" i="26"/>
  <c r="M610" i="26"/>
  <c r="N610" i="26"/>
  <c r="O610" i="26"/>
  <c r="P610" i="26"/>
  <c r="Q610" i="26"/>
  <c r="R610" i="26"/>
  <c r="S610" i="26"/>
  <c r="T610" i="26"/>
  <c r="U610" i="26"/>
  <c r="V610" i="26"/>
  <c r="W610" i="26"/>
  <c r="X610" i="26"/>
  <c r="Y610" i="26"/>
  <c r="Z610" i="26"/>
  <c r="AA610" i="26"/>
  <c r="AB610" i="26"/>
  <c r="AC610" i="26"/>
  <c r="AD610" i="26"/>
  <c r="AE610" i="26"/>
  <c r="AF610" i="26"/>
  <c r="AG610" i="26"/>
  <c r="AH610" i="26"/>
  <c r="K611" i="26"/>
  <c r="L611" i="26"/>
  <c r="M611" i="26"/>
  <c r="N611" i="26"/>
  <c r="O611" i="26"/>
  <c r="P611" i="26"/>
  <c r="Q611" i="26"/>
  <c r="R611" i="26"/>
  <c r="S611" i="26"/>
  <c r="T611" i="26"/>
  <c r="U611" i="26"/>
  <c r="V611" i="26"/>
  <c r="W611" i="26"/>
  <c r="X611" i="26"/>
  <c r="Y611" i="26"/>
  <c r="Z611" i="26"/>
  <c r="AA611" i="26"/>
  <c r="AB611" i="26"/>
  <c r="AC611" i="26"/>
  <c r="AD611" i="26"/>
  <c r="AE611" i="26"/>
  <c r="AF611" i="26"/>
  <c r="AG611" i="26"/>
  <c r="AH611" i="26"/>
  <c r="K612" i="26"/>
  <c r="L612" i="26"/>
  <c r="M612" i="26"/>
  <c r="N612" i="26"/>
  <c r="O612" i="26"/>
  <c r="P612" i="26"/>
  <c r="Q612" i="26"/>
  <c r="R612" i="26"/>
  <c r="S612" i="26"/>
  <c r="T612" i="26"/>
  <c r="U612" i="26"/>
  <c r="V612" i="26"/>
  <c r="W612" i="26"/>
  <c r="X612" i="26"/>
  <c r="Y612" i="26"/>
  <c r="Z612" i="26"/>
  <c r="AA612" i="26"/>
  <c r="AB612" i="26"/>
  <c r="AC612" i="26"/>
  <c r="AD612" i="26"/>
  <c r="AE612" i="26"/>
  <c r="AF612" i="26"/>
  <c r="AG612" i="26"/>
  <c r="AH612" i="26"/>
  <c r="K613" i="26"/>
  <c r="L613" i="26"/>
  <c r="M613" i="26"/>
  <c r="N613" i="26"/>
  <c r="O613" i="26"/>
  <c r="P613" i="26"/>
  <c r="Q613" i="26"/>
  <c r="R613" i="26"/>
  <c r="S613" i="26"/>
  <c r="T613" i="26"/>
  <c r="U613" i="26"/>
  <c r="V613" i="26"/>
  <c r="W613" i="26"/>
  <c r="X613" i="26"/>
  <c r="Y613" i="26"/>
  <c r="Z613" i="26"/>
  <c r="AA613" i="26"/>
  <c r="AB613" i="26"/>
  <c r="AC613" i="26"/>
  <c r="AD613" i="26"/>
  <c r="AE613" i="26"/>
  <c r="AF613" i="26"/>
  <c r="AG613" i="26"/>
  <c r="AH613" i="26"/>
  <c r="K614" i="26"/>
  <c r="L614" i="26"/>
  <c r="M614" i="26"/>
  <c r="N614" i="26"/>
  <c r="O614" i="26"/>
  <c r="P614" i="26"/>
  <c r="Q614" i="26"/>
  <c r="R614" i="26"/>
  <c r="S614" i="26"/>
  <c r="T614" i="26"/>
  <c r="U614" i="26"/>
  <c r="V614" i="26"/>
  <c r="W614" i="26"/>
  <c r="X614" i="26"/>
  <c r="Y614" i="26"/>
  <c r="Z614" i="26"/>
  <c r="AA614" i="26"/>
  <c r="AB614" i="26"/>
  <c r="AC614" i="26"/>
  <c r="AD614" i="26"/>
  <c r="AE614" i="26"/>
  <c r="AF614" i="26"/>
  <c r="AG614" i="26"/>
  <c r="AH614" i="26"/>
  <c r="K615" i="26"/>
  <c r="L615" i="26"/>
  <c r="M615" i="26"/>
  <c r="N615" i="26"/>
  <c r="O615" i="26"/>
  <c r="P615" i="26"/>
  <c r="Q615" i="26"/>
  <c r="R615" i="26"/>
  <c r="S615" i="26"/>
  <c r="T615" i="26"/>
  <c r="U615" i="26"/>
  <c r="V615" i="26"/>
  <c r="W615" i="26"/>
  <c r="X615" i="26"/>
  <c r="Y615" i="26"/>
  <c r="Z615" i="26"/>
  <c r="AA615" i="26"/>
  <c r="AB615" i="26"/>
  <c r="AC615" i="26"/>
  <c r="AD615" i="26"/>
  <c r="AE615" i="26"/>
  <c r="AF615" i="26"/>
  <c r="AG615" i="26"/>
  <c r="AH615" i="26"/>
  <c r="K616" i="26"/>
  <c r="L616" i="26"/>
  <c r="M616" i="26"/>
  <c r="N616" i="26"/>
  <c r="O616" i="26"/>
  <c r="P616" i="26"/>
  <c r="Q616" i="26"/>
  <c r="R616" i="26"/>
  <c r="S616" i="26"/>
  <c r="T616" i="26"/>
  <c r="U616" i="26"/>
  <c r="V616" i="26"/>
  <c r="W616" i="26"/>
  <c r="X616" i="26"/>
  <c r="Y616" i="26"/>
  <c r="Z616" i="26"/>
  <c r="AA616" i="26"/>
  <c r="AB616" i="26"/>
  <c r="AC616" i="26"/>
  <c r="AD616" i="26"/>
  <c r="AE616" i="26"/>
  <c r="AF616" i="26"/>
  <c r="AG616" i="26"/>
  <c r="AH616" i="26"/>
  <c r="K617" i="26"/>
  <c r="L617" i="26"/>
  <c r="M617" i="26"/>
  <c r="N617" i="26"/>
  <c r="O617" i="26"/>
  <c r="P617" i="26"/>
  <c r="Q617" i="26"/>
  <c r="R617" i="26"/>
  <c r="S617" i="26"/>
  <c r="T617" i="26"/>
  <c r="U617" i="26"/>
  <c r="V617" i="26"/>
  <c r="W617" i="26"/>
  <c r="X617" i="26"/>
  <c r="Y617" i="26"/>
  <c r="Z617" i="26"/>
  <c r="AA617" i="26"/>
  <c r="AB617" i="26"/>
  <c r="AC617" i="26"/>
  <c r="AD617" i="26"/>
  <c r="AE617" i="26"/>
  <c r="AF617" i="26"/>
  <c r="AG617" i="26"/>
  <c r="AH617" i="26"/>
  <c r="K618" i="26"/>
  <c r="L618" i="26"/>
  <c r="M618" i="26"/>
  <c r="N618" i="26"/>
  <c r="O618" i="26"/>
  <c r="P618" i="26"/>
  <c r="Q618" i="26"/>
  <c r="R618" i="26"/>
  <c r="S618" i="26"/>
  <c r="T618" i="26"/>
  <c r="U618" i="26"/>
  <c r="V618" i="26"/>
  <c r="W618" i="26"/>
  <c r="X618" i="26"/>
  <c r="Y618" i="26"/>
  <c r="Z618" i="26"/>
  <c r="AA618" i="26"/>
  <c r="AB618" i="26"/>
  <c r="AC618" i="26"/>
  <c r="AD618" i="26"/>
  <c r="AE618" i="26"/>
  <c r="AF618" i="26"/>
  <c r="AG618" i="26"/>
  <c r="AH618" i="26"/>
  <c r="K619" i="26"/>
  <c r="L619" i="26"/>
  <c r="M619" i="26"/>
  <c r="N619" i="26"/>
  <c r="O619" i="26"/>
  <c r="P619" i="26"/>
  <c r="Q619" i="26"/>
  <c r="R619" i="26"/>
  <c r="S619" i="26"/>
  <c r="T619" i="26"/>
  <c r="U619" i="26"/>
  <c r="V619" i="26"/>
  <c r="W619" i="26"/>
  <c r="X619" i="26"/>
  <c r="Y619" i="26"/>
  <c r="Z619" i="26"/>
  <c r="AA619" i="26"/>
  <c r="AB619" i="26"/>
  <c r="AC619" i="26"/>
  <c r="AD619" i="26"/>
  <c r="AE619" i="26"/>
  <c r="AF619" i="26"/>
  <c r="AG619" i="26"/>
  <c r="AH619" i="26"/>
  <c r="K620" i="26"/>
  <c r="L620" i="26"/>
  <c r="M620" i="26"/>
  <c r="N620" i="26"/>
  <c r="O620" i="26"/>
  <c r="P620" i="26"/>
  <c r="Q620" i="26"/>
  <c r="R620" i="26"/>
  <c r="S620" i="26"/>
  <c r="T620" i="26"/>
  <c r="U620" i="26"/>
  <c r="V620" i="26"/>
  <c r="W620" i="26"/>
  <c r="X620" i="26"/>
  <c r="Y620" i="26"/>
  <c r="Z620" i="26"/>
  <c r="AA620" i="26"/>
  <c r="AB620" i="26"/>
  <c r="AC620" i="26"/>
  <c r="AD620" i="26"/>
  <c r="AE620" i="26"/>
  <c r="AF620" i="26"/>
  <c r="AG620" i="26"/>
  <c r="AH620" i="26"/>
  <c r="K621" i="26"/>
  <c r="L621" i="26"/>
  <c r="M621" i="26"/>
  <c r="N621" i="26"/>
  <c r="O621" i="26"/>
  <c r="P621" i="26"/>
  <c r="Q621" i="26"/>
  <c r="R621" i="26"/>
  <c r="S621" i="26"/>
  <c r="T621" i="26"/>
  <c r="U621" i="26"/>
  <c r="V621" i="26"/>
  <c r="W621" i="26"/>
  <c r="X621" i="26"/>
  <c r="Y621" i="26"/>
  <c r="Z621" i="26"/>
  <c r="AA621" i="26"/>
  <c r="AB621" i="26"/>
  <c r="AC621" i="26"/>
  <c r="AD621" i="26"/>
  <c r="AE621" i="26"/>
  <c r="AF621" i="26"/>
  <c r="AG621" i="26"/>
  <c r="AH621" i="26"/>
  <c r="K622" i="26"/>
  <c r="L622" i="26"/>
  <c r="M622" i="26"/>
  <c r="N622" i="26"/>
  <c r="O622" i="26"/>
  <c r="P622" i="26"/>
  <c r="Q622" i="26"/>
  <c r="R622" i="26"/>
  <c r="S622" i="26"/>
  <c r="T622" i="26"/>
  <c r="U622" i="26"/>
  <c r="V622" i="26"/>
  <c r="W622" i="26"/>
  <c r="X622" i="26"/>
  <c r="Y622" i="26"/>
  <c r="Z622" i="26"/>
  <c r="AA622" i="26"/>
  <c r="AB622" i="26"/>
  <c r="AC622" i="26"/>
  <c r="AD622" i="26"/>
  <c r="AE622" i="26"/>
  <c r="AF622" i="26"/>
  <c r="AG622" i="26"/>
  <c r="AH622" i="26"/>
  <c r="K623" i="26"/>
  <c r="L623" i="26"/>
  <c r="M623" i="26"/>
  <c r="N623" i="26"/>
  <c r="O623" i="26"/>
  <c r="P623" i="26"/>
  <c r="Q623" i="26"/>
  <c r="R623" i="26"/>
  <c r="S623" i="26"/>
  <c r="T623" i="26"/>
  <c r="U623" i="26"/>
  <c r="V623" i="26"/>
  <c r="W623" i="26"/>
  <c r="X623" i="26"/>
  <c r="Y623" i="26"/>
  <c r="Z623" i="26"/>
  <c r="AA623" i="26"/>
  <c r="AB623" i="26"/>
  <c r="AC623" i="26"/>
  <c r="AD623" i="26"/>
  <c r="AE623" i="26"/>
  <c r="AF623" i="26"/>
  <c r="AG623" i="26"/>
  <c r="AH623" i="26"/>
  <c r="K624" i="26"/>
  <c r="L624" i="26"/>
  <c r="M624" i="26"/>
  <c r="N624" i="26"/>
  <c r="O624" i="26"/>
  <c r="P624" i="26"/>
  <c r="Q624" i="26"/>
  <c r="R624" i="26"/>
  <c r="S624" i="26"/>
  <c r="T624" i="26"/>
  <c r="U624" i="26"/>
  <c r="V624" i="26"/>
  <c r="W624" i="26"/>
  <c r="X624" i="26"/>
  <c r="Y624" i="26"/>
  <c r="Z624" i="26"/>
  <c r="AA624" i="26"/>
  <c r="AB624" i="26"/>
  <c r="AC624" i="26"/>
  <c r="AD624" i="26"/>
  <c r="AE624" i="26"/>
  <c r="AF624" i="26"/>
  <c r="AG624" i="26"/>
  <c r="AH624" i="26"/>
  <c r="K625" i="26"/>
  <c r="L625" i="26"/>
  <c r="M625" i="26"/>
  <c r="N625" i="26"/>
  <c r="O625" i="26"/>
  <c r="P625" i="26"/>
  <c r="Q625" i="26"/>
  <c r="R625" i="26"/>
  <c r="S625" i="26"/>
  <c r="T625" i="26"/>
  <c r="U625" i="26"/>
  <c r="V625" i="26"/>
  <c r="W625" i="26"/>
  <c r="X625" i="26"/>
  <c r="Y625" i="26"/>
  <c r="Z625" i="26"/>
  <c r="AA625" i="26"/>
  <c r="AB625" i="26"/>
  <c r="AC625" i="26"/>
  <c r="AD625" i="26"/>
  <c r="AE625" i="26"/>
  <c r="AF625" i="26"/>
  <c r="AG625" i="26"/>
  <c r="AH625" i="26"/>
  <c r="K626" i="26"/>
  <c r="L626" i="26"/>
  <c r="M626" i="26"/>
  <c r="N626" i="26"/>
  <c r="O626" i="26"/>
  <c r="P626" i="26"/>
  <c r="Q626" i="26"/>
  <c r="R626" i="26"/>
  <c r="S626" i="26"/>
  <c r="T626" i="26"/>
  <c r="U626" i="26"/>
  <c r="V626" i="26"/>
  <c r="W626" i="26"/>
  <c r="X626" i="26"/>
  <c r="Y626" i="26"/>
  <c r="Z626" i="26"/>
  <c r="AA626" i="26"/>
  <c r="AB626" i="26"/>
  <c r="AC626" i="26"/>
  <c r="AD626" i="26"/>
  <c r="AE626" i="26"/>
  <c r="AF626" i="26"/>
  <c r="AG626" i="26"/>
  <c r="AH626" i="26"/>
  <c r="K627" i="26"/>
  <c r="L627" i="26"/>
  <c r="M627" i="26"/>
  <c r="N627" i="26"/>
  <c r="O627" i="26"/>
  <c r="P627" i="26"/>
  <c r="Q627" i="26"/>
  <c r="R627" i="26"/>
  <c r="S627" i="26"/>
  <c r="T627" i="26"/>
  <c r="U627" i="26"/>
  <c r="V627" i="26"/>
  <c r="W627" i="26"/>
  <c r="X627" i="26"/>
  <c r="Y627" i="26"/>
  <c r="Z627" i="26"/>
  <c r="AA627" i="26"/>
  <c r="AB627" i="26"/>
  <c r="AC627" i="26"/>
  <c r="AD627" i="26"/>
  <c r="AE627" i="26"/>
  <c r="AF627" i="26"/>
  <c r="AG627" i="26"/>
  <c r="AH627" i="26"/>
  <c r="K628" i="26"/>
  <c r="L628" i="26"/>
  <c r="M628" i="26"/>
  <c r="N628" i="26"/>
  <c r="O628" i="26"/>
  <c r="P628" i="26"/>
  <c r="Q628" i="26"/>
  <c r="R628" i="26"/>
  <c r="S628" i="26"/>
  <c r="T628" i="26"/>
  <c r="U628" i="26"/>
  <c r="V628" i="26"/>
  <c r="W628" i="26"/>
  <c r="X628" i="26"/>
  <c r="Y628" i="26"/>
  <c r="Z628" i="26"/>
  <c r="AA628" i="26"/>
  <c r="AB628" i="26"/>
  <c r="AC628" i="26"/>
  <c r="AD628" i="26"/>
  <c r="AE628" i="26"/>
  <c r="AF628" i="26"/>
  <c r="AG628" i="26"/>
  <c r="AH628" i="26"/>
  <c r="K629" i="26"/>
  <c r="L629" i="26"/>
  <c r="M629" i="26"/>
  <c r="N629" i="26"/>
  <c r="O629" i="26"/>
  <c r="P629" i="26"/>
  <c r="Q629" i="26"/>
  <c r="R629" i="26"/>
  <c r="S629" i="26"/>
  <c r="T629" i="26"/>
  <c r="U629" i="26"/>
  <c r="V629" i="26"/>
  <c r="W629" i="26"/>
  <c r="X629" i="26"/>
  <c r="Y629" i="26"/>
  <c r="Z629" i="26"/>
  <c r="AA629" i="26"/>
  <c r="AB629" i="26"/>
  <c r="AC629" i="26"/>
  <c r="AD629" i="26"/>
  <c r="AE629" i="26"/>
  <c r="AF629" i="26"/>
  <c r="AG629" i="26"/>
  <c r="AH629" i="26"/>
  <c r="K630" i="26"/>
  <c r="L630" i="26"/>
  <c r="M630" i="26"/>
  <c r="N630" i="26"/>
  <c r="O630" i="26"/>
  <c r="P630" i="26"/>
  <c r="Q630" i="26"/>
  <c r="R630" i="26"/>
  <c r="S630" i="26"/>
  <c r="T630" i="26"/>
  <c r="U630" i="26"/>
  <c r="V630" i="26"/>
  <c r="W630" i="26"/>
  <c r="X630" i="26"/>
  <c r="Y630" i="26"/>
  <c r="Z630" i="26"/>
  <c r="AA630" i="26"/>
  <c r="AB630" i="26"/>
  <c r="AC630" i="26"/>
  <c r="AD630" i="26"/>
  <c r="AE630" i="26"/>
  <c r="AF630" i="26"/>
  <c r="AG630" i="26"/>
  <c r="AH630" i="26"/>
  <c r="K631" i="26"/>
  <c r="L631" i="26"/>
  <c r="M631" i="26"/>
  <c r="N631" i="26"/>
  <c r="O631" i="26"/>
  <c r="P631" i="26"/>
  <c r="Q631" i="26"/>
  <c r="R631" i="26"/>
  <c r="S631" i="26"/>
  <c r="T631" i="26"/>
  <c r="U631" i="26"/>
  <c r="V631" i="26"/>
  <c r="W631" i="26"/>
  <c r="X631" i="26"/>
  <c r="Y631" i="26"/>
  <c r="Z631" i="26"/>
  <c r="AA631" i="26"/>
  <c r="AB631" i="26"/>
  <c r="AC631" i="26"/>
  <c r="AD631" i="26"/>
  <c r="AE631" i="26"/>
  <c r="AF631" i="26"/>
  <c r="AG631" i="26"/>
  <c r="AH631" i="26"/>
  <c r="K632" i="26"/>
  <c r="L632" i="26"/>
  <c r="M632" i="26"/>
  <c r="N632" i="26"/>
  <c r="O632" i="26"/>
  <c r="P632" i="26"/>
  <c r="Q632" i="26"/>
  <c r="R632" i="26"/>
  <c r="S632" i="26"/>
  <c r="T632" i="26"/>
  <c r="U632" i="26"/>
  <c r="V632" i="26"/>
  <c r="W632" i="26"/>
  <c r="X632" i="26"/>
  <c r="Y632" i="26"/>
  <c r="Z632" i="26"/>
  <c r="AA632" i="26"/>
  <c r="AB632" i="26"/>
  <c r="AC632" i="26"/>
  <c r="AD632" i="26"/>
  <c r="AE632" i="26"/>
  <c r="AF632" i="26"/>
  <c r="AG632" i="26"/>
  <c r="AH632" i="26"/>
  <c r="K633" i="26"/>
  <c r="L633" i="26"/>
  <c r="M633" i="26"/>
  <c r="N633" i="26"/>
  <c r="O633" i="26"/>
  <c r="P633" i="26"/>
  <c r="Q633" i="26"/>
  <c r="R633" i="26"/>
  <c r="S633" i="26"/>
  <c r="T633" i="26"/>
  <c r="U633" i="26"/>
  <c r="V633" i="26"/>
  <c r="W633" i="26"/>
  <c r="X633" i="26"/>
  <c r="Y633" i="26"/>
  <c r="Z633" i="26"/>
  <c r="AA633" i="26"/>
  <c r="AB633" i="26"/>
  <c r="AC633" i="26"/>
  <c r="AD633" i="26"/>
  <c r="AE633" i="26"/>
  <c r="AF633" i="26"/>
  <c r="AG633" i="26"/>
  <c r="AH633" i="26"/>
  <c r="K634" i="26"/>
  <c r="L634" i="26"/>
  <c r="M634" i="26"/>
  <c r="N634" i="26"/>
  <c r="O634" i="26"/>
  <c r="P634" i="26"/>
  <c r="Q634" i="26"/>
  <c r="R634" i="26"/>
  <c r="S634" i="26"/>
  <c r="T634" i="26"/>
  <c r="U634" i="26"/>
  <c r="V634" i="26"/>
  <c r="W634" i="26"/>
  <c r="X634" i="26"/>
  <c r="Y634" i="26"/>
  <c r="Z634" i="26"/>
  <c r="AA634" i="26"/>
  <c r="AB634" i="26"/>
  <c r="AC634" i="26"/>
  <c r="AD634" i="26"/>
  <c r="AE634" i="26"/>
  <c r="AF634" i="26"/>
  <c r="AG634" i="26"/>
  <c r="AH634" i="26"/>
  <c r="K635" i="26"/>
  <c r="L635" i="26"/>
  <c r="M635" i="26"/>
  <c r="N635" i="26"/>
  <c r="O635" i="26"/>
  <c r="P635" i="26"/>
  <c r="Q635" i="26"/>
  <c r="R635" i="26"/>
  <c r="S635" i="26"/>
  <c r="T635" i="26"/>
  <c r="U635" i="26"/>
  <c r="V635" i="26"/>
  <c r="W635" i="26"/>
  <c r="X635" i="26"/>
  <c r="Y635" i="26"/>
  <c r="Z635" i="26"/>
  <c r="AA635" i="26"/>
  <c r="AB635" i="26"/>
  <c r="AC635" i="26"/>
  <c r="AD635" i="26"/>
  <c r="AE635" i="26"/>
  <c r="AF635" i="26"/>
  <c r="AG635" i="26"/>
  <c r="AH635" i="26"/>
  <c r="K636" i="26"/>
  <c r="L636" i="26"/>
  <c r="M636" i="26"/>
  <c r="N636" i="26"/>
  <c r="O636" i="26"/>
  <c r="P636" i="26"/>
  <c r="Q636" i="26"/>
  <c r="R636" i="26"/>
  <c r="S636" i="26"/>
  <c r="T636" i="26"/>
  <c r="U636" i="26"/>
  <c r="V636" i="26"/>
  <c r="W636" i="26"/>
  <c r="X636" i="26"/>
  <c r="Y636" i="26"/>
  <c r="Z636" i="26"/>
  <c r="AA636" i="26"/>
  <c r="AB636" i="26"/>
  <c r="AC636" i="26"/>
  <c r="AD636" i="26"/>
  <c r="AE636" i="26"/>
  <c r="AF636" i="26"/>
  <c r="AG636" i="26"/>
  <c r="AH636" i="26"/>
  <c r="K637" i="26"/>
  <c r="L637" i="26"/>
  <c r="M637" i="26"/>
  <c r="N637" i="26"/>
  <c r="O637" i="26"/>
  <c r="P637" i="26"/>
  <c r="Q637" i="26"/>
  <c r="R637" i="26"/>
  <c r="S637" i="26"/>
  <c r="T637" i="26"/>
  <c r="U637" i="26"/>
  <c r="V637" i="26"/>
  <c r="W637" i="26"/>
  <c r="X637" i="26"/>
  <c r="Y637" i="26"/>
  <c r="Z637" i="26"/>
  <c r="AA637" i="26"/>
  <c r="AB637" i="26"/>
  <c r="AC637" i="26"/>
  <c r="AD637" i="26"/>
  <c r="AE637" i="26"/>
  <c r="AF637" i="26"/>
  <c r="AG637" i="26"/>
  <c r="AH637" i="26"/>
  <c r="K638" i="26"/>
  <c r="L638" i="26"/>
  <c r="M638" i="26"/>
  <c r="N638" i="26"/>
  <c r="O638" i="26"/>
  <c r="P638" i="26"/>
  <c r="Q638" i="26"/>
  <c r="R638" i="26"/>
  <c r="S638" i="26"/>
  <c r="T638" i="26"/>
  <c r="U638" i="26"/>
  <c r="V638" i="26"/>
  <c r="W638" i="26"/>
  <c r="X638" i="26"/>
  <c r="Y638" i="26"/>
  <c r="Z638" i="26"/>
  <c r="AA638" i="26"/>
  <c r="AB638" i="26"/>
  <c r="AC638" i="26"/>
  <c r="AD638" i="26"/>
  <c r="AE638" i="26"/>
  <c r="AF638" i="26"/>
  <c r="AG638" i="26"/>
  <c r="AH638" i="26"/>
  <c r="K639" i="26"/>
  <c r="L639" i="26"/>
  <c r="M639" i="26"/>
  <c r="N639" i="26"/>
  <c r="O639" i="26"/>
  <c r="P639" i="26"/>
  <c r="Q639" i="26"/>
  <c r="R639" i="26"/>
  <c r="S639" i="26"/>
  <c r="T639" i="26"/>
  <c r="U639" i="26"/>
  <c r="V639" i="26"/>
  <c r="W639" i="26"/>
  <c r="X639" i="26"/>
  <c r="Y639" i="26"/>
  <c r="Z639" i="26"/>
  <c r="AA639" i="26"/>
  <c r="AB639" i="26"/>
  <c r="AC639" i="26"/>
  <c r="AD639" i="26"/>
  <c r="AE639" i="26"/>
  <c r="AF639" i="26"/>
  <c r="AG639" i="26"/>
  <c r="AH639" i="26"/>
  <c r="K640" i="26"/>
  <c r="L640" i="26"/>
  <c r="M640" i="26"/>
  <c r="N640" i="26"/>
  <c r="O640" i="26"/>
  <c r="P640" i="26"/>
  <c r="Q640" i="26"/>
  <c r="R640" i="26"/>
  <c r="S640" i="26"/>
  <c r="T640" i="26"/>
  <c r="U640" i="26"/>
  <c r="V640" i="26"/>
  <c r="W640" i="26"/>
  <c r="X640" i="26"/>
  <c r="Y640" i="26"/>
  <c r="Z640" i="26"/>
  <c r="AA640" i="26"/>
  <c r="AB640" i="26"/>
  <c r="AC640" i="26"/>
  <c r="AD640" i="26"/>
  <c r="AE640" i="26"/>
  <c r="AF640" i="26"/>
  <c r="AG640" i="26"/>
  <c r="AH640" i="26"/>
  <c r="K641" i="26"/>
  <c r="L641" i="26"/>
  <c r="M641" i="26"/>
  <c r="N641" i="26"/>
  <c r="O641" i="26"/>
  <c r="P641" i="26"/>
  <c r="Q641" i="26"/>
  <c r="R641" i="26"/>
  <c r="S641" i="26"/>
  <c r="T641" i="26"/>
  <c r="U641" i="26"/>
  <c r="V641" i="26"/>
  <c r="W641" i="26"/>
  <c r="X641" i="26"/>
  <c r="Y641" i="26"/>
  <c r="Z641" i="26"/>
  <c r="AA641" i="26"/>
  <c r="AB641" i="26"/>
  <c r="AC641" i="26"/>
  <c r="AD641" i="26"/>
  <c r="AE641" i="26"/>
  <c r="AF641" i="26"/>
  <c r="AG641" i="26"/>
  <c r="AH641" i="26"/>
  <c r="J6" i="26"/>
  <c r="J7" i="26"/>
  <c r="J8" i="26"/>
  <c r="J9" i="26"/>
  <c r="J10" i="26"/>
  <c r="J11" i="26"/>
  <c r="J12" i="26"/>
  <c r="J13" i="26"/>
  <c r="J14" i="26"/>
  <c r="J16" i="26"/>
  <c r="J17" i="26"/>
  <c r="J18" i="26"/>
  <c r="J19" i="26"/>
  <c r="J20" i="26"/>
  <c r="J21" i="26"/>
  <c r="J22" i="26"/>
  <c r="J23" i="26"/>
  <c r="J24" i="26"/>
  <c r="J25" i="26"/>
  <c r="J26" i="26"/>
  <c r="J27" i="26"/>
  <c r="J28" i="26"/>
  <c r="J29" i="26"/>
  <c r="J30" i="26"/>
  <c r="J31" i="26"/>
  <c r="J32" i="26"/>
  <c r="J33" i="26"/>
  <c r="J34" i="26"/>
  <c r="J35" i="26"/>
  <c r="J36" i="26"/>
  <c r="J37" i="26"/>
  <c r="J38" i="26"/>
  <c r="J39" i="26"/>
  <c r="J40" i="26"/>
  <c r="J41" i="26"/>
  <c r="J42" i="26"/>
  <c r="J43" i="26"/>
  <c r="J44" i="26"/>
  <c r="J45" i="26"/>
  <c r="J46" i="26"/>
  <c r="J47" i="26"/>
  <c r="J48" i="26"/>
  <c r="J49" i="26"/>
  <c r="J50" i="26"/>
  <c r="J51" i="26"/>
  <c r="J52" i="26"/>
  <c r="J53" i="26"/>
  <c r="J54" i="26"/>
  <c r="J55" i="26"/>
  <c r="J56" i="26"/>
  <c r="J57" i="26"/>
  <c r="J58" i="26"/>
  <c r="J59" i="26"/>
  <c r="J60" i="26"/>
  <c r="J61" i="26"/>
  <c r="J62" i="26"/>
  <c r="J63" i="26"/>
  <c r="J64" i="26"/>
  <c r="J65" i="26"/>
  <c r="J66" i="26"/>
  <c r="J67" i="26"/>
  <c r="J68" i="26"/>
  <c r="J69" i="26"/>
  <c r="J70" i="26"/>
  <c r="J71" i="26"/>
  <c r="J72" i="26"/>
  <c r="J73" i="26"/>
  <c r="J74" i="26"/>
  <c r="J75" i="26"/>
  <c r="J76" i="26"/>
  <c r="J77" i="26"/>
  <c r="J78" i="26"/>
  <c r="J79" i="26"/>
  <c r="J80" i="26"/>
  <c r="J81" i="26"/>
  <c r="J82" i="26"/>
  <c r="J83" i="26"/>
  <c r="J84" i="26"/>
  <c r="J85" i="26"/>
  <c r="J86" i="26"/>
  <c r="J87" i="26"/>
  <c r="J88" i="26"/>
  <c r="J89" i="26"/>
  <c r="J90" i="26"/>
  <c r="J91" i="26"/>
  <c r="J92" i="26"/>
  <c r="J93" i="26"/>
  <c r="J94" i="26"/>
  <c r="J95" i="26"/>
  <c r="J96" i="26"/>
  <c r="J97" i="26"/>
  <c r="J98" i="26"/>
  <c r="J99" i="26"/>
  <c r="J100" i="26"/>
  <c r="J101" i="26"/>
  <c r="J102" i="26"/>
  <c r="J103" i="26"/>
  <c r="J104" i="26"/>
  <c r="J105" i="26"/>
  <c r="J106" i="26"/>
  <c r="J107" i="26"/>
  <c r="J108" i="26"/>
  <c r="J109" i="26"/>
  <c r="J110" i="26"/>
  <c r="J111" i="26"/>
  <c r="J112" i="26"/>
  <c r="J113" i="26"/>
  <c r="J114" i="26"/>
  <c r="J115" i="26"/>
  <c r="J116" i="26"/>
  <c r="J117" i="26"/>
  <c r="J118" i="26"/>
  <c r="J119" i="26"/>
  <c r="J120" i="26"/>
  <c r="J121" i="26"/>
  <c r="J122" i="26"/>
  <c r="J123" i="26"/>
  <c r="J124" i="26"/>
  <c r="J125" i="26"/>
  <c r="J126" i="26"/>
  <c r="J127" i="26"/>
  <c r="J128" i="26"/>
  <c r="J129" i="26"/>
  <c r="J130" i="26"/>
  <c r="J131" i="26"/>
  <c r="J132" i="26"/>
  <c r="J133" i="26"/>
  <c r="J134" i="26"/>
  <c r="J135" i="26"/>
  <c r="J136" i="26"/>
  <c r="J137" i="26"/>
  <c r="J138" i="26"/>
  <c r="J139" i="26"/>
  <c r="J140" i="26"/>
  <c r="J141" i="26"/>
  <c r="J142" i="26"/>
  <c r="J143" i="26"/>
  <c r="J144" i="26"/>
  <c r="J145" i="26"/>
  <c r="J146" i="26"/>
  <c r="J147" i="26"/>
  <c r="J148" i="26"/>
  <c r="J149" i="26"/>
  <c r="J150" i="26"/>
  <c r="J151" i="26"/>
  <c r="J152" i="26"/>
  <c r="J153" i="26"/>
  <c r="J154" i="26"/>
  <c r="J155" i="26"/>
  <c r="J156" i="26"/>
  <c r="J157" i="26"/>
  <c r="J158" i="26"/>
  <c r="J159" i="26"/>
  <c r="J160" i="26"/>
  <c r="J161" i="26"/>
  <c r="J162" i="26"/>
  <c r="J163" i="26"/>
  <c r="J164" i="26"/>
  <c r="J165" i="26"/>
  <c r="J166" i="26"/>
  <c r="J167" i="26"/>
  <c r="J168" i="26"/>
  <c r="J169" i="26"/>
  <c r="J170" i="26"/>
  <c r="J171" i="26"/>
  <c r="J172" i="26"/>
  <c r="J173" i="26"/>
  <c r="J174" i="26"/>
  <c r="J175" i="26"/>
  <c r="J176" i="26"/>
  <c r="J177" i="26"/>
  <c r="J178" i="26"/>
  <c r="J179" i="26"/>
  <c r="J180" i="26"/>
  <c r="J181" i="26"/>
  <c r="J182" i="26"/>
  <c r="J183" i="26"/>
  <c r="J184" i="26"/>
  <c r="J185" i="26"/>
  <c r="J186" i="26"/>
  <c r="J187" i="26"/>
  <c r="J188" i="26"/>
  <c r="J189" i="26"/>
  <c r="J190" i="26"/>
  <c r="J191" i="26"/>
  <c r="J192" i="26"/>
  <c r="J193" i="26"/>
  <c r="J194" i="26"/>
  <c r="J195" i="26"/>
  <c r="J196" i="26"/>
  <c r="J197" i="26"/>
  <c r="J198" i="26"/>
  <c r="J199" i="26"/>
  <c r="J200" i="26"/>
  <c r="J201" i="26"/>
  <c r="J202" i="26"/>
  <c r="J203" i="26"/>
  <c r="J204" i="26"/>
  <c r="J205" i="26"/>
  <c r="J206" i="26"/>
  <c r="J207" i="26"/>
  <c r="J208" i="26"/>
  <c r="J209" i="26"/>
  <c r="J210" i="26"/>
  <c r="J211" i="26"/>
  <c r="J212" i="26"/>
  <c r="J213" i="26"/>
  <c r="J214" i="26"/>
  <c r="J215" i="26"/>
  <c r="J216" i="26"/>
  <c r="J217" i="26"/>
  <c r="J218" i="26"/>
  <c r="J219" i="26"/>
  <c r="J220" i="26"/>
  <c r="J221" i="26"/>
  <c r="J222" i="26"/>
  <c r="J223" i="26"/>
  <c r="J224" i="26"/>
  <c r="J225" i="26"/>
  <c r="J226" i="26"/>
  <c r="J227" i="26"/>
  <c r="J228" i="26"/>
  <c r="J229" i="26"/>
  <c r="J230" i="26"/>
  <c r="J231" i="26"/>
  <c r="J232" i="26"/>
  <c r="J233" i="26"/>
  <c r="J234" i="26"/>
  <c r="J235" i="26"/>
  <c r="J236" i="26"/>
  <c r="J237" i="26"/>
  <c r="J238" i="26"/>
  <c r="J239" i="26"/>
  <c r="J240" i="26"/>
  <c r="J241" i="26"/>
  <c r="J242" i="26"/>
  <c r="J243" i="26"/>
  <c r="J244" i="26"/>
  <c r="J245" i="26"/>
  <c r="J246" i="26"/>
  <c r="J247" i="26"/>
  <c r="J248" i="26"/>
  <c r="J249" i="26"/>
  <c r="J250" i="26"/>
  <c r="J251" i="26"/>
  <c r="J252" i="26"/>
  <c r="J253" i="26"/>
  <c r="J254" i="26"/>
  <c r="J255" i="26"/>
  <c r="J256" i="26"/>
  <c r="J257" i="26"/>
  <c r="J258" i="26"/>
  <c r="J259" i="26"/>
  <c r="J260" i="26"/>
  <c r="J261" i="26"/>
  <c r="J262" i="26"/>
  <c r="J263" i="26"/>
  <c r="J264" i="26"/>
  <c r="J265" i="26"/>
  <c r="J266" i="26"/>
  <c r="J267" i="26"/>
  <c r="J268" i="26"/>
  <c r="J269" i="26"/>
  <c r="J270" i="26"/>
  <c r="J271" i="26"/>
  <c r="J272" i="26"/>
  <c r="J273" i="26"/>
  <c r="J274" i="26"/>
  <c r="J275" i="26"/>
  <c r="J276" i="26"/>
  <c r="J277" i="26"/>
  <c r="J278" i="26"/>
  <c r="J279" i="26"/>
  <c r="J280" i="26"/>
  <c r="J281" i="26"/>
  <c r="J282" i="26"/>
  <c r="J283" i="26"/>
  <c r="J284" i="26"/>
  <c r="J285" i="26"/>
  <c r="J286" i="26"/>
  <c r="J287" i="26"/>
  <c r="J288" i="26"/>
  <c r="J289" i="26"/>
  <c r="J290" i="26"/>
  <c r="J291" i="26"/>
  <c r="J292" i="26"/>
  <c r="J293" i="26"/>
  <c r="J294" i="26"/>
  <c r="J295" i="26"/>
  <c r="J296" i="26"/>
  <c r="J297" i="26"/>
  <c r="J298" i="26"/>
  <c r="J299" i="26"/>
  <c r="J300" i="26"/>
  <c r="J301" i="26"/>
  <c r="J302" i="26"/>
  <c r="J303" i="26"/>
  <c r="J304" i="26"/>
  <c r="J305" i="26"/>
  <c r="J306" i="26"/>
  <c r="J307" i="26"/>
  <c r="J308" i="26"/>
  <c r="J309" i="26"/>
  <c r="J310" i="26"/>
  <c r="J311" i="26"/>
  <c r="J312" i="26"/>
  <c r="J313" i="26"/>
  <c r="J314" i="26"/>
  <c r="J315" i="26"/>
  <c r="J316" i="26"/>
  <c r="J317" i="26"/>
  <c r="J318" i="26"/>
  <c r="J319" i="26"/>
  <c r="J320" i="26"/>
  <c r="J321" i="26"/>
  <c r="J322" i="26"/>
  <c r="J323" i="26"/>
  <c r="J324" i="26"/>
  <c r="J325" i="26"/>
  <c r="J326" i="26"/>
  <c r="J327" i="26"/>
  <c r="J328" i="26"/>
  <c r="J329" i="26"/>
  <c r="J330" i="26"/>
  <c r="J331" i="26"/>
  <c r="J332" i="26"/>
  <c r="J333" i="26"/>
  <c r="J334" i="26"/>
  <c r="J335" i="26"/>
  <c r="J336" i="26"/>
  <c r="J337" i="26"/>
  <c r="J338" i="26"/>
  <c r="J339" i="26"/>
  <c r="J340" i="26"/>
  <c r="J341" i="26"/>
  <c r="J342" i="26"/>
  <c r="J343" i="26"/>
  <c r="J344" i="26"/>
  <c r="J345" i="26"/>
  <c r="J346" i="26"/>
  <c r="J347" i="26"/>
  <c r="J348" i="26"/>
  <c r="J349" i="26"/>
  <c r="J350" i="26"/>
  <c r="J351" i="26"/>
  <c r="J352" i="26"/>
  <c r="J353" i="26"/>
  <c r="J354" i="26"/>
  <c r="J355" i="26"/>
  <c r="J356" i="26"/>
  <c r="J357" i="26"/>
  <c r="J358" i="26"/>
  <c r="J359" i="26"/>
  <c r="J360" i="26"/>
  <c r="J361" i="26"/>
  <c r="J362" i="26"/>
  <c r="J363" i="26"/>
  <c r="J364" i="26"/>
  <c r="J365" i="26"/>
  <c r="J366" i="26"/>
  <c r="J367" i="26"/>
  <c r="J368" i="26"/>
  <c r="J369" i="26"/>
  <c r="J370" i="26"/>
  <c r="J371" i="26"/>
  <c r="J372" i="26"/>
  <c r="J373" i="26"/>
  <c r="J374" i="26"/>
  <c r="J375" i="26"/>
  <c r="J376" i="26"/>
  <c r="J377" i="26"/>
  <c r="J378" i="26"/>
  <c r="J379" i="26"/>
  <c r="J380" i="26"/>
  <c r="J381" i="26"/>
  <c r="J382" i="26"/>
  <c r="J383" i="26"/>
  <c r="J384" i="26"/>
  <c r="J385" i="26"/>
  <c r="J386" i="26"/>
  <c r="J387" i="26"/>
  <c r="J388" i="26"/>
  <c r="J389" i="26"/>
  <c r="J390" i="26"/>
  <c r="J391" i="26"/>
  <c r="J392" i="26"/>
  <c r="J393" i="26"/>
  <c r="J394" i="26"/>
  <c r="J395" i="26"/>
  <c r="J396" i="26"/>
  <c r="J397" i="26"/>
  <c r="J398" i="26"/>
  <c r="J399" i="26"/>
  <c r="J400" i="26"/>
  <c r="J401" i="26"/>
  <c r="J402" i="26"/>
  <c r="J403" i="26"/>
  <c r="J404" i="26"/>
  <c r="J405" i="26"/>
  <c r="J406" i="26"/>
  <c r="J407" i="26"/>
  <c r="J408" i="26"/>
  <c r="J409" i="26"/>
  <c r="J410" i="26"/>
  <c r="J411" i="26"/>
  <c r="J412" i="26"/>
  <c r="J413" i="26"/>
  <c r="J414" i="26"/>
  <c r="J415" i="26"/>
  <c r="J416" i="26"/>
  <c r="J417" i="26"/>
  <c r="J418" i="26"/>
  <c r="J419" i="26"/>
  <c r="J420" i="26"/>
  <c r="J421" i="26"/>
  <c r="J422" i="26"/>
  <c r="J423" i="26"/>
  <c r="J424" i="26"/>
  <c r="J425" i="26"/>
  <c r="J426" i="26"/>
  <c r="J427" i="26"/>
  <c r="J428" i="26"/>
  <c r="J429" i="26"/>
  <c r="J430" i="26"/>
  <c r="J431" i="26"/>
  <c r="J432" i="26"/>
  <c r="J433" i="26"/>
  <c r="J434" i="26"/>
  <c r="J435" i="26"/>
  <c r="J436" i="26"/>
  <c r="J437" i="26"/>
  <c r="J438" i="26"/>
  <c r="J439" i="26"/>
  <c r="J440" i="26"/>
  <c r="J441" i="26"/>
  <c r="J442" i="26"/>
  <c r="J443" i="26"/>
  <c r="J444" i="26"/>
  <c r="J445" i="26"/>
  <c r="J446" i="26"/>
  <c r="J447" i="26"/>
  <c r="J448" i="26"/>
  <c r="J449" i="26"/>
  <c r="J450" i="26"/>
  <c r="J451" i="26"/>
  <c r="J452" i="26"/>
  <c r="J453" i="26"/>
  <c r="J454" i="26"/>
  <c r="J455" i="26"/>
  <c r="J456" i="26"/>
  <c r="J457" i="26"/>
  <c r="J458" i="26"/>
  <c r="J459" i="26"/>
  <c r="J460" i="26"/>
  <c r="J461" i="26"/>
  <c r="J462" i="26"/>
  <c r="J463" i="26"/>
  <c r="J464" i="26"/>
  <c r="J465" i="26"/>
  <c r="J466" i="26"/>
  <c r="J467" i="26"/>
  <c r="J468" i="26"/>
  <c r="J469" i="26"/>
  <c r="J470" i="26"/>
  <c r="J471" i="26"/>
  <c r="J472" i="26"/>
  <c r="J473" i="26"/>
  <c r="J474" i="26"/>
  <c r="J475" i="26"/>
  <c r="J476" i="26"/>
  <c r="J477" i="26"/>
  <c r="J478" i="26"/>
  <c r="J479" i="26"/>
  <c r="J480" i="26"/>
  <c r="J481" i="26"/>
  <c r="J482" i="26"/>
  <c r="J483" i="26"/>
  <c r="J484" i="26"/>
  <c r="J485" i="26"/>
  <c r="J486" i="26"/>
  <c r="J487" i="26"/>
  <c r="J488" i="26"/>
  <c r="J489" i="26"/>
  <c r="J490" i="26"/>
  <c r="J491" i="26"/>
  <c r="J492" i="26"/>
  <c r="J493" i="26"/>
  <c r="J494" i="26"/>
  <c r="J495" i="26"/>
  <c r="J496" i="26"/>
  <c r="J497" i="26"/>
  <c r="J498" i="26"/>
  <c r="J499" i="26"/>
  <c r="J500" i="26"/>
  <c r="J501" i="26"/>
  <c r="J502" i="26"/>
  <c r="J503" i="26"/>
  <c r="J504" i="26"/>
  <c r="J505" i="26"/>
  <c r="J506" i="26"/>
  <c r="J507" i="26"/>
  <c r="J508" i="26"/>
  <c r="J509" i="26"/>
  <c r="J510" i="26"/>
  <c r="J511" i="26"/>
  <c r="J512" i="26"/>
  <c r="J513" i="26"/>
  <c r="J514" i="26"/>
  <c r="J515" i="26"/>
  <c r="J516" i="26"/>
  <c r="J517" i="26"/>
  <c r="J518" i="26"/>
  <c r="J519" i="26"/>
  <c r="J520" i="26"/>
  <c r="J521" i="26"/>
  <c r="J522" i="26"/>
  <c r="J523" i="26"/>
  <c r="J524" i="26"/>
  <c r="J525" i="26"/>
  <c r="J526" i="26"/>
  <c r="J527" i="26"/>
  <c r="J528" i="26"/>
  <c r="J529" i="26"/>
  <c r="J530" i="26"/>
  <c r="J531" i="26"/>
  <c r="J532" i="26"/>
  <c r="J533" i="26"/>
  <c r="J534" i="26"/>
  <c r="J535" i="26"/>
  <c r="J536" i="26"/>
  <c r="J537" i="26"/>
  <c r="J538" i="26"/>
  <c r="J539" i="26"/>
  <c r="J540" i="26"/>
  <c r="J541" i="26"/>
  <c r="J542" i="26"/>
  <c r="J543" i="26"/>
  <c r="J544" i="26"/>
  <c r="J545" i="26"/>
  <c r="J546" i="26"/>
  <c r="J547" i="26"/>
  <c r="J548" i="26"/>
  <c r="J549" i="26"/>
  <c r="J550" i="26"/>
  <c r="J551" i="26"/>
  <c r="J552" i="26"/>
  <c r="J553" i="26"/>
  <c r="J554" i="26"/>
  <c r="J555" i="26"/>
  <c r="J556" i="26"/>
  <c r="J557" i="26"/>
  <c r="J558" i="26"/>
  <c r="J559" i="26"/>
  <c r="J560" i="26"/>
  <c r="J561" i="26"/>
  <c r="J562" i="26"/>
  <c r="J563" i="26"/>
  <c r="J564" i="26"/>
  <c r="J565" i="26"/>
  <c r="J566" i="26"/>
  <c r="J567" i="26"/>
  <c r="J568" i="26"/>
  <c r="J569" i="26"/>
  <c r="J570" i="26"/>
  <c r="J571" i="26"/>
  <c r="J572" i="26"/>
  <c r="J573" i="26"/>
  <c r="J574" i="26"/>
  <c r="J575" i="26"/>
  <c r="J576" i="26"/>
  <c r="J577" i="26"/>
  <c r="J578" i="26"/>
  <c r="J579" i="26"/>
  <c r="J580" i="26"/>
  <c r="J581" i="26"/>
  <c r="J582" i="26"/>
  <c r="J583" i="26"/>
  <c r="J584" i="26"/>
  <c r="J585" i="26"/>
  <c r="J586" i="26"/>
  <c r="J587" i="26"/>
  <c r="J588" i="26"/>
  <c r="J589" i="26"/>
  <c r="J590" i="26"/>
  <c r="J591" i="26"/>
  <c r="J592" i="26"/>
  <c r="J593" i="26"/>
  <c r="J594" i="26"/>
  <c r="J595" i="26"/>
  <c r="J596" i="26"/>
  <c r="J597" i="26"/>
  <c r="J598" i="26"/>
  <c r="J599" i="26"/>
  <c r="J600" i="26"/>
  <c r="J601" i="26"/>
  <c r="J602" i="26"/>
  <c r="J603" i="26"/>
  <c r="J604" i="26"/>
  <c r="J605" i="26"/>
  <c r="J606" i="26"/>
  <c r="J607" i="26"/>
  <c r="J608" i="26"/>
  <c r="J609" i="26"/>
  <c r="J610" i="26"/>
  <c r="J611" i="26"/>
  <c r="J612" i="26"/>
  <c r="J613" i="26"/>
  <c r="J614" i="26"/>
  <c r="J615" i="26"/>
  <c r="J616" i="26"/>
  <c r="J617" i="26"/>
  <c r="J618" i="26"/>
  <c r="J619" i="26"/>
  <c r="J620" i="26"/>
  <c r="J621" i="26"/>
  <c r="J622" i="26"/>
  <c r="J623" i="26"/>
  <c r="J624" i="26"/>
  <c r="J625" i="26"/>
  <c r="J626" i="26"/>
  <c r="J627" i="26"/>
  <c r="J628" i="26"/>
  <c r="J629" i="26"/>
  <c r="J630" i="26"/>
  <c r="J631" i="26"/>
  <c r="J632" i="26"/>
  <c r="J633" i="26"/>
  <c r="J634" i="26"/>
  <c r="J635" i="26"/>
  <c r="J636" i="26"/>
  <c r="J637" i="26"/>
  <c r="J638" i="26"/>
  <c r="J639" i="26"/>
  <c r="J640" i="26"/>
  <c r="J641" i="26"/>
  <c r="I6" i="26"/>
  <c r="I7" i="26"/>
  <c r="I8" i="26"/>
  <c r="I9" i="26"/>
  <c r="I10" i="26"/>
  <c r="I11" i="26"/>
  <c r="I12" i="26"/>
  <c r="I13" i="26"/>
  <c r="I14" i="26"/>
  <c r="I16" i="26"/>
  <c r="I17" i="26"/>
  <c r="I18" i="26"/>
  <c r="I19" i="26"/>
  <c r="I20" i="26"/>
  <c r="I21" i="26"/>
  <c r="I22" i="26"/>
  <c r="I23" i="26"/>
  <c r="I24" i="26"/>
  <c r="I25" i="26"/>
  <c r="I26" i="26"/>
  <c r="I27" i="26"/>
  <c r="I28" i="26"/>
  <c r="I29" i="26"/>
  <c r="I30" i="26"/>
  <c r="I31" i="26"/>
  <c r="I32" i="26"/>
  <c r="I33" i="26"/>
  <c r="I34" i="26"/>
  <c r="I35" i="26"/>
  <c r="I36" i="26"/>
  <c r="I37" i="26"/>
  <c r="I38" i="26"/>
  <c r="I39" i="26"/>
  <c r="I40" i="26"/>
  <c r="I41" i="26"/>
  <c r="I42" i="26"/>
  <c r="I43" i="26"/>
  <c r="I44" i="26"/>
  <c r="I45" i="26"/>
  <c r="I46" i="26"/>
  <c r="I47" i="26"/>
  <c r="I48" i="26"/>
  <c r="I49" i="26"/>
  <c r="I50" i="26"/>
  <c r="I51" i="26"/>
  <c r="I52" i="26"/>
  <c r="I53" i="26"/>
  <c r="I54" i="26"/>
  <c r="I55" i="26"/>
  <c r="I56" i="26"/>
  <c r="I57" i="26"/>
  <c r="I58" i="26"/>
  <c r="I59" i="26"/>
  <c r="I60" i="26"/>
  <c r="I61" i="26"/>
  <c r="I62" i="26"/>
  <c r="I63" i="26"/>
  <c r="I64" i="26"/>
  <c r="I65" i="26"/>
  <c r="I66" i="26"/>
  <c r="I67" i="26"/>
  <c r="I68" i="26"/>
  <c r="I69" i="26"/>
  <c r="I70" i="26"/>
  <c r="I71" i="26"/>
  <c r="I72" i="26"/>
  <c r="I73" i="26"/>
  <c r="I74" i="26"/>
  <c r="I75" i="26"/>
  <c r="I76" i="26"/>
  <c r="I77" i="26"/>
  <c r="I78" i="26"/>
  <c r="I79" i="26"/>
  <c r="I80" i="26"/>
  <c r="I81" i="26"/>
  <c r="I82" i="26"/>
  <c r="I83" i="26"/>
  <c r="I84" i="26"/>
  <c r="I85" i="26"/>
  <c r="I86" i="26"/>
  <c r="I87" i="26"/>
  <c r="I88" i="26"/>
  <c r="I89" i="26"/>
  <c r="I90" i="26"/>
  <c r="I91" i="26"/>
  <c r="I92" i="26"/>
  <c r="I93" i="26"/>
  <c r="I94" i="26"/>
  <c r="I95" i="26"/>
  <c r="I96" i="26"/>
  <c r="I97" i="26"/>
  <c r="I98" i="26"/>
  <c r="I99" i="26"/>
  <c r="I100" i="26"/>
  <c r="I101" i="26"/>
  <c r="I102" i="26"/>
  <c r="I103" i="26"/>
  <c r="I104" i="26"/>
  <c r="I105" i="26"/>
  <c r="I106" i="26"/>
  <c r="I107" i="26"/>
  <c r="I108" i="26"/>
  <c r="I109" i="26"/>
  <c r="I110" i="26"/>
  <c r="I111" i="26"/>
  <c r="I112" i="26"/>
  <c r="I113" i="26"/>
  <c r="I114" i="26"/>
  <c r="I115" i="26"/>
  <c r="I116" i="26"/>
  <c r="I117" i="26"/>
  <c r="I118" i="26"/>
  <c r="I119" i="26"/>
  <c r="I120" i="26"/>
  <c r="I121" i="26"/>
  <c r="I122" i="26"/>
  <c r="I123" i="26"/>
  <c r="I124" i="26"/>
  <c r="I125" i="26"/>
  <c r="I126" i="26"/>
  <c r="I127" i="26"/>
  <c r="I128" i="26"/>
  <c r="I129" i="26"/>
  <c r="I130" i="26"/>
  <c r="I131" i="26"/>
  <c r="I132" i="26"/>
  <c r="I133" i="26"/>
  <c r="I134" i="26"/>
  <c r="I135" i="26"/>
  <c r="I136" i="26"/>
  <c r="I137" i="26"/>
  <c r="I138" i="26"/>
  <c r="I139" i="26"/>
  <c r="I140" i="26"/>
  <c r="I141" i="26"/>
  <c r="I142" i="26"/>
  <c r="I143" i="26"/>
  <c r="I144" i="26"/>
  <c r="I145" i="26"/>
  <c r="I146" i="26"/>
  <c r="I147" i="26"/>
  <c r="I148" i="26"/>
  <c r="I149" i="26"/>
  <c r="I150" i="26"/>
  <c r="I151" i="26"/>
  <c r="I152" i="26"/>
  <c r="I153" i="26"/>
  <c r="I154" i="26"/>
  <c r="I155" i="26"/>
  <c r="I156" i="26"/>
  <c r="I157" i="26"/>
  <c r="I158" i="26"/>
  <c r="I159" i="26"/>
  <c r="I160" i="26"/>
  <c r="I161" i="26"/>
  <c r="I162" i="26"/>
  <c r="I163" i="26"/>
  <c r="I164" i="26"/>
  <c r="I165" i="26"/>
  <c r="I166" i="26"/>
  <c r="I167" i="26"/>
  <c r="I168" i="26"/>
  <c r="I169" i="26"/>
  <c r="I170" i="26"/>
  <c r="I171" i="26"/>
  <c r="I172" i="26"/>
  <c r="I173" i="26"/>
  <c r="I174" i="26"/>
  <c r="I175" i="26"/>
  <c r="I176" i="26"/>
  <c r="I177" i="26"/>
  <c r="I178" i="26"/>
  <c r="I179" i="26"/>
  <c r="I180" i="26"/>
  <c r="I181" i="26"/>
  <c r="I182" i="26"/>
  <c r="I183" i="26"/>
  <c r="I184" i="26"/>
  <c r="I185" i="26"/>
  <c r="I186" i="26"/>
  <c r="I187" i="26"/>
  <c r="I188" i="26"/>
  <c r="I189" i="26"/>
  <c r="I190" i="26"/>
  <c r="I191" i="26"/>
  <c r="I192" i="26"/>
  <c r="I193" i="26"/>
  <c r="I194" i="26"/>
  <c r="I195" i="26"/>
  <c r="I196" i="26"/>
  <c r="I197" i="26"/>
  <c r="I198" i="26"/>
  <c r="I199" i="26"/>
  <c r="I200" i="26"/>
  <c r="I201" i="26"/>
  <c r="I202" i="26"/>
  <c r="I203" i="26"/>
  <c r="I204" i="26"/>
  <c r="I205" i="26"/>
  <c r="I206" i="26"/>
  <c r="I207" i="26"/>
  <c r="I208" i="26"/>
  <c r="I209" i="26"/>
  <c r="I210" i="26"/>
  <c r="I211" i="26"/>
  <c r="I212" i="26"/>
  <c r="I213" i="26"/>
  <c r="I214" i="26"/>
  <c r="I215" i="26"/>
  <c r="I216" i="26"/>
  <c r="I217" i="26"/>
  <c r="I218" i="26"/>
  <c r="I219" i="26"/>
  <c r="I220" i="26"/>
  <c r="I221" i="26"/>
  <c r="I222" i="26"/>
  <c r="I223" i="26"/>
  <c r="I224" i="26"/>
  <c r="I225" i="26"/>
  <c r="I226" i="26"/>
  <c r="I227" i="26"/>
  <c r="I228" i="26"/>
  <c r="I229" i="26"/>
  <c r="I230" i="26"/>
  <c r="I231" i="26"/>
  <c r="I232" i="26"/>
  <c r="I233" i="26"/>
  <c r="I234" i="26"/>
  <c r="I235" i="26"/>
  <c r="I236" i="26"/>
  <c r="I237" i="26"/>
  <c r="I238" i="26"/>
  <c r="I239" i="26"/>
  <c r="I240" i="26"/>
  <c r="I241" i="26"/>
  <c r="I242" i="26"/>
  <c r="I243" i="26"/>
  <c r="I244" i="26"/>
  <c r="I245" i="26"/>
  <c r="I246" i="26"/>
  <c r="I247" i="26"/>
  <c r="I248" i="26"/>
  <c r="I249" i="26"/>
  <c r="I250" i="26"/>
  <c r="I251" i="26"/>
  <c r="I252" i="26"/>
  <c r="I253" i="26"/>
  <c r="I254" i="26"/>
  <c r="I255" i="26"/>
  <c r="I256" i="26"/>
  <c r="I257" i="26"/>
  <c r="I258" i="26"/>
  <c r="I259" i="26"/>
  <c r="I260" i="26"/>
  <c r="I261" i="26"/>
  <c r="I262" i="26"/>
  <c r="I263" i="26"/>
  <c r="I264" i="26"/>
  <c r="I265" i="26"/>
  <c r="I266" i="26"/>
  <c r="I267" i="26"/>
  <c r="I268" i="26"/>
  <c r="I269" i="26"/>
  <c r="I270" i="26"/>
  <c r="I271" i="26"/>
  <c r="I272" i="26"/>
  <c r="I273" i="26"/>
  <c r="I274" i="26"/>
  <c r="I275" i="26"/>
  <c r="I276" i="26"/>
  <c r="I277" i="26"/>
  <c r="I278" i="26"/>
  <c r="I279" i="26"/>
  <c r="I280" i="26"/>
  <c r="I281" i="26"/>
  <c r="I282" i="26"/>
  <c r="I283" i="26"/>
  <c r="I284" i="26"/>
  <c r="I285" i="26"/>
  <c r="I286" i="26"/>
  <c r="I287" i="26"/>
  <c r="I288" i="26"/>
  <c r="I289" i="26"/>
  <c r="I290" i="26"/>
  <c r="I291" i="26"/>
  <c r="I292" i="26"/>
  <c r="I293" i="26"/>
  <c r="I294" i="26"/>
  <c r="I295" i="26"/>
  <c r="I296" i="26"/>
  <c r="I297" i="26"/>
  <c r="I298" i="26"/>
  <c r="I299" i="26"/>
  <c r="I300" i="26"/>
  <c r="I301" i="26"/>
  <c r="I302" i="26"/>
  <c r="I303" i="26"/>
  <c r="I304" i="26"/>
  <c r="I305" i="26"/>
  <c r="I306" i="26"/>
  <c r="I307" i="26"/>
  <c r="I308" i="26"/>
  <c r="I309" i="26"/>
  <c r="I310" i="26"/>
  <c r="I311" i="26"/>
  <c r="I312" i="26"/>
  <c r="I313" i="26"/>
  <c r="I314" i="26"/>
  <c r="I315" i="26"/>
  <c r="I316" i="26"/>
  <c r="I318" i="26"/>
  <c r="I319" i="26"/>
  <c r="I320" i="26"/>
  <c r="I326" i="26"/>
  <c r="I327" i="26"/>
  <c r="I328" i="26"/>
  <c r="I329" i="26"/>
  <c r="I330" i="26"/>
  <c r="I331" i="26"/>
  <c r="I332" i="26"/>
  <c r="I333" i="26"/>
  <c r="I336" i="26"/>
  <c r="I337" i="26"/>
  <c r="I338" i="26"/>
  <c r="I339" i="26"/>
  <c r="I340" i="26"/>
  <c r="I341" i="26"/>
  <c r="I342" i="26"/>
  <c r="I343" i="26"/>
  <c r="I344" i="26"/>
  <c r="I345" i="26"/>
  <c r="I346" i="26"/>
  <c r="I347" i="26"/>
  <c r="I348" i="26"/>
  <c r="I349" i="26"/>
  <c r="I350" i="26"/>
  <c r="I351" i="26"/>
  <c r="I352" i="26"/>
  <c r="I353" i="26"/>
  <c r="I354" i="26"/>
  <c r="I355" i="26"/>
  <c r="I356" i="26"/>
  <c r="I357" i="26"/>
  <c r="I358" i="26"/>
  <c r="I359" i="26"/>
  <c r="I360" i="26"/>
  <c r="I361" i="26"/>
  <c r="I362" i="26"/>
  <c r="I363" i="26"/>
  <c r="I364" i="26"/>
  <c r="I365" i="26"/>
  <c r="I366" i="26"/>
  <c r="I367" i="26"/>
  <c r="I368" i="26"/>
  <c r="I369" i="26"/>
  <c r="I370" i="26"/>
  <c r="I371" i="26"/>
  <c r="I372" i="26"/>
  <c r="I373" i="26"/>
  <c r="I374" i="26"/>
  <c r="I375" i="26"/>
  <c r="I376" i="26"/>
  <c r="I377" i="26"/>
  <c r="I378" i="26"/>
  <c r="I379" i="26"/>
  <c r="I380" i="26"/>
  <c r="I381" i="26"/>
  <c r="I382" i="26"/>
  <c r="I383" i="26"/>
  <c r="I384" i="26"/>
  <c r="I385" i="26"/>
  <c r="I386" i="26"/>
  <c r="I387" i="26"/>
  <c r="I388" i="26"/>
  <c r="I389" i="26"/>
  <c r="I390" i="26"/>
  <c r="I391" i="26"/>
  <c r="I392" i="26"/>
  <c r="I393" i="26"/>
  <c r="I394" i="26"/>
  <c r="I395" i="26"/>
  <c r="I396" i="26"/>
  <c r="I397" i="26"/>
  <c r="I398" i="26"/>
  <c r="I399" i="26"/>
  <c r="I400" i="26"/>
  <c r="I401" i="26"/>
  <c r="I402" i="26"/>
  <c r="I403" i="26"/>
  <c r="I404" i="26"/>
  <c r="I405" i="26"/>
  <c r="I406" i="26"/>
  <c r="I407" i="26"/>
  <c r="I408" i="26"/>
  <c r="I409" i="26"/>
  <c r="I410" i="26"/>
  <c r="I411" i="26"/>
  <c r="I412" i="26"/>
  <c r="I413" i="26"/>
  <c r="I414" i="26"/>
  <c r="I415" i="26"/>
  <c r="I416" i="26"/>
  <c r="I417" i="26"/>
  <c r="I418" i="26"/>
  <c r="I419" i="26"/>
  <c r="I420" i="26"/>
  <c r="I421" i="26"/>
  <c r="I422" i="26"/>
  <c r="I423" i="26"/>
  <c r="I424" i="26"/>
  <c r="I425" i="26"/>
  <c r="I426" i="26"/>
  <c r="I427" i="26"/>
  <c r="I428" i="26"/>
  <c r="I429" i="26"/>
  <c r="I430" i="26"/>
  <c r="I431" i="26"/>
  <c r="I432" i="26"/>
  <c r="I433" i="26"/>
  <c r="I434" i="26"/>
  <c r="I435" i="26"/>
  <c r="I436" i="26"/>
  <c r="I437" i="26"/>
  <c r="I438" i="26"/>
  <c r="I439" i="26"/>
  <c r="I440" i="26"/>
  <c r="I441" i="26"/>
  <c r="I442" i="26"/>
  <c r="I443" i="26"/>
  <c r="I444" i="26"/>
  <c r="I445" i="26"/>
  <c r="I446" i="26"/>
  <c r="I447" i="26"/>
  <c r="I448" i="26"/>
  <c r="I449" i="26"/>
  <c r="I450" i="26"/>
  <c r="I451" i="26"/>
  <c r="I452" i="26"/>
  <c r="I453" i="26"/>
  <c r="I454" i="26"/>
  <c r="I455" i="26"/>
  <c r="I456" i="26"/>
  <c r="I457" i="26"/>
  <c r="I458" i="26"/>
  <c r="I459" i="26"/>
  <c r="I460" i="26"/>
  <c r="I461" i="26"/>
  <c r="I462" i="26"/>
  <c r="I463" i="26"/>
  <c r="I464" i="26"/>
  <c r="I465" i="26"/>
  <c r="I466" i="26"/>
  <c r="I467" i="26"/>
  <c r="I468" i="26"/>
  <c r="I469" i="26"/>
  <c r="I470" i="26"/>
  <c r="I471" i="26"/>
  <c r="I472" i="26"/>
  <c r="I473" i="26"/>
  <c r="I474" i="26"/>
  <c r="I475" i="26"/>
  <c r="I476" i="26"/>
  <c r="I477" i="26"/>
  <c r="I478" i="26"/>
  <c r="I479" i="26"/>
  <c r="I480" i="26"/>
  <c r="I481" i="26"/>
  <c r="I482" i="26"/>
  <c r="I483" i="26"/>
  <c r="I484" i="26"/>
  <c r="I485" i="26"/>
  <c r="I486" i="26"/>
  <c r="I487" i="26"/>
  <c r="I488" i="26"/>
  <c r="I489" i="26"/>
  <c r="I490" i="26"/>
  <c r="I491" i="26"/>
  <c r="I492" i="26"/>
  <c r="I493" i="26"/>
  <c r="I494" i="26"/>
  <c r="I495" i="26"/>
  <c r="I496" i="26"/>
  <c r="I497" i="26"/>
  <c r="I498" i="26"/>
  <c r="I499" i="26"/>
  <c r="I500" i="26"/>
  <c r="I501" i="26"/>
  <c r="I502" i="26"/>
  <c r="I503" i="26"/>
  <c r="I504" i="26"/>
  <c r="I505" i="26"/>
  <c r="I506" i="26"/>
  <c r="I507" i="26"/>
  <c r="I508" i="26"/>
  <c r="I509" i="26"/>
  <c r="I510" i="26"/>
  <c r="I511" i="26"/>
  <c r="I512" i="26"/>
  <c r="I513" i="26"/>
  <c r="I514" i="26"/>
  <c r="I515" i="26"/>
  <c r="I516" i="26"/>
  <c r="I517" i="26"/>
  <c r="I518" i="26"/>
  <c r="I519" i="26"/>
  <c r="I520" i="26"/>
  <c r="I521" i="26"/>
  <c r="I522" i="26"/>
  <c r="I523" i="26"/>
  <c r="I524" i="26"/>
  <c r="I525" i="26"/>
  <c r="I526" i="26"/>
  <c r="I527" i="26"/>
  <c r="I528" i="26"/>
  <c r="I529" i="26"/>
  <c r="I530" i="26"/>
  <c r="I531" i="26"/>
  <c r="I532" i="26"/>
  <c r="I533" i="26"/>
  <c r="I534" i="26"/>
  <c r="I535" i="26"/>
  <c r="I536" i="26"/>
  <c r="I537" i="26"/>
  <c r="I538" i="26"/>
  <c r="I539" i="26"/>
  <c r="I540" i="26"/>
  <c r="I541" i="26"/>
  <c r="I542" i="26"/>
  <c r="I543" i="26"/>
  <c r="I544" i="26"/>
  <c r="I545" i="26"/>
  <c r="I546" i="26"/>
  <c r="I547" i="26"/>
  <c r="I548" i="26"/>
  <c r="I549" i="26"/>
  <c r="I550" i="26"/>
  <c r="I551" i="26"/>
  <c r="I552" i="26"/>
  <c r="I553" i="26"/>
  <c r="I554" i="26"/>
  <c r="I555" i="26"/>
  <c r="I556" i="26"/>
  <c r="I557" i="26"/>
  <c r="I558" i="26"/>
  <c r="I559" i="26"/>
  <c r="I560" i="26"/>
  <c r="I561" i="26"/>
  <c r="I562" i="26"/>
  <c r="I563" i="26"/>
  <c r="I564" i="26"/>
  <c r="I565" i="26"/>
  <c r="I566" i="26"/>
  <c r="I567" i="26"/>
  <c r="I568" i="26"/>
  <c r="I569" i="26"/>
  <c r="I570" i="26"/>
  <c r="I571" i="26"/>
  <c r="I572" i="26"/>
  <c r="I573" i="26"/>
  <c r="I574" i="26"/>
  <c r="I575" i="26"/>
  <c r="I576" i="26"/>
  <c r="I577" i="26"/>
  <c r="I578" i="26"/>
  <c r="I579" i="26"/>
  <c r="I580" i="26"/>
  <c r="I581" i="26"/>
  <c r="I582" i="26"/>
  <c r="I583" i="26"/>
  <c r="I584" i="26"/>
  <c r="I585" i="26"/>
  <c r="I586" i="26"/>
  <c r="I587" i="26"/>
  <c r="I588" i="26"/>
  <c r="I589" i="26"/>
  <c r="I590" i="26"/>
  <c r="I591" i="26"/>
  <c r="I592" i="26"/>
  <c r="I593" i="26"/>
  <c r="I594" i="26"/>
  <c r="I595" i="26"/>
  <c r="I596" i="26"/>
  <c r="I597" i="26"/>
  <c r="I598" i="26"/>
  <c r="I599" i="26"/>
  <c r="I600" i="26"/>
  <c r="I601" i="26"/>
  <c r="I602" i="26"/>
  <c r="I603" i="26"/>
  <c r="I604" i="26"/>
  <c r="I605" i="26"/>
  <c r="I606" i="26"/>
  <c r="I607" i="26"/>
  <c r="I608" i="26"/>
  <c r="I609" i="26"/>
  <c r="I610" i="26"/>
  <c r="I611" i="26"/>
  <c r="I612" i="26"/>
  <c r="I613" i="26"/>
  <c r="I614" i="26"/>
  <c r="I615" i="26"/>
  <c r="I616" i="26"/>
  <c r="I617" i="26"/>
  <c r="I618" i="26"/>
  <c r="I619" i="26"/>
  <c r="I620" i="26"/>
  <c r="I621" i="26"/>
  <c r="I622" i="26"/>
  <c r="I623" i="26"/>
  <c r="I624" i="26"/>
  <c r="I625" i="26"/>
  <c r="I626" i="26"/>
  <c r="I627" i="26"/>
  <c r="I628" i="26"/>
  <c r="I629" i="26"/>
  <c r="I630" i="26"/>
  <c r="I631" i="26"/>
  <c r="I632" i="26"/>
  <c r="I633" i="26"/>
  <c r="I634" i="26"/>
  <c r="I635" i="26"/>
  <c r="I636" i="26"/>
  <c r="I637" i="26"/>
  <c r="I638" i="26"/>
  <c r="I639" i="26"/>
  <c r="I640" i="26"/>
  <c r="I641" i="26"/>
  <c r="H6" i="26"/>
  <c r="H7" i="26"/>
  <c r="H8" i="26"/>
  <c r="H9" i="26"/>
  <c r="H10" i="26"/>
  <c r="H11" i="26"/>
  <c r="H12" i="26"/>
  <c r="H13" i="26"/>
  <c r="H14" i="26"/>
  <c r="H16" i="26"/>
  <c r="H17" i="26"/>
  <c r="H18" i="26"/>
  <c r="H19" i="26"/>
  <c r="H20" i="26"/>
  <c r="H21" i="26"/>
  <c r="H22" i="26"/>
  <c r="H23" i="26"/>
  <c r="H24" i="26"/>
  <c r="H25" i="26"/>
  <c r="H26" i="26"/>
  <c r="H27" i="26"/>
  <c r="H28" i="26"/>
  <c r="H29" i="26"/>
  <c r="H30" i="26"/>
  <c r="H31" i="26"/>
  <c r="H32" i="26"/>
  <c r="H33" i="26"/>
  <c r="H34" i="26"/>
  <c r="H35" i="26"/>
  <c r="H36" i="26"/>
  <c r="H37" i="26"/>
  <c r="H38" i="26"/>
  <c r="H39" i="26"/>
  <c r="H40" i="26"/>
  <c r="H41" i="26"/>
  <c r="H42" i="26"/>
  <c r="H43" i="26"/>
  <c r="H44" i="26"/>
  <c r="H45" i="26"/>
  <c r="H46" i="26"/>
  <c r="H47" i="26"/>
  <c r="H48" i="26"/>
  <c r="H49" i="26"/>
  <c r="H50" i="26"/>
  <c r="H51" i="26"/>
  <c r="H52" i="26"/>
  <c r="H53" i="26"/>
  <c r="H54" i="26"/>
  <c r="H55" i="26"/>
  <c r="H56" i="26"/>
  <c r="H57" i="26"/>
  <c r="H58" i="26"/>
  <c r="H59" i="26"/>
  <c r="H60" i="26"/>
  <c r="H61" i="26"/>
  <c r="H62" i="26"/>
  <c r="H63" i="26"/>
  <c r="H64" i="26"/>
  <c r="H65" i="26"/>
  <c r="H66" i="26"/>
  <c r="H67" i="26"/>
  <c r="H68" i="26"/>
  <c r="H69" i="26"/>
  <c r="H70" i="26"/>
  <c r="H71" i="26"/>
  <c r="H72" i="26"/>
  <c r="H73" i="26"/>
  <c r="H74" i="26"/>
  <c r="H75" i="26"/>
  <c r="H76" i="26"/>
  <c r="H77" i="26"/>
  <c r="H78" i="26"/>
  <c r="H79" i="26"/>
  <c r="H80" i="26"/>
  <c r="H81" i="26"/>
  <c r="H82" i="26"/>
  <c r="H83" i="26"/>
  <c r="H84" i="26"/>
  <c r="H85" i="26"/>
  <c r="H86" i="26"/>
  <c r="H87" i="26"/>
  <c r="H88" i="26"/>
  <c r="H89" i="26"/>
  <c r="H90" i="26"/>
  <c r="H91" i="26"/>
  <c r="H92" i="26"/>
  <c r="H93" i="26"/>
  <c r="H94" i="26"/>
  <c r="H95" i="26"/>
  <c r="H96" i="26"/>
  <c r="H97" i="26"/>
  <c r="H98" i="26"/>
  <c r="H99" i="26"/>
  <c r="H100" i="26"/>
  <c r="H101" i="26"/>
  <c r="H102" i="26"/>
  <c r="H103" i="26"/>
  <c r="H104" i="26"/>
  <c r="H105" i="26"/>
  <c r="H106" i="26"/>
  <c r="H107" i="26"/>
  <c r="H108" i="26"/>
  <c r="H109" i="26"/>
  <c r="H110" i="26"/>
  <c r="H111" i="26"/>
  <c r="H112" i="26"/>
  <c r="H113" i="26"/>
  <c r="H114" i="26"/>
  <c r="H115" i="26"/>
  <c r="H116" i="26"/>
  <c r="H117" i="26"/>
  <c r="H118" i="26"/>
  <c r="H119" i="26"/>
  <c r="H120" i="26"/>
  <c r="H121" i="26"/>
  <c r="H122" i="26"/>
  <c r="H123" i="26"/>
  <c r="H124" i="26"/>
  <c r="H125" i="26"/>
  <c r="H126" i="26"/>
  <c r="H127" i="26"/>
  <c r="H128" i="26"/>
  <c r="H129" i="26"/>
  <c r="H130" i="26"/>
  <c r="H131" i="26"/>
  <c r="H132" i="26"/>
  <c r="H133" i="26"/>
  <c r="H134" i="26"/>
  <c r="H135" i="26"/>
  <c r="H136" i="26"/>
  <c r="H137" i="26"/>
  <c r="H138" i="26"/>
  <c r="H139" i="26"/>
  <c r="H140" i="26"/>
  <c r="H141" i="26"/>
  <c r="H142" i="26"/>
  <c r="H143" i="26"/>
  <c r="H144" i="26"/>
  <c r="H145" i="26"/>
  <c r="H146" i="26"/>
  <c r="H147" i="26"/>
  <c r="H148" i="26"/>
  <c r="H149" i="26"/>
  <c r="H150" i="26"/>
  <c r="H151" i="26"/>
  <c r="H152" i="26"/>
  <c r="H153" i="26"/>
  <c r="H154" i="26"/>
  <c r="H155" i="26"/>
  <c r="H156" i="26"/>
  <c r="H157" i="26"/>
  <c r="H158" i="26"/>
  <c r="H159" i="26"/>
  <c r="H160" i="26"/>
  <c r="H161" i="26"/>
  <c r="H162" i="26"/>
  <c r="H163" i="26"/>
  <c r="H164" i="26"/>
  <c r="H165" i="26"/>
  <c r="H166" i="26"/>
  <c r="H167" i="26"/>
  <c r="H168" i="26"/>
  <c r="H169" i="26"/>
  <c r="H170" i="26"/>
  <c r="H171" i="26"/>
  <c r="H172" i="26"/>
  <c r="H173" i="26"/>
  <c r="H174" i="26"/>
  <c r="H175" i="26"/>
  <c r="H176" i="26"/>
  <c r="H177" i="26"/>
  <c r="H178" i="26"/>
  <c r="H179" i="26"/>
  <c r="H180" i="26"/>
  <c r="H181" i="26"/>
  <c r="H182" i="26"/>
  <c r="H183" i="26"/>
  <c r="H184" i="26"/>
  <c r="H185" i="26"/>
  <c r="H186" i="26"/>
  <c r="H187" i="26"/>
  <c r="H188" i="26"/>
  <c r="H189" i="26"/>
  <c r="H190" i="26"/>
  <c r="H191" i="26"/>
  <c r="H192" i="26"/>
  <c r="H193" i="26"/>
  <c r="H194" i="26"/>
  <c r="H195" i="26"/>
  <c r="H196" i="26"/>
  <c r="H197" i="26"/>
  <c r="H198" i="26"/>
  <c r="H199" i="26"/>
  <c r="H200" i="26"/>
  <c r="H201" i="26"/>
  <c r="H202" i="26"/>
  <c r="H203" i="26"/>
  <c r="H204" i="26"/>
  <c r="H205" i="26"/>
  <c r="H206" i="26"/>
  <c r="H207" i="26"/>
  <c r="H208" i="26"/>
  <c r="H209" i="26"/>
  <c r="H210" i="26"/>
  <c r="H211" i="26"/>
  <c r="H212" i="26"/>
  <c r="H213" i="26"/>
  <c r="H214" i="26"/>
  <c r="H215" i="26"/>
  <c r="H216" i="26"/>
  <c r="H217" i="26"/>
  <c r="H218" i="26"/>
  <c r="H219" i="26"/>
  <c r="H220" i="26"/>
  <c r="H221" i="26"/>
  <c r="H222" i="26"/>
  <c r="H223" i="26"/>
  <c r="H224" i="26"/>
  <c r="H225" i="26"/>
  <c r="H226" i="26"/>
  <c r="H227" i="26"/>
  <c r="H228" i="26"/>
  <c r="H229" i="26"/>
  <c r="H230" i="26"/>
  <c r="H231" i="26"/>
  <c r="H232" i="26"/>
  <c r="H233" i="26"/>
  <c r="H234" i="26"/>
  <c r="H235" i="26"/>
  <c r="H236" i="26"/>
  <c r="H237" i="26"/>
  <c r="H238" i="26"/>
  <c r="H239" i="26"/>
  <c r="H240" i="26"/>
  <c r="H241" i="26"/>
  <c r="H242" i="26"/>
  <c r="H243" i="26"/>
  <c r="H244" i="26"/>
  <c r="H245" i="26"/>
  <c r="H246" i="26"/>
  <c r="H247" i="26"/>
  <c r="H248" i="26"/>
  <c r="H249" i="26"/>
  <c r="H250" i="26"/>
  <c r="H251" i="26"/>
  <c r="H252" i="26"/>
  <c r="H253" i="26"/>
  <c r="H254" i="26"/>
  <c r="H255" i="26"/>
  <c r="H256" i="26"/>
  <c r="H257" i="26"/>
  <c r="H258" i="26"/>
  <c r="H259" i="26"/>
  <c r="H260" i="26"/>
  <c r="H261" i="26"/>
  <c r="H262" i="26"/>
  <c r="H263" i="26"/>
  <c r="H264" i="26"/>
  <c r="H265" i="26"/>
  <c r="H266" i="26"/>
  <c r="H267" i="26"/>
  <c r="H268" i="26"/>
  <c r="H269" i="26"/>
  <c r="H270" i="26"/>
  <c r="H271" i="26"/>
  <c r="H272" i="26"/>
  <c r="H273" i="26"/>
  <c r="H274" i="26"/>
  <c r="H275" i="26"/>
  <c r="H276" i="26"/>
  <c r="H277" i="26"/>
  <c r="H278" i="26"/>
  <c r="H279" i="26"/>
  <c r="H280" i="26"/>
  <c r="H281" i="26"/>
  <c r="H282" i="26"/>
  <c r="H283" i="26"/>
  <c r="H284" i="26"/>
  <c r="H285" i="26"/>
  <c r="H286" i="26"/>
  <c r="H287" i="26"/>
  <c r="H288" i="26"/>
  <c r="H289" i="26"/>
  <c r="H290" i="26"/>
  <c r="H291" i="26"/>
  <c r="H292" i="26"/>
  <c r="H293" i="26"/>
  <c r="H294" i="26"/>
  <c r="H295" i="26"/>
  <c r="H296" i="26"/>
  <c r="H297" i="26"/>
  <c r="H298" i="26"/>
  <c r="H299" i="26"/>
  <c r="H300" i="26"/>
  <c r="H301" i="26"/>
  <c r="H302" i="26"/>
  <c r="H303" i="26"/>
  <c r="H304" i="26"/>
  <c r="H305" i="26"/>
  <c r="H306" i="26"/>
  <c r="H307" i="26"/>
  <c r="H308" i="26"/>
  <c r="H309" i="26"/>
  <c r="H310" i="26"/>
  <c r="H311" i="26"/>
  <c r="H312" i="26"/>
  <c r="H313" i="26"/>
  <c r="H314" i="26"/>
  <c r="H315" i="26"/>
  <c r="H316" i="26"/>
  <c r="H317" i="26"/>
  <c r="H318" i="26"/>
  <c r="H319" i="26"/>
  <c r="H320" i="26"/>
  <c r="H321" i="26"/>
  <c r="H322" i="26"/>
  <c r="H323" i="26"/>
  <c r="H324" i="26"/>
  <c r="H325" i="26"/>
  <c r="H326" i="26"/>
  <c r="H327" i="26"/>
  <c r="H328" i="26"/>
  <c r="H329" i="26"/>
  <c r="H330" i="26"/>
  <c r="H331" i="26"/>
  <c r="H332" i="26"/>
  <c r="H333" i="26"/>
  <c r="H334" i="26"/>
  <c r="H335" i="26"/>
  <c r="H336" i="26"/>
  <c r="H337" i="26"/>
  <c r="H338" i="26"/>
  <c r="H339" i="26"/>
  <c r="H340" i="26"/>
  <c r="H341" i="26"/>
  <c r="H342" i="26"/>
  <c r="H343" i="26"/>
  <c r="H344" i="26"/>
  <c r="H345" i="26"/>
  <c r="H346" i="26"/>
  <c r="H347" i="26"/>
  <c r="H348" i="26"/>
  <c r="H349" i="26"/>
  <c r="H350" i="26"/>
  <c r="H351" i="26"/>
  <c r="H352" i="26"/>
  <c r="H353" i="26"/>
  <c r="H354" i="26"/>
  <c r="H355" i="26"/>
  <c r="H356" i="26"/>
  <c r="H357" i="26"/>
  <c r="H358" i="26"/>
  <c r="H359" i="26"/>
  <c r="H360" i="26"/>
  <c r="H361" i="26"/>
  <c r="H362" i="26"/>
  <c r="H363" i="26"/>
  <c r="H364" i="26"/>
  <c r="H365" i="26"/>
  <c r="H366" i="26"/>
  <c r="H367" i="26"/>
  <c r="H368" i="26"/>
  <c r="H369" i="26"/>
  <c r="H370" i="26"/>
  <c r="H371" i="26"/>
  <c r="H372" i="26"/>
  <c r="H373" i="26"/>
  <c r="H374" i="26"/>
  <c r="H375" i="26"/>
  <c r="H376" i="26"/>
  <c r="H377" i="26"/>
  <c r="H378" i="26"/>
  <c r="H379" i="26"/>
  <c r="H380" i="26"/>
  <c r="H381" i="26"/>
  <c r="H382" i="26"/>
  <c r="H383" i="26"/>
  <c r="H384" i="26"/>
  <c r="H385" i="26"/>
  <c r="H386" i="26"/>
  <c r="H387" i="26"/>
  <c r="H388" i="26"/>
  <c r="H389" i="26"/>
  <c r="H390" i="26"/>
  <c r="H391" i="26"/>
  <c r="H392" i="26"/>
  <c r="H393" i="26"/>
  <c r="H394" i="26"/>
  <c r="H395" i="26"/>
  <c r="H396" i="26"/>
  <c r="H397" i="26"/>
  <c r="H398" i="26"/>
  <c r="H399" i="26"/>
  <c r="H400" i="26"/>
  <c r="H401" i="26"/>
  <c r="H402" i="26"/>
  <c r="H403" i="26"/>
  <c r="H404" i="26"/>
  <c r="H405" i="26"/>
  <c r="H406" i="26"/>
  <c r="H407" i="26"/>
  <c r="H408" i="26"/>
  <c r="H409" i="26"/>
  <c r="H410" i="26"/>
  <c r="H411" i="26"/>
  <c r="H412" i="26"/>
  <c r="H413" i="26"/>
  <c r="H414" i="26"/>
  <c r="H415" i="26"/>
  <c r="H416" i="26"/>
  <c r="H417" i="26"/>
  <c r="H418" i="26"/>
  <c r="H419" i="26"/>
  <c r="H420" i="26"/>
  <c r="H421" i="26"/>
  <c r="H422" i="26"/>
  <c r="H423" i="26"/>
  <c r="H424" i="26"/>
  <c r="H425" i="26"/>
  <c r="H426" i="26"/>
  <c r="H427" i="26"/>
  <c r="H428" i="26"/>
  <c r="H429" i="26"/>
  <c r="H430" i="26"/>
  <c r="H431" i="26"/>
  <c r="H432" i="26"/>
  <c r="H433" i="26"/>
  <c r="H434" i="26"/>
  <c r="H435" i="26"/>
  <c r="H436" i="26"/>
  <c r="H437" i="26"/>
  <c r="H438" i="26"/>
  <c r="H439" i="26"/>
  <c r="H440" i="26"/>
  <c r="H441" i="26"/>
  <c r="H442" i="26"/>
  <c r="H443" i="26"/>
  <c r="H444" i="26"/>
  <c r="H445" i="26"/>
  <c r="H446" i="26"/>
  <c r="H447" i="26"/>
  <c r="H448" i="26"/>
  <c r="H449" i="26"/>
  <c r="H450" i="26"/>
  <c r="H451" i="26"/>
  <c r="H452" i="26"/>
  <c r="H453" i="26"/>
  <c r="H454" i="26"/>
  <c r="H455" i="26"/>
  <c r="H456" i="26"/>
  <c r="H457" i="26"/>
  <c r="H458" i="26"/>
  <c r="H459" i="26"/>
  <c r="H460" i="26"/>
  <c r="H461" i="26"/>
  <c r="H462" i="26"/>
  <c r="H463" i="26"/>
  <c r="H464" i="26"/>
  <c r="H465" i="26"/>
  <c r="H466" i="26"/>
  <c r="H467" i="26"/>
  <c r="H468" i="26"/>
  <c r="H469" i="26"/>
  <c r="H470" i="26"/>
  <c r="H471" i="26"/>
  <c r="H472" i="26"/>
  <c r="H473" i="26"/>
  <c r="H474" i="26"/>
  <c r="H475" i="26"/>
  <c r="H476" i="26"/>
  <c r="H477" i="26"/>
  <c r="H478" i="26"/>
  <c r="H479" i="26"/>
  <c r="H480" i="26"/>
  <c r="H481" i="26"/>
  <c r="H482" i="26"/>
  <c r="H483" i="26"/>
  <c r="H484" i="26"/>
  <c r="H485" i="26"/>
  <c r="H486" i="26"/>
  <c r="H487" i="26"/>
  <c r="H488" i="26"/>
  <c r="H489" i="26"/>
  <c r="H490" i="26"/>
  <c r="H491" i="26"/>
  <c r="H492" i="26"/>
  <c r="H493" i="26"/>
  <c r="H494" i="26"/>
  <c r="H495" i="26"/>
  <c r="H496" i="26"/>
  <c r="H497" i="26"/>
  <c r="H498" i="26"/>
  <c r="H499" i="26"/>
  <c r="H500" i="26"/>
  <c r="H501" i="26"/>
  <c r="H502" i="26"/>
  <c r="H503" i="26"/>
  <c r="H504" i="26"/>
  <c r="H505" i="26"/>
  <c r="H506" i="26"/>
  <c r="H507" i="26"/>
  <c r="H508" i="26"/>
  <c r="H509" i="26"/>
  <c r="H510" i="26"/>
  <c r="H511" i="26"/>
  <c r="H512" i="26"/>
  <c r="H513" i="26"/>
  <c r="H514" i="26"/>
  <c r="H515" i="26"/>
  <c r="H516" i="26"/>
  <c r="H517" i="26"/>
  <c r="H518" i="26"/>
  <c r="H519" i="26"/>
  <c r="H520" i="26"/>
  <c r="H521" i="26"/>
  <c r="H522" i="26"/>
  <c r="H523" i="26"/>
  <c r="H524" i="26"/>
  <c r="H525" i="26"/>
  <c r="H526" i="26"/>
  <c r="H527" i="26"/>
  <c r="H528" i="26"/>
  <c r="H529" i="26"/>
  <c r="H530" i="26"/>
  <c r="H531" i="26"/>
  <c r="H532" i="26"/>
  <c r="H533" i="26"/>
  <c r="H534" i="26"/>
  <c r="H535" i="26"/>
  <c r="H536" i="26"/>
  <c r="H537" i="26"/>
  <c r="H538" i="26"/>
  <c r="H539" i="26"/>
  <c r="H540" i="26"/>
  <c r="H541" i="26"/>
  <c r="H542" i="26"/>
  <c r="H543" i="26"/>
  <c r="H544" i="26"/>
  <c r="H545" i="26"/>
  <c r="H546" i="26"/>
  <c r="H547" i="26"/>
  <c r="H548" i="26"/>
  <c r="H549" i="26"/>
  <c r="H550" i="26"/>
  <c r="H551" i="26"/>
  <c r="H552" i="26"/>
  <c r="H553" i="26"/>
  <c r="H554" i="26"/>
  <c r="H555" i="26"/>
  <c r="H556" i="26"/>
  <c r="H557" i="26"/>
  <c r="H558" i="26"/>
  <c r="H559" i="26"/>
  <c r="H560" i="26"/>
  <c r="H561" i="26"/>
  <c r="H562" i="26"/>
  <c r="H563" i="26"/>
  <c r="H564" i="26"/>
  <c r="H565" i="26"/>
  <c r="H566" i="26"/>
  <c r="H567" i="26"/>
  <c r="H568" i="26"/>
  <c r="H569" i="26"/>
  <c r="H570" i="26"/>
  <c r="H571" i="26"/>
  <c r="H572" i="26"/>
  <c r="H573" i="26"/>
  <c r="H574" i="26"/>
  <c r="H575" i="26"/>
  <c r="H576" i="26"/>
  <c r="H577" i="26"/>
  <c r="H578" i="26"/>
  <c r="H579" i="26"/>
  <c r="H580" i="26"/>
  <c r="H581" i="26"/>
  <c r="H582" i="26"/>
  <c r="H583" i="26"/>
  <c r="H584" i="26"/>
  <c r="H585" i="26"/>
  <c r="H586" i="26"/>
  <c r="H587" i="26"/>
  <c r="H588" i="26"/>
  <c r="H589" i="26"/>
  <c r="H590" i="26"/>
  <c r="H591" i="26"/>
  <c r="H592" i="26"/>
  <c r="H593" i="26"/>
  <c r="H594" i="26"/>
  <c r="H595" i="26"/>
  <c r="H596" i="26"/>
  <c r="H597" i="26"/>
  <c r="H598" i="26"/>
  <c r="H599" i="26"/>
  <c r="H600" i="26"/>
  <c r="H601" i="26"/>
  <c r="H602" i="26"/>
  <c r="H603" i="26"/>
  <c r="H604" i="26"/>
  <c r="H605" i="26"/>
  <c r="H606" i="26"/>
  <c r="H607" i="26"/>
  <c r="H608" i="26"/>
  <c r="H609" i="26"/>
  <c r="H610" i="26"/>
  <c r="H611" i="26"/>
  <c r="H612" i="26"/>
  <c r="H613" i="26"/>
  <c r="H614" i="26"/>
  <c r="H615" i="26"/>
  <c r="H616" i="26"/>
  <c r="H617" i="26"/>
  <c r="H618" i="26"/>
  <c r="H619" i="26"/>
  <c r="H620" i="26"/>
  <c r="H621" i="26"/>
  <c r="H622" i="26"/>
  <c r="H623" i="26"/>
  <c r="H624" i="26"/>
  <c r="H625" i="26"/>
  <c r="H626" i="26"/>
  <c r="H627" i="26"/>
  <c r="H628" i="26"/>
  <c r="H629" i="26"/>
  <c r="H630" i="26"/>
  <c r="H631" i="26"/>
  <c r="H632" i="26"/>
  <c r="H633" i="26"/>
  <c r="H634" i="26"/>
  <c r="H635" i="26"/>
  <c r="H636" i="26"/>
  <c r="H637" i="26"/>
  <c r="H638" i="26"/>
  <c r="H639" i="26"/>
  <c r="H640" i="26"/>
  <c r="H641" i="26"/>
  <c r="G6" i="26"/>
  <c r="G7" i="26"/>
  <c r="G8" i="26"/>
  <c r="G9" i="26"/>
  <c r="G10" i="26"/>
  <c r="G11" i="26"/>
  <c r="G12" i="26"/>
  <c r="G13" i="26"/>
  <c r="G14" i="26"/>
  <c r="G16" i="26"/>
  <c r="G17" i="26"/>
  <c r="G18" i="26"/>
  <c r="G19" i="26"/>
  <c r="G20" i="26"/>
  <c r="G21" i="26"/>
  <c r="G22" i="26"/>
  <c r="G23" i="26"/>
  <c r="G24" i="26"/>
  <c r="G25" i="26"/>
  <c r="G26" i="26"/>
  <c r="G27" i="26"/>
  <c r="G28" i="26"/>
  <c r="G29" i="26"/>
  <c r="G30" i="26"/>
  <c r="G31" i="26"/>
  <c r="G32" i="26"/>
  <c r="G33" i="26"/>
  <c r="G34" i="26"/>
  <c r="G35" i="26"/>
  <c r="G36" i="26"/>
  <c r="G37" i="26"/>
  <c r="G38" i="26"/>
  <c r="G39" i="26"/>
  <c r="G40" i="26"/>
  <c r="G41" i="26"/>
  <c r="G42" i="26"/>
  <c r="G43" i="26"/>
  <c r="G44" i="26"/>
  <c r="G45" i="26"/>
  <c r="G46" i="26"/>
  <c r="G47" i="26"/>
  <c r="G48" i="26"/>
  <c r="G49" i="26"/>
  <c r="G50" i="26"/>
  <c r="G51" i="26"/>
  <c r="G52" i="26"/>
  <c r="G53" i="26"/>
  <c r="G54" i="26"/>
  <c r="G55" i="26"/>
  <c r="G56" i="26"/>
  <c r="G57" i="26"/>
  <c r="G58" i="26"/>
  <c r="G59" i="26"/>
  <c r="G60" i="26"/>
  <c r="G61" i="26"/>
  <c r="G62" i="26"/>
  <c r="G63" i="26"/>
  <c r="G64" i="26"/>
  <c r="G65" i="26"/>
  <c r="G66" i="26"/>
  <c r="G67" i="26"/>
  <c r="G68" i="26"/>
  <c r="G69" i="26"/>
  <c r="G70" i="26"/>
  <c r="G71" i="26"/>
  <c r="G72" i="26"/>
  <c r="G73" i="26"/>
  <c r="G74" i="26"/>
  <c r="G75" i="26"/>
  <c r="G76" i="26"/>
  <c r="G77" i="26"/>
  <c r="G78" i="26"/>
  <c r="G79" i="26"/>
  <c r="G80" i="26"/>
  <c r="G81" i="26"/>
  <c r="G82" i="26"/>
  <c r="G83" i="26"/>
  <c r="G84" i="26"/>
  <c r="G85" i="26"/>
  <c r="G86" i="26"/>
  <c r="G87" i="26"/>
  <c r="G88" i="26"/>
  <c r="G89" i="26"/>
  <c r="G90" i="26"/>
  <c r="G91" i="26"/>
  <c r="G92" i="26"/>
  <c r="G93" i="26"/>
  <c r="G94" i="26"/>
  <c r="G95" i="26"/>
  <c r="G96" i="26"/>
  <c r="G97" i="26"/>
  <c r="G98" i="26"/>
  <c r="G99" i="26"/>
  <c r="G100" i="26"/>
  <c r="G101" i="26"/>
  <c r="G102" i="26"/>
  <c r="G103" i="26"/>
  <c r="G104" i="26"/>
  <c r="G105" i="26"/>
  <c r="G106" i="26"/>
  <c r="G107" i="26"/>
  <c r="G108" i="26"/>
  <c r="G109" i="26"/>
  <c r="G110" i="26"/>
  <c r="G111" i="26"/>
  <c r="G112" i="26"/>
  <c r="G113" i="26"/>
  <c r="G114" i="26"/>
  <c r="G115" i="26"/>
  <c r="G116" i="26"/>
  <c r="G117" i="26"/>
  <c r="G118" i="26"/>
  <c r="G119" i="26"/>
  <c r="G120" i="26"/>
  <c r="G121" i="26"/>
  <c r="G122" i="26"/>
  <c r="G123" i="26"/>
  <c r="G124" i="26"/>
  <c r="G125" i="26"/>
  <c r="G126" i="26"/>
  <c r="G127" i="26"/>
  <c r="G128" i="26"/>
  <c r="G129" i="26"/>
  <c r="G130" i="26"/>
  <c r="G131" i="26"/>
  <c r="G132" i="26"/>
  <c r="G133" i="26"/>
  <c r="G134" i="26"/>
  <c r="G135" i="26"/>
  <c r="G136" i="26"/>
  <c r="G137" i="26"/>
  <c r="G138" i="26"/>
  <c r="G139" i="26"/>
  <c r="G140" i="26"/>
  <c r="G141" i="26"/>
  <c r="G142" i="26"/>
  <c r="G143" i="26"/>
  <c r="G144" i="26"/>
  <c r="G145" i="26"/>
  <c r="G146" i="26"/>
  <c r="G147" i="26"/>
  <c r="G148" i="26"/>
  <c r="G149" i="26"/>
  <c r="G150" i="26"/>
  <c r="G151" i="26"/>
  <c r="G152" i="26"/>
  <c r="G153" i="26"/>
  <c r="G154" i="26"/>
  <c r="G155" i="26"/>
  <c r="G156" i="26"/>
  <c r="G157" i="26"/>
  <c r="G158" i="26"/>
  <c r="G159" i="26"/>
  <c r="G160" i="26"/>
  <c r="G161" i="26"/>
  <c r="G162" i="26"/>
  <c r="G163" i="26"/>
  <c r="G164" i="26"/>
  <c r="G165" i="26"/>
  <c r="G166" i="26"/>
  <c r="G167" i="26"/>
  <c r="G168" i="26"/>
  <c r="G169" i="26"/>
  <c r="G170" i="26"/>
  <c r="G171" i="26"/>
  <c r="G172" i="26"/>
  <c r="G173" i="26"/>
  <c r="G174" i="26"/>
  <c r="G175" i="26"/>
  <c r="G176" i="26"/>
  <c r="G177" i="26"/>
  <c r="G178" i="26"/>
  <c r="G179" i="26"/>
  <c r="G180" i="26"/>
  <c r="G181" i="26"/>
  <c r="G182" i="26"/>
  <c r="G183" i="26"/>
  <c r="G184" i="26"/>
  <c r="G185" i="26"/>
  <c r="G186" i="26"/>
  <c r="G187" i="26"/>
  <c r="G188" i="26"/>
  <c r="G189" i="26"/>
  <c r="G190" i="26"/>
  <c r="G191" i="26"/>
  <c r="G192" i="26"/>
  <c r="G193" i="26"/>
  <c r="G194" i="26"/>
  <c r="G195" i="26"/>
  <c r="G196" i="26"/>
  <c r="G197" i="26"/>
  <c r="G198" i="26"/>
  <c r="G199" i="26"/>
  <c r="G200" i="26"/>
  <c r="G201" i="26"/>
  <c r="G202" i="26"/>
  <c r="G203" i="26"/>
  <c r="G204" i="26"/>
  <c r="G205" i="26"/>
  <c r="G206" i="26"/>
  <c r="G207" i="26"/>
  <c r="G208" i="26"/>
  <c r="G209" i="26"/>
  <c r="G210" i="26"/>
  <c r="G211" i="26"/>
  <c r="G212" i="26"/>
  <c r="G213" i="26"/>
  <c r="G214" i="26"/>
  <c r="G215" i="26"/>
  <c r="G216" i="26"/>
  <c r="G217" i="26"/>
  <c r="G218" i="26"/>
  <c r="G219" i="26"/>
  <c r="G220" i="26"/>
  <c r="G221" i="26"/>
  <c r="G222" i="26"/>
  <c r="G223" i="26"/>
  <c r="G224" i="26"/>
  <c r="G225" i="26"/>
  <c r="G226" i="26"/>
  <c r="G227" i="26"/>
  <c r="G228" i="26"/>
  <c r="G229" i="26"/>
  <c r="G230" i="26"/>
  <c r="G231" i="26"/>
  <c r="G232" i="26"/>
  <c r="G233" i="26"/>
  <c r="G234" i="26"/>
  <c r="G235" i="26"/>
  <c r="G236" i="26"/>
  <c r="G237" i="26"/>
  <c r="G238" i="26"/>
  <c r="G239" i="26"/>
  <c r="G240" i="26"/>
  <c r="G241" i="26"/>
  <c r="G242" i="26"/>
  <c r="G243" i="26"/>
  <c r="G244" i="26"/>
  <c r="G245" i="26"/>
  <c r="G246" i="26"/>
  <c r="G247" i="26"/>
  <c r="G248" i="26"/>
  <c r="G249" i="26"/>
  <c r="G250" i="26"/>
  <c r="G251" i="26"/>
  <c r="G252" i="26"/>
  <c r="G253" i="26"/>
  <c r="G254" i="26"/>
  <c r="G255" i="26"/>
  <c r="G256" i="26"/>
  <c r="G257" i="26"/>
  <c r="G258" i="26"/>
  <c r="G259" i="26"/>
  <c r="G260" i="26"/>
  <c r="G261" i="26"/>
  <c r="G262" i="26"/>
  <c r="G263" i="26"/>
  <c r="G264" i="26"/>
  <c r="G265" i="26"/>
  <c r="G266" i="26"/>
  <c r="G267" i="26"/>
  <c r="G268" i="26"/>
  <c r="G269" i="26"/>
  <c r="G270" i="26"/>
  <c r="G271" i="26"/>
  <c r="G272" i="26"/>
  <c r="G273" i="26"/>
  <c r="G274" i="26"/>
  <c r="G275" i="26"/>
  <c r="G276" i="26"/>
  <c r="G277" i="26"/>
  <c r="G278" i="26"/>
  <c r="G279" i="26"/>
  <c r="G280" i="26"/>
  <c r="G281" i="26"/>
  <c r="G282" i="26"/>
  <c r="G283" i="26"/>
  <c r="G284" i="26"/>
  <c r="G285" i="26"/>
  <c r="G286" i="26"/>
  <c r="G287" i="26"/>
  <c r="G288" i="26"/>
  <c r="G289" i="26"/>
  <c r="G290" i="26"/>
  <c r="G291" i="26"/>
  <c r="G292" i="26"/>
  <c r="G293" i="26"/>
  <c r="G294" i="26"/>
  <c r="G295" i="26"/>
  <c r="G296" i="26"/>
  <c r="G297" i="26"/>
  <c r="G298" i="26"/>
  <c r="G299" i="26"/>
  <c r="G300" i="26"/>
  <c r="G301" i="26"/>
  <c r="G302" i="26"/>
  <c r="G303" i="26"/>
  <c r="G304" i="26"/>
  <c r="G305" i="26"/>
  <c r="G306" i="26"/>
  <c r="G307" i="26"/>
  <c r="G308" i="26"/>
  <c r="G309" i="26"/>
  <c r="G310" i="26"/>
  <c r="G311" i="26"/>
  <c r="G312" i="26"/>
  <c r="G313" i="26"/>
  <c r="G314" i="26"/>
  <c r="G315" i="26"/>
  <c r="G317" i="26"/>
  <c r="G318" i="26"/>
  <c r="G319" i="26"/>
  <c r="G320" i="26"/>
  <c r="G321" i="26"/>
  <c r="G322" i="26"/>
  <c r="G323" i="26"/>
  <c r="G324" i="26"/>
  <c r="G325" i="26"/>
  <c r="G326" i="26"/>
  <c r="G327" i="26"/>
  <c r="G328" i="26"/>
  <c r="G329" i="26"/>
  <c r="G330" i="26"/>
  <c r="G331" i="26"/>
  <c r="G332" i="26"/>
  <c r="G333" i="26"/>
  <c r="G334" i="26"/>
  <c r="G335" i="26"/>
  <c r="G336" i="26"/>
  <c r="G337" i="26"/>
  <c r="G338" i="26"/>
  <c r="G339" i="26"/>
  <c r="G340" i="26"/>
  <c r="G341" i="26"/>
  <c r="G342" i="26"/>
  <c r="G343" i="26"/>
  <c r="G344" i="26"/>
  <c r="G345" i="26"/>
  <c r="G346" i="26"/>
  <c r="G347" i="26"/>
  <c r="G348" i="26"/>
  <c r="G349" i="26"/>
  <c r="G350" i="26"/>
  <c r="G351" i="26"/>
  <c r="G352" i="26"/>
  <c r="G353" i="26"/>
  <c r="G354" i="26"/>
  <c r="G355" i="26"/>
  <c r="G356" i="26"/>
  <c r="G357" i="26"/>
  <c r="G358" i="26"/>
  <c r="G359" i="26"/>
  <c r="G360" i="26"/>
  <c r="G361" i="26"/>
  <c r="G362" i="26"/>
  <c r="G363" i="26"/>
  <c r="G364" i="26"/>
  <c r="G365" i="26"/>
  <c r="G366" i="26"/>
  <c r="G367" i="26"/>
  <c r="G368" i="26"/>
  <c r="G369" i="26"/>
  <c r="G370" i="26"/>
  <c r="G371" i="26"/>
  <c r="G372" i="26"/>
  <c r="G373" i="26"/>
  <c r="G374" i="26"/>
  <c r="G375" i="26"/>
  <c r="G376" i="26"/>
  <c r="G377" i="26"/>
  <c r="G378" i="26"/>
  <c r="G379" i="26"/>
  <c r="G380" i="26"/>
  <c r="G381" i="26"/>
  <c r="G382" i="26"/>
  <c r="G383" i="26"/>
  <c r="G384" i="26"/>
  <c r="G385" i="26"/>
  <c r="G386" i="26"/>
  <c r="G387" i="26"/>
  <c r="G388" i="26"/>
  <c r="G389" i="26"/>
  <c r="G390" i="26"/>
  <c r="G391" i="26"/>
  <c r="G392" i="26"/>
  <c r="G393" i="26"/>
  <c r="G394" i="26"/>
  <c r="G395" i="26"/>
  <c r="G396" i="26"/>
  <c r="G397" i="26"/>
  <c r="G398" i="26"/>
  <c r="G399" i="26"/>
  <c r="G400" i="26"/>
  <c r="G401" i="26"/>
  <c r="G402" i="26"/>
  <c r="G403" i="26"/>
  <c r="G404" i="26"/>
  <c r="G405" i="26"/>
  <c r="G406" i="26"/>
  <c r="G407" i="26"/>
  <c r="G408" i="26"/>
  <c r="G409" i="26"/>
  <c r="G410" i="26"/>
  <c r="G411" i="26"/>
  <c r="G412" i="26"/>
  <c r="G413" i="26"/>
  <c r="G414" i="26"/>
  <c r="G415" i="26"/>
  <c r="G416" i="26"/>
  <c r="G417" i="26"/>
  <c r="G418" i="26"/>
  <c r="G419" i="26"/>
  <c r="G420" i="26"/>
  <c r="G421" i="26"/>
  <c r="G422" i="26"/>
  <c r="G423" i="26"/>
  <c r="G424" i="26"/>
  <c r="G425" i="26"/>
  <c r="G426" i="26"/>
  <c r="G427" i="26"/>
  <c r="G428" i="26"/>
  <c r="G429" i="26"/>
  <c r="G430" i="26"/>
  <c r="G431" i="26"/>
  <c r="G432" i="26"/>
  <c r="G433" i="26"/>
  <c r="G434" i="26"/>
  <c r="G435" i="26"/>
  <c r="G436" i="26"/>
  <c r="G437" i="26"/>
  <c r="G438" i="26"/>
  <c r="G439" i="26"/>
  <c r="G440" i="26"/>
  <c r="G441" i="26"/>
  <c r="G442" i="26"/>
  <c r="G443" i="26"/>
  <c r="G444" i="26"/>
  <c r="G445" i="26"/>
  <c r="G446" i="26"/>
  <c r="G447" i="26"/>
  <c r="G448" i="26"/>
  <c r="G449" i="26"/>
  <c r="G450" i="26"/>
  <c r="G451" i="26"/>
  <c r="G452" i="26"/>
  <c r="G453" i="26"/>
  <c r="G454" i="26"/>
  <c r="G455" i="26"/>
  <c r="G456" i="26"/>
  <c r="G457" i="26"/>
  <c r="G458" i="26"/>
  <c r="G459" i="26"/>
  <c r="G460" i="26"/>
  <c r="G461" i="26"/>
  <c r="G462" i="26"/>
  <c r="G463" i="26"/>
  <c r="G464" i="26"/>
  <c r="G465" i="26"/>
  <c r="G466" i="26"/>
  <c r="G467" i="26"/>
  <c r="G468" i="26"/>
  <c r="G469" i="26"/>
  <c r="G470" i="26"/>
  <c r="G471" i="26"/>
  <c r="G472" i="26"/>
  <c r="G473" i="26"/>
  <c r="G474" i="26"/>
  <c r="G475" i="26"/>
  <c r="G476" i="26"/>
  <c r="G477" i="26"/>
  <c r="G478" i="26"/>
  <c r="G479" i="26"/>
  <c r="G480" i="26"/>
  <c r="G481" i="26"/>
  <c r="G482" i="26"/>
  <c r="G483" i="26"/>
  <c r="G484" i="26"/>
  <c r="G485" i="26"/>
  <c r="G486" i="26"/>
  <c r="G487" i="26"/>
  <c r="G488" i="26"/>
  <c r="G489" i="26"/>
  <c r="G490" i="26"/>
  <c r="G491" i="26"/>
  <c r="G492" i="26"/>
  <c r="G493" i="26"/>
  <c r="G494" i="26"/>
  <c r="G495" i="26"/>
  <c r="G496" i="26"/>
  <c r="G497" i="26"/>
  <c r="G498" i="26"/>
  <c r="G499" i="26"/>
  <c r="G500" i="26"/>
  <c r="G501" i="26"/>
  <c r="G502" i="26"/>
  <c r="G503" i="26"/>
  <c r="G504" i="26"/>
  <c r="G505" i="26"/>
  <c r="G506" i="26"/>
  <c r="G507" i="26"/>
  <c r="G508" i="26"/>
  <c r="G509" i="26"/>
  <c r="G510" i="26"/>
  <c r="G511" i="26"/>
  <c r="G512" i="26"/>
  <c r="G513" i="26"/>
  <c r="G514" i="26"/>
  <c r="G515" i="26"/>
  <c r="G516" i="26"/>
  <c r="G517" i="26"/>
  <c r="G518" i="26"/>
  <c r="G519" i="26"/>
  <c r="G520" i="26"/>
  <c r="G521" i="26"/>
  <c r="G522" i="26"/>
  <c r="G523" i="26"/>
  <c r="G524" i="26"/>
  <c r="G525" i="26"/>
  <c r="G526" i="26"/>
  <c r="G527" i="26"/>
  <c r="G528" i="26"/>
  <c r="G529" i="26"/>
  <c r="G530" i="26"/>
  <c r="G531" i="26"/>
  <c r="G532" i="26"/>
  <c r="G533" i="26"/>
  <c r="G534" i="26"/>
  <c r="G535" i="26"/>
  <c r="G536" i="26"/>
  <c r="G537" i="26"/>
  <c r="G538" i="26"/>
  <c r="G539" i="26"/>
  <c r="G540" i="26"/>
  <c r="G541" i="26"/>
  <c r="G542" i="26"/>
  <c r="G543" i="26"/>
  <c r="G544" i="26"/>
  <c r="G545" i="26"/>
  <c r="G546" i="26"/>
  <c r="G547" i="26"/>
  <c r="G548" i="26"/>
  <c r="G549" i="26"/>
  <c r="G550" i="26"/>
  <c r="G551" i="26"/>
  <c r="G552" i="26"/>
  <c r="G553" i="26"/>
  <c r="G554" i="26"/>
  <c r="G555" i="26"/>
  <c r="G556" i="26"/>
  <c r="G557" i="26"/>
  <c r="G558" i="26"/>
  <c r="G559" i="26"/>
  <c r="G560" i="26"/>
  <c r="G561" i="26"/>
  <c r="G562" i="26"/>
  <c r="G563" i="26"/>
  <c r="G564" i="26"/>
  <c r="G565" i="26"/>
  <c r="G566" i="26"/>
  <c r="G567" i="26"/>
  <c r="G568" i="26"/>
  <c r="G569" i="26"/>
  <c r="G570" i="26"/>
  <c r="G571" i="26"/>
  <c r="G572" i="26"/>
  <c r="G573" i="26"/>
  <c r="G574" i="26"/>
  <c r="G575" i="26"/>
  <c r="G576" i="26"/>
  <c r="G577" i="26"/>
  <c r="G578" i="26"/>
  <c r="G579" i="26"/>
  <c r="G580" i="26"/>
  <c r="G581" i="26"/>
  <c r="G582" i="26"/>
  <c r="G583" i="26"/>
  <c r="G584" i="26"/>
  <c r="G585" i="26"/>
  <c r="G586" i="26"/>
  <c r="G587" i="26"/>
  <c r="G588" i="26"/>
  <c r="G589" i="26"/>
  <c r="G590" i="26"/>
  <c r="G591" i="26"/>
  <c r="G592" i="26"/>
  <c r="G593" i="26"/>
  <c r="G594" i="26"/>
  <c r="G595" i="26"/>
  <c r="G596" i="26"/>
  <c r="G597" i="26"/>
  <c r="G598" i="26"/>
  <c r="G599" i="26"/>
  <c r="G600" i="26"/>
  <c r="G601" i="26"/>
  <c r="G602" i="26"/>
  <c r="G603" i="26"/>
  <c r="G604" i="26"/>
  <c r="G605" i="26"/>
  <c r="G606" i="26"/>
  <c r="G607" i="26"/>
  <c r="G608" i="26"/>
  <c r="G609" i="26"/>
  <c r="G610" i="26"/>
  <c r="G611" i="26"/>
  <c r="G612" i="26"/>
  <c r="G613" i="26"/>
  <c r="G614" i="26"/>
  <c r="G615" i="26"/>
  <c r="G616" i="26"/>
  <c r="G617" i="26"/>
  <c r="G618" i="26"/>
  <c r="G619" i="26"/>
  <c r="G620" i="26"/>
  <c r="G621" i="26"/>
  <c r="G622" i="26"/>
  <c r="G623" i="26"/>
  <c r="G624" i="26"/>
  <c r="G625" i="26"/>
  <c r="G626" i="26"/>
  <c r="G627" i="26"/>
  <c r="G628" i="26"/>
  <c r="G629" i="26"/>
  <c r="G630" i="26"/>
  <c r="G631" i="26"/>
  <c r="G632" i="26"/>
  <c r="G633" i="26"/>
  <c r="G634" i="26"/>
  <c r="G635" i="26"/>
  <c r="G636" i="26"/>
  <c r="G637" i="26"/>
  <c r="G638" i="26"/>
  <c r="G639" i="26"/>
  <c r="G640" i="26"/>
  <c r="G641" i="26"/>
  <c r="F6" i="26"/>
  <c r="F7" i="26"/>
  <c r="F8" i="26"/>
  <c r="F9" i="26"/>
  <c r="F10" i="26"/>
  <c r="F11" i="26"/>
  <c r="F12" i="26"/>
  <c r="F13" i="26"/>
  <c r="F14" i="26"/>
  <c r="F16" i="26"/>
  <c r="F17" i="26"/>
  <c r="F18" i="26"/>
  <c r="F19" i="26"/>
  <c r="F20" i="26"/>
  <c r="F21" i="26"/>
  <c r="F22" i="26"/>
  <c r="F23" i="26"/>
  <c r="F24" i="26"/>
  <c r="F25" i="26"/>
  <c r="F26" i="26"/>
  <c r="F27" i="26"/>
  <c r="F28" i="26"/>
  <c r="F29" i="26"/>
  <c r="F30" i="26"/>
  <c r="F31" i="26"/>
  <c r="F32" i="26"/>
  <c r="F33" i="26"/>
  <c r="F34" i="26"/>
  <c r="F35" i="26"/>
  <c r="F36" i="26"/>
  <c r="F37" i="26"/>
  <c r="F38" i="26"/>
  <c r="F39" i="26"/>
  <c r="F40" i="26"/>
  <c r="F41" i="26"/>
  <c r="F42" i="26"/>
  <c r="F43" i="26"/>
  <c r="F44" i="26"/>
  <c r="F45" i="26"/>
  <c r="F46" i="26"/>
  <c r="F47" i="26"/>
  <c r="F48" i="26"/>
  <c r="F49" i="26"/>
  <c r="F50" i="26"/>
  <c r="F51" i="26"/>
  <c r="F52" i="26"/>
  <c r="F53" i="26"/>
  <c r="F54" i="26"/>
  <c r="F55" i="26"/>
  <c r="F56" i="26"/>
  <c r="F57" i="26"/>
  <c r="F58" i="26"/>
  <c r="F59" i="26"/>
  <c r="F60" i="26"/>
  <c r="F61" i="26"/>
  <c r="F62" i="26"/>
  <c r="F63" i="26"/>
  <c r="F64" i="26"/>
  <c r="F65" i="26"/>
  <c r="F66" i="26"/>
  <c r="F67" i="26"/>
  <c r="F68" i="26"/>
  <c r="F69" i="26"/>
  <c r="F70" i="26"/>
  <c r="F71" i="26"/>
  <c r="F72" i="26"/>
  <c r="F73" i="26"/>
  <c r="F74" i="26"/>
  <c r="F75" i="26"/>
  <c r="F76" i="26"/>
  <c r="F77" i="26"/>
  <c r="F78" i="26"/>
  <c r="F79" i="26"/>
  <c r="F80" i="26"/>
  <c r="F81" i="26"/>
  <c r="F82" i="26"/>
  <c r="F83" i="26"/>
  <c r="F84" i="26"/>
  <c r="F85" i="26"/>
  <c r="F86" i="26"/>
  <c r="F87" i="26"/>
  <c r="F88" i="26"/>
  <c r="F89" i="26"/>
  <c r="F90" i="26"/>
  <c r="F91" i="26"/>
  <c r="F92" i="26"/>
  <c r="F93" i="26"/>
  <c r="F94" i="26"/>
  <c r="F95" i="26"/>
  <c r="F96" i="26"/>
  <c r="F97" i="26"/>
  <c r="F98" i="26"/>
  <c r="F99" i="26"/>
  <c r="F100" i="26"/>
  <c r="F101" i="26"/>
  <c r="F102" i="26"/>
  <c r="F103" i="26"/>
  <c r="F104" i="26"/>
  <c r="F105" i="26"/>
  <c r="F106" i="26"/>
  <c r="F107" i="26"/>
  <c r="F108" i="26"/>
  <c r="F109" i="26"/>
  <c r="F110" i="26"/>
  <c r="F111" i="26"/>
  <c r="F112" i="26"/>
  <c r="F113" i="26"/>
  <c r="F114" i="26"/>
  <c r="F115" i="26"/>
  <c r="F116" i="26"/>
  <c r="F117" i="26"/>
  <c r="F118" i="26"/>
  <c r="F119" i="26"/>
  <c r="F120" i="26"/>
  <c r="F121" i="26"/>
  <c r="F122" i="26"/>
  <c r="F123" i="26"/>
  <c r="F124" i="26"/>
  <c r="F125" i="26"/>
  <c r="F126" i="26"/>
  <c r="F127" i="26"/>
  <c r="F128" i="26"/>
  <c r="F129" i="26"/>
  <c r="F130" i="26"/>
  <c r="F131" i="26"/>
  <c r="F132" i="26"/>
  <c r="F133" i="26"/>
  <c r="F134" i="26"/>
  <c r="F135" i="26"/>
  <c r="F136" i="26"/>
  <c r="F137" i="26"/>
  <c r="F138" i="26"/>
  <c r="F139" i="26"/>
  <c r="F140" i="26"/>
  <c r="F141" i="26"/>
  <c r="F142" i="26"/>
  <c r="F143" i="26"/>
  <c r="F144" i="26"/>
  <c r="F145" i="26"/>
  <c r="F146" i="26"/>
  <c r="F147" i="26"/>
  <c r="F148" i="26"/>
  <c r="F149" i="26"/>
  <c r="F150" i="26"/>
  <c r="F151" i="26"/>
  <c r="F152" i="26"/>
  <c r="F153" i="26"/>
  <c r="F154" i="26"/>
  <c r="F155" i="26"/>
  <c r="F156" i="26"/>
  <c r="F157" i="26"/>
  <c r="F158" i="26"/>
  <c r="F159" i="26"/>
  <c r="F160" i="26"/>
  <c r="F161" i="26"/>
  <c r="F162" i="26"/>
  <c r="F163" i="26"/>
  <c r="F164" i="26"/>
  <c r="F165" i="26"/>
  <c r="F166" i="26"/>
  <c r="F167" i="26"/>
  <c r="F168" i="26"/>
  <c r="F169" i="26"/>
  <c r="F170" i="26"/>
  <c r="F171" i="26"/>
  <c r="F172" i="26"/>
  <c r="F173" i="26"/>
  <c r="F174" i="26"/>
  <c r="F175" i="26"/>
  <c r="F176" i="26"/>
  <c r="F177" i="26"/>
  <c r="F178" i="26"/>
  <c r="F179" i="26"/>
  <c r="F180" i="26"/>
  <c r="F181" i="26"/>
  <c r="F182" i="26"/>
  <c r="F183" i="26"/>
  <c r="F184" i="26"/>
  <c r="F185" i="26"/>
  <c r="F186" i="26"/>
  <c r="F187" i="26"/>
  <c r="F188" i="26"/>
  <c r="F189" i="26"/>
  <c r="F190" i="26"/>
  <c r="F191" i="26"/>
  <c r="F192" i="26"/>
  <c r="F193" i="26"/>
  <c r="F194" i="26"/>
  <c r="F195" i="26"/>
  <c r="F196" i="26"/>
  <c r="F197" i="26"/>
  <c r="F198" i="26"/>
  <c r="F199" i="26"/>
  <c r="F200" i="26"/>
  <c r="F201" i="26"/>
  <c r="F202" i="26"/>
  <c r="F203" i="26"/>
  <c r="F204" i="26"/>
  <c r="F205" i="26"/>
  <c r="F206" i="26"/>
  <c r="F207" i="26"/>
  <c r="F208" i="26"/>
  <c r="F209" i="26"/>
  <c r="F210" i="26"/>
  <c r="F211" i="26"/>
  <c r="F212" i="26"/>
  <c r="F213" i="26"/>
  <c r="F214" i="26"/>
  <c r="F215" i="26"/>
  <c r="F216" i="26"/>
  <c r="F217" i="26"/>
  <c r="F218" i="26"/>
  <c r="F219" i="26"/>
  <c r="F220" i="26"/>
  <c r="F221" i="26"/>
  <c r="F222" i="26"/>
  <c r="F223" i="26"/>
  <c r="F224" i="26"/>
  <c r="F225" i="26"/>
  <c r="F226" i="26"/>
  <c r="F227" i="26"/>
  <c r="F228" i="26"/>
  <c r="F229" i="26"/>
  <c r="F230" i="26"/>
  <c r="F231" i="26"/>
  <c r="F232" i="26"/>
  <c r="F233" i="26"/>
  <c r="F234" i="26"/>
  <c r="F235" i="26"/>
  <c r="F236" i="26"/>
  <c r="F237" i="26"/>
  <c r="F238" i="26"/>
  <c r="F239" i="26"/>
  <c r="F240" i="26"/>
  <c r="F241" i="26"/>
  <c r="F242" i="26"/>
  <c r="F243" i="26"/>
  <c r="F244" i="26"/>
  <c r="F245" i="26"/>
  <c r="F246" i="26"/>
  <c r="F247" i="26"/>
  <c r="F248" i="26"/>
  <c r="F249" i="26"/>
  <c r="F250" i="26"/>
  <c r="F251" i="26"/>
  <c r="F252" i="26"/>
  <c r="F253" i="26"/>
  <c r="F254" i="26"/>
  <c r="F255" i="26"/>
  <c r="F256" i="26"/>
  <c r="F257" i="26"/>
  <c r="F258" i="26"/>
  <c r="F259" i="26"/>
  <c r="F260" i="26"/>
  <c r="F261" i="26"/>
  <c r="F262" i="26"/>
  <c r="F263" i="26"/>
  <c r="F264" i="26"/>
  <c r="F265" i="26"/>
  <c r="F266" i="26"/>
  <c r="F267" i="26"/>
  <c r="F268" i="26"/>
  <c r="F269" i="26"/>
  <c r="F270" i="26"/>
  <c r="F271" i="26"/>
  <c r="F272" i="26"/>
  <c r="F273" i="26"/>
  <c r="F274" i="26"/>
  <c r="F275" i="26"/>
  <c r="F276" i="26"/>
  <c r="F277" i="26"/>
  <c r="F278" i="26"/>
  <c r="F279" i="26"/>
  <c r="F280" i="26"/>
  <c r="F281" i="26"/>
  <c r="F282" i="26"/>
  <c r="F283" i="26"/>
  <c r="F284" i="26"/>
  <c r="F285" i="26"/>
  <c r="F286" i="26"/>
  <c r="F287" i="26"/>
  <c r="F288" i="26"/>
  <c r="F289" i="26"/>
  <c r="F290" i="26"/>
  <c r="F291" i="26"/>
  <c r="F292" i="26"/>
  <c r="F293" i="26"/>
  <c r="F294" i="26"/>
  <c r="F295" i="26"/>
  <c r="F296" i="26"/>
  <c r="F297" i="26"/>
  <c r="F298" i="26"/>
  <c r="F299" i="26"/>
  <c r="F300" i="26"/>
  <c r="F301" i="26"/>
  <c r="F302" i="26"/>
  <c r="F303" i="26"/>
  <c r="F304" i="26"/>
  <c r="F305" i="26"/>
  <c r="F306" i="26"/>
  <c r="F307" i="26"/>
  <c r="F308" i="26"/>
  <c r="F309" i="26"/>
  <c r="F310" i="26"/>
  <c r="F311" i="26"/>
  <c r="F312" i="26"/>
  <c r="F313" i="26"/>
  <c r="F314" i="26"/>
  <c r="F315" i="26"/>
  <c r="F317" i="26"/>
  <c r="F318" i="26"/>
  <c r="F319" i="26"/>
  <c r="F320" i="26"/>
  <c r="F321" i="26"/>
  <c r="F322" i="26"/>
  <c r="F323" i="26"/>
  <c r="F324" i="26"/>
  <c r="F325" i="26"/>
  <c r="F326" i="26"/>
  <c r="F327" i="26"/>
  <c r="F328" i="26"/>
  <c r="F329" i="26"/>
  <c r="F330" i="26"/>
  <c r="F331" i="26"/>
  <c r="F332" i="26"/>
  <c r="F333" i="26"/>
  <c r="F334" i="26"/>
  <c r="F335" i="26"/>
  <c r="F336" i="26"/>
  <c r="F337" i="26"/>
  <c r="F338" i="26"/>
  <c r="F339" i="26"/>
  <c r="F340" i="26"/>
  <c r="F341" i="26"/>
  <c r="F342" i="26"/>
  <c r="F343" i="26"/>
  <c r="F344" i="26"/>
  <c r="F345" i="26"/>
  <c r="F346" i="26"/>
  <c r="F347" i="26"/>
  <c r="F348" i="26"/>
  <c r="F349" i="26"/>
  <c r="F350" i="26"/>
  <c r="F351" i="26"/>
  <c r="F352" i="26"/>
  <c r="F353" i="26"/>
  <c r="F354" i="26"/>
  <c r="F355" i="26"/>
  <c r="F356" i="26"/>
  <c r="F357" i="26"/>
  <c r="F358" i="26"/>
  <c r="F359" i="26"/>
  <c r="F360" i="26"/>
  <c r="F361" i="26"/>
  <c r="F362" i="26"/>
  <c r="F363" i="26"/>
  <c r="F364" i="26"/>
  <c r="F365" i="26"/>
  <c r="F366" i="26"/>
  <c r="F367" i="26"/>
  <c r="F368" i="26"/>
  <c r="F369" i="26"/>
  <c r="F370" i="26"/>
  <c r="F371" i="26"/>
  <c r="F372" i="26"/>
  <c r="F373" i="26"/>
  <c r="F374" i="26"/>
  <c r="F375" i="26"/>
  <c r="F376" i="26"/>
  <c r="F377" i="26"/>
  <c r="F378" i="26"/>
  <c r="F379" i="26"/>
  <c r="F380" i="26"/>
  <c r="F381" i="26"/>
  <c r="F382" i="26"/>
  <c r="F383" i="26"/>
  <c r="F384" i="26"/>
  <c r="F385" i="26"/>
  <c r="F386" i="26"/>
  <c r="F387" i="26"/>
  <c r="F388" i="26"/>
  <c r="F389" i="26"/>
  <c r="F390" i="26"/>
  <c r="F391" i="26"/>
  <c r="F392" i="26"/>
  <c r="F393" i="26"/>
  <c r="F394" i="26"/>
  <c r="F395" i="26"/>
  <c r="F396" i="26"/>
  <c r="F397" i="26"/>
  <c r="F398" i="26"/>
  <c r="F399" i="26"/>
  <c r="F400" i="26"/>
  <c r="F401" i="26"/>
  <c r="F402" i="26"/>
  <c r="F403" i="26"/>
  <c r="F404" i="26"/>
  <c r="F405" i="26"/>
  <c r="F406" i="26"/>
  <c r="F407" i="26"/>
  <c r="F408" i="26"/>
  <c r="F409" i="26"/>
  <c r="F410" i="26"/>
  <c r="F411" i="26"/>
  <c r="F412" i="26"/>
  <c r="F413" i="26"/>
  <c r="F414" i="26"/>
  <c r="F415" i="26"/>
  <c r="F416" i="26"/>
  <c r="F417" i="26"/>
  <c r="F418" i="26"/>
  <c r="F419" i="26"/>
  <c r="F420" i="26"/>
  <c r="F421" i="26"/>
  <c r="F422" i="26"/>
  <c r="F423" i="26"/>
  <c r="F424" i="26"/>
  <c r="F425" i="26"/>
  <c r="F426" i="26"/>
  <c r="F427" i="26"/>
  <c r="F428" i="26"/>
  <c r="F429" i="26"/>
  <c r="F430" i="26"/>
  <c r="F431" i="26"/>
  <c r="F432" i="26"/>
  <c r="F433" i="26"/>
  <c r="F434" i="26"/>
  <c r="F435" i="26"/>
  <c r="F436" i="26"/>
  <c r="F437" i="26"/>
  <c r="F438" i="26"/>
  <c r="F439" i="26"/>
  <c r="F440" i="26"/>
  <c r="F441" i="26"/>
  <c r="F442" i="26"/>
  <c r="F443" i="26"/>
  <c r="F444" i="26"/>
  <c r="F445" i="26"/>
  <c r="F446" i="26"/>
  <c r="F447" i="26"/>
  <c r="F448" i="26"/>
  <c r="F449" i="26"/>
  <c r="F450" i="26"/>
  <c r="F451" i="26"/>
  <c r="F452" i="26"/>
  <c r="F453" i="26"/>
  <c r="F454" i="26"/>
  <c r="F455" i="26"/>
  <c r="F456" i="26"/>
  <c r="F457" i="26"/>
  <c r="F458" i="26"/>
  <c r="F459" i="26"/>
  <c r="F460" i="26"/>
  <c r="F461" i="26"/>
  <c r="F462" i="26"/>
  <c r="F463" i="26"/>
  <c r="F464" i="26"/>
  <c r="F465" i="26"/>
  <c r="F466" i="26"/>
  <c r="F467" i="26"/>
  <c r="F468" i="26"/>
  <c r="F469" i="26"/>
  <c r="F470" i="26"/>
  <c r="F471" i="26"/>
  <c r="F472" i="26"/>
  <c r="F473" i="26"/>
  <c r="F474" i="26"/>
  <c r="F475" i="26"/>
  <c r="F476" i="26"/>
  <c r="F477" i="26"/>
  <c r="F478" i="26"/>
  <c r="F479" i="26"/>
  <c r="F480" i="26"/>
  <c r="F481" i="26"/>
  <c r="F482" i="26"/>
  <c r="F483" i="26"/>
  <c r="F484" i="26"/>
  <c r="F485" i="26"/>
  <c r="F486" i="26"/>
  <c r="F487" i="26"/>
  <c r="F488" i="26"/>
  <c r="F489" i="26"/>
  <c r="F490" i="26"/>
  <c r="F491" i="26"/>
  <c r="F492" i="26"/>
  <c r="F493" i="26"/>
  <c r="F494" i="26"/>
  <c r="F495" i="26"/>
  <c r="F496" i="26"/>
  <c r="F497" i="26"/>
  <c r="F498" i="26"/>
  <c r="F499" i="26"/>
  <c r="F500" i="26"/>
  <c r="F501" i="26"/>
  <c r="F502" i="26"/>
  <c r="F503" i="26"/>
  <c r="F504" i="26"/>
  <c r="F505" i="26"/>
  <c r="F506" i="26"/>
  <c r="F507" i="26"/>
  <c r="F508" i="26"/>
  <c r="F509" i="26"/>
  <c r="F510" i="26"/>
  <c r="F511" i="26"/>
  <c r="F512" i="26"/>
  <c r="F513" i="26"/>
  <c r="F514" i="26"/>
  <c r="F515" i="26"/>
  <c r="F516" i="26"/>
  <c r="F517" i="26"/>
  <c r="F518" i="26"/>
  <c r="F519" i="26"/>
  <c r="F520" i="26"/>
  <c r="F521" i="26"/>
  <c r="F522" i="26"/>
  <c r="F523" i="26"/>
  <c r="F524" i="26"/>
  <c r="F525" i="26"/>
  <c r="F526" i="26"/>
  <c r="F527" i="26"/>
  <c r="F528" i="26"/>
  <c r="F529" i="26"/>
  <c r="F530" i="26"/>
  <c r="F531" i="26"/>
  <c r="F532" i="26"/>
  <c r="F533" i="26"/>
  <c r="F534" i="26"/>
  <c r="F535" i="26"/>
  <c r="F536" i="26"/>
  <c r="F537" i="26"/>
  <c r="F538" i="26"/>
  <c r="F539" i="26"/>
  <c r="F540" i="26"/>
  <c r="F541" i="26"/>
  <c r="F542" i="26"/>
  <c r="F543" i="26"/>
  <c r="F544" i="26"/>
  <c r="F545" i="26"/>
  <c r="F546" i="26"/>
  <c r="F547" i="26"/>
  <c r="F548" i="26"/>
  <c r="F549" i="26"/>
  <c r="F550" i="26"/>
  <c r="F551" i="26"/>
  <c r="F552" i="26"/>
  <c r="F553" i="26"/>
  <c r="F554" i="26"/>
  <c r="F555" i="26"/>
  <c r="F556" i="26"/>
  <c r="F557" i="26"/>
  <c r="F558" i="26"/>
  <c r="F559" i="26"/>
  <c r="F560" i="26"/>
  <c r="F561" i="26"/>
  <c r="F562" i="26"/>
  <c r="F563" i="26"/>
  <c r="F564" i="26"/>
  <c r="F565" i="26"/>
  <c r="F566" i="26"/>
  <c r="F567" i="26"/>
  <c r="F568" i="26"/>
  <c r="F569" i="26"/>
  <c r="F570" i="26"/>
  <c r="F571" i="26"/>
  <c r="F572" i="26"/>
  <c r="F573" i="26"/>
  <c r="F574" i="26"/>
  <c r="F575" i="26"/>
  <c r="F576" i="26"/>
  <c r="F577" i="26"/>
  <c r="F578" i="26"/>
  <c r="F579" i="26"/>
  <c r="F580" i="26"/>
  <c r="F581" i="26"/>
  <c r="F582" i="26"/>
  <c r="F583" i="26"/>
  <c r="F584" i="26"/>
  <c r="F585" i="26"/>
  <c r="F586" i="26"/>
  <c r="F587" i="26"/>
  <c r="F588" i="26"/>
  <c r="F589" i="26"/>
  <c r="F590" i="26"/>
  <c r="F591" i="26"/>
  <c r="F592" i="26"/>
  <c r="F593" i="26"/>
  <c r="F594" i="26"/>
  <c r="F595" i="26"/>
  <c r="F596" i="26"/>
  <c r="F597" i="26"/>
  <c r="F598" i="26"/>
  <c r="F599" i="26"/>
  <c r="F600" i="26"/>
  <c r="F601" i="26"/>
  <c r="F602" i="26"/>
  <c r="F603" i="26"/>
  <c r="F604" i="26"/>
  <c r="F605" i="26"/>
  <c r="F606" i="26"/>
  <c r="F607" i="26"/>
  <c r="F608" i="26"/>
  <c r="F609" i="26"/>
  <c r="F610" i="26"/>
  <c r="F611" i="26"/>
  <c r="F612" i="26"/>
  <c r="F613" i="26"/>
  <c r="F614" i="26"/>
  <c r="F615" i="26"/>
  <c r="F616" i="26"/>
  <c r="F617" i="26"/>
  <c r="F618" i="26"/>
  <c r="F619" i="26"/>
  <c r="F620" i="26"/>
  <c r="F621" i="26"/>
  <c r="F622" i="26"/>
  <c r="F623" i="26"/>
  <c r="F624" i="26"/>
  <c r="F625" i="26"/>
  <c r="F626" i="26"/>
  <c r="F627" i="26"/>
  <c r="F628" i="26"/>
  <c r="F629" i="26"/>
  <c r="F630" i="26"/>
  <c r="F631" i="26"/>
  <c r="F632" i="26"/>
  <c r="F633" i="26"/>
  <c r="F634" i="26"/>
  <c r="F635" i="26"/>
  <c r="F636" i="26"/>
  <c r="F637" i="26"/>
  <c r="F638" i="26"/>
  <c r="F639" i="26"/>
  <c r="F640" i="26"/>
  <c r="F641" i="26"/>
  <c r="E6" i="26"/>
  <c r="E7" i="26"/>
  <c r="E8" i="26"/>
  <c r="E9" i="26"/>
  <c r="E10" i="26"/>
  <c r="E11" i="26"/>
  <c r="E12" i="26"/>
  <c r="E13" i="26"/>
  <c r="E14" i="26"/>
  <c r="E16" i="26"/>
  <c r="E17" i="26"/>
  <c r="E18" i="26"/>
  <c r="E19" i="26"/>
  <c r="E20" i="26"/>
  <c r="E21" i="26"/>
  <c r="E22" i="26"/>
  <c r="E23" i="26"/>
  <c r="E24" i="26"/>
  <c r="E25" i="26"/>
  <c r="E26" i="26"/>
  <c r="E27" i="26"/>
  <c r="E28" i="26"/>
  <c r="E29" i="26"/>
  <c r="E30" i="26"/>
  <c r="E31" i="26"/>
  <c r="E32" i="26"/>
  <c r="E33" i="26"/>
  <c r="E34" i="26"/>
  <c r="E35" i="26"/>
  <c r="E36" i="26"/>
  <c r="E37" i="26"/>
  <c r="E38" i="26"/>
  <c r="E39" i="26"/>
  <c r="E40" i="26"/>
  <c r="E41" i="26"/>
  <c r="E42" i="26"/>
  <c r="E43" i="26"/>
  <c r="E44" i="26"/>
  <c r="E45" i="26"/>
  <c r="E46" i="26"/>
  <c r="E47" i="26"/>
  <c r="E48" i="26"/>
  <c r="E49" i="26"/>
  <c r="E50" i="26"/>
  <c r="E51" i="26"/>
  <c r="E52" i="26"/>
  <c r="E53" i="26"/>
  <c r="E54" i="26"/>
  <c r="E55" i="26"/>
  <c r="E56" i="26"/>
  <c r="E57" i="26"/>
  <c r="E58" i="26"/>
  <c r="E59" i="26"/>
  <c r="E60" i="26"/>
  <c r="E61" i="26"/>
  <c r="E62" i="26"/>
  <c r="E63" i="26"/>
  <c r="E64" i="26"/>
  <c r="E65" i="26"/>
  <c r="E66" i="26"/>
  <c r="E67" i="26"/>
  <c r="E68" i="26"/>
  <c r="E69" i="26"/>
  <c r="E70" i="26"/>
  <c r="E71" i="26"/>
  <c r="E72" i="26"/>
  <c r="E73" i="26"/>
  <c r="E74" i="26"/>
  <c r="E75" i="26"/>
  <c r="E76" i="26"/>
  <c r="E77" i="26"/>
  <c r="E78" i="26"/>
  <c r="E79" i="26"/>
  <c r="E80" i="26"/>
  <c r="E81" i="26"/>
  <c r="E82" i="26"/>
  <c r="E83" i="26"/>
  <c r="E84" i="26"/>
  <c r="E85" i="26"/>
  <c r="E86" i="26"/>
  <c r="E87" i="26"/>
  <c r="E88" i="26"/>
  <c r="E89" i="26"/>
  <c r="E90" i="26"/>
  <c r="E91" i="26"/>
  <c r="E92" i="26"/>
  <c r="E93" i="26"/>
  <c r="E94" i="26"/>
  <c r="E95" i="26"/>
  <c r="E96" i="26"/>
  <c r="E97" i="26"/>
  <c r="E98" i="26"/>
  <c r="E99" i="26"/>
  <c r="E100" i="26"/>
  <c r="E101" i="26"/>
  <c r="E102" i="26"/>
  <c r="E103" i="26"/>
  <c r="E104" i="26"/>
  <c r="E105" i="26"/>
  <c r="E106" i="26"/>
  <c r="E107" i="26"/>
  <c r="E108" i="26"/>
  <c r="E109" i="26"/>
  <c r="E110" i="26"/>
  <c r="E111" i="26"/>
  <c r="E112" i="26"/>
  <c r="E113" i="26"/>
  <c r="E114" i="26"/>
  <c r="E115" i="26"/>
  <c r="E116" i="26"/>
  <c r="E117" i="26"/>
  <c r="E118" i="26"/>
  <c r="E119" i="26"/>
  <c r="E120" i="26"/>
  <c r="E121" i="26"/>
  <c r="E122" i="26"/>
  <c r="E123" i="26"/>
  <c r="E124" i="26"/>
  <c r="E125" i="26"/>
  <c r="E126" i="26"/>
  <c r="E127" i="26"/>
  <c r="E128" i="26"/>
  <c r="E129" i="26"/>
  <c r="E130" i="26"/>
  <c r="E131" i="26"/>
  <c r="E132" i="26"/>
  <c r="E133" i="26"/>
  <c r="E134" i="26"/>
  <c r="E135" i="26"/>
  <c r="E136" i="26"/>
  <c r="E137" i="26"/>
  <c r="E138" i="26"/>
  <c r="E139" i="26"/>
  <c r="E140" i="26"/>
  <c r="E141" i="26"/>
  <c r="E142" i="26"/>
  <c r="E143" i="26"/>
  <c r="E144" i="26"/>
  <c r="E145" i="26"/>
  <c r="E146" i="26"/>
  <c r="E147" i="26"/>
  <c r="E148" i="26"/>
  <c r="E149" i="26"/>
  <c r="E150" i="26"/>
  <c r="E151" i="26"/>
  <c r="E152" i="26"/>
  <c r="E153" i="26"/>
  <c r="E154" i="26"/>
  <c r="E155" i="26"/>
  <c r="E156" i="26"/>
  <c r="E157" i="26"/>
  <c r="E158" i="26"/>
  <c r="E159" i="26"/>
  <c r="E160" i="26"/>
  <c r="E161" i="26"/>
  <c r="E162" i="26"/>
  <c r="E163" i="26"/>
  <c r="E164" i="26"/>
  <c r="E165" i="26"/>
  <c r="E166" i="26"/>
  <c r="E167" i="26"/>
  <c r="E168" i="26"/>
  <c r="E169" i="26"/>
  <c r="E170" i="26"/>
  <c r="E171" i="26"/>
  <c r="E172" i="26"/>
  <c r="E173" i="26"/>
  <c r="E174" i="26"/>
  <c r="E175" i="26"/>
  <c r="E176" i="26"/>
  <c r="E177" i="26"/>
  <c r="E178" i="26"/>
  <c r="E179" i="26"/>
  <c r="E180" i="26"/>
  <c r="E181" i="26"/>
  <c r="E182" i="26"/>
  <c r="E183" i="26"/>
  <c r="E184" i="26"/>
  <c r="E185" i="26"/>
  <c r="E186" i="26"/>
  <c r="E187" i="26"/>
  <c r="E188" i="26"/>
  <c r="E189" i="26"/>
  <c r="E190" i="26"/>
  <c r="E191" i="26"/>
  <c r="E192" i="26"/>
  <c r="E193" i="26"/>
  <c r="E194" i="26"/>
  <c r="E195" i="26"/>
  <c r="E196" i="26"/>
  <c r="E197" i="26"/>
  <c r="E198" i="26"/>
  <c r="E199" i="26"/>
  <c r="E200" i="26"/>
  <c r="E201" i="26"/>
  <c r="E202" i="26"/>
  <c r="E203" i="26"/>
  <c r="E204" i="26"/>
  <c r="E205" i="26"/>
  <c r="E206" i="26"/>
  <c r="E207" i="26"/>
  <c r="E208" i="26"/>
  <c r="E209" i="26"/>
  <c r="E210" i="26"/>
  <c r="E211" i="26"/>
  <c r="E212" i="26"/>
  <c r="E213" i="26"/>
  <c r="E214" i="26"/>
  <c r="E215" i="26"/>
  <c r="E216" i="26"/>
  <c r="E217" i="26"/>
  <c r="E218" i="26"/>
  <c r="E219" i="26"/>
  <c r="E220" i="26"/>
  <c r="E221" i="26"/>
  <c r="E222" i="26"/>
  <c r="E223" i="26"/>
  <c r="E224" i="26"/>
  <c r="E225" i="26"/>
  <c r="E226" i="26"/>
  <c r="E227" i="26"/>
  <c r="E228" i="26"/>
  <c r="E229" i="26"/>
  <c r="E230" i="26"/>
  <c r="E231" i="26"/>
  <c r="E232" i="26"/>
  <c r="E233" i="26"/>
  <c r="E234" i="26"/>
  <c r="E235" i="26"/>
  <c r="E236" i="26"/>
  <c r="E237" i="26"/>
  <c r="E238" i="26"/>
  <c r="E239" i="26"/>
  <c r="E240" i="26"/>
  <c r="E241" i="26"/>
  <c r="E242" i="26"/>
  <c r="E243" i="26"/>
  <c r="E244" i="26"/>
  <c r="E245" i="26"/>
  <c r="E246" i="26"/>
  <c r="E247" i="26"/>
  <c r="E248" i="26"/>
  <c r="E249" i="26"/>
  <c r="E250" i="26"/>
  <c r="E251" i="26"/>
  <c r="E252" i="26"/>
  <c r="E253" i="26"/>
  <c r="E254" i="26"/>
  <c r="E255" i="26"/>
  <c r="E256" i="26"/>
  <c r="E257" i="26"/>
  <c r="E258" i="26"/>
  <c r="E259" i="26"/>
  <c r="E260" i="26"/>
  <c r="E261" i="26"/>
  <c r="E262" i="26"/>
  <c r="E263" i="26"/>
  <c r="E264" i="26"/>
  <c r="E265" i="26"/>
  <c r="E266" i="26"/>
  <c r="E267" i="26"/>
  <c r="E268" i="26"/>
  <c r="E269" i="26"/>
  <c r="E270" i="26"/>
  <c r="E271" i="26"/>
  <c r="E272" i="26"/>
  <c r="E273" i="26"/>
  <c r="E274" i="26"/>
  <c r="E275" i="26"/>
  <c r="E276" i="26"/>
  <c r="E277" i="26"/>
  <c r="E278" i="26"/>
  <c r="E279" i="26"/>
  <c r="E280" i="26"/>
  <c r="E281" i="26"/>
  <c r="E282" i="26"/>
  <c r="E283" i="26"/>
  <c r="E284" i="26"/>
  <c r="E285" i="26"/>
  <c r="E286" i="26"/>
  <c r="E287" i="26"/>
  <c r="E288" i="26"/>
  <c r="E289" i="26"/>
  <c r="E290" i="26"/>
  <c r="E291" i="26"/>
  <c r="E292" i="26"/>
  <c r="E293" i="26"/>
  <c r="E294" i="26"/>
  <c r="E295" i="26"/>
  <c r="E296" i="26"/>
  <c r="E297" i="26"/>
  <c r="E298" i="26"/>
  <c r="E299" i="26"/>
  <c r="E300" i="26"/>
  <c r="E301" i="26"/>
  <c r="E302" i="26"/>
  <c r="E303" i="26"/>
  <c r="E304" i="26"/>
  <c r="E305" i="26"/>
  <c r="E306" i="26"/>
  <c r="E307" i="26"/>
  <c r="E308" i="26"/>
  <c r="E309" i="26"/>
  <c r="E310" i="26"/>
  <c r="E311" i="26"/>
  <c r="E312" i="26"/>
  <c r="E313" i="26"/>
  <c r="E314" i="26"/>
  <c r="E315" i="26"/>
  <c r="E316" i="26"/>
  <c r="E317" i="26"/>
  <c r="E318" i="26"/>
  <c r="E319" i="26"/>
  <c r="E320" i="26"/>
  <c r="E321" i="26"/>
  <c r="E322" i="26"/>
  <c r="E323" i="26"/>
  <c r="E324" i="26"/>
  <c r="E325" i="26"/>
  <c r="E326" i="26"/>
  <c r="E327" i="26"/>
  <c r="E328" i="26"/>
  <c r="E329" i="26"/>
  <c r="E330" i="26"/>
  <c r="E331" i="26"/>
  <c r="E332" i="26"/>
  <c r="E333" i="26"/>
  <c r="E334" i="26"/>
  <c r="E335" i="26"/>
  <c r="E336" i="26"/>
  <c r="E337" i="26"/>
  <c r="E338" i="26"/>
  <c r="E339" i="26"/>
  <c r="E340" i="26"/>
  <c r="E341" i="26"/>
  <c r="E342" i="26"/>
  <c r="E343" i="26"/>
  <c r="E344" i="26"/>
  <c r="E345" i="26"/>
  <c r="E346" i="26"/>
  <c r="E347" i="26"/>
  <c r="E348" i="26"/>
  <c r="E349" i="26"/>
  <c r="E350" i="26"/>
  <c r="E351" i="26"/>
  <c r="E352" i="26"/>
  <c r="E353" i="26"/>
  <c r="E354" i="26"/>
  <c r="E355" i="26"/>
  <c r="E356" i="26"/>
  <c r="E357" i="26"/>
  <c r="E358" i="26"/>
  <c r="E359" i="26"/>
  <c r="E360" i="26"/>
  <c r="E361" i="26"/>
  <c r="E362" i="26"/>
  <c r="E363" i="26"/>
  <c r="E364" i="26"/>
  <c r="E365" i="26"/>
  <c r="E366" i="26"/>
  <c r="E367" i="26"/>
  <c r="E368" i="26"/>
  <c r="E369" i="26"/>
  <c r="E370" i="26"/>
  <c r="E371" i="26"/>
  <c r="E372" i="26"/>
  <c r="E373" i="26"/>
  <c r="E374" i="26"/>
  <c r="E375" i="26"/>
  <c r="E376" i="26"/>
  <c r="E377" i="26"/>
  <c r="E378" i="26"/>
  <c r="E379" i="26"/>
  <c r="E380" i="26"/>
  <c r="E381" i="26"/>
  <c r="E382" i="26"/>
  <c r="E383" i="26"/>
  <c r="E384" i="26"/>
  <c r="E385" i="26"/>
  <c r="E386" i="26"/>
  <c r="E387" i="26"/>
  <c r="E388" i="26"/>
  <c r="E389" i="26"/>
  <c r="E390" i="26"/>
  <c r="E391" i="26"/>
  <c r="E392" i="26"/>
  <c r="E393" i="26"/>
  <c r="E394" i="26"/>
  <c r="E395" i="26"/>
  <c r="E396" i="26"/>
  <c r="E397" i="26"/>
  <c r="E398" i="26"/>
  <c r="E399" i="26"/>
  <c r="E400" i="26"/>
  <c r="E401" i="26"/>
  <c r="E402" i="26"/>
  <c r="E403" i="26"/>
  <c r="E404" i="26"/>
  <c r="E405" i="26"/>
  <c r="E406" i="26"/>
  <c r="E407" i="26"/>
  <c r="E408" i="26"/>
  <c r="E409" i="26"/>
  <c r="E410" i="26"/>
  <c r="E411" i="26"/>
  <c r="E412" i="26"/>
  <c r="E413" i="26"/>
  <c r="E414" i="26"/>
  <c r="E415" i="26"/>
  <c r="E416" i="26"/>
  <c r="E417" i="26"/>
  <c r="E418" i="26"/>
  <c r="E419" i="26"/>
  <c r="E420" i="26"/>
  <c r="E421" i="26"/>
  <c r="E422" i="26"/>
  <c r="E423" i="26"/>
  <c r="E424" i="26"/>
  <c r="E425" i="26"/>
  <c r="E426" i="26"/>
  <c r="E427" i="26"/>
  <c r="E428" i="26"/>
  <c r="E429" i="26"/>
  <c r="E430" i="26"/>
  <c r="E431" i="26"/>
  <c r="E432" i="26"/>
  <c r="E433" i="26"/>
  <c r="E434" i="26"/>
  <c r="E435" i="26"/>
  <c r="E436" i="26"/>
  <c r="E437" i="26"/>
  <c r="E438" i="26"/>
  <c r="E439" i="26"/>
  <c r="E440" i="26"/>
  <c r="E441" i="26"/>
  <c r="E442" i="26"/>
  <c r="E443" i="26"/>
  <c r="E444" i="26"/>
  <c r="E445" i="26"/>
  <c r="E446" i="26"/>
  <c r="E447" i="26"/>
  <c r="E448" i="26"/>
  <c r="E449" i="26"/>
  <c r="E450" i="26"/>
  <c r="E451" i="26"/>
  <c r="E452" i="26"/>
  <c r="E453" i="26"/>
  <c r="E454" i="26"/>
  <c r="E455" i="26"/>
  <c r="E456" i="26"/>
  <c r="E457" i="26"/>
  <c r="E458" i="26"/>
  <c r="E459" i="26"/>
  <c r="E460" i="26"/>
  <c r="E461" i="26"/>
  <c r="E462" i="26"/>
  <c r="E463" i="26"/>
  <c r="E464" i="26"/>
  <c r="E465" i="26"/>
  <c r="E466" i="26"/>
  <c r="E467" i="26"/>
  <c r="E468" i="26"/>
  <c r="E469" i="26"/>
  <c r="E470" i="26"/>
  <c r="E471" i="26"/>
  <c r="E472" i="26"/>
  <c r="E473" i="26"/>
  <c r="E474" i="26"/>
  <c r="E475" i="26"/>
  <c r="E476" i="26"/>
  <c r="E477" i="26"/>
  <c r="E478" i="26"/>
  <c r="E479" i="26"/>
  <c r="E480" i="26"/>
  <c r="E481" i="26"/>
  <c r="E482" i="26"/>
  <c r="E483" i="26"/>
  <c r="E484" i="26"/>
  <c r="E485" i="26"/>
  <c r="E486" i="26"/>
  <c r="E487" i="26"/>
  <c r="E488" i="26"/>
  <c r="E489" i="26"/>
  <c r="E490" i="26"/>
  <c r="E491" i="26"/>
  <c r="E492" i="26"/>
  <c r="E493" i="26"/>
  <c r="E494" i="26"/>
  <c r="E495" i="26"/>
  <c r="E496" i="26"/>
  <c r="E497" i="26"/>
  <c r="E498" i="26"/>
  <c r="E499" i="26"/>
  <c r="E500" i="26"/>
  <c r="E501" i="26"/>
  <c r="E502" i="26"/>
  <c r="E503" i="26"/>
  <c r="E504" i="26"/>
  <c r="E505" i="26"/>
  <c r="E506" i="26"/>
  <c r="E507" i="26"/>
  <c r="E508" i="26"/>
  <c r="E509" i="26"/>
  <c r="E510" i="26"/>
  <c r="E511" i="26"/>
  <c r="E512" i="26"/>
  <c r="E513" i="26"/>
  <c r="E514" i="26"/>
  <c r="E515" i="26"/>
  <c r="E516" i="26"/>
  <c r="E517" i="26"/>
  <c r="E518" i="26"/>
  <c r="E519" i="26"/>
  <c r="E520" i="26"/>
  <c r="E521" i="26"/>
  <c r="E522" i="26"/>
  <c r="E523" i="26"/>
  <c r="E524" i="26"/>
  <c r="E525" i="26"/>
  <c r="E526" i="26"/>
  <c r="E527" i="26"/>
  <c r="E528" i="26"/>
  <c r="E529" i="26"/>
  <c r="E530" i="26"/>
  <c r="E531" i="26"/>
  <c r="E532" i="26"/>
  <c r="E533" i="26"/>
  <c r="E534" i="26"/>
  <c r="E535" i="26"/>
  <c r="E536" i="26"/>
  <c r="E537" i="26"/>
  <c r="E538" i="26"/>
  <c r="E546" i="26"/>
  <c r="E548" i="26"/>
  <c r="E549" i="26"/>
  <c r="E550" i="26"/>
  <c r="E551" i="26"/>
  <c r="E552" i="26"/>
  <c r="E553" i="26"/>
  <c r="E554" i="26"/>
  <c r="E555" i="26"/>
  <c r="E556" i="26"/>
  <c r="E557" i="26"/>
  <c r="E558" i="26"/>
  <c r="E559" i="26"/>
  <c r="E560" i="26"/>
  <c r="E561" i="26"/>
  <c r="E562" i="26"/>
  <c r="E563" i="26"/>
  <c r="E564" i="26"/>
  <c r="E565" i="26"/>
  <c r="E566" i="26"/>
  <c r="E567" i="26"/>
  <c r="E568" i="26"/>
  <c r="E569" i="26"/>
  <c r="E570" i="26"/>
  <c r="E571" i="26"/>
  <c r="E572" i="26"/>
  <c r="E573" i="26"/>
  <c r="E574" i="26"/>
  <c r="E575" i="26"/>
  <c r="E576" i="26"/>
  <c r="E577" i="26"/>
  <c r="E578" i="26"/>
  <c r="E579" i="26"/>
  <c r="E580" i="26"/>
  <c r="E581" i="26"/>
  <c r="E582" i="26"/>
  <c r="E583" i="26"/>
  <c r="E584" i="26"/>
  <c r="E585" i="26"/>
  <c r="E586" i="26"/>
  <c r="E587" i="26"/>
  <c r="E588" i="26"/>
  <c r="E589" i="26"/>
  <c r="E590" i="26"/>
  <c r="E591" i="26"/>
  <c r="E592" i="26"/>
  <c r="E593" i="26"/>
  <c r="E594" i="26"/>
  <c r="E595" i="26"/>
  <c r="E596" i="26"/>
  <c r="E597" i="26"/>
  <c r="E598" i="26"/>
  <c r="E599" i="26"/>
  <c r="E600" i="26"/>
  <c r="E601" i="26"/>
  <c r="E602" i="26"/>
  <c r="E603" i="26"/>
  <c r="E604" i="26"/>
  <c r="E605" i="26"/>
  <c r="E606" i="26"/>
  <c r="E607" i="26"/>
  <c r="E608" i="26"/>
  <c r="E609" i="26"/>
  <c r="E610" i="26"/>
  <c r="E611" i="26"/>
  <c r="E612" i="26"/>
  <c r="E613" i="26"/>
  <c r="E614" i="26"/>
  <c r="E615" i="26"/>
  <c r="E616" i="26"/>
  <c r="E617" i="26"/>
  <c r="E618" i="26"/>
  <c r="E619" i="26"/>
  <c r="E620" i="26"/>
  <c r="E621" i="26"/>
  <c r="E622" i="26"/>
  <c r="E623" i="26"/>
  <c r="E624" i="26"/>
  <c r="E625" i="26"/>
  <c r="E626" i="26"/>
  <c r="E627" i="26"/>
  <c r="E628" i="26"/>
  <c r="E629" i="26"/>
  <c r="E630" i="26"/>
  <c r="E631" i="26"/>
  <c r="E632" i="26"/>
  <c r="E633" i="26"/>
  <c r="E634" i="26"/>
  <c r="E635" i="26"/>
  <c r="E636" i="26"/>
  <c r="E637" i="26"/>
  <c r="E638" i="26"/>
  <c r="E639" i="26"/>
  <c r="E640" i="26"/>
  <c r="E641" i="26"/>
  <c r="D6" i="26"/>
  <c r="D7" i="26"/>
  <c r="D8" i="26"/>
  <c r="D9" i="26"/>
  <c r="D10" i="26"/>
  <c r="D11" i="26"/>
  <c r="D12" i="26"/>
  <c r="D13" i="26"/>
  <c r="D14" i="26"/>
  <c r="D16" i="26"/>
  <c r="D17" i="26"/>
  <c r="D18" i="26"/>
  <c r="D19" i="26"/>
  <c r="D20" i="26"/>
  <c r="D21" i="26"/>
  <c r="D22" i="26"/>
  <c r="D23" i="26"/>
  <c r="D24" i="26"/>
  <c r="D25" i="26"/>
  <c r="D26" i="26"/>
  <c r="D27" i="26"/>
  <c r="D28" i="26"/>
  <c r="D29" i="26"/>
  <c r="D30" i="26"/>
  <c r="D31" i="26"/>
  <c r="D32" i="26"/>
  <c r="D33" i="26"/>
  <c r="D34" i="26"/>
  <c r="D35" i="26"/>
  <c r="D36" i="26"/>
  <c r="D37" i="26"/>
  <c r="D38" i="26"/>
  <c r="D39" i="26"/>
  <c r="D40" i="26"/>
  <c r="D41" i="26"/>
  <c r="D42" i="26"/>
  <c r="D43" i="26"/>
  <c r="D44" i="26"/>
  <c r="D45" i="26"/>
  <c r="D46" i="26"/>
  <c r="D47" i="26"/>
  <c r="D48" i="26"/>
  <c r="D49" i="26"/>
  <c r="D50" i="26"/>
  <c r="D51" i="26"/>
  <c r="D52" i="26"/>
  <c r="D53" i="26"/>
  <c r="D54" i="26"/>
  <c r="D55" i="26"/>
  <c r="D56" i="26"/>
  <c r="D57" i="26"/>
  <c r="D58" i="26"/>
  <c r="D59" i="26"/>
  <c r="D60" i="26"/>
  <c r="D61" i="26"/>
  <c r="D62" i="26"/>
  <c r="D63" i="26"/>
  <c r="D64" i="26"/>
  <c r="D65" i="26"/>
  <c r="D66" i="26"/>
  <c r="D67" i="26"/>
  <c r="D68" i="26"/>
  <c r="D69" i="26"/>
  <c r="D70" i="26"/>
  <c r="D71" i="26"/>
  <c r="D72" i="26"/>
  <c r="D73" i="26"/>
  <c r="D74" i="26"/>
  <c r="D75" i="26"/>
  <c r="D76" i="26"/>
  <c r="D77" i="26"/>
  <c r="D78" i="26"/>
  <c r="D79" i="26"/>
  <c r="D80" i="26"/>
  <c r="D81" i="26"/>
  <c r="D82" i="26"/>
  <c r="D83" i="26"/>
  <c r="D84" i="26"/>
  <c r="D85" i="26"/>
  <c r="D86" i="26"/>
  <c r="D87" i="26"/>
  <c r="D88" i="26"/>
  <c r="D89" i="26"/>
  <c r="D90" i="26"/>
  <c r="D91" i="26"/>
  <c r="D92" i="26"/>
  <c r="D93" i="26"/>
  <c r="D94" i="26"/>
  <c r="D95" i="26"/>
  <c r="D96" i="26"/>
  <c r="D97" i="26"/>
  <c r="D98" i="26"/>
  <c r="D99" i="26"/>
  <c r="D100" i="26"/>
  <c r="D101" i="26"/>
  <c r="D102" i="26"/>
  <c r="D103" i="26"/>
  <c r="D104" i="26"/>
  <c r="D105" i="26"/>
  <c r="D106" i="26"/>
  <c r="D107" i="26"/>
  <c r="D108" i="26"/>
  <c r="D109" i="26"/>
  <c r="D110" i="26"/>
  <c r="D111" i="26"/>
  <c r="D112" i="26"/>
  <c r="D113" i="26"/>
  <c r="D114" i="26"/>
  <c r="D115" i="26"/>
  <c r="D116" i="26"/>
  <c r="D117" i="26"/>
  <c r="D118" i="26"/>
  <c r="D119" i="26"/>
  <c r="D120" i="26"/>
  <c r="D121" i="26"/>
  <c r="D122" i="26"/>
  <c r="D123" i="26"/>
  <c r="D124" i="26"/>
  <c r="D125" i="26"/>
  <c r="D126" i="26"/>
  <c r="D127" i="26"/>
  <c r="D128" i="26"/>
  <c r="D129" i="26"/>
  <c r="D130" i="26"/>
  <c r="D131" i="26"/>
  <c r="D132" i="26"/>
  <c r="D133" i="26"/>
  <c r="D134" i="26"/>
  <c r="D135" i="26"/>
  <c r="D136" i="26"/>
  <c r="D137" i="26"/>
  <c r="D138" i="26"/>
  <c r="D139" i="26"/>
  <c r="D140" i="26"/>
  <c r="D141" i="26"/>
  <c r="D142" i="26"/>
  <c r="D143" i="26"/>
  <c r="D144" i="26"/>
  <c r="D145" i="26"/>
  <c r="D146" i="26"/>
  <c r="D147" i="26"/>
  <c r="D148" i="26"/>
  <c r="D149" i="26"/>
  <c r="D150" i="26"/>
  <c r="D151" i="26"/>
  <c r="D152" i="26"/>
  <c r="D153" i="26"/>
  <c r="D154" i="26"/>
  <c r="D155" i="26"/>
  <c r="D156" i="26"/>
  <c r="D157" i="26"/>
  <c r="D158" i="26"/>
  <c r="D159" i="26"/>
  <c r="D160" i="26"/>
  <c r="D161" i="26"/>
  <c r="D162" i="26"/>
  <c r="D163" i="26"/>
  <c r="D164" i="26"/>
  <c r="D165" i="26"/>
  <c r="D166" i="26"/>
  <c r="D167" i="26"/>
  <c r="D168" i="26"/>
  <c r="D169" i="26"/>
  <c r="D170" i="26"/>
  <c r="D171" i="26"/>
  <c r="D172" i="26"/>
  <c r="D173" i="26"/>
  <c r="D174" i="26"/>
  <c r="D175" i="26"/>
  <c r="D176" i="26"/>
  <c r="D177" i="26"/>
  <c r="D178" i="26"/>
  <c r="D179" i="26"/>
  <c r="D180" i="26"/>
  <c r="D181" i="26"/>
  <c r="D182" i="26"/>
  <c r="D183" i="26"/>
  <c r="D184" i="26"/>
  <c r="D185" i="26"/>
  <c r="D186" i="26"/>
  <c r="D187" i="26"/>
  <c r="D188" i="26"/>
  <c r="D189" i="26"/>
  <c r="D190" i="26"/>
  <c r="D191" i="26"/>
  <c r="D192" i="26"/>
  <c r="D193" i="26"/>
  <c r="D194" i="26"/>
  <c r="D195" i="26"/>
  <c r="D196" i="26"/>
  <c r="D197" i="26"/>
  <c r="D198" i="26"/>
  <c r="D199" i="26"/>
  <c r="D200" i="26"/>
  <c r="D201" i="26"/>
  <c r="D202" i="26"/>
  <c r="D203" i="26"/>
  <c r="D204" i="26"/>
  <c r="D205" i="26"/>
  <c r="D206" i="26"/>
  <c r="D207" i="26"/>
  <c r="D208" i="26"/>
  <c r="D209" i="26"/>
  <c r="D210" i="26"/>
  <c r="D211" i="26"/>
  <c r="D212" i="26"/>
  <c r="D213" i="26"/>
  <c r="D214" i="26"/>
  <c r="D215" i="26"/>
  <c r="D216" i="26"/>
  <c r="D217" i="26"/>
  <c r="D218" i="26"/>
  <c r="D219" i="26"/>
  <c r="D220" i="26"/>
  <c r="D221" i="26"/>
  <c r="D222" i="26"/>
  <c r="D223" i="26"/>
  <c r="D224" i="26"/>
  <c r="D225" i="26"/>
  <c r="D226" i="26"/>
  <c r="D227" i="26"/>
  <c r="D228" i="26"/>
  <c r="D229" i="26"/>
  <c r="D230" i="26"/>
  <c r="D231" i="26"/>
  <c r="D232" i="26"/>
  <c r="D233" i="26"/>
  <c r="D234" i="26"/>
  <c r="D235" i="26"/>
  <c r="D236" i="26"/>
  <c r="D237" i="26"/>
  <c r="D238" i="26"/>
  <c r="D239" i="26"/>
  <c r="D240" i="26"/>
  <c r="D241" i="26"/>
  <c r="D242" i="26"/>
  <c r="D243" i="26"/>
  <c r="D244" i="26"/>
  <c r="D245" i="26"/>
  <c r="D246" i="26"/>
  <c r="D247" i="26"/>
  <c r="D248" i="26"/>
  <c r="D249" i="26"/>
  <c r="D250" i="26"/>
  <c r="D251" i="26"/>
  <c r="D252" i="26"/>
  <c r="D253" i="26"/>
  <c r="D254" i="26"/>
  <c r="D255" i="26"/>
  <c r="D256" i="26"/>
  <c r="D257" i="26"/>
  <c r="D258" i="26"/>
  <c r="D259" i="26"/>
  <c r="D260" i="26"/>
  <c r="D261" i="26"/>
  <c r="D262" i="26"/>
  <c r="D263" i="26"/>
  <c r="D264" i="26"/>
  <c r="D265" i="26"/>
  <c r="D266" i="26"/>
  <c r="D267" i="26"/>
  <c r="D268" i="26"/>
  <c r="D269" i="26"/>
  <c r="D270" i="26"/>
  <c r="D271" i="26"/>
  <c r="D272" i="26"/>
  <c r="D273" i="26"/>
  <c r="D274" i="26"/>
  <c r="D275" i="26"/>
  <c r="D276" i="26"/>
  <c r="D277" i="26"/>
  <c r="D278" i="26"/>
  <c r="D280" i="26"/>
  <c r="D281" i="26"/>
  <c r="D282" i="26"/>
  <c r="D283" i="26"/>
  <c r="D284" i="26"/>
  <c r="D285" i="26"/>
  <c r="D286" i="26"/>
  <c r="D287" i="26"/>
  <c r="D288" i="26"/>
  <c r="D289" i="26"/>
  <c r="D290" i="26"/>
  <c r="D291" i="26"/>
  <c r="D292" i="26"/>
  <c r="D293" i="26"/>
  <c r="D294" i="26"/>
  <c r="D295" i="26"/>
  <c r="D296" i="26"/>
  <c r="D297" i="26"/>
  <c r="D298" i="26"/>
  <c r="D299" i="26"/>
  <c r="D300" i="26"/>
  <c r="D301" i="26"/>
  <c r="D302" i="26"/>
  <c r="D303" i="26"/>
  <c r="D304" i="26"/>
  <c r="D305" i="26"/>
  <c r="D306" i="26"/>
  <c r="D307" i="26"/>
  <c r="D308" i="26"/>
  <c r="D309" i="26"/>
  <c r="D310" i="26"/>
  <c r="D311" i="26"/>
  <c r="D312" i="26"/>
  <c r="D313" i="26"/>
  <c r="D314" i="26"/>
  <c r="D315" i="26"/>
  <c r="D316" i="26"/>
  <c r="D317" i="26"/>
  <c r="D318" i="26"/>
  <c r="D319" i="26"/>
  <c r="D320" i="26"/>
  <c r="D321" i="26"/>
  <c r="D322" i="26"/>
  <c r="D323" i="26"/>
  <c r="D324" i="26"/>
  <c r="D325" i="26"/>
  <c r="D326" i="26"/>
  <c r="D327" i="26"/>
  <c r="D328" i="26"/>
  <c r="D329" i="26"/>
  <c r="D330" i="26"/>
  <c r="D331" i="26"/>
  <c r="D332" i="26"/>
  <c r="D333" i="26"/>
  <c r="D334" i="26"/>
  <c r="D335" i="26"/>
  <c r="D336" i="26"/>
  <c r="D337" i="26"/>
  <c r="D338" i="26"/>
  <c r="D339" i="26"/>
  <c r="D340" i="26"/>
  <c r="D341" i="26"/>
  <c r="D342" i="26"/>
  <c r="D343" i="26"/>
  <c r="D344" i="26"/>
  <c r="D345" i="26"/>
  <c r="D346" i="26"/>
  <c r="D347" i="26"/>
  <c r="D348" i="26"/>
  <c r="D349" i="26"/>
  <c r="D350" i="26"/>
  <c r="D351" i="26"/>
  <c r="D352" i="26"/>
  <c r="D353" i="26"/>
  <c r="D354" i="26"/>
  <c r="D355" i="26"/>
  <c r="D356" i="26"/>
  <c r="D357" i="26"/>
  <c r="D358" i="26"/>
  <c r="D359" i="26"/>
  <c r="D360" i="26"/>
  <c r="D361" i="26"/>
  <c r="D362" i="26"/>
  <c r="D363" i="26"/>
  <c r="D364" i="26"/>
  <c r="D365" i="26"/>
  <c r="D366" i="26"/>
  <c r="D367" i="26"/>
  <c r="D368" i="26"/>
  <c r="D369" i="26"/>
  <c r="D370" i="26"/>
  <c r="D371" i="26"/>
  <c r="D372" i="26"/>
  <c r="D373" i="26"/>
  <c r="D374" i="26"/>
  <c r="D375" i="26"/>
  <c r="D376" i="26"/>
  <c r="D377" i="26"/>
  <c r="D378" i="26"/>
  <c r="D379" i="26"/>
  <c r="D380" i="26"/>
  <c r="D381" i="26"/>
  <c r="D382" i="26"/>
  <c r="D383" i="26"/>
  <c r="D384" i="26"/>
  <c r="D385" i="26"/>
  <c r="D386" i="26"/>
  <c r="D387" i="26"/>
  <c r="D388" i="26"/>
  <c r="D389" i="26"/>
  <c r="D390" i="26"/>
  <c r="D391" i="26"/>
  <c r="D392" i="26"/>
  <c r="D393" i="26"/>
  <c r="D394" i="26"/>
  <c r="D395" i="26"/>
  <c r="D396" i="26"/>
  <c r="D397" i="26"/>
  <c r="D398" i="26"/>
  <c r="D399" i="26"/>
  <c r="D400" i="26"/>
  <c r="D401" i="26"/>
  <c r="D402" i="26"/>
  <c r="D403" i="26"/>
  <c r="D404" i="26"/>
  <c r="D405" i="26"/>
  <c r="D406" i="26"/>
  <c r="D407" i="26"/>
  <c r="D408" i="26"/>
  <c r="D409" i="26"/>
  <c r="D410" i="26"/>
  <c r="D411" i="26"/>
  <c r="D412" i="26"/>
  <c r="D413" i="26"/>
  <c r="D414" i="26"/>
  <c r="D415" i="26"/>
  <c r="D416" i="26"/>
  <c r="D417" i="26"/>
  <c r="D418" i="26"/>
  <c r="D419" i="26"/>
  <c r="D420" i="26"/>
  <c r="D421" i="26"/>
  <c r="D422" i="26"/>
  <c r="D423" i="26"/>
  <c r="D424" i="26"/>
  <c r="D425" i="26"/>
  <c r="D426" i="26"/>
  <c r="D427" i="26"/>
  <c r="D428" i="26"/>
  <c r="D429" i="26"/>
  <c r="D430" i="26"/>
  <c r="D431" i="26"/>
  <c r="D432" i="26"/>
  <c r="D433" i="26"/>
  <c r="D434" i="26"/>
  <c r="D435" i="26"/>
  <c r="D436" i="26"/>
  <c r="D437" i="26"/>
  <c r="D438" i="26"/>
  <c r="D439" i="26"/>
  <c r="D440" i="26"/>
  <c r="D441" i="26"/>
  <c r="D442" i="26"/>
  <c r="D443" i="26"/>
  <c r="D444" i="26"/>
  <c r="D445" i="26"/>
  <c r="D446" i="26"/>
  <c r="D447" i="26"/>
  <c r="D448" i="26"/>
  <c r="D449" i="26"/>
  <c r="D450" i="26"/>
  <c r="D451" i="26"/>
  <c r="D452" i="26"/>
  <c r="D453" i="26"/>
  <c r="D454" i="26"/>
  <c r="D455" i="26"/>
  <c r="D456" i="26"/>
  <c r="D457" i="26"/>
  <c r="D458" i="26"/>
  <c r="D459" i="26"/>
  <c r="D460" i="26"/>
  <c r="D461" i="26"/>
  <c r="D462" i="26"/>
  <c r="D463" i="26"/>
  <c r="D464" i="26"/>
  <c r="D465" i="26"/>
  <c r="D466" i="26"/>
  <c r="D467" i="26"/>
  <c r="D468" i="26"/>
  <c r="D469" i="26"/>
  <c r="D470" i="26"/>
  <c r="D471" i="26"/>
  <c r="D472" i="26"/>
  <c r="D473" i="26"/>
  <c r="D474" i="26"/>
  <c r="D475" i="26"/>
  <c r="D476" i="26"/>
  <c r="D477" i="26"/>
  <c r="D478" i="26"/>
  <c r="D479" i="26"/>
  <c r="D480" i="26"/>
  <c r="D481" i="26"/>
  <c r="D482" i="26"/>
  <c r="D483" i="26"/>
  <c r="D484" i="26"/>
  <c r="D485" i="26"/>
  <c r="D486" i="26"/>
  <c r="D487" i="26"/>
  <c r="D488" i="26"/>
  <c r="D489" i="26"/>
  <c r="D490" i="26"/>
  <c r="D491" i="26"/>
  <c r="D492" i="26"/>
  <c r="D493" i="26"/>
  <c r="D494" i="26"/>
  <c r="D495" i="26"/>
  <c r="D496" i="26"/>
  <c r="D497" i="26"/>
  <c r="D498" i="26"/>
  <c r="D499" i="26"/>
  <c r="D500" i="26"/>
  <c r="D501" i="26"/>
  <c r="D502" i="26"/>
  <c r="D503" i="26"/>
  <c r="D504" i="26"/>
  <c r="D505" i="26"/>
  <c r="D506" i="26"/>
  <c r="D507" i="26"/>
  <c r="D508" i="26"/>
  <c r="D509" i="26"/>
  <c r="D510" i="26"/>
  <c r="D511" i="26"/>
  <c r="D512" i="26"/>
  <c r="D513" i="26"/>
  <c r="D514" i="26"/>
  <c r="D515" i="26"/>
  <c r="D516" i="26"/>
  <c r="D517" i="26"/>
  <c r="D518" i="26"/>
  <c r="D519" i="26"/>
  <c r="D520" i="26"/>
  <c r="D521" i="26"/>
  <c r="D522" i="26"/>
  <c r="D523" i="26"/>
  <c r="D524" i="26"/>
  <c r="D525" i="26"/>
  <c r="D526" i="26"/>
  <c r="D527" i="26"/>
  <c r="D528" i="26"/>
  <c r="D529" i="26"/>
  <c r="D530" i="26"/>
  <c r="D531" i="26"/>
  <c r="D532" i="26"/>
  <c r="D533" i="26"/>
  <c r="D534" i="26"/>
  <c r="D535" i="26"/>
  <c r="D536" i="26"/>
  <c r="D537" i="26"/>
  <c r="D538" i="26"/>
  <c r="D546" i="26"/>
  <c r="D548" i="26"/>
  <c r="D549" i="26"/>
  <c r="D550" i="26"/>
  <c r="D551" i="26"/>
  <c r="D552" i="26"/>
  <c r="D553" i="26"/>
  <c r="D554" i="26"/>
  <c r="D555" i="26"/>
  <c r="D556" i="26"/>
  <c r="D557" i="26"/>
  <c r="D558" i="26"/>
  <c r="D559" i="26"/>
  <c r="D560" i="26"/>
  <c r="D561" i="26"/>
  <c r="D562" i="26"/>
  <c r="D563" i="26"/>
  <c r="D564" i="26"/>
  <c r="D565" i="26"/>
  <c r="D566" i="26"/>
  <c r="D567" i="26"/>
  <c r="D568" i="26"/>
  <c r="D569" i="26"/>
  <c r="D570" i="26"/>
  <c r="D571" i="26"/>
  <c r="D572" i="26"/>
  <c r="D573" i="26"/>
  <c r="D574" i="26"/>
  <c r="D575" i="26"/>
  <c r="D576" i="26"/>
  <c r="D577" i="26"/>
  <c r="D578" i="26"/>
  <c r="D579" i="26"/>
  <c r="D580" i="26"/>
  <c r="D581" i="26"/>
  <c r="D582" i="26"/>
  <c r="D583" i="26"/>
  <c r="D584" i="26"/>
  <c r="D585" i="26"/>
  <c r="D586" i="26"/>
  <c r="D587" i="26"/>
  <c r="D588" i="26"/>
  <c r="D589" i="26"/>
  <c r="D590" i="26"/>
  <c r="D591" i="26"/>
  <c r="D592" i="26"/>
  <c r="D593" i="26"/>
  <c r="D594" i="26"/>
  <c r="D595" i="26"/>
  <c r="D596" i="26"/>
  <c r="D597" i="26"/>
  <c r="D598" i="26"/>
  <c r="D599" i="26"/>
  <c r="D600" i="26"/>
  <c r="D601" i="26"/>
  <c r="D602" i="26"/>
  <c r="D603" i="26"/>
  <c r="D604" i="26"/>
  <c r="D605" i="26"/>
  <c r="D606" i="26"/>
  <c r="D607" i="26"/>
  <c r="D608" i="26"/>
  <c r="D609" i="26"/>
  <c r="D610" i="26"/>
  <c r="D611" i="26"/>
  <c r="D612" i="26"/>
  <c r="D613" i="26"/>
  <c r="D614" i="26"/>
  <c r="D615" i="26"/>
  <c r="D616" i="26"/>
  <c r="D617" i="26"/>
  <c r="D618" i="26"/>
  <c r="D619" i="26"/>
  <c r="D620" i="26"/>
  <c r="D621" i="26"/>
  <c r="D622" i="26"/>
  <c r="D623" i="26"/>
  <c r="D624" i="26"/>
  <c r="D625" i="26"/>
  <c r="D626" i="26"/>
  <c r="D627" i="26"/>
  <c r="D628" i="26"/>
  <c r="D629" i="26"/>
  <c r="D630" i="26"/>
  <c r="D631" i="26"/>
  <c r="D632" i="26"/>
  <c r="D633" i="26"/>
  <c r="D634" i="26"/>
  <c r="D635" i="26"/>
  <c r="D636" i="26"/>
  <c r="D637" i="26"/>
  <c r="D638" i="26"/>
  <c r="D639" i="26"/>
  <c r="D640" i="26"/>
  <c r="D641" i="26"/>
  <c r="C6" i="26"/>
  <c r="C7" i="26"/>
  <c r="C8" i="26"/>
  <c r="C9" i="26"/>
  <c r="C10" i="26"/>
  <c r="C11" i="26"/>
  <c r="C12" i="26"/>
  <c r="C13" i="26"/>
  <c r="C14" i="26"/>
  <c r="C16" i="26"/>
  <c r="C17" i="26"/>
  <c r="C18" i="26"/>
  <c r="C19" i="26"/>
  <c r="C20" i="26"/>
  <c r="C21" i="26"/>
  <c r="C22" i="26"/>
  <c r="C23" i="26"/>
  <c r="C24" i="26"/>
  <c r="C25" i="26"/>
  <c r="C26" i="26"/>
  <c r="C27" i="26"/>
  <c r="C28" i="26"/>
  <c r="C29" i="26"/>
  <c r="C30" i="26"/>
  <c r="C31" i="26"/>
  <c r="C32" i="26"/>
  <c r="C33" i="26"/>
  <c r="C34" i="26"/>
  <c r="C35" i="26"/>
  <c r="C36" i="26"/>
  <c r="C37" i="26"/>
  <c r="C38" i="26"/>
  <c r="C39" i="26"/>
  <c r="C40" i="26"/>
  <c r="C41" i="26"/>
  <c r="C42" i="26"/>
  <c r="C43" i="26"/>
  <c r="C44" i="26"/>
  <c r="C45" i="26"/>
  <c r="C46" i="26"/>
  <c r="C47" i="26"/>
  <c r="C48" i="26"/>
  <c r="C49" i="26"/>
  <c r="C50" i="26"/>
  <c r="C51" i="26"/>
  <c r="C52" i="26"/>
  <c r="C53" i="26"/>
  <c r="C54" i="26"/>
  <c r="C55" i="26"/>
  <c r="C56" i="26"/>
  <c r="C57" i="26"/>
  <c r="C58" i="26"/>
  <c r="C59" i="26"/>
  <c r="C60" i="26"/>
  <c r="C61" i="26"/>
  <c r="C62" i="26"/>
  <c r="C63" i="26"/>
  <c r="C64" i="26"/>
  <c r="C65" i="26"/>
  <c r="C66" i="26"/>
  <c r="C67" i="26"/>
  <c r="C68" i="26"/>
  <c r="C69" i="26"/>
  <c r="C70" i="26"/>
  <c r="C71" i="26"/>
  <c r="C72" i="26"/>
  <c r="C73" i="26"/>
  <c r="C74" i="26"/>
  <c r="C75" i="26"/>
  <c r="C76" i="26"/>
  <c r="C77" i="26"/>
  <c r="C78" i="26"/>
  <c r="C79" i="26"/>
  <c r="C80" i="26"/>
  <c r="C81" i="26"/>
  <c r="C82" i="26"/>
  <c r="C83" i="26"/>
  <c r="C84" i="26"/>
  <c r="C85" i="26"/>
  <c r="C86" i="26"/>
  <c r="C87" i="26"/>
  <c r="C88" i="26"/>
  <c r="C89" i="26"/>
  <c r="C90" i="26"/>
  <c r="C91" i="26"/>
  <c r="C92" i="26"/>
  <c r="C93" i="26"/>
  <c r="C94" i="26"/>
  <c r="C95" i="26"/>
  <c r="C96" i="26"/>
  <c r="C97" i="26"/>
  <c r="C98" i="26"/>
  <c r="C99" i="26"/>
  <c r="C100" i="26"/>
  <c r="C101" i="26"/>
  <c r="C102" i="26"/>
  <c r="C103" i="26"/>
  <c r="C104" i="26"/>
  <c r="C105" i="26"/>
  <c r="C106" i="26"/>
  <c r="C107" i="26"/>
  <c r="C108" i="26"/>
  <c r="C109" i="26"/>
  <c r="C110" i="26"/>
  <c r="C111" i="26"/>
  <c r="C112" i="26"/>
  <c r="C113" i="26"/>
  <c r="C114" i="26"/>
  <c r="C115" i="26"/>
  <c r="C116" i="26"/>
  <c r="C117" i="26"/>
  <c r="C118" i="26"/>
  <c r="C119" i="26"/>
  <c r="C120" i="26"/>
  <c r="C121" i="26"/>
  <c r="C122" i="26"/>
  <c r="C123" i="26"/>
  <c r="C124" i="26"/>
  <c r="C125" i="26"/>
  <c r="C126" i="26"/>
  <c r="C127" i="26"/>
  <c r="C128" i="26"/>
  <c r="C129" i="26"/>
  <c r="C130" i="26"/>
  <c r="C131" i="26"/>
  <c r="C132" i="26"/>
  <c r="C133" i="26"/>
  <c r="C134" i="26"/>
  <c r="C135" i="26"/>
  <c r="C136" i="26"/>
  <c r="C137" i="26"/>
  <c r="C138" i="26"/>
  <c r="C139" i="26"/>
  <c r="C140" i="26"/>
  <c r="C141" i="26"/>
  <c r="C142" i="26"/>
  <c r="C143" i="26"/>
  <c r="C144" i="26"/>
  <c r="C145" i="26"/>
  <c r="C146" i="26"/>
  <c r="C147" i="26"/>
  <c r="C148" i="26"/>
  <c r="C149" i="26"/>
  <c r="C150" i="26"/>
  <c r="C151" i="26"/>
  <c r="C152" i="26"/>
  <c r="C153" i="26"/>
  <c r="C154" i="26"/>
  <c r="C155" i="26"/>
  <c r="C156" i="26"/>
  <c r="C157" i="26"/>
  <c r="C158" i="26"/>
  <c r="C159" i="26"/>
  <c r="C160" i="26"/>
  <c r="C161" i="26"/>
  <c r="C162" i="26"/>
  <c r="C163" i="26"/>
  <c r="C164" i="26"/>
  <c r="C165" i="26"/>
  <c r="C166" i="26"/>
  <c r="C167" i="26"/>
  <c r="C168" i="26"/>
  <c r="C169" i="26"/>
  <c r="C170" i="26"/>
  <c r="C171" i="26"/>
  <c r="C172" i="26"/>
  <c r="C173" i="26"/>
  <c r="C174" i="26"/>
  <c r="C175" i="26"/>
  <c r="C176" i="26"/>
  <c r="C177" i="26"/>
  <c r="C178" i="26"/>
  <c r="C179" i="26"/>
  <c r="C180" i="26"/>
  <c r="C181" i="26"/>
  <c r="C182" i="26"/>
  <c r="C183" i="26"/>
  <c r="C184" i="26"/>
  <c r="C185" i="26"/>
  <c r="C186" i="26"/>
  <c r="C187" i="26"/>
  <c r="C188" i="26"/>
  <c r="C189" i="26"/>
  <c r="C190" i="26"/>
  <c r="C191" i="26"/>
  <c r="C192" i="26"/>
  <c r="C193" i="26"/>
  <c r="C194" i="26"/>
  <c r="C195" i="26"/>
  <c r="C196" i="26"/>
  <c r="C197" i="26"/>
  <c r="C198" i="26"/>
  <c r="C199" i="26"/>
  <c r="C200" i="26"/>
  <c r="C201" i="26"/>
  <c r="C202" i="26"/>
  <c r="C203" i="26"/>
  <c r="C204" i="26"/>
  <c r="C205" i="26"/>
  <c r="C206" i="26"/>
  <c r="C207" i="26"/>
  <c r="C208" i="26"/>
  <c r="C209" i="26"/>
  <c r="C210" i="26"/>
  <c r="C211" i="26"/>
  <c r="C212" i="26"/>
  <c r="C213" i="26"/>
  <c r="C214" i="26"/>
  <c r="C215" i="26"/>
  <c r="C216" i="26"/>
  <c r="C217" i="26"/>
  <c r="C218" i="26"/>
  <c r="C219" i="26"/>
  <c r="C220" i="26"/>
  <c r="C221" i="26"/>
  <c r="C222" i="26"/>
  <c r="C223" i="26"/>
  <c r="C224" i="26"/>
  <c r="C225" i="26"/>
  <c r="C226" i="26"/>
  <c r="C227" i="26"/>
  <c r="C228" i="26"/>
  <c r="C229" i="26"/>
  <c r="C230" i="26"/>
  <c r="C231" i="26"/>
  <c r="C232" i="26"/>
  <c r="C233" i="26"/>
  <c r="C234" i="26"/>
  <c r="C235" i="26"/>
  <c r="C236" i="26"/>
  <c r="C237" i="26"/>
  <c r="C238" i="26"/>
  <c r="C239" i="26"/>
  <c r="C240" i="26"/>
  <c r="C241" i="26"/>
  <c r="C242" i="26"/>
  <c r="C243" i="26"/>
  <c r="C244" i="26"/>
  <c r="C245" i="26"/>
  <c r="C246" i="26"/>
  <c r="C247" i="26"/>
  <c r="C248" i="26"/>
  <c r="C249" i="26"/>
  <c r="C250" i="26"/>
  <c r="C251" i="26"/>
  <c r="C252" i="26"/>
  <c r="C253" i="26"/>
  <c r="C254" i="26"/>
  <c r="C255" i="26"/>
  <c r="C256" i="26"/>
  <c r="C257" i="26"/>
  <c r="C258" i="26"/>
  <c r="C259" i="26"/>
  <c r="C260" i="26"/>
  <c r="C261" i="26"/>
  <c r="C262" i="26"/>
  <c r="C263" i="26"/>
  <c r="C264" i="26"/>
  <c r="C265" i="26"/>
  <c r="C266" i="26"/>
  <c r="C267" i="26"/>
  <c r="C268" i="26"/>
  <c r="C269" i="26"/>
  <c r="C270" i="26"/>
  <c r="C271" i="26"/>
  <c r="C272" i="26"/>
  <c r="C273" i="26"/>
  <c r="C274" i="26"/>
  <c r="C275" i="26"/>
  <c r="C276" i="26"/>
  <c r="C277" i="26"/>
  <c r="C278" i="26"/>
  <c r="C279" i="26"/>
  <c r="C280" i="26"/>
  <c r="C281" i="26"/>
  <c r="C282" i="26"/>
  <c r="C283" i="26"/>
  <c r="C284" i="26"/>
  <c r="C285" i="26"/>
  <c r="C286" i="26"/>
  <c r="C287" i="26"/>
  <c r="C288" i="26"/>
  <c r="C289" i="26"/>
  <c r="C290" i="26"/>
  <c r="C291" i="26"/>
  <c r="C292" i="26"/>
  <c r="C293" i="26"/>
  <c r="C294" i="26"/>
  <c r="C295" i="26"/>
  <c r="C296" i="26"/>
  <c r="C297" i="26"/>
  <c r="C298" i="26"/>
  <c r="C299" i="26"/>
  <c r="C300" i="26"/>
  <c r="C301" i="26"/>
  <c r="C302" i="26"/>
  <c r="C303" i="26"/>
  <c r="C304" i="26"/>
  <c r="C305" i="26"/>
  <c r="C306" i="26"/>
  <c r="C307" i="26"/>
  <c r="C308" i="26"/>
  <c r="C309" i="26"/>
  <c r="C310" i="26"/>
  <c r="C311" i="26"/>
  <c r="C312" i="26"/>
  <c r="C313" i="26"/>
  <c r="C314" i="26"/>
  <c r="C315" i="26"/>
  <c r="C316" i="26"/>
  <c r="C317" i="26"/>
  <c r="C318" i="26"/>
  <c r="C319" i="26"/>
  <c r="C320" i="26"/>
  <c r="C321" i="26"/>
  <c r="C322" i="26"/>
  <c r="C323" i="26"/>
  <c r="C324" i="26"/>
  <c r="C325" i="26"/>
  <c r="C326" i="26"/>
  <c r="C327" i="26"/>
  <c r="C328" i="26"/>
  <c r="C329" i="26"/>
  <c r="C330" i="26"/>
  <c r="C331" i="26"/>
  <c r="C332" i="26"/>
  <c r="C333" i="26"/>
  <c r="C334" i="26"/>
  <c r="C335" i="26"/>
  <c r="C336" i="26"/>
  <c r="C337" i="26"/>
  <c r="C338" i="26"/>
  <c r="C339" i="26"/>
  <c r="C340" i="26"/>
  <c r="C341" i="26"/>
  <c r="C342" i="26"/>
  <c r="C343" i="26"/>
  <c r="C344" i="26"/>
  <c r="C345" i="26"/>
  <c r="C346" i="26"/>
  <c r="C347" i="26"/>
  <c r="C348" i="26"/>
  <c r="C349" i="26"/>
  <c r="C350" i="26"/>
  <c r="C351" i="26"/>
  <c r="C352" i="26"/>
  <c r="C353" i="26"/>
  <c r="C354" i="26"/>
  <c r="C355" i="26"/>
  <c r="C356" i="26"/>
  <c r="C357" i="26"/>
  <c r="C358" i="26"/>
  <c r="C359" i="26"/>
  <c r="C360" i="26"/>
  <c r="C361" i="26"/>
  <c r="C362" i="26"/>
  <c r="C363" i="26"/>
  <c r="C364" i="26"/>
  <c r="C365" i="26"/>
  <c r="C366" i="26"/>
  <c r="C367" i="26"/>
  <c r="C368" i="26"/>
  <c r="C369" i="26"/>
  <c r="C370" i="26"/>
  <c r="C371" i="26"/>
  <c r="C372" i="26"/>
  <c r="C373" i="26"/>
  <c r="C374" i="26"/>
  <c r="C375" i="26"/>
  <c r="C376" i="26"/>
  <c r="C377" i="26"/>
  <c r="C378" i="26"/>
  <c r="C379" i="26"/>
  <c r="C380" i="26"/>
  <c r="C381" i="26"/>
  <c r="C382" i="26"/>
  <c r="C383" i="26"/>
  <c r="C384" i="26"/>
  <c r="C385" i="26"/>
  <c r="C386" i="26"/>
  <c r="C387" i="26"/>
  <c r="C388" i="26"/>
  <c r="C389" i="26"/>
  <c r="C390" i="26"/>
  <c r="C391" i="26"/>
  <c r="C392" i="26"/>
  <c r="C393" i="26"/>
  <c r="C394" i="26"/>
  <c r="C395" i="26"/>
  <c r="C396" i="26"/>
  <c r="C397" i="26"/>
  <c r="C398" i="26"/>
  <c r="C399" i="26"/>
  <c r="C400" i="26"/>
  <c r="C401" i="26"/>
  <c r="C402" i="26"/>
  <c r="C403" i="26"/>
  <c r="C404" i="26"/>
  <c r="C405" i="26"/>
  <c r="C406" i="26"/>
  <c r="C407" i="26"/>
  <c r="C408" i="26"/>
  <c r="C409" i="26"/>
  <c r="C410" i="26"/>
  <c r="C411" i="26"/>
  <c r="C412" i="26"/>
  <c r="C413" i="26"/>
  <c r="C414" i="26"/>
  <c r="C415" i="26"/>
  <c r="C416" i="26"/>
  <c r="C417" i="26"/>
  <c r="C418" i="26"/>
  <c r="C419" i="26"/>
  <c r="C420" i="26"/>
  <c r="C421" i="26"/>
  <c r="C422" i="26"/>
  <c r="C423" i="26"/>
  <c r="C424" i="26"/>
  <c r="C425" i="26"/>
  <c r="C426" i="26"/>
  <c r="C427" i="26"/>
  <c r="C428" i="26"/>
  <c r="C429" i="26"/>
  <c r="C430" i="26"/>
  <c r="C431" i="26"/>
  <c r="C432" i="26"/>
  <c r="C433" i="26"/>
  <c r="C434" i="26"/>
  <c r="C435" i="26"/>
  <c r="C436" i="26"/>
  <c r="C437" i="26"/>
  <c r="C438" i="26"/>
  <c r="C439" i="26"/>
  <c r="C440" i="26"/>
  <c r="C441" i="26"/>
  <c r="C442" i="26"/>
  <c r="C443" i="26"/>
  <c r="C444" i="26"/>
  <c r="C445" i="26"/>
  <c r="C446" i="26"/>
  <c r="C447" i="26"/>
  <c r="C448" i="26"/>
  <c r="C449" i="26"/>
  <c r="C450" i="26"/>
  <c r="C451" i="26"/>
  <c r="C452" i="26"/>
  <c r="C453" i="26"/>
  <c r="C454" i="26"/>
  <c r="C455" i="26"/>
  <c r="C456" i="26"/>
  <c r="C457" i="26"/>
  <c r="C458" i="26"/>
  <c r="C459" i="26"/>
  <c r="C460" i="26"/>
  <c r="C461" i="26"/>
  <c r="C462" i="26"/>
  <c r="C463" i="26"/>
  <c r="C464" i="26"/>
  <c r="C465" i="26"/>
  <c r="C466" i="26"/>
  <c r="C467" i="26"/>
  <c r="C468" i="26"/>
  <c r="C469" i="26"/>
  <c r="C470" i="26"/>
  <c r="C471" i="26"/>
  <c r="C472" i="26"/>
  <c r="C473" i="26"/>
  <c r="C474" i="26"/>
  <c r="C475" i="26"/>
  <c r="C476" i="26"/>
  <c r="C477" i="26"/>
  <c r="C478" i="26"/>
  <c r="C479" i="26"/>
  <c r="C480" i="26"/>
  <c r="C481" i="26"/>
  <c r="C482" i="26"/>
  <c r="C483" i="26"/>
  <c r="C484" i="26"/>
  <c r="C485" i="26"/>
  <c r="C486" i="26"/>
  <c r="C487" i="26"/>
  <c r="C488" i="26"/>
  <c r="C489" i="26"/>
  <c r="C490" i="26"/>
  <c r="C491" i="26"/>
  <c r="C492" i="26"/>
  <c r="C493" i="26"/>
  <c r="C494" i="26"/>
  <c r="C495" i="26"/>
  <c r="C496" i="26"/>
  <c r="C497" i="26"/>
  <c r="C498" i="26"/>
  <c r="C499" i="26"/>
  <c r="C500" i="26"/>
  <c r="C501" i="26"/>
  <c r="C502" i="26"/>
  <c r="C503" i="26"/>
  <c r="C504" i="26"/>
  <c r="C505" i="26"/>
  <c r="C506" i="26"/>
  <c r="C507" i="26"/>
  <c r="C508" i="26"/>
  <c r="C509" i="26"/>
  <c r="C510" i="26"/>
  <c r="C511" i="26"/>
  <c r="C512" i="26"/>
  <c r="C513" i="26"/>
  <c r="C514" i="26"/>
  <c r="C515" i="26"/>
  <c r="C516" i="26"/>
  <c r="C517" i="26"/>
  <c r="C518" i="26"/>
  <c r="C519" i="26"/>
  <c r="C520" i="26"/>
  <c r="C521" i="26"/>
  <c r="C522" i="26"/>
  <c r="C523" i="26"/>
  <c r="C524" i="26"/>
  <c r="C525" i="26"/>
  <c r="C526" i="26"/>
  <c r="C527" i="26"/>
  <c r="C528" i="26"/>
  <c r="C529" i="26"/>
  <c r="C530" i="26"/>
  <c r="C531" i="26"/>
  <c r="C532" i="26"/>
  <c r="C533" i="26"/>
  <c r="C534" i="26"/>
  <c r="C535" i="26"/>
  <c r="C536" i="26"/>
  <c r="C537" i="26"/>
  <c r="C538" i="26"/>
  <c r="C546" i="26"/>
  <c r="C548" i="26"/>
  <c r="C549" i="26"/>
  <c r="C550" i="26"/>
  <c r="C551" i="26"/>
  <c r="C552" i="26"/>
  <c r="C553" i="26"/>
  <c r="C554" i="26"/>
  <c r="C555" i="26"/>
  <c r="C556" i="26"/>
  <c r="C557" i="26"/>
  <c r="C558" i="26"/>
  <c r="C559" i="26"/>
  <c r="C560" i="26"/>
  <c r="C561" i="26"/>
  <c r="C562" i="26"/>
  <c r="C563" i="26"/>
  <c r="C564" i="26"/>
  <c r="C565" i="26"/>
  <c r="C566" i="26"/>
  <c r="C567" i="26"/>
  <c r="C568" i="26"/>
  <c r="C569" i="26"/>
  <c r="C570" i="26"/>
  <c r="C571" i="26"/>
  <c r="C572" i="26"/>
  <c r="C573" i="26"/>
  <c r="C574" i="26"/>
  <c r="C575" i="26"/>
  <c r="C576" i="26"/>
  <c r="C577" i="26"/>
  <c r="C578" i="26"/>
  <c r="C579" i="26"/>
  <c r="C580" i="26"/>
  <c r="C581" i="26"/>
  <c r="C582" i="26"/>
  <c r="C583" i="26"/>
  <c r="C584" i="26"/>
  <c r="C585" i="26"/>
  <c r="C586" i="26"/>
  <c r="C587" i="26"/>
  <c r="C588" i="26"/>
  <c r="C589" i="26"/>
  <c r="C590" i="26"/>
  <c r="C591" i="26"/>
  <c r="C592" i="26"/>
  <c r="C593" i="26"/>
  <c r="C594" i="26"/>
  <c r="C595" i="26"/>
  <c r="C596" i="26"/>
  <c r="C597" i="26"/>
  <c r="C598" i="26"/>
  <c r="C599" i="26"/>
  <c r="C600" i="26"/>
  <c r="C601" i="26"/>
  <c r="C602" i="26"/>
  <c r="C603" i="26"/>
  <c r="C604" i="26"/>
  <c r="C605" i="26"/>
  <c r="C606" i="26"/>
  <c r="C607" i="26"/>
  <c r="C608" i="26"/>
  <c r="C609" i="26"/>
  <c r="C610" i="26"/>
  <c r="C611" i="26"/>
  <c r="C612" i="26"/>
  <c r="C613" i="26"/>
  <c r="C614" i="26"/>
  <c r="C615" i="26"/>
  <c r="C616" i="26"/>
  <c r="C617" i="26"/>
  <c r="C618" i="26"/>
  <c r="C619" i="26"/>
  <c r="C620" i="26"/>
  <c r="C621" i="26"/>
  <c r="C622" i="26"/>
  <c r="C623" i="26"/>
  <c r="C624" i="26"/>
  <c r="C625" i="26"/>
  <c r="C626" i="26"/>
  <c r="C627" i="26"/>
  <c r="C628" i="26"/>
  <c r="C629" i="26"/>
  <c r="C630" i="26"/>
  <c r="C631" i="26"/>
  <c r="C632" i="26"/>
  <c r="C633" i="26"/>
  <c r="C634" i="26"/>
  <c r="C635" i="26"/>
  <c r="C636" i="26"/>
  <c r="C637" i="26"/>
  <c r="C638" i="26"/>
  <c r="C639" i="26"/>
  <c r="C640" i="26"/>
  <c r="C641" i="26"/>
  <c r="B6" i="26"/>
  <c r="B7" i="26"/>
  <c r="B8" i="26"/>
  <c r="B9" i="26"/>
  <c r="B10" i="26"/>
  <c r="B11" i="26"/>
  <c r="B12" i="26"/>
  <c r="B13" i="26"/>
  <c r="B14" i="26"/>
  <c r="B16" i="26"/>
  <c r="B17" i="26"/>
  <c r="B18" i="26"/>
  <c r="B19" i="26"/>
  <c r="B20" i="26"/>
  <c r="B21" i="26"/>
  <c r="B22" i="26"/>
  <c r="B23" i="26"/>
  <c r="B24" i="26"/>
  <c r="B25" i="26"/>
  <c r="B26" i="26"/>
  <c r="B27" i="26"/>
  <c r="B28" i="26"/>
  <c r="B29" i="26"/>
  <c r="B30" i="26"/>
  <c r="B31" i="26"/>
  <c r="B32" i="26"/>
  <c r="B33" i="26"/>
  <c r="B34" i="26"/>
  <c r="B35" i="26"/>
  <c r="B36" i="26"/>
  <c r="B37" i="26"/>
  <c r="B38" i="26"/>
  <c r="B39" i="26"/>
  <c r="B40" i="26"/>
  <c r="B41" i="26"/>
  <c r="B42" i="26"/>
  <c r="B43" i="26"/>
  <c r="B44" i="26"/>
  <c r="B45" i="26"/>
  <c r="B46" i="26"/>
  <c r="B47" i="26"/>
  <c r="B48" i="26"/>
  <c r="B49" i="26"/>
  <c r="B50" i="26"/>
  <c r="B51" i="26"/>
  <c r="B52" i="26"/>
  <c r="B53" i="26"/>
  <c r="B54" i="26"/>
  <c r="B55" i="26"/>
  <c r="B56" i="26"/>
  <c r="B57" i="26"/>
  <c r="B58" i="26"/>
  <c r="B59" i="26"/>
  <c r="B60" i="26"/>
  <c r="B61" i="26"/>
  <c r="B62" i="26"/>
  <c r="B63" i="26"/>
  <c r="B64" i="26"/>
  <c r="B65" i="26"/>
  <c r="B66" i="26"/>
  <c r="B67" i="26"/>
  <c r="B68" i="26"/>
  <c r="B69" i="26"/>
  <c r="B70" i="26"/>
  <c r="B71" i="26"/>
  <c r="B72" i="26"/>
  <c r="B73" i="26"/>
  <c r="B74" i="26"/>
  <c r="B75" i="26"/>
  <c r="B76" i="26"/>
  <c r="B77" i="26"/>
  <c r="B78" i="26"/>
  <c r="B79" i="26"/>
  <c r="B80" i="26"/>
  <c r="B81" i="26"/>
  <c r="B82" i="26"/>
  <c r="B83" i="26"/>
  <c r="B84" i="26"/>
  <c r="B85" i="26"/>
  <c r="B86" i="26"/>
  <c r="B87" i="26"/>
  <c r="B88" i="26"/>
  <c r="B89" i="26"/>
  <c r="B90" i="26"/>
  <c r="B91" i="26"/>
  <c r="B92" i="26"/>
  <c r="B93" i="26"/>
  <c r="B94" i="26"/>
  <c r="B95" i="26"/>
  <c r="B96" i="26"/>
  <c r="B97" i="26"/>
  <c r="B98" i="26"/>
  <c r="B99" i="26"/>
  <c r="B100" i="26"/>
  <c r="B101" i="26"/>
  <c r="B102" i="26"/>
  <c r="B103" i="26"/>
  <c r="B104" i="26"/>
  <c r="B105" i="26"/>
  <c r="B106" i="26"/>
  <c r="B107" i="26"/>
  <c r="B108" i="26"/>
  <c r="B109" i="26"/>
  <c r="B110" i="26"/>
  <c r="B111" i="26"/>
  <c r="B112" i="26"/>
  <c r="B113" i="26"/>
  <c r="B114" i="26"/>
  <c r="B115" i="26"/>
  <c r="B116" i="26"/>
  <c r="B117" i="26"/>
  <c r="B118" i="26"/>
  <c r="B119" i="26"/>
  <c r="B120" i="26"/>
  <c r="B121" i="26"/>
  <c r="B122" i="26"/>
  <c r="B123" i="26"/>
  <c r="B124" i="26"/>
  <c r="B125" i="26"/>
  <c r="B126" i="26"/>
  <c r="B127" i="26"/>
  <c r="B128" i="26"/>
  <c r="B129" i="26"/>
  <c r="B130" i="26"/>
  <c r="B131" i="26"/>
  <c r="B132" i="26"/>
  <c r="B133" i="26"/>
  <c r="B134" i="26"/>
  <c r="B135" i="26"/>
  <c r="B136" i="26"/>
  <c r="B137" i="26"/>
  <c r="B138" i="26"/>
  <c r="B139" i="26"/>
  <c r="B140" i="26"/>
  <c r="B141" i="26"/>
  <c r="B142" i="26"/>
  <c r="B143" i="26"/>
  <c r="B144" i="26"/>
  <c r="B145" i="26"/>
  <c r="B146" i="26"/>
  <c r="B147" i="26"/>
  <c r="B148" i="26"/>
  <c r="B149" i="26"/>
  <c r="B150" i="26"/>
  <c r="B151" i="26"/>
  <c r="B152" i="26"/>
  <c r="B153" i="26"/>
  <c r="B154" i="26"/>
  <c r="B155" i="26"/>
  <c r="B156" i="26"/>
  <c r="B157" i="26"/>
  <c r="B158" i="26"/>
  <c r="B159" i="26"/>
  <c r="B160" i="26"/>
  <c r="B161" i="26"/>
  <c r="B162" i="26"/>
  <c r="B163" i="26"/>
  <c r="B164" i="26"/>
  <c r="B165" i="26"/>
  <c r="B166" i="26"/>
  <c r="B167" i="26"/>
  <c r="B168" i="26"/>
  <c r="B169" i="26"/>
  <c r="B170" i="26"/>
  <c r="B171" i="26"/>
  <c r="B172" i="26"/>
  <c r="B173" i="26"/>
  <c r="B174" i="26"/>
  <c r="B175" i="26"/>
  <c r="B176" i="26"/>
  <c r="B177" i="26"/>
  <c r="B178" i="26"/>
  <c r="B179" i="26"/>
  <c r="B180" i="26"/>
  <c r="B181" i="26"/>
  <c r="B182" i="26"/>
  <c r="B183" i="26"/>
  <c r="B184" i="26"/>
  <c r="B185" i="26"/>
  <c r="B186" i="26"/>
  <c r="B187" i="26"/>
  <c r="B188" i="26"/>
  <c r="B189" i="26"/>
  <c r="B190" i="26"/>
  <c r="B191" i="26"/>
  <c r="B192" i="26"/>
  <c r="B193" i="26"/>
  <c r="B194" i="26"/>
  <c r="B195" i="26"/>
  <c r="B196" i="26"/>
  <c r="B197" i="26"/>
  <c r="B198" i="26"/>
  <c r="B199" i="26"/>
  <c r="B200" i="26"/>
  <c r="B201" i="26"/>
  <c r="B202" i="26"/>
  <c r="B203" i="26"/>
  <c r="B204" i="26"/>
  <c r="B205" i="26"/>
  <c r="B206" i="26"/>
  <c r="B207" i="26"/>
  <c r="B208" i="26"/>
  <c r="B209" i="26"/>
  <c r="B210" i="26"/>
  <c r="B211" i="26"/>
  <c r="B212" i="26"/>
  <c r="B213" i="26"/>
  <c r="B214" i="26"/>
  <c r="B215" i="26"/>
  <c r="B216" i="26"/>
  <c r="B217" i="26"/>
  <c r="B218" i="26"/>
  <c r="B219" i="26"/>
  <c r="B220" i="26"/>
  <c r="B221" i="26"/>
  <c r="B222" i="26"/>
  <c r="B223" i="26"/>
  <c r="B224" i="26"/>
  <c r="B225" i="26"/>
  <c r="B226" i="26"/>
  <c r="B227" i="26"/>
  <c r="B228" i="26"/>
  <c r="B229" i="26"/>
  <c r="B230" i="26"/>
  <c r="B231" i="26"/>
  <c r="B232" i="26"/>
  <c r="B233" i="26"/>
  <c r="B234" i="26"/>
  <c r="B235" i="26"/>
  <c r="B236" i="26"/>
  <c r="B237" i="26"/>
  <c r="B238" i="26"/>
  <c r="B239" i="26"/>
  <c r="B240" i="26"/>
  <c r="B241" i="26"/>
  <c r="B242" i="26"/>
  <c r="B243" i="26"/>
  <c r="B244" i="26"/>
  <c r="B245" i="26"/>
  <c r="B246" i="26"/>
  <c r="B247" i="26"/>
  <c r="B248" i="26"/>
  <c r="B249" i="26"/>
  <c r="B250" i="26"/>
  <c r="B251" i="26"/>
  <c r="B252" i="26"/>
  <c r="B253" i="26"/>
  <c r="B254" i="26"/>
  <c r="B255" i="26"/>
  <c r="B256" i="26"/>
  <c r="B257" i="26"/>
  <c r="B258" i="26"/>
  <c r="B259" i="26"/>
  <c r="B260" i="26"/>
  <c r="B261" i="26"/>
  <c r="B262" i="26"/>
  <c r="B263" i="26"/>
  <c r="B264" i="26"/>
  <c r="B265" i="26"/>
  <c r="B266" i="26"/>
  <c r="B267" i="26"/>
  <c r="B268" i="26"/>
  <c r="B269" i="26"/>
  <c r="B270" i="26"/>
  <c r="B271" i="26"/>
  <c r="B272" i="26"/>
  <c r="B273" i="26"/>
  <c r="B274" i="26"/>
  <c r="B275" i="26"/>
  <c r="B276" i="26"/>
  <c r="B277" i="26"/>
  <c r="B278" i="26"/>
  <c r="B279" i="26"/>
  <c r="B280" i="26"/>
  <c r="B281" i="26"/>
  <c r="B282" i="26"/>
  <c r="B283" i="26"/>
  <c r="B284" i="26"/>
  <c r="B285" i="26"/>
  <c r="B286" i="26"/>
  <c r="B287" i="26"/>
  <c r="B288" i="26"/>
  <c r="B289" i="26"/>
  <c r="B290" i="26"/>
  <c r="B291" i="26"/>
  <c r="B292" i="26"/>
  <c r="B293" i="26"/>
  <c r="B294" i="26"/>
  <c r="B295" i="26"/>
  <c r="B296" i="26"/>
  <c r="B297" i="26"/>
  <c r="B298" i="26"/>
  <c r="B299" i="26"/>
  <c r="B300" i="26"/>
  <c r="B301" i="26"/>
  <c r="B302" i="26"/>
  <c r="B303" i="26"/>
  <c r="B304" i="26"/>
  <c r="B305" i="26"/>
  <c r="B306" i="26"/>
  <c r="B307" i="26"/>
  <c r="B308" i="26"/>
  <c r="B309" i="26"/>
  <c r="B310" i="26"/>
  <c r="B311" i="26"/>
  <c r="B312" i="26"/>
  <c r="B313" i="26"/>
  <c r="B314" i="26"/>
  <c r="B315" i="26"/>
  <c r="B316" i="26"/>
  <c r="B317" i="26"/>
  <c r="B318" i="26"/>
  <c r="B319" i="26"/>
  <c r="B320" i="26"/>
  <c r="B321" i="26"/>
  <c r="B322" i="26"/>
  <c r="B323" i="26"/>
  <c r="B324" i="26"/>
  <c r="B325" i="26"/>
  <c r="B326" i="26"/>
  <c r="B327" i="26"/>
  <c r="B328" i="26"/>
  <c r="B329" i="26"/>
  <c r="B330" i="26"/>
  <c r="B331" i="26"/>
  <c r="B332" i="26"/>
  <c r="B333" i="26"/>
  <c r="B334" i="26"/>
  <c r="B335" i="26"/>
  <c r="B336" i="26"/>
  <c r="B337" i="26"/>
  <c r="B338" i="26"/>
  <c r="B339" i="26"/>
  <c r="B340" i="26"/>
  <c r="B341" i="26"/>
  <c r="B342" i="26"/>
  <c r="B343" i="26"/>
  <c r="B344" i="26"/>
  <c r="B345" i="26"/>
  <c r="B346" i="26"/>
  <c r="B347" i="26"/>
  <c r="B348" i="26"/>
  <c r="B349" i="26"/>
  <c r="B350" i="26"/>
  <c r="B351" i="26"/>
  <c r="B352" i="26"/>
  <c r="B353" i="26"/>
  <c r="B354" i="26"/>
  <c r="B355" i="26"/>
  <c r="B356" i="26"/>
  <c r="B357" i="26"/>
  <c r="B358" i="26"/>
  <c r="B359" i="26"/>
  <c r="B360" i="26"/>
  <c r="B361" i="26"/>
  <c r="B362" i="26"/>
  <c r="B363" i="26"/>
  <c r="B364" i="26"/>
  <c r="B365" i="26"/>
  <c r="B366" i="26"/>
  <c r="B367" i="26"/>
  <c r="B368" i="26"/>
  <c r="B369" i="26"/>
  <c r="B370" i="26"/>
  <c r="B371" i="26"/>
  <c r="B372" i="26"/>
  <c r="B373" i="26"/>
  <c r="B374" i="26"/>
  <c r="B375" i="26"/>
  <c r="B376" i="26"/>
  <c r="B377" i="26"/>
  <c r="B378" i="26"/>
  <c r="B379" i="26"/>
  <c r="B380" i="26"/>
  <c r="B381" i="26"/>
  <c r="B382" i="26"/>
  <c r="B383" i="26"/>
  <c r="B384" i="26"/>
  <c r="B385" i="26"/>
  <c r="B386" i="26"/>
  <c r="B387" i="26"/>
  <c r="B388" i="26"/>
  <c r="B389" i="26"/>
  <c r="B390" i="26"/>
  <c r="B391" i="26"/>
  <c r="B392" i="26"/>
  <c r="B393" i="26"/>
  <c r="B394" i="26"/>
  <c r="B395" i="26"/>
  <c r="B396" i="26"/>
  <c r="B397" i="26"/>
  <c r="B398" i="26"/>
  <c r="B399" i="26"/>
  <c r="B400" i="26"/>
  <c r="B401" i="26"/>
  <c r="B402" i="26"/>
  <c r="B403" i="26"/>
  <c r="B404" i="26"/>
  <c r="B405" i="26"/>
  <c r="B406" i="26"/>
  <c r="B407" i="26"/>
  <c r="B408" i="26"/>
  <c r="B409" i="26"/>
  <c r="B410" i="26"/>
  <c r="B411" i="26"/>
  <c r="B412" i="26"/>
  <c r="B413" i="26"/>
  <c r="B414" i="26"/>
  <c r="B415" i="26"/>
  <c r="B416" i="26"/>
  <c r="B417" i="26"/>
  <c r="B418" i="26"/>
  <c r="B419" i="26"/>
  <c r="B420" i="26"/>
  <c r="B421" i="26"/>
  <c r="B422" i="26"/>
  <c r="B423" i="26"/>
  <c r="B424" i="26"/>
  <c r="B425" i="26"/>
  <c r="B426" i="26"/>
  <c r="B427" i="26"/>
  <c r="B428" i="26"/>
  <c r="B429" i="26"/>
  <c r="B430" i="26"/>
  <c r="B431" i="26"/>
  <c r="B432" i="26"/>
  <c r="B433" i="26"/>
  <c r="B434" i="26"/>
  <c r="B435" i="26"/>
  <c r="B436" i="26"/>
  <c r="B437" i="26"/>
  <c r="B438" i="26"/>
  <c r="B439" i="26"/>
  <c r="B440" i="26"/>
  <c r="B441" i="26"/>
  <c r="B442" i="26"/>
  <c r="B443" i="26"/>
  <c r="B444" i="26"/>
  <c r="B445" i="26"/>
  <c r="B446" i="26"/>
  <c r="B447" i="26"/>
  <c r="B448" i="26"/>
  <c r="B449" i="26"/>
  <c r="B450" i="26"/>
  <c r="B451" i="26"/>
  <c r="B452" i="26"/>
  <c r="B453" i="26"/>
  <c r="B454" i="26"/>
  <c r="B455" i="26"/>
  <c r="B456" i="26"/>
  <c r="B457" i="26"/>
  <c r="B458" i="26"/>
  <c r="B459" i="26"/>
  <c r="B460" i="26"/>
  <c r="B461" i="26"/>
  <c r="B462" i="26"/>
  <c r="B463" i="26"/>
  <c r="B464" i="26"/>
  <c r="B465" i="26"/>
  <c r="B466" i="26"/>
  <c r="B467" i="26"/>
  <c r="B468" i="26"/>
  <c r="B469" i="26"/>
  <c r="B470" i="26"/>
  <c r="B471" i="26"/>
  <c r="B472" i="26"/>
  <c r="B473" i="26"/>
  <c r="B474" i="26"/>
  <c r="B475" i="26"/>
  <c r="B476" i="26"/>
  <c r="B477" i="26"/>
  <c r="B478" i="26"/>
  <c r="B479" i="26"/>
  <c r="B480" i="26"/>
  <c r="B481" i="26"/>
  <c r="B482" i="26"/>
  <c r="B483" i="26"/>
  <c r="B484" i="26"/>
  <c r="B485" i="26"/>
  <c r="B486" i="26"/>
  <c r="B487" i="26"/>
  <c r="B488" i="26"/>
  <c r="B489" i="26"/>
  <c r="B490" i="26"/>
  <c r="B491" i="26"/>
  <c r="B492" i="26"/>
  <c r="B493" i="26"/>
  <c r="B494" i="26"/>
  <c r="B495" i="26"/>
  <c r="B496" i="26"/>
  <c r="B497" i="26"/>
  <c r="B498" i="26"/>
  <c r="B499" i="26"/>
  <c r="B500" i="26"/>
  <c r="B501" i="26"/>
  <c r="B502" i="26"/>
  <c r="B503" i="26"/>
  <c r="B504" i="26"/>
  <c r="B505" i="26"/>
  <c r="B506" i="26"/>
  <c r="B507" i="26"/>
  <c r="B508" i="26"/>
  <c r="B509" i="26"/>
  <c r="B510" i="26"/>
  <c r="B511" i="26"/>
  <c r="B512" i="26"/>
  <c r="B513" i="26"/>
  <c r="B514" i="26"/>
  <c r="B515" i="26"/>
  <c r="B516" i="26"/>
  <c r="B517" i="26"/>
  <c r="B518" i="26"/>
  <c r="B519" i="26"/>
  <c r="B520" i="26"/>
  <c r="B521" i="26"/>
  <c r="B522" i="26"/>
  <c r="B523" i="26"/>
  <c r="B524" i="26"/>
  <c r="B525" i="26"/>
  <c r="B526" i="26"/>
  <c r="B527" i="26"/>
  <c r="B528" i="26"/>
  <c r="B529" i="26"/>
  <c r="B530" i="26"/>
  <c r="B531" i="26"/>
  <c r="B532" i="26"/>
  <c r="B533" i="26"/>
  <c r="B534" i="26"/>
  <c r="B535" i="26"/>
  <c r="B536" i="26"/>
  <c r="B537" i="26"/>
  <c r="B538" i="26"/>
  <c r="B546" i="26"/>
  <c r="B548" i="26"/>
  <c r="B549" i="26"/>
  <c r="B550" i="26"/>
  <c r="B551" i="26"/>
  <c r="B552" i="26"/>
  <c r="B553" i="26"/>
  <c r="B554" i="26"/>
  <c r="B555" i="26"/>
  <c r="B556" i="26"/>
  <c r="B557" i="26"/>
  <c r="B558" i="26"/>
  <c r="B559" i="26"/>
  <c r="B560" i="26"/>
  <c r="B561" i="26"/>
  <c r="B562" i="26"/>
  <c r="B563" i="26"/>
  <c r="B564" i="26"/>
  <c r="B565" i="26"/>
  <c r="B566" i="26"/>
  <c r="B567" i="26"/>
  <c r="B568" i="26"/>
  <c r="B569" i="26"/>
  <c r="B570" i="26"/>
  <c r="B571" i="26"/>
  <c r="B572" i="26"/>
  <c r="B573" i="26"/>
  <c r="B574" i="26"/>
  <c r="B575" i="26"/>
  <c r="B576" i="26"/>
  <c r="B577" i="26"/>
  <c r="B578" i="26"/>
  <c r="B579" i="26"/>
  <c r="B580" i="26"/>
  <c r="B581" i="26"/>
  <c r="B582" i="26"/>
  <c r="B583" i="26"/>
  <c r="B584" i="26"/>
  <c r="B585" i="26"/>
  <c r="B586" i="26"/>
  <c r="B587" i="26"/>
  <c r="B588" i="26"/>
  <c r="B589" i="26"/>
  <c r="B590" i="26"/>
  <c r="B591" i="26"/>
  <c r="B592" i="26"/>
  <c r="B593" i="26"/>
  <c r="B594" i="26"/>
  <c r="B595" i="26"/>
  <c r="B596" i="26"/>
  <c r="B597" i="26"/>
  <c r="B598" i="26"/>
  <c r="B599" i="26"/>
  <c r="B600" i="26"/>
  <c r="B601" i="26"/>
  <c r="B602" i="26"/>
  <c r="B603" i="26"/>
  <c r="B604" i="26"/>
  <c r="B605" i="26"/>
  <c r="B606" i="26"/>
  <c r="B607" i="26"/>
  <c r="B608" i="26"/>
  <c r="B609" i="26"/>
  <c r="B610" i="26"/>
  <c r="B611" i="26"/>
  <c r="B612" i="26"/>
  <c r="B613" i="26"/>
  <c r="B614" i="26"/>
  <c r="B615" i="26"/>
  <c r="B616" i="26"/>
  <c r="B617" i="26"/>
  <c r="B618" i="26"/>
  <c r="B619" i="26"/>
  <c r="B620" i="26"/>
  <c r="B621" i="26"/>
  <c r="B622" i="26"/>
  <c r="B623" i="26"/>
  <c r="B624" i="26"/>
  <c r="B625" i="26"/>
  <c r="B626" i="26"/>
  <c r="B627" i="26"/>
  <c r="B628" i="26"/>
  <c r="B629" i="26"/>
  <c r="B630" i="26"/>
  <c r="B631" i="26"/>
  <c r="B632" i="26"/>
  <c r="B633" i="26"/>
  <c r="B634" i="26"/>
  <c r="B635" i="26"/>
  <c r="B636" i="26"/>
  <c r="B637" i="26"/>
  <c r="B638" i="26"/>
  <c r="B639" i="26"/>
  <c r="B640" i="26"/>
  <c r="B641" i="26"/>
  <c r="A6" i="26"/>
  <c r="A7" i="26"/>
  <c r="A8" i="26"/>
  <c r="A9" i="26"/>
  <c r="A10" i="26"/>
  <c r="A11" i="26"/>
  <c r="A12" i="26"/>
  <c r="A13" i="26"/>
  <c r="A14" i="26"/>
  <c r="A16" i="26"/>
  <c r="A17" i="26"/>
  <c r="A18" i="26"/>
  <c r="A19" i="26"/>
  <c r="A20" i="26"/>
  <c r="A21" i="26"/>
  <c r="A22" i="26"/>
  <c r="A23" i="26"/>
  <c r="A24" i="26"/>
  <c r="A25" i="26"/>
  <c r="A26" i="26"/>
  <c r="A27" i="26"/>
  <c r="A28" i="26"/>
  <c r="A29" i="26"/>
  <c r="A30" i="26"/>
  <c r="A31" i="26"/>
  <c r="A32" i="26"/>
  <c r="A33" i="26"/>
  <c r="A34" i="26"/>
  <c r="A35" i="26"/>
  <c r="A36" i="26"/>
  <c r="A37" i="26"/>
  <c r="A38" i="26"/>
  <c r="A39" i="26"/>
  <c r="A40" i="26"/>
  <c r="A41" i="26"/>
  <c r="A42" i="26"/>
  <c r="A43" i="26"/>
  <c r="A44" i="26"/>
  <c r="A45" i="26"/>
  <c r="A46" i="26"/>
  <c r="A47" i="26"/>
  <c r="A48" i="26"/>
  <c r="A49" i="26"/>
  <c r="A50" i="26"/>
  <c r="A51" i="26"/>
  <c r="A52" i="26"/>
  <c r="A53" i="26"/>
  <c r="A54" i="26"/>
  <c r="A55" i="26"/>
  <c r="A56" i="26"/>
  <c r="A57" i="26"/>
  <c r="A58" i="26"/>
  <c r="A59" i="26"/>
  <c r="A60" i="26"/>
  <c r="A61" i="26"/>
  <c r="A62" i="26"/>
  <c r="A63" i="26"/>
  <c r="A64" i="26"/>
  <c r="A65" i="26"/>
  <c r="A66" i="26"/>
  <c r="A67" i="26"/>
  <c r="A68" i="26"/>
  <c r="A69" i="26"/>
  <c r="A70" i="26"/>
  <c r="A71" i="26"/>
  <c r="A72" i="26"/>
  <c r="A73" i="26"/>
  <c r="A74" i="26"/>
  <c r="A75" i="26"/>
  <c r="A76" i="26"/>
  <c r="A77" i="26"/>
  <c r="A78" i="26"/>
  <c r="A79" i="26"/>
  <c r="A80" i="26"/>
  <c r="A81" i="26"/>
  <c r="A82" i="26"/>
  <c r="A83" i="26"/>
  <c r="A84" i="26"/>
  <c r="A85" i="26"/>
  <c r="A86" i="26"/>
  <c r="A87" i="26"/>
  <c r="A88" i="26"/>
  <c r="A89" i="26"/>
  <c r="A90" i="26"/>
  <c r="A91" i="26"/>
  <c r="A92" i="26"/>
  <c r="A93" i="26"/>
  <c r="A94" i="26"/>
  <c r="A95" i="26"/>
  <c r="A96" i="26"/>
  <c r="A97" i="26"/>
  <c r="A98" i="26"/>
  <c r="A99" i="26"/>
  <c r="A100" i="26"/>
  <c r="A101" i="26"/>
  <c r="A102" i="26"/>
  <c r="A103" i="26"/>
  <c r="A104" i="26"/>
  <c r="A105" i="26"/>
  <c r="A106" i="26"/>
  <c r="A107" i="26"/>
  <c r="A108" i="26"/>
  <c r="A109" i="26"/>
  <c r="A110" i="26"/>
  <c r="A111" i="26"/>
  <c r="A112" i="26"/>
  <c r="A113" i="26"/>
  <c r="A114" i="26"/>
  <c r="A115" i="26"/>
  <c r="A116" i="26"/>
  <c r="A117" i="26"/>
  <c r="A118" i="26"/>
  <c r="A119" i="26"/>
  <c r="A120" i="26"/>
  <c r="A121" i="26"/>
  <c r="A122" i="26"/>
  <c r="A123" i="26"/>
  <c r="A124" i="26"/>
  <c r="A125" i="26"/>
  <c r="A126" i="26"/>
  <c r="A127" i="26"/>
  <c r="A128" i="26"/>
  <c r="A129" i="26"/>
  <c r="A130" i="26"/>
  <c r="A131" i="26"/>
  <c r="A132" i="26"/>
  <c r="A133" i="26"/>
  <c r="A134" i="26"/>
  <c r="A135" i="26"/>
  <c r="A136" i="26"/>
  <c r="A137" i="26"/>
  <c r="A138" i="26"/>
  <c r="A139" i="26"/>
  <c r="A140" i="26"/>
  <c r="A141" i="26"/>
  <c r="A142" i="26"/>
  <c r="A143" i="26"/>
  <c r="A144" i="26"/>
  <c r="A145" i="26"/>
  <c r="A146" i="26"/>
  <c r="A147" i="26"/>
  <c r="A148" i="26"/>
  <c r="A149" i="26"/>
  <c r="A150" i="26"/>
  <c r="A151" i="26"/>
  <c r="A152" i="26"/>
  <c r="A153" i="26"/>
  <c r="A154" i="26"/>
  <c r="A155" i="26"/>
  <c r="A156" i="26"/>
  <c r="A157" i="26"/>
  <c r="A158" i="26"/>
  <c r="A159" i="26"/>
  <c r="A160" i="26"/>
  <c r="A161" i="26"/>
  <c r="A162" i="26"/>
  <c r="A163" i="26"/>
  <c r="A164" i="26"/>
  <c r="A165" i="26"/>
  <c r="A166" i="26"/>
  <c r="A167" i="26"/>
  <c r="A168" i="26"/>
  <c r="A169" i="26"/>
  <c r="A170" i="26"/>
  <c r="A171" i="26"/>
  <c r="A172" i="26"/>
  <c r="A173" i="26"/>
  <c r="A174" i="26"/>
  <c r="A175" i="26"/>
  <c r="A176" i="26"/>
  <c r="A177" i="26"/>
  <c r="A178" i="26"/>
  <c r="A179" i="26"/>
  <c r="A180" i="26"/>
  <c r="A181" i="26"/>
  <c r="A182" i="26"/>
  <c r="A183" i="26"/>
  <c r="A184" i="26"/>
  <c r="A185" i="26"/>
  <c r="A186" i="26"/>
  <c r="A187" i="26"/>
  <c r="A188" i="26"/>
  <c r="A189" i="26"/>
  <c r="A190" i="26"/>
  <c r="A191" i="26"/>
  <c r="A192" i="26"/>
  <c r="A193" i="26"/>
  <c r="A194" i="26"/>
  <c r="A195" i="26"/>
  <c r="A196" i="26"/>
  <c r="A197" i="26"/>
  <c r="A198" i="26"/>
  <c r="A199" i="26"/>
  <c r="A200" i="26"/>
  <c r="A201" i="26"/>
  <c r="A202" i="26"/>
  <c r="A203" i="26"/>
  <c r="A204" i="26"/>
  <c r="A205" i="26"/>
  <c r="A206" i="26"/>
  <c r="A207" i="26"/>
  <c r="A208" i="26"/>
  <c r="A209" i="26"/>
  <c r="A210" i="26"/>
  <c r="A211" i="26"/>
  <c r="A212" i="26"/>
  <c r="A213" i="26"/>
  <c r="A214" i="26"/>
  <c r="A215" i="26"/>
  <c r="A216" i="26"/>
  <c r="A217" i="26"/>
  <c r="A218" i="26"/>
  <c r="A219" i="26"/>
  <c r="A220" i="26"/>
  <c r="A221" i="26"/>
  <c r="A222" i="26"/>
  <c r="A223" i="26"/>
  <c r="A224" i="26"/>
  <c r="A225" i="26"/>
  <c r="A226" i="26"/>
  <c r="A227" i="26"/>
  <c r="A228" i="26"/>
  <c r="A229" i="26"/>
  <c r="A230" i="26"/>
  <c r="A231" i="26"/>
  <c r="A232" i="26"/>
  <c r="A233" i="26"/>
  <c r="A234" i="26"/>
  <c r="A235" i="26"/>
  <c r="A236" i="26"/>
  <c r="A237" i="26"/>
  <c r="A238" i="26"/>
  <c r="A239" i="26"/>
  <c r="A240" i="26"/>
  <c r="A241" i="26"/>
  <c r="A242" i="26"/>
  <c r="A243" i="26"/>
  <c r="A244" i="26"/>
  <c r="A245" i="26"/>
  <c r="A246" i="26"/>
  <c r="A247" i="26"/>
  <c r="A248" i="26"/>
  <c r="A249" i="26"/>
  <c r="A250" i="26"/>
  <c r="A251" i="26"/>
  <c r="A252" i="26"/>
  <c r="A253" i="26"/>
  <c r="A254" i="26"/>
  <c r="A255" i="26"/>
  <c r="A256" i="26"/>
  <c r="A257" i="26"/>
  <c r="A258" i="26"/>
  <c r="A259" i="26"/>
  <c r="A260" i="26"/>
  <c r="A261" i="26"/>
  <c r="A262" i="26"/>
  <c r="A263" i="26"/>
  <c r="A264" i="26"/>
  <c r="A265" i="26"/>
  <c r="A266" i="26"/>
  <c r="A267" i="26"/>
  <c r="A268" i="26"/>
  <c r="A269" i="26"/>
  <c r="A270" i="26"/>
  <c r="A271" i="26"/>
  <c r="A272" i="26"/>
  <c r="A273" i="26"/>
  <c r="A274" i="26"/>
  <c r="A275" i="26"/>
  <c r="A276" i="26"/>
  <c r="A277" i="26"/>
  <c r="A278" i="26"/>
  <c r="A279" i="26"/>
  <c r="A280" i="26"/>
  <c r="A281" i="26"/>
  <c r="A282" i="26"/>
  <c r="A283" i="26"/>
  <c r="A284" i="26"/>
  <c r="A285" i="26"/>
  <c r="A286" i="26"/>
  <c r="A287" i="26"/>
  <c r="A288" i="26"/>
  <c r="A289" i="26"/>
  <c r="A290" i="26"/>
  <c r="A291" i="26"/>
  <c r="A292" i="26"/>
  <c r="A293" i="26"/>
  <c r="A294" i="26"/>
  <c r="A295" i="26"/>
  <c r="A296" i="26"/>
  <c r="A297" i="26"/>
  <c r="A298" i="26"/>
  <c r="A299" i="26"/>
  <c r="A300" i="26"/>
  <c r="A301" i="26"/>
  <c r="A302" i="26"/>
  <c r="A303" i="26"/>
  <c r="A304" i="26"/>
  <c r="A305" i="26"/>
  <c r="A306" i="26"/>
  <c r="A307" i="26"/>
  <c r="A308" i="26"/>
  <c r="A309" i="26"/>
  <c r="A310" i="26"/>
  <c r="A311" i="26"/>
  <c r="A312" i="26"/>
  <c r="A313" i="26"/>
  <c r="A314" i="26"/>
  <c r="A315" i="26"/>
  <c r="A316" i="26"/>
  <c r="A317" i="26"/>
  <c r="A318" i="26"/>
  <c r="A319" i="26"/>
  <c r="A320" i="26"/>
  <c r="A321" i="26"/>
  <c r="A322" i="26"/>
  <c r="A323" i="26"/>
  <c r="A324" i="26"/>
  <c r="A325" i="26"/>
  <c r="A326" i="26"/>
  <c r="A327" i="26"/>
  <c r="A328" i="26"/>
  <c r="A329" i="26"/>
  <c r="A330" i="26"/>
  <c r="A331" i="26"/>
  <c r="A332" i="26"/>
  <c r="A333" i="26"/>
  <c r="A334" i="26"/>
  <c r="A335" i="26"/>
  <c r="A336" i="26"/>
  <c r="A337" i="26"/>
  <c r="A338" i="26"/>
  <c r="A339" i="26"/>
  <c r="A340" i="26"/>
  <c r="A341" i="26"/>
  <c r="A342" i="26"/>
  <c r="A343" i="26"/>
  <c r="A344" i="26"/>
  <c r="A345" i="26"/>
  <c r="A346" i="26"/>
  <c r="A347" i="26"/>
  <c r="A348" i="26"/>
  <c r="A349" i="26"/>
  <c r="A350" i="26"/>
  <c r="A351" i="26"/>
  <c r="A352" i="26"/>
  <c r="A353" i="26"/>
  <c r="A354" i="26"/>
  <c r="A355" i="26"/>
  <c r="A356" i="26"/>
  <c r="A357" i="26"/>
  <c r="A358" i="26"/>
  <c r="A359" i="26"/>
  <c r="A360" i="26"/>
  <c r="A361" i="26"/>
  <c r="A362" i="26"/>
  <c r="A363" i="26"/>
  <c r="A364" i="26"/>
  <c r="A365" i="26"/>
  <c r="A366" i="26"/>
  <c r="A367" i="26"/>
  <c r="A368" i="26"/>
  <c r="A369" i="26"/>
  <c r="A370" i="26"/>
  <c r="A371" i="26"/>
  <c r="A372" i="26"/>
  <c r="A373" i="26"/>
  <c r="A374" i="26"/>
  <c r="A375" i="26"/>
  <c r="A376" i="26"/>
  <c r="A377" i="26"/>
  <c r="A378" i="26"/>
  <c r="A379" i="26"/>
  <c r="A380" i="26"/>
  <c r="A381" i="26"/>
  <c r="A382" i="26"/>
  <c r="A383" i="26"/>
  <c r="A384" i="26"/>
  <c r="A385" i="26"/>
  <c r="A386" i="26"/>
  <c r="A387" i="26"/>
  <c r="A388" i="26"/>
  <c r="A389" i="26"/>
  <c r="A390" i="26"/>
  <c r="A391" i="26"/>
  <c r="A392" i="26"/>
  <c r="A393" i="26"/>
  <c r="A394" i="26"/>
  <c r="A395" i="26"/>
  <c r="A396" i="26"/>
  <c r="A397" i="26"/>
  <c r="A398" i="26"/>
  <c r="A399" i="26"/>
  <c r="A400" i="26"/>
  <c r="A401" i="26"/>
  <c r="A402" i="26"/>
  <c r="A403" i="26"/>
  <c r="A404" i="26"/>
  <c r="A405" i="26"/>
  <c r="A406" i="26"/>
  <c r="A407" i="26"/>
  <c r="A408" i="26"/>
  <c r="A409" i="26"/>
  <c r="A410" i="26"/>
  <c r="A411" i="26"/>
  <c r="A412" i="26"/>
  <c r="A413" i="26"/>
  <c r="A414" i="26"/>
  <c r="A415" i="26"/>
  <c r="A416" i="26"/>
  <c r="A417" i="26"/>
  <c r="A418" i="26"/>
  <c r="A419" i="26"/>
  <c r="A420" i="26"/>
  <c r="A421" i="26"/>
  <c r="A422" i="26"/>
  <c r="A423" i="26"/>
  <c r="A424" i="26"/>
  <c r="A425" i="26"/>
  <c r="A426" i="26"/>
  <c r="A427" i="26"/>
  <c r="A428" i="26"/>
  <c r="A429" i="26"/>
  <c r="A430" i="26"/>
  <c r="A431" i="26"/>
  <c r="A432" i="26"/>
  <c r="A433" i="26"/>
  <c r="A434" i="26"/>
  <c r="A435" i="26"/>
  <c r="A436" i="26"/>
  <c r="A437" i="26"/>
  <c r="A438" i="26"/>
  <c r="A439" i="26"/>
  <c r="A440" i="26"/>
  <c r="A441" i="26"/>
  <c r="A442" i="26"/>
  <c r="A443" i="26"/>
  <c r="A444" i="26"/>
  <c r="A445" i="26"/>
  <c r="A446" i="26"/>
  <c r="A447" i="26"/>
  <c r="A448" i="26"/>
  <c r="A449" i="26"/>
  <c r="A450" i="26"/>
  <c r="A451" i="26"/>
  <c r="A452" i="26"/>
  <c r="A453" i="26"/>
  <c r="A454" i="26"/>
  <c r="A455" i="26"/>
  <c r="A456" i="26"/>
  <c r="A457" i="26"/>
  <c r="A458" i="26"/>
  <c r="A459" i="26"/>
  <c r="A460" i="26"/>
  <c r="A462" i="26"/>
  <c r="A463" i="26"/>
  <c r="A464" i="26"/>
  <c r="A465" i="26"/>
  <c r="A466" i="26"/>
  <c r="A467" i="26"/>
  <c r="A468" i="26"/>
  <c r="A469" i="26"/>
  <c r="A470" i="26"/>
  <c r="A471" i="26"/>
  <c r="A472" i="26"/>
  <c r="A473" i="26"/>
  <c r="A474" i="26"/>
  <c r="A475" i="26"/>
  <c r="A476" i="26"/>
  <c r="A477" i="26"/>
  <c r="A478" i="26"/>
  <c r="A479" i="26"/>
  <c r="A480" i="26"/>
  <c r="A481" i="26"/>
  <c r="A482" i="26"/>
  <c r="A483" i="26"/>
  <c r="A484" i="26"/>
  <c r="A485" i="26"/>
  <c r="A486" i="26"/>
  <c r="A487" i="26"/>
  <c r="A488" i="26"/>
  <c r="A489" i="26"/>
  <c r="A490" i="26"/>
  <c r="A491" i="26"/>
  <c r="A492" i="26"/>
  <c r="A493" i="26"/>
  <c r="A494" i="26"/>
  <c r="A495" i="26"/>
  <c r="A496" i="26"/>
  <c r="A497" i="26"/>
  <c r="A498" i="26"/>
  <c r="A499" i="26"/>
  <c r="A500" i="26"/>
  <c r="A501" i="26"/>
  <c r="A502" i="26"/>
  <c r="A503" i="26"/>
  <c r="A504" i="26"/>
  <c r="A505" i="26"/>
  <c r="A506" i="26"/>
  <c r="A507" i="26"/>
  <c r="A508" i="26"/>
  <c r="A509" i="26"/>
  <c r="A510" i="26"/>
  <c r="A511" i="26"/>
  <c r="A512" i="26"/>
  <c r="A513" i="26"/>
  <c r="A514" i="26"/>
  <c r="A515" i="26"/>
  <c r="A516" i="26"/>
  <c r="A517" i="26"/>
  <c r="A518" i="26"/>
  <c r="A519" i="26"/>
  <c r="A520" i="26"/>
  <c r="A521" i="26"/>
  <c r="A522" i="26"/>
  <c r="A523" i="26"/>
  <c r="A524" i="26"/>
  <c r="A525" i="26"/>
  <c r="A526" i="26"/>
  <c r="A527" i="26"/>
  <c r="A528" i="26"/>
  <c r="A529" i="26"/>
  <c r="A530" i="26"/>
  <c r="A531" i="26"/>
  <c r="A532" i="26"/>
  <c r="A533" i="26"/>
  <c r="A534" i="26"/>
  <c r="A535" i="26"/>
  <c r="A536" i="26"/>
  <c r="A537" i="26"/>
  <c r="A538" i="26"/>
  <c r="A546" i="26"/>
  <c r="A548" i="26"/>
  <c r="A549" i="26"/>
  <c r="A550" i="26"/>
  <c r="A551" i="26"/>
  <c r="A552" i="26"/>
  <c r="A553" i="26"/>
  <c r="A554" i="26"/>
  <c r="A555" i="26"/>
  <c r="A556" i="26"/>
  <c r="A557" i="26"/>
  <c r="A558" i="26"/>
  <c r="A559" i="26"/>
  <c r="A560" i="26"/>
  <c r="A561" i="26"/>
  <c r="A562" i="26"/>
  <c r="A563" i="26"/>
  <c r="A564" i="26"/>
  <c r="A565" i="26"/>
  <c r="A566" i="26"/>
  <c r="A567" i="26"/>
  <c r="A568" i="26"/>
  <c r="A569" i="26"/>
  <c r="A570" i="26"/>
  <c r="A571" i="26"/>
  <c r="A572" i="26"/>
  <c r="A573" i="26"/>
  <c r="A574" i="26"/>
  <c r="A575" i="26"/>
  <c r="A576" i="26"/>
  <c r="A577" i="26"/>
  <c r="A578" i="26"/>
  <c r="A579" i="26"/>
  <c r="A580" i="26"/>
  <c r="A581" i="26"/>
  <c r="A582" i="26"/>
  <c r="A583" i="26"/>
  <c r="A584" i="26"/>
  <c r="A585" i="26"/>
  <c r="A586" i="26"/>
  <c r="A587" i="26"/>
  <c r="A588" i="26"/>
  <c r="A589" i="26"/>
  <c r="A590" i="26"/>
  <c r="A591" i="26"/>
  <c r="A592" i="26"/>
  <c r="A593" i="26"/>
  <c r="A594" i="26"/>
  <c r="A595" i="26"/>
  <c r="A596" i="26"/>
  <c r="A597" i="26"/>
  <c r="A598" i="26"/>
  <c r="A599" i="26"/>
  <c r="A600" i="26"/>
  <c r="A601" i="26"/>
  <c r="A602" i="26"/>
  <c r="A603" i="26"/>
  <c r="A604" i="26"/>
  <c r="A605" i="26"/>
  <c r="A606" i="26"/>
  <c r="A607" i="26"/>
  <c r="A608" i="26"/>
  <c r="A609" i="26"/>
  <c r="A610" i="26"/>
  <c r="A611" i="26"/>
  <c r="A612" i="26"/>
  <c r="A613" i="26"/>
  <c r="A614" i="26"/>
  <c r="A615" i="26"/>
  <c r="A616" i="26"/>
  <c r="A617" i="26"/>
  <c r="A618" i="26"/>
  <c r="A619" i="26"/>
  <c r="A620" i="26"/>
  <c r="A621" i="26"/>
  <c r="A622" i="26"/>
  <c r="A623" i="26"/>
  <c r="A624" i="26"/>
  <c r="A625" i="26"/>
  <c r="A626" i="26"/>
  <c r="A627" i="26"/>
  <c r="A628" i="26"/>
  <c r="A629" i="26"/>
  <c r="A630" i="26"/>
  <c r="A631" i="26"/>
  <c r="A632" i="26"/>
  <c r="A633" i="26"/>
  <c r="A634" i="26"/>
  <c r="A635" i="26"/>
  <c r="A636" i="26"/>
  <c r="A637" i="26"/>
  <c r="A638" i="26"/>
  <c r="A639" i="26"/>
  <c r="A640" i="26"/>
  <c r="A641" i="26"/>
  <c r="I373" i="2"/>
  <c r="K373" i="2"/>
  <c r="I537" i="2"/>
  <c r="K537" i="2"/>
  <c r="D73" i="24" l="1"/>
  <c r="AI2" i="26"/>
  <c r="L162" i="2"/>
  <c r="L257" i="2"/>
  <c r="L373" i="2"/>
  <c r="L537" i="2"/>
  <c r="B1" i="2"/>
  <c r="V3" i="2"/>
  <c r="U3" i="2"/>
  <c r="Q3" i="2"/>
  <c r="C47" i="24" s="1"/>
  <c r="P3" i="2"/>
  <c r="C36" i="24" s="1"/>
  <c r="O3" i="2"/>
  <c r="C25" i="24" s="1"/>
  <c r="T3" i="2"/>
  <c r="AQ2" i="2" l="1"/>
  <c r="AQ1" i="2" s="1"/>
  <c r="C337" i="24"/>
  <c r="C247" i="24"/>
  <c r="E249" i="24" s="1"/>
  <c r="C325" i="24"/>
  <c r="C314" i="24"/>
  <c r="C303" i="24"/>
  <c r="C292" i="24"/>
  <c r="C281" i="24"/>
  <c r="C270" i="24"/>
  <c r="C259" i="24"/>
  <c r="C223" i="24"/>
  <c r="E224" i="24" s="1"/>
  <c r="C235" i="24"/>
  <c r="N2" i="2"/>
  <c r="Z2" i="2"/>
  <c r="AL2" i="2"/>
  <c r="C134" i="24"/>
  <c r="O2" i="2"/>
  <c r="AA2" i="2"/>
  <c r="AM2" i="2"/>
  <c r="P2" i="2"/>
  <c r="AB2" i="2"/>
  <c r="AN2" i="2"/>
  <c r="C178" i="24"/>
  <c r="Q2" i="2"/>
  <c r="AC2" i="2"/>
  <c r="AO2" i="2"/>
  <c r="R2" i="2"/>
  <c r="AD2" i="2"/>
  <c r="AP2" i="2"/>
  <c r="AP1" i="2" s="1"/>
  <c r="C211" i="24"/>
  <c r="AK2" i="2"/>
  <c r="S2" i="2"/>
  <c r="AE2" i="2"/>
  <c r="M2" i="2"/>
  <c r="C189" i="24"/>
  <c r="T2" i="2"/>
  <c r="AF2" i="2"/>
  <c r="U2" i="2"/>
  <c r="AG2" i="2"/>
  <c r="C200" i="24"/>
  <c r="C156" i="24"/>
  <c r="V2" i="2"/>
  <c r="AH2" i="2"/>
  <c r="C145" i="24"/>
  <c r="W2" i="2"/>
  <c r="AI2" i="2"/>
  <c r="C167" i="24"/>
  <c r="X2" i="2"/>
  <c r="AJ2" i="2"/>
  <c r="Y2" i="2"/>
  <c r="D114" i="24"/>
  <c r="C102" i="24"/>
  <c r="D103" i="24" s="1"/>
  <c r="D125" i="24"/>
  <c r="C79" i="24"/>
  <c r="C24" i="24"/>
  <c r="C35" i="24"/>
  <c r="E36" i="24" s="1"/>
  <c r="C90" i="24"/>
  <c r="E91" i="24" s="1"/>
  <c r="C101" i="24"/>
  <c r="C57" i="24"/>
  <c r="E58" i="24" s="1"/>
  <c r="C46" i="24"/>
  <c r="E47" i="24" s="1"/>
  <c r="C13" i="24"/>
  <c r="C2" i="24"/>
  <c r="C123" i="24"/>
  <c r="E124" i="24" s="1"/>
  <c r="C112" i="24"/>
  <c r="E113" i="24" s="1"/>
  <c r="C68" i="24"/>
  <c r="E341" i="24" l="1"/>
  <c r="E339" i="24"/>
  <c r="E340" i="24"/>
  <c r="E338" i="24"/>
  <c r="E248" i="24"/>
  <c r="E250" i="24"/>
  <c r="E251" i="24"/>
  <c r="E263" i="24"/>
  <c r="E262" i="24"/>
  <c r="E260" i="24"/>
  <c r="E261" i="24"/>
  <c r="E274" i="24"/>
  <c r="E273" i="24"/>
  <c r="E271" i="24"/>
  <c r="E272" i="24"/>
  <c r="E285" i="24"/>
  <c r="E284" i="24"/>
  <c r="E283" i="24"/>
  <c r="E282" i="24"/>
  <c r="E296" i="24"/>
  <c r="E295" i="24"/>
  <c r="E293" i="24"/>
  <c r="E294" i="24"/>
  <c r="E307" i="24"/>
  <c r="E306" i="24"/>
  <c r="E305" i="24"/>
  <c r="E304" i="24"/>
  <c r="E318" i="24"/>
  <c r="E317" i="24"/>
  <c r="E315" i="24"/>
  <c r="E316" i="24"/>
  <c r="E329" i="24"/>
  <c r="E328" i="24"/>
  <c r="E326" i="24"/>
  <c r="E327" i="24"/>
  <c r="E227" i="24"/>
  <c r="E225" i="24"/>
  <c r="E226" i="24"/>
  <c r="E238" i="24"/>
  <c r="E237" i="24"/>
  <c r="E236" i="24"/>
  <c r="E239" i="24"/>
  <c r="E168" i="24"/>
  <c r="E169" i="24"/>
  <c r="E170" i="24"/>
  <c r="E171" i="24"/>
  <c r="E172" i="24"/>
  <c r="E190" i="24"/>
  <c r="E191" i="24"/>
  <c r="E192" i="24"/>
  <c r="E193" i="24"/>
  <c r="E194" i="24"/>
  <c r="E181" i="24"/>
  <c r="E179" i="24"/>
  <c r="E180" i="24"/>
  <c r="E182" i="24"/>
  <c r="E183" i="24"/>
  <c r="E147" i="24"/>
  <c r="E146" i="24"/>
  <c r="E148" i="24"/>
  <c r="E149" i="24"/>
  <c r="E150" i="24"/>
  <c r="E212" i="24"/>
  <c r="E213" i="24"/>
  <c r="E214" i="24"/>
  <c r="E215" i="24"/>
  <c r="E216" i="24"/>
  <c r="E157" i="24"/>
  <c r="E158" i="24"/>
  <c r="E159" i="24"/>
  <c r="E160" i="24"/>
  <c r="E161" i="24"/>
  <c r="E201" i="24"/>
  <c r="E202" i="24"/>
  <c r="E203" i="24"/>
  <c r="E204" i="24"/>
  <c r="E205" i="24"/>
  <c r="E136" i="24"/>
  <c r="E135" i="24"/>
  <c r="E137" i="24"/>
  <c r="E138" i="24"/>
  <c r="E139" i="24"/>
  <c r="E102" i="24"/>
  <c r="D104" i="24"/>
  <c r="E103" i="24"/>
  <c r="E80" i="24"/>
  <c r="E81" i="24"/>
  <c r="E82" i="24"/>
  <c r="E83" i="24"/>
  <c r="D126" i="24"/>
  <c r="E125" i="24"/>
  <c r="E37" i="24"/>
  <c r="E48" i="24"/>
  <c r="E59" i="24"/>
  <c r="E84" i="24"/>
  <c r="E92" i="24"/>
  <c r="E114" i="24"/>
  <c r="E69" i="24"/>
  <c r="E70" i="24"/>
  <c r="E71" i="24"/>
  <c r="E72" i="24"/>
  <c r="E73" i="24"/>
  <c r="E49" i="24" l="1"/>
  <c r="D39" i="24"/>
  <c r="E38" i="24"/>
  <c r="D127" i="24"/>
  <c r="E126" i="24"/>
  <c r="E115" i="24"/>
  <c r="E93" i="24"/>
  <c r="E60" i="24"/>
  <c r="D105" i="24"/>
  <c r="E104" i="24"/>
  <c r="A4" i="26"/>
  <c r="B4" i="26"/>
  <c r="C4" i="26"/>
  <c r="D4" i="26"/>
  <c r="E4" i="26"/>
  <c r="F4" i="26"/>
  <c r="G4" i="26"/>
  <c r="H4" i="26"/>
  <c r="I4" i="26"/>
  <c r="J4" i="26"/>
  <c r="K4" i="26"/>
  <c r="L4" i="26"/>
  <c r="M4" i="26"/>
  <c r="N4" i="26"/>
  <c r="O4" i="26"/>
  <c r="P4" i="26"/>
  <c r="Q4" i="26"/>
  <c r="R4" i="26"/>
  <c r="S4" i="26"/>
  <c r="T4" i="26"/>
  <c r="U4" i="26"/>
  <c r="V4" i="26"/>
  <c r="W4" i="26"/>
  <c r="X4" i="26"/>
  <c r="Y4" i="26"/>
  <c r="Z4" i="26"/>
  <c r="AA4" i="26"/>
  <c r="AB4" i="26"/>
  <c r="AC4" i="26"/>
  <c r="AD4" i="26"/>
  <c r="AE4" i="26"/>
  <c r="AF4" i="26"/>
  <c r="AG4" i="26"/>
  <c r="AH4" i="26"/>
  <c r="A5" i="26"/>
  <c r="B5" i="26"/>
  <c r="C5" i="26"/>
  <c r="D5" i="26"/>
  <c r="E5" i="26"/>
  <c r="F5" i="26"/>
  <c r="G5" i="26"/>
  <c r="H5" i="26"/>
  <c r="I5" i="26"/>
  <c r="J5" i="26"/>
  <c r="K5" i="26"/>
  <c r="L5" i="26"/>
  <c r="M5" i="26"/>
  <c r="N5" i="26"/>
  <c r="O5" i="26"/>
  <c r="P5" i="26"/>
  <c r="Q5" i="26"/>
  <c r="R5" i="26"/>
  <c r="S5" i="26"/>
  <c r="T5" i="26"/>
  <c r="U5" i="26"/>
  <c r="V5" i="26"/>
  <c r="W5" i="26"/>
  <c r="X5" i="26"/>
  <c r="Y5" i="26"/>
  <c r="Z5" i="26"/>
  <c r="AA5" i="26"/>
  <c r="AB5" i="26"/>
  <c r="AC5" i="26"/>
  <c r="AD5" i="26"/>
  <c r="AE5" i="26"/>
  <c r="AF5" i="26"/>
  <c r="AG5" i="26"/>
  <c r="AH5" i="26"/>
  <c r="K131" i="2"/>
  <c r="I131" i="2"/>
  <c r="K343" i="2"/>
  <c r="I343" i="2"/>
  <c r="I483" i="2"/>
  <c r="K317" i="2"/>
  <c r="I317" i="2"/>
  <c r="I318" i="2"/>
  <c r="K318" i="2"/>
  <c r="I447" i="2"/>
  <c r="K447" i="2"/>
  <c r="I446" i="2"/>
  <c r="K446" i="2"/>
  <c r="E105" i="24" l="1"/>
  <c r="E106" i="24"/>
  <c r="E127" i="24"/>
  <c r="D128" i="24"/>
  <c r="E128" i="24" s="1"/>
  <c r="E116" i="24"/>
  <c r="E117" i="24"/>
  <c r="E61" i="24"/>
  <c r="E62" i="24"/>
  <c r="E39" i="24"/>
  <c r="E40" i="24"/>
  <c r="E94" i="24"/>
  <c r="E95" i="24"/>
  <c r="E51" i="24"/>
  <c r="E50" i="24"/>
  <c r="XFB4" i="26"/>
  <c r="AE3" i="26"/>
  <c r="AI3" i="26"/>
  <c r="D1" i="26"/>
  <c r="H1" i="26"/>
  <c r="Q3" i="26"/>
  <c r="I3" i="26"/>
  <c r="Q2" i="26"/>
  <c r="I2" i="26"/>
  <c r="P3" i="26"/>
  <c r="L3" i="26"/>
  <c r="H3" i="26"/>
  <c r="P2" i="26"/>
  <c r="L2" i="26"/>
  <c r="H2" i="26"/>
  <c r="O3" i="26"/>
  <c r="K3" i="26"/>
  <c r="S2" i="26"/>
  <c r="O2" i="26"/>
  <c r="K2" i="26"/>
  <c r="R3" i="26"/>
  <c r="J3" i="26"/>
  <c r="R2" i="26"/>
  <c r="J2" i="26"/>
  <c r="N2" i="26"/>
  <c r="N3" i="26"/>
  <c r="M3" i="26"/>
  <c r="M2" i="26"/>
  <c r="AG3" i="26"/>
  <c r="Y3" i="26"/>
  <c r="AC2" i="26"/>
  <c r="AH3" i="26"/>
  <c r="AF3" i="26"/>
  <c r="AB2" i="26"/>
  <c r="Z3" i="26"/>
  <c r="AA2" i="26"/>
  <c r="AD3" i="26"/>
  <c r="AH2" i="26"/>
  <c r="Z2" i="26"/>
  <c r="AC3" i="26"/>
  <c r="AG2" i="26"/>
  <c r="Y2" i="26"/>
  <c r="AD2" i="26"/>
  <c r="AB3" i="26"/>
  <c r="AF2" i="26"/>
  <c r="AA3" i="26"/>
  <c r="AE2" i="26"/>
  <c r="X3" i="26"/>
  <c r="T2" i="26"/>
  <c r="W3" i="26"/>
  <c r="V3" i="26"/>
  <c r="U2" i="26"/>
  <c r="U3" i="26"/>
  <c r="T3" i="26"/>
  <c r="X2" i="26"/>
  <c r="W2" i="26"/>
  <c r="V2" i="26"/>
  <c r="S3" i="26"/>
  <c r="L131" i="2"/>
  <c r="O1" i="26"/>
  <c r="K1" i="26"/>
  <c r="L343" i="2"/>
  <c r="L317" i="2"/>
  <c r="L318" i="2"/>
  <c r="L446" i="2"/>
  <c r="L447" i="2"/>
  <c r="K265" i="2" l="1"/>
  <c r="I265" i="2"/>
  <c r="K23" i="2"/>
  <c r="I23" i="2"/>
  <c r="K372" i="2"/>
  <c r="I372" i="2"/>
  <c r="I264" i="2"/>
  <c r="K264" i="2"/>
  <c r="I145" i="2"/>
  <c r="K145" i="2"/>
  <c r="I154" i="2"/>
  <c r="K154" i="2"/>
  <c r="I155" i="2"/>
  <c r="K155" i="2"/>
  <c r="I156" i="2"/>
  <c r="K156" i="2"/>
  <c r="I157" i="2"/>
  <c r="K157" i="2"/>
  <c r="I158" i="2"/>
  <c r="K158" i="2"/>
  <c r="I159" i="2"/>
  <c r="K159" i="2"/>
  <c r="I196" i="2"/>
  <c r="K196" i="2"/>
  <c r="I201" i="2"/>
  <c r="K201" i="2"/>
  <c r="I202" i="2"/>
  <c r="K202" i="2"/>
  <c r="I203" i="2"/>
  <c r="K203" i="2"/>
  <c r="I204" i="2"/>
  <c r="K204" i="2"/>
  <c r="I205" i="2"/>
  <c r="K205" i="2"/>
  <c r="I206" i="2"/>
  <c r="K206" i="2"/>
  <c r="I207" i="2"/>
  <c r="K207" i="2"/>
  <c r="I208" i="2"/>
  <c r="K208" i="2"/>
  <c r="I209" i="2"/>
  <c r="K209" i="2"/>
  <c r="I210" i="2"/>
  <c r="K210" i="2"/>
  <c r="I211" i="2"/>
  <c r="K211" i="2"/>
  <c r="I274" i="2"/>
  <c r="K274" i="2"/>
  <c r="I282" i="2"/>
  <c r="K282" i="2"/>
  <c r="I293" i="2"/>
  <c r="K293" i="2"/>
  <c r="I366" i="2"/>
  <c r="K366" i="2"/>
  <c r="I374" i="2"/>
  <c r="K374" i="2"/>
  <c r="I460" i="2"/>
  <c r="K460" i="2"/>
  <c r="I535" i="2"/>
  <c r="K535" i="2"/>
  <c r="I536" i="2"/>
  <c r="K536" i="2"/>
  <c r="L265" i="2" l="1"/>
  <c r="L23" i="2"/>
  <c r="L372" i="2"/>
  <c r="L264" i="2"/>
  <c r="L203" i="2"/>
  <c r="L159" i="2"/>
  <c r="L155" i="2"/>
  <c r="L204" i="2"/>
  <c r="L293" i="2"/>
  <c r="L374" i="2"/>
  <c r="L274" i="2"/>
  <c r="L209" i="2"/>
  <c r="L205" i="2"/>
  <c r="L460" i="2"/>
  <c r="L366" i="2"/>
  <c r="L202" i="2"/>
  <c r="L196" i="2"/>
  <c r="L158" i="2"/>
  <c r="L156" i="2"/>
  <c r="L208" i="2"/>
  <c r="L201" i="2"/>
  <c r="L154" i="2"/>
  <c r="L210" i="2"/>
  <c r="L535" i="2"/>
  <c r="L282" i="2"/>
  <c r="L211" i="2"/>
  <c r="L206" i="2"/>
  <c r="L157" i="2"/>
  <c r="L536" i="2"/>
  <c r="L207" i="2"/>
  <c r="L145" i="2"/>
  <c r="I469" i="2" l="1"/>
  <c r="I470" i="2"/>
  <c r="K469" i="2"/>
  <c r="K470" i="2"/>
  <c r="I358" i="2"/>
  <c r="I359" i="2"/>
  <c r="K358" i="2"/>
  <c r="K359" i="2"/>
  <c r="I256" i="2"/>
  <c r="K256" i="2"/>
  <c r="K152" i="2"/>
  <c r="I152" i="2"/>
  <c r="K129" i="2"/>
  <c r="K130" i="2"/>
  <c r="I129" i="2"/>
  <c r="I130" i="2"/>
  <c r="L469" i="2" l="1"/>
  <c r="L152" i="2"/>
  <c r="L470" i="2"/>
  <c r="L359" i="2"/>
  <c r="L358" i="2"/>
  <c r="L256" i="2"/>
  <c r="L130" i="2"/>
  <c r="L129" i="2"/>
  <c r="AO1" i="2" l="1"/>
  <c r="O1" i="2"/>
  <c r="AN1" i="2"/>
  <c r="I517" i="2"/>
  <c r="K517" i="2"/>
  <c r="I245" i="2"/>
  <c r="K245" i="2"/>
  <c r="I568" i="2"/>
  <c r="K568" i="2"/>
  <c r="I127" i="2"/>
  <c r="K127" i="2"/>
  <c r="I128" i="2"/>
  <c r="K128" i="2"/>
  <c r="I16" i="2"/>
  <c r="I19" i="2"/>
  <c r="I24" i="2"/>
  <c r="I25" i="2"/>
  <c r="I26" i="2"/>
  <c r="I27" i="2"/>
  <c r="I28" i="2"/>
  <c r="I29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05" i="2"/>
  <c r="I106" i="2"/>
  <c r="I107" i="2"/>
  <c r="I108" i="2"/>
  <c r="I109" i="2"/>
  <c r="I110" i="2"/>
  <c r="I111" i="2"/>
  <c r="I112" i="2"/>
  <c r="I113" i="2"/>
  <c r="I114" i="2"/>
  <c r="I115" i="2"/>
  <c r="I116" i="2"/>
  <c r="I117" i="2"/>
  <c r="I118" i="2"/>
  <c r="I119" i="2"/>
  <c r="I120" i="2"/>
  <c r="I121" i="2"/>
  <c r="I122" i="2"/>
  <c r="I123" i="2"/>
  <c r="I124" i="2"/>
  <c r="I125" i="2"/>
  <c r="I126" i="2"/>
  <c r="I146" i="2"/>
  <c r="I147" i="2"/>
  <c r="I148" i="2"/>
  <c r="I151" i="2"/>
  <c r="I149" i="2"/>
  <c r="I150" i="2"/>
  <c r="I153" i="2"/>
  <c r="I164" i="2"/>
  <c r="I165" i="2"/>
  <c r="I166" i="2"/>
  <c r="I167" i="2"/>
  <c r="I170" i="2"/>
  <c r="I171" i="2"/>
  <c r="I172" i="2"/>
  <c r="I173" i="2"/>
  <c r="I174" i="2"/>
  <c r="I175" i="2"/>
  <c r="I176" i="2"/>
  <c r="I177" i="2"/>
  <c r="I178" i="2"/>
  <c r="I179" i="2"/>
  <c r="I180" i="2"/>
  <c r="I181" i="2"/>
  <c r="I182" i="2"/>
  <c r="I183" i="2"/>
  <c r="I184" i="2"/>
  <c r="I185" i="2"/>
  <c r="I191" i="2"/>
  <c r="I192" i="2"/>
  <c r="I193" i="2"/>
  <c r="I194" i="2"/>
  <c r="I195" i="2"/>
  <c r="I197" i="2"/>
  <c r="I198" i="2"/>
  <c r="I199" i="2"/>
  <c r="I200" i="2"/>
  <c r="I214" i="2"/>
  <c r="I215" i="2"/>
  <c r="I216" i="2"/>
  <c r="I219" i="2"/>
  <c r="I220" i="2"/>
  <c r="I221" i="2"/>
  <c r="I222" i="2"/>
  <c r="I223" i="2"/>
  <c r="I224" i="2"/>
  <c r="I228" i="2"/>
  <c r="I229" i="2"/>
  <c r="I230" i="2"/>
  <c r="I231" i="2"/>
  <c r="I232" i="2"/>
  <c r="I233" i="2"/>
  <c r="I234" i="2"/>
  <c r="I235" i="2"/>
  <c r="I236" i="2"/>
  <c r="I238" i="2"/>
  <c r="I239" i="2"/>
  <c r="I240" i="2"/>
  <c r="I241" i="2"/>
  <c r="I242" i="2"/>
  <c r="I243" i="2"/>
  <c r="I244" i="2"/>
  <c r="I246" i="2"/>
  <c r="I247" i="2"/>
  <c r="I248" i="2"/>
  <c r="I250" i="2"/>
  <c r="I251" i="2"/>
  <c r="I252" i="2"/>
  <c r="I253" i="2"/>
  <c r="I254" i="2"/>
  <c r="I255" i="2"/>
  <c r="I258" i="2"/>
  <c r="I259" i="2"/>
  <c r="I260" i="2"/>
  <c r="I261" i="2"/>
  <c r="I262" i="2"/>
  <c r="I263" i="2"/>
  <c r="I266" i="2"/>
  <c r="I267" i="2"/>
  <c r="I268" i="2"/>
  <c r="I269" i="2"/>
  <c r="I275" i="2"/>
  <c r="I276" i="2"/>
  <c r="I277" i="2"/>
  <c r="I278" i="2"/>
  <c r="I279" i="2"/>
  <c r="I280" i="2"/>
  <c r="I281" i="2"/>
  <c r="I286" i="2"/>
  <c r="I287" i="2"/>
  <c r="I288" i="2"/>
  <c r="I289" i="2"/>
  <c r="I290" i="2"/>
  <c r="I291" i="2"/>
  <c r="I292" i="2"/>
  <c r="I294" i="2"/>
  <c r="I295" i="2"/>
  <c r="I297" i="2"/>
  <c r="I298" i="2"/>
  <c r="I300" i="2"/>
  <c r="I303" i="2"/>
  <c r="I304" i="2"/>
  <c r="I306" i="2"/>
  <c r="I307" i="2"/>
  <c r="I308" i="2"/>
  <c r="I310" i="2"/>
  <c r="I311" i="2"/>
  <c r="I313" i="2"/>
  <c r="I314" i="2"/>
  <c r="I296" i="2"/>
  <c r="I299" i="2"/>
  <c r="I301" i="2"/>
  <c r="I302" i="2"/>
  <c r="I305" i="2"/>
  <c r="I309" i="2"/>
  <c r="I312" i="2"/>
  <c r="I315" i="2"/>
  <c r="I316" i="2"/>
  <c r="I319" i="2"/>
  <c r="I320" i="2"/>
  <c r="I321" i="2"/>
  <c r="I322" i="2"/>
  <c r="I323" i="2"/>
  <c r="I332" i="2"/>
  <c r="I333" i="2"/>
  <c r="I334" i="2"/>
  <c r="I335" i="2"/>
  <c r="I336" i="2"/>
  <c r="I337" i="2"/>
  <c r="I338" i="2"/>
  <c r="I339" i="2"/>
  <c r="I340" i="2"/>
  <c r="I341" i="2"/>
  <c r="I342" i="2"/>
  <c r="I347" i="2"/>
  <c r="I348" i="2"/>
  <c r="I349" i="2"/>
  <c r="I350" i="2"/>
  <c r="I351" i="2"/>
  <c r="I352" i="2"/>
  <c r="I353" i="2"/>
  <c r="I354" i="2"/>
  <c r="I355" i="2"/>
  <c r="I356" i="2"/>
  <c r="I357" i="2"/>
  <c r="I364" i="2"/>
  <c r="I365" i="2"/>
  <c r="I368" i="2"/>
  <c r="I369" i="2"/>
  <c r="I370" i="2"/>
  <c r="I371" i="2"/>
  <c r="I375" i="2"/>
  <c r="I376" i="2"/>
  <c r="I377" i="2"/>
  <c r="I378" i="2"/>
  <c r="I379" i="2"/>
  <c r="I380" i="2"/>
  <c r="I381" i="2"/>
  <c r="I382" i="2"/>
  <c r="I383" i="2"/>
  <c r="I384" i="2"/>
  <c r="I385" i="2"/>
  <c r="I386" i="2"/>
  <c r="I387" i="2"/>
  <c r="I388" i="2"/>
  <c r="I394" i="2"/>
  <c r="I395" i="2"/>
  <c r="I396" i="2"/>
  <c r="I397" i="2"/>
  <c r="I398" i="2"/>
  <c r="I400" i="2"/>
  <c r="I401" i="2"/>
  <c r="I402" i="2"/>
  <c r="I407" i="2"/>
  <c r="I411" i="2"/>
  <c r="I412" i="2"/>
  <c r="I413" i="2"/>
  <c r="I414" i="2"/>
  <c r="I415" i="2"/>
  <c r="I416" i="2"/>
  <c r="I417" i="2"/>
  <c r="I418" i="2"/>
  <c r="I419" i="2"/>
  <c r="I423" i="2"/>
  <c r="I424" i="2"/>
  <c r="I425" i="2"/>
  <c r="I430" i="2"/>
  <c r="I434" i="2"/>
  <c r="I437" i="2"/>
  <c r="I439" i="2"/>
  <c r="I440" i="2"/>
  <c r="I444" i="2"/>
  <c r="I445" i="2"/>
  <c r="I427" i="2"/>
  <c r="I428" i="2"/>
  <c r="I429" i="2"/>
  <c r="I431" i="2"/>
  <c r="I432" i="2"/>
  <c r="I433" i="2"/>
  <c r="I435" i="2"/>
  <c r="I436" i="2"/>
  <c r="I438" i="2"/>
  <c r="I441" i="2"/>
  <c r="I442" i="2"/>
  <c r="I443" i="2"/>
  <c r="I454" i="2"/>
  <c r="I455" i="2"/>
  <c r="I456" i="2"/>
  <c r="I458" i="2"/>
  <c r="I459" i="2"/>
  <c r="I461" i="2"/>
  <c r="I462" i="2"/>
  <c r="I463" i="2"/>
  <c r="I464" i="2"/>
  <c r="I465" i="2"/>
  <c r="I466" i="2"/>
  <c r="I467" i="2"/>
  <c r="I468" i="2"/>
  <c r="I477" i="2"/>
  <c r="I478" i="2"/>
  <c r="I479" i="2"/>
  <c r="I480" i="2"/>
  <c r="I481" i="2"/>
  <c r="I482" i="2"/>
  <c r="I484" i="2"/>
  <c r="I485" i="2"/>
  <c r="I486" i="2"/>
  <c r="I487" i="2"/>
  <c r="I488" i="2"/>
  <c r="I489" i="2"/>
  <c r="I490" i="2"/>
  <c r="I491" i="2"/>
  <c r="I492" i="2"/>
  <c r="I493" i="2"/>
  <c r="I494" i="2"/>
  <c r="I495" i="2"/>
  <c r="I496" i="2"/>
  <c r="I497" i="2"/>
  <c r="I498" i="2"/>
  <c r="I499" i="2"/>
  <c r="I500" i="2"/>
  <c r="I501" i="2"/>
  <c r="I502" i="2"/>
  <c r="I503" i="2"/>
  <c r="I504" i="2"/>
  <c r="I505" i="2"/>
  <c r="I506" i="2"/>
  <c r="I507" i="2"/>
  <c r="I508" i="2"/>
  <c r="I509" i="2"/>
  <c r="I510" i="2"/>
  <c r="I511" i="2"/>
  <c r="I512" i="2"/>
  <c r="I513" i="2"/>
  <c r="I514" i="2"/>
  <c r="I515" i="2"/>
  <c r="I516" i="2"/>
  <c r="I523" i="2"/>
  <c r="I524" i="2"/>
  <c r="I525" i="2"/>
  <c r="I526" i="2"/>
  <c r="I527" i="2"/>
  <c r="I528" i="2"/>
  <c r="I529" i="2"/>
  <c r="I530" i="2"/>
  <c r="I532" i="2"/>
  <c r="I533" i="2"/>
  <c r="I534" i="2"/>
  <c r="I539" i="2"/>
  <c r="I540" i="2"/>
  <c r="I541" i="2"/>
  <c r="I542" i="2"/>
  <c r="I546" i="2"/>
  <c r="I547" i="2"/>
  <c r="I548" i="2"/>
  <c r="I549" i="2"/>
  <c r="I550" i="2"/>
  <c r="I552" i="2"/>
  <c r="I553" i="2"/>
  <c r="I554" i="2"/>
  <c r="I555" i="2"/>
  <c r="I556" i="2"/>
  <c r="I557" i="2"/>
  <c r="I558" i="2"/>
  <c r="I559" i="2"/>
  <c r="I560" i="2"/>
  <c r="I561" i="2"/>
  <c r="I563" i="2"/>
  <c r="I564" i="2"/>
  <c r="I565" i="2"/>
  <c r="I566" i="2"/>
  <c r="I567" i="2"/>
  <c r="I570" i="2"/>
  <c r="I571" i="2"/>
  <c r="I572" i="2"/>
  <c r="I573" i="2"/>
  <c r="I9" i="2"/>
  <c r="I10" i="2"/>
  <c r="I11" i="2"/>
  <c r="I12" i="2"/>
  <c r="I13" i="2"/>
  <c r="I14" i="2"/>
  <c r="I15" i="2"/>
  <c r="I8" i="2"/>
  <c r="K573" i="2"/>
  <c r="K572" i="2"/>
  <c r="K571" i="2"/>
  <c r="K570" i="2"/>
  <c r="K567" i="2"/>
  <c r="K566" i="2"/>
  <c r="K565" i="2"/>
  <c r="K564" i="2"/>
  <c r="K563" i="2"/>
  <c r="K561" i="2"/>
  <c r="K560" i="2"/>
  <c r="K559" i="2"/>
  <c r="K558" i="2"/>
  <c r="K557" i="2"/>
  <c r="K556" i="2"/>
  <c r="K555" i="2"/>
  <c r="K554" i="2"/>
  <c r="K553" i="2"/>
  <c r="K552" i="2"/>
  <c r="K550" i="2"/>
  <c r="K549" i="2"/>
  <c r="K548" i="2"/>
  <c r="K547" i="2"/>
  <c r="K546" i="2"/>
  <c r="K542" i="2"/>
  <c r="K541" i="2"/>
  <c r="K540" i="2"/>
  <c r="K539" i="2"/>
  <c r="K534" i="2"/>
  <c r="K533" i="2"/>
  <c r="K532" i="2"/>
  <c r="K530" i="2"/>
  <c r="K529" i="2"/>
  <c r="K528" i="2"/>
  <c r="K527" i="2"/>
  <c r="K526" i="2"/>
  <c r="K525" i="2"/>
  <c r="K524" i="2"/>
  <c r="K523" i="2"/>
  <c r="K516" i="2"/>
  <c r="K515" i="2"/>
  <c r="K514" i="2"/>
  <c r="K513" i="2"/>
  <c r="K512" i="2"/>
  <c r="K511" i="2"/>
  <c r="K510" i="2"/>
  <c r="K508" i="2"/>
  <c r="K507" i="2"/>
  <c r="K506" i="2"/>
  <c r="K505" i="2"/>
  <c r="K504" i="2"/>
  <c r="K503" i="2"/>
  <c r="K502" i="2"/>
  <c r="K501" i="2"/>
  <c r="K500" i="2"/>
  <c r="K499" i="2"/>
  <c r="K498" i="2"/>
  <c r="K497" i="2"/>
  <c r="K496" i="2"/>
  <c r="K495" i="2"/>
  <c r="K494" i="2"/>
  <c r="K493" i="2"/>
  <c r="K492" i="2"/>
  <c r="K491" i="2"/>
  <c r="K490" i="2"/>
  <c r="K489" i="2"/>
  <c r="K488" i="2"/>
  <c r="K487" i="2"/>
  <c r="K486" i="2"/>
  <c r="K485" i="2"/>
  <c r="K484" i="2"/>
  <c r="K483" i="2"/>
  <c r="K482" i="2"/>
  <c r="K481" i="2"/>
  <c r="K480" i="2"/>
  <c r="K479" i="2"/>
  <c r="K478" i="2"/>
  <c r="K477" i="2"/>
  <c r="K468" i="2"/>
  <c r="K467" i="2"/>
  <c r="K466" i="2"/>
  <c r="K465" i="2"/>
  <c r="K464" i="2"/>
  <c r="K463" i="2"/>
  <c r="K462" i="2"/>
  <c r="K461" i="2"/>
  <c r="K459" i="2"/>
  <c r="K458" i="2"/>
  <c r="K456" i="2"/>
  <c r="K455" i="2"/>
  <c r="K454" i="2"/>
  <c r="K443" i="2"/>
  <c r="K442" i="2"/>
  <c r="K441" i="2"/>
  <c r="K438" i="2"/>
  <c r="K436" i="2"/>
  <c r="K435" i="2"/>
  <c r="K433" i="2"/>
  <c r="K432" i="2"/>
  <c r="K431" i="2"/>
  <c r="K429" i="2"/>
  <c r="K428" i="2"/>
  <c r="K427" i="2"/>
  <c r="K445" i="2"/>
  <c r="K444" i="2"/>
  <c r="K440" i="2"/>
  <c r="K439" i="2"/>
  <c r="K437" i="2"/>
  <c r="K434" i="2"/>
  <c r="K430" i="2"/>
  <c r="K425" i="2"/>
  <c r="K424" i="2"/>
  <c r="K423" i="2"/>
  <c r="K419" i="2"/>
  <c r="K418" i="2"/>
  <c r="K417" i="2"/>
  <c r="K416" i="2"/>
  <c r="K415" i="2"/>
  <c r="K414" i="2"/>
  <c r="K413" i="2"/>
  <c r="K412" i="2"/>
  <c r="K411" i="2"/>
  <c r="K407" i="2"/>
  <c r="K402" i="2"/>
  <c r="K401" i="2"/>
  <c r="K400" i="2"/>
  <c r="K398" i="2"/>
  <c r="K397" i="2"/>
  <c r="K396" i="2"/>
  <c r="K395" i="2"/>
  <c r="K394" i="2"/>
  <c r="K388" i="2"/>
  <c r="K387" i="2"/>
  <c r="K386" i="2"/>
  <c r="K385" i="2"/>
  <c r="K384" i="2"/>
  <c r="K383" i="2"/>
  <c r="K382" i="2"/>
  <c r="K381" i="2"/>
  <c r="K380" i="2"/>
  <c r="K379" i="2"/>
  <c r="K378" i="2"/>
  <c r="K377" i="2"/>
  <c r="K376" i="2"/>
  <c r="K375" i="2"/>
  <c r="K371" i="2"/>
  <c r="K370" i="2"/>
  <c r="K369" i="2"/>
  <c r="K368" i="2"/>
  <c r="K365" i="2"/>
  <c r="K364" i="2"/>
  <c r="K357" i="2"/>
  <c r="K356" i="2"/>
  <c r="K355" i="2"/>
  <c r="K354" i="2"/>
  <c r="K353" i="2"/>
  <c r="K352" i="2"/>
  <c r="K351" i="2"/>
  <c r="K350" i="2"/>
  <c r="K349" i="2"/>
  <c r="K348" i="2"/>
  <c r="K347" i="2"/>
  <c r="K341" i="2"/>
  <c r="K340" i="2"/>
  <c r="K339" i="2"/>
  <c r="K338" i="2"/>
  <c r="K337" i="2"/>
  <c r="K336" i="2"/>
  <c r="K335" i="2"/>
  <c r="K334" i="2"/>
  <c r="K333" i="2"/>
  <c r="K332" i="2"/>
  <c r="K323" i="2"/>
  <c r="K322" i="2"/>
  <c r="K321" i="2"/>
  <c r="K320" i="2"/>
  <c r="K319" i="2"/>
  <c r="K316" i="2"/>
  <c r="K315" i="2"/>
  <c r="K312" i="2"/>
  <c r="K309" i="2"/>
  <c r="K305" i="2"/>
  <c r="K302" i="2"/>
  <c r="K301" i="2"/>
  <c r="K299" i="2"/>
  <c r="K296" i="2"/>
  <c r="K314" i="2"/>
  <c r="K313" i="2"/>
  <c r="K311" i="2"/>
  <c r="K310" i="2"/>
  <c r="K308" i="2"/>
  <c r="K307" i="2"/>
  <c r="K306" i="2"/>
  <c r="K304" i="2"/>
  <c r="K303" i="2"/>
  <c r="K300" i="2"/>
  <c r="K298" i="2"/>
  <c r="K297" i="2"/>
  <c r="K295" i="2"/>
  <c r="K294" i="2"/>
  <c r="K292" i="2"/>
  <c r="K291" i="2"/>
  <c r="K290" i="2"/>
  <c r="K289" i="2"/>
  <c r="K288" i="2"/>
  <c r="K287" i="2"/>
  <c r="K286" i="2"/>
  <c r="K281" i="2"/>
  <c r="K280" i="2"/>
  <c r="K279" i="2"/>
  <c r="K278" i="2"/>
  <c r="K277" i="2"/>
  <c r="K276" i="2"/>
  <c r="K275" i="2"/>
  <c r="K269" i="2"/>
  <c r="K268" i="2"/>
  <c r="K267" i="2"/>
  <c r="K266" i="2"/>
  <c r="K263" i="2"/>
  <c r="K262" i="2"/>
  <c r="K261" i="2"/>
  <c r="K260" i="2"/>
  <c r="K259" i="2"/>
  <c r="K258" i="2"/>
  <c r="K255" i="2"/>
  <c r="K254" i="2"/>
  <c r="K253" i="2"/>
  <c r="K252" i="2"/>
  <c r="K251" i="2"/>
  <c r="K250" i="2"/>
  <c r="K248" i="2"/>
  <c r="K247" i="2"/>
  <c r="K246" i="2"/>
  <c r="K244" i="2"/>
  <c r="K243" i="2"/>
  <c r="K242" i="2"/>
  <c r="K241" i="2"/>
  <c r="K240" i="2"/>
  <c r="K239" i="2"/>
  <c r="K238" i="2"/>
  <c r="K236" i="2"/>
  <c r="K235" i="2"/>
  <c r="K234" i="2"/>
  <c r="K233" i="2"/>
  <c r="K232" i="2"/>
  <c r="K231" i="2"/>
  <c r="K230" i="2"/>
  <c r="K229" i="2"/>
  <c r="K228" i="2"/>
  <c r="K224" i="2"/>
  <c r="K223" i="2"/>
  <c r="K222" i="2"/>
  <c r="K221" i="2"/>
  <c r="K220" i="2"/>
  <c r="K219" i="2"/>
  <c r="K216" i="2"/>
  <c r="K215" i="2"/>
  <c r="K214" i="2"/>
  <c r="K199" i="2"/>
  <c r="K198" i="2"/>
  <c r="K197" i="2"/>
  <c r="K195" i="2"/>
  <c r="K194" i="2"/>
  <c r="K200" i="2"/>
  <c r="K193" i="2"/>
  <c r="K192" i="2"/>
  <c r="K191" i="2"/>
  <c r="K185" i="2"/>
  <c r="K184" i="2"/>
  <c r="K183" i="2"/>
  <c r="K182" i="2"/>
  <c r="K181" i="2"/>
  <c r="K180" i="2"/>
  <c r="K179" i="2"/>
  <c r="K178" i="2"/>
  <c r="K176" i="2"/>
  <c r="K175" i="2"/>
  <c r="K174" i="2"/>
  <c r="K173" i="2"/>
  <c r="K172" i="2"/>
  <c r="K171" i="2"/>
  <c r="K170" i="2"/>
  <c r="K177" i="2"/>
  <c r="K167" i="2"/>
  <c r="K166" i="2"/>
  <c r="K165" i="2"/>
  <c r="K164" i="2"/>
  <c r="K153" i="2"/>
  <c r="K150" i="2"/>
  <c r="K149" i="2"/>
  <c r="K151" i="2"/>
  <c r="K148" i="2"/>
  <c r="K147" i="2"/>
  <c r="K146" i="2"/>
  <c r="K126" i="2"/>
  <c r="K125" i="2"/>
  <c r="K124" i="2"/>
  <c r="K123" i="2"/>
  <c r="K122" i="2"/>
  <c r="K121" i="2"/>
  <c r="K120" i="2"/>
  <c r="K119" i="2"/>
  <c r="K118" i="2"/>
  <c r="K117" i="2"/>
  <c r="K116" i="2"/>
  <c r="K115" i="2"/>
  <c r="K114" i="2"/>
  <c r="K113" i="2"/>
  <c r="K112" i="2"/>
  <c r="K111" i="2"/>
  <c r="K110" i="2"/>
  <c r="K109" i="2"/>
  <c r="K108" i="2"/>
  <c r="K107" i="2"/>
  <c r="K106" i="2"/>
  <c r="K105" i="2"/>
  <c r="K104" i="2"/>
  <c r="K103" i="2"/>
  <c r="K102" i="2"/>
  <c r="K101" i="2"/>
  <c r="K100" i="2"/>
  <c r="K99" i="2"/>
  <c r="K98" i="2"/>
  <c r="K97" i="2"/>
  <c r="K96" i="2"/>
  <c r="K95" i="2"/>
  <c r="K94" i="2"/>
  <c r="K93" i="2"/>
  <c r="K92" i="2"/>
  <c r="K91" i="2"/>
  <c r="K90" i="2"/>
  <c r="K89" i="2"/>
  <c r="K88" i="2"/>
  <c r="K87" i="2"/>
  <c r="K86" i="2"/>
  <c r="K85" i="2"/>
  <c r="K84" i="2"/>
  <c r="K83" i="2"/>
  <c r="K82" i="2"/>
  <c r="K81" i="2"/>
  <c r="K80" i="2"/>
  <c r="K79" i="2"/>
  <c r="K78" i="2"/>
  <c r="K77" i="2"/>
  <c r="K76" i="2"/>
  <c r="K75" i="2"/>
  <c r="K74" i="2"/>
  <c r="K73" i="2"/>
  <c r="K72" i="2"/>
  <c r="K71" i="2"/>
  <c r="K70" i="2"/>
  <c r="K69" i="2"/>
  <c r="K68" i="2"/>
  <c r="K67" i="2"/>
  <c r="K66" i="2"/>
  <c r="K65" i="2"/>
  <c r="K64" i="2"/>
  <c r="K63" i="2"/>
  <c r="K62" i="2"/>
  <c r="K61" i="2"/>
  <c r="K60" i="2"/>
  <c r="K59" i="2"/>
  <c r="K58" i="2"/>
  <c r="K57" i="2"/>
  <c r="K56" i="2"/>
  <c r="K55" i="2"/>
  <c r="K54" i="2"/>
  <c r="K53" i="2"/>
  <c r="K52" i="2"/>
  <c r="K51" i="2"/>
  <c r="K50" i="2"/>
  <c r="K49" i="2"/>
  <c r="K48" i="2"/>
  <c r="K47" i="2"/>
  <c r="K46" i="2"/>
  <c r="K342" i="2"/>
  <c r="K28" i="2"/>
  <c r="K27" i="2"/>
  <c r="K26" i="2"/>
  <c r="K25" i="2"/>
  <c r="K24" i="2"/>
  <c r="K22" i="2"/>
  <c r="K19" i="2"/>
  <c r="K16" i="2"/>
  <c r="K15" i="2"/>
  <c r="K14" i="2"/>
  <c r="K13" i="2"/>
  <c r="K12" i="2"/>
  <c r="K11" i="2"/>
  <c r="K10" i="2"/>
  <c r="K9" i="2"/>
  <c r="K8" i="2"/>
  <c r="L568" i="2" l="1"/>
  <c r="L517" i="2"/>
  <c r="L245" i="2"/>
  <c r="L127" i="2"/>
  <c r="L128" i="2"/>
  <c r="V1" i="2"/>
  <c r="R1" i="2"/>
  <c r="AL1" i="2"/>
  <c r="AC1" i="2"/>
  <c r="Q1" i="2"/>
  <c r="AK1" i="2"/>
  <c r="AB1" i="2"/>
  <c r="P1" i="2"/>
  <c r="AJ1" i="2"/>
  <c r="AH1" i="2"/>
  <c r="Y1" i="2"/>
  <c r="U1" i="2"/>
  <c r="AG1" i="2"/>
  <c r="X1" i="2"/>
  <c r="T1" i="2"/>
  <c r="AF1" i="2"/>
  <c r="W1" i="2"/>
  <c r="S1" i="2"/>
  <c r="AM1" i="2"/>
  <c r="L541" i="2"/>
  <c r="L561" i="2"/>
  <c r="L182" i="2"/>
  <c r="L235" i="2"/>
  <c r="L252" i="2"/>
  <c r="L482" i="2"/>
  <c r="L78" i="2"/>
  <c r="L98" i="2"/>
  <c r="L106" i="2"/>
  <c r="L110" i="2"/>
  <c r="L114" i="2"/>
  <c r="L118" i="2"/>
  <c r="L126" i="2"/>
  <c r="L148" i="2"/>
  <c r="L174" i="2"/>
  <c r="L179" i="2"/>
  <c r="L253" i="2"/>
  <c r="L263" i="2"/>
  <c r="L269" i="2"/>
  <c r="L298" i="2"/>
  <c r="L467" i="2"/>
  <c r="L487" i="2"/>
  <c r="L515" i="2"/>
  <c r="L552" i="2"/>
  <c r="L52" i="2"/>
  <c r="L56" i="2"/>
  <c r="L167" i="2"/>
  <c r="L172" i="2"/>
  <c r="L198" i="2"/>
  <c r="L554" i="2"/>
  <c r="L558" i="2"/>
  <c r="L510" i="2"/>
  <c r="L514" i="2"/>
  <c r="L546" i="2"/>
  <c r="L559" i="2"/>
  <c r="L308" i="2"/>
  <c r="L301" i="2"/>
  <c r="L355" i="2"/>
  <c r="L432" i="2"/>
  <c r="L304" i="2"/>
  <c r="L352" i="2"/>
  <c r="L371" i="2"/>
  <c r="L424" i="2"/>
  <c r="L307" i="2"/>
  <c r="L299" i="2"/>
  <c r="L354" i="2"/>
  <c r="L445" i="2"/>
  <c r="L436" i="2"/>
  <c r="L458" i="2"/>
  <c r="L501" i="2"/>
  <c r="L523" i="2"/>
  <c r="L564" i="2"/>
  <c r="L570" i="2"/>
  <c r="L109" i="2"/>
  <c r="L113" i="2"/>
  <c r="L357" i="2"/>
  <c r="L382" i="2"/>
  <c r="L394" i="2"/>
  <c r="L434" i="2"/>
  <c r="L429" i="2"/>
  <c r="L461" i="2"/>
  <c r="L560" i="2"/>
  <c r="L58" i="2"/>
  <c r="L62" i="2"/>
  <c r="L364" i="2"/>
  <c r="L369" i="2"/>
  <c r="L375" i="2"/>
  <c r="L379" i="2"/>
  <c r="L383" i="2"/>
  <c r="L387" i="2"/>
  <c r="L407" i="2"/>
  <c r="L414" i="2"/>
  <c r="L280" i="2"/>
  <c r="L291" i="2"/>
  <c r="L8" i="2"/>
  <c r="L28" i="2"/>
  <c r="L75" i="2"/>
  <c r="L99" i="2"/>
  <c r="L103" i="2"/>
  <c r="L119" i="2"/>
  <c r="L288" i="2"/>
  <c r="L370" i="2"/>
  <c r="L376" i="2"/>
  <c r="L380" i="2"/>
  <c r="L384" i="2"/>
  <c r="L388" i="2"/>
  <c r="L396" i="2"/>
  <c r="L415" i="2"/>
  <c r="L439" i="2"/>
  <c r="L542" i="2"/>
  <c r="L479" i="2"/>
  <c r="L486" i="2"/>
  <c r="L506" i="2"/>
  <c r="L528" i="2"/>
  <c r="L84" i="2"/>
  <c r="L88" i="2"/>
  <c r="L104" i="2"/>
  <c r="L108" i="2"/>
  <c r="L112" i="2"/>
  <c r="L175" i="2"/>
  <c r="L183" i="2"/>
  <c r="L192" i="2"/>
  <c r="L215" i="2"/>
  <c r="L228" i="2"/>
  <c r="L232" i="2"/>
  <c r="L240" i="2"/>
  <c r="L378" i="2"/>
  <c r="L402" i="2"/>
  <c r="L11" i="2"/>
  <c r="L15" i="2"/>
  <c r="L27" i="2"/>
  <c r="L46" i="2"/>
  <c r="L69" i="2"/>
  <c r="L73" i="2"/>
  <c r="L184" i="2"/>
  <c r="L193" i="2"/>
  <c r="L233" i="2"/>
  <c r="L241" i="2"/>
  <c r="L259" i="2"/>
  <c r="L494" i="2"/>
  <c r="L502" i="2"/>
  <c r="L571" i="2"/>
  <c r="L150" i="2"/>
  <c r="L164" i="2"/>
  <c r="L173" i="2"/>
  <c r="L499" i="2"/>
  <c r="L503" i="2"/>
  <c r="L400" i="2"/>
  <c r="L507" i="2"/>
  <c r="L524" i="2"/>
  <c r="L90" i="2"/>
  <c r="L91" i="2"/>
  <c r="L165" i="2"/>
  <c r="L255" i="2"/>
  <c r="L431" i="2"/>
  <c r="L462" i="2"/>
  <c r="L533" i="2"/>
  <c r="L550" i="2"/>
  <c r="L563" i="2"/>
  <c r="L567" i="2"/>
  <c r="L68" i="2"/>
  <c r="L199" i="2"/>
  <c r="L214" i="2"/>
  <c r="L311" i="2"/>
  <c r="L316" i="2"/>
  <c r="L416" i="2"/>
  <c r="L459" i="2"/>
  <c r="L529" i="2"/>
  <c r="L294" i="2"/>
  <c r="L491" i="2"/>
  <c r="L495" i="2"/>
  <c r="L513" i="2"/>
  <c r="L516" i="2"/>
  <c r="L565" i="2"/>
  <c r="L102" i="2"/>
  <c r="L239" i="2"/>
  <c r="L248" i="2"/>
  <c r="L267" i="2"/>
  <c r="L395" i="2"/>
  <c r="L413" i="2"/>
  <c r="L430" i="2"/>
  <c r="L427" i="2"/>
  <c r="L443" i="2"/>
  <c r="L477" i="2"/>
  <c r="L488" i="2"/>
  <c r="L547" i="2"/>
  <c r="L53" i="2"/>
  <c r="L57" i="2"/>
  <c r="L177" i="2"/>
  <c r="L221" i="2"/>
  <c r="L527" i="2"/>
  <c r="L530" i="2"/>
  <c r="L50" i="2"/>
  <c r="L54" i="2"/>
  <c r="L96" i="2"/>
  <c r="L115" i="2"/>
  <c r="L122" i="2"/>
  <c r="L216" i="2"/>
  <c r="L229" i="2"/>
  <c r="L244" i="2"/>
  <c r="L268" i="2"/>
  <c r="L276" i="2"/>
  <c r="L297" i="2"/>
  <c r="L322" i="2"/>
  <c r="L336" i="2"/>
  <c r="L368" i="2"/>
  <c r="L381" i="2"/>
  <c r="L417" i="2"/>
  <c r="L485" i="2"/>
  <c r="L511" i="2"/>
  <c r="L555" i="2"/>
  <c r="L572" i="2"/>
  <c r="L19" i="2"/>
  <c r="L433" i="2"/>
  <c r="L505" i="2"/>
  <c r="L508" i="2"/>
  <c r="L26" i="2"/>
  <c r="L25" i="2"/>
  <c r="L47" i="2"/>
  <c r="L66" i="2"/>
  <c r="L70" i="2"/>
  <c r="L85" i="2"/>
  <c r="L89" i="2"/>
  <c r="L151" i="2"/>
  <c r="L254" i="2"/>
  <c r="L277" i="2"/>
  <c r="L281" i="2"/>
  <c r="L292" i="2"/>
  <c r="L300" i="2"/>
  <c r="L313" i="2"/>
  <c r="L309" i="2"/>
  <c r="L337" i="2"/>
  <c r="L350" i="2"/>
  <c r="L386" i="2"/>
  <c r="L418" i="2"/>
  <c r="L425" i="2"/>
  <c r="L490" i="2"/>
  <c r="L549" i="2"/>
  <c r="L553" i="2"/>
  <c r="L59" i="2"/>
  <c r="L82" i="2"/>
  <c r="L86" i="2"/>
  <c r="L303" i="2"/>
  <c r="L314" i="2"/>
  <c r="L312" i="2"/>
  <c r="L347" i="2"/>
  <c r="L351" i="2"/>
  <c r="L398" i="2"/>
  <c r="L401" i="2"/>
  <c r="L419" i="2"/>
  <c r="L468" i="2"/>
  <c r="L525" i="2"/>
  <c r="L251" i="2"/>
  <c r="L319" i="2"/>
  <c r="L338" i="2"/>
  <c r="L339" i="2"/>
  <c r="L333" i="2"/>
  <c r="L454" i="2"/>
  <c r="L341" i="2"/>
  <c r="L334" i="2"/>
  <c r="L332" i="2"/>
  <c r="L320" i="2"/>
  <c r="L321" i="2"/>
  <c r="L540" i="2"/>
  <c r="L539" i="2"/>
  <c r="L532" i="2"/>
  <c r="L466" i="2"/>
  <c r="L262" i="2"/>
  <c r="L224" i="2"/>
  <c r="L125" i="2"/>
  <c r="L74" i="2"/>
  <c r="L556" i="2"/>
  <c r="L483" i="2"/>
  <c r="L465" i="2"/>
  <c r="L463" i="2"/>
  <c r="L243" i="2"/>
  <c r="L238" i="2"/>
  <c r="L223" i="2"/>
  <c r="L170" i="2"/>
  <c r="L124" i="2"/>
  <c r="L95" i="2"/>
  <c r="L79" i="2"/>
  <c r="L72" i="2"/>
  <c r="L63" i="2"/>
  <c r="L22" i="2"/>
  <c r="L12" i="2"/>
  <c r="L13" i="2"/>
  <c r="L24" i="2"/>
  <c r="L48" i="2"/>
  <c r="L55" i="2"/>
  <c r="L64" i="2"/>
  <c r="L71" i="2"/>
  <c r="L80" i="2"/>
  <c r="L87" i="2"/>
  <c r="L111" i="2"/>
  <c r="L147" i="2"/>
  <c r="L231" i="2"/>
  <c r="L247" i="2"/>
  <c r="L10" i="2"/>
  <c r="L342" i="2"/>
  <c r="L61" i="2"/>
  <c r="L77" i="2"/>
  <c r="L93" i="2"/>
  <c r="L97" i="2"/>
  <c r="L117" i="2"/>
  <c r="L266" i="2"/>
  <c r="L290" i="2"/>
  <c r="L305" i="2"/>
  <c r="L9" i="2"/>
  <c r="L14" i="2"/>
  <c r="L16" i="2"/>
  <c r="L49" i="2"/>
  <c r="L51" i="2"/>
  <c r="L60" i="2"/>
  <c r="L65" i="2"/>
  <c r="L67" i="2"/>
  <c r="L76" i="2"/>
  <c r="L81" i="2"/>
  <c r="L83" i="2"/>
  <c r="L92" i="2"/>
  <c r="L94" i="2"/>
  <c r="L101" i="2"/>
  <c r="L153" i="2"/>
  <c r="L181" i="2"/>
  <c r="L191" i="2"/>
  <c r="L195" i="2"/>
  <c r="L236" i="2"/>
  <c r="L261" i="2"/>
  <c r="L287" i="2"/>
  <c r="L335" i="2"/>
  <c r="L365" i="2"/>
  <c r="L411" i="2"/>
  <c r="L438" i="2"/>
  <c r="L498" i="2"/>
  <c r="L534" i="2"/>
  <c r="L100" i="2"/>
  <c r="L105" i="2"/>
  <c r="L107" i="2"/>
  <c r="L116" i="2"/>
  <c r="L121" i="2"/>
  <c r="L123" i="2"/>
  <c r="L146" i="2"/>
  <c r="L166" i="2"/>
  <c r="L178" i="2"/>
  <c r="L180" i="2"/>
  <c r="L185" i="2"/>
  <c r="L194" i="2"/>
  <c r="L197" i="2"/>
  <c r="L220" i="2"/>
  <c r="L222" i="2"/>
  <c r="L230" i="2"/>
  <c r="L242" i="2"/>
  <c r="L246" i="2"/>
  <c r="L258" i="2"/>
  <c r="L260" i="2"/>
  <c r="L279" i="2"/>
  <c r="L286" i="2"/>
  <c r="L289" i="2"/>
  <c r="L295" i="2"/>
  <c r="L306" i="2"/>
  <c r="L310" i="2"/>
  <c r="L296" i="2"/>
  <c r="L302" i="2"/>
  <c r="L323" i="2"/>
  <c r="L349" i="2"/>
  <c r="L353" i="2"/>
  <c r="L356" i="2"/>
  <c r="L437" i="2"/>
  <c r="L440" i="2"/>
  <c r="L442" i="2"/>
  <c r="L456" i="2"/>
  <c r="L478" i="2"/>
  <c r="L480" i="2"/>
  <c r="L493" i="2"/>
  <c r="L497" i="2"/>
  <c r="L500" i="2"/>
  <c r="L120" i="2"/>
  <c r="L149" i="2"/>
  <c r="L171" i="2"/>
  <c r="L176" i="2"/>
  <c r="L200" i="2"/>
  <c r="L219" i="2"/>
  <c r="L234" i="2"/>
  <c r="L250" i="2"/>
  <c r="L275" i="2"/>
  <c r="L278" i="2"/>
  <c r="L315" i="2"/>
  <c r="L340" i="2"/>
  <c r="L348" i="2"/>
  <c r="L377" i="2"/>
  <c r="L385" i="2"/>
  <c r="L397" i="2"/>
  <c r="L412" i="2"/>
  <c r="L423" i="2"/>
  <c r="L435" i="2"/>
  <c r="L441" i="2"/>
  <c r="L464" i="2"/>
  <c r="L489" i="2"/>
  <c r="L492" i="2"/>
  <c r="L504" i="2"/>
  <c r="L512" i="2"/>
  <c r="L526" i="2"/>
  <c r="L548" i="2"/>
  <c r="L557" i="2"/>
  <c r="L566" i="2"/>
  <c r="L573" i="2"/>
  <c r="L444" i="2"/>
  <c r="L428" i="2"/>
  <c r="L455" i="2"/>
  <c r="L481" i="2"/>
  <c r="L484" i="2"/>
  <c r="L496" i="2"/>
  <c r="AE4" i="25" l="1"/>
  <c r="Q4" i="25"/>
  <c r="U4" i="25"/>
  <c r="Y4" i="25"/>
  <c r="AH4" i="25"/>
  <c r="AA4" i="25"/>
  <c r="S4" i="25"/>
  <c r="W4" i="25"/>
  <c r="P4" i="25"/>
  <c r="Z4" i="25"/>
  <c r="X4" i="25"/>
  <c r="AF4" i="25"/>
  <c r="V4" i="25"/>
  <c r="AD4" i="25"/>
  <c r="R4" i="25"/>
  <c r="AB4" i="25"/>
  <c r="AG4" i="25"/>
  <c r="T4" i="25"/>
  <c r="O4" i="25"/>
  <c r="N4" i="25"/>
  <c r="AH6" i="25"/>
  <c r="Q6" i="25"/>
  <c r="AA6" i="25"/>
  <c r="R6" i="25"/>
  <c r="AD6" i="25"/>
  <c r="N6" i="25"/>
  <c r="X6" i="25"/>
  <c r="Z6" i="25"/>
  <c r="T6" i="25"/>
  <c r="AF6" i="25"/>
  <c r="O6" i="25"/>
  <c r="Y6" i="25"/>
  <c r="AE6" i="25"/>
  <c r="S6" i="25"/>
  <c r="C254" i="24"/>
  <c r="E254" i="24" s="1"/>
  <c r="C332" i="24"/>
  <c r="C321" i="24"/>
  <c r="C310" i="24"/>
  <c r="C299" i="24"/>
  <c r="E299" i="24" s="1"/>
  <c r="C288" i="24"/>
  <c r="C277" i="24"/>
  <c r="E277" i="24" s="1"/>
  <c r="C266" i="24"/>
  <c r="C255" i="24"/>
  <c r="E255" i="24" s="1"/>
  <c r="C333" i="24"/>
  <c r="C322" i="24"/>
  <c r="C311" i="24"/>
  <c r="C300" i="24"/>
  <c r="E300" i="24" s="1"/>
  <c r="C289" i="24"/>
  <c r="C278" i="24"/>
  <c r="C267" i="24"/>
  <c r="C230" i="24"/>
  <c r="E230" i="24" s="1"/>
  <c r="C242" i="24"/>
  <c r="E242" i="24" s="1"/>
  <c r="C231" i="24"/>
  <c r="E231" i="24" s="1"/>
  <c r="C243" i="24"/>
  <c r="C218" i="24"/>
  <c r="E218" i="24" s="1"/>
  <c r="C196" i="24"/>
  <c r="C185" i="24"/>
  <c r="C163" i="24"/>
  <c r="E163" i="24" s="1"/>
  <c r="C207" i="24"/>
  <c r="E207" i="24" s="1"/>
  <c r="C152" i="24"/>
  <c r="C174" i="24"/>
  <c r="E174" i="24" s="1"/>
  <c r="C141" i="24"/>
  <c r="E141" i="24" s="1"/>
  <c r="C219" i="24"/>
  <c r="E219" i="24" s="1"/>
  <c r="C164" i="24"/>
  <c r="E164" i="24" s="1"/>
  <c r="C208" i="24"/>
  <c r="E208" i="24" s="1"/>
  <c r="C153" i="24"/>
  <c r="C175" i="24"/>
  <c r="E175" i="24" s="1"/>
  <c r="C197" i="24"/>
  <c r="C142" i="24"/>
  <c r="E142" i="24" s="1"/>
  <c r="C186" i="24"/>
  <c r="L4" i="25"/>
  <c r="K4" i="25"/>
  <c r="I4" i="25"/>
  <c r="H4" i="25"/>
  <c r="G4" i="25"/>
  <c r="L6" i="25"/>
  <c r="K6" i="25"/>
  <c r="C31" i="24"/>
  <c r="E31" i="24" s="1"/>
  <c r="C97" i="24"/>
  <c r="C42" i="24"/>
  <c r="E42" i="24" s="1"/>
  <c r="C9" i="24"/>
  <c r="C130" i="24"/>
  <c r="E130" i="24" s="1"/>
  <c r="C108" i="24"/>
  <c r="E108" i="24" s="1"/>
  <c r="C119" i="24"/>
  <c r="E119" i="24" s="1"/>
  <c r="C64" i="24"/>
  <c r="E64" i="24" s="1"/>
  <c r="C75" i="24"/>
  <c r="C53" i="24"/>
  <c r="C20" i="24"/>
  <c r="E20" i="24" s="1"/>
  <c r="C86" i="24"/>
  <c r="C98" i="24"/>
  <c r="C120" i="24"/>
  <c r="C43" i="24"/>
  <c r="C10" i="24"/>
  <c r="C131" i="24"/>
  <c r="C109" i="24"/>
  <c r="E109" i="24" s="1"/>
  <c r="C65" i="24"/>
  <c r="E65" i="24" s="1"/>
  <c r="C87" i="24"/>
  <c r="C76" i="24"/>
  <c r="E76" i="24" s="1"/>
  <c r="C54" i="24"/>
  <c r="C32" i="24"/>
  <c r="E32" i="24" s="1"/>
  <c r="C21" i="24"/>
  <c r="E21" i="24" s="1"/>
  <c r="K29" i="2" l="1"/>
  <c r="L29" i="2" l="1"/>
  <c r="AI1" i="2"/>
  <c r="K509" i="2"/>
  <c r="L509" i="2" l="1"/>
  <c r="K324" i="2" l="1"/>
  <c r="I324" i="2"/>
  <c r="L324" i="2" l="1"/>
  <c r="I237" i="2" l="1"/>
  <c r="K237" i="2"/>
  <c r="L237" i="2" l="1"/>
  <c r="K426" i="2"/>
  <c r="I426" i="2"/>
  <c r="L426" i="2" l="1"/>
  <c r="AA1" i="2"/>
  <c r="I249" i="2" l="1"/>
  <c r="K249" i="2"/>
  <c r="L249" i="2" l="1"/>
  <c r="AD1" i="2" l="1"/>
  <c r="I399" i="2"/>
  <c r="K399" i="2"/>
  <c r="L399" i="2" l="1"/>
  <c r="AE1" i="2"/>
  <c r="I17" i="2"/>
  <c r="K17" i="2"/>
  <c r="L17" i="2" l="1"/>
  <c r="N3" i="2" l="1"/>
  <c r="C14" i="24" s="1"/>
  <c r="D15" i="24" s="1"/>
  <c r="D16" i="24" s="1"/>
  <c r="M3" i="2"/>
  <c r="I393" i="2"/>
  <c r="G316" i="26"/>
  <c r="G2" i="26" s="1"/>
  <c r="K393" i="2"/>
  <c r="F316" i="26"/>
  <c r="F2" i="26" s="1"/>
  <c r="M1" i="2" l="1"/>
  <c r="C3" i="24"/>
  <c r="N1" i="2"/>
  <c r="F3" i="26"/>
  <c r="G3" i="26"/>
  <c r="L393" i="2"/>
  <c r="E97" i="24" l="1"/>
  <c r="E14" i="24"/>
  <c r="D26" i="24"/>
  <c r="E25" i="24"/>
  <c r="E3" i="24"/>
  <c r="E4" i="24" l="1"/>
  <c r="D27" i="24"/>
  <c r="E26" i="24"/>
  <c r="E15" i="24"/>
  <c r="D17" i="24" l="1"/>
  <c r="E16" i="24"/>
  <c r="D28" i="24"/>
  <c r="E27" i="24"/>
  <c r="E5" i="24"/>
  <c r="E7" i="24" l="1"/>
  <c r="E6" i="24"/>
  <c r="D29" i="24"/>
  <c r="E29" i="24" s="1"/>
  <c r="E28" i="24"/>
  <c r="E17" i="24"/>
  <c r="E18" i="24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25 de agosto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xr16:uid="{12457370-AAB1-4F86-9C6E-D44A9F90BECC}" name="25 de agosto1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3" xr16:uid="{00000000-0015-0000-FFFF-FFFF01000000}" keepAlive="1" name="Consulta - Tabla3" description="Conexión a la consulta 'Tabla3' en el libro." type="5" refreshedVersion="7" background="1" saveData="1">
    <dbPr connection="Provider=Microsoft.Mashup.OleDb.1;Data Source=$Workbook$;Location=Tabla3;Extended Properties=&quot;&quot;" command="SELECT * FROM [Tabla3]"/>
  </connection>
</connections>
</file>

<file path=xl/sharedStrings.xml><?xml version="1.0" encoding="utf-8"?>
<sst xmlns="http://schemas.openxmlformats.org/spreadsheetml/2006/main" count="5746" uniqueCount="2278">
  <si>
    <t>CANTIDAD DE CAMARAS</t>
  </si>
  <si>
    <t>PORCIENTO DE CAIDAS</t>
  </si>
  <si>
    <t>DIAS FUNCIONANDO</t>
  </si>
  <si>
    <t>DIAS CAIDA</t>
  </si>
  <si>
    <t>EFECTIVIDAD</t>
  </si>
  <si>
    <t>FUNCIONAN</t>
  </si>
  <si>
    <t>CAIDAS</t>
  </si>
  <si>
    <t>Barrio</t>
  </si>
  <si>
    <t>[Denominacion]</t>
  </si>
  <si>
    <t>[Ubicacion]</t>
  </si>
  <si>
    <t>[Tipo de Camara]</t>
  </si>
  <si>
    <t>[Tipo de Conexion]</t>
  </si>
  <si>
    <t>PRESIDENTE PERON (PEPSI)</t>
  </si>
  <si>
    <t>MAR 01</t>
  </si>
  <si>
    <t>RP36 Y LA ESMERALDA</t>
  </si>
  <si>
    <t>DOMO</t>
  </si>
  <si>
    <t>RADIO</t>
  </si>
  <si>
    <t>MAYOL</t>
  </si>
  <si>
    <t>MAY 01</t>
  </si>
  <si>
    <t>Domo</t>
  </si>
  <si>
    <t>Radio</t>
  </si>
  <si>
    <t>MAY 02</t>
  </si>
  <si>
    <t>EVA PERON Y MONTEVIDEO</t>
  </si>
  <si>
    <t>MAY 03</t>
  </si>
  <si>
    <t>MAY 04</t>
  </si>
  <si>
    <t>MAR CHIQUITA Y RIO JACHAL</t>
  </si>
  <si>
    <t>ALTAMIRA</t>
  </si>
  <si>
    <t>LOPE DE VEGA Y NECOCHEA</t>
  </si>
  <si>
    <t>Fibra Optica</t>
  </si>
  <si>
    <t>ALT01</t>
  </si>
  <si>
    <t>Calchaqui y Sgto. Cabral</t>
  </si>
  <si>
    <t>ALT02</t>
  </si>
  <si>
    <t>Calchaqui y Lope de Vega</t>
  </si>
  <si>
    <t>Bombero Galarza y Necochea</t>
  </si>
  <si>
    <t>Francia y Necochea</t>
  </si>
  <si>
    <t>ALT05</t>
  </si>
  <si>
    <t>Av. Calchaqui y Bombero Galarza</t>
  </si>
  <si>
    <t>ALT07</t>
  </si>
  <si>
    <t>AV. CALCHAQUI Y AV. DEL TRABAJO</t>
  </si>
  <si>
    <t>HUMAITA Y NECOCHEA</t>
  </si>
  <si>
    <t>NECOCHEA Y CURUPAITY</t>
  </si>
  <si>
    <t>AGUSTIN RAMIREZ</t>
  </si>
  <si>
    <t>Malambo y Tranquera</t>
  </si>
  <si>
    <t>BELGRANO</t>
  </si>
  <si>
    <t>San Martin y Dardo Rocha</t>
  </si>
  <si>
    <t>ILLIA Y LAS HERAS</t>
  </si>
  <si>
    <t>FIJA</t>
  </si>
  <si>
    <t>GUTIERREZ Y BROWN</t>
  </si>
  <si>
    <t>CEN 54</t>
  </si>
  <si>
    <t>GUTIERREZ Y PRINGLES</t>
  </si>
  <si>
    <t>CEN 55</t>
  </si>
  <si>
    <t>BOUREL Y URQUIZA</t>
  </si>
  <si>
    <t>CENTRO</t>
  </si>
  <si>
    <t>CEN 56</t>
  </si>
  <si>
    <t>Newbery y Falucho</t>
  </si>
  <si>
    <t>CEN 57</t>
  </si>
  <si>
    <t>25 DE MAYO Y DORREGO</t>
  </si>
  <si>
    <t>CEN 58</t>
  </si>
  <si>
    <t>EEUU Y MORENO</t>
  </si>
  <si>
    <t>CHACABUCO Y BOUREL</t>
  </si>
  <si>
    <t>CEN 60</t>
  </si>
  <si>
    <t>RECONQUISTA Y ILLIA</t>
  </si>
  <si>
    <t>CEN 61</t>
  </si>
  <si>
    <t>BOUREL Y MAIPU</t>
  </si>
  <si>
    <t>SAN MARTIN Y URQUIZA</t>
  </si>
  <si>
    <t>CEN 70</t>
  </si>
  <si>
    <t>RIVADAVIA Y 25 MAYO</t>
  </si>
  <si>
    <t>CEN 71</t>
  </si>
  <si>
    <t>MORENO Y BOUREL</t>
  </si>
  <si>
    <t>CEN 72</t>
  </si>
  <si>
    <t>MORENO Y 25 DE MAYO</t>
  </si>
  <si>
    <t>CEN01</t>
  </si>
  <si>
    <t>San Martin y 9 de Julio</t>
  </si>
  <si>
    <t>Fija</t>
  </si>
  <si>
    <t>CEN02</t>
  </si>
  <si>
    <t>San Martin y Almafuerte</t>
  </si>
  <si>
    <t>CEN03</t>
  </si>
  <si>
    <t>San Martin y Sallares</t>
  </si>
  <si>
    <t>CEN04</t>
  </si>
  <si>
    <t>San Martin y Contreras</t>
  </si>
  <si>
    <t>CEN06</t>
  </si>
  <si>
    <t>Monteagudo y A.del Valle</t>
  </si>
  <si>
    <t>CEN07</t>
  </si>
  <si>
    <t>CEN08</t>
  </si>
  <si>
    <t>CEN09</t>
  </si>
  <si>
    <t>Chacabuco y 25 de Mayo</t>
  </si>
  <si>
    <t>CEN10</t>
  </si>
  <si>
    <t>CEN11</t>
  </si>
  <si>
    <t>Monteagudo y Bocuzzi</t>
  </si>
  <si>
    <t>Monteagudo y Mitre</t>
  </si>
  <si>
    <t>25 de Mayo y Maipu</t>
  </si>
  <si>
    <t>CEN14</t>
  </si>
  <si>
    <t>CEN15</t>
  </si>
  <si>
    <t>Alberdi y A.del Valle</t>
  </si>
  <si>
    <t>CEN16</t>
  </si>
  <si>
    <t>San Martin y Pte. Peron</t>
  </si>
  <si>
    <t>CEN17</t>
  </si>
  <si>
    <t>San Martin y Mitre</t>
  </si>
  <si>
    <t>CEN18</t>
  </si>
  <si>
    <t>Monteagudo e/Mitre y Sallares</t>
  </si>
  <si>
    <t>CEN19</t>
  </si>
  <si>
    <t>LOMAS DE MONTEVERDE</t>
  </si>
  <si>
    <t>CEN20</t>
  </si>
  <si>
    <t>Pte. Illia y Las Heras</t>
  </si>
  <si>
    <t>CEN21</t>
  </si>
  <si>
    <t>Misiones y Urquiza</t>
  </si>
  <si>
    <t>CEN22</t>
  </si>
  <si>
    <t>Las Heras y Chacabuco</t>
  </si>
  <si>
    <t>CEN23</t>
  </si>
  <si>
    <t>Sallares y Monteagudo</t>
  </si>
  <si>
    <t>CEN24</t>
  </si>
  <si>
    <t>CEN25</t>
  </si>
  <si>
    <t>SAN MARTIN Y 9 DE JULIO</t>
  </si>
  <si>
    <t>CEN26</t>
  </si>
  <si>
    <t>CEN27</t>
  </si>
  <si>
    <t>CEN28</t>
  </si>
  <si>
    <t>Mitre y Alberdi</t>
  </si>
  <si>
    <t>CEN29</t>
  </si>
  <si>
    <t>Alberdi y San Juan</t>
  </si>
  <si>
    <t>CEN30</t>
  </si>
  <si>
    <t>Mitre y Pringles</t>
  </si>
  <si>
    <t>CEN31</t>
  </si>
  <si>
    <t>Mitre e/Monteagudo y Alberdi</t>
  </si>
  <si>
    <t>CEN32</t>
  </si>
  <si>
    <t>CEN33</t>
  </si>
  <si>
    <t>Peron y Alberdi</t>
  </si>
  <si>
    <t>CEN34</t>
  </si>
  <si>
    <t>CEN35</t>
  </si>
  <si>
    <t>CEN36</t>
  </si>
  <si>
    <t>Diagonal Granaderos y Monteagudo</t>
  </si>
  <si>
    <t>CEN38</t>
  </si>
  <si>
    <t>Diagonal Constituyentes y Almafuerte</t>
  </si>
  <si>
    <t>CEN39</t>
  </si>
  <si>
    <t>San Martin y Alem</t>
  </si>
  <si>
    <t>CEN40</t>
  </si>
  <si>
    <t>Contreras y Monteagudo</t>
  </si>
  <si>
    <t>CEN41</t>
  </si>
  <si>
    <t>Contreras y Alberdi</t>
  </si>
  <si>
    <t>CEN42</t>
  </si>
  <si>
    <t>CEN43</t>
  </si>
  <si>
    <t>Sallares y Alberdi</t>
  </si>
  <si>
    <t>CEN44</t>
  </si>
  <si>
    <t>Mitre y Brown</t>
  </si>
  <si>
    <t>CEN47</t>
  </si>
  <si>
    <t>Sallares y Brown</t>
  </si>
  <si>
    <t>CEN48</t>
  </si>
  <si>
    <t>Velez Sarsfield y Las Heras</t>
  </si>
  <si>
    <t>CEN49</t>
  </si>
  <si>
    <t>Av. San Martin y Florencio Sanchez</t>
  </si>
  <si>
    <t>Av. San Martin y Newbery</t>
  </si>
  <si>
    <t>CEN52</t>
  </si>
  <si>
    <t>San Martin y Almafuerte (ex San Martin y Dorrego)</t>
  </si>
  <si>
    <t>CEN64</t>
  </si>
  <si>
    <t>SAN MARTIN Y BOCCUZZI</t>
  </si>
  <si>
    <t>SAN MARTIN Y JUAN PERON</t>
  </si>
  <si>
    <t>CEN66</t>
  </si>
  <si>
    <t>CEN67 (fija 1)</t>
  </si>
  <si>
    <t>9 DE JULIO Y BROWN</t>
  </si>
  <si>
    <t>CEN68 (fija 2)</t>
  </si>
  <si>
    <t>CEN69</t>
  </si>
  <si>
    <t>RIVADAVIA Y BOUREL</t>
  </si>
  <si>
    <t>CEN73</t>
  </si>
  <si>
    <t>BOUREL Y DEFENSA</t>
  </si>
  <si>
    <t>CEN74</t>
  </si>
  <si>
    <t>Las Heras y Maipu</t>
  </si>
  <si>
    <t>SAN NICOLAS</t>
  </si>
  <si>
    <t>CHA01</t>
  </si>
  <si>
    <t>Novak y Pte Illia</t>
  </si>
  <si>
    <t>CHACABUCO</t>
  </si>
  <si>
    <t>CHA02</t>
  </si>
  <si>
    <t>Pte. Illia y Posadas</t>
  </si>
  <si>
    <t>CHA03</t>
  </si>
  <si>
    <t>MAIPU Y ALVAREZ THOMAS</t>
  </si>
  <si>
    <t>CHA04</t>
  </si>
  <si>
    <t>ESTADOS UNIDOS DE A. E ILLIA</t>
  </si>
  <si>
    <t>VILLA MONICA NUEVA</t>
  </si>
  <si>
    <t>COL01</t>
  </si>
  <si>
    <t>Eva Peron y Cariboni</t>
  </si>
  <si>
    <t>LA COLORADA ESTE</t>
  </si>
  <si>
    <t>COL02</t>
  </si>
  <si>
    <t>Av. Eva Peron y Pompeya</t>
  </si>
  <si>
    <t>CARIBONI Y LA ANCIANIDAD</t>
  </si>
  <si>
    <t>DJO01</t>
  </si>
  <si>
    <t>Monteverde y Donato Alvarez</t>
  </si>
  <si>
    <t>DON JOSE</t>
  </si>
  <si>
    <t>DONATO ALVAREZ Y EL APERO</t>
  </si>
  <si>
    <t>EL PARQUE</t>
  </si>
  <si>
    <t>1282 Y GRIERSON</t>
  </si>
  <si>
    <t>1282 Y MASSE</t>
  </si>
  <si>
    <t>1282 Y RP 36</t>
  </si>
  <si>
    <t>1282 Y MORENO</t>
  </si>
  <si>
    <t>LA ESMERALDA</t>
  </si>
  <si>
    <t>AV. NOVAK Y SERRANO</t>
  </si>
  <si>
    <t>ESM 08</t>
  </si>
  <si>
    <t>ESM01</t>
  </si>
  <si>
    <t>Cabello y Brasil</t>
  </si>
  <si>
    <t>SAN JORGE</t>
  </si>
  <si>
    <t>ESM02</t>
  </si>
  <si>
    <t>Novak y Cabello</t>
  </si>
  <si>
    <t>LIBERTAD</t>
  </si>
  <si>
    <t>ESM03</t>
  </si>
  <si>
    <t>Novak y Humahuaca</t>
  </si>
  <si>
    <t>ESM04</t>
  </si>
  <si>
    <t>Basualdo y Bengochea</t>
  </si>
  <si>
    <t>ESM05</t>
  </si>
  <si>
    <t>Aniceto Diaz y Villar</t>
  </si>
  <si>
    <t>ESM06</t>
  </si>
  <si>
    <t>Roselli y Cabello</t>
  </si>
  <si>
    <t>ESM09 (fija 1)</t>
  </si>
  <si>
    <t>EEUU Y CABELLO</t>
  </si>
  <si>
    <t>ESM10 (fija 2)</t>
  </si>
  <si>
    <t>ESM11 (fija 1)</t>
  </si>
  <si>
    <t>NOVAK Y LAMBARDI</t>
  </si>
  <si>
    <t>ESM12 (fija 2)</t>
  </si>
  <si>
    <t>INGENIERO ALLAN</t>
  </si>
  <si>
    <t>1138 Y 1155</t>
  </si>
  <si>
    <t>1144 Y 1155</t>
  </si>
  <si>
    <t>INFICO</t>
  </si>
  <si>
    <t>AV. HUDSON Y CARIBONI</t>
  </si>
  <si>
    <t>KM 26700 (JULIO A. COSTA)</t>
  </si>
  <si>
    <t>KM 07</t>
  </si>
  <si>
    <t>EL ALJIBE E/ EL ZONDA Y DON SEGUNDO SOMBRA</t>
  </si>
  <si>
    <t>LOS CHARRUAS Y BLANDENGUES</t>
  </si>
  <si>
    <t>NOVAK Y LA POSTA</t>
  </si>
  <si>
    <t>KM 10 / UPA 2</t>
  </si>
  <si>
    <t>PLAYA DE ESTACIONAMIENTO INTERNA E/ HOSP. MODULAR Y UPA 11.</t>
  </si>
  <si>
    <t>KM 12 FIJA 1</t>
  </si>
  <si>
    <t>BLANDENGUES Y LA ZAMBA</t>
  </si>
  <si>
    <t>KM 13 FIJA 2</t>
  </si>
  <si>
    <t>VILLA ARGENTINA</t>
  </si>
  <si>
    <t>KM01</t>
  </si>
  <si>
    <t>Vias FFCC y La Pulperia</t>
  </si>
  <si>
    <t>KM02</t>
  </si>
  <si>
    <t>Novak e/El Overo y el Mangrullo</t>
  </si>
  <si>
    <t>KM03</t>
  </si>
  <si>
    <t>Novak y La Pulperia</t>
  </si>
  <si>
    <t>KM04</t>
  </si>
  <si>
    <t>El Ombu y El Zonda</t>
  </si>
  <si>
    <t>KM05</t>
  </si>
  <si>
    <t>El Ombu y Los Charruas</t>
  </si>
  <si>
    <t>KM06</t>
  </si>
  <si>
    <t>El Ombu y La Cautiva</t>
  </si>
  <si>
    <t>KM11</t>
  </si>
  <si>
    <t>NOVAK Y EL OVERO</t>
  </si>
  <si>
    <t>EL GAUCHO Y EL ZONDA</t>
  </si>
  <si>
    <t>EL GAUCHO Y MARTIN FIERRO</t>
  </si>
  <si>
    <t>LDM 01</t>
  </si>
  <si>
    <t>ILLIA Y BOUREL</t>
  </si>
  <si>
    <t>LDM 02</t>
  </si>
  <si>
    <t>LAS HERAS Y EDISON</t>
  </si>
  <si>
    <t>LDM 03</t>
  </si>
  <si>
    <t>LAS HERAS Y FRANKLIN</t>
  </si>
  <si>
    <t>LPI02</t>
  </si>
  <si>
    <t>EE.UU y Ayacucho</t>
  </si>
  <si>
    <t>LA PILETA</t>
  </si>
  <si>
    <t>LPI03 (fija 2)</t>
  </si>
  <si>
    <t>MAIPU Y POSADAS</t>
  </si>
  <si>
    <t>LPI04 (fija 1)</t>
  </si>
  <si>
    <t>LOS PILARES</t>
  </si>
  <si>
    <t>EVA PERON E/ CACHEUTA Y 1406</t>
  </si>
  <si>
    <t>LPR02 (fija 1)</t>
  </si>
  <si>
    <t>EVA PERON Y CACHEUTA</t>
  </si>
  <si>
    <t>LPR03 (fija 2)</t>
  </si>
  <si>
    <t>H. IRIGOYEN Y BRAILE</t>
  </si>
  <si>
    <t>PRESIDENTE SARMIENTO</t>
  </si>
  <si>
    <t>LRO02</t>
  </si>
  <si>
    <t>H. Irigoyen e Islas Orcadas</t>
  </si>
  <si>
    <t>LOPEZ ROMERO</t>
  </si>
  <si>
    <t>LRO03</t>
  </si>
  <si>
    <t>H. Irigoyen y Parravicini</t>
  </si>
  <si>
    <t>LRO04</t>
  </si>
  <si>
    <t>H. Irigoyen y Alvarado</t>
  </si>
  <si>
    <t>Calchaqui y Las Americas</t>
  </si>
  <si>
    <t>LRO06</t>
  </si>
  <si>
    <t>H. Irigoyen y Belgrano</t>
  </si>
  <si>
    <t>LRO07</t>
  </si>
  <si>
    <t>H. Irigoyen y Remedios de Escalada</t>
  </si>
  <si>
    <t>LRO08</t>
  </si>
  <si>
    <t>Remedios de Escalada y Finochieto</t>
  </si>
  <si>
    <t>Con. Gral. Belgrano y Balcarce</t>
  </si>
  <si>
    <t>LRO11</t>
  </si>
  <si>
    <t>Av. Yrigoyen y Braile</t>
  </si>
  <si>
    <t>LAS AMERICAS E/ BRAILLE Y ALVARADO</t>
  </si>
  <si>
    <t>LRO14</t>
  </si>
  <si>
    <t>YRIGOYEN Y STORNI</t>
  </si>
  <si>
    <t>LUJ 02</t>
  </si>
  <si>
    <t>DIAG. LOS TILOS Y 527</t>
  </si>
  <si>
    <t>LUJAN</t>
  </si>
  <si>
    <t>LUJ03</t>
  </si>
  <si>
    <t>LOS PINOS Y LOS TILOS</t>
  </si>
  <si>
    <t>MARTIN FIERRO</t>
  </si>
  <si>
    <t>Belgrano y Sgto. Cabral</t>
  </si>
  <si>
    <t>MFI02</t>
  </si>
  <si>
    <t>Calchaqui y Balcarce</t>
  </si>
  <si>
    <t>SAN EMILIO</t>
  </si>
  <si>
    <t>Cno. Gral. Belgrano y Av. del Trabajo</t>
  </si>
  <si>
    <t>MFI04</t>
  </si>
  <si>
    <t>Calchaqui y balcarce</t>
  </si>
  <si>
    <t>Cno. Gral. Belgrano y Guayaquil</t>
  </si>
  <si>
    <t>MFI06</t>
  </si>
  <si>
    <t>Con. Gral. Belgrano y Bombero Galarza</t>
  </si>
  <si>
    <t>GOBERNADOR MONTEVERDE</t>
  </si>
  <si>
    <t>MON01</t>
  </si>
  <si>
    <t>San Martin y Patricias Argentinas</t>
  </si>
  <si>
    <t>MON02</t>
  </si>
  <si>
    <t>Senzabello y Famatina</t>
  </si>
  <si>
    <t>MON03</t>
  </si>
  <si>
    <t>Senzabello y Guemes</t>
  </si>
  <si>
    <t>MON04</t>
  </si>
  <si>
    <t>Av. Yrigoyen y San Lorenzo</t>
  </si>
  <si>
    <t>9 DE JULIO</t>
  </si>
  <si>
    <t>NJU 08</t>
  </si>
  <si>
    <t>BOCCUZZI Y O HIGGINS</t>
  </si>
  <si>
    <t>Sallares y Parrillo</t>
  </si>
  <si>
    <t>NJU02</t>
  </si>
  <si>
    <t>Ituzaingo y Boccuzzi</t>
  </si>
  <si>
    <t>NJU03</t>
  </si>
  <si>
    <t>San Juan y Parrillo</t>
  </si>
  <si>
    <t>NJU04</t>
  </si>
  <si>
    <t>Ituzaingo y 214 A</t>
  </si>
  <si>
    <t>ZEBALLOS CENTRO</t>
  </si>
  <si>
    <t>NJU05</t>
  </si>
  <si>
    <t>Ituzaingo y Alem</t>
  </si>
  <si>
    <t>NJU06</t>
  </si>
  <si>
    <t>Sallares y Rodo</t>
  </si>
  <si>
    <t>NJU07</t>
  </si>
  <si>
    <t>Gral. Juan Domingo Peron y Parrillo</t>
  </si>
  <si>
    <t>NJU09</t>
  </si>
  <si>
    <t>PARRILLO Y CONTRERAS</t>
  </si>
  <si>
    <t>PCO 01</t>
  </si>
  <si>
    <t>CEMENTERIO</t>
  </si>
  <si>
    <t>PICO DE ORO</t>
  </si>
  <si>
    <t>PCO02 (fija 1)</t>
  </si>
  <si>
    <t>SICILIA E/ VIENA Y VARSOVIA</t>
  </si>
  <si>
    <t>PCO03 (fija 2)</t>
  </si>
  <si>
    <t>PCO04 (fija 1)</t>
  </si>
  <si>
    <t>BERNA Y POLONIA</t>
  </si>
  <si>
    <t>PCO05 (fija 2)</t>
  </si>
  <si>
    <t>DARDO ROCHA Y GABRIELA MISTRAL</t>
  </si>
  <si>
    <t>PUNTO SEGURO - AGUSTIN RAMIREZ (domo)</t>
  </si>
  <si>
    <t>EL MALAMBO Y LA TRANQUERA</t>
  </si>
  <si>
    <t>PUNTO SEGURO - AGUSTIN RAMIREZ (fija)</t>
  </si>
  <si>
    <t>PUNTO SEGURO - EL PARQUE (domo)</t>
  </si>
  <si>
    <t>CALLE 1282 Y 1201</t>
  </si>
  <si>
    <t>PUNTO SEGURO - EL PARQUE (fija)</t>
  </si>
  <si>
    <t>PUNTO SEGURO - ING. ALLAN (domo)</t>
  </si>
  <si>
    <t>DIAG. LOS YAGANES Y 1148</t>
  </si>
  <si>
    <t>PUNTO SEGURO - ING. ALLAN (fija)</t>
  </si>
  <si>
    <t>PUNTO SEGURO - LUJAN (fija)</t>
  </si>
  <si>
    <t>DIAG. LOS TILOS Y LOS ALGARROBOS</t>
  </si>
  <si>
    <t>ZONA RURAL SANTA ROSA</t>
  </si>
  <si>
    <t>PUNTO SEGURO - PICO DE ORO (domo)</t>
  </si>
  <si>
    <t>PISANI Y BULGARIA</t>
  </si>
  <si>
    <t>PUNTO SEGURO - PICO DE ORO (fija)</t>
  </si>
  <si>
    <t>SAN FRANCISCO ESTE (CHICO)</t>
  </si>
  <si>
    <t>RP 53 Y 1332</t>
  </si>
  <si>
    <t>Punto Seguro - San Jorge (Domo)</t>
  </si>
  <si>
    <t>CALLE 523 E/ 554 Y 556</t>
  </si>
  <si>
    <t>Punto Seguro - San Jorge (Fija)</t>
  </si>
  <si>
    <t>SAN RUDECINDO</t>
  </si>
  <si>
    <t>PUNTO SEGURO - SAN RUDECINDO (fija)</t>
  </si>
  <si>
    <t>PUNTO SEGURO - SANTA ROSA (domo)</t>
  </si>
  <si>
    <t>BRUSELAS Y SICILIA</t>
  </si>
  <si>
    <t>PUNTO SEGURO - SANTA ROSA (fija)</t>
  </si>
  <si>
    <t>PUNTO SEGURO LUJAN (domo)</t>
  </si>
  <si>
    <t>EL ROCIO</t>
  </si>
  <si>
    <t>RCO 01</t>
  </si>
  <si>
    <t>AV. LUJAN Y LOBOS</t>
  </si>
  <si>
    <t>AV. LUJAN Y BRANDSEN</t>
  </si>
  <si>
    <t>RCO03 (fija 1)</t>
  </si>
  <si>
    <t>OLAVARRIA Y CONCORDIA</t>
  </si>
  <si>
    <t>RCO04 (fija 2)</t>
  </si>
  <si>
    <t>RCO05 (fija 1)</t>
  </si>
  <si>
    <t>LOBOS Y CHASCOMUS</t>
  </si>
  <si>
    <t>RCO06 (fija 2)</t>
  </si>
  <si>
    <t>RICARDO ROJAS</t>
  </si>
  <si>
    <t>AV. LUJAN Y BRAGADO</t>
  </si>
  <si>
    <t>AV. LUJAN Y DIAG. LOS POETAS</t>
  </si>
  <si>
    <t>RRJ03 (fija 1)</t>
  </si>
  <si>
    <t>RUBEN DARIO E/ FADER Y DIAG. LOS POETAS</t>
  </si>
  <si>
    <t>RRJ04 (fija 2)</t>
  </si>
  <si>
    <t>LUJAN Y RUTA 36</t>
  </si>
  <si>
    <t>SAR01</t>
  </si>
  <si>
    <t>Storni Y Sanchez de Loria</t>
  </si>
  <si>
    <t>SAN EDUARDO</t>
  </si>
  <si>
    <t>SEDU01</t>
  </si>
  <si>
    <t>San Martin y Sperandio</t>
  </si>
  <si>
    <t>SEDU02</t>
  </si>
  <si>
    <t>Curva de Berraymundo</t>
  </si>
  <si>
    <t>VILLA CIRIO</t>
  </si>
  <si>
    <t>SEDU03</t>
  </si>
  <si>
    <t>Av. San Martin y Las Americas</t>
  </si>
  <si>
    <t>SEMI01</t>
  </si>
  <si>
    <t>San Martin y Av. del Trabajo</t>
  </si>
  <si>
    <t>Cno. Gral. Belgrano y Francia</t>
  </si>
  <si>
    <t>SEMI03 (fija 1)</t>
  </si>
  <si>
    <t>GORRITI E/ GALARZA Y LOPE DE VEGA</t>
  </si>
  <si>
    <t>SEMI04 (fija 2)</t>
  </si>
  <si>
    <t>SIR 02</t>
  </si>
  <si>
    <t>Victorino de la Plaza y Argentina</t>
  </si>
  <si>
    <t>SIR 03</t>
  </si>
  <si>
    <t>MONTES Y LONARDI</t>
  </si>
  <si>
    <t>LA SIRENA</t>
  </si>
  <si>
    <t>SIR 04</t>
  </si>
  <si>
    <t>AV. MONTEVERDE Y MORAN</t>
  </si>
  <si>
    <t>SIR 05 (FIJA 01)</t>
  </si>
  <si>
    <t>SIR 06 (FIJA 02)</t>
  </si>
  <si>
    <t>SIR01</t>
  </si>
  <si>
    <t>Moran y Calle 14</t>
  </si>
  <si>
    <t>VILLA AURORA</t>
  </si>
  <si>
    <t>SIR07 (fija 1)</t>
  </si>
  <si>
    <t>MONTEVERDE Y URIBURU</t>
  </si>
  <si>
    <t>SIR08 (fija 2)</t>
  </si>
  <si>
    <t>SIR09 (fija 1)</t>
  </si>
  <si>
    <t>GUIDO SPANO Y MORAN</t>
  </si>
  <si>
    <t>SIR10 (fija 2)</t>
  </si>
  <si>
    <t>SIR11 (fija 1)</t>
  </si>
  <si>
    <t>LARREA Y GUARDIA NACIONAL</t>
  </si>
  <si>
    <t>SIR12 (fija 2)</t>
  </si>
  <si>
    <t>SJO 03</t>
  </si>
  <si>
    <t>517 Y 580</t>
  </si>
  <si>
    <t>SJO 04</t>
  </si>
  <si>
    <t>552 Y 519</t>
  </si>
  <si>
    <t>SJO01</t>
  </si>
  <si>
    <t>Calle 554 y 527</t>
  </si>
  <si>
    <t>SJO02</t>
  </si>
  <si>
    <t>Calle 554 y 511</t>
  </si>
  <si>
    <t>SJO05 (fija 1)</t>
  </si>
  <si>
    <t>511 Y 560</t>
  </si>
  <si>
    <t>SJO06 (fija 2)</t>
  </si>
  <si>
    <t>SJO07 (fija 1)</t>
  </si>
  <si>
    <t>503 Y 556</t>
  </si>
  <si>
    <t>SJO08 (fija 2)</t>
  </si>
  <si>
    <t>SANTO TOMAS</t>
  </si>
  <si>
    <t>SJU01</t>
  </si>
  <si>
    <t>Ruta 36 y Pte.Peron</t>
  </si>
  <si>
    <t>SMA 03</t>
  </si>
  <si>
    <t>ROSARIO Y SAN NICOLAS</t>
  </si>
  <si>
    <t>VILLA GENERAL SAN MARTIN</t>
  </si>
  <si>
    <t>SMA 04</t>
  </si>
  <si>
    <t>HUDSON Y MONTEVIDEO</t>
  </si>
  <si>
    <t>SMA 06</t>
  </si>
  <si>
    <t>AV. HUDSON Y RIO IGUAZU</t>
  </si>
  <si>
    <t>SMA 07</t>
  </si>
  <si>
    <t>AV. HUDSON Y RIO TURBIO</t>
  </si>
  <si>
    <t>SMA01</t>
  </si>
  <si>
    <t>Hudson y Montevideo</t>
  </si>
  <si>
    <t>SMA02</t>
  </si>
  <si>
    <t>Hudson y San Nicolas</t>
  </si>
  <si>
    <t>SMA05</t>
  </si>
  <si>
    <t>MONTEVIDEO Y VILLEGAS</t>
  </si>
  <si>
    <t>SNI01 (fija 1)</t>
  </si>
  <si>
    <t>SARRATEA E/ EEUU DE A. Y AGRELO</t>
  </si>
  <si>
    <t>SNI02 (fija 2)</t>
  </si>
  <si>
    <t>SARRATEA Y LOS TREBOLES</t>
  </si>
  <si>
    <t>SANTA ROSA</t>
  </si>
  <si>
    <t>CAFFERATA Y BONN</t>
  </si>
  <si>
    <t>Novak y Bonn</t>
  </si>
  <si>
    <t>NOVAK Y BELGICA</t>
  </si>
  <si>
    <t>SRO 08</t>
  </si>
  <si>
    <t>NOVAK E/ DESSY Y BELGICA (POLIDEPORTIVO LA PATRIADA)</t>
  </si>
  <si>
    <t>BUCAREST E/ ALEMANIA Y CAFFERATA</t>
  </si>
  <si>
    <t>DINAMARCA Y MILAN</t>
  </si>
  <si>
    <t>ANDORRA E/ BELGICA Y SAN MARINO</t>
  </si>
  <si>
    <t>SRO01</t>
  </si>
  <si>
    <t>SRO02</t>
  </si>
  <si>
    <t>SRO03</t>
  </si>
  <si>
    <t>Eva Peron y Paysandu</t>
  </si>
  <si>
    <t>Belgica y Andorra</t>
  </si>
  <si>
    <t>MILAN Y MALLORCA</t>
  </si>
  <si>
    <t>SRO12</t>
  </si>
  <si>
    <t>YUGOSLAVIA Y PAYSANDU</t>
  </si>
  <si>
    <t>BRUSELAS E/ GRECIA Y CHECOSLOVAQUIA</t>
  </si>
  <si>
    <t>SRO15</t>
  </si>
  <si>
    <t>NOVAK Y TIRANA (614)</t>
  </si>
  <si>
    <t>GRAN CANARIA Y BUDAPEST</t>
  </si>
  <si>
    <t>SRU01 (fija 1)</t>
  </si>
  <si>
    <t>HERNANDARIAS Y AMBATO</t>
  </si>
  <si>
    <t>SRU02 (fija 2)</t>
  </si>
  <si>
    <t>VILLA ANGELICA</t>
  </si>
  <si>
    <t>VANG01</t>
  </si>
  <si>
    <t>VANG02</t>
  </si>
  <si>
    <t>Thevenet y Ruta 36</t>
  </si>
  <si>
    <t>VILLA DEL PLATA</t>
  </si>
  <si>
    <t>VANG03</t>
  </si>
  <si>
    <t>Thevenet 1950</t>
  </si>
  <si>
    <t>VANG04</t>
  </si>
  <si>
    <t>Storni e/Thevenet y Calle 158</t>
  </si>
  <si>
    <t>VANG05</t>
  </si>
  <si>
    <t>Storni y Thevenet</t>
  </si>
  <si>
    <t>VANG06</t>
  </si>
  <si>
    <t>Arenales e/Thevenet y Calle 158</t>
  </si>
  <si>
    <t>VANG07</t>
  </si>
  <si>
    <t>Arenales y Thevenet</t>
  </si>
  <si>
    <t>VANG08</t>
  </si>
  <si>
    <t>Calle 158 al 2200</t>
  </si>
  <si>
    <t>Ruta 36 y Senzabello</t>
  </si>
  <si>
    <t>VAR 01</t>
  </si>
  <si>
    <t>Calle 519 y 546</t>
  </si>
  <si>
    <t>VAR 02</t>
  </si>
  <si>
    <t>DIAGONAL LOS TILOS Y 542</t>
  </si>
  <si>
    <t>VAR03 (fija 1)</t>
  </si>
  <si>
    <t>509 y 546</t>
  </si>
  <si>
    <t>VAR04 (fija 2)</t>
  </si>
  <si>
    <t>VAR05 (fija 1)</t>
  </si>
  <si>
    <t>511 E/ 544 Y 546</t>
  </si>
  <si>
    <t>VAR06 (fija 2)</t>
  </si>
  <si>
    <t>VAR07</t>
  </si>
  <si>
    <t>DIAG. LOS TILOS Y 517</t>
  </si>
  <si>
    <t>534 Y 523</t>
  </si>
  <si>
    <t>VAR10 (fija 1)</t>
  </si>
  <si>
    <t>532 A Y 523</t>
  </si>
  <si>
    <t>VAR11 (fija 2)</t>
  </si>
  <si>
    <t>12 DE OCTUBRE Y CHACO</t>
  </si>
  <si>
    <t>VILLA VATTEONE CENTRO</t>
  </si>
  <si>
    <t>Av.12 de Octubre y Belgrano</t>
  </si>
  <si>
    <t>VAT 15</t>
  </si>
  <si>
    <t>CORRIENTES Y VICENTE LOPEZ</t>
  </si>
  <si>
    <t>VILLA VATTEONE</t>
  </si>
  <si>
    <t>VAT 16</t>
  </si>
  <si>
    <t>MONTEVIDEO Y CHACO</t>
  </si>
  <si>
    <t>VAT 17</t>
  </si>
  <si>
    <t>LAVALLE Y FONROUGE</t>
  </si>
  <si>
    <t>QUINTANA Y FONROUGE ( TUCUMAN )</t>
  </si>
  <si>
    <t>VAT 20</t>
  </si>
  <si>
    <t>URUGUAY Y PILCOMAYO</t>
  </si>
  <si>
    <t>VAT01</t>
  </si>
  <si>
    <t>VAT02</t>
  </si>
  <si>
    <t>VAT03</t>
  </si>
  <si>
    <t>Lavalle y Belgrano</t>
  </si>
  <si>
    <t>VAT04</t>
  </si>
  <si>
    <t>Lavalle y Entre Rios</t>
  </si>
  <si>
    <t>VAT05</t>
  </si>
  <si>
    <t>Lavalle y Colombia</t>
  </si>
  <si>
    <t>VAT06</t>
  </si>
  <si>
    <t>VAT07</t>
  </si>
  <si>
    <t>VAT08</t>
  </si>
  <si>
    <t>12 de Octubre y Florida</t>
  </si>
  <si>
    <t>VAT09</t>
  </si>
  <si>
    <t>Montevideo y Alsina</t>
  </si>
  <si>
    <t>Belgrano y Quintana</t>
  </si>
  <si>
    <t>VAT11</t>
  </si>
  <si>
    <t>Mainini y Montevideo</t>
  </si>
  <si>
    <t>FLORIDA Y MONTEVIDEO</t>
  </si>
  <si>
    <t>QUINTANA E/ BELGRANO Y FONROUGE</t>
  </si>
  <si>
    <t>VAT23 (fija 1)</t>
  </si>
  <si>
    <t>EVA PERON Y "EL TUNEL" (BAJO NIVEL)</t>
  </si>
  <si>
    <t>VAT24 (fija 2)</t>
  </si>
  <si>
    <t>VAU 07</t>
  </si>
  <si>
    <t>VICTORINO DE LA PLAZA Y MONTEVERDE</t>
  </si>
  <si>
    <t>San Martin y Monteverde</t>
  </si>
  <si>
    <t>San Martin y Lope de Vega</t>
  </si>
  <si>
    <t>VAU03 (fija 1)</t>
  </si>
  <si>
    <t>PIZZURNO Y NUESTRAS MALVINAS</t>
  </si>
  <si>
    <t>VAU04 (fija 2)</t>
  </si>
  <si>
    <t>VAU05 (fija 1)</t>
  </si>
  <si>
    <t>GUIDO SPANO Y VICTORINO DE LA PLAZA</t>
  </si>
  <si>
    <t>VAU06 (fija 2)</t>
  </si>
  <si>
    <t>VAU08</t>
  </si>
  <si>
    <t>MONTEVERDE Y WASHINGTON</t>
  </si>
  <si>
    <t>VDPL02</t>
  </si>
  <si>
    <t>Thevenet y Berutti</t>
  </si>
  <si>
    <t>VDPL03</t>
  </si>
  <si>
    <t>Neuquen y Alvarado</t>
  </si>
  <si>
    <t>VDPL04</t>
  </si>
  <si>
    <t>Neuquen y Diagonal Guemes</t>
  </si>
  <si>
    <t>VDPL05</t>
  </si>
  <si>
    <t>Ruta 36 y Abraham</t>
  </si>
  <si>
    <t>VDPL06</t>
  </si>
  <si>
    <t>Thevenet e/ Islas Orcadas y Gardel</t>
  </si>
  <si>
    <t>VILLA HUDSON</t>
  </si>
  <si>
    <t>VHS 01</t>
  </si>
  <si>
    <t>AV. HUDSON Y AV. LUJAN</t>
  </si>
  <si>
    <t>AV. LUJAN Y CALLE 909 A</t>
  </si>
  <si>
    <t>AV. HUDSON Y LOS INMIGRANTES</t>
  </si>
  <si>
    <t>VILLA ARIAS</t>
  </si>
  <si>
    <t>820 Y SOLER</t>
  </si>
  <si>
    <t>ESPORA Y HUDSON</t>
  </si>
  <si>
    <t>VLA03 (fija 2)</t>
  </si>
  <si>
    <t>820 y SOLER</t>
  </si>
  <si>
    <t>VLA04</t>
  </si>
  <si>
    <t>ESPORA Y MARTIN GRASS</t>
  </si>
  <si>
    <t>VLA05</t>
  </si>
  <si>
    <t>ESPORA Y 802</t>
  </si>
  <si>
    <t>VMO 02</t>
  </si>
  <si>
    <t>VMO01</t>
  </si>
  <si>
    <t>VILLA MONICA VIEJA</t>
  </si>
  <si>
    <t>VMOV01 (fija 1)</t>
  </si>
  <si>
    <t>ATENAS E/ CAFFERATA Y ALEMANIA</t>
  </si>
  <si>
    <t>ROMA E/ HOLANDA Y CAFFERATA</t>
  </si>
  <si>
    <t>VMOV04 (fija 2)</t>
  </si>
  <si>
    <t>VILLA SAN LUIS</t>
  </si>
  <si>
    <t>VSL 01</t>
  </si>
  <si>
    <t>AV. HUDSON Y CACHEUTA</t>
  </si>
  <si>
    <t>VILLA SUSANA</t>
  </si>
  <si>
    <t>CJAL. JUAN BROWN Y SANTA FE</t>
  </si>
  <si>
    <t>VSU 02</t>
  </si>
  <si>
    <t>CABELLO Y SANTA FE</t>
  </si>
  <si>
    <t>VSU 03</t>
  </si>
  <si>
    <t>EE.UU Y SERRANO</t>
  </si>
  <si>
    <t>ZEB 05</t>
  </si>
  <si>
    <t>DIAG. GRANADEROS Y 214 BIS</t>
  </si>
  <si>
    <t>ZEBALLOS</t>
  </si>
  <si>
    <t>ZEB02</t>
  </si>
  <si>
    <t>Quinquela Martin y Sgo. del Estero</t>
  </si>
  <si>
    <t>ZEB03</t>
  </si>
  <si>
    <t>Quinquela Martin y Pte. Peron</t>
  </si>
  <si>
    <t>ZEB04</t>
  </si>
  <si>
    <t>THEVENET Y DIAGONAL GRANADEROS</t>
  </si>
  <si>
    <t>CHAÑAR Y SAN NICOLAS</t>
  </si>
  <si>
    <t>172.20.10.6</t>
  </si>
  <si>
    <t>172.20.12.218</t>
  </si>
  <si>
    <t>172.20.12.54</t>
  </si>
  <si>
    <t>172.20.12.55</t>
  </si>
  <si>
    <t>172.20.12.216</t>
  </si>
  <si>
    <t>172.20.12.12</t>
  </si>
  <si>
    <t>172.20.11.11</t>
  </si>
  <si>
    <t>172.20.10.57</t>
  </si>
  <si>
    <t>172.20.11.215</t>
  </si>
  <si>
    <t>172.20.11.216</t>
  </si>
  <si>
    <t>172.20.12.110</t>
  </si>
  <si>
    <t>172.20.12.64</t>
  </si>
  <si>
    <t>172.20.11.10</t>
  </si>
  <si>
    <t>172.20.12.30</t>
  </si>
  <si>
    <t>172.20.12.29</t>
  </si>
  <si>
    <t>172.20.10.200</t>
  </si>
  <si>
    <t>172.20.10.02</t>
  </si>
  <si>
    <t>172.20.11.20</t>
  </si>
  <si>
    <t>172.20.11.21</t>
  </si>
  <si>
    <t>172.20.11.22</t>
  </si>
  <si>
    <t>172.20.11.23</t>
  </si>
  <si>
    <t>172.20.10.24</t>
  </si>
  <si>
    <t>172.20.10.23</t>
  </si>
  <si>
    <t>172.20.10.20</t>
  </si>
  <si>
    <t>172.20.10.21</t>
  </si>
  <si>
    <t>172.20.10.35</t>
  </si>
  <si>
    <t>172.20.12.36</t>
  </si>
  <si>
    <t>172.20.12.200</t>
  </si>
  <si>
    <t>172.20.10.26</t>
  </si>
  <si>
    <t>172.20.10.27</t>
  </si>
  <si>
    <t>172.20.10.33</t>
  </si>
  <si>
    <t>172.20.200.132</t>
  </si>
  <si>
    <t>172.20.12.05</t>
  </si>
  <si>
    <t>172.20.12.02</t>
  </si>
  <si>
    <t>172.20.12.38</t>
  </si>
  <si>
    <t>172.20.12.40</t>
  </si>
  <si>
    <t>172.20.12.39</t>
  </si>
  <si>
    <t>172.20.12.41</t>
  </si>
  <si>
    <t>172.20.12.42</t>
  </si>
  <si>
    <t>172.20.12.47</t>
  </si>
  <si>
    <t>172.20.12.49</t>
  </si>
  <si>
    <t>172.20.12.50</t>
  </si>
  <si>
    <t>172.20.12.51</t>
  </si>
  <si>
    <t>172.20.12.52</t>
  </si>
  <si>
    <t>172.20.12.53</t>
  </si>
  <si>
    <t>172.20.12.56</t>
  </si>
  <si>
    <t>172.20.12.57</t>
  </si>
  <si>
    <t>172.20.12.58</t>
  </si>
  <si>
    <t>172.20.12.59</t>
  </si>
  <si>
    <t>172.20.12.61</t>
  </si>
  <si>
    <t>172.20.12.62</t>
  </si>
  <si>
    <t>172.20.11.74</t>
  </si>
  <si>
    <t>172.20.11.75</t>
  </si>
  <si>
    <t>172.20.12.65</t>
  </si>
  <si>
    <t>172.20.11.29</t>
  </si>
  <si>
    <t>172.20.11.84</t>
  </si>
  <si>
    <t>172.20.12.67</t>
  </si>
  <si>
    <t>172.20.12.82</t>
  </si>
  <si>
    <t>172.20.11.112</t>
  </si>
  <si>
    <t>172.20.11.134</t>
  </si>
  <si>
    <t>172.20.11.136</t>
  </si>
  <si>
    <t>172.20.11.139</t>
  </si>
  <si>
    <t>172.20.11.131</t>
  </si>
  <si>
    <t>172.20.11.132</t>
  </si>
  <si>
    <t>172.20.11.188</t>
  </si>
  <si>
    <t>172.20.11.189</t>
  </si>
  <si>
    <t>172.20.11.222</t>
  </si>
  <si>
    <t>172.20.11.221</t>
  </si>
  <si>
    <t>172.20.11.220</t>
  </si>
  <si>
    <t>172.20.11.219</t>
  </si>
  <si>
    <t>172.20.11.223</t>
  </si>
  <si>
    <t>172.20.11.53</t>
  </si>
  <si>
    <t>172.20.200.186</t>
  </si>
  <si>
    <t>172.20.11.71</t>
  </si>
  <si>
    <t>172.20.11.191</t>
  </si>
  <si>
    <t>10.20.30.37</t>
  </si>
  <si>
    <t>172.20.200.120</t>
  </si>
  <si>
    <t>172.20.12.97</t>
  </si>
  <si>
    <t>172.20.12.98</t>
  </si>
  <si>
    <t>172.20.11.170</t>
  </si>
  <si>
    <t>172.20.11.172</t>
  </si>
  <si>
    <t>172.20.11.171</t>
  </si>
  <si>
    <t>172.20.11.46</t>
  </si>
  <si>
    <t>172.20.11.42</t>
  </si>
  <si>
    <t>172.20.12.46</t>
  </si>
  <si>
    <t>172.20.12.48</t>
  </si>
  <si>
    <t>172.20.11.44</t>
  </si>
  <si>
    <t>10.20.30.38</t>
  </si>
  <si>
    <t>172.20.11.76</t>
  </si>
  <si>
    <t>172.20.11.77</t>
  </si>
  <si>
    <t>172.20.11.73</t>
  </si>
  <si>
    <t>172.20.11.173</t>
  </si>
  <si>
    <t>172.20.11.174</t>
  </si>
  <si>
    <t>172.20.11.62</t>
  </si>
  <si>
    <t>172.20.200.127</t>
  </si>
  <si>
    <t>172.20.11.70</t>
  </si>
  <si>
    <t>172.20.12.85</t>
  </si>
  <si>
    <t>172.20.12.86</t>
  </si>
  <si>
    <t>172.20.12.94</t>
  </si>
  <si>
    <t>172.20.12.95</t>
  </si>
  <si>
    <t>172.20.12.88</t>
  </si>
  <si>
    <t>172.20.12.89</t>
  </si>
  <si>
    <t>172.20.11.36</t>
  </si>
  <si>
    <t>172.20.11.32</t>
  </si>
  <si>
    <t>172.20.11.34</t>
  </si>
  <si>
    <t>172.20.11.72</t>
  </si>
  <si>
    <t>172.20.11.83</t>
  </si>
  <si>
    <t>172.20.11.82</t>
  </si>
  <si>
    <t>172.20.11.81</t>
  </si>
  <si>
    <t>172.20.10.36</t>
  </si>
  <si>
    <t>172.20.10.40</t>
  </si>
  <si>
    <t>172.20.10.38</t>
  </si>
  <si>
    <t>172.20.11.19</t>
  </si>
  <si>
    <t>172.20.10.05</t>
  </si>
  <si>
    <t>172.20.11.24</t>
  </si>
  <si>
    <t>172.20.12.34</t>
  </si>
  <si>
    <t>172.20.11.27</t>
  </si>
  <si>
    <t>172.20.11.145</t>
  </si>
  <si>
    <t>172.20.11.146</t>
  </si>
  <si>
    <t>172.20.11.149</t>
  </si>
  <si>
    <t>172.20.11.196</t>
  </si>
  <si>
    <t>172.20.11.101</t>
  </si>
  <si>
    <t>172.20.10.18</t>
  </si>
  <si>
    <t>10.20.30.34</t>
  </si>
  <si>
    <t>172.20.10.39</t>
  </si>
  <si>
    <t>172.20.10.32</t>
  </si>
  <si>
    <t>172.20.11.28</t>
  </si>
  <si>
    <t>172.20.10.41</t>
  </si>
  <si>
    <t>172.20.10.42</t>
  </si>
  <si>
    <t>172.20.11.14</t>
  </si>
  <si>
    <t>172.20.200.147</t>
  </si>
  <si>
    <t>172.20.10.22</t>
  </si>
  <si>
    <t>172.20.10.45</t>
  </si>
  <si>
    <t>172.20.12.60</t>
  </si>
  <si>
    <t>172.20.12.63</t>
  </si>
  <si>
    <t>172.20.11.190</t>
  </si>
  <si>
    <t>172.20.12.70</t>
  </si>
  <si>
    <t>172.20.11.205</t>
  </si>
  <si>
    <t>172.20.11.206</t>
  </si>
  <si>
    <t>172.20.11.199</t>
  </si>
  <si>
    <t>172.20.11.200</t>
  </si>
  <si>
    <t>172.20.11.184</t>
  </si>
  <si>
    <t>172.20.11.185</t>
  </si>
  <si>
    <t>172.20.12.151</t>
  </si>
  <si>
    <t>172.20.12.152</t>
  </si>
  <si>
    <t>172.20.12.139</t>
  </si>
  <si>
    <t>172.20.12.140</t>
  </si>
  <si>
    <t>172.20.12.142</t>
  </si>
  <si>
    <t>172.20.12.143</t>
  </si>
  <si>
    <t>172.20.12.131</t>
  </si>
  <si>
    <t>172.20.12.137</t>
  </si>
  <si>
    <t>172.20.12.136</t>
  </si>
  <si>
    <t>172.20.12.148</t>
  </si>
  <si>
    <t>172.20.12.149</t>
  </si>
  <si>
    <t>172.20.12.101</t>
  </si>
  <si>
    <t>172.20.12.146</t>
  </si>
  <si>
    <t>172.20.12.145</t>
  </si>
  <si>
    <t>172.20.12.130</t>
  </si>
  <si>
    <t>172.20.12.133</t>
  </si>
  <si>
    <t>172.20.12.105</t>
  </si>
  <si>
    <t>172.20.12.106</t>
  </si>
  <si>
    <t>172.20.11.66</t>
  </si>
  <si>
    <t>172.20.11.67</t>
  </si>
  <si>
    <t>172.20.11.155</t>
  </si>
  <si>
    <t>172.20.11.156</t>
  </si>
  <si>
    <t>172.20.11.157</t>
  </si>
  <si>
    <t>172.20.11.158</t>
  </si>
  <si>
    <t>172.20.11.68</t>
  </si>
  <si>
    <t>172.20.11.167</t>
  </si>
  <si>
    <t>172.20.11.168</t>
  </si>
  <si>
    <t>172.20.11.69</t>
  </si>
  <si>
    <t>172.20.11.166</t>
  </si>
  <si>
    <t>172.20.12.31</t>
  </si>
  <si>
    <t>172.20.10.10</t>
  </si>
  <si>
    <t>172.20.10.100</t>
  </si>
  <si>
    <t>172.20.11.180</t>
  </si>
  <si>
    <t>172.20.11.181</t>
  </si>
  <si>
    <t>172.20.10.09</t>
  </si>
  <si>
    <t>172.20.12.109</t>
  </si>
  <si>
    <t>172.20.200.124</t>
  </si>
  <si>
    <t>172.20.11.90</t>
  </si>
  <si>
    <t>172.20.11.91</t>
  </si>
  <si>
    <t>172.20.11.92</t>
  </si>
  <si>
    <t>172.20.11.88</t>
  </si>
  <si>
    <t>172.20.11.89</t>
  </si>
  <si>
    <t>172.20.11.96</t>
  </si>
  <si>
    <t>172.20.11.97</t>
  </si>
  <si>
    <t>172.20.11.94</t>
  </si>
  <si>
    <t>172.20.11.95</t>
  </si>
  <si>
    <t>10.20.30.23</t>
  </si>
  <si>
    <t>10.20.30.24</t>
  </si>
  <si>
    <t>10.20.30.28</t>
  </si>
  <si>
    <t>172.20.11.203</t>
  </si>
  <si>
    <t>172.20.11.204</t>
  </si>
  <si>
    <t>172.20.11.150</t>
  </si>
  <si>
    <t>172.20.11.151</t>
  </si>
  <si>
    <t>172.20.200.160</t>
  </si>
  <si>
    <t>172.20.12.79</t>
  </si>
  <si>
    <t>172.20.11.60</t>
  </si>
  <si>
    <t>172.20.11.61</t>
  </si>
  <si>
    <t>172.20.11.192</t>
  </si>
  <si>
    <t>172.20.11.193</t>
  </si>
  <si>
    <t>172.20.11.194</t>
  </si>
  <si>
    <t>172.20.11.195</t>
  </si>
  <si>
    <t>10.20.30.130</t>
  </si>
  <si>
    <t>10.20.30.40</t>
  </si>
  <si>
    <t>10.20.30.21</t>
  </si>
  <si>
    <t>172.20.12.43</t>
  </si>
  <si>
    <t>172.20.12.45</t>
  </si>
  <si>
    <t>172.20.12.44</t>
  </si>
  <si>
    <t>10.20.30.30</t>
  </si>
  <si>
    <t>172.20.11.197</t>
  </si>
  <si>
    <t>172.20.11.143</t>
  </si>
  <si>
    <t>172.20.11.144</t>
  </si>
  <si>
    <t>172.20.11.207</t>
  </si>
  <si>
    <t>172.20.11.208</t>
  </si>
  <si>
    <t>172.20.11.152</t>
  </si>
  <si>
    <t>172.20.11.153</t>
  </si>
  <si>
    <t>172.20.12.213</t>
  </si>
  <si>
    <t>172.20.12.14</t>
  </si>
  <si>
    <t>172.20.12.20</t>
  </si>
  <si>
    <t>172.20.12.22</t>
  </si>
  <si>
    <t>172.20.12.21</t>
  </si>
  <si>
    <t>172.20.12.23</t>
  </si>
  <si>
    <t>172.20.12.24</t>
  </si>
  <si>
    <t>172.20.12.220</t>
  </si>
  <si>
    <t>172.20.12.217</t>
  </si>
  <si>
    <t>172.20.200.133</t>
  </si>
  <si>
    <t>10.20.30.33</t>
  </si>
  <si>
    <t>10.20.30.42</t>
  </si>
  <si>
    <t>10.20.30.43</t>
  </si>
  <si>
    <t>10.20.30.44</t>
  </si>
  <si>
    <t>10.20.30.45</t>
  </si>
  <si>
    <t>172.20.11.130</t>
  </si>
  <si>
    <t>172.20.11.211</t>
  </si>
  <si>
    <t>172.20.11.212</t>
  </si>
  <si>
    <t>172.20.11.209</t>
  </si>
  <si>
    <t>172.20.11.210</t>
  </si>
  <si>
    <t>172.20.10.34</t>
  </si>
  <si>
    <t>172.20.10.30</t>
  </si>
  <si>
    <t>172.20.10.11</t>
  </si>
  <si>
    <t>172.20.10.12</t>
  </si>
  <si>
    <t>172.20.10.28</t>
  </si>
  <si>
    <t>172.20.11.26</t>
  </si>
  <si>
    <t>172.20.12.25</t>
  </si>
  <si>
    <t>172.20.12.26</t>
  </si>
  <si>
    <t>172.20.12.27</t>
  </si>
  <si>
    <t>172.20.12.28</t>
  </si>
  <si>
    <t>172.20.12.127</t>
  </si>
  <si>
    <t>172.20.12.211</t>
  </si>
  <si>
    <t>172.20.12.71</t>
  </si>
  <si>
    <t>172.20.12.173</t>
  </si>
  <si>
    <t>172.20.12.74</t>
  </si>
  <si>
    <t>172.20.10.15</t>
  </si>
  <si>
    <t>172.20.10.52</t>
  </si>
  <si>
    <t>10.20.30.29</t>
  </si>
  <si>
    <t>172.20.11.142</t>
  </si>
  <si>
    <t>172.20.11.141</t>
  </si>
  <si>
    <t>172.20.11.140</t>
  </si>
  <si>
    <t>172.20.11.182</t>
  </si>
  <si>
    <t>172.20.11.183</t>
  </si>
  <si>
    <t>172.20.10.07</t>
  </si>
  <si>
    <t>172.20.10.08</t>
  </si>
  <si>
    <t>172.20.11.98</t>
  </si>
  <si>
    <t>172.20.11.99</t>
  </si>
  <si>
    <t>172.20.11.86</t>
  </si>
  <si>
    <t>172.20.12.15</t>
  </si>
  <si>
    <t>172.20.12.219</t>
  </si>
  <si>
    <t>172.20.11.64</t>
  </si>
  <si>
    <t>172.20.11.65</t>
  </si>
  <si>
    <t>172.20.11.159</t>
  </si>
  <si>
    <t>172.20.11.160</t>
  </si>
  <si>
    <t>172.20.11.161</t>
  </si>
  <si>
    <t>172.20.11.165</t>
  </si>
  <si>
    <t>172.20.11.162</t>
  </si>
  <si>
    <t>172.20.11.163</t>
  </si>
  <si>
    <t>172.20.11.164</t>
  </si>
  <si>
    <t>172.20.11.79</t>
  </si>
  <si>
    <t>172.20.11.80</t>
  </si>
  <si>
    <t>172.20.11.78</t>
  </si>
  <si>
    <t>172.20.11.175</t>
  </si>
  <si>
    <t>172.20.11.176</t>
  </si>
  <si>
    <t>172.20.11.177</t>
  </si>
  <si>
    <t>172.20.11.178</t>
  </si>
  <si>
    <t>172.20.11.63</t>
  </si>
  <si>
    <t>10.20.30.27</t>
  </si>
  <si>
    <t>10.20.30.31</t>
  </si>
  <si>
    <t>10.20.30.32</t>
  </si>
  <si>
    <t>SAN01</t>
  </si>
  <si>
    <t>SANTA ANA</t>
  </si>
  <si>
    <t>172.20.11.59</t>
  </si>
  <si>
    <t>172.20.11.58</t>
  </si>
  <si>
    <t>SIR 13</t>
  </si>
  <si>
    <t>AV MONTEVERDE Y URIBURU</t>
  </si>
  <si>
    <t>SIR 14</t>
  </si>
  <si>
    <t>MANUEL IGLESIAS Y PEDRAZA</t>
  </si>
  <si>
    <t>172.20.11.119</t>
  </si>
  <si>
    <t>172.20.11.120</t>
  </si>
  <si>
    <t>172.20.11.121</t>
  </si>
  <si>
    <t>172.20.11.122</t>
  </si>
  <si>
    <t>172.20.11.87</t>
  </si>
  <si>
    <t>172.20.11.100</t>
  </si>
  <si>
    <t>CANTIDAD</t>
  </si>
  <si>
    <t>%</t>
  </si>
  <si>
    <t>ALT 03</t>
  </si>
  <si>
    <t>ALT 04</t>
  </si>
  <si>
    <t>ALT 06</t>
  </si>
  <si>
    <t>ALT 08</t>
  </si>
  <si>
    <t>ALT 09</t>
  </si>
  <si>
    <t>ALT 10</t>
  </si>
  <si>
    <t>Calchaqui y Francia</t>
  </si>
  <si>
    <t>ARA 01</t>
  </si>
  <si>
    <t>BEL 01</t>
  </si>
  <si>
    <t>CEN 05</t>
  </si>
  <si>
    <t>CEN 12</t>
  </si>
  <si>
    <t>CEN 13</t>
  </si>
  <si>
    <t>CEN 37</t>
  </si>
  <si>
    <t>CEN 50</t>
  </si>
  <si>
    <t>CEN 51</t>
  </si>
  <si>
    <t>CEN 53</t>
  </si>
  <si>
    <t>CEN 65</t>
  </si>
  <si>
    <t>CEN 75</t>
  </si>
  <si>
    <t>25 DE MAYO Y CASTELLI</t>
  </si>
  <si>
    <t>CEN 76</t>
  </si>
  <si>
    <t>CEN59</t>
  </si>
  <si>
    <t>CEN62</t>
  </si>
  <si>
    <t>CEN63</t>
  </si>
  <si>
    <t>COL 03</t>
  </si>
  <si>
    <t>DJO 02 (fija 1)</t>
  </si>
  <si>
    <t>DJO 03 (fija 2)</t>
  </si>
  <si>
    <t>DJO 04 (Fija 1)</t>
  </si>
  <si>
    <t>MONTEVERDE Y EL INDIO</t>
  </si>
  <si>
    <t>DJO 05 (Fija 2)</t>
  </si>
  <si>
    <t>EPQ 01</t>
  </si>
  <si>
    <t>EPQ 02</t>
  </si>
  <si>
    <t>EPQ 03</t>
  </si>
  <si>
    <t>EPQ 04</t>
  </si>
  <si>
    <t>DAVINSON Y MORANCHEL</t>
  </si>
  <si>
    <t>ESM07</t>
  </si>
  <si>
    <t>INA 01</t>
  </si>
  <si>
    <t>INA 02</t>
  </si>
  <si>
    <t>INF 01</t>
  </si>
  <si>
    <t>KM 14 (fija 1)</t>
  </si>
  <si>
    <t>KM 15 (fija 2)</t>
  </si>
  <si>
    <t>KM 16 (fija 1)</t>
  </si>
  <si>
    <t>KM 17 (fija 2)</t>
  </si>
  <si>
    <t>KM08 / UPA 03</t>
  </si>
  <si>
    <t>KM09 / UPA 1</t>
  </si>
  <si>
    <t>LPI 01</t>
  </si>
  <si>
    <t>LPR 01</t>
  </si>
  <si>
    <t>LRO 05</t>
  </si>
  <si>
    <t>LRO 09</t>
  </si>
  <si>
    <t>LRO 10</t>
  </si>
  <si>
    <t>LRO 12 (fija 1)</t>
  </si>
  <si>
    <t>LRO 13 (fija 2)</t>
  </si>
  <si>
    <t>LRO01</t>
  </si>
  <si>
    <t>LUJ 01</t>
  </si>
  <si>
    <t>MAR 02 (FIJA1)</t>
  </si>
  <si>
    <t>LUJAN Y PATAGONES</t>
  </si>
  <si>
    <t>LAS MARGARITAS</t>
  </si>
  <si>
    <t>MAR 03(FIJA 2)</t>
  </si>
  <si>
    <t>MFI 01</t>
  </si>
  <si>
    <t>MFI 03</t>
  </si>
  <si>
    <t>MFI 05</t>
  </si>
  <si>
    <t>NJU 01</t>
  </si>
  <si>
    <t>PUNTO SEGURO - SAN FRANCISCO (domo)</t>
  </si>
  <si>
    <t>PUNTO SEGURO AGUSTIN RAMIREZ INTERCOMUNICADOR</t>
  </si>
  <si>
    <t>MALAMBO Y LA TRANQUERA</t>
  </si>
  <si>
    <t>1282 Y 1201</t>
  </si>
  <si>
    <t>DIAG LOS YAGANES Y 1148</t>
  </si>
  <si>
    <t>PUNTO SEGURO LUJAN INTERCOMUNICADOR</t>
  </si>
  <si>
    <t>DIAG LOS TILOS Y LOS ALGARROBOS</t>
  </si>
  <si>
    <t>PUNTO SEGURO PICO DE ORO INTERCOMUNICADOR</t>
  </si>
  <si>
    <t>PUNTO SEGURO SAN JORGE INTERCOMUNICADOR</t>
  </si>
  <si>
    <t>CALLE 554 Y 523</t>
  </si>
  <si>
    <t>PUNTO SEGURO SAN RUDECINDO INTERCOMUNICADOR</t>
  </si>
  <si>
    <t>SABTA SOFIA Y ALVAR NUÃ‘EZ</t>
  </si>
  <si>
    <t>PUNTO SEGURO SANTA ROSA INTERCOMUNICADOR</t>
  </si>
  <si>
    <t>Bruselas y sicilia</t>
  </si>
  <si>
    <t>PUNTO SEGURO VILLA ARGENTINA INTERCOMUNICADOR</t>
  </si>
  <si>
    <t>CALLE 513 Y DIAG PORTELA</t>
  </si>
  <si>
    <t>RCO02</t>
  </si>
  <si>
    <t>RRJ 05</t>
  </si>
  <si>
    <t>RRJ 06</t>
  </si>
  <si>
    <t>Constancio Vigil y Pablo Groussac</t>
  </si>
  <si>
    <t>RRJ 07</t>
  </si>
  <si>
    <t>Constancio Vigil y Estanislao del Campo</t>
  </si>
  <si>
    <t>RRJ 08</t>
  </si>
  <si>
    <t>Constancio Vigil y Pablo Podesta</t>
  </si>
  <si>
    <t>RRJ 09</t>
  </si>
  <si>
    <t>Constancio Vigil y Jose Ingeniero</t>
  </si>
  <si>
    <t>RRJ01</t>
  </si>
  <si>
    <t>RRJ02</t>
  </si>
  <si>
    <t>SAN 02</t>
  </si>
  <si>
    <t>HUDSON Y SUIPACHA</t>
  </si>
  <si>
    <t>SAR 02 (fija 1)</t>
  </si>
  <si>
    <t>SAR 03 (fija 2)</t>
  </si>
  <si>
    <t>SAR 04</t>
  </si>
  <si>
    <t>MONTES DE OCA Y ALVARADO</t>
  </si>
  <si>
    <t>SAR 05</t>
  </si>
  <si>
    <t>ALVARADO Y ROCHA</t>
  </si>
  <si>
    <t>SEMI 02</t>
  </si>
  <si>
    <t>SIR 15</t>
  </si>
  <si>
    <t>Monteverde y Azara</t>
  </si>
  <si>
    <t>SJO 09 (FIJA 1)</t>
  </si>
  <si>
    <t>515 Y 566</t>
  </si>
  <si>
    <t>SJO 10 (FIJA 2)</t>
  </si>
  <si>
    <t>SNI 03 (fija 1)</t>
  </si>
  <si>
    <t>SNI 04 (fija 2)</t>
  </si>
  <si>
    <t>SRO 04</t>
  </si>
  <si>
    <t>SRO 11</t>
  </si>
  <si>
    <t>SRO 13 (fija 1)</t>
  </si>
  <si>
    <t>SRO 14 (fija 2)</t>
  </si>
  <si>
    <t>SRO 18 (fija 1)</t>
  </si>
  <si>
    <t>SRO 19 (fija 2)</t>
  </si>
  <si>
    <t>Yugoslavia y MilÃ¡n</t>
  </si>
  <si>
    <t>SRO05</t>
  </si>
  <si>
    <t>SRO06</t>
  </si>
  <si>
    <t>SRO07</t>
  </si>
  <si>
    <t>SRO09</t>
  </si>
  <si>
    <t>SRO10</t>
  </si>
  <si>
    <t>SRO16 (fija 1)</t>
  </si>
  <si>
    <t>SRO17 (fija 2)</t>
  </si>
  <si>
    <t>VANG 09</t>
  </si>
  <si>
    <t>VAR 08 (fija 1)</t>
  </si>
  <si>
    <t>VAR 09 (fija 2)</t>
  </si>
  <si>
    <t>VAT 10</t>
  </si>
  <si>
    <t>VAT 14</t>
  </si>
  <si>
    <t>VAT 21 (fija 1)</t>
  </si>
  <si>
    <t>VAT 22 (fija 2)</t>
  </si>
  <si>
    <t>VAT12</t>
  </si>
  <si>
    <t>VAT13</t>
  </si>
  <si>
    <t>VAT18</t>
  </si>
  <si>
    <t>VAT19</t>
  </si>
  <si>
    <t>VAU 01</t>
  </si>
  <si>
    <t>VAU 02</t>
  </si>
  <si>
    <t>VHS 03 (fija 1)</t>
  </si>
  <si>
    <t>VHS 04 (fija 2)</t>
  </si>
  <si>
    <t>VLA 01 (fija 1)</t>
  </si>
  <si>
    <t>VLA 02</t>
  </si>
  <si>
    <t>VMO 03 (fija 1)</t>
  </si>
  <si>
    <t>VMO 04 (fija 2)</t>
  </si>
  <si>
    <t>VMO 05</t>
  </si>
  <si>
    <t>VMOV 02 (fija 2)</t>
  </si>
  <si>
    <t>VMOV 03 (fija 1)</t>
  </si>
  <si>
    <t>VSU01</t>
  </si>
  <si>
    <t>PTO A FO</t>
  </si>
  <si>
    <t>Fija 2</t>
  </si>
  <si>
    <t>Fija 1</t>
  </si>
  <si>
    <t>172.20.11.135</t>
  </si>
  <si>
    <t>172.20.10.4</t>
  </si>
  <si>
    <t>[Empresa Mantenimiento]</t>
  </si>
  <si>
    <t>BONOMO</t>
  </si>
  <si>
    <t>COSEIDI</t>
  </si>
  <si>
    <t>172.20.11.235</t>
  </si>
  <si>
    <t>Peron y España</t>
  </si>
  <si>
    <t>España y Marmol</t>
  </si>
  <si>
    <t>España y 9 de Julio</t>
  </si>
  <si>
    <t>Eva Peron y Lavalle</t>
  </si>
  <si>
    <t>Eva Peron y Pueyrredon</t>
  </si>
  <si>
    <t>CAMARAS</t>
  </si>
  <si>
    <t>APAGADAS BONOMO</t>
  </si>
  <si>
    <t>APAGADAS COSEIDI</t>
  </si>
  <si>
    <t>% BONOMO</t>
  </si>
  <si>
    <t>% COSEIDI</t>
  </si>
  <si>
    <t>Monteagudo y Pte. Peron</t>
  </si>
  <si>
    <t>San Martin y Pte.Peron</t>
  </si>
  <si>
    <t>San Martin y Guemes</t>
  </si>
  <si>
    <t>ESPAÑA E/MITRE Y BOCUZZI</t>
  </si>
  <si>
    <t>Pte.Peron e/Pringles y Brown</t>
  </si>
  <si>
    <t>Sallares y España</t>
  </si>
  <si>
    <t>Bocuzzi e/España y San Martin</t>
  </si>
  <si>
    <t>Mitre y España</t>
  </si>
  <si>
    <t>San Juan y España</t>
  </si>
  <si>
    <t>Aristobulo del Valle y España</t>
  </si>
  <si>
    <t>ESPAÑA Y ALEM</t>
  </si>
  <si>
    <t>Maipu y Posadas</t>
  </si>
  <si>
    <t>Las Americas y Braile</t>
  </si>
  <si>
    <t>ñandu y Los Pinos</t>
  </si>
  <si>
    <t>Eva Peron y Cabildo</t>
  </si>
  <si>
    <t>CHAÑAR Y URUGUAY</t>
  </si>
  <si>
    <t>Eva Peron y 12 de Octubre</t>
  </si>
  <si>
    <t>Rio Carapachay y Oroño</t>
  </si>
  <si>
    <t>EVA PERON E/ OROÑO Y 734 A</t>
  </si>
  <si>
    <t>Eva Peron y Monseñor de las Casas</t>
  </si>
  <si>
    <t>VAR12</t>
  </si>
  <si>
    <t>Calle 527 y Portela</t>
  </si>
  <si>
    <t>172.20.11.237</t>
  </si>
  <si>
    <t>Calle 527 y 532</t>
  </si>
  <si>
    <t>172.20.11.238</t>
  </si>
  <si>
    <t>VAR13</t>
  </si>
  <si>
    <t>VAR14</t>
  </si>
  <si>
    <t>Pportela y 517</t>
  </si>
  <si>
    <t>172.20.11.239</t>
  </si>
  <si>
    <t>SANTA SOFIA Y LUIS AGOTE</t>
  </si>
  <si>
    <t>SRU03</t>
  </si>
  <si>
    <t xml:space="preserve">172.20.11.154 </t>
  </si>
  <si>
    <t>OROÑO Y EVA PERON</t>
  </si>
  <si>
    <t>Monteagudo e/ Mitre y Boccuzzi</t>
  </si>
  <si>
    <t>CEN 77</t>
  </si>
  <si>
    <t>172.20.11.241</t>
  </si>
  <si>
    <t>CEN 79</t>
  </si>
  <si>
    <t>CEN 80</t>
  </si>
  <si>
    <t>Diag. Constituyente y Brown</t>
  </si>
  <si>
    <t>fija</t>
  </si>
  <si>
    <t>VSU 04</t>
  </si>
  <si>
    <t>VSU 05</t>
  </si>
  <si>
    <t>Aniceto Diaz y Cordoba</t>
  </si>
  <si>
    <t>CEN 78</t>
  </si>
  <si>
    <t>172.20.11.240</t>
  </si>
  <si>
    <t>172.20.11.243</t>
  </si>
  <si>
    <t>172.20.11.244</t>
  </si>
  <si>
    <t>172.20.11.47</t>
  </si>
  <si>
    <t>172.20.11.48</t>
  </si>
  <si>
    <t>SAN MARTIN</t>
  </si>
  <si>
    <t>SMA 08</t>
  </si>
  <si>
    <t>12 De Octubre y H. Lagos</t>
  </si>
  <si>
    <t>Necochea y Lorenzini</t>
  </si>
  <si>
    <t>Necochea y Montes de Oca</t>
  </si>
  <si>
    <t>Calle 414 y El Indio</t>
  </si>
  <si>
    <t>SAR 06</t>
  </si>
  <si>
    <t>SAR 07</t>
  </si>
  <si>
    <t>SAR 08</t>
  </si>
  <si>
    <t>SAR 09</t>
  </si>
  <si>
    <t>DJ O6</t>
  </si>
  <si>
    <t>DJ 07</t>
  </si>
  <si>
    <t>172.20.11.228</t>
  </si>
  <si>
    <t>172.20.11.229</t>
  </si>
  <si>
    <t>172.20.11.247</t>
  </si>
  <si>
    <t>172.20.11.248</t>
  </si>
  <si>
    <t>172.20.11.54</t>
  </si>
  <si>
    <t>172.20.11.55</t>
  </si>
  <si>
    <t>172.20.12.121</t>
  </si>
  <si>
    <t>172.20.12.122</t>
  </si>
  <si>
    <t>SMA 09</t>
  </si>
  <si>
    <t>VAT 25</t>
  </si>
  <si>
    <t>VAT 26</t>
  </si>
  <si>
    <t>Mainini y Uruguay</t>
  </si>
  <si>
    <t>172.20.11.37</t>
  </si>
  <si>
    <t>172.20.11.38</t>
  </si>
  <si>
    <t>Basualdo y Lieja</t>
  </si>
  <si>
    <t>172.20.11.51</t>
  </si>
  <si>
    <t>172.20.11.52</t>
  </si>
  <si>
    <t>Barzi y Serrano</t>
  </si>
  <si>
    <t>172.20.11.56</t>
  </si>
  <si>
    <t>172.20.11.57</t>
  </si>
  <si>
    <t>FADER Y DIAGONAL LOS POETAS</t>
  </si>
  <si>
    <t>LUGONES Y OBLIGADO</t>
  </si>
  <si>
    <t>172.20.11.39</t>
  </si>
  <si>
    <t>172.20.11.127</t>
  </si>
  <si>
    <t>172.20.11.128</t>
  </si>
  <si>
    <t>BENAVENTE Y LUIS AGOTE</t>
  </si>
  <si>
    <t>LUIS AGOTE E/DANUNCIO Y CAMPOAMOR</t>
  </si>
  <si>
    <t>LUIS AGOTE Y RUTA 36</t>
  </si>
  <si>
    <t>172.20.11.13</t>
  </si>
  <si>
    <t>172.20.11.15</t>
  </si>
  <si>
    <t>172.20.11.16</t>
  </si>
  <si>
    <t>172.20.11.17</t>
  </si>
  <si>
    <t>172.20.11.18</t>
  </si>
  <si>
    <t>ESM 14</t>
  </si>
  <si>
    <t>ESM 13</t>
  </si>
  <si>
    <t>172.20.11.113</t>
  </si>
  <si>
    <t>ESM 15</t>
  </si>
  <si>
    <t>ESM 16</t>
  </si>
  <si>
    <t>RRJ 10</t>
  </si>
  <si>
    <t>RRJ 11</t>
  </si>
  <si>
    <t>BOSQC 04</t>
  </si>
  <si>
    <t>BOSQC 03</t>
  </si>
  <si>
    <t>BOSQC 01</t>
  </si>
  <si>
    <t>BOSQC 02</t>
  </si>
  <si>
    <t>BOSQC 05</t>
  </si>
  <si>
    <t>BOSQC 06</t>
  </si>
  <si>
    <t>CEN 81</t>
  </si>
  <si>
    <t>172.20.11.242</t>
  </si>
  <si>
    <t>LIBER 01</t>
  </si>
  <si>
    <t>511 Y 574 FIJA 01</t>
  </si>
  <si>
    <t>LIBER 02</t>
  </si>
  <si>
    <t>511 Y 574 FIJA 02</t>
  </si>
  <si>
    <t>VANG10</t>
  </si>
  <si>
    <t>Senzabello y Braile</t>
  </si>
  <si>
    <t>172.20.11.245</t>
  </si>
  <si>
    <t>VANG11</t>
  </si>
  <si>
    <t>172.20.11.246</t>
  </si>
  <si>
    <t>RRJ 12</t>
  </si>
  <si>
    <t>BOSQUES CENTRO</t>
  </si>
  <si>
    <t>CEN83</t>
  </si>
  <si>
    <t>RECONQUISTA Y 25 DE MAYO</t>
  </si>
  <si>
    <t>172.20.11.123</t>
  </si>
  <si>
    <t>CEN 82</t>
  </si>
  <si>
    <t>DORREGO Y BOUREL</t>
  </si>
  <si>
    <t>172.20.11.198</t>
  </si>
  <si>
    <t>VSU 06</t>
  </si>
  <si>
    <t>EE.UU Y BROWN</t>
  </si>
  <si>
    <t>172.20.11.111</t>
  </si>
  <si>
    <t>12 DE OCTUBRE Y ROSARIO</t>
  </si>
  <si>
    <t>172.20.11.227</t>
  </si>
  <si>
    <t>BRAILE Y FINOCCHIETTO</t>
  </si>
  <si>
    <t>172.20.11.179</t>
  </si>
  <si>
    <t>VAT 27</t>
  </si>
  <si>
    <t>PUNTO SEGURO- SAN RUDECINDO (domo)</t>
  </si>
  <si>
    <t>SANTA SOFIA Y ALVAR NUÑEZ</t>
  </si>
  <si>
    <t>LRO15</t>
  </si>
  <si>
    <t>172.20.10.63</t>
  </si>
  <si>
    <t>172.20.12.156</t>
  </si>
  <si>
    <t>172.20.11.114</t>
  </si>
  <si>
    <t>172.20.12.91</t>
  </si>
  <si>
    <t>172.20.12.92</t>
  </si>
  <si>
    <t>172.20.11.213</t>
  </si>
  <si>
    <t>172.20.11.214</t>
  </si>
  <si>
    <t>172.20.11.93</t>
  </si>
  <si>
    <t>172.20.11.107</t>
  </si>
  <si>
    <t>VANG12</t>
  </si>
  <si>
    <t>VANG13</t>
  </si>
  <si>
    <t>CEN 84</t>
  </si>
  <si>
    <t>25 DE MAYO Y MAIPU</t>
  </si>
  <si>
    <t>CEN 85</t>
  </si>
  <si>
    <t>PTE PERON E/ PRINGLES Y BROWN</t>
  </si>
  <si>
    <t>COL 04</t>
  </si>
  <si>
    <t>EVA PERON Y SAVIO</t>
  </si>
  <si>
    <t>PULPERIA Y EL ALJIBE</t>
  </si>
  <si>
    <t>KM 18</t>
  </si>
  <si>
    <t>MCUD 01</t>
  </si>
  <si>
    <t>TINOGASTA Y SAN LORENZO</t>
  </si>
  <si>
    <t>SAR 10</t>
  </si>
  <si>
    <t>SENZABELLO Y TINOGASTA</t>
  </si>
  <si>
    <t>SAR 11</t>
  </si>
  <si>
    <t>SENSABELLO Y BRAILLE</t>
  </si>
  <si>
    <t>TAPALQUE E/ BOLIVAR Y GORRITI</t>
  </si>
  <si>
    <t>172.20.10.75</t>
  </si>
  <si>
    <t>172.20.10.74</t>
  </si>
  <si>
    <t>172.20.10.77</t>
  </si>
  <si>
    <t>172.20.10.76</t>
  </si>
  <si>
    <t>TOTAL</t>
  </si>
  <si>
    <t>LLEGAMOS NOSOTROS</t>
  </si>
  <si>
    <t>NO ESTA LA CAMARA</t>
  </si>
  <si>
    <t>MFI 07</t>
  </si>
  <si>
    <t>Sargento Cabral y Carlos Gardel</t>
  </si>
  <si>
    <t>172.20.10.104</t>
  </si>
  <si>
    <t>Destino</t>
  </si>
  <si>
    <t>TORRE VILLA ARGENTINA</t>
  </si>
  <si>
    <t>NECOCHEA Y GALARZA</t>
  </si>
  <si>
    <t>CABRAL Y CALCHAQUI</t>
  </si>
  <si>
    <t>SAN MARTIN Y SALLARES</t>
  </si>
  <si>
    <t>SAN MARTIN Y ALEM</t>
  </si>
  <si>
    <t>MONTEVIDEO Y CHAÑAR</t>
  </si>
  <si>
    <t>SALLARES Y PARRILLO</t>
  </si>
  <si>
    <t>MONTEVIDEO Y ALSINA</t>
  </si>
  <si>
    <t>CALCHAQUI Y BALCARCE</t>
  </si>
  <si>
    <t>STORNI Y THEVENET</t>
  </si>
  <si>
    <t>12 DE OCTUBRE Y FLORIDA</t>
  </si>
  <si>
    <t>BELGRANO Y QUINTANA</t>
  </si>
  <si>
    <t>MONTEVIDEO Y URUGUAY</t>
  </si>
  <si>
    <t>LAVALLE Y BELGRANO</t>
  </si>
  <si>
    <t>RUTA 36 Y THEVENET</t>
  </si>
  <si>
    <t xml:space="preserve">SEMI05 </t>
  </si>
  <si>
    <t xml:space="preserve">Av Del Trabajo y Carlos Gardel </t>
  </si>
  <si>
    <t>172.20.10.116</t>
  </si>
  <si>
    <t xml:space="preserve">SAN MARTIN </t>
  </si>
  <si>
    <t>BEL 02</t>
  </si>
  <si>
    <t>Guardia vieja y Fronteriz</t>
  </si>
  <si>
    <t>10.20.30.51</t>
  </si>
  <si>
    <t>10.20.30.52</t>
  </si>
  <si>
    <t>172.20.10.78</t>
  </si>
  <si>
    <t>172.20.12.153</t>
  </si>
  <si>
    <t>172.20.12.141</t>
  </si>
  <si>
    <t>172.20.12.144</t>
  </si>
  <si>
    <t>172.20.12.138</t>
  </si>
  <si>
    <t>172.20.12.150</t>
  </si>
  <si>
    <t>172.20.12.103</t>
  </si>
  <si>
    <t>172.20.12.107</t>
  </si>
  <si>
    <t>172.20.12.147</t>
  </si>
  <si>
    <t>10.20.30.49</t>
  </si>
  <si>
    <t>172.20.11.186</t>
  </si>
  <si>
    <t>172.20.11.187</t>
  </si>
  <si>
    <t>MFI 08</t>
  </si>
  <si>
    <t>Braile y Batalla de Callao</t>
  </si>
  <si>
    <t>SRO21</t>
  </si>
  <si>
    <t>NOVAK Y BONN</t>
  </si>
  <si>
    <t>SRO20</t>
  </si>
  <si>
    <t>172.20.10.111</t>
  </si>
  <si>
    <t>172.20.10.112</t>
  </si>
  <si>
    <t>PUNTO SEGURO VILLA ARGENTINA domo</t>
  </si>
  <si>
    <t>PUNTO SEGURO VILLA ARGENTINA fija</t>
  </si>
  <si>
    <t>172.20.12.132</t>
  </si>
  <si>
    <t>PUNTO SEGURO - ING ALLAN INTERCOMUNICADOR</t>
  </si>
  <si>
    <t>PUNTO SEGURO - EL PARQUE INTERCOMUNICADOR</t>
  </si>
  <si>
    <t>RRJ 13</t>
  </si>
  <si>
    <t>LUJAN Y DIAGONAL LOS POETAS</t>
  </si>
  <si>
    <t>172.20.10.106</t>
  </si>
  <si>
    <t>CEN 86</t>
  </si>
  <si>
    <t>INTERCOMUNICADOR</t>
  </si>
  <si>
    <t>GPON</t>
  </si>
  <si>
    <t>PARADAS SEGURAS</t>
  </si>
  <si>
    <t>TOTAL PARADAS</t>
  </si>
  <si>
    <t>TOTAL DE CAMARAS EN PARADAS</t>
  </si>
  <si>
    <t>TOTAL DE CAMARAS</t>
  </si>
  <si>
    <t>TOTAL DE INTERCOMUNICADORES</t>
  </si>
  <si>
    <t>GFIJA</t>
  </si>
  <si>
    <t>FIJAS</t>
  </si>
  <si>
    <t>172.20.10.98</t>
  </si>
  <si>
    <t>172.20.11.169</t>
  </si>
  <si>
    <t>172.20.10.95</t>
  </si>
  <si>
    <t>VDPL07</t>
  </si>
  <si>
    <t>SMAT01</t>
  </si>
  <si>
    <t xml:space="preserve">AV BOSQUES Y CANTU </t>
  </si>
  <si>
    <t>172.20.12.177</t>
  </si>
  <si>
    <t>MCUD 02</t>
  </si>
  <si>
    <t>DORIO1</t>
  </si>
  <si>
    <t>AV Bosques Y Theran</t>
  </si>
  <si>
    <t>CALLE 115 A Y 158</t>
  </si>
  <si>
    <t>MONTE CUDINE</t>
  </si>
  <si>
    <t>Bruselas y Calle 647</t>
  </si>
  <si>
    <t>172.20.10.94</t>
  </si>
  <si>
    <t>LPI05</t>
  </si>
  <si>
    <t>CEN87</t>
  </si>
  <si>
    <t>25 DE MAYO Y NEWBERY</t>
  </si>
  <si>
    <t>172.20.10.118</t>
  </si>
  <si>
    <t>PAGANI Y RIVADAVIA</t>
  </si>
  <si>
    <t>172.20.10.178</t>
  </si>
  <si>
    <t>DON ORIONE</t>
  </si>
  <si>
    <t>172.20.12.16</t>
  </si>
  <si>
    <t>172.20.12.83</t>
  </si>
  <si>
    <t>172.20.12.178</t>
  </si>
  <si>
    <t>DORI02</t>
  </si>
  <si>
    <t>QUINQUELA MARTIN Y AV BOSQUES</t>
  </si>
  <si>
    <t>ROT01</t>
  </si>
  <si>
    <t xml:space="preserve">ROTONDA DE ALPARGATAS </t>
  </si>
  <si>
    <t>GORRITI NORTE</t>
  </si>
  <si>
    <t>74 C</t>
  </si>
  <si>
    <t>74 I</t>
  </si>
  <si>
    <t>VANG14</t>
  </si>
  <si>
    <t>3120 E/THEVENET Y 158</t>
  </si>
  <si>
    <t>NJU10</t>
  </si>
  <si>
    <t>BOCUZZI Y BARO</t>
  </si>
  <si>
    <t>VDPL01</t>
  </si>
  <si>
    <t>Abrahan y Delgado</t>
  </si>
  <si>
    <t>172.20.10.19</t>
  </si>
  <si>
    <t>BOSQC 07</t>
  </si>
  <si>
    <t>Touring club y Sta Teresita</t>
  </si>
  <si>
    <t>PAVE01</t>
  </si>
  <si>
    <t>Touring Club y Ramallo</t>
  </si>
  <si>
    <t>172.20.10.119</t>
  </si>
  <si>
    <t>VANG15</t>
  </si>
  <si>
    <t>SJU02</t>
  </si>
  <si>
    <t>Av Bosques y Touring Club</t>
  </si>
  <si>
    <t>172.20.10.141</t>
  </si>
  <si>
    <t>172.20.10.169</t>
  </si>
  <si>
    <t>172.20.10.117</t>
  </si>
  <si>
    <t>172.20.10.130</t>
  </si>
  <si>
    <t xml:space="preserve">STORNI Y ESPOSOS CURIE </t>
  </si>
  <si>
    <t>172.20.12.182</t>
  </si>
  <si>
    <t xml:space="preserve"> </t>
  </si>
  <si>
    <t>172.20.10.167</t>
  </si>
  <si>
    <t>172.20.10.170</t>
  </si>
  <si>
    <t>172.20.10.171</t>
  </si>
  <si>
    <t>172.20.10.154</t>
  </si>
  <si>
    <t>172.20.10.162</t>
  </si>
  <si>
    <t>172.20.10.173</t>
  </si>
  <si>
    <t>172.20.10.153</t>
  </si>
  <si>
    <t>172.20.10.168</t>
  </si>
  <si>
    <t>172.20.10.172</t>
  </si>
  <si>
    <t>172.20.10.155</t>
  </si>
  <si>
    <t>172.20.10.156</t>
  </si>
  <si>
    <t>172.20.10.157</t>
  </si>
  <si>
    <t>172.20.10.158</t>
  </si>
  <si>
    <t>172.20.10.159</t>
  </si>
  <si>
    <t>172.20.10.161</t>
  </si>
  <si>
    <t>172.20.10.163</t>
  </si>
  <si>
    <t>172.20.10.164</t>
  </si>
  <si>
    <t>172.20.10.165</t>
  </si>
  <si>
    <t>ROT02</t>
  </si>
  <si>
    <t>ROT03</t>
  </si>
  <si>
    <t>ROT04</t>
  </si>
  <si>
    <t>CALCHAQUÍ Y AZURDUY</t>
  </si>
  <si>
    <t>CALCHAQUÍ Y AZURDUY FIJA 1</t>
  </si>
  <si>
    <t>CALCHAQUÍ Y AZURDUY FIJA 2</t>
  </si>
  <si>
    <t>RRJ 14</t>
  </si>
  <si>
    <t>RRJ 15</t>
  </si>
  <si>
    <t>RRJ 16</t>
  </si>
  <si>
    <t> Constancio Vigil y Ruta 36 Domo</t>
  </si>
  <si>
    <t>Constancio Vigil y Ruta 36 fija</t>
  </si>
  <si>
    <t>Constancio Vigil y Lujan</t>
  </si>
  <si>
    <t>172.20.11.232</t>
  </si>
  <si>
    <t>172.20.10.191</t>
  </si>
  <si>
    <t>172.20.10.192</t>
  </si>
  <si>
    <t>172.20.10.210</t>
  </si>
  <si>
    <t>172.20.10.211</t>
  </si>
  <si>
    <t>172.20.10.212</t>
  </si>
  <si>
    <t>10.20.30.35</t>
  </si>
  <si>
    <t>10.20.30.50</t>
  </si>
  <si>
    <t>PAVE02</t>
  </si>
  <si>
    <t xml:space="preserve">Ramallo y Calingasta </t>
  </si>
  <si>
    <t>172.20.10.37</t>
  </si>
  <si>
    <t>SJU03</t>
  </si>
  <si>
    <t>Ruta 36 y Av.Bosques</t>
  </si>
  <si>
    <t>172.20.10.53</t>
  </si>
  <si>
    <t>172.20.10.66</t>
  </si>
  <si>
    <t>172.20.10.68</t>
  </si>
  <si>
    <t>172.20.10.70</t>
  </si>
  <si>
    <t>172.0.10.72</t>
  </si>
  <si>
    <t>172.20.10.127</t>
  </si>
  <si>
    <t>172.20.10.133</t>
  </si>
  <si>
    <t>172.20.10.136</t>
  </si>
  <si>
    <t>172.20.10.138</t>
  </si>
  <si>
    <t>172.20.10.139</t>
  </si>
  <si>
    <t>172.20.10.140</t>
  </si>
  <si>
    <t>172.20.10.150</t>
  </si>
  <si>
    <t>CEN88</t>
  </si>
  <si>
    <t>172.20.10.151</t>
  </si>
  <si>
    <t>LPI06</t>
  </si>
  <si>
    <t>EEUU e/Ayacucho y Newbery</t>
  </si>
  <si>
    <t>172.20.10.152</t>
  </si>
  <si>
    <t>172.20.10.160</t>
  </si>
  <si>
    <t>172.20.10.166</t>
  </si>
  <si>
    <t>172.20.10.174</t>
  </si>
  <si>
    <t>172.20.10.175</t>
  </si>
  <si>
    <t>172.20.10.176</t>
  </si>
  <si>
    <t>172.20.10.177</t>
  </si>
  <si>
    <t>172.20.10.182</t>
  </si>
  <si>
    <t>172.20.10.183</t>
  </si>
  <si>
    <t>172.20.10.185</t>
  </si>
  <si>
    <t>172.20.10.187</t>
  </si>
  <si>
    <t>172.20.10.188</t>
  </si>
  <si>
    <t>172.20.10.189</t>
  </si>
  <si>
    <t>172.20.10,190</t>
  </si>
  <si>
    <t>172.20.10,197</t>
  </si>
  <si>
    <t>172.20.10,199</t>
  </si>
  <si>
    <t>SIR 16</t>
  </si>
  <si>
    <t>SIR 17</t>
  </si>
  <si>
    <t>SIR 18</t>
  </si>
  <si>
    <t>Las Heras y Finochietto</t>
  </si>
  <si>
    <t>172.20,10,213</t>
  </si>
  <si>
    <t>172.20.11.04</t>
  </si>
  <si>
    <t>172.20.11.33</t>
  </si>
  <si>
    <t>172.20.11.49</t>
  </si>
  <si>
    <t>z</t>
  </si>
  <si>
    <t>172.20.10.144</t>
  </si>
  <si>
    <t>ZEB 06</t>
  </si>
  <si>
    <t>Peron e/Ituzaingo y Buenos Aires</t>
  </si>
  <si>
    <t xml:space="preserve">Quinquela Martn y 861 </t>
  </si>
  <si>
    <t>ZEB 07 (Fija 1)</t>
  </si>
  <si>
    <t>ZEB 08 (Fija 2)</t>
  </si>
  <si>
    <t>Quinquela Martin y 861</t>
  </si>
  <si>
    <t>172.20.10.58</t>
  </si>
  <si>
    <t>172.20.10.79</t>
  </si>
  <si>
    <t>172.20.10.99</t>
  </si>
  <si>
    <t>Azurduy y Vergara</t>
  </si>
  <si>
    <t>CAR01 (Fija 1)</t>
  </si>
  <si>
    <t>LA CAROLINA 2</t>
  </si>
  <si>
    <t>CAR02 (Fija 2)</t>
  </si>
  <si>
    <t>172.20.10.60</t>
  </si>
  <si>
    <t>172.20.10.73</t>
  </si>
  <si>
    <t>172.20.10.209</t>
  </si>
  <si>
    <t>VHS 02</t>
  </si>
  <si>
    <t>APAGADAS</t>
  </si>
  <si>
    <t>APAGADOS FIBRA</t>
  </si>
  <si>
    <t>APAGADOS RADIO</t>
  </si>
  <si>
    <t>APAGADOS ANTENA</t>
  </si>
  <si>
    <t>S</t>
  </si>
  <si>
    <t>O</t>
  </si>
  <si>
    <t>N</t>
  </si>
  <si>
    <t>P</t>
  </si>
  <si>
    <t>Q</t>
  </si>
  <si>
    <t>R</t>
  </si>
  <si>
    <t>T</t>
  </si>
  <si>
    <t>U</t>
  </si>
  <si>
    <t>L</t>
  </si>
  <si>
    <t>M</t>
  </si>
  <si>
    <t>F</t>
  </si>
  <si>
    <t>G</t>
  </si>
  <si>
    <t>172.20.12.37</t>
  </si>
  <si>
    <t>CEN45 (fija 2)</t>
  </si>
  <si>
    <t>CEN46 (fija 1)</t>
  </si>
  <si>
    <t>172.20.12.35</t>
  </si>
  <si>
    <t>172.20.12.223</t>
  </si>
  <si>
    <t>172.20.10.109</t>
  </si>
  <si>
    <t>GRANADEROS e/San Martin Y España</t>
  </si>
  <si>
    <t>CEN90 Fija 1</t>
  </si>
  <si>
    <t>172.20.12.193</t>
  </si>
  <si>
    <t xml:space="preserve">Granaderos e/San martin y España </t>
  </si>
  <si>
    <t xml:space="preserve">CEN91 </t>
  </si>
  <si>
    <t>172.20.12.194</t>
  </si>
  <si>
    <t xml:space="preserve">Solis y Guemes </t>
  </si>
  <si>
    <t>MON05 Fija 1</t>
  </si>
  <si>
    <t>172.20.12.195</t>
  </si>
  <si>
    <t>MON06 Fija 2</t>
  </si>
  <si>
    <t>172.20.11.110</t>
  </si>
  <si>
    <t>172.20.12.186</t>
  </si>
  <si>
    <t>172.20.10.203</t>
  </si>
  <si>
    <t>172.20.10.179</t>
  </si>
  <si>
    <t>172.20.12.196</t>
  </si>
  <si>
    <t>172.20.10.215</t>
  </si>
  <si>
    <t>172.20.10.216</t>
  </si>
  <si>
    <t>172.20.10.214</t>
  </si>
  <si>
    <t>172.20.10.184</t>
  </si>
  <si>
    <t>172.20.10.180</t>
  </si>
  <si>
    <t>172.20.11.85</t>
  </si>
  <si>
    <t>172.20.10.181</t>
  </si>
  <si>
    <t>CEN89</t>
  </si>
  <si>
    <t>Gutierrez e Ituzaingo</t>
  </si>
  <si>
    <t>CVA01</t>
  </si>
  <si>
    <t>CACHEUTA Y 1355</t>
  </si>
  <si>
    <t>172.20.10.59</t>
  </si>
  <si>
    <t>172.20.10.147</t>
  </si>
  <si>
    <t>ESM 17</t>
  </si>
  <si>
    <t>Plaza La Esmeralda</t>
  </si>
  <si>
    <t>172.20.10.110</t>
  </si>
  <si>
    <t>172.20.10.113</t>
  </si>
  <si>
    <t>LDM 04</t>
  </si>
  <si>
    <t>PLAZA LOMAS DE MONTEVERDE</t>
  </si>
  <si>
    <t>172.20.12.224</t>
  </si>
  <si>
    <t>Diagonal Constitucion Y ALEM</t>
  </si>
  <si>
    <t>CEN92</t>
  </si>
  <si>
    <t>Las Heras y Urquiza</t>
  </si>
  <si>
    <t>172.20.12.232</t>
  </si>
  <si>
    <t>CEN93</t>
  </si>
  <si>
    <t>Tte.Gral Peron -Plaza Calegari</t>
  </si>
  <si>
    <t>172.20.12.234</t>
  </si>
  <si>
    <t>ALT 11</t>
  </si>
  <si>
    <t>CALCHAQUÍ Y GALARZA FIJA</t>
  </si>
  <si>
    <t>172.20.12.241</t>
  </si>
  <si>
    <t>Plaza CentraL</t>
  </si>
  <si>
    <t>VAT 28</t>
  </si>
  <si>
    <t>Mainini e/Montevideo y Uruuay</t>
  </si>
  <si>
    <t>172.20.12.236</t>
  </si>
  <si>
    <t>FIAT</t>
  </si>
  <si>
    <t>Eva Peron y 1404</t>
  </si>
  <si>
    <t>Gpon</t>
  </si>
  <si>
    <t>172.20.12.240</t>
  </si>
  <si>
    <t>NJU11</t>
  </si>
  <si>
    <t>10 DE JULIO</t>
  </si>
  <si>
    <t>Tte:Peron y Chile</t>
  </si>
  <si>
    <t>172.20.12.233</t>
  </si>
  <si>
    <t>ARA 02</t>
  </si>
  <si>
    <t xml:space="preserve">El malambo y La Tranquera </t>
  </si>
  <si>
    <t>172.20.12.235</t>
  </si>
  <si>
    <t>SJO11 (fija 1)</t>
  </si>
  <si>
    <t>554 Y 531</t>
  </si>
  <si>
    <t>SJO12 (fija 1)</t>
  </si>
  <si>
    <t>EPQ 05</t>
  </si>
  <si>
    <t>EPQ 06</t>
  </si>
  <si>
    <t xml:space="preserve">1282 Y EZEIZA </t>
  </si>
  <si>
    <t>172.20.10.230</t>
  </si>
  <si>
    <t>172.20.10.219</t>
  </si>
  <si>
    <t>ESM 18</t>
  </si>
  <si>
    <t>Belgicca y Cerdeña</t>
  </si>
  <si>
    <t>172.20.10.226</t>
  </si>
  <si>
    <t>DJ 08</t>
  </si>
  <si>
    <t>El Paisano y 441</t>
  </si>
  <si>
    <t>172.20.10.231</t>
  </si>
  <si>
    <t>SNA04</t>
  </si>
  <si>
    <t>SNA03</t>
  </si>
  <si>
    <t>Combate de los Pozos y Cantu</t>
  </si>
  <si>
    <t>Combate de los Pozos y Suipacha</t>
  </si>
  <si>
    <t>172.20.10.235</t>
  </si>
  <si>
    <t>172.20.10.236</t>
  </si>
  <si>
    <t>CEN95</t>
  </si>
  <si>
    <t>CEN96</t>
  </si>
  <si>
    <t>Monteagudo y Marmol</t>
  </si>
  <si>
    <t>Monteagudo y Alem</t>
  </si>
  <si>
    <t>172.20.12.227</t>
  </si>
  <si>
    <t>172.20.12.231</t>
  </si>
  <si>
    <t>ARA 03</t>
  </si>
  <si>
    <t>437 Y La Tranquera</t>
  </si>
  <si>
    <t>172.20.10.232</t>
  </si>
  <si>
    <t>SAR 12</t>
  </si>
  <si>
    <t>SAR 13</t>
  </si>
  <si>
    <t>SAR 14</t>
  </si>
  <si>
    <t>Arenales y Estrada</t>
  </si>
  <si>
    <t>172.20.12.230</t>
  </si>
  <si>
    <t>Calchaqui y Rocha</t>
  </si>
  <si>
    <t>172.20.12.237</t>
  </si>
  <si>
    <t xml:space="preserve">Necochea e/Senzabello y Magallanes </t>
  </si>
  <si>
    <t>172.20.12.238</t>
  </si>
  <si>
    <t>VAT 29</t>
  </si>
  <si>
    <t xml:space="preserve">Vicente Lopez y Tucuman </t>
  </si>
  <si>
    <t>172.20.12.225</t>
  </si>
  <si>
    <t>VAT30</t>
  </si>
  <si>
    <t>Vicente Lopez y General Paz</t>
  </si>
  <si>
    <t>172.20.12.226</t>
  </si>
  <si>
    <t>KM19</t>
  </si>
  <si>
    <t>El Aljibe y El Zonda</t>
  </si>
  <si>
    <t>172.20.12.239</t>
  </si>
  <si>
    <t>172.20.12.124</t>
  </si>
  <si>
    <t>LPI07</t>
  </si>
  <si>
    <t xml:space="preserve">Velez Sarfield y Estados Unidos </t>
  </si>
  <si>
    <t>172.20.10.224</t>
  </si>
  <si>
    <t>BOSQC 08</t>
  </si>
  <si>
    <t>BOSQC 09</t>
  </si>
  <si>
    <t>BOSQC 10</t>
  </si>
  <si>
    <t>D'Anuncio Y J.B Justo (Plaza)</t>
  </si>
  <si>
    <t>172.20.10.222</t>
  </si>
  <si>
    <t>172.20.10.227</t>
  </si>
  <si>
    <t>172.20.10.228</t>
  </si>
  <si>
    <t>D'Anuncio e/Lisandro de la Torre y J.B Justo</t>
  </si>
  <si>
    <t xml:space="preserve">SANTA ROSA </t>
  </si>
  <si>
    <t>SRO22</t>
  </si>
  <si>
    <t>BONN Y YUGOSLAVIA</t>
  </si>
  <si>
    <t>172.20.10.217</t>
  </si>
  <si>
    <t>VANG16</t>
  </si>
  <si>
    <t>SRO24</t>
  </si>
  <si>
    <t>SANRA ROSA</t>
  </si>
  <si>
    <t>BONN Y MALLORCA</t>
  </si>
  <si>
    <t>172.20.10.229</t>
  </si>
  <si>
    <t>SENZABELLO Y NECOCHEA</t>
  </si>
  <si>
    <t>SENZABELLO Y REMDIOS DE ESCALADA</t>
  </si>
  <si>
    <t>172.20.12.229</t>
  </si>
  <si>
    <t>SRO23</t>
  </si>
  <si>
    <t>BONN  Y MALLORCA</t>
  </si>
  <si>
    <t>172.20.10.225</t>
  </si>
  <si>
    <t xml:space="preserve">THEVENET Y AMEGHINO </t>
  </si>
  <si>
    <t>STORNI e/ESPOSOS CURIE Y SENZABELLO</t>
  </si>
  <si>
    <t>VANG18(fija 1)</t>
  </si>
  <si>
    <t>VANG19(fija 2)</t>
  </si>
  <si>
    <t xml:space="preserve">STORNI Ee/ESPOSOS CURIE Y SENZABELLO </t>
  </si>
  <si>
    <t>172.20.8.45</t>
  </si>
  <si>
    <t>172.20.8.41</t>
  </si>
  <si>
    <t>VANG17</t>
  </si>
  <si>
    <t>172.20.12.228</t>
  </si>
  <si>
    <t>SJO13</t>
  </si>
  <si>
    <t>554 Y 525</t>
  </si>
  <si>
    <t>172.20.8.44</t>
  </si>
  <si>
    <t>172.20.8.42</t>
  </si>
  <si>
    <t>SIR 19</t>
  </si>
  <si>
    <t xml:space="preserve">AZAHARA Y NUESTRAS MALVINAS </t>
  </si>
  <si>
    <t>172.20.10.218</t>
  </si>
  <si>
    <t>SAR 15</t>
  </si>
  <si>
    <t xml:space="preserve">Clorinda y Magallanes </t>
  </si>
  <si>
    <t>172.20.8.36</t>
  </si>
  <si>
    <t>CAR03(Fija1)</t>
  </si>
  <si>
    <t>CAR04(Fija2)</t>
  </si>
  <si>
    <t>Hudson e/1362 Y 1356</t>
  </si>
  <si>
    <t>172.20.8.39</t>
  </si>
  <si>
    <t>172.20.8.40</t>
  </si>
  <si>
    <t xml:space="preserve">VHS 05 </t>
  </si>
  <si>
    <t>172.20.8.34</t>
  </si>
  <si>
    <t>172.20.8.38</t>
  </si>
  <si>
    <t>CAR05</t>
  </si>
  <si>
    <t>CAR06</t>
  </si>
  <si>
    <t>Azurduy Y Barracas</t>
  </si>
  <si>
    <t>172.20.10.223</t>
  </si>
  <si>
    <t xml:space="preserve">Hudson y El Maestro </t>
  </si>
  <si>
    <t>CEN94</t>
  </si>
  <si>
    <t>Bocuzzi y Brown</t>
  </si>
  <si>
    <t>NJU12</t>
  </si>
  <si>
    <t>Bocuzzi y Rodo</t>
  </si>
  <si>
    <t>172.20.10.221</t>
  </si>
  <si>
    <t>VHS07</t>
  </si>
  <si>
    <t>Hudson y Rincon</t>
  </si>
  <si>
    <t>172.20.8.30</t>
  </si>
  <si>
    <t>YUGOSLAVIA Y BUCARES</t>
  </si>
  <si>
    <t xml:space="preserve">YUGOSLAVIA Y BUCAREST </t>
  </si>
  <si>
    <t>SRO25(fija 1)</t>
  </si>
  <si>
    <t>SRO26(fija 2)</t>
  </si>
  <si>
    <t>172.20.12.209</t>
  </si>
  <si>
    <t>172.20.12.210</t>
  </si>
  <si>
    <t>MAC</t>
  </si>
  <si>
    <t>00-07-5F-87-83-56</t>
  </si>
  <si>
    <t>00-04-63-50-42-A4</t>
  </si>
  <si>
    <t>00-07-5F-87-9D-EF</t>
  </si>
  <si>
    <t>00-04-63-59-22-57</t>
  </si>
  <si>
    <t>00-07-5F-77-02-85</t>
  </si>
  <si>
    <t>00-04-63-4F-DD-DB</t>
  </si>
  <si>
    <t>00-04-63-4F-DE-CA</t>
  </si>
  <si>
    <t>00-07-5F-BE-59-2D</t>
  </si>
  <si>
    <t>00-07-5F-BE-59-27</t>
  </si>
  <si>
    <t>00-07-5F-AB-BB-41</t>
  </si>
  <si>
    <t>00-04-63-4F-DB-B6</t>
  </si>
  <si>
    <t>C0:6D:ED:A3:E6:63</t>
  </si>
  <si>
    <t>C0:6D:ED:A3:66:6A</t>
  </si>
  <si>
    <t>00-07-5F-81-B9-E9</t>
  </si>
  <si>
    <t>E4-30-22-4F-9E-62</t>
  </si>
  <si>
    <t>00-07-5F-B7-56-89</t>
  </si>
  <si>
    <t>00-07-5F-B4-17-A8</t>
  </si>
  <si>
    <t>00-07-5F-B6-B8-A5</t>
  </si>
  <si>
    <t>00-07-5F-B6-B8-D3</t>
  </si>
  <si>
    <t>00-07-5F-B4-42-C7</t>
  </si>
  <si>
    <t>00-07-5F-B4-16-8D</t>
  </si>
  <si>
    <t>A0-FF-0C-D1-BD-7F</t>
  </si>
  <si>
    <t>A0-FF-0C-D4-AF-AD</t>
  </si>
  <si>
    <t>A0:FF:0C:EF:DF:AB</t>
  </si>
  <si>
    <t>A0:FF:0C:EF:DF:AD</t>
  </si>
  <si>
    <t>00-07-5F-85-FC-FB</t>
  </si>
  <si>
    <t>00-07-5F-85-DF-9D</t>
  </si>
  <si>
    <t>00-07-5F-E6-65-A8</t>
  </si>
  <si>
    <t>00-04-63-5A-E0-85</t>
  </si>
  <si>
    <t>00-07-5F-81-9C-7F</t>
  </si>
  <si>
    <t>00-07-5F-77-25-57</t>
  </si>
  <si>
    <t>00-07-5F-7A-71-56</t>
  </si>
  <si>
    <t>00-07-5F-76-FB-07</t>
  </si>
  <si>
    <t>00-07-5F-76-FC-7B</t>
  </si>
  <si>
    <t>00-07-5F-77-26-89</t>
  </si>
  <si>
    <t>00-07-5F-75-24-A1</t>
  </si>
  <si>
    <t>00-07-5F-77-2B-1B</t>
  </si>
  <si>
    <t>00-04-63-50-44-82</t>
  </si>
  <si>
    <t>00-07-5F-75-23-66</t>
  </si>
  <si>
    <t>00-07-5F-95-ED-8E</t>
  </si>
  <si>
    <t>00-04-63-5A-E0-93</t>
  </si>
  <si>
    <t>00-04-63-32-84-B7</t>
  </si>
  <si>
    <t>00-07-5F-8B-45-70</t>
  </si>
  <si>
    <t>00-04-63-32-A4-95</t>
  </si>
  <si>
    <t>00-07-5F-9B-B3-BC</t>
  </si>
  <si>
    <t>00-07-5F-77-2C-D8</t>
  </si>
  <si>
    <t>00-07-5F-76-F9-FD</t>
  </si>
  <si>
    <t>00-04-63-4F-C6-19</t>
  </si>
  <si>
    <t>00-07-5F-B7-8E-AF</t>
  </si>
  <si>
    <t>00-04-63-50-5A-EE</t>
  </si>
  <si>
    <t>00-04-63-4F-C3-25</t>
  </si>
  <si>
    <t>00-04-63-4F-C5-D7</t>
  </si>
  <si>
    <t>00-04-63-50-55-A3</t>
  </si>
  <si>
    <t>00-04-63-4F-CC-7B</t>
  </si>
  <si>
    <t>00-04-63-50-58-BA</t>
  </si>
  <si>
    <t>00-04-63-4F-D6-F2</t>
  </si>
  <si>
    <t>00-07-5F-81-97-2A</t>
  </si>
  <si>
    <t>00-04-63-4F-DB-AC</t>
  </si>
  <si>
    <t>00-04-63-4F-C5-E0</t>
  </si>
  <si>
    <t>00-04-63-4F-DE-4E</t>
  </si>
  <si>
    <t>00-04-63-4F-C6-24</t>
  </si>
  <si>
    <t>00-07-5F-81-9C-AB</t>
  </si>
  <si>
    <t>00-07-5F-8B-26-4D</t>
  </si>
  <si>
    <t>00-07-5F-81-9B-F4</t>
  </si>
  <si>
    <t>00-07-5F-9F-CD-3D</t>
  </si>
  <si>
    <t>00-07-5F-81-9C-47</t>
  </si>
  <si>
    <t>00-04-63-50-45-6F</t>
  </si>
  <si>
    <t>00-07-5F-B7-8F-06</t>
  </si>
  <si>
    <t>00-07-5F-B6-B8-F9</t>
  </si>
  <si>
    <t>00-07-5F-87-9D-54</t>
  </si>
  <si>
    <t>00-04-63-4F-CF-3A</t>
  </si>
  <si>
    <t>00-07-5F-AD-3C-47</t>
  </si>
  <si>
    <t>00-04-63-5A-E1-03</t>
  </si>
  <si>
    <t>00-07-5F-81-9B-EB</t>
  </si>
  <si>
    <t>00:07:5F:81:AA:1F</t>
  </si>
  <si>
    <t>00-07-5F-96-E2-98</t>
  </si>
  <si>
    <t>00-07-5F-8B-30-98</t>
  </si>
  <si>
    <t>00-07-5F-81-9C-87</t>
  </si>
  <si>
    <t>00-07-5F-81-9C-8A</t>
  </si>
  <si>
    <t>00-07-5F-81-9C-74</t>
  </si>
  <si>
    <t>00-07-5F-7C-7D-EA</t>
  </si>
  <si>
    <t>00-07-5F-81-9C-A0</t>
  </si>
  <si>
    <t>00-07-5F-81-9D-01</t>
  </si>
  <si>
    <t>00-04-63-4F-DF-95</t>
  </si>
  <si>
    <t>00-07-5F-81-9C-86</t>
  </si>
  <si>
    <t>00-07-5F-BE-58-54</t>
  </si>
  <si>
    <t>00-07-5F-B6-B8-D2</t>
  </si>
  <si>
    <t>00-07-5F-B7-85-A1</t>
  </si>
  <si>
    <t>00-07-5F-B7-84-C0</t>
  </si>
  <si>
    <t>00-07-5F-B6-B9-B4</t>
  </si>
  <si>
    <t>00-07-5F-BE-59-32</t>
  </si>
  <si>
    <t>00-07-5F-BE-59-31</t>
  </si>
  <si>
    <t>00-07-5F-AB-BA-BE</t>
  </si>
  <si>
    <t>00-07-5F-AB-BB-44</t>
  </si>
  <si>
    <t>00-07-5F-76-EC-AC</t>
  </si>
  <si>
    <t>00-07-5F-AB-BB-47</t>
  </si>
  <si>
    <t>00-07-5F-81-B8-AF</t>
  </si>
  <si>
    <t>00-07-5F-B7-84-A4</t>
  </si>
  <si>
    <t>00-07-5F-B7-85-9C</t>
  </si>
  <si>
    <t>00-07-5F-B4-4E-B1</t>
  </si>
  <si>
    <t>00-07-5F-C0-16-79</t>
  </si>
  <si>
    <t>00-07-5F-B9-A4-AD</t>
  </si>
  <si>
    <t>00-07-5F-BC-E0-26</t>
  </si>
  <si>
    <t>00:07:5f:ab:b9:fe</t>
  </si>
  <si>
    <t>00-07-5F-D2-52-E4</t>
  </si>
  <si>
    <t>E4:30:22:45:E3:B7</t>
  </si>
  <si>
    <t>00-07-5F-CB-2D-82</t>
  </si>
  <si>
    <t>00-07-5F-B4-4E-A9</t>
  </si>
  <si>
    <t>E4-30-22-4F-9E-43</t>
  </si>
  <si>
    <t>A0-FF-0C-D1-BD-95</t>
  </si>
  <si>
    <t>a0:ff:0c:d4:af:b5</t>
  </si>
  <si>
    <t>3C:1B:F8:DF:95:82</t>
  </si>
  <si>
    <t>00:07:5F:E6:65:89</t>
  </si>
  <si>
    <t>C0:6D:ED:A7:2F:4A</t>
  </si>
  <si>
    <t>A4:18:94:05:47:41</t>
  </si>
  <si>
    <t>A4:18:94:05:48:26</t>
  </si>
  <si>
    <t>A4.18:94:05:4A:08</t>
  </si>
  <si>
    <t>00-04-63-50-44-84</t>
  </si>
  <si>
    <t>00-07-5F-BE-58-0F</t>
  </si>
  <si>
    <t>00-07-5F-BE-58-5C</t>
  </si>
  <si>
    <t>00-07-5F-77-01-B7</t>
  </si>
  <si>
    <t>00-07-5F-81-9C-9E</t>
  </si>
  <si>
    <t>00-07-5F-D2-4C-75</t>
  </si>
  <si>
    <t>00-07-5F-C1-94-BF</t>
  </si>
  <si>
    <t>00-07-5F-B6-A1-30</t>
  </si>
  <si>
    <t>00-07-5F-B6-C4-43</t>
  </si>
  <si>
    <t>00-07-5F-B6-B9-A6</t>
  </si>
  <si>
    <t>c0:6d:ed:a3:e5:97</t>
  </si>
  <si>
    <t>E4-30-22-4F-9E-3F</t>
  </si>
  <si>
    <t>A0-FF-0C-D1-BD-91</t>
  </si>
  <si>
    <t>00-07-5F-BE-58-F6</t>
  </si>
  <si>
    <t>00-07-5F-BE-58-0B</t>
  </si>
  <si>
    <t>00-07-5F-AB-B7-3E</t>
  </si>
  <si>
    <t>00-07-5F-BE-59-03</t>
  </si>
  <si>
    <t>C0:6D:ED:A3:E4:60</t>
  </si>
  <si>
    <t>A4:18:94:05:4A:03</t>
  </si>
  <si>
    <t>00-07-5F-81-B3-FC</t>
  </si>
  <si>
    <t>00-07-5F-8F-2B-DA</t>
  </si>
  <si>
    <t>00-04-63-59-22-9C</t>
  </si>
  <si>
    <t>00-04-63-59-22-93</t>
  </si>
  <si>
    <t>00-04-63-4F-DE-18</t>
  </si>
  <si>
    <t>00-07-5F-87-9F-40</t>
  </si>
  <si>
    <t>00-07-5F-81-AF-6C</t>
  </si>
  <si>
    <t>00-07-5F-B4-43-38</t>
  </si>
  <si>
    <t>00-07-5F-BC-DF-6D</t>
  </si>
  <si>
    <t>00-07-5F-B6-B8-9F</t>
  </si>
  <si>
    <t>00-07-5F-B7-8E-C5</t>
  </si>
  <si>
    <t>00-07-5F-CC-4F-9A</t>
  </si>
  <si>
    <t>00-07-5F-B6-B8-F8</t>
  </si>
  <si>
    <t>00-07-5F-B6-C4-A8</t>
  </si>
  <si>
    <t>00-07-5F-B4-17-1D</t>
  </si>
  <si>
    <t>A4:18:94:05:4A:57</t>
  </si>
  <si>
    <t>C0:6D:ED:A3:E6:64</t>
  </si>
  <si>
    <t>00-04-63-5A-E0-B8</t>
  </si>
  <si>
    <t>00-07-5F-81-AA-BD</t>
  </si>
  <si>
    <t>00-07-5F-7A-DA-D3</t>
  </si>
  <si>
    <t>00-07-5F-87-8B-16</t>
  </si>
  <si>
    <t>00-07-5F-87-9C-09</t>
  </si>
  <si>
    <t>00-04-63-4F-DE-27</t>
  </si>
  <si>
    <t>00-07-5F-8B-26-5B</t>
  </si>
  <si>
    <t>00-07-5F-81-B8-50</t>
  </si>
  <si>
    <t>00-07-5F-81-AB-7B</t>
  </si>
  <si>
    <t>00-07-5F-81-9E-7D</t>
  </si>
  <si>
    <t>00-07-5F-81-9C-83</t>
  </si>
  <si>
    <t>00-07-5F-BE-59-01</t>
  </si>
  <si>
    <t>00-07-5F-B6-B8-B3</t>
  </si>
  <si>
    <t>00-07-5F-BC-DF-43</t>
  </si>
  <si>
    <t>00-07-5F-B6-B8-CC</t>
  </si>
  <si>
    <t>00:07:5F:BC:DF:E3</t>
  </si>
  <si>
    <t>00-07-5F--B6-B8-CB</t>
  </si>
  <si>
    <t>00-07-5F-D2-54-9D</t>
  </si>
  <si>
    <t>C0:63:ED:A3:E5:BB</t>
  </si>
  <si>
    <t>00-07-5F-81-AA-BA</t>
  </si>
  <si>
    <t>00-07-5F-81-9D-04</t>
  </si>
  <si>
    <t>00-07-5F-87-97-1C</t>
  </si>
  <si>
    <t>A0:FF:0C:D4:AF:B0</t>
  </si>
  <si>
    <t>00-04-63-59-22-96</t>
  </si>
  <si>
    <t>00-07-5F-81-AA-2D</t>
  </si>
  <si>
    <t>00-07-5F-B7-85-7B</t>
  </si>
  <si>
    <t>00-07-5F-BD-84-8F</t>
  </si>
  <si>
    <t>E4-30-22-4F-9R-3D</t>
  </si>
  <si>
    <t>A0-FF-0C-EF-DF-A8</t>
  </si>
  <si>
    <t>00-07-5F-D2-52-39</t>
  </si>
  <si>
    <t>00-07-5F-B6-B6-02</t>
  </si>
  <si>
    <t>00-07-5F-B4-43-84</t>
  </si>
  <si>
    <t>00:04:63:32:63:02</t>
  </si>
  <si>
    <t>00-07-5F-77-02-3D</t>
  </si>
  <si>
    <t>00:07:5F:9F:D6:EB</t>
  </si>
  <si>
    <t>00-07-5F-B6-C4-69</t>
  </si>
  <si>
    <t>00-07-5F-B4-42-AF</t>
  </si>
  <si>
    <t>00-04-63-3B-53-13</t>
  </si>
  <si>
    <t>00-04-63-50-58-F8</t>
  </si>
  <si>
    <t>00-07-5F-85-F8-23</t>
  </si>
  <si>
    <t>00-04-63-3B-51-32</t>
  </si>
  <si>
    <t>00-07-5F-81-AA-36</t>
  </si>
  <si>
    <t>00-07-5F-77-2C-AC</t>
  </si>
  <si>
    <t>00-07-5F-81-A8-7D</t>
  </si>
  <si>
    <t>00-07-5F-87-99-05</t>
  </si>
  <si>
    <t>00-07-5F-AB-B7-52</t>
  </si>
  <si>
    <t>00-07-5F-D2-52-ED</t>
  </si>
  <si>
    <t>00-07-5F-77-01-95</t>
  </si>
  <si>
    <t>00-07-5F-B7-85-FA</t>
  </si>
  <si>
    <t>00-07-5F-B6-B9-57</t>
  </si>
  <si>
    <t>00-07-5F-81-B8-C8</t>
  </si>
  <si>
    <t>00-07-5F-81-AA-30</t>
  </si>
  <si>
    <t>00-04-63-4F-D5-F6</t>
  </si>
  <si>
    <t>00-07-5F-87-52-F4</t>
  </si>
  <si>
    <t>E4-30-22-50-C4-66</t>
  </si>
  <si>
    <t>00-04-63-3B-53-B2</t>
  </si>
  <si>
    <t>00-04-63-3C-33-2C</t>
  </si>
  <si>
    <t>00-07-5F-77-04-A4</t>
  </si>
  <si>
    <t>00-07-5F-9F-CC-4A</t>
  </si>
  <si>
    <t>00-07-5F-81-9E-79</t>
  </si>
  <si>
    <t>00-07-5F-D2-53-3B</t>
  </si>
  <si>
    <t>E4-30-22-50-C4-79</t>
  </si>
  <si>
    <t>00-04-63-3B-431D</t>
  </si>
  <si>
    <t>00-07-5F-81-9E-7C</t>
  </si>
  <si>
    <t>00-07-5F-81-B6-7A</t>
  </si>
  <si>
    <t>00-04-63-4F-DE-3F</t>
  </si>
  <si>
    <t>3C:1B:F8:DF:95:3C</t>
  </si>
  <si>
    <t>3C:1B:F8:DF:95:3D</t>
  </si>
  <si>
    <t>00-04-63-59-22-51</t>
  </si>
  <si>
    <t>00-07-5F-81-9D-0A</t>
  </si>
  <si>
    <t>00-04-63-59-22-2F</t>
  </si>
  <si>
    <t>00-04-63-4F-CE-4E</t>
  </si>
  <si>
    <t>00-07-5F-EF-2A-42</t>
  </si>
  <si>
    <t>00-07-5F-81-AD-D4</t>
  </si>
  <si>
    <t>00-07-5F-81-9C-76</t>
  </si>
  <si>
    <t>00-07-5F-BE-58-12</t>
  </si>
  <si>
    <t>A0-FF-0C-D4-AF-C9</t>
  </si>
  <si>
    <t>A4-18-94-05-49-FA</t>
  </si>
  <si>
    <t>00-07-5F-81-AB-7E</t>
  </si>
  <si>
    <t>00-07-5F-BC-E0-0A</t>
  </si>
  <si>
    <t>00-07-5F-BC-DF-08</t>
  </si>
  <si>
    <t>00-07-5F-B4-43-46</t>
  </si>
  <si>
    <t>00-07-5F-B6-B9-4E</t>
  </si>
  <si>
    <t>00-07-5F-BE-5E-CB</t>
  </si>
  <si>
    <t>00-04-63-3C-20-15</t>
  </si>
  <si>
    <t>6C-1C-71-B8-1A-6A</t>
  </si>
  <si>
    <t>E0-50-8B-25-F8-4D</t>
  </si>
  <si>
    <t>00-07-5F-8E-DD-0A</t>
  </si>
  <si>
    <t>6C-1C-71-B8-1A-6C</t>
  </si>
  <si>
    <t>E4-30-22-4F-9E-4C</t>
  </si>
  <si>
    <t>00-04-63-32-A0-AB</t>
  </si>
  <si>
    <t>6C-1C-71-B8-1A-77</t>
  </si>
  <si>
    <t>E0-50-8B-14-4D-4C</t>
  </si>
  <si>
    <t>E0-50-8B-F7-00-15</t>
  </si>
  <si>
    <t>6C-1C-71-B8-1A-71</t>
  </si>
  <si>
    <t>E0-50-8B-26-6C-04</t>
  </si>
  <si>
    <t>E0-50-8B-94-49-58</t>
  </si>
  <si>
    <t>6C-1C-71-B8-1A-5A</t>
  </si>
  <si>
    <t>E0-50-8B-27-76-8B</t>
  </si>
  <si>
    <t>0C-38-3E-14-D5-08</t>
  </si>
  <si>
    <t>E0508B2776DB</t>
  </si>
  <si>
    <t>6c:1c:71:b8:1a:61</t>
  </si>
  <si>
    <t>E0-50-8B-C7-E6-6D</t>
  </si>
  <si>
    <t>00-07-5F-86-01-9C</t>
  </si>
  <si>
    <t>6C-1C-71-B8-1A-54</t>
  </si>
  <si>
    <t>00-04-63-4F-C5-20</t>
  </si>
  <si>
    <t>00-07-5F-85-F6-EF</t>
  </si>
  <si>
    <t>6C-1C-71-B8-1A-6E</t>
  </si>
  <si>
    <t>00-07-5F-81-9E-75</t>
  </si>
  <si>
    <t>00-07-5F-81-9D-05</t>
  </si>
  <si>
    <t>00-07-5F-B4-4F-3B</t>
  </si>
  <si>
    <t>00-07-5F-B7-84-95</t>
  </si>
  <si>
    <t>00-07-5F-BD-54-F5</t>
  </si>
  <si>
    <t>00-07-5F-B4-4E-CF</t>
  </si>
  <si>
    <t>A0-FF-0C-D1-BD-97</t>
  </si>
  <si>
    <t>A0-FF-0C-D1-BD-92</t>
  </si>
  <si>
    <t>A0-FF-0C-EF-DF-A7</t>
  </si>
  <si>
    <t>A0-FF-0C-EF-DF-A3</t>
  </si>
  <si>
    <t>00-07-5F-81-9D-00</t>
  </si>
  <si>
    <t>00-07-5F-81-9C-8C</t>
  </si>
  <si>
    <t>00-07-5F-B7-8F-07</t>
  </si>
  <si>
    <t>00-07-5F-B7-8E-A6</t>
  </si>
  <si>
    <t>00-07-5F-AD-24-5E</t>
  </si>
  <si>
    <t>00-07-5F-BE-59-30</t>
  </si>
  <si>
    <t>00-07-5F-AB-BB-4A</t>
  </si>
  <si>
    <t>00-04-63-50-42-C5</t>
  </si>
  <si>
    <t>00-07-5F-76-F1-3B</t>
  </si>
  <si>
    <t>00-07-5F-B7-85-3B</t>
  </si>
  <si>
    <t>00-07-5F-B7-85-4F</t>
  </si>
  <si>
    <t>00-07-5F-B7-84-DD</t>
  </si>
  <si>
    <t>00-07-5F-BD-69-75</t>
  </si>
  <si>
    <t>A0-FF-0C-D1-BD-90</t>
  </si>
  <si>
    <t>00-07-5F-81-AA-4A</t>
  </si>
  <si>
    <t>00-07-5F-B6-B8-E9</t>
  </si>
  <si>
    <t>00-07-5F-BC-DF-66</t>
  </si>
  <si>
    <t>00-07-5F-BE-59-04</t>
  </si>
  <si>
    <t>00-04-63-4F-D3-A0</t>
  </si>
  <si>
    <t>00-07-5F-B4-4F-0C</t>
  </si>
  <si>
    <t>00-07-5F-B4-17-AB</t>
  </si>
  <si>
    <t>00-07-5F-BC-DF-41</t>
  </si>
  <si>
    <t>00-07-5F-B6-B8-EA</t>
  </si>
  <si>
    <t>00-07-5F-87-52-ED</t>
  </si>
  <si>
    <t>00-07-5F-87-52-E0</t>
  </si>
  <si>
    <t>a4:18:94:05:49:67</t>
  </si>
  <si>
    <t>c0:6a:ed:a3:e6:6b</t>
  </si>
  <si>
    <t>c0:6d:ed:a3:e5:ba</t>
  </si>
  <si>
    <t>00-07-5F-9B-AA-15</t>
  </si>
  <si>
    <t>00-07-5F-81-9B-E8</t>
  </si>
  <si>
    <t>00-07-5F-75-23-75</t>
  </si>
  <si>
    <t>00-07-5F-B4-43-0A</t>
  </si>
  <si>
    <t>00-07-5F-BC-DF-2E</t>
  </si>
  <si>
    <t>E4-30-22-4F-9E-68</t>
  </si>
  <si>
    <t>E4-30-22-4F-9E-73</t>
  </si>
  <si>
    <t>00:07:5f:b7:84:c2</t>
  </si>
  <si>
    <t>00:07:5f:81:9c:a1</t>
  </si>
  <si>
    <t>00-07-5F-BE-58-F7</t>
  </si>
  <si>
    <t>00-07-5F-B6-C4-AA</t>
  </si>
  <si>
    <t>00-07-5F-B4-42-F8</t>
  </si>
  <si>
    <t>00-07-5F-B7-84-A7</t>
  </si>
  <si>
    <t>00-07-5F-B6-B8-E2</t>
  </si>
  <si>
    <t>00-07-5F-B6-8B-B9</t>
  </si>
  <si>
    <t>00-07-5F-B4-42-BE</t>
  </si>
  <si>
    <t>00-07-5F-B7-56-C0</t>
  </si>
  <si>
    <t>00-07-5F-B4-4F-05</t>
  </si>
  <si>
    <t>00-07-5F-E6-64-6C</t>
  </si>
  <si>
    <t>00-07-5F-BE-59-25</t>
  </si>
  <si>
    <t>00-07-5F-81-AA-BE</t>
  </si>
  <si>
    <t>A0-FF-0C-D1-BD-9E</t>
  </si>
  <si>
    <t>A0-FF-0C-EF-DF-9A</t>
  </si>
  <si>
    <t>A0-FF-0C-EF-DF-B2</t>
  </si>
  <si>
    <t>00-07-5F-7A-70-47</t>
  </si>
  <si>
    <t>00-04-63-50-44-6F</t>
  </si>
  <si>
    <t>00-07-5F-B4-18-12</t>
  </si>
  <si>
    <t>00-07-5F-B7-8E-D2</t>
  </si>
  <si>
    <t>00-07-5F-BC-DF-15</t>
  </si>
  <si>
    <t>00-07-5F-B7-84-E4</t>
  </si>
  <si>
    <t>A0-FF-0C-D1-BD-BA</t>
  </si>
  <si>
    <t>A0-FF-0C-D4-AF-7F</t>
  </si>
  <si>
    <t>00-07-5F-77-01-42</t>
  </si>
  <si>
    <t>00-07-5F-76-FC-EF</t>
  </si>
  <si>
    <t>00-04-63-32-6D-2A</t>
  </si>
  <si>
    <t>00-07-5F-81-AB-7D</t>
  </si>
  <si>
    <t>00:07:5f:81:9e:7a</t>
  </si>
  <si>
    <t>00-07-5F-B4-43-66</t>
  </si>
  <si>
    <t>00-07-5F-B4-4E-A5</t>
  </si>
  <si>
    <t>c0:6d:ed:a3:e6:40</t>
  </si>
  <si>
    <t>c0:6d:ed:a3:e6:6f</t>
  </si>
  <si>
    <t>00-07-5F-C0-16-F7</t>
  </si>
  <si>
    <t>00-07-5F-B7-84-BA</t>
  </si>
  <si>
    <t>00-07-5F-B6-C4-23</t>
  </si>
  <si>
    <t>00-07-5F-B6-B8-AB</t>
  </si>
  <si>
    <t>00-04-63-4F-DB-84</t>
  </si>
  <si>
    <t>00-07-5F-76-FF-B3</t>
  </si>
  <si>
    <t>00-07-5F-81-FD-F6</t>
  </si>
  <si>
    <t>00-07-5F-81-9B-EA</t>
  </si>
  <si>
    <t>00-04-63-4F-DB-B7</t>
  </si>
  <si>
    <t>00-07-5F-8B-0E-B0</t>
  </si>
  <si>
    <t>00-04-63-59-20-73</t>
  </si>
  <si>
    <t>00-07-5F-B6-C4-1E</t>
  </si>
  <si>
    <t>00-07-5F-B7-85-63</t>
  </si>
  <si>
    <t>00-07-5F-AB-BB-42</t>
  </si>
  <si>
    <t>00-07-5F-BC-67-B7</t>
  </si>
  <si>
    <t>00-07-5F-B6-C4-42</t>
  </si>
  <si>
    <t>00-07-5F-B6-C4-1C</t>
  </si>
  <si>
    <t>00-07-5F-BD-B1-E5</t>
  </si>
  <si>
    <t>00-07-5F-B7-84-C2</t>
  </si>
  <si>
    <t>00-07-5F-B7-85-40</t>
  </si>
  <si>
    <t>00-07-5F-B7-56-20</t>
  </si>
  <si>
    <t>00-07-5F-B7-92-b8</t>
  </si>
  <si>
    <t>00-07-5F-87-83-9A</t>
  </si>
  <si>
    <t>00-04-63-4F-CF-4B</t>
  </si>
  <si>
    <t>00-07-5F-87-7C-BC</t>
  </si>
  <si>
    <t>00-04-63-4F-CF-46</t>
  </si>
  <si>
    <t>00-04-63-50-45-A7</t>
  </si>
  <si>
    <t>00-04-63-4F-DE-2B</t>
  </si>
  <si>
    <t>00-07-5F-81-9C-73</t>
  </si>
  <si>
    <t>00-07-5F-77-2C-94</t>
  </si>
  <si>
    <t>00-07-5F-77-03-00</t>
  </si>
  <si>
    <t>00-07-5F-BC-DF-33</t>
  </si>
  <si>
    <t>00-07-5F-B7-85-RB</t>
  </si>
  <si>
    <t>00-07-5F-B6-8C-69</t>
  </si>
  <si>
    <t>00-07-5F-BC-DF-1A</t>
  </si>
  <si>
    <t>00-07-5F-95-99-63</t>
  </si>
  <si>
    <t>A0-FF-0C-D4-AF-9A</t>
  </si>
  <si>
    <t>00:07:5f:77:01:33</t>
  </si>
  <si>
    <t>00-07-5F-81-9C-95</t>
  </si>
  <si>
    <t>00:07:5F:BC:DF:B5</t>
  </si>
  <si>
    <t>00-07-5F-B6-B9-40</t>
  </si>
  <si>
    <t>00-07-5F-B4-4F-3E</t>
  </si>
  <si>
    <t>00-07-5F-BD-69-73</t>
  </si>
  <si>
    <t>00-04-63-59-22-64</t>
  </si>
  <si>
    <t>00-07-5F-AB-BB-52</t>
  </si>
  <si>
    <t>00-07-5F-AB-BB-50</t>
  </si>
  <si>
    <t>00-04-63-50-56-0B</t>
  </si>
  <si>
    <t>00-07-5F-7C-81-A6</t>
  </si>
  <si>
    <t>00-04-63-4F-DD-AF</t>
  </si>
  <si>
    <t>00-04-63-4F-DE-1D</t>
  </si>
  <si>
    <t>00-07-5F-81-B9-24</t>
  </si>
  <si>
    <t>00-07-5F-76-BF-BB</t>
  </si>
  <si>
    <t>00-07-5F-81-AA-AD</t>
  </si>
  <si>
    <t>00-07-5F-76-FD-92</t>
  </si>
  <si>
    <t>00-07-5F-76-FD-0D</t>
  </si>
  <si>
    <t>00-07-5F-87-8B-5C</t>
  </si>
  <si>
    <t>00-04-63-4F-DE-3E</t>
  </si>
  <si>
    <t>00-07-5F-81-9C-32</t>
  </si>
  <si>
    <t>00-07-5F-81-98-05</t>
  </si>
  <si>
    <t>00-07-5F-81-9C-FF</t>
  </si>
  <si>
    <t>00-07-5F-81-9E-7B</t>
  </si>
  <si>
    <t>00-07-5F-81-AA-A6</t>
  </si>
  <si>
    <t>00-07-5F-77-00-CC</t>
  </si>
  <si>
    <t>00-07-5F-77-02-63</t>
  </si>
  <si>
    <t>00-07-5F-BE-6B-F7</t>
  </si>
  <si>
    <t>00-07-5F-B4-17-F7</t>
  </si>
  <si>
    <t>00-07-5F-B4-4E-C7</t>
  </si>
  <si>
    <t>00-07-5F-B6-B8-DA</t>
  </si>
  <si>
    <t>00-07-5F-B6-B9-6F</t>
  </si>
  <si>
    <t>00-07-5F-BD-54-F7</t>
  </si>
  <si>
    <t>00:07:5f::b7:8e:af</t>
  </si>
  <si>
    <t>00-07-5F-D2-52-EA</t>
  </si>
  <si>
    <t>A0:FF:0C:EF:DF:A5</t>
  </si>
  <si>
    <t>A4:18:94:05:4A:75</t>
  </si>
  <si>
    <t>A4:18:94:05:48:20</t>
  </si>
  <si>
    <t>00-07-5F-9F-D6-8C</t>
  </si>
  <si>
    <t>00-04-63-50-45-C2</t>
  </si>
  <si>
    <t>AC-CC-8E-26-2F-95</t>
  </si>
  <si>
    <t>00-07-5F-BC-E7-B3</t>
  </si>
  <si>
    <t>00-07-5F-B4-2C-37</t>
  </si>
  <si>
    <t>00-07-5F-B7-8E-CB</t>
  </si>
  <si>
    <t>00:07:5f:d2:52:ef</t>
  </si>
  <si>
    <t>A0-FF-0C-D4-AF-7B</t>
  </si>
  <si>
    <t>00-04-63-59-26-3E</t>
  </si>
  <si>
    <t>00-07-5F-96-EA-01</t>
  </si>
  <si>
    <t>00-07-5F-9B-A1-EA</t>
  </si>
  <si>
    <t>00-07-5F-77-0B-02</t>
  </si>
  <si>
    <t>00-04-63-5A-E0-8C</t>
  </si>
  <si>
    <t>00-07-5F-81-AA-D2</t>
  </si>
  <si>
    <t>00-07-5F-81-AA-3C</t>
  </si>
  <si>
    <t>00-07-5F-B4-52-C7</t>
  </si>
  <si>
    <t>00-07-5F-B6-B8-A2</t>
  </si>
  <si>
    <t>00-07-5F-BE-58-4E</t>
  </si>
  <si>
    <t>00-07-5F-AB-BB-55</t>
  </si>
  <si>
    <t>00-07-5F-BE-58-FE</t>
  </si>
  <si>
    <t>00-07-5F-B4-17-0B</t>
  </si>
  <si>
    <t>00-07-5F-B6-B8-C3</t>
  </si>
  <si>
    <t>00-07-5F-87-9F-8E</t>
  </si>
  <si>
    <t>00-04-63-4F-D3-F8</t>
  </si>
  <si>
    <t>00-07-5F-B6-A1-33</t>
  </si>
  <si>
    <t>00-07-5F-B6-B9-5D</t>
  </si>
  <si>
    <t>00-07-5F-B4-42-D1</t>
  </si>
  <si>
    <t>00-07-5F-B4-43-5D</t>
  </si>
  <si>
    <t>00-07-5F-BD-55-94</t>
  </si>
  <si>
    <t>00-07-5F-BC-DF-28</t>
  </si>
  <si>
    <t>00-07-5F-D2-52-EE</t>
  </si>
  <si>
    <t>00-07-5F-75-24-78</t>
  </si>
  <si>
    <t>00-07-5F-8F-28-07</t>
  </si>
  <si>
    <t>00-07-5F-81-9C-84</t>
  </si>
  <si>
    <t>00-07-5F-81-9C-AC</t>
  </si>
  <si>
    <t>A0-FF-0C-EF-DF-AE</t>
  </si>
  <si>
    <t>3C-1B-F8-DF-95-45</t>
  </si>
  <si>
    <t>3C-1B-F8-DF-95-44</t>
  </si>
  <si>
    <t xml:space="preserve">ZEB 09 </t>
  </si>
  <si>
    <t>Tte.Gral Peron y Salta</t>
  </si>
  <si>
    <t>172,20,8,31</t>
  </si>
  <si>
    <t>A4-18-94-05-51-15</t>
  </si>
  <si>
    <t>172.20.10.123</t>
  </si>
  <si>
    <t>172.20.10.220</t>
  </si>
  <si>
    <t>DJ 09</t>
  </si>
  <si>
    <t>El Malambo y la Aguada</t>
  </si>
  <si>
    <t>VHS 06</t>
  </si>
  <si>
    <t>Av Hubson y Oliden</t>
  </si>
  <si>
    <t>172.20.8.43</t>
  </si>
  <si>
    <t>172.20.8.29</t>
  </si>
  <si>
    <t>CEN97</t>
  </si>
  <si>
    <t>25 de Mayo y Velez Sarsfield</t>
  </si>
  <si>
    <t>VDPL08</t>
  </si>
  <si>
    <t>Tte. Gral Perón y Tunez</t>
  </si>
  <si>
    <t>172,20,8,33</t>
  </si>
  <si>
    <t>a4-18-94-05-4a-15</t>
  </si>
  <si>
    <t>VEST01</t>
  </si>
  <si>
    <t>Tte.Gral Perón y Garibaldi</t>
  </si>
  <si>
    <t>VILLA ESTER</t>
  </si>
  <si>
    <t>172,20,8,32</t>
  </si>
  <si>
    <t>a4-18-94-05-4a-14</t>
  </si>
  <si>
    <t>STO01</t>
  </si>
  <si>
    <t>Tte. Gral Perón y La Paz</t>
  </si>
  <si>
    <t>172,20,8,35</t>
  </si>
  <si>
    <t>a4-18-94-07-0a-2d</t>
  </si>
  <si>
    <t>a4-18-94-05-50-e5</t>
  </si>
  <si>
    <t>SJO14</t>
  </si>
  <si>
    <t>556 y 527</t>
  </si>
  <si>
    <t>172,20,8,48</t>
  </si>
  <si>
    <t>a4-18-94-05-50db</t>
  </si>
  <si>
    <t>c0-6d-ed-a3-e5-b1</t>
  </si>
  <si>
    <t>c0-6d-ed-a3-e5-c7</t>
  </si>
  <si>
    <t>PAVE03</t>
  </si>
  <si>
    <t>Ptagones e Irala</t>
  </si>
  <si>
    <t>172,20,12,201</t>
  </si>
  <si>
    <t>a4-18-94-05-50-c9</t>
  </si>
  <si>
    <t>PRESIDENTE AVELLANEDA</t>
  </si>
  <si>
    <t>3c-1b-f8-df-95-58</t>
  </si>
  <si>
    <t>a4-18-94-05-51-13</t>
  </si>
  <si>
    <t>c0-6d-ed-a3-e4-4c</t>
  </si>
  <si>
    <t>c0-6d-ed-a3-e4-5b</t>
  </si>
  <si>
    <t>a4-18-94-05-47-33</t>
  </si>
  <si>
    <t>c0-6d-ed-a7-2f-76</t>
  </si>
  <si>
    <t>c0-6d-ed-a3-e5-ad</t>
  </si>
  <si>
    <t>a4-18-94-05-4a-09</t>
  </si>
  <si>
    <t>a4-18-94-05-50-f9</t>
  </si>
  <si>
    <t>c0-6d-ed-a3-e5-b5</t>
  </si>
  <si>
    <t>c0-6d-ed-a3-e5-78</t>
  </si>
  <si>
    <t>ESM21</t>
  </si>
  <si>
    <t>Cabello Y Villar</t>
  </si>
  <si>
    <t>172.20.12.214</t>
  </si>
  <si>
    <t>a4-18-94-05-50-dd</t>
  </si>
  <si>
    <t>SRO27</t>
  </si>
  <si>
    <t>Milan E Novak y Alemania</t>
  </si>
  <si>
    <t>172,20,12,208</t>
  </si>
  <si>
    <t>SEDU04</t>
  </si>
  <si>
    <t xml:space="preserve">San Martin Y Dans Rey </t>
  </si>
  <si>
    <t>172.20.8.46</t>
  </si>
  <si>
    <t>c0-6d-ed-9d-02-d3</t>
  </si>
  <si>
    <t>VCIR01</t>
  </si>
  <si>
    <t>San Martin e Yrigoyen</t>
  </si>
  <si>
    <t>172.20.8.47</t>
  </si>
  <si>
    <t>c0-6d-ed-9d-02-da</t>
  </si>
  <si>
    <t>00-07-5f-b4-42-d3</t>
  </si>
  <si>
    <t>00-07-5f-b7-85-79</t>
  </si>
  <si>
    <t>00-07-5f-d2-53-05</t>
  </si>
  <si>
    <t>c0-6d-ed--a3-e5-b0</t>
  </si>
  <si>
    <t>a4-18-94-05-50-c8</t>
  </si>
  <si>
    <t>c0-6d-ed-a3-e6-3a</t>
  </si>
  <si>
    <t>a4-18-94-05-4a-70</t>
  </si>
  <si>
    <t>a4-18-94-05-4a-01</t>
  </si>
  <si>
    <t>a4-18-94-05-49-69</t>
  </si>
  <si>
    <t>172.20.8.37</t>
  </si>
  <si>
    <t>a4-18-94-05-50-fc</t>
  </si>
  <si>
    <t>a4-18-94-05-51-14</t>
  </si>
  <si>
    <t>00-04-63-3c-99-ab</t>
  </si>
  <si>
    <t>Berutti y Casares</t>
  </si>
  <si>
    <t>172,20,12,245</t>
  </si>
  <si>
    <t>a4-18-94-05-4a-0c</t>
  </si>
  <si>
    <t>172.20.12.179</t>
  </si>
  <si>
    <t>00-07-5f-76-fc-6b</t>
  </si>
  <si>
    <t>00-07-5f-81-9c-af</t>
  </si>
  <si>
    <t>00-07-5f-81-9b-f5</t>
  </si>
  <si>
    <t>00-04-63-4f-dd-ad</t>
  </si>
  <si>
    <t>00-07-5f--81-9b-ec</t>
  </si>
  <si>
    <t>KM20</t>
  </si>
  <si>
    <t xml:space="preserve">Novak y Pagani </t>
  </si>
  <si>
    <t>172.20.12.207</t>
  </si>
  <si>
    <t>C0-6D-ED-9D-02-A8</t>
  </si>
  <si>
    <t>172.20.11.129</t>
  </si>
  <si>
    <t>172.20.</t>
  </si>
  <si>
    <t>APAGADO</t>
  </si>
  <si>
    <t>MALVINAS</t>
  </si>
  <si>
    <t>MAL01</t>
  </si>
  <si>
    <t>El zorzal y los laureles</t>
  </si>
  <si>
    <t>172,20,12,189</t>
  </si>
  <si>
    <t>a4-18-94-07-0a-2b</t>
  </si>
  <si>
    <t>MAL02</t>
  </si>
  <si>
    <t>172,20,12,197</t>
  </si>
  <si>
    <t>Casuarinas y el cardenal</t>
  </si>
  <si>
    <t>a4-18-94-07-0a-22</t>
  </si>
  <si>
    <t>CEN98</t>
  </si>
  <si>
    <t>España y Asunción</t>
  </si>
  <si>
    <t>172,20,8,64</t>
  </si>
  <si>
    <t>a4-18-94-05-4a-10</t>
  </si>
  <si>
    <t>VAT31</t>
  </si>
  <si>
    <t>Eva Perón y Republica</t>
  </si>
  <si>
    <t>172,20,8,62</t>
  </si>
  <si>
    <t>c0-6d-ed-9d-02-ac</t>
  </si>
  <si>
    <t>VAT32</t>
  </si>
  <si>
    <t>Corrientes y Republica</t>
  </si>
  <si>
    <t>172,20,8,49</t>
  </si>
  <si>
    <t>a4-18-94-05-50-cb</t>
  </si>
  <si>
    <t>172.20.11.118</t>
  </si>
  <si>
    <t>172,20,11,117</t>
  </si>
  <si>
    <t>ESM22</t>
  </si>
  <si>
    <t>Serrano y Davinson</t>
  </si>
  <si>
    <t>172,20,12,187</t>
  </si>
  <si>
    <t>Azurduy y Ezeiza</t>
  </si>
  <si>
    <t>a4-18-94-05-49-68</t>
  </si>
  <si>
    <t>ROT06</t>
  </si>
  <si>
    <t>La Huella y Ezeiza</t>
  </si>
  <si>
    <t>172,20,8,54</t>
  </si>
  <si>
    <t>a4-18-94-05-4a-58</t>
  </si>
  <si>
    <t>CAR08</t>
  </si>
  <si>
    <t>172,20,8,58</t>
  </si>
  <si>
    <t>c0-6d-ed-a3-e5-d1</t>
  </si>
  <si>
    <t>CAR09</t>
  </si>
  <si>
    <t>calle 1148 y 1150 ( Fija 2 )</t>
  </si>
  <si>
    <t>Calle 1148 y 1150 ( Fija 1 )</t>
  </si>
  <si>
    <t>172,20,8,59</t>
  </si>
  <si>
    <t>c0-6d-ed-a3-e5-d3</t>
  </si>
  <si>
    <t>SNA05</t>
  </si>
  <si>
    <t xml:space="preserve">Combate de los pozos y cantu </t>
  </si>
  <si>
    <t>172,20,8,60</t>
  </si>
  <si>
    <t>Montevideo y El Chañar</t>
  </si>
  <si>
    <t>ROT05</t>
  </si>
  <si>
    <t>172.20.8.50</t>
  </si>
  <si>
    <t>172.20.8.64</t>
  </si>
  <si>
    <t>CEN99</t>
  </si>
  <si>
    <t>Castelli y Falucho</t>
  </si>
  <si>
    <t>172.20.8.74</t>
  </si>
  <si>
    <t>A4-18-94-05-4A-0B</t>
  </si>
  <si>
    <t>VSL 02</t>
  </si>
  <si>
    <t>1355 Y 1314</t>
  </si>
  <si>
    <t>172.20.8.70</t>
  </si>
  <si>
    <t>A4-18-94-05-50-DC</t>
  </si>
  <si>
    <t>SJU04</t>
  </si>
  <si>
    <t>Ruta 36 y San Jose</t>
  </si>
  <si>
    <t>172.20.8.73</t>
  </si>
  <si>
    <t>A4-18-94-05-48-23</t>
  </si>
  <si>
    <t>SAN JUAN</t>
  </si>
  <si>
    <t>LDM 05</t>
  </si>
  <si>
    <t>Las Heras y Riobamba</t>
  </si>
  <si>
    <t>172.20.8.75</t>
  </si>
  <si>
    <t>A4-18-94-07-0A-30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</si>
</sst>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Times New Roman"/>
      <family val="1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rgb="FF222222"/>
      <name val="Roboto"/>
    </font>
    <font>
      <sz val="10"/>
      <color theme="1"/>
      <name val="Calibri"/>
      <family val="2"/>
      <scheme val="minor"/>
    </font>
    <font>
      <sz val="10"/>
      <color rgb="FF000000"/>
      <name val="Arial"/>
      <family val="2"/>
    </font>
    <font>
      <sz val="10"/>
      <color rgb="FF404245"/>
      <name val="Arial"/>
      <family val="2"/>
    </font>
  </fonts>
  <fills count="22">
    <fill>
      <patternFill patternType="none"/>
    </fill>
    <fill>
      <patternFill patternType="gray125"/>
    </fill>
    <fill>
      <patternFill patternType="solid">
        <fgColor theme="8" tint="0.3999450666829432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EE0000"/>
        <bgColor indexed="64"/>
      </patternFill>
    </fill>
  </fills>
  <borders count="43">
    <border>
      <left/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dotted">
        <color auto="1"/>
      </left>
      <right style="dotted">
        <color auto="1"/>
      </right>
      <top style="thick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dotted">
        <color auto="1"/>
      </left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dotted">
        <color auto="1"/>
      </left>
      <right/>
      <top style="mediumDashed">
        <color auto="1"/>
      </top>
      <bottom style="mediumDashed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double">
        <color auto="1"/>
      </right>
      <top style="double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/>
      <diagonal/>
    </border>
    <border>
      <left style="double">
        <color auto="1"/>
      </left>
      <right style="double">
        <color auto="1"/>
      </right>
      <top/>
      <bottom style="double">
        <color auto="1"/>
      </bottom>
      <diagonal/>
    </border>
    <border>
      <left style="double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 style="double">
        <color auto="1"/>
      </right>
      <top/>
      <bottom style="double">
        <color auto="1"/>
      </bottom>
      <diagonal/>
    </border>
    <border>
      <left style="thin">
        <color auto="1"/>
      </left>
      <right style="thick">
        <color auto="1"/>
      </right>
      <top/>
      <bottom/>
      <diagonal/>
    </border>
    <border>
      <left style="thin">
        <color auto="1"/>
      </left>
      <right style="thick">
        <color auto="1"/>
      </right>
      <top style="thick">
        <color auto="1"/>
      </top>
      <bottom/>
      <diagonal/>
    </border>
    <border>
      <left style="thin">
        <color auto="1"/>
      </left>
      <right style="thick">
        <color auto="1"/>
      </right>
      <top/>
      <bottom style="thick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thick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mediumDashDot">
        <color auto="1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ck">
        <color indexed="64"/>
      </bottom>
      <diagonal/>
    </border>
    <border>
      <left/>
      <right style="thick">
        <color auto="1"/>
      </right>
      <top style="thick">
        <color auto="1"/>
      </top>
      <bottom style="thick">
        <color auto="1"/>
      </bottom>
      <diagonal/>
    </border>
    <border>
      <left/>
      <right style="thin">
        <color auto="1"/>
      </right>
      <top/>
      <bottom/>
      <diagonal/>
    </border>
    <border>
      <left style="thick">
        <color auto="1"/>
      </left>
      <right style="thin">
        <color auto="1"/>
      </right>
      <top style="mediumDashDot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mediumDashDot">
        <color auto="1"/>
      </top>
      <bottom style="thick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57">
    <xf numFmtId="0" fontId="0" fillId="0" borderId="0" xfId="0"/>
    <xf numFmtId="9" fontId="0" fillId="2" borderId="1" xfId="1" applyFont="1" applyFill="1" applyBorder="1" applyAlignment="1">
      <alignment horizontal="left"/>
    </xf>
    <xf numFmtId="9" fontId="0" fillId="3" borderId="0" xfId="1" applyFont="1" applyFill="1" applyAlignment="1">
      <alignment horizontal="center"/>
    </xf>
    <xf numFmtId="9" fontId="0" fillId="3" borderId="4" xfId="1" applyFont="1" applyFill="1" applyBorder="1" applyAlignment="1">
      <alignment horizontal="center"/>
    </xf>
    <xf numFmtId="9" fontId="0" fillId="0" borderId="0" xfId="1" applyFont="1" applyAlignment="1">
      <alignment horizontal="center"/>
    </xf>
    <xf numFmtId="0" fontId="0" fillId="2" borderId="4" xfId="0" applyFill="1" applyBorder="1" applyAlignment="1">
      <alignment horizontal="center"/>
    </xf>
    <xf numFmtId="0" fontId="0" fillId="5" borderId="0" xfId="0" applyFill="1" applyAlignment="1">
      <alignment horizontal="center"/>
    </xf>
    <xf numFmtId="0" fontId="0" fillId="5" borderId="4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2" borderId="6" xfId="0" applyFill="1" applyBorder="1" applyAlignment="1">
      <alignment horizontal="center"/>
    </xf>
    <xf numFmtId="0" fontId="0" fillId="6" borderId="4" xfId="0" applyFill="1" applyBorder="1" applyAlignment="1">
      <alignment horizontal="center"/>
    </xf>
    <xf numFmtId="16" fontId="3" fillId="7" borderId="9" xfId="0" applyNumberFormat="1" applyFont="1" applyFill="1" applyBorder="1" applyAlignment="1">
      <alignment horizontal="center"/>
    </xf>
    <xf numFmtId="14" fontId="0" fillId="0" borderId="0" xfId="0" applyNumberFormat="1"/>
    <xf numFmtId="9" fontId="0" fillId="0" borderId="0" xfId="1" applyFont="1" applyFill="1" applyBorder="1" applyAlignment="1">
      <alignment horizontal="center"/>
    </xf>
    <xf numFmtId="0" fontId="0" fillId="0" borderId="4" xfId="0" applyBorder="1" applyAlignment="1">
      <alignment horizontal="right"/>
    </xf>
    <xf numFmtId="16" fontId="0" fillId="0" borderId="0" xfId="0" applyNumberFormat="1"/>
    <xf numFmtId="0" fontId="4" fillId="3" borderId="0" xfId="0" applyFont="1" applyFill="1"/>
    <xf numFmtId="0" fontId="0" fillId="0" borderId="0" xfId="0" applyAlignment="1">
      <alignment horizontal="right"/>
    </xf>
    <xf numFmtId="9" fontId="0" fillId="0" borderId="0" xfId="0" applyNumberFormat="1"/>
    <xf numFmtId="0" fontId="0" fillId="7" borderId="8" xfId="0" applyFill="1" applyBorder="1" applyAlignment="1">
      <alignment horizontal="center" vertical="center" wrapText="1"/>
    </xf>
    <xf numFmtId="9" fontId="2" fillId="3" borderId="0" xfId="1" applyFont="1" applyFill="1" applyAlignment="1">
      <alignment horizontal="center" vertical="center" wrapText="1"/>
    </xf>
    <xf numFmtId="0" fontId="0" fillId="6" borderId="0" xfId="0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2" borderId="2" xfId="1" applyNumberFormat="1" applyFont="1" applyFill="1" applyBorder="1" applyAlignment="1">
      <alignment horizontal="left"/>
    </xf>
    <xf numFmtId="0" fontId="0" fillId="2" borderId="5" xfId="0" applyFill="1" applyBorder="1" applyAlignment="1">
      <alignment horizontal="left"/>
    </xf>
    <xf numFmtId="0" fontId="0" fillId="2" borderId="7" xfId="0" applyFill="1" applyBorder="1" applyAlignment="1">
      <alignment horizontal="left"/>
    </xf>
    <xf numFmtId="0" fontId="0" fillId="5" borderId="0" xfId="0" applyFill="1"/>
    <xf numFmtId="0" fontId="0" fillId="6" borderId="0" xfId="0" applyFill="1"/>
    <xf numFmtId="0" fontId="5" fillId="4" borderId="0" xfId="0" applyFont="1" applyFill="1"/>
    <xf numFmtId="0" fontId="5" fillId="4" borderId="0" xfId="0" applyFont="1" applyFill="1" applyAlignment="1">
      <alignment horizontal="left"/>
    </xf>
    <xf numFmtId="0" fontId="0" fillId="0" borderId="0" xfId="0" applyAlignment="1">
      <alignment horizontal="left"/>
    </xf>
    <xf numFmtId="0" fontId="0" fillId="0" borderId="10" xfId="0" applyBorder="1" applyAlignment="1">
      <alignment horizontal="center" vertical="center"/>
    </xf>
    <xf numFmtId="9" fontId="0" fillId="0" borderId="11" xfId="1" applyFont="1" applyBorder="1" applyAlignment="1">
      <alignment horizontal="center"/>
    </xf>
    <xf numFmtId="49" fontId="0" fillId="0" borderId="0" xfId="0" applyNumberFormat="1"/>
    <xf numFmtId="0" fontId="0" fillId="2" borderId="0" xfId="1" applyNumberFormat="1" applyFont="1" applyFill="1" applyBorder="1" applyAlignment="1">
      <alignment horizontal="left"/>
    </xf>
    <xf numFmtId="0" fontId="0" fillId="0" borderId="0" xfId="0" applyAlignment="1">
      <alignment wrapText="1"/>
    </xf>
    <xf numFmtId="16" fontId="0" fillId="0" borderId="20" xfId="0" applyNumberFormat="1" applyBorder="1" applyAlignment="1">
      <alignment horizontal="center"/>
    </xf>
    <xf numFmtId="0" fontId="0" fillId="0" borderId="24" xfId="0" applyBorder="1" applyAlignment="1">
      <alignment horizontal="center"/>
    </xf>
    <xf numFmtId="0" fontId="0" fillId="0" borderId="25" xfId="0" applyBorder="1"/>
    <xf numFmtId="0" fontId="0" fillId="0" borderId="26" xfId="0" applyBorder="1"/>
    <xf numFmtId="0" fontId="0" fillId="0" borderId="0" xfId="0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0" fillId="0" borderId="27" xfId="0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8" borderId="23" xfId="0" applyFill="1" applyBorder="1" applyAlignment="1">
      <alignment horizontal="left"/>
    </xf>
    <xf numFmtId="0" fontId="0" fillId="8" borderId="18" xfId="0" applyFill="1" applyBorder="1" applyAlignment="1">
      <alignment horizontal="center"/>
    </xf>
    <xf numFmtId="0" fontId="0" fillId="9" borderId="23" xfId="0" applyFill="1" applyBorder="1" applyAlignment="1">
      <alignment horizontal="center"/>
    </xf>
    <xf numFmtId="0" fontId="0" fillId="9" borderId="20" xfId="0" applyFill="1" applyBorder="1" applyAlignment="1">
      <alignment horizontal="center" vertical="center"/>
    </xf>
    <xf numFmtId="0" fontId="0" fillId="10" borderId="20" xfId="0" applyFill="1" applyBorder="1" applyAlignment="1">
      <alignment horizontal="center" vertical="center"/>
    </xf>
    <xf numFmtId="9" fontId="0" fillId="0" borderId="19" xfId="1" applyFont="1" applyBorder="1" applyAlignment="1">
      <alignment horizontal="center"/>
    </xf>
    <xf numFmtId="10" fontId="0" fillId="0" borderId="0" xfId="1" applyNumberFormat="1" applyFont="1" applyFill="1" applyAlignment="1">
      <alignment horizontal="center"/>
    </xf>
    <xf numFmtId="0" fontId="0" fillId="0" borderId="12" xfId="0" applyBorder="1"/>
    <xf numFmtId="0" fontId="0" fillId="0" borderId="13" xfId="0" applyBorder="1"/>
    <xf numFmtId="0" fontId="0" fillId="0" borderId="14" xfId="0" applyBorder="1" applyAlignment="1">
      <alignment horizontal="center"/>
    </xf>
    <xf numFmtId="10" fontId="0" fillId="0" borderId="14" xfId="1" applyNumberFormat="1" applyFont="1" applyFill="1" applyBorder="1" applyAlignment="1">
      <alignment horizontal="center"/>
    </xf>
    <xf numFmtId="0" fontId="0" fillId="0" borderId="15" xfId="0" applyBorder="1"/>
    <xf numFmtId="0" fontId="0" fillId="0" borderId="0" xfId="0" applyAlignment="1">
      <alignment horizontal="left" indent="3"/>
    </xf>
    <xf numFmtId="0" fontId="0" fillId="2" borderId="0" xfId="0" applyFill="1" applyAlignment="1">
      <alignment horizontal="left"/>
    </xf>
    <xf numFmtId="9" fontId="0" fillId="3" borderId="3" xfId="1" applyFont="1" applyFill="1" applyBorder="1" applyAlignment="1">
      <alignment horizontal="left"/>
    </xf>
    <xf numFmtId="0" fontId="0" fillId="5" borderId="3" xfId="0" applyFill="1" applyBorder="1" applyAlignment="1">
      <alignment horizontal="left"/>
    </xf>
    <xf numFmtId="0" fontId="0" fillId="7" borderId="3" xfId="0" applyFill="1" applyBorder="1" applyAlignment="1">
      <alignment horizontal="left"/>
    </xf>
    <xf numFmtId="9" fontId="0" fillId="3" borderId="0" xfId="1" applyFont="1" applyFill="1" applyBorder="1" applyAlignment="1">
      <alignment horizontal="left"/>
    </xf>
    <xf numFmtId="0" fontId="0" fillId="5" borderId="0" xfId="0" applyFill="1" applyAlignment="1">
      <alignment horizontal="left"/>
    </xf>
    <xf numFmtId="0" fontId="0" fillId="6" borderId="0" xfId="0" applyFill="1" applyAlignment="1">
      <alignment horizontal="left"/>
    </xf>
    <xf numFmtId="0" fontId="0" fillId="7" borderId="0" xfId="0" applyFill="1" applyAlignment="1">
      <alignment horizontal="left"/>
    </xf>
    <xf numFmtId="1" fontId="0" fillId="0" borderId="14" xfId="0" applyNumberFormat="1" applyBorder="1" applyAlignment="1">
      <alignment horizontal="left" indent="3"/>
    </xf>
    <xf numFmtId="0" fontId="0" fillId="4" borderId="14" xfId="0" applyFill="1" applyBorder="1" applyAlignment="1">
      <alignment horizontal="left" indent="3"/>
    </xf>
    <xf numFmtId="0" fontId="7" fillId="0" borderId="0" xfId="0" applyFont="1"/>
    <xf numFmtId="0" fontId="0" fillId="3" borderId="0" xfId="0" applyFill="1"/>
    <xf numFmtId="0" fontId="0" fillId="11" borderId="3" xfId="0" applyFill="1" applyBorder="1" applyAlignment="1">
      <alignment horizontal="right"/>
    </xf>
    <xf numFmtId="0" fontId="0" fillId="11" borderId="4" xfId="0" applyFill="1" applyBorder="1" applyAlignment="1">
      <alignment horizontal="right"/>
    </xf>
    <xf numFmtId="0" fontId="0" fillId="11" borderId="0" xfId="0" applyFill="1" applyAlignment="1">
      <alignment horizontal="right"/>
    </xf>
    <xf numFmtId="0" fontId="0" fillId="12" borderId="0" xfId="0" applyFill="1"/>
    <xf numFmtId="10" fontId="0" fillId="0" borderId="16" xfId="1" applyNumberFormat="1" applyFont="1" applyFill="1" applyBorder="1" applyAlignment="1">
      <alignment horizontal="center"/>
    </xf>
    <xf numFmtId="16" fontId="0" fillId="0" borderId="29" xfId="0" applyNumberFormat="1" applyBorder="1" applyAlignment="1">
      <alignment vertical="center" textRotation="90" wrapText="1"/>
    </xf>
    <xf numFmtId="0" fontId="0" fillId="0" borderId="29" xfId="0" applyBorder="1" applyAlignment="1">
      <alignment vertical="center" textRotation="90" wrapText="1"/>
    </xf>
    <xf numFmtId="0" fontId="0" fillId="9" borderId="0" xfId="0" applyFill="1"/>
    <xf numFmtId="0" fontId="5" fillId="9" borderId="0" xfId="0" applyFont="1" applyFill="1" applyAlignment="1">
      <alignment horizontal="left"/>
    </xf>
    <xf numFmtId="0" fontId="0" fillId="14" borderId="0" xfId="0" applyFill="1"/>
    <xf numFmtId="0" fontId="5" fillId="14" borderId="0" xfId="0" applyFont="1" applyFill="1" applyAlignment="1">
      <alignment horizontal="left"/>
    </xf>
    <xf numFmtId="0" fontId="0" fillId="15" borderId="0" xfId="0" applyFill="1"/>
    <xf numFmtId="0" fontId="5" fillId="15" borderId="0" xfId="0" applyFont="1" applyFill="1" applyAlignment="1">
      <alignment horizontal="left"/>
    </xf>
    <xf numFmtId="0" fontId="8" fillId="11" borderId="3" xfId="0" applyFont="1" applyFill="1" applyBorder="1" applyAlignment="1">
      <alignment horizontal="right"/>
    </xf>
    <xf numFmtId="0" fontId="0" fillId="16" borderId="4" xfId="0" applyFill="1" applyBorder="1" applyAlignment="1">
      <alignment horizontal="right"/>
    </xf>
    <xf numFmtId="0" fontId="0" fillId="12" borderId="0" xfId="0" applyFill="1" applyAlignment="1">
      <alignment horizontal="left"/>
    </xf>
    <xf numFmtId="0" fontId="0" fillId="17" borderId="0" xfId="0" applyFill="1" applyAlignment="1">
      <alignment horizontal="left"/>
    </xf>
    <xf numFmtId="0" fontId="0" fillId="12" borderId="10" xfId="0" applyFill="1" applyBorder="1" applyAlignment="1">
      <alignment horizontal="center" vertical="center"/>
    </xf>
    <xf numFmtId="9" fontId="0" fillId="12" borderId="11" xfId="1" applyFont="1" applyFill="1" applyBorder="1" applyAlignment="1">
      <alignment horizontal="center"/>
    </xf>
    <xf numFmtId="0" fontId="0" fillId="12" borderId="3" xfId="0" applyFill="1" applyBorder="1" applyAlignment="1">
      <alignment horizontal="right"/>
    </xf>
    <xf numFmtId="0" fontId="0" fillId="16" borderId="0" xfId="0" applyFill="1"/>
    <xf numFmtId="0" fontId="0" fillId="18" borderId="0" xfId="0" applyFill="1"/>
    <xf numFmtId="0" fontId="0" fillId="18" borderId="0" xfId="0" applyFill="1" applyAlignment="1">
      <alignment horizontal="left"/>
    </xf>
    <xf numFmtId="0" fontId="0" fillId="18" borderId="3" xfId="0" applyFill="1" applyBorder="1" applyAlignment="1">
      <alignment horizontal="right"/>
    </xf>
    <xf numFmtId="0" fontId="0" fillId="0" borderId="14" xfId="0" applyBorder="1" applyAlignment="1">
      <alignment horizontal="left" indent="3"/>
    </xf>
    <xf numFmtId="0" fontId="0" fillId="0" borderId="0" xfId="0" applyAlignment="1">
      <alignment vertical="center" textRotation="90" wrapText="1"/>
    </xf>
    <xf numFmtId="0" fontId="0" fillId="0" borderId="34" xfId="0" applyBorder="1" applyAlignment="1">
      <alignment horizontal="center"/>
    </xf>
    <xf numFmtId="0" fontId="0" fillId="0" borderId="35" xfId="0" applyBorder="1" applyAlignment="1">
      <alignment vertical="center" textRotation="90" wrapText="1"/>
    </xf>
    <xf numFmtId="0" fontId="0" fillId="13" borderId="36" xfId="0" applyFill="1" applyBorder="1"/>
    <xf numFmtId="0" fontId="0" fillId="13" borderId="22" xfId="0" applyFill="1" applyBorder="1" applyAlignment="1">
      <alignment horizontal="center"/>
    </xf>
    <xf numFmtId="0" fontId="0" fillId="0" borderId="22" xfId="0" applyBorder="1" applyAlignment="1">
      <alignment horizontal="left" indent="3"/>
    </xf>
    <xf numFmtId="0" fontId="0" fillId="0" borderId="22" xfId="0" applyBorder="1" applyAlignment="1">
      <alignment horizontal="center"/>
    </xf>
    <xf numFmtId="10" fontId="0" fillId="0" borderId="34" xfId="1" applyNumberFormat="1" applyFont="1" applyFill="1" applyBorder="1" applyAlignment="1">
      <alignment horizontal="center"/>
    </xf>
    <xf numFmtId="1" fontId="0" fillId="0" borderId="14" xfId="0" applyNumberFormat="1" applyBorder="1" applyAlignment="1">
      <alignment horizontal="center"/>
    </xf>
    <xf numFmtId="1" fontId="0" fillId="0" borderId="16" xfId="0" applyNumberFormat="1" applyBorder="1" applyAlignment="1">
      <alignment horizontal="center"/>
    </xf>
    <xf numFmtId="10" fontId="0" fillId="13" borderId="37" xfId="0" applyNumberFormat="1" applyFill="1" applyBorder="1" applyAlignment="1">
      <alignment horizontal="center"/>
    </xf>
    <xf numFmtId="10" fontId="0" fillId="0" borderId="22" xfId="1" applyNumberFormat="1" applyFont="1" applyFill="1" applyBorder="1" applyAlignment="1">
      <alignment horizontal="center"/>
    </xf>
    <xf numFmtId="0" fontId="0" fillId="0" borderId="38" xfId="0" applyBorder="1" applyAlignment="1">
      <alignment horizontal="center"/>
    </xf>
    <xf numFmtId="0" fontId="0" fillId="0" borderId="32" xfId="0" applyBorder="1" applyAlignment="1">
      <alignment horizontal="center"/>
    </xf>
    <xf numFmtId="10" fontId="0" fillId="0" borderId="33" xfId="1" applyNumberFormat="1" applyFont="1" applyFill="1" applyBorder="1" applyAlignment="1">
      <alignment horizontal="center"/>
    </xf>
    <xf numFmtId="0" fontId="0" fillId="0" borderId="40" xfId="0" applyBorder="1" applyAlignment="1">
      <alignment horizontal="center"/>
    </xf>
    <xf numFmtId="0" fontId="0" fillId="0" borderId="39" xfId="0" applyBorder="1"/>
    <xf numFmtId="0" fontId="0" fillId="13" borderId="41" xfId="0" applyFill="1" applyBorder="1"/>
    <xf numFmtId="0" fontId="0" fillId="13" borderId="42" xfId="0" applyFill="1" applyBorder="1" applyAlignment="1">
      <alignment horizontal="center"/>
    </xf>
    <xf numFmtId="10" fontId="0" fillId="13" borderId="42" xfId="0" applyNumberFormat="1" applyFill="1" applyBorder="1" applyAlignment="1">
      <alignment horizontal="center"/>
    </xf>
    <xf numFmtId="0" fontId="0" fillId="13" borderId="37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0" borderId="0" xfId="0" applyAlignment="1">
      <alignment horizontal="left" wrapText="1"/>
    </xf>
    <xf numFmtId="9" fontId="0" fillId="4" borderId="0" xfId="1" applyFont="1" applyFill="1" applyAlignment="1">
      <alignment horizontal="center" wrapText="1"/>
    </xf>
    <xf numFmtId="16" fontId="3" fillId="7" borderId="9" xfId="0" applyNumberFormat="1" applyFont="1" applyFill="1" applyBorder="1" applyAlignment="1">
      <alignment horizontal="center" wrapText="1"/>
    </xf>
    <xf numFmtId="0" fontId="0" fillId="0" borderId="0" xfId="0" applyAlignment="1">
      <alignment horizontal="center" wrapText="1"/>
    </xf>
    <xf numFmtId="0" fontId="0" fillId="19" borderId="0" xfId="0" applyFill="1" applyAlignment="1">
      <alignment horizontal="center"/>
    </xf>
    <xf numFmtId="0" fontId="0" fillId="19" borderId="3" xfId="0" applyFill="1" applyBorder="1" applyAlignment="1">
      <alignment horizontal="left"/>
    </xf>
    <xf numFmtId="0" fontId="0" fillId="19" borderId="0" xfId="0" applyFill="1" applyAlignment="1">
      <alignment horizontal="left"/>
    </xf>
    <xf numFmtId="0" fontId="0" fillId="19" borderId="0" xfId="0" applyFill="1" applyAlignment="1">
      <alignment horizontal="center" vertical="center"/>
    </xf>
    <xf numFmtId="0" fontId="0" fillId="19" borderId="0" xfId="0" applyFill="1"/>
    <xf numFmtId="0" fontId="0" fillId="19" borderId="4" xfId="0" applyFill="1" applyBorder="1" applyAlignment="1">
      <alignment horizontal="center"/>
    </xf>
    <xf numFmtId="0" fontId="0" fillId="20" borderId="0" xfId="0" applyFill="1" applyAlignment="1">
      <alignment horizontal="center" vertical="center"/>
    </xf>
    <xf numFmtId="0" fontId="0" fillId="20" borderId="0" xfId="0" applyFill="1" applyAlignment="1">
      <alignment horizontal="left"/>
    </xf>
    <xf numFmtId="0" fontId="0" fillId="20" borderId="0" xfId="0" applyFill="1"/>
    <xf numFmtId="0" fontId="0" fillId="20" borderId="4" xfId="0" applyFill="1" applyBorder="1" applyAlignment="1">
      <alignment horizontal="center"/>
    </xf>
    <xf numFmtId="0" fontId="0" fillId="4" borderId="16" xfId="0" applyFill="1" applyBorder="1" applyAlignment="1">
      <alignment horizontal="left" indent="3"/>
    </xf>
    <xf numFmtId="0" fontId="0" fillId="21" borderId="0" xfId="0" applyFill="1"/>
    <xf numFmtId="0" fontId="0" fillId="21" borderId="0" xfId="0" applyFill="1" applyAlignment="1">
      <alignment horizontal="left"/>
    </xf>
    <xf numFmtId="0" fontId="0" fillId="21" borderId="10" xfId="0" applyFill="1" applyBorder="1" applyAlignment="1">
      <alignment horizontal="center" vertical="center"/>
    </xf>
    <xf numFmtId="9" fontId="0" fillId="21" borderId="11" xfId="1" applyFont="1" applyFill="1" applyBorder="1" applyAlignment="1">
      <alignment horizontal="center"/>
    </xf>
    <xf numFmtId="0" fontId="0" fillId="21" borderId="3" xfId="0" applyFill="1" applyBorder="1" applyAlignment="1">
      <alignment horizontal="right"/>
    </xf>
    <xf numFmtId="0" fontId="0" fillId="17" borderId="0" xfId="0" applyFill="1"/>
    <xf numFmtId="0" fontId="0" fillId="17" borderId="10" xfId="0" applyFill="1" applyBorder="1" applyAlignment="1">
      <alignment horizontal="center" vertical="center"/>
    </xf>
    <xf numFmtId="9" fontId="0" fillId="17" borderId="11" xfId="1" applyFont="1" applyFill="1" applyBorder="1" applyAlignment="1">
      <alignment horizontal="center"/>
    </xf>
    <xf numFmtId="0" fontId="0" fillId="17" borderId="3" xfId="0" applyFill="1" applyBorder="1" applyAlignment="1">
      <alignment horizontal="right"/>
    </xf>
    <xf numFmtId="9" fontId="0" fillId="18" borderId="11" xfId="1" applyFont="1" applyFill="1" applyBorder="1" applyAlignment="1">
      <alignment horizontal="center"/>
    </xf>
    <xf numFmtId="0" fontId="0" fillId="4" borderId="10" xfId="0" applyFill="1" applyBorder="1" applyAlignment="1">
      <alignment horizontal="center" vertical="center"/>
    </xf>
    <xf numFmtId="9" fontId="0" fillId="4" borderId="11" xfId="1" applyFont="1" applyFill="1" applyBorder="1" applyAlignment="1">
      <alignment horizontal="center"/>
    </xf>
    <xf numFmtId="49" fontId="0" fillId="12" borderId="0" xfId="0" applyNumberFormat="1" applyFill="1"/>
    <xf numFmtId="3" fontId="0" fillId="12" borderId="0" xfId="0" applyNumberFormat="1" applyFill="1" applyAlignment="1">
      <alignment horizontal="left"/>
    </xf>
    <xf numFmtId="0" fontId="7" fillId="12" borderId="0" xfId="0" applyFont="1" applyFill="1"/>
    <xf numFmtId="0" fontId="8" fillId="12" borderId="14" xfId="0" applyFont="1" applyFill="1" applyBorder="1"/>
    <xf numFmtId="0" fontId="0" fillId="12" borderId="14" xfId="0" applyFill="1" applyBorder="1"/>
    <xf numFmtId="0" fontId="9" fillId="12" borderId="14" xfId="0" applyFont="1" applyFill="1" applyBorder="1"/>
    <xf numFmtId="0" fontId="10" fillId="12" borderId="14" xfId="0" applyFont="1" applyFill="1" applyBorder="1"/>
    <xf numFmtId="0" fontId="8" fillId="12" borderId="0" xfId="0" applyFont="1" applyFill="1"/>
    <xf numFmtId="0" fontId="0" fillId="12" borderId="0" xfId="0" applyFill="1" applyAlignment="1">
      <alignment horizontal="right"/>
    </xf>
    <xf numFmtId="0" fontId="0" fillId="12" borderId="0" xfId="0" applyFill="1" applyAlignment="1">
      <alignment horizontal="center" vertical="center"/>
    </xf>
    <xf numFmtId="16" fontId="0" fillId="0" borderId="30" xfId="0" applyNumberFormat="1" applyBorder="1" applyAlignment="1">
      <alignment horizontal="center" vertical="center" textRotation="90"/>
    </xf>
    <xf numFmtId="16" fontId="0" fillId="0" borderId="29" xfId="0" applyNumberFormat="1" applyBorder="1" applyAlignment="1">
      <alignment horizontal="center" vertical="center" textRotation="90"/>
    </xf>
    <xf numFmtId="16" fontId="0" fillId="0" borderId="31" xfId="0" applyNumberFormat="1" applyBorder="1" applyAlignment="1">
      <alignment horizontal="center" vertical="center" textRotation="90"/>
    </xf>
  </cellXfs>
  <cellStyles count="2">
    <cellStyle name="Normal" xfId="0" builtinId="0"/>
    <cellStyle name="Porcentaje" xfId="1" builtinId="5"/>
  </cellStyles>
  <dxfs count="14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CAMARAS</a:t>
            </a:r>
            <a:r>
              <a:rPr lang="es-AR" baseline="0"/>
              <a:t> SIN FUNCIONAR</a:t>
            </a:r>
            <a:endParaRPr lang="es-A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0151-47DB-A981-CADEF43FFC6D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1-0151-47DB-A981-CADEF43FFC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14848"/>
        <c:axId val="245616640"/>
      </c:lineChart>
      <c:catAx>
        <c:axId val="245614848"/>
        <c:scaling>
          <c:orientation val="minMax"/>
          <c:max val="45383"/>
          <c:min val="45353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6640"/>
        <c:crosses val="autoZero"/>
        <c:auto val="1"/>
        <c:lblAlgn val="ctr"/>
        <c:lblOffset val="100"/>
        <c:noMultiLvlLbl val="1"/>
      </c:catAx>
      <c:valAx>
        <c:axId val="245616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48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9108307387861679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1558-410A-8F16-F1E7AF7C6BD7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1-1558-410A-8F16-F1E7AF7C6BD7}"/>
            </c:ext>
          </c:extLst>
        </c:ser>
        <c:ser>
          <c:idx val="2"/>
          <c:order val="2"/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2-1558-410A-8F16-F1E7AF7C6B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5653888"/>
        <c:axId val="245655424"/>
      </c:barChart>
      <c:catAx>
        <c:axId val="245653888"/>
        <c:scaling>
          <c:orientation val="minMax"/>
          <c:max val="45383"/>
          <c:min val="45353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5424"/>
        <c:crosses val="autoZero"/>
        <c:auto val="1"/>
        <c:lblAlgn val="ctr"/>
        <c:lblOffset val="100"/>
        <c:noMultiLvlLbl val="1"/>
      </c:catAx>
      <c:valAx>
        <c:axId val="245655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3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Total</a:t>
            </a:r>
            <a:r>
              <a:rPr lang="es-AR" baseline="0"/>
              <a:t> sin funcionar</a:t>
            </a:r>
            <a:endParaRPr lang="es-AR"/>
          </a:p>
        </c:rich>
      </c:tx>
      <c:layout>
        <c:manualLayout>
          <c:xMode val="edge"/>
          <c:yMode val="edge"/>
          <c:x val="5.8761308281141303E-2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740B-4A23-95A8-41FD38D35DB5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1-740B-4A23-95A8-41FD38D35DB5}"/>
            </c:ext>
          </c:extLst>
        </c:ser>
        <c:ser>
          <c:idx val="2"/>
          <c:order val="2"/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2-740B-4A23-95A8-41FD38D35D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91520"/>
        <c:axId val="245693056"/>
      </c:lineChart>
      <c:catAx>
        <c:axId val="245691520"/>
        <c:scaling>
          <c:orientation val="minMax"/>
          <c:max val="45383"/>
          <c:min val="45353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3056"/>
        <c:crosses val="autoZero"/>
        <c:auto val="1"/>
        <c:lblAlgn val="ctr"/>
        <c:lblOffset val="100"/>
        <c:noMultiLvlLbl val="1"/>
      </c:catAx>
      <c:valAx>
        <c:axId val="245693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1520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AF35-412B-9B80-8EFFAE85F0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779456"/>
        <c:axId val="245814016"/>
      </c:lineChart>
      <c:catAx>
        <c:axId val="245779456"/>
        <c:scaling>
          <c:orientation val="minMax"/>
          <c:max val="45383"/>
          <c:min val="45353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814016"/>
        <c:crosses val="autoZero"/>
        <c:auto val="1"/>
        <c:lblAlgn val="ctr"/>
        <c:lblOffset val="100"/>
        <c:noMultiLvlLbl val="1"/>
      </c:catAx>
      <c:valAx>
        <c:axId val="245814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7794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CANTIDAD DE CAMARAS 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Hoja1!$E$3</c:f>
              <c:strCache>
                <c:ptCount val="1"/>
                <c:pt idx="0">
                  <c:v>APAGADAS BONOMO</c:v>
                </c:pt>
              </c:strCache>
            </c:strRef>
          </c:tx>
          <c:spPr>
            <a:ln w="28575" cap="rnd">
              <a:solidFill>
                <a:srgbClr val="002060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45992</c:v>
                </c:pt>
                <c:pt idx="1">
                  <c:v>45993</c:v>
                </c:pt>
                <c:pt idx="2">
                  <c:v>45994</c:v>
                </c:pt>
                <c:pt idx="3">
                  <c:v>45995</c:v>
                </c:pt>
                <c:pt idx="4">
                  <c:v>45996</c:v>
                </c:pt>
                <c:pt idx="5">
                  <c:v>45997</c:v>
                </c:pt>
                <c:pt idx="6">
                  <c:v>45998</c:v>
                </c:pt>
                <c:pt idx="7">
                  <c:v>45999</c:v>
                </c:pt>
                <c:pt idx="8">
                  <c:v>46000</c:v>
                </c:pt>
                <c:pt idx="9">
                  <c:v>46001</c:v>
                </c:pt>
                <c:pt idx="10">
                  <c:v>46002</c:v>
                </c:pt>
                <c:pt idx="11">
                  <c:v>46003</c:v>
                </c:pt>
                <c:pt idx="12">
                  <c:v>46004</c:v>
                </c:pt>
                <c:pt idx="13">
                  <c:v>46005</c:v>
                </c:pt>
                <c:pt idx="14">
                  <c:v>46006</c:v>
                </c:pt>
                <c:pt idx="15">
                  <c:v>46007</c:v>
                </c:pt>
                <c:pt idx="16">
                  <c:v>46008</c:v>
                </c:pt>
                <c:pt idx="17">
                  <c:v>46009</c:v>
                </c:pt>
                <c:pt idx="18">
                  <c:v>46010</c:v>
                </c:pt>
                <c:pt idx="19">
                  <c:v>46011</c:v>
                </c:pt>
                <c:pt idx="20">
                  <c:v>46012</c:v>
                </c:pt>
                <c:pt idx="21">
                  <c:v>46013</c:v>
                </c:pt>
                <c:pt idx="22">
                  <c:v>46014</c:v>
                </c:pt>
                <c:pt idx="23">
                  <c:v>46015</c:v>
                </c:pt>
                <c:pt idx="24">
                  <c:v>46016</c:v>
                </c:pt>
                <c:pt idx="25">
                  <c:v>46017</c:v>
                </c:pt>
                <c:pt idx="26">
                  <c:v>46018</c:v>
                </c:pt>
                <c:pt idx="27">
                  <c:v>46019</c:v>
                </c:pt>
                <c:pt idx="28">
                  <c:v>46020</c:v>
                </c:pt>
              </c:numCache>
            </c:numRef>
          </c:cat>
          <c:val>
            <c:numRef>
              <c:f>Hoja1!$F$3:$AH$3</c:f>
              <c:numCache>
                <c:formatCode>General</c:formatCode>
                <c:ptCount val="29"/>
                <c:pt idx="0">
                  <c:v>0</c:v>
                </c:pt>
                <c:pt idx="1">
                  <c:v>29</c:v>
                </c:pt>
                <c:pt idx="2">
                  <c:v>37</c:v>
                </c:pt>
                <c:pt idx="3">
                  <c:v>48</c:v>
                </c:pt>
                <c:pt idx="4">
                  <c:v>41</c:v>
                </c:pt>
                <c:pt idx="5">
                  <c:v>22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8E2-4AE9-B93A-858340C18714}"/>
            </c:ext>
          </c:extLst>
        </c:ser>
        <c:ser>
          <c:idx val="2"/>
          <c:order val="2"/>
          <c:tx>
            <c:strRef>
              <c:f>Hoja1!$E$5</c:f>
              <c:strCache>
                <c:ptCount val="1"/>
                <c:pt idx="0">
                  <c:v>APAGADAS COSEIDI</c:v>
                </c:pt>
              </c:strCache>
            </c:strRef>
          </c:tx>
          <c:spPr>
            <a:ln w="28575" cap="rnd">
              <a:solidFill>
                <a:srgbClr val="FFC000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45992</c:v>
                </c:pt>
                <c:pt idx="1">
                  <c:v>45993</c:v>
                </c:pt>
                <c:pt idx="2">
                  <c:v>45994</c:v>
                </c:pt>
                <c:pt idx="3">
                  <c:v>45995</c:v>
                </c:pt>
                <c:pt idx="4">
                  <c:v>45996</c:v>
                </c:pt>
                <c:pt idx="5">
                  <c:v>45997</c:v>
                </c:pt>
                <c:pt idx="6">
                  <c:v>45998</c:v>
                </c:pt>
                <c:pt idx="7">
                  <c:v>45999</c:v>
                </c:pt>
                <c:pt idx="8">
                  <c:v>46000</c:v>
                </c:pt>
                <c:pt idx="9">
                  <c:v>46001</c:v>
                </c:pt>
                <c:pt idx="10">
                  <c:v>46002</c:v>
                </c:pt>
                <c:pt idx="11">
                  <c:v>46003</c:v>
                </c:pt>
                <c:pt idx="12">
                  <c:v>46004</c:v>
                </c:pt>
                <c:pt idx="13">
                  <c:v>46005</c:v>
                </c:pt>
                <c:pt idx="14">
                  <c:v>46006</c:v>
                </c:pt>
                <c:pt idx="15">
                  <c:v>46007</c:v>
                </c:pt>
                <c:pt idx="16">
                  <c:v>46008</c:v>
                </c:pt>
                <c:pt idx="17">
                  <c:v>46009</c:v>
                </c:pt>
                <c:pt idx="18">
                  <c:v>46010</c:v>
                </c:pt>
                <c:pt idx="19">
                  <c:v>46011</c:v>
                </c:pt>
                <c:pt idx="20">
                  <c:v>46012</c:v>
                </c:pt>
                <c:pt idx="21">
                  <c:v>46013</c:v>
                </c:pt>
                <c:pt idx="22">
                  <c:v>46014</c:v>
                </c:pt>
                <c:pt idx="23">
                  <c:v>46015</c:v>
                </c:pt>
                <c:pt idx="24">
                  <c:v>46016</c:v>
                </c:pt>
                <c:pt idx="25">
                  <c:v>46017</c:v>
                </c:pt>
                <c:pt idx="26">
                  <c:v>46018</c:v>
                </c:pt>
                <c:pt idx="27">
                  <c:v>46019</c:v>
                </c:pt>
                <c:pt idx="28">
                  <c:v>46020</c:v>
                </c:pt>
              </c:numCache>
            </c:numRef>
          </c:cat>
          <c:val>
            <c:numRef>
              <c:f>Hoja1!$F$5:$AH$5</c:f>
              <c:numCache>
                <c:formatCode>General</c:formatCode>
                <c:ptCount val="29"/>
                <c:pt idx="0">
                  <c:v>51</c:v>
                </c:pt>
                <c:pt idx="1">
                  <c:v>41</c:v>
                </c:pt>
                <c:pt idx="2">
                  <c:v>37</c:v>
                </c:pt>
                <c:pt idx="3">
                  <c:v>73</c:v>
                </c:pt>
                <c:pt idx="4">
                  <c:v>70</c:v>
                </c:pt>
                <c:pt idx="5">
                  <c:v>67</c:v>
                </c:pt>
                <c:pt idx="6">
                  <c:v>67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8E2-4AE9-B93A-858340C187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367744"/>
        <c:axId val="246369280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Hoja1!$E$4</c15:sqref>
                        </c15:formulaRef>
                      </c:ext>
                    </c:extLst>
                    <c:strCache>
                      <c:ptCount val="1"/>
                      <c:pt idx="0">
                        <c:v>%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45992</c:v>
                      </c:pt>
                      <c:pt idx="1">
                        <c:v>45993</c:v>
                      </c:pt>
                      <c:pt idx="2">
                        <c:v>45994</c:v>
                      </c:pt>
                      <c:pt idx="3">
                        <c:v>45995</c:v>
                      </c:pt>
                      <c:pt idx="4">
                        <c:v>45996</c:v>
                      </c:pt>
                      <c:pt idx="5">
                        <c:v>45997</c:v>
                      </c:pt>
                      <c:pt idx="6">
                        <c:v>45998</c:v>
                      </c:pt>
                      <c:pt idx="7">
                        <c:v>45999</c:v>
                      </c:pt>
                      <c:pt idx="8">
                        <c:v>46000</c:v>
                      </c:pt>
                      <c:pt idx="9">
                        <c:v>46001</c:v>
                      </c:pt>
                      <c:pt idx="10">
                        <c:v>46002</c:v>
                      </c:pt>
                      <c:pt idx="11">
                        <c:v>46003</c:v>
                      </c:pt>
                      <c:pt idx="12">
                        <c:v>46004</c:v>
                      </c:pt>
                      <c:pt idx="13">
                        <c:v>46005</c:v>
                      </c:pt>
                      <c:pt idx="14">
                        <c:v>46006</c:v>
                      </c:pt>
                      <c:pt idx="15">
                        <c:v>46007</c:v>
                      </c:pt>
                      <c:pt idx="16">
                        <c:v>46008</c:v>
                      </c:pt>
                      <c:pt idx="17">
                        <c:v>46009</c:v>
                      </c:pt>
                      <c:pt idx="18">
                        <c:v>46010</c:v>
                      </c:pt>
                      <c:pt idx="19">
                        <c:v>46011</c:v>
                      </c:pt>
                      <c:pt idx="20">
                        <c:v>46012</c:v>
                      </c:pt>
                      <c:pt idx="21">
                        <c:v>46013</c:v>
                      </c:pt>
                      <c:pt idx="22">
                        <c:v>46014</c:v>
                      </c:pt>
                      <c:pt idx="23">
                        <c:v>46015</c:v>
                      </c:pt>
                      <c:pt idx="24">
                        <c:v>46016</c:v>
                      </c:pt>
                      <c:pt idx="25">
                        <c:v>46017</c:v>
                      </c:pt>
                      <c:pt idx="26">
                        <c:v>46018</c:v>
                      </c:pt>
                      <c:pt idx="27">
                        <c:v>46019</c:v>
                      </c:pt>
                      <c:pt idx="28">
                        <c:v>46020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Hoja1!$F$4:$AH$4</c15:sqref>
                        </c15:formulaRef>
                      </c:ext>
                    </c:extLst>
                    <c:numCache>
                      <c:formatCode>0%</c:formatCode>
                      <c:ptCount val="29"/>
                      <c:pt idx="0">
                        <c:v>0</c:v>
                      </c:pt>
                      <c:pt idx="1">
                        <c:v>9.634551495016612E-2</c:v>
                      </c:pt>
                      <c:pt idx="2">
                        <c:v>0.12292358803986711</c:v>
                      </c:pt>
                      <c:pt idx="3">
                        <c:v>0.15946843853820597</c:v>
                      </c:pt>
                      <c:pt idx="4">
                        <c:v>0.14000000000000001</c:v>
                      </c:pt>
                      <c:pt idx="5">
                        <c:v>7.3089700996677748E-2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58E2-4AE9-B93A-858340C18714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Hoja1!$E$6</c15:sqref>
                        </c15:formulaRef>
                      </c:ext>
                    </c:extLst>
                    <c:strCache>
                      <c:ptCount val="1"/>
                      <c:pt idx="0">
                        <c:v>%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45992</c:v>
                      </c:pt>
                      <c:pt idx="1">
                        <c:v>45993</c:v>
                      </c:pt>
                      <c:pt idx="2">
                        <c:v>45994</c:v>
                      </c:pt>
                      <c:pt idx="3">
                        <c:v>45995</c:v>
                      </c:pt>
                      <c:pt idx="4">
                        <c:v>45996</c:v>
                      </c:pt>
                      <c:pt idx="5">
                        <c:v>45997</c:v>
                      </c:pt>
                      <c:pt idx="6">
                        <c:v>45998</c:v>
                      </c:pt>
                      <c:pt idx="7">
                        <c:v>45999</c:v>
                      </c:pt>
                      <c:pt idx="8">
                        <c:v>46000</c:v>
                      </c:pt>
                      <c:pt idx="9">
                        <c:v>46001</c:v>
                      </c:pt>
                      <c:pt idx="10">
                        <c:v>46002</c:v>
                      </c:pt>
                      <c:pt idx="11">
                        <c:v>46003</c:v>
                      </c:pt>
                      <c:pt idx="12">
                        <c:v>46004</c:v>
                      </c:pt>
                      <c:pt idx="13">
                        <c:v>46005</c:v>
                      </c:pt>
                      <c:pt idx="14">
                        <c:v>46006</c:v>
                      </c:pt>
                      <c:pt idx="15">
                        <c:v>46007</c:v>
                      </c:pt>
                      <c:pt idx="16">
                        <c:v>46008</c:v>
                      </c:pt>
                      <c:pt idx="17">
                        <c:v>46009</c:v>
                      </c:pt>
                      <c:pt idx="18">
                        <c:v>46010</c:v>
                      </c:pt>
                      <c:pt idx="19">
                        <c:v>46011</c:v>
                      </c:pt>
                      <c:pt idx="20">
                        <c:v>46012</c:v>
                      </c:pt>
                      <c:pt idx="21">
                        <c:v>46013</c:v>
                      </c:pt>
                      <c:pt idx="22">
                        <c:v>46014</c:v>
                      </c:pt>
                      <c:pt idx="23">
                        <c:v>46015</c:v>
                      </c:pt>
                      <c:pt idx="24">
                        <c:v>46016</c:v>
                      </c:pt>
                      <c:pt idx="25">
                        <c:v>46017</c:v>
                      </c:pt>
                      <c:pt idx="26">
                        <c:v>46018</c:v>
                      </c:pt>
                      <c:pt idx="27">
                        <c:v>46019</c:v>
                      </c:pt>
                      <c:pt idx="28">
                        <c:v>46020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Hoja1!$F$6:$AH$6</c15:sqref>
                        </c15:formulaRef>
                      </c:ext>
                    </c:extLst>
                    <c:numCache>
                      <c:formatCode>0%</c:formatCode>
                      <c:ptCount val="29"/>
                      <c:pt idx="0">
                        <c:v>0</c:v>
                      </c:pt>
                      <c:pt idx="1">
                        <c:v>0.15298507462686567</c:v>
                      </c:pt>
                      <c:pt idx="2">
                        <c:v>0.12</c:v>
                      </c:pt>
                      <c:pt idx="3">
                        <c:v>0.24</c:v>
                      </c:pt>
                      <c:pt idx="4">
                        <c:v>0.23</c:v>
                      </c:pt>
                      <c:pt idx="5">
                        <c:v>0.25</c:v>
                      </c:pt>
                      <c:pt idx="6">
                        <c:v>0.25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58E2-4AE9-B93A-858340C18714}"/>
                  </c:ext>
                </c:extLst>
              </c15:ser>
            </c15:filteredLineSeries>
          </c:ext>
        </c:extLst>
      </c:lineChart>
      <c:dateAx>
        <c:axId val="246367744"/>
        <c:scaling>
          <c:orientation val="minMax"/>
          <c:min val="45931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9280"/>
        <c:crosses val="autoZero"/>
        <c:auto val="1"/>
        <c:lblOffset val="100"/>
        <c:baseTimeUnit val="days"/>
      </c:dateAx>
      <c:valAx>
        <c:axId val="246369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7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3812031272140746"/>
          <c:y val="0.92130448984683666"/>
          <c:w val="0.50598554651897121"/>
          <c:h val="7.035696522925254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PORCENTAJE DE CAMARAS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>
        <c:manualLayout>
          <c:layoutTarget val="inner"/>
          <c:xMode val="edge"/>
          <c:yMode val="edge"/>
          <c:x val="4.3850312335804768E-2"/>
          <c:y val="0.24747407897639537"/>
          <c:w val="0.94547305738805532"/>
          <c:h val="0.63307572986202665"/>
        </c:manualLayout>
      </c:layout>
      <c:lineChart>
        <c:grouping val="standard"/>
        <c:varyColors val="0"/>
        <c:ser>
          <c:idx val="1"/>
          <c:order val="1"/>
          <c:tx>
            <c:strRef>
              <c:f>Hoja1!$E$4</c:f>
              <c:strCache>
                <c:ptCount val="1"/>
                <c:pt idx="0">
                  <c:v>% BONOMO</c:v>
                </c:pt>
              </c:strCache>
            </c:strRef>
          </c:tx>
          <c:spPr>
            <a:ln w="28575" cap="rnd">
              <a:solidFill>
                <a:srgbClr val="002060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8427582637524788E-2"/>
                  <c:y val="8.380976436522841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45992</c:v>
                </c:pt>
                <c:pt idx="1">
                  <c:v>45993</c:v>
                </c:pt>
                <c:pt idx="2">
                  <c:v>45994</c:v>
                </c:pt>
                <c:pt idx="3">
                  <c:v>45995</c:v>
                </c:pt>
                <c:pt idx="4">
                  <c:v>45996</c:v>
                </c:pt>
                <c:pt idx="5">
                  <c:v>45997</c:v>
                </c:pt>
                <c:pt idx="6">
                  <c:v>45998</c:v>
                </c:pt>
                <c:pt idx="7">
                  <c:v>45999</c:v>
                </c:pt>
                <c:pt idx="8">
                  <c:v>46000</c:v>
                </c:pt>
                <c:pt idx="9">
                  <c:v>46001</c:v>
                </c:pt>
                <c:pt idx="10">
                  <c:v>46002</c:v>
                </c:pt>
                <c:pt idx="11">
                  <c:v>46003</c:v>
                </c:pt>
                <c:pt idx="12">
                  <c:v>46004</c:v>
                </c:pt>
                <c:pt idx="13">
                  <c:v>46005</c:v>
                </c:pt>
                <c:pt idx="14">
                  <c:v>46006</c:v>
                </c:pt>
                <c:pt idx="15">
                  <c:v>46007</c:v>
                </c:pt>
                <c:pt idx="16">
                  <c:v>46008</c:v>
                </c:pt>
                <c:pt idx="17">
                  <c:v>46009</c:v>
                </c:pt>
                <c:pt idx="18">
                  <c:v>46010</c:v>
                </c:pt>
                <c:pt idx="19">
                  <c:v>46011</c:v>
                </c:pt>
                <c:pt idx="20">
                  <c:v>46012</c:v>
                </c:pt>
                <c:pt idx="21">
                  <c:v>46013</c:v>
                </c:pt>
                <c:pt idx="22">
                  <c:v>46014</c:v>
                </c:pt>
                <c:pt idx="23">
                  <c:v>46015</c:v>
                </c:pt>
                <c:pt idx="24">
                  <c:v>46016</c:v>
                </c:pt>
                <c:pt idx="25">
                  <c:v>46017</c:v>
                </c:pt>
                <c:pt idx="26">
                  <c:v>46018</c:v>
                </c:pt>
                <c:pt idx="27">
                  <c:v>46019</c:v>
                </c:pt>
                <c:pt idx="28">
                  <c:v>46020</c:v>
                </c:pt>
              </c:numCache>
            </c:numRef>
          </c:cat>
          <c:val>
            <c:numRef>
              <c:f>Hoja1!$F$4:$AH$4</c:f>
              <c:numCache>
                <c:formatCode>0%</c:formatCode>
                <c:ptCount val="29"/>
                <c:pt idx="0">
                  <c:v>0</c:v>
                </c:pt>
                <c:pt idx="1">
                  <c:v>9.634551495016612E-2</c:v>
                </c:pt>
                <c:pt idx="2">
                  <c:v>0.12292358803986711</c:v>
                </c:pt>
                <c:pt idx="3">
                  <c:v>0.15946843853820597</c:v>
                </c:pt>
                <c:pt idx="4">
                  <c:v>0.14000000000000001</c:v>
                </c:pt>
                <c:pt idx="5">
                  <c:v>7.3089700996677748E-2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197-4095-BD7B-7B49D866642B}"/>
            </c:ext>
          </c:extLst>
        </c:ser>
        <c:ser>
          <c:idx val="3"/>
          <c:order val="3"/>
          <c:tx>
            <c:strRef>
              <c:f>Hoja1!$E$6</c:f>
              <c:strCache>
                <c:ptCount val="1"/>
                <c:pt idx="0">
                  <c:v>% COSEIDI</c:v>
                </c:pt>
              </c:strCache>
            </c:strRef>
          </c:tx>
          <c:spPr>
            <a:ln w="28575" cap="rnd">
              <a:solidFill>
                <a:schemeClr val="accent4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5477403954261545E-2"/>
                  <c:y val="-8.380976436522845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45992</c:v>
                </c:pt>
                <c:pt idx="1">
                  <c:v>45993</c:v>
                </c:pt>
                <c:pt idx="2">
                  <c:v>45994</c:v>
                </c:pt>
                <c:pt idx="3">
                  <c:v>45995</c:v>
                </c:pt>
                <c:pt idx="4">
                  <c:v>45996</c:v>
                </c:pt>
                <c:pt idx="5">
                  <c:v>45997</c:v>
                </c:pt>
                <c:pt idx="6">
                  <c:v>45998</c:v>
                </c:pt>
                <c:pt idx="7">
                  <c:v>45999</c:v>
                </c:pt>
                <c:pt idx="8">
                  <c:v>46000</c:v>
                </c:pt>
                <c:pt idx="9">
                  <c:v>46001</c:v>
                </c:pt>
                <c:pt idx="10">
                  <c:v>46002</c:v>
                </c:pt>
                <c:pt idx="11">
                  <c:v>46003</c:v>
                </c:pt>
                <c:pt idx="12">
                  <c:v>46004</c:v>
                </c:pt>
                <c:pt idx="13">
                  <c:v>46005</c:v>
                </c:pt>
                <c:pt idx="14">
                  <c:v>46006</c:v>
                </c:pt>
                <c:pt idx="15">
                  <c:v>46007</c:v>
                </c:pt>
                <c:pt idx="16">
                  <c:v>46008</c:v>
                </c:pt>
                <c:pt idx="17">
                  <c:v>46009</c:v>
                </c:pt>
                <c:pt idx="18">
                  <c:v>46010</c:v>
                </c:pt>
                <c:pt idx="19">
                  <c:v>46011</c:v>
                </c:pt>
                <c:pt idx="20">
                  <c:v>46012</c:v>
                </c:pt>
                <c:pt idx="21">
                  <c:v>46013</c:v>
                </c:pt>
                <c:pt idx="22">
                  <c:v>46014</c:v>
                </c:pt>
                <c:pt idx="23">
                  <c:v>46015</c:v>
                </c:pt>
                <c:pt idx="24">
                  <c:v>46016</c:v>
                </c:pt>
                <c:pt idx="25">
                  <c:v>46017</c:v>
                </c:pt>
                <c:pt idx="26">
                  <c:v>46018</c:v>
                </c:pt>
                <c:pt idx="27">
                  <c:v>46019</c:v>
                </c:pt>
                <c:pt idx="28">
                  <c:v>46020</c:v>
                </c:pt>
              </c:numCache>
            </c:numRef>
          </c:cat>
          <c:val>
            <c:numRef>
              <c:f>Hoja1!$F$6:$AH$6</c:f>
              <c:numCache>
                <c:formatCode>0%</c:formatCode>
                <c:ptCount val="29"/>
                <c:pt idx="0">
                  <c:v>0</c:v>
                </c:pt>
                <c:pt idx="1">
                  <c:v>0.15298507462686567</c:v>
                </c:pt>
                <c:pt idx="2">
                  <c:v>0.12</c:v>
                </c:pt>
                <c:pt idx="3">
                  <c:v>0.24</c:v>
                </c:pt>
                <c:pt idx="4">
                  <c:v>0.23</c:v>
                </c:pt>
                <c:pt idx="5">
                  <c:v>0.25</c:v>
                </c:pt>
                <c:pt idx="6">
                  <c:v>0.25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197-4095-BD7B-7B49D86664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634752"/>
        <c:axId val="246640640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Hoja1!$E$3</c15:sqref>
                        </c15:formulaRef>
                      </c:ext>
                    </c:extLst>
                    <c:strCache>
                      <c:ptCount val="1"/>
                      <c:pt idx="0">
                        <c:v>APAGADAS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45992</c:v>
                      </c:pt>
                      <c:pt idx="1">
                        <c:v>45993</c:v>
                      </c:pt>
                      <c:pt idx="2">
                        <c:v>45994</c:v>
                      </c:pt>
                      <c:pt idx="3">
                        <c:v>45995</c:v>
                      </c:pt>
                      <c:pt idx="4">
                        <c:v>45996</c:v>
                      </c:pt>
                      <c:pt idx="5">
                        <c:v>45997</c:v>
                      </c:pt>
                      <c:pt idx="6">
                        <c:v>45998</c:v>
                      </c:pt>
                      <c:pt idx="7">
                        <c:v>45999</c:v>
                      </c:pt>
                      <c:pt idx="8">
                        <c:v>46000</c:v>
                      </c:pt>
                      <c:pt idx="9">
                        <c:v>46001</c:v>
                      </c:pt>
                      <c:pt idx="10">
                        <c:v>46002</c:v>
                      </c:pt>
                      <c:pt idx="11">
                        <c:v>46003</c:v>
                      </c:pt>
                      <c:pt idx="12">
                        <c:v>46004</c:v>
                      </c:pt>
                      <c:pt idx="13">
                        <c:v>46005</c:v>
                      </c:pt>
                      <c:pt idx="14">
                        <c:v>46006</c:v>
                      </c:pt>
                      <c:pt idx="15">
                        <c:v>46007</c:v>
                      </c:pt>
                      <c:pt idx="16">
                        <c:v>46008</c:v>
                      </c:pt>
                      <c:pt idx="17">
                        <c:v>46009</c:v>
                      </c:pt>
                      <c:pt idx="18">
                        <c:v>46010</c:v>
                      </c:pt>
                      <c:pt idx="19">
                        <c:v>46011</c:v>
                      </c:pt>
                      <c:pt idx="20">
                        <c:v>46012</c:v>
                      </c:pt>
                      <c:pt idx="21">
                        <c:v>46013</c:v>
                      </c:pt>
                      <c:pt idx="22">
                        <c:v>46014</c:v>
                      </c:pt>
                      <c:pt idx="23">
                        <c:v>46015</c:v>
                      </c:pt>
                      <c:pt idx="24">
                        <c:v>46016</c:v>
                      </c:pt>
                      <c:pt idx="25">
                        <c:v>46017</c:v>
                      </c:pt>
                      <c:pt idx="26">
                        <c:v>46018</c:v>
                      </c:pt>
                      <c:pt idx="27">
                        <c:v>46019</c:v>
                      </c:pt>
                      <c:pt idx="28">
                        <c:v>46020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Hoja1!$F$3:$AH$3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0</c:v>
                      </c:pt>
                      <c:pt idx="1">
                        <c:v>29</c:v>
                      </c:pt>
                      <c:pt idx="2">
                        <c:v>37</c:v>
                      </c:pt>
                      <c:pt idx="3">
                        <c:v>48</c:v>
                      </c:pt>
                      <c:pt idx="4">
                        <c:v>41</c:v>
                      </c:pt>
                      <c:pt idx="5">
                        <c:v>22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D197-4095-BD7B-7B49D866642B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Hoja1!$E$5</c15:sqref>
                        </c15:formulaRef>
                      </c:ext>
                    </c:extLst>
                    <c:strCache>
                      <c:ptCount val="1"/>
                      <c:pt idx="0">
                        <c:v>APAGADAS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45992</c:v>
                      </c:pt>
                      <c:pt idx="1">
                        <c:v>45993</c:v>
                      </c:pt>
                      <c:pt idx="2">
                        <c:v>45994</c:v>
                      </c:pt>
                      <c:pt idx="3">
                        <c:v>45995</c:v>
                      </c:pt>
                      <c:pt idx="4">
                        <c:v>45996</c:v>
                      </c:pt>
                      <c:pt idx="5">
                        <c:v>45997</c:v>
                      </c:pt>
                      <c:pt idx="6">
                        <c:v>45998</c:v>
                      </c:pt>
                      <c:pt idx="7">
                        <c:v>45999</c:v>
                      </c:pt>
                      <c:pt idx="8">
                        <c:v>46000</c:v>
                      </c:pt>
                      <c:pt idx="9">
                        <c:v>46001</c:v>
                      </c:pt>
                      <c:pt idx="10">
                        <c:v>46002</c:v>
                      </c:pt>
                      <c:pt idx="11">
                        <c:v>46003</c:v>
                      </c:pt>
                      <c:pt idx="12">
                        <c:v>46004</c:v>
                      </c:pt>
                      <c:pt idx="13">
                        <c:v>46005</c:v>
                      </c:pt>
                      <c:pt idx="14">
                        <c:v>46006</c:v>
                      </c:pt>
                      <c:pt idx="15">
                        <c:v>46007</c:v>
                      </c:pt>
                      <c:pt idx="16">
                        <c:v>46008</c:v>
                      </c:pt>
                      <c:pt idx="17">
                        <c:v>46009</c:v>
                      </c:pt>
                      <c:pt idx="18">
                        <c:v>46010</c:v>
                      </c:pt>
                      <c:pt idx="19">
                        <c:v>46011</c:v>
                      </c:pt>
                      <c:pt idx="20">
                        <c:v>46012</c:v>
                      </c:pt>
                      <c:pt idx="21">
                        <c:v>46013</c:v>
                      </c:pt>
                      <c:pt idx="22">
                        <c:v>46014</c:v>
                      </c:pt>
                      <c:pt idx="23">
                        <c:v>46015</c:v>
                      </c:pt>
                      <c:pt idx="24">
                        <c:v>46016</c:v>
                      </c:pt>
                      <c:pt idx="25">
                        <c:v>46017</c:v>
                      </c:pt>
                      <c:pt idx="26">
                        <c:v>46018</c:v>
                      </c:pt>
                      <c:pt idx="27">
                        <c:v>46019</c:v>
                      </c:pt>
                      <c:pt idx="28">
                        <c:v>46020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Hoja1!$F$5:$AH$5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51</c:v>
                      </c:pt>
                      <c:pt idx="1">
                        <c:v>41</c:v>
                      </c:pt>
                      <c:pt idx="2">
                        <c:v>37</c:v>
                      </c:pt>
                      <c:pt idx="3">
                        <c:v>73</c:v>
                      </c:pt>
                      <c:pt idx="4">
                        <c:v>70</c:v>
                      </c:pt>
                      <c:pt idx="5">
                        <c:v>67</c:v>
                      </c:pt>
                      <c:pt idx="6">
                        <c:v>67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D197-4095-BD7B-7B49D866642B}"/>
                  </c:ext>
                </c:extLst>
              </c15:ser>
            </c15:filteredLineSeries>
          </c:ext>
        </c:extLst>
      </c:lineChart>
      <c:dateAx>
        <c:axId val="246634752"/>
        <c:scaling>
          <c:orientation val="minMax"/>
          <c:min val="45931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40640"/>
        <c:crosses val="autoZero"/>
        <c:auto val="1"/>
        <c:lblOffset val="100"/>
        <c:baseTimeUnit val="days"/>
      </c:dateAx>
      <c:valAx>
        <c:axId val="246640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34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31738647535605641"/>
          <c:y val="0.13667418329341519"/>
          <c:w val="0.39349687833384428"/>
          <c:h val="7.834316671418857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CANTIDAD DE CAMARAS 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Hoja1!$E$3</c:f>
              <c:strCache>
                <c:ptCount val="1"/>
                <c:pt idx="0">
                  <c:v>APAGADAS BONOMO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45992</c:v>
                </c:pt>
                <c:pt idx="1">
                  <c:v>45993</c:v>
                </c:pt>
                <c:pt idx="2">
                  <c:v>45994</c:v>
                </c:pt>
                <c:pt idx="3">
                  <c:v>45995</c:v>
                </c:pt>
                <c:pt idx="4">
                  <c:v>45996</c:v>
                </c:pt>
                <c:pt idx="5">
                  <c:v>45997</c:v>
                </c:pt>
                <c:pt idx="6">
                  <c:v>45998</c:v>
                </c:pt>
                <c:pt idx="7">
                  <c:v>45999</c:v>
                </c:pt>
                <c:pt idx="8">
                  <c:v>46000</c:v>
                </c:pt>
                <c:pt idx="9">
                  <c:v>46001</c:v>
                </c:pt>
                <c:pt idx="10">
                  <c:v>46002</c:v>
                </c:pt>
                <c:pt idx="11">
                  <c:v>46003</c:v>
                </c:pt>
                <c:pt idx="12">
                  <c:v>46004</c:v>
                </c:pt>
                <c:pt idx="13">
                  <c:v>46005</c:v>
                </c:pt>
                <c:pt idx="14">
                  <c:v>46006</c:v>
                </c:pt>
                <c:pt idx="15">
                  <c:v>46007</c:v>
                </c:pt>
                <c:pt idx="16">
                  <c:v>46008</c:v>
                </c:pt>
                <c:pt idx="17">
                  <c:v>46009</c:v>
                </c:pt>
                <c:pt idx="18">
                  <c:v>46010</c:v>
                </c:pt>
                <c:pt idx="19">
                  <c:v>46011</c:v>
                </c:pt>
                <c:pt idx="20">
                  <c:v>46012</c:v>
                </c:pt>
                <c:pt idx="21">
                  <c:v>46013</c:v>
                </c:pt>
                <c:pt idx="22">
                  <c:v>46014</c:v>
                </c:pt>
                <c:pt idx="23">
                  <c:v>46015</c:v>
                </c:pt>
                <c:pt idx="24">
                  <c:v>46016</c:v>
                </c:pt>
                <c:pt idx="25">
                  <c:v>46017</c:v>
                </c:pt>
                <c:pt idx="26">
                  <c:v>46018</c:v>
                </c:pt>
                <c:pt idx="27">
                  <c:v>46019</c:v>
                </c:pt>
                <c:pt idx="28">
                  <c:v>46020</c:v>
                </c:pt>
              </c:numCache>
            </c:numRef>
          </c:cat>
          <c:val>
            <c:numRef>
              <c:f>Hoja1!$F$3:$AH$3</c:f>
              <c:numCache>
                <c:formatCode>General</c:formatCode>
                <c:ptCount val="29"/>
                <c:pt idx="0">
                  <c:v>0</c:v>
                </c:pt>
                <c:pt idx="1">
                  <c:v>29</c:v>
                </c:pt>
                <c:pt idx="2">
                  <c:v>37</c:v>
                </c:pt>
                <c:pt idx="3">
                  <c:v>48</c:v>
                </c:pt>
                <c:pt idx="4">
                  <c:v>41</c:v>
                </c:pt>
                <c:pt idx="5">
                  <c:v>22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035-4E09-9BB8-0057627A1B03}"/>
            </c:ext>
          </c:extLst>
        </c:ser>
        <c:ser>
          <c:idx val="2"/>
          <c:order val="2"/>
          <c:tx>
            <c:strRef>
              <c:f>Hoja1!$E$5</c:f>
              <c:strCache>
                <c:ptCount val="1"/>
                <c:pt idx="0">
                  <c:v>APAGADAS COSEIDI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45992</c:v>
                </c:pt>
                <c:pt idx="1">
                  <c:v>45993</c:v>
                </c:pt>
                <c:pt idx="2">
                  <c:v>45994</c:v>
                </c:pt>
                <c:pt idx="3">
                  <c:v>45995</c:v>
                </c:pt>
                <c:pt idx="4">
                  <c:v>45996</c:v>
                </c:pt>
                <c:pt idx="5">
                  <c:v>45997</c:v>
                </c:pt>
                <c:pt idx="6">
                  <c:v>45998</c:v>
                </c:pt>
                <c:pt idx="7">
                  <c:v>45999</c:v>
                </c:pt>
                <c:pt idx="8">
                  <c:v>46000</c:v>
                </c:pt>
                <c:pt idx="9">
                  <c:v>46001</c:v>
                </c:pt>
                <c:pt idx="10">
                  <c:v>46002</c:v>
                </c:pt>
                <c:pt idx="11">
                  <c:v>46003</c:v>
                </c:pt>
                <c:pt idx="12">
                  <c:v>46004</c:v>
                </c:pt>
                <c:pt idx="13">
                  <c:v>46005</c:v>
                </c:pt>
                <c:pt idx="14">
                  <c:v>46006</c:v>
                </c:pt>
                <c:pt idx="15">
                  <c:v>46007</c:v>
                </c:pt>
                <c:pt idx="16">
                  <c:v>46008</c:v>
                </c:pt>
                <c:pt idx="17">
                  <c:v>46009</c:v>
                </c:pt>
                <c:pt idx="18">
                  <c:v>46010</c:v>
                </c:pt>
                <c:pt idx="19">
                  <c:v>46011</c:v>
                </c:pt>
                <c:pt idx="20">
                  <c:v>46012</c:v>
                </c:pt>
                <c:pt idx="21">
                  <c:v>46013</c:v>
                </c:pt>
                <c:pt idx="22">
                  <c:v>46014</c:v>
                </c:pt>
                <c:pt idx="23">
                  <c:v>46015</c:v>
                </c:pt>
                <c:pt idx="24">
                  <c:v>46016</c:v>
                </c:pt>
                <c:pt idx="25">
                  <c:v>46017</c:v>
                </c:pt>
                <c:pt idx="26">
                  <c:v>46018</c:v>
                </c:pt>
                <c:pt idx="27">
                  <c:v>46019</c:v>
                </c:pt>
                <c:pt idx="28">
                  <c:v>46020</c:v>
                </c:pt>
              </c:numCache>
            </c:numRef>
          </c:cat>
          <c:val>
            <c:numRef>
              <c:f>Hoja1!$F$5:$AH$5</c:f>
              <c:numCache>
                <c:formatCode>General</c:formatCode>
                <c:ptCount val="29"/>
                <c:pt idx="0">
                  <c:v>51</c:v>
                </c:pt>
                <c:pt idx="1">
                  <c:v>41</c:v>
                </c:pt>
                <c:pt idx="2">
                  <c:v>37</c:v>
                </c:pt>
                <c:pt idx="3">
                  <c:v>73</c:v>
                </c:pt>
                <c:pt idx="4">
                  <c:v>70</c:v>
                </c:pt>
                <c:pt idx="5">
                  <c:v>67</c:v>
                </c:pt>
                <c:pt idx="6">
                  <c:v>67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035-4E09-9BB8-0057627A1B0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46367744"/>
        <c:axId val="246369280"/>
        <c:extLst>
          <c:ext xmlns:c15="http://schemas.microsoft.com/office/drawing/2012/chart" uri="{02D57815-91ED-43cb-92C2-25804820EDAC}">
            <c15:filteredBar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Hoja1!$E$4</c15:sqref>
                        </c15:formulaRef>
                      </c:ext>
                    </c:extLst>
                    <c:strCache>
                      <c:ptCount val="1"/>
                      <c:pt idx="0">
                        <c:v>% BONOMO</c:v>
                      </c:pt>
                    </c:strCache>
                  </c:strRef>
                </c:tx>
                <c:spPr>
                  <a:solidFill>
                    <a:schemeClr val="accent2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>
                      <c:ext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45992</c:v>
                      </c:pt>
                      <c:pt idx="1">
                        <c:v>45993</c:v>
                      </c:pt>
                      <c:pt idx="2">
                        <c:v>45994</c:v>
                      </c:pt>
                      <c:pt idx="3">
                        <c:v>45995</c:v>
                      </c:pt>
                      <c:pt idx="4">
                        <c:v>45996</c:v>
                      </c:pt>
                      <c:pt idx="5">
                        <c:v>45997</c:v>
                      </c:pt>
                      <c:pt idx="6">
                        <c:v>45998</c:v>
                      </c:pt>
                      <c:pt idx="7">
                        <c:v>45999</c:v>
                      </c:pt>
                      <c:pt idx="8">
                        <c:v>46000</c:v>
                      </c:pt>
                      <c:pt idx="9">
                        <c:v>46001</c:v>
                      </c:pt>
                      <c:pt idx="10">
                        <c:v>46002</c:v>
                      </c:pt>
                      <c:pt idx="11">
                        <c:v>46003</c:v>
                      </c:pt>
                      <c:pt idx="12">
                        <c:v>46004</c:v>
                      </c:pt>
                      <c:pt idx="13">
                        <c:v>46005</c:v>
                      </c:pt>
                      <c:pt idx="14">
                        <c:v>46006</c:v>
                      </c:pt>
                      <c:pt idx="15">
                        <c:v>46007</c:v>
                      </c:pt>
                      <c:pt idx="16">
                        <c:v>46008</c:v>
                      </c:pt>
                      <c:pt idx="17">
                        <c:v>46009</c:v>
                      </c:pt>
                      <c:pt idx="18">
                        <c:v>46010</c:v>
                      </c:pt>
                      <c:pt idx="19">
                        <c:v>46011</c:v>
                      </c:pt>
                      <c:pt idx="20">
                        <c:v>46012</c:v>
                      </c:pt>
                      <c:pt idx="21">
                        <c:v>46013</c:v>
                      </c:pt>
                      <c:pt idx="22">
                        <c:v>46014</c:v>
                      </c:pt>
                      <c:pt idx="23">
                        <c:v>46015</c:v>
                      </c:pt>
                      <c:pt idx="24">
                        <c:v>46016</c:v>
                      </c:pt>
                      <c:pt idx="25">
                        <c:v>46017</c:v>
                      </c:pt>
                      <c:pt idx="26">
                        <c:v>46018</c:v>
                      </c:pt>
                      <c:pt idx="27">
                        <c:v>46019</c:v>
                      </c:pt>
                      <c:pt idx="28">
                        <c:v>46020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Hoja1!$F$4:$AH$4</c15:sqref>
                        </c15:formulaRef>
                      </c:ext>
                    </c:extLst>
                    <c:numCache>
                      <c:formatCode>0%</c:formatCode>
                      <c:ptCount val="29"/>
                      <c:pt idx="0">
                        <c:v>0</c:v>
                      </c:pt>
                      <c:pt idx="1">
                        <c:v>9.634551495016612E-2</c:v>
                      </c:pt>
                      <c:pt idx="2">
                        <c:v>0.12292358803986711</c:v>
                      </c:pt>
                      <c:pt idx="3">
                        <c:v>0.15946843853820597</c:v>
                      </c:pt>
                      <c:pt idx="4">
                        <c:v>0.14000000000000001</c:v>
                      </c:pt>
                      <c:pt idx="5">
                        <c:v>7.3089700996677748E-2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2-C035-4E09-9BB8-0057627A1B03}"/>
                  </c:ext>
                </c:extLst>
              </c15:ser>
            </c15:filteredBarSeries>
            <c15:filteredBar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Hoja1!$E$6</c15:sqref>
                        </c15:formulaRef>
                      </c:ext>
                    </c:extLst>
                    <c:strCache>
                      <c:ptCount val="1"/>
                      <c:pt idx="0">
                        <c:v>% COSEIDI</c:v>
                      </c:pt>
                    </c:strCache>
                  </c:strRef>
                </c:tx>
                <c:spPr>
                  <a:solidFill>
                    <a:schemeClr val="accent4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45992</c:v>
                      </c:pt>
                      <c:pt idx="1">
                        <c:v>45993</c:v>
                      </c:pt>
                      <c:pt idx="2">
                        <c:v>45994</c:v>
                      </c:pt>
                      <c:pt idx="3">
                        <c:v>45995</c:v>
                      </c:pt>
                      <c:pt idx="4">
                        <c:v>45996</c:v>
                      </c:pt>
                      <c:pt idx="5">
                        <c:v>45997</c:v>
                      </c:pt>
                      <c:pt idx="6">
                        <c:v>45998</c:v>
                      </c:pt>
                      <c:pt idx="7">
                        <c:v>45999</c:v>
                      </c:pt>
                      <c:pt idx="8">
                        <c:v>46000</c:v>
                      </c:pt>
                      <c:pt idx="9">
                        <c:v>46001</c:v>
                      </c:pt>
                      <c:pt idx="10">
                        <c:v>46002</c:v>
                      </c:pt>
                      <c:pt idx="11">
                        <c:v>46003</c:v>
                      </c:pt>
                      <c:pt idx="12">
                        <c:v>46004</c:v>
                      </c:pt>
                      <c:pt idx="13">
                        <c:v>46005</c:v>
                      </c:pt>
                      <c:pt idx="14">
                        <c:v>46006</c:v>
                      </c:pt>
                      <c:pt idx="15">
                        <c:v>46007</c:v>
                      </c:pt>
                      <c:pt idx="16">
                        <c:v>46008</c:v>
                      </c:pt>
                      <c:pt idx="17">
                        <c:v>46009</c:v>
                      </c:pt>
                      <c:pt idx="18">
                        <c:v>46010</c:v>
                      </c:pt>
                      <c:pt idx="19">
                        <c:v>46011</c:v>
                      </c:pt>
                      <c:pt idx="20">
                        <c:v>46012</c:v>
                      </c:pt>
                      <c:pt idx="21">
                        <c:v>46013</c:v>
                      </c:pt>
                      <c:pt idx="22">
                        <c:v>46014</c:v>
                      </c:pt>
                      <c:pt idx="23">
                        <c:v>46015</c:v>
                      </c:pt>
                      <c:pt idx="24">
                        <c:v>46016</c:v>
                      </c:pt>
                      <c:pt idx="25">
                        <c:v>46017</c:v>
                      </c:pt>
                      <c:pt idx="26">
                        <c:v>46018</c:v>
                      </c:pt>
                      <c:pt idx="27">
                        <c:v>46019</c:v>
                      </c:pt>
                      <c:pt idx="28">
                        <c:v>46020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Hoja1!$F$6:$AH$6</c15:sqref>
                        </c15:formulaRef>
                      </c:ext>
                    </c:extLst>
                    <c:numCache>
                      <c:formatCode>0%</c:formatCode>
                      <c:ptCount val="29"/>
                      <c:pt idx="0">
                        <c:v>0</c:v>
                      </c:pt>
                      <c:pt idx="1">
                        <c:v>0.15298507462686567</c:v>
                      </c:pt>
                      <c:pt idx="2">
                        <c:v>0.12</c:v>
                      </c:pt>
                      <c:pt idx="3">
                        <c:v>0.24</c:v>
                      </c:pt>
                      <c:pt idx="4">
                        <c:v>0.23</c:v>
                      </c:pt>
                      <c:pt idx="5">
                        <c:v>0.25</c:v>
                      </c:pt>
                      <c:pt idx="6">
                        <c:v>0.25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C035-4E09-9BB8-0057627A1B03}"/>
                  </c:ext>
                </c:extLst>
              </c15:ser>
            </c15:filteredBarSeries>
          </c:ext>
        </c:extLst>
      </c:barChart>
      <c:dateAx>
        <c:axId val="246367744"/>
        <c:scaling>
          <c:orientation val="minMax"/>
          <c:min val="45870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9280"/>
        <c:crosses val="autoZero"/>
        <c:auto val="1"/>
        <c:lblOffset val="100"/>
        <c:baseTimeUnit val="days"/>
      </c:dateAx>
      <c:valAx>
        <c:axId val="246369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7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3812031272140746"/>
          <c:y val="0.92130448984683666"/>
          <c:w val="0.24129480731208158"/>
          <c:h val="7.035696522925254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PORCENTAJE DE CAMARAS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>
        <c:manualLayout>
          <c:layoutTarget val="inner"/>
          <c:xMode val="edge"/>
          <c:yMode val="edge"/>
          <c:x val="4.3850312335804768E-2"/>
          <c:y val="0.24747407897639537"/>
          <c:w val="0.94547305738805532"/>
          <c:h val="0.63307572986202665"/>
        </c:manualLayout>
      </c:layout>
      <c:barChart>
        <c:barDir val="col"/>
        <c:grouping val="clustered"/>
        <c:varyColors val="0"/>
        <c:ser>
          <c:idx val="1"/>
          <c:order val="1"/>
          <c:tx>
            <c:strRef>
              <c:f>Hoja1!$E$4</c:f>
              <c:strCache>
                <c:ptCount val="1"/>
                <c:pt idx="0">
                  <c:v>% BONOMO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dLbl>
              <c:idx val="6"/>
              <c:layout>
                <c:manualLayout>
                  <c:x val="-1.8427582637524788E-2"/>
                  <c:y val="8.380976436522841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3407-4FCD-B1A1-01B6B6F99F2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45992</c:v>
                </c:pt>
                <c:pt idx="1">
                  <c:v>45993</c:v>
                </c:pt>
                <c:pt idx="2">
                  <c:v>45994</c:v>
                </c:pt>
                <c:pt idx="3">
                  <c:v>45995</c:v>
                </c:pt>
                <c:pt idx="4">
                  <c:v>45996</c:v>
                </c:pt>
                <c:pt idx="5">
                  <c:v>45997</c:v>
                </c:pt>
                <c:pt idx="6">
                  <c:v>45998</c:v>
                </c:pt>
                <c:pt idx="7">
                  <c:v>45999</c:v>
                </c:pt>
                <c:pt idx="8">
                  <c:v>46000</c:v>
                </c:pt>
                <c:pt idx="9">
                  <c:v>46001</c:v>
                </c:pt>
                <c:pt idx="10">
                  <c:v>46002</c:v>
                </c:pt>
                <c:pt idx="11">
                  <c:v>46003</c:v>
                </c:pt>
                <c:pt idx="12">
                  <c:v>46004</c:v>
                </c:pt>
                <c:pt idx="13">
                  <c:v>46005</c:v>
                </c:pt>
                <c:pt idx="14">
                  <c:v>46006</c:v>
                </c:pt>
                <c:pt idx="15">
                  <c:v>46007</c:v>
                </c:pt>
                <c:pt idx="16">
                  <c:v>46008</c:v>
                </c:pt>
                <c:pt idx="17">
                  <c:v>46009</c:v>
                </c:pt>
                <c:pt idx="18">
                  <c:v>46010</c:v>
                </c:pt>
                <c:pt idx="19">
                  <c:v>46011</c:v>
                </c:pt>
                <c:pt idx="20">
                  <c:v>46012</c:v>
                </c:pt>
                <c:pt idx="21">
                  <c:v>46013</c:v>
                </c:pt>
                <c:pt idx="22">
                  <c:v>46014</c:v>
                </c:pt>
                <c:pt idx="23">
                  <c:v>46015</c:v>
                </c:pt>
                <c:pt idx="24">
                  <c:v>46016</c:v>
                </c:pt>
                <c:pt idx="25">
                  <c:v>46017</c:v>
                </c:pt>
                <c:pt idx="26">
                  <c:v>46018</c:v>
                </c:pt>
                <c:pt idx="27">
                  <c:v>46019</c:v>
                </c:pt>
                <c:pt idx="28">
                  <c:v>46020</c:v>
                </c:pt>
              </c:numCache>
            </c:numRef>
          </c:cat>
          <c:val>
            <c:numRef>
              <c:f>Hoja1!$F$4:$AH$4</c:f>
              <c:numCache>
                <c:formatCode>0%</c:formatCode>
                <c:ptCount val="29"/>
                <c:pt idx="0">
                  <c:v>0</c:v>
                </c:pt>
                <c:pt idx="1">
                  <c:v>9.634551495016612E-2</c:v>
                </c:pt>
                <c:pt idx="2">
                  <c:v>0.12292358803986711</c:v>
                </c:pt>
                <c:pt idx="3">
                  <c:v>0.15946843853820597</c:v>
                </c:pt>
                <c:pt idx="4">
                  <c:v>0.14000000000000001</c:v>
                </c:pt>
                <c:pt idx="5">
                  <c:v>7.3089700996677748E-2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407-4FCD-B1A1-01B6B6F99F24}"/>
            </c:ext>
          </c:extLst>
        </c:ser>
        <c:ser>
          <c:idx val="3"/>
          <c:order val="3"/>
          <c:tx>
            <c:strRef>
              <c:f>Hoja1!$E$6</c:f>
              <c:strCache>
                <c:ptCount val="1"/>
                <c:pt idx="0">
                  <c:v>% COSEIDI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dLbl>
              <c:idx val="6"/>
              <c:layout>
                <c:manualLayout>
                  <c:x val="-1.5477403954261545E-2"/>
                  <c:y val="-8.380976436522845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3407-4FCD-B1A1-01B6B6F99F2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45992</c:v>
                </c:pt>
                <c:pt idx="1">
                  <c:v>45993</c:v>
                </c:pt>
                <c:pt idx="2">
                  <c:v>45994</c:v>
                </c:pt>
                <c:pt idx="3">
                  <c:v>45995</c:v>
                </c:pt>
                <c:pt idx="4">
                  <c:v>45996</c:v>
                </c:pt>
                <c:pt idx="5">
                  <c:v>45997</c:v>
                </c:pt>
                <c:pt idx="6">
                  <c:v>45998</c:v>
                </c:pt>
                <c:pt idx="7">
                  <c:v>45999</c:v>
                </c:pt>
                <c:pt idx="8">
                  <c:v>46000</c:v>
                </c:pt>
                <c:pt idx="9">
                  <c:v>46001</c:v>
                </c:pt>
                <c:pt idx="10">
                  <c:v>46002</c:v>
                </c:pt>
                <c:pt idx="11">
                  <c:v>46003</c:v>
                </c:pt>
                <c:pt idx="12">
                  <c:v>46004</c:v>
                </c:pt>
                <c:pt idx="13">
                  <c:v>46005</c:v>
                </c:pt>
                <c:pt idx="14">
                  <c:v>46006</c:v>
                </c:pt>
                <c:pt idx="15">
                  <c:v>46007</c:v>
                </c:pt>
                <c:pt idx="16">
                  <c:v>46008</c:v>
                </c:pt>
                <c:pt idx="17">
                  <c:v>46009</c:v>
                </c:pt>
                <c:pt idx="18">
                  <c:v>46010</c:v>
                </c:pt>
                <c:pt idx="19">
                  <c:v>46011</c:v>
                </c:pt>
                <c:pt idx="20">
                  <c:v>46012</c:v>
                </c:pt>
                <c:pt idx="21">
                  <c:v>46013</c:v>
                </c:pt>
                <c:pt idx="22">
                  <c:v>46014</c:v>
                </c:pt>
                <c:pt idx="23">
                  <c:v>46015</c:v>
                </c:pt>
                <c:pt idx="24">
                  <c:v>46016</c:v>
                </c:pt>
                <c:pt idx="25">
                  <c:v>46017</c:v>
                </c:pt>
                <c:pt idx="26">
                  <c:v>46018</c:v>
                </c:pt>
                <c:pt idx="27">
                  <c:v>46019</c:v>
                </c:pt>
                <c:pt idx="28">
                  <c:v>46020</c:v>
                </c:pt>
              </c:numCache>
            </c:numRef>
          </c:cat>
          <c:val>
            <c:numRef>
              <c:f>Hoja1!$F$6:$AH$6</c:f>
              <c:numCache>
                <c:formatCode>0%</c:formatCode>
                <c:ptCount val="29"/>
                <c:pt idx="0">
                  <c:v>0</c:v>
                </c:pt>
                <c:pt idx="1">
                  <c:v>0.15298507462686567</c:v>
                </c:pt>
                <c:pt idx="2">
                  <c:v>0.12</c:v>
                </c:pt>
                <c:pt idx="3">
                  <c:v>0.24</c:v>
                </c:pt>
                <c:pt idx="4">
                  <c:v>0.23</c:v>
                </c:pt>
                <c:pt idx="5">
                  <c:v>0.25</c:v>
                </c:pt>
                <c:pt idx="6">
                  <c:v>0.25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3407-4FCD-B1A1-01B6B6F99F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46634752"/>
        <c:axId val="246640640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Hoja1!$E$3</c15:sqref>
                        </c15:formulaRef>
                      </c:ext>
                    </c:extLst>
                    <c:strCache>
                      <c:ptCount val="1"/>
                      <c:pt idx="0">
                        <c:v>APAGADAS BONOMO</c:v>
                      </c:pt>
                    </c:strCache>
                  </c:strRef>
                </c:tx>
                <c:spPr>
                  <a:solidFill>
                    <a:schemeClr val="accent1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>
                      <c:ext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45992</c:v>
                      </c:pt>
                      <c:pt idx="1">
                        <c:v>45993</c:v>
                      </c:pt>
                      <c:pt idx="2">
                        <c:v>45994</c:v>
                      </c:pt>
                      <c:pt idx="3">
                        <c:v>45995</c:v>
                      </c:pt>
                      <c:pt idx="4">
                        <c:v>45996</c:v>
                      </c:pt>
                      <c:pt idx="5">
                        <c:v>45997</c:v>
                      </c:pt>
                      <c:pt idx="6">
                        <c:v>45998</c:v>
                      </c:pt>
                      <c:pt idx="7">
                        <c:v>45999</c:v>
                      </c:pt>
                      <c:pt idx="8">
                        <c:v>46000</c:v>
                      </c:pt>
                      <c:pt idx="9">
                        <c:v>46001</c:v>
                      </c:pt>
                      <c:pt idx="10">
                        <c:v>46002</c:v>
                      </c:pt>
                      <c:pt idx="11">
                        <c:v>46003</c:v>
                      </c:pt>
                      <c:pt idx="12">
                        <c:v>46004</c:v>
                      </c:pt>
                      <c:pt idx="13">
                        <c:v>46005</c:v>
                      </c:pt>
                      <c:pt idx="14">
                        <c:v>46006</c:v>
                      </c:pt>
                      <c:pt idx="15">
                        <c:v>46007</c:v>
                      </c:pt>
                      <c:pt idx="16">
                        <c:v>46008</c:v>
                      </c:pt>
                      <c:pt idx="17">
                        <c:v>46009</c:v>
                      </c:pt>
                      <c:pt idx="18">
                        <c:v>46010</c:v>
                      </c:pt>
                      <c:pt idx="19">
                        <c:v>46011</c:v>
                      </c:pt>
                      <c:pt idx="20">
                        <c:v>46012</c:v>
                      </c:pt>
                      <c:pt idx="21">
                        <c:v>46013</c:v>
                      </c:pt>
                      <c:pt idx="22">
                        <c:v>46014</c:v>
                      </c:pt>
                      <c:pt idx="23">
                        <c:v>46015</c:v>
                      </c:pt>
                      <c:pt idx="24">
                        <c:v>46016</c:v>
                      </c:pt>
                      <c:pt idx="25">
                        <c:v>46017</c:v>
                      </c:pt>
                      <c:pt idx="26">
                        <c:v>46018</c:v>
                      </c:pt>
                      <c:pt idx="27">
                        <c:v>46019</c:v>
                      </c:pt>
                      <c:pt idx="28">
                        <c:v>46020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Hoja1!$F$3:$AH$3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0</c:v>
                      </c:pt>
                      <c:pt idx="1">
                        <c:v>29</c:v>
                      </c:pt>
                      <c:pt idx="2">
                        <c:v>37</c:v>
                      </c:pt>
                      <c:pt idx="3">
                        <c:v>48</c:v>
                      </c:pt>
                      <c:pt idx="4">
                        <c:v>41</c:v>
                      </c:pt>
                      <c:pt idx="5">
                        <c:v>22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4-3407-4FCD-B1A1-01B6B6F99F24}"/>
                  </c:ext>
                </c:extLst>
              </c15:ser>
            </c15:filteredBarSeries>
            <c15:filteredBar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Hoja1!$E$5</c15:sqref>
                        </c15:formulaRef>
                      </c:ext>
                    </c:extLst>
                    <c:strCache>
                      <c:ptCount val="1"/>
                      <c:pt idx="0">
                        <c:v>APAGADAS COSEIDI</c:v>
                      </c:pt>
                    </c:strCache>
                  </c:strRef>
                </c:tx>
                <c:spPr>
                  <a:solidFill>
                    <a:schemeClr val="accent3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45992</c:v>
                      </c:pt>
                      <c:pt idx="1">
                        <c:v>45993</c:v>
                      </c:pt>
                      <c:pt idx="2">
                        <c:v>45994</c:v>
                      </c:pt>
                      <c:pt idx="3">
                        <c:v>45995</c:v>
                      </c:pt>
                      <c:pt idx="4">
                        <c:v>45996</c:v>
                      </c:pt>
                      <c:pt idx="5">
                        <c:v>45997</c:v>
                      </c:pt>
                      <c:pt idx="6">
                        <c:v>45998</c:v>
                      </c:pt>
                      <c:pt idx="7">
                        <c:v>45999</c:v>
                      </c:pt>
                      <c:pt idx="8">
                        <c:v>46000</c:v>
                      </c:pt>
                      <c:pt idx="9">
                        <c:v>46001</c:v>
                      </c:pt>
                      <c:pt idx="10">
                        <c:v>46002</c:v>
                      </c:pt>
                      <c:pt idx="11">
                        <c:v>46003</c:v>
                      </c:pt>
                      <c:pt idx="12">
                        <c:v>46004</c:v>
                      </c:pt>
                      <c:pt idx="13">
                        <c:v>46005</c:v>
                      </c:pt>
                      <c:pt idx="14">
                        <c:v>46006</c:v>
                      </c:pt>
                      <c:pt idx="15">
                        <c:v>46007</c:v>
                      </c:pt>
                      <c:pt idx="16">
                        <c:v>46008</c:v>
                      </c:pt>
                      <c:pt idx="17">
                        <c:v>46009</c:v>
                      </c:pt>
                      <c:pt idx="18">
                        <c:v>46010</c:v>
                      </c:pt>
                      <c:pt idx="19">
                        <c:v>46011</c:v>
                      </c:pt>
                      <c:pt idx="20">
                        <c:v>46012</c:v>
                      </c:pt>
                      <c:pt idx="21">
                        <c:v>46013</c:v>
                      </c:pt>
                      <c:pt idx="22">
                        <c:v>46014</c:v>
                      </c:pt>
                      <c:pt idx="23">
                        <c:v>46015</c:v>
                      </c:pt>
                      <c:pt idx="24">
                        <c:v>46016</c:v>
                      </c:pt>
                      <c:pt idx="25">
                        <c:v>46017</c:v>
                      </c:pt>
                      <c:pt idx="26">
                        <c:v>46018</c:v>
                      </c:pt>
                      <c:pt idx="27">
                        <c:v>46019</c:v>
                      </c:pt>
                      <c:pt idx="28">
                        <c:v>46020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Hoja1!$F$5:$AH$5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51</c:v>
                      </c:pt>
                      <c:pt idx="1">
                        <c:v>41</c:v>
                      </c:pt>
                      <c:pt idx="2">
                        <c:v>37</c:v>
                      </c:pt>
                      <c:pt idx="3">
                        <c:v>73</c:v>
                      </c:pt>
                      <c:pt idx="4">
                        <c:v>70</c:v>
                      </c:pt>
                      <c:pt idx="5">
                        <c:v>67</c:v>
                      </c:pt>
                      <c:pt idx="6">
                        <c:v>67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3407-4FCD-B1A1-01B6B6F99F24}"/>
                  </c:ext>
                </c:extLst>
              </c15:ser>
            </c15:filteredBarSeries>
          </c:ext>
        </c:extLst>
      </c:barChart>
      <c:dateAx>
        <c:axId val="246634752"/>
        <c:scaling>
          <c:orientation val="minMax"/>
          <c:min val="45870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40640"/>
        <c:crosses val="autoZero"/>
        <c:auto val="1"/>
        <c:lblOffset val="100"/>
        <c:baseTimeUnit val="days"/>
      </c:dateAx>
      <c:valAx>
        <c:axId val="246640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34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31738647535605641"/>
          <c:y val="0.13667418329341519"/>
          <c:w val="0.14378703978947319"/>
          <c:h val="8.06842541579982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Relationship Id="rId4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266700</xdr:colOff>
      <xdr:row>1</xdr:row>
      <xdr:rowOff>1906</xdr:rowOff>
    </xdr:from>
    <xdr:to>
      <xdr:col>13</xdr:col>
      <xdr:colOff>621030</xdr:colOff>
      <xdr:row>16</xdr:row>
      <xdr:rowOff>15240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79DCF6A-63F5-40E1-B189-9F6D861991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240030</xdr:colOff>
      <xdr:row>18</xdr:row>
      <xdr:rowOff>1</xdr:rowOff>
    </xdr:from>
    <xdr:to>
      <xdr:col>8</xdr:col>
      <xdr:colOff>87630</xdr:colOff>
      <xdr:row>30</xdr:row>
      <xdr:rowOff>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F29668B-8770-4C69-BB7D-E21925EC4F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190500</xdr:colOff>
      <xdr:row>0</xdr:row>
      <xdr:rowOff>161925</xdr:rowOff>
    </xdr:from>
    <xdr:to>
      <xdr:col>8</xdr:col>
      <xdr:colOff>15240</xdr:colOff>
      <xdr:row>15</xdr:row>
      <xdr:rowOff>161925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01BBB168-55B2-45BB-A92D-4112C6BB62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8</xdr:col>
      <xdr:colOff>381000</xdr:colOff>
      <xdr:row>18</xdr:row>
      <xdr:rowOff>16192</xdr:rowOff>
    </xdr:from>
    <xdr:to>
      <xdr:col>13</xdr:col>
      <xdr:colOff>611505</xdr:colOff>
      <xdr:row>30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9F53B0CA-3B13-48FD-AF2A-F1D584BB9E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407670</xdr:colOff>
      <xdr:row>6</xdr:row>
      <xdr:rowOff>97155</xdr:rowOff>
    </xdr:from>
    <xdr:to>
      <xdr:col>24</xdr:col>
      <xdr:colOff>304800</xdr:colOff>
      <xdr:row>23</xdr:row>
      <xdr:rowOff>57150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3AE3428-4174-52E9-AFE9-CD97F99413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434657</xdr:colOff>
      <xdr:row>24</xdr:row>
      <xdr:rowOff>98107</xdr:rowOff>
    </xdr:from>
    <xdr:to>
      <xdr:col>24</xdr:col>
      <xdr:colOff>361315</xdr:colOff>
      <xdr:row>39</xdr:row>
      <xdr:rowOff>39688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4C7F0F1A-0B4B-5828-5EF3-1175D61B7E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0</xdr:colOff>
      <xdr:row>43</xdr:row>
      <xdr:rowOff>0</xdr:rowOff>
    </xdr:from>
    <xdr:to>
      <xdr:col>24</xdr:col>
      <xdr:colOff>266700</xdr:colOff>
      <xdr:row>59</xdr:row>
      <xdr:rowOff>150495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D6C9E38A-6CEA-4A7F-A7A9-C2C1D4160D4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6</xdr:col>
      <xdr:colOff>0</xdr:colOff>
      <xdr:row>62</xdr:row>
      <xdr:rowOff>0</xdr:rowOff>
    </xdr:from>
    <xdr:to>
      <xdr:col>24</xdr:col>
      <xdr:colOff>304800</xdr:colOff>
      <xdr:row>76</xdr:row>
      <xdr:rowOff>122556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0D9C2C9D-3D6D-46A7-BF80-68511920846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192.168.0.122\redes\Repositorio\INFORME%20CAMARAS%20CIUDADANAS\INFORMES%20POR%20PING\A&#241;o%202025\Junio\INFORME%20POR%20PING%2005-06-2025.xlsx" TargetMode="External"/><Relationship Id="rId1" Type="http://schemas.openxmlformats.org/officeDocument/2006/relationships/externalLinkPath" Target="/Repositorio/INFORME%20CAMARAS%20CIUDADANAS/INFORMES%20POR%20PING/A&#241;o%202025/Junio/INFORME%20POR%20PING%2005-06-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Hoja1"/>
    </sheetNames>
    <sheetDataSet>
      <sheetData sheetId="0">
        <row r="1">
          <cell r="A1" t="str">
            <v>ALTAMIRA</v>
          </cell>
          <cell r="B1" t="str">
            <v>ALT 03</v>
          </cell>
          <cell r="D1" t="str">
            <v>Bombero Galarza y Necochea</v>
          </cell>
          <cell r="E1" t="str">
            <v>Domo</v>
          </cell>
          <cell r="F1" t="str">
            <v>Fibra Optica</v>
          </cell>
        </row>
        <row r="2">
          <cell r="A2" t="str">
            <v>ALTAMIRA</v>
          </cell>
          <cell r="B2" t="str">
            <v>ALT 04</v>
          </cell>
          <cell r="D2" t="str">
            <v>Francia y Necochea</v>
          </cell>
          <cell r="E2" t="str">
            <v>Domo</v>
          </cell>
          <cell r="F2" t="str">
            <v>Fibra Optica</v>
          </cell>
        </row>
        <row r="3">
          <cell r="A3" t="str">
            <v>ALTAMIRA</v>
          </cell>
          <cell r="B3" t="str">
            <v>ALT 06</v>
          </cell>
          <cell r="D3" t="str">
            <v>LOPE DE VEGA Y NECOCHEA</v>
          </cell>
          <cell r="E3" t="str">
            <v>Domo</v>
          </cell>
          <cell r="F3" t="str">
            <v>PTO A FO</v>
          </cell>
        </row>
        <row r="4">
          <cell r="A4" t="str">
            <v>BOSQUES CENTRO</v>
          </cell>
          <cell r="B4" t="str">
            <v>PAVE01</v>
          </cell>
          <cell r="D4" t="str">
            <v>Touring Club y Ramallo</v>
          </cell>
          <cell r="E4" t="str">
            <v>Domo</v>
          </cell>
          <cell r="F4" t="str">
            <v>Fibra Optica</v>
          </cell>
        </row>
        <row r="5">
          <cell r="A5" t="str">
            <v>BOSQUES CENTRO</v>
          </cell>
          <cell r="B5" t="str">
            <v>PAVE02</v>
          </cell>
          <cell r="D5" t="str">
            <v xml:space="preserve">Ramallo y Calingasta </v>
          </cell>
          <cell r="E5"/>
          <cell r="F5" t="str">
            <v>Fibra Optica</v>
          </cell>
        </row>
        <row r="6">
          <cell r="A6" t="str">
            <v>LA CAROLINA 2</v>
          </cell>
          <cell r="B6" t="str">
            <v>CAR01 (Fija 1)</v>
          </cell>
          <cell r="D6" t="str">
            <v>Azurduy y Vergara</v>
          </cell>
          <cell r="E6" t="str">
            <v>Fija</v>
          </cell>
          <cell r="F6" t="str">
            <v>Fibra Optica</v>
          </cell>
        </row>
        <row r="7">
          <cell r="A7" t="str">
            <v>LA CAROLINA 2</v>
          </cell>
          <cell r="B7" t="str">
            <v>CAR02 (Fija 2)</v>
          </cell>
          <cell r="D7" t="str">
            <v>Azurduy y Vergara</v>
          </cell>
          <cell r="E7" t="str">
            <v>Fija</v>
          </cell>
          <cell r="F7" t="str">
            <v>Fibra Optica</v>
          </cell>
        </row>
        <row r="8">
          <cell r="A8" t="str">
            <v>CENTRO</v>
          </cell>
          <cell r="B8" t="str">
            <v>CEN06</v>
          </cell>
          <cell r="D8" t="str">
            <v>Monteagudo y A.del Valle</v>
          </cell>
          <cell r="E8" t="str">
            <v>Fija</v>
          </cell>
          <cell r="F8" t="str">
            <v>Fibra Optica</v>
          </cell>
        </row>
        <row r="9">
          <cell r="A9" t="str">
            <v>CENTRO</v>
          </cell>
          <cell r="B9" t="str">
            <v>CEN21</v>
          </cell>
          <cell r="D9" t="str">
            <v>Misiones y Urquiza</v>
          </cell>
          <cell r="E9" t="str">
            <v>Fija</v>
          </cell>
          <cell r="F9" t="str">
            <v>Radio</v>
          </cell>
        </row>
        <row r="10">
          <cell r="A10" t="str">
            <v>CENTRO</v>
          </cell>
          <cell r="B10" t="str">
            <v>CEN25</v>
          </cell>
          <cell r="D10" t="str">
            <v>SAN MARTIN Y 9 DE JULIO</v>
          </cell>
          <cell r="E10" t="str">
            <v>Domo</v>
          </cell>
          <cell r="F10" t="str">
            <v>Fibra Optica</v>
          </cell>
        </row>
        <row r="11">
          <cell r="A11" t="str">
            <v>CENTRO</v>
          </cell>
          <cell r="B11" t="str">
            <v>CEN43</v>
          </cell>
          <cell r="D11" t="str">
            <v>Sallares y Alberdi</v>
          </cell>
          <cell r="E11" t="str">
            <v>Domo</v>
          </cell>
          <cell r="F11" t="str">
            <v>Fibra Optica</v>
          </cell>
        </row>
        <row r="12">
          <cell r="A12" t="str">
            <v>CENTRO</v>
          </cell>
          <cell r="B12" t="str">
            <v>CEN44</v>
          </cell>
          <cell r="D12" t="str">
            <v>Mitre y Brown</v>
          </cell>
          <cell r="E12" t="str">
            <v>Domo</v>
          </cell>
          <cell r="F12" t="str">
            <v>Fibra Optica</v>
          </cell>
        </row>
        <row r="13">
          <cell r="A13" t="str">
            <v>CENTRO</v>
          </cell>
          <cell r="B13" t="str">
            <v>CEN47</v>
          </cell>
          <cell r="D13" t="str">
            <v>Sallares y Brown</v>
          </cell>
          <cell r="E13" t="str">
            <v>Domo</v>
          </cell>
          <cell r="F13" t="str">
            <v>Fibra Optica</v>
          </cell>
        </row>
        <row r="14">
          <cell r="A14" t="str">
            <v>CENTRO</v>
          </cell>
          <cell r="B14" t="str">
            <v>CEN 82</v>
          </cell>
          <cell r="D14" t="str">
            <v>DORREGO Y BOUREL</v>
          </cell>
          <cell r="E14" t="str">
            <v>Domo</v>
          </cell>
          <cell r="F14" t="str">
            <v>Fibra Optica</v>
          </cell>
        </row>
        <row r="15">
          <cell r="A15" t="str">
            <v>CHACABUCO</v>
          </cell>
          <cell r="B15" t="str">
            <v>CHA02</v>
          </cell>
          <cell r="D15" t="str">
            <v>Pte. Illia y Posadas</v>
          </cell>
          <cell r="E15" t="str">
            <v>Domo</v>
          </cell>
          <cell r="F15" t="str">
            <v>Radio</v>
          </cell>
        </row>
        <row r="16">
          <cell r="A16" t="str">
            <v>DON JOSE</v>
          </cell>
          <cell r="B16" t="str">
            <v>DJO01</v>
          </cell>
          <cell r="D16" t="str">
            <v>Monteverde y Donato Alvarez</v>
          </cell>
          <cell r="E16" t="str">
            <v>Domo</v>
          </cell>
          <cell r="F16" t="str">
            <v>Radio</v>
          </cell>
        </row>
        <row r="17">
          <cell r="A17" t="str">
            <v>DON JOSE</v>
          </cell>
          <cell r="B17" t="str">
            <v>DJO 04 (Fija 1)</v>
          </cell>
          <cell r="D17" t="str">
            <v>MONTEVERDE Y EL INDIO</v>
          </cell>
          <cell r="E17" t="str">
            <v>Fija</v>
          </cell>
          <cell r="F17" t="str">
            <v>PTO A FO</v>
          </cell>
        </row>
        <row r="18">
          <cell r="A18" t="str">
            <v>DON JOSE</v>
          </cell>
          <cell r="B18" t="str">
            <v>DJO 05 (Fija 2)</v>
          </cell>
          <cell r="D18" t="str">
            <v>MONTEVERDE Y EL INDIO</v>
          </cell>
          <cell r="E18" t="str">
            <v>Fija</v>
          </cell>
          <cell r="F18" t="str">
            <v>PTO A FO</v>
          </cell>
        </row>
        <row r="19">
          <cell r="A19" t="str">
            <v>KM 26700 (JULIO A. COSTA)</v>
          </cell>
          <cell r="B19" t="str">
            <v>KM04</v>
          </cell>
          <cell r="D19" t="str">
            <v>El Ombu y El Zonda</v>
          </cell>
          <cell r="E19" t="str">
            <v>Domo</v>
          </cell>
          <cell r="F19" t="str">
            <v>Radio</v>
          </cell>
        </row>
        <row r="20">
          <cell r="A20" t="str">
            <v>KM 26700 (JULIO A. COSTA)</v>
          </cell>
          <cell r="B20" t="str">
            <v>KM05</v>
          </cell>
          <cell r="D20" t="str">
            <v>El Ombu y Los Charruas</v>
          </cell>
          <cell r="E20" t="str">
            <v>Domo</v>
          </cell>
          <cell r="F20" t="str">
            <v>Radio</v>
          </cell>
        </row>
        <row r="21">
          <cell r="A21" t="str">
            <v>z</v>
          </cell>
          <cell r="B21" t="str">
            <v>LPI 01</v>
          </cell>
          <cell r="D21" t="str">
            <v>Maipu y Posadas</v>
          </cell>
          <cell r="E21" t="str">
            <v>Domo</v>
          </cell>
          <cell r="F21" t="str">
            <v>Radio</v>
          </cell>
        </row>
        <row r="22">
          <cell r="A22" t="str">
            <v>LA PILETA</v>
          </cell>
          <cell r="B22" t="str">
            <v>LPI03 (fija 2)</v>
          </cell>
          <cell r="D22" t="str">
            <v>MAIPU Y POSADAS</v>
          </cell>
          <cell r="E22" t="str">
            <v>Fija</v>
          </cell>
          <cell r="F22" t="str">
            <v>Fibra Optica</v>
          </cell>
        </row>
        <row r="23">
          <cell r="A23" t="str">
            <v>LA PILETA</v>
          </cell>
          <cell r="B23" t="str">
            <v>LPI04 (fija 1)</v>
          </cell>
          <cell r="D23" t="str">
            <v>MAIPU Y POSADAS</v>
          </cell>
          <cell r="E23" t="str">
            <v>FIJA</v>
          </cell>
          <cell r="F23" t="str">
            <v>Fibra Optica</v>
          </cell>
        </row>
        <row r="24">
          <cell r="A24" t="str">
            <v>LUJAN</v>
          </cell>
          <cell r="B24" t="str">
            <v>LUJ 01</v>
          </cell>
          <cell r="D24" t="str">
            <v>ñandu y Los Pinos</v>
          </cell>
          <cell r="E24" t="str">
            <v>Domo</v>
          </cell>
          <cell r="F24" t="str">
            <v>Radio</v>
          </cell>
        </row>
        <row r="25">
          <cell r="A25"/>
          <cell r="B25" t="str">
            <v>MCUD 02</v>
          </cell>
          <cell r="D25" t="str">
            <v>CALLE 115 A Y 158</v>
          </cell>
          <cell r="E25" t="str">
            <v>DOMO</v>
          </cell>
          <cell r="F25" t="str">
            <v>Fibra Optica</v>
          </cell>
        </row>
        <row r="26">
          <cell r="A26" t="str">
            <v>SAN EMILIO</v>
          </cell>
          <cell r="B26" t="str">
            <v>SEMI 02</v>
          </cell>
          <cell r="D26" t="str">
            <v>Cno. Gral. Belgrano y Francia</v>
          </cell>
          <cell r="E26" t="str">
            <v>Domo</v>
          </cell>
          <cell r="F26" t="str">
            <v>Fibra Optica</v>
          </cell>
        </row>
        <row r="27">
          <cell r="A27" t="str">
            <v>LA SIRENA</v>
          </cell>
          <cell r="B27" t="str">
            <v>SIR01</v>
          </cell>
          <cell r="D27" t="str">
            <v>Moran y Calle 14</v>
          </cell>
          <cell r="E27" t="str">
            <v>DOMO</v>
          </cell>
          <cell r="F27" t="str">
            <v>Radio</v>
          </cell>
        </row>
        <row r="28">
          <cell r="A28" t="str">
            <v>SAN EDUARDO</v>
          </cell>
          <cell r="B28" t="str">
            <v>SIR 02</v>
          </cell>
          <cell r="D28" t="str">
            <v>Victorino de la Plaza y Argentina</v>
          </cell>
          <cell r="E28" t="str">
            <v>Domo</v>
          </cell>
          <cell r="F28" t="str">
            <v>Radio</v>
          </cell>
        </row>
        <row r="29">
          <cell r="A29" t="str">
            <v>SAN EDUARDO</v>
          </cell>
          <cell r="B29" t="str">
            <v>SIR 03</v>
          </cell>
          <cell r="D29" t="str">
            <v>MONTES Y LONARDI</v>
          </cell>
          <cell r="E29" t="str">
            <v>DOMO</v>
          </cell>
          <cell r="F29" t="str">
            <v>Radio</v>
          </cell>
        </row>
        <row r="30">
          <cell r="A30" t="str">
            <v>VILLA AURORA</v>
          </cell>
          <cell r="B30" t="str">
            <v>VAU 07</v>
          </cell>
          <cell r="D30" t="str">
            <v>VICTORINO DE LA PLAZA Y MONTEVERDE</v>
          </cell>
          <cell r="E30" t="str">
            <v>Domo</v>
          </cell>
          <cell r="F30" t="str">
            <v>Fibra Optica</v>
          </cell>
        </row>
        <row r="31">
          <cell r="A31" t="str">
            <v>VILLA AURORA</v>
          </cell>
          <cell r="B31" t="str">
            <v>VAU08</v>
          </cell>
          <cell r="D31" t="str">
            <v>MONTEVERDE Y WASHINGTON</v>
          </cell>
          <cell r="E31" t="str">
            <v>DOMO</v>
          </cell>
          <cell r="F31" t="str">
            <v>Fibra Optica</v>
          </cell>
        </row>
        <row r="32">
          <cell r="A32" t="str">
            <v>LA COLORADA ESTE</v>
          </cell>
          <cell r="B32" t="str">
            <v>COL 03</v>
          </cell>
          <cell r="D32" t="str">
            <v>CARIBONI Y LA ANCIANIDAD</v>
          </cell>
          <cell r="E32" t="str">
            <v>DOMO</v>
          </cell>
          <cell r="F32" t="str">
            <v>Radio</v>
          </cell>
        </row>
        <row r="33">
          <cell r="A33" t="str">
            <v>INFICO</v>
          </cell>
          <cell r="B33" t="str">
            <v>INF 01</v>
          </cell>
          <cell r="D33" t="str">
            <v>AV. HUDSON Y CARIBONI</v>
          </cell>
          <cell r="E33"/>
          <cell r="F33" t="str">
            <v>Fibra Optica</v>
          </cell>
        </row>
        <row r="34">
          <cell r="A34" t="str">
            <v>LIBERTAD</v>
          </cell>
          <cell r="B34" t="str">
            <v>LIBER 01</v>
          </cell>
          <cell r="D34" t="str">
            <v>511 Y 574 FIJA 01</v>
          </cell>
          <cell r="E34" t="str">
            <v>Fija</v>
          </cell>
          <cell r="F34" t="str">
            <v>RADIO</v>
          </cell>
        </row>
        <row r="35">
          <cell r="A35" t="str">
            <v>LIBERTAD</v>
          </cell>
          <cell r="B35" t="str">
            <v>LIBER 02</v>
          </cell>
          <cell r="D35" t="str">
            <v>511 Y 574 FIJA 02</v>
          </cell>
          <cell r="E35" t="str">
            <v>Fija</v>
          </cell>
          <cell r="F35" t="str">
            <v>Radio</v>
          </cell>
        </row>
        <row r="36">
          <cell r="A36" t="str">
            <v>LOS PILARES</v>
          </cell>
          <cell r="B36" t="str">
            <v>LPR 01</v>
          </cell>
          <cell r="D36" t="str">
            <v>EVA PERON E/ CACHEUTA Y 1406</v>
          </cell>
          <cell r="E36" t="str">
            <v>DOMO</v>
          </cell>
          <cell r="F36" t="str">
            <v>Fibra Optica</v>
          </cell>
        </row>
        <row r="37">
          <cell r="A37" t="str">
            <v>LOS PILARES</v>
          </cell>
          <cell r="B37" t="str">
            <v>LPR02 (fija 1)</v>
          </cell>
          <cell r="D37" t="str">
            <v>EVA PERON Y CACHEUTA</v>
          </cell>
          <cell r="E37" t="str">
            <v>Fija</v>
          </cell>
          <cell r="F37" t="str">
            <v>Fibra Optica</v>
          </cell>
        </row>
        <row r="38">
          <cell r="A38" t="str">
            <v>LOS PILARES</v>
          </cell>
          <cell r="B38" t="str">
            <v>LPR03 (fija 2)</v>
          </cell>
          <cell r="D38" t="str">
            <v>EVA PERON Y CACHEUTA</v>
          </cell>
          <cell r="E38" t="str">
            <v>Fija</v>
          </cell>
          <cell r="F38" t="str">
            <v>Fibra Optica</v>
          </cell>
        </row>
        <row r="39">
          <cell r="A39" t="str">
            <v>VILLA ARGENTINA</v>
          </cell>
          <cell r="B39" t="str">
            <v>LUJ 02</v>
          </cell>
          <cell r="D39" t="str">
            <v>DIAG. LOS TILOS Y 527</v>
          </cell>
          <cell r="E39" t="str">
            <v>DOMO</v>
          </cell>
          <cell r="F39" t="str">
            <v>PTO A FO</v>
          </cell>
        </row>
        <row r="40">
          <cell r="A40" t="str">
            <v>PRESIDENTE PERON (PEPSI)</v>
          </cell>
          <cell r="B40" t="str">
            <v>MAR 01</v>
          </cell>
          <cell r="D40" t="str">
            <v>RP36 Y LA ESMERALDA</v>
          </cell>
          <cell r="E40" t="str">
            <v>DOMO</v>
          </cell>
          <cell r="F40" t="str">
            <v>PTO A FO</v>
          </cell>
        </row>
        <row r="41">
          <cell r="A41" t="str">
            <v>MAYOL</v>
          </cell>
          <cell r="B41" t="str">
            <v>MAY 01</v>
          </cell>
          <cell r="D41" t="str">
            <v>Eva Peron y Cabildo</v>
          </cell>
          <cell r="E41" t="str">
            <v>Domo</v>
          </cell>
          <cell r="F41" t="str">
            <v>Fibra Optica</v>
          </cell>
        </row>
        <row r="42">
          <cell r="A42" t="str">
            <v>MAYOL</v>
          </cell>
          <cell r="B42" t="str">
            <v>MAY 03</v>
          </cell>
          <cell r="D42" t="str">
            <v>CHAÑAR Y SAN NICOLAS</v>
          </cell>
          <cell r="E42" t="str">
            <v>DOMO</v>
          </cell>
          <cell r="F42" t="str">
            <v>PTO A FO</v>
          </cell>
        </row>
        <row r="43">
          <cell r="A43" t="str">
            <v>EL PARQUE</v>
          </cell>
          <cell r="B43" t="str">
            <v>PUNTO SEGURO - EL PARQUE (domo)</v>
          </cell>
          <cell r="D43" t="str">
            <v>CALLE 1282 Y 1201</v>
          </cell>
          <cell r="E43" t="str">
            <v>DOMO</v>
          </cell>
          <cell r="F43" t="str">
            <v>Fibra Optica</v>
          </cell>
        </row>
        <row r="44">
          <cell r="A44" t="str">
            <v>SAN JORGE</v>
          </cell>
          <cell r="B44" t="str">
            <v>Punto Seguro - San Jorge (Fija)</v>
          </cell>
          <cell r="D44" t="str">
            <v>CALLE 523 E/ 554 Y 556</v>
          </cell>
          <cell r="E44" t="str">
            <v>Fija</v>
          </cell>
          <cell r="F44" t="str">
            <v>Fibra Optica</v>
          </cell>
        </row>
        <row r="45">
          <cell r="A45" t="str">
            <v>ZONA RURAL SANTA ROSA</v>
          </cell>
          <cell r="B45" t="str">
            <v>PUNTO SEGURO - SANTA ROSA (domo)</v>
          </cell>
          <cell r="D45" t="str">
            <v>BRUSELAS Y SICILIA</v>
          </cell>
          <cell r="E45" t="str">
            <v>DOMO</v>
          </cell>
          <cell r="F45" t="str">
            <v>Fibra Optica</v>
          </cell>
        </row>
        <row r="46">
          <cell r="A46" t="str">
            <v>RICARDO ROJAS</v>
          </cell>
          <cell r="B46" t="str">
            <v>RRJ 14</v>
          </cell>
          <cell r="D46" t="str">
            <v> Constancio Vigil y Ruta 36 Domo</v>
          </cell>
          <cell r="E46" t="str">
            <v>DOMO</v>
          </cell>
          <cell r="F46" t="str">
            <v>PTO A FO</v>
          </cell>
        </row>
        <row r="47">
          <cell r="A47" t="str">
            <v>RICARDO ROJAS</v>
          </cell>
          <cell r="B47" t="str">
            <v>RRJ 15</v>
          </cell>
          <cell r="D47" t="str">
            <v>Constancio Vigil y Ruta 36 fija</v>
          </cell>
          <cell r="E47" t="str">
            <v>Fija</v>
          </cell>
          <cell r="F47" t="str">
            <v>PTO A FO</v>
          </cell>
        </row>
        <row r="48">
          <cell r="A48" t="str">
            <v>RICARDO ROJAS</v>
          </cell>
          <cell r="B48" t="str">
            <v>RRJ 16</v>
          </cell>
          <cell r="D48" t="str">
            <v>Constancio Vigil y Lujan</v>
          </cell>
          <cell r="E48" t="str">
            <v>DOMO</v>
          </cell>
          <cell r="F48" t="str">
            <v>Fibra Optica</v>
          </cell>
        </row>
        <row r="49">
          <cell r="A49" t="str">
            <v>SANTA ANA</v>
          </cell>
          <cell r="B49" t="str">
            <v>SAN 02</v>
          </cell>
          <cell r="D49" t="str">
            <v>HUDSON Y SUIPACHA</v>
          </cell>
          <cell r="E49" t="str">
            <v>Fija 2</v>
          </cell>
          <cell r="F49" t="str">
            <v>Fibra Optica</v>
          </cell>
        </row>
        <row r="50">
          <cell r="A50" t="str">
            <v>SANTA ANA</v>
          </cell>
          <cell r="B50" t="str">
            <v>SAN01</v>
          </cell>
          <cell r="D50" t="str">
            <v>HUDSON Y SUIPACHA</v>
          </cell>
          <cell r="E50" t="str">
            <v>Fija 1</v>
          </cell>
          <cell r="F50" t="str">
            <v>Fibra Optica</v>
          </cell>
        </row>
        <row r="53">
          <cell r="A53" t="str">
            <v>VILLA GENERAL SAN MARTIN</v>
          </cell>
          <cell r="B53" t="str">
            <v>SMA 03</v>
          </cell>
          <cell r="D53" t="str">
            <v>ROSARIO Y SAN NICOLAS</v>
          </cell>
          <cell r="E53" t="str">
            <v>Domo</v>
          </cell>
          <cell r="F53" t="str">
            <v>Radio</v>
          </cell>
        </row>
        <row r="54">
          <cell r="A54" t="str">
            <v>VILLA GENERAL SAN MARTIN</v>
          </cell>
          <cell r="B54" t="str">
            <v>SMA 06</v>
          </cell>
          <cell r="D54" t="str">
            <v>AV. HUDSON Y RIO IGUAZU</v>
          </cell>
          <cell r="E54" t="str">
            <v>DOMO</v>
          </cell>
          <cell r="F54" t="str">
            <v>Fibra Optica</v>
          </cell>
        </row>
        <row r="55">
          <cell r="A55" t="str">
            <v>VILLA GENERAL SAN MARTIN</v>
          </cell>
          <cell r="B55" t="str">
            <v>SMA 07</v>
          </cell>
          <cell r="D55" t="str">
            <v>AV. HUDSON Y RIO TURBIO</v>
          </cell>
          <cell r="E55" t="str">
            <v>DOMO</v>
          </cell>
          <cell r="F55" t="str">
            <v>Fibra Optica</v>
          </cell>
        </row>
        <row r="56">
          <cell r="A56" t="str">
            <v>SAN RUDECINDO</v>
          </cell>
          <cell r="B56" t="str">
            <v>SRU03</v>
          </cell>
          <cell r="D56" t="str">
            <v>SANTA SOFIA Y LUIS AGOTE</v>
          </cell>
          <cell r="E56" t="str">
            <v>DOMO</v>
          </cell>
          <cell r="F56" t="str">
            <v>Fibra Optica</v>
          </cell>
        </row>
        <row r="57">
          <cell r="A57" t="str">
            <v>VILLA ARGENTINA</v>
          </cell>
          <cell r="B57" t="str">
            <v>VAR07</v>
          </cell>
          <cell r="D57" t="str">
            <v>DIAG. LOS TILOS Y 517</v>
          </cell>
          <cell r="E57" t="str">
            <v>DOMO</v>
          </cell>
          <cell r="F57" t="str">
            <v>Fibra Optica</v>
          </cell>
        </row>
        <row r="58">
          <cell r="A58" t="str">
            <v>VILLA ARIAS</v>
          </cell>
          <cell r="B58" t="str">
            <v>VLA 01 (fija 1)</v>
          </cell>
          <cell r="D58" t="str">
            <v>820 Y SOLER</v>
          </cell>
          <cell r="E58" t="str">
            <v>Fija</v>
          </cell>
          <cell r="F58" t="str">
            <v>Fibra Optica</v>
          </cell>
        </row>
        <row r="59">
          <cell r="A59" t="str">
            <v>VILLA ARIAS</v>
          </cell>
          <cell r="B59" t="str">
            <v>VLA03 (fija 2)</v>
          </cell>
          <cell r="D59" t="str">
            <v>820 y SOLER</v>
          </cell>
          <cell r="E59" t="str">
            <v>Fija</v>
          </cell>
          <cell r="F59" t="str">
            <v>Fibra Optica</v>
          </cell>
        </row>
      </sheetData>
    </sheetDataSet>
  </externalBook>
</externalLink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_25_de_agosto_3" connectionId="2" xr16:uid="{56353CC7-9C88-4304-95F9-A6F17666DB57}" autoFormatId="16" applyNumberFormats="0" applyBorderFormats="0" applyFontFormats="0" applyPatternFormats="0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25 de agosto" connectionId="1" xr16:uid="{00000000-0016-0000-0000-000000000000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2.xml"/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Q1179"/>
  <sheetViews>
    <sheetView tabSelected="1" zoomScale="56" zoomScaleNormal="56" workbookViewId="0">
      <pane xSplit="12" ySplit="7" topLeftCell="T8" activePane="bottomRight" state="frozen"/>
      <selection pane="topRight" activeCell="M1" sqref="M1"/>
      <selection pane="bottomLeft" activeCell="A5" sqref="A5"/>
      <selection pane="bottomRight" activeCell="T307" sqref="T307"/>
    </sheetView>
  </sheetViews>
  <sheetFormatPr baseColWidth="10" defaultColWidth="11.5703125" defaultRowHeight="15" x14ac:dyDescent="0.25"/>
  <cols>
    <col min="1" max="1" width="26.7109375" customWidth="1"/>
    <col min="2" max="2" width="37.5703125" style="30" customWidth="1"/>
    <col min="3" max="3" width="19.140625" style="30" customWidth="1"/>
    <col min="4" max="4" width="52" customWidth="1"/>
    <col min="5" max="5" width="18.42578125" style="61" customWidth="1"/>
    <col min="6" max="6" width="22.42578125" style="65" customWidth="1"/>
    <col min="7" max="7" width="21.5703125" style="65" customWidth="1"/>
    <col min="8" max="8" width="14.7109375" style="65" customWidth="1"/>
    <col min="9" max="9" width="16.42578125" customWidth="1"/>
    <col min="10" max="10" width="23.7109375" customWidth="1"/>
    <col min="11" max="11" width="11.28515625" customWidth="1"/>
    <col min="12" max="12" width="17" style="4" customWidth="1"/>
    <col min="13" max="13" width="17.28515625" style="14" customWidth="1"/>
    <col min="14" max="17" width="14.42578125" style="14" customWidth="1"/>
    <col min="18" max="18" width="13.42578125" style="14" customWidth="1"/>
    <col min="19" max="21" width="14.42578125" style="14" customWidth="1"/>
    <col min="22" max="38" width="14.140625" style="14" customWidth="1"/>
    <col min="39" max="41" width="14.140625" style="14" bestFit="1" customWidth="1"/>
    <col min="42" max="43" width="18.140625" bestFit="1" customWidth="1"/>
  </cols>
  <sheetData>
    <row r="1" spans="1:43" s="4" customFormat="1" ht="27.75" customHeight="1" thickTop="1" x14ac:dyDescent="0.25">
      <c r="A1" s="1" t="s">
        <v>0</v>
      </c>
      <c r="B1" s="23">
        <f>COUNTA(B8:B731)</f>
        <v>570</v>
      </c>
      <c r="C1" s="34"/>
      <c r="D1" s="2" t="s">
        <v>1</v>
      </c>
      <c r="E1" s="59"/>
      <c r="F1" s="62"/>
      <c r="G1" s="62"/>
      <c r="H1" s="62"/>
      <c r="I1" s="20"/>
      <c r="J1" s="20"/>
      <c r="K1" s="20"/>
      <c r="L1" s="2"/>
      <c r="M1" s="3">
        <f t="shared" ref="M1:Y1" si="0">(M3)/(M2+M3)</f>
        <v>0.12977099236641221</v>
      </c>
      <c r="N1" s="3">
        <f t="shared" si="0"/>
        <v>0.109375</v>
      </c>
      <c r="O1" s="3">
        <f t="shared" si="0"/>
        <v>0.12307692307692308</v>
      </c>
      <c r="P1" s="3">
        <f t="shared" si="0"/>
        <v>0.17510853835021709</v>
      </c>
      <c r="Q1" s="3">
        <f t="shared" si="0"/>
        <v>0.16299559471365638</v>
      </c>
      <c r="R1" s="3">
        <f t="shared" si="0"/>
        <v>0.13505311077389984</v>
      </c>
      <c r="S1" s="3">
        <f t="shared" si="0"/>
        <v>0.13767019667170954</v>
      </c>
      <c r="T1" s="3">
        <f t="shared" si="0"/>
        <v>0.14285714285714285</v>
      </c>
      <c r="U1" s="3">
        <f t="shared" si="0"/>
        <v>0</v>
      </c>
      <c r="V1" s="3">
        <f t="shared" si="0"/>
        <v>0</v>
      </c>
      <c r="W1" s="3">
        <f t="shared" si="0"/>
        <v>0</v>
      </c>
      <c r="X1" s="3">
        <f t="shared" si="0"/>
        <v>0</v>
      </c>
      <c r="Y1" s="3">
        <f t="shared" si="0"/>
        <v>0</v>
      </c>
      <c r="Z1" s="3"/>
      <c r="AA1" s="3">
        <f t="shared" ref="AA1:AP1" si="1">(AA3)/(AA2+AA3)</f>
        <v>0</v>
      </c>
      <c r="AB1" s="3">
        <f t="shared" si="1"/>
        <v>0</v>
      </c>
      <c r="AC1" s="3">
        <f t="shared" si="1"/>
        <v>0</v>
      </c>
      <c r="AD1" s="3">
        <f t="shared" si="1"/>
        <v>0</v>
      </c>
      <c r="AE1" s="3">
        <f t="shared" si="1"/>
        <v>0</v>
      </c>
      <c r="AF1" s="3">
        <f t="shared" si="1"/>
        <v>0</v>
      </c>
      <c r="AG1" s="3">
        <f t="shared" si="1"/>
        <v>0</v>
      </c>
      <c r="AH1" s="3">
        <f t="shared" si="1"/>
        <v>0</v>
      </c>
      <c r="AI1" s="3">
        <f t="shared" si="1"/>
        <v>0</v>
      </c>
      <c r="AJ1" s="3">
        <f t="shared" si="1"/>
        <v>0</v>
      </c>
      <c r="AK1" s="3">
        <f t="shared" si="1"/>
        <v>0</v>
      </c>
      <c r="AL1" s="3">
        <f t="shared" si="1"/>
        <v>0</v>
      </c>
      <c r="AM1" s="3">
        <f t="shared" si="1"/>
        <v>0</v>
      </c>
      <c r="AN1" s="3">
        <f t="shared" si="1"/>
        <v>0</v>
      </c>
      <c r="AO1" s="3">
        <f t="shared" si="1"/>
        <v>0</v>
      </c>
      <c r="AP1" s="3">
        <f t="shared" si="1"/>
        <v>0</v>
      </c>
      <c r="AQ1" s="3">
        <f t="shared" ref="AQ1" si="2">(AQ3)/(AQ2+AQ3)</f>
        <v>0</v>
      </c>
    </row>
    <row r="2" spans="1:43" s="8" customFormat="1" x14ac:dyDescent="0.25">
      <c r="A2" s="5"/>
      <c r="B2" s="24"/>
      <c r="C2" s="58"/>
      <c r="D2" s="6" t="s">
        <v>5</v>
      </c>
      <c r="E2" s="60"/>
      <c r="F2" s="63"/>
      <c r="G2" s="63"/>
      <c r="H2" s="63"/>
      <c r="I2" s="22"/>
      <c r="J2" s="22"/>
      <c r="K2" s="22"/>
      <c r="L2" s="26"/>
      <c r="M2" s="7">
        <f t="shared" ref="M2:AQ2" si="3">CANTIDAD_DE_CAMARAS</f>
        <v>570</v>
      </c>
      <c r="N2" s="7">
        <f t="shared" si="3"/>
        <v>570</v>
      </c>
      <c r="O2" s="7">
        <f t="shared" si="3"/>
        <v>570</v>
      </c>
      <c r="P2" s="7">
        <f t="shared" si="3"/>
        <v>570</v>
      </c>
      <c r="Q2" s="7">
        <f t="shared" si="3"/>
        <v>570</v>
      </c>
      <c r="R2" s="7">
        <f t="shared" si="3"/>
        <v>570</v>
      </c>
      <c r="S2" s="7">
        <f t="shared" si="3"/>
        <v>570</v>
      </c>
      <c r="T2" s="7">
        <f t="shared" si="3"/>
        <v>570</v>
      </c>
      <c r="U2" s="7">
        <f t="shared" si="3"/>
        <v>570</v>
      </c>
      <c r="V2" s="7">
        <f t="shared" si="3"/>
        <v>570</v>
      </c>
      <c r="W2" s="7">
        <f t="shared" si="3"/>
        <v>570</v>
      </c>
      <c r="X2" s="7">
        <f t="shared" si="3"/>
        <v>570</v>
      </c>
      <c r="Y2" s="7">
        <f t="shared" si="3"/>
        <v>570</v>
      </c>
      <c r="Z2" s="7">
        <f t="shared" si="3"/>
        <v>570</v>
      </c>
      <c r="AA2" s="7">
        <f t="shared" si="3"/>
        <v>570</v>
      </c>
      <c r="AB2" s="7">
        <f t="shared" si="3"/>
        <v>570</v>
      </c>
      <c r="AC2" s="7">
        <f t="shared" si="3"/>
        <v>570</v>
      </c>
      <c r="AD2" s="7">
        <f t="shared" si="3"/>
        <v>570</v>
      </c>
      <c r="AE2" s="7">
        <f t="shared" si="3"/>
        <v>570</v>
      </c>
      <c r="AF2" s="7">
        <f t="shared" si="3"/>
        <v>570</v>
      </c>
      <c r="AG2" s="7">
        <f t="shared" si="3"/>
        <v>570</v>
      </c>
      <c r="AH2" s="7">
        <f t="shared" si="3"/>
        <v>570</v>
      </c>
      <c r="AI2" s="7">
        <f t="shared" si="3"/>
        <v>570</v>
      </c>
      <c r="AJ2" s="7">
        <f t="shared" si="3"/>
        <v>570</v>
      </c>
      <c r="AK2" s="7">
        <f t="shared" si="3"/>
        <v>570</v>
      </c>
      <c r="AL2" s="7">
        <f t="shared" si="3"/>
        <v>570</v>
      </c>
      <c r="AM2" s="7">
        <f t="shared" si="3"/>
        <v>570</v>
      </c>
      <c r="AN2" s="7">
        <f t="shared" si="3"/>
        <v>570</v>
      </c>
      <c r="AO2" s="7">
        <f t="shared" si="3"/>
        <v>570</v>
      </c>
      <c r="AP2" s="7">
        <f t="shared" si="3"/>
        <v>570</v>
      </c>
      <c r="AQ2" s="7">
        <f t="shared" si="3"/>
        <v>570</v>
      </c>
    </row>
    <row r="3" spans="1:43" s="8" customFormat="1" ht="15.75" thickBot="1" x14ac:dyDescent="0.3">
      <c r="A3" s="9"/>
      <c r="B3" s="25"/>
      <c r="C3" s="58"/>
      <c r="D3" s="121" t="s">
        <v>6</v>
      </c>
      <c r="E3" s="122"/>
      <c r="F3" s="123"/>
      <c r="G3" s="64"/>
      <c r="H3" s="123"/>
      <c r="I3" s="124"/>
      <c r="J3" s="124"/>
      <c r="K3" s="124"/>
      <c r="L3" s="125"/>
      <c r="M3" s="126">
        <f>COUNTIF(M7:M731, "apagado")</f>
        <v>85</v>
      </c>
      <c r="N3" s="126">
        <f>COUNTIF(N7:N731, "apagado")</f>
        <v>70</v>
      </c>
      <c r="O3" s="126">
        <f>COUNTIF(O7:O731, "apagado")</f>
        <v>80</v>
      </c>
      <c r="P3" s="126">
        <f>COUNTIF(P7:P731, "apagado")</f>
        <v>121</v>
      </c>
      <c r="Q3" s="126">
        <f>COUNTIF(Q7:Q731, "apagado")</f>
        <v>111</v>
      </c>
      <c r="R3" s="126">
        <f>COUNTIF(R7:R731, "apagado")</f>
        <v>89</v>
      </c>
      <c r="S3" s="126">
        <f>COUNTIF(S7:S731, "apagado")</f>
        <v>91</v>
      </c>
      <c r="T3" s="126">
        <f>COUNTIF(T7:T731, "apagado")</f>
        <v>95</v>
      </c>
      <c r="U3" s="126">
        <f>COUNTIF(U7:U731, "apagado")</f>
        <v>0</v>
      </c>
      <c r="V3" s="126">
        <f>COUNTIF(V7:V731, "apagado")</f>
        <v>0</v>
      </c>
      <c r="W3" s="126">
        <f>COUNTIF(W7:W731, "apagado")</f>
        <v>0</v>
      </c>
      <c r="X3" s="126">
        <f>COUNTIF(X7:X731, "apagado")</f>
        <v>0</v>
      </c>
      <c r="Y3" s="126">
        <f>COUNTIF(Y7:Y731, "apagado")</f>
        <v>0</v>
      </c>
      <c r="Z3" s="126">
        <f>COUNTIF(Z7:Z731, "apagado")</f>
        <v>0</v>
      </c>
      <c r="AA3" s="126">
        <f>COUNTIF(AA7:AA731, "apagado")</f>
        <v>0</v>
      </c>
      <c r="AB3" s="126">
        <f>COUNTIF(AB7:AB731, "apagado")</f>
        <v>0</v>
      </c>
      <c r="AC3" s="126">
        <f>COUNTIF(AC7:AC731, "apagado")</f>
        <v>0</v>
      </c>
      <c r="AD3" s="126">
        <f>COUNTIF(AD7:AD731, "apagado")</f>
        <v>0</v>
      </c>
      <c r="AE3" s="126">
        <f>COUNTIF(AE7:AE731, "apagado")</f>
        <v>0</v>
      </c>
      <c r="AF3" s="126">
        <f>COUNTIF(AF7:AF731, "apagado")</f>
        <v>0</v>
      </c>
      <c r="AG3" s="126">
        <f>COUNTIF(AG7:AG731, "apagado")</f>
        <v>0</v>
      </c>
      <c r="AH3" s="126">
        <f>COUNTIF(AH7:AH731, "apagado")</f>
        <v>0</v>
      </c>
      <c r="AI3" s="126">
        <f>COUNTIF(AI7:AI731, "apagado")</f>
        <v>0</v>
      </c>
      <c r="AJ3" s="126">
        <f>COUNTIF(AJ7:AJ731, "apagado")</f>
        <v>0</v>
      </c>
      <c r="AK3" s="126">
        <f>COUNTIF(AK7:AK731, "apagado")</f>
        <v>0</v>
      </c>
      <c r="AL3" s="126">
        <f>COUNTIF(AL7:AL731, "apagado")</f>
        <v>0</v>
      </c>
      <c r="AM3" s="126">
        <f>COUNTIF(AM7:AM731, "apagado")</f>
        <v>0</v>
      </c>
      <c r="AN3" s="126">
        <f>COUNTIF(AN7:AN731, "apagado")</f>
        <v>0</v>
      </c>
      <c r="AO3" s="126">
        <f>COUNTIF(AO7:AO731, "apagado")</f>
        <v>0</v>
      </c>
      <c r="AP3" s="126">
        <f>COUNTIF(AP7:AP731, "apagado")</f>
        <v>0</v>
      </c>
      <c r="AQ3" s="126">
        <f>COUNTIF(AQ7:AQ731, "apagado")</f>
        <v>0</v>
      </c>
    </row>
    <row r="4" spans="1:43" s="8" customFormat="1" ht="15.75" thickTop="1" x14ac:dyDescent="0.25">
      <c r="A4" s="116"/>
      <c r="B4" s="58"/>
      <c r="C4" s="58"/>
      <c r="D4" s="21" t="s">
        <v>1465</v>
      </c>
      <c r="E4" s="64"/>
      <c r="F4" s="64"/>
      <c r="G4" s="64"/>
      <c r="H4" s="64"/>
      <c r="I4" s="21"/>
      <c r="J4" s="21"/>
      <c r="K4" s="21"/>
      <c r="L4" s="27"/>
      <c r="M4" s="10">
        <f>COUNTIFS(M8:M685, "=APAGADO",F8:F685,"=Fibra Optica")</f>
        <v>36</v>
      </c>
      <c r="N4" s="10">
        <f>COUNTIFS(N8:N685, "=APAGADO",F8:F685,"=Fibra Optica")</f>
        <v>31</v>
      </c>
      <c r="O4" s="10">
        <f>COUNTIFS(O8:O685, "=APAGADO",F8:F685,"=Fibra Optica")</f>
        <v>41</v>
      </c>
      <c r="P4" s="10">
        <f>COUNTIFS(P8:P685, "=APAGADO",F8:F685,"=Fibra Optica")</f>
        <v>57</v>
      </c>
      <c r="Q4" s="10">
        <f>COUNTIFS(Q8:Q685, "=APAGADO",F8:F685,"=Fibra Optica")</f>
        <v>48</v>
      </c>
      <c r="R4" s="10">
        <f>COUNTIFS(R8:R685, "=APAGADO",F8:F685,"=Fibra Optica")</f>
        <v>30</v>
      </c>
      <c r="S4" s="10">
        <f>COUNTIFS(S8:S685, "=APAGADO",F8:F685,"=Fibra Optica")</f>
        <v>30</v>
      </c>
      <c r="T4" s="10">
        <f>COUNTIFS(T8:T685, "=APAGADO",F8:F685,"=Fibra Optica")</f>
        <v>33</v>
      </c>
      <c r="U4" s="10">
        <f>COUNTIFS(U8:U685, "=APAGADO",F8:F685,"=Fibra Optica")</f>
        <v>0</v>
      </c>
      <c r="V4" s="10">
        <f>COUNTIFS(V8:V685, "=APAGADO",F8:F685,"=Fibra Optica")</f>
        <v>0</v>
      </c>
      <c r="W4" s="10">
        <f>COUNTIFS(W8:W685, "=APAGADO",F8:F685,"=Fibra Optica")</f>
        <v>0</v>
      </c>
      <c r="X4" s="10">
        <f>COUNTIFS(X8:X685, "=APAGADO",F8:F685,"=Fibra Optica")</f>
        <v>0</v>
      </c>
      <c r="Y4" s="10">
        <f>COUNTIFS(Y8:Y685, "=APAGADO",F8:F685,"=Fibra Optica")</f>
        <v>0</v>
      </c>
      <c r="Z4" s="10">
        <f>COUNTIFS(Z8:Z685, "=APAGADO",F8:F685,"=Fibra Optica")</f>
        <v>0</v>
      </c>
      <c r="AA4" s="10">
        <f>COUNTIFS(AA8:AA685, "=APAGADO",F8:F685,"=Fibra Optica")</f>
        <v>0</v>
      </c>
      <c r="AB4" s="10">
        <f>COUNTIFS(AB8:AB685, "=APAGADO",F8:F685,"=Fibra Optica")</f>
        <v>0</v>
      </c>
      <c r="AC4" s="10">
        <f>COUNTIFS(AC8:AC685, "=APAGADO",F8:F685,"=Fibra Optica")</f>
        <v>0</v>
      </c>
      <c r="AD4" s="10">
        <f>COUNTIFS(AD8:AD685, "=APAGADO",F8:F685,"=Fibra Optica")</f>
        <v>0</v>
      </c>
      <c r="AE4" s="10">
        <f>COUNTIFS(AE8:AE685, "=APAGADO",F8:F685,"=Fibra Optica")</f>
        <v>0</v>
      </c>
      <c r="AF4" s="10">
        <f>COUNTIFS(AF8:AF685, "=APAGADO",F8:F685,"=Fibra Optica")</f>
        <v>0</v>
      </c>
      <c r="AG4" s="10">
        <f>COUNTIFS(AG8:AG685, "=APAGADO",F8:F685,"=Fibra Optica")</f>
        <v>0</v>
      </c>
      <c r="AH4" s="10">
        <f>COUNTIFS(AH8:AH685, "=APAGADO",F8:F685,"=Fibra Optica")</f>
        <v>0</v>
      </c>
      <c r="AI4" s="10">
        <f>COUNTIFS(AI8:AI685, "=APAGADO",F8:F685,"=Fibra Optica")</f>
        <v>0</v>
      </c>
      <c r="AJ4" s="10">
        <f>COUNTIFS(AJ8:AJ685, "=APAGADO",F8:F685,"=Fibra Optica")</f>
        <v>0</v>
      </c>
      <c r="AK4" s="10">
        <f>COUNTIFS(AK8:AK685, "=APAGADO",F8:F685,"=Fibra Optica")</f>
        <v>0</v>
      </c>
      <c r="AL4" s="10">
        <f>COUNTIFS(AL8:AL685, "=APAGADO",F8:F685,"=Fibra Optica")</f>
        <v>0</v>
      </c>
      <c r="AM4" s="10">
        <f>COUNTIFS(AM8:AM685, "=APAGADO",F8:F685,"=Fibra Optica")</f>
        <v>0</v>
      </c>
      <c r="AN4" s="10">
        <f>COUNTIFS(AN8:AN685, "=APAGADO",F8:F685,"=Fibra Optica")</f>
        <v>0</v>
      </c>
      <c r="AO4" s="10">
        <f>COUNTIFS(AO8:AO685, "=APAGADO",F8:F685,"=Fibra Optica")</f>
        <v>0</v>
      </c>
      <c r="AP4" s="10">
        <f>COUNTIFS(AP8:AP685, "=APAGADO",F8:F685,"=Fibra Optica")</f>
        <v>0</v>
      </c>
      <c r="AQ4" s="10">
        <f>COUNTIFS(AQ8:AQ685, "=APAGADO",G8:G685,"=Fibra Optica")</f>
        <v>0</v>
      </c>
    </row>
    <row r="5" spans="1:43" s="8" customFormat="1" x14ac:dyDescent="0.25">
      <c r="A5" s="116"/>
      <c r="B5" s="58"/>
      <c r="C5" s="58"/>
      <c r="D5" s="127" t="s">
        <v>1466</v>
      </c>
      <c r="E5" s="128"/>
      <c r="F5" s="128"/>
      <c r="G5" s="64"/>
      <c r="H5" s="128"/>
      <c r="I5" s="127"/>
      <c r="J5" s="127"/>
      <c r="K5" s="127"/>
      <c r="L5" s="129"/>
      <c r="M5" s="130">
        <f>COUNTIFS(M8:M685, "=APAGADO",F8:F685,"=RADIO")</f>
        <v>9</v>
      </c>
      <c r="N5" s="130">
        <f>COUNTIFS(N8:N685, "=APAGADO",F8:F685,"=RADIO")</f>
        <v>9</v>
      </c>
      <c r="O5" s="130">
        <f>COUNTIFS(O8:O685, "=APAGADO",F8:F685,"=RADIO")</f>
        <v>9</v>
      </c>
      <c r="P5" s="130">
        <f>COUNTIFS(P8:P685, "=APAGADO",F8:F685,"=RADIO")</f>
        <v>16</v>
      </c>
      <c r="Q5" s="130">
        <f>COUNTIFS(Q8:Q685, "=APAGADO",F8:F685,"=RADIO")</f>
        <v>15</v>
      </c>
      <c r="R5" s="130">
        <f>COUNTIFS(R8:R685, "=APAGADO",F8:F685,"=RADIO")</f>
        <v>15</v>
      </c>
      <c r="S5" s="130">
        <f>COUNTIFS(S8:S685, "=APAGADO",F8:F685,"=RADIO")</f>
        <v>15</v>
      </c>
      <c r="T5" s="130">
        <f>COUNTIFS(T8:T685, "=APAGADO",F8:F685,"=RADIO")</f>
        <v>15</v>
      </c>
      <c r="U5" s="130">
        <f>COUNTIFS(U8:U685, "=APAGADO",F8:F685,"=RADIO")</f>
        <v>0</v>
      </c>
      <c r="V5" s="130">
        <f>COUNTIFS(V8:V685, "=APAGADO",F8:F685,"=RADIO")</f>
        <v>0</v>
      </c>
      <c r="W5" s="130">
        <f>COUNTIFS(W8:W685, "=APAGADO",F8:F685,"=RADIO")</f>
        <v>0</v>
      </c>
      <c r="X5" s="130">
        <f>COUNTIFS(X8:X685, "=APAGADO",F8:F685,"=RADIO")</f>
        <v>0</v>
      </c>
      <c r="Y5" s="130">
        <f>COUNTIFS(Y8:Y685, "=APAGADO",F8:F685,"=RADIO")</f>
        <v>0</v>
      </c>
      <c r="Z5" s="130">
        <f>COUNTIFS(Z8:Z685, "=APAGADO",F8:F685,"=RADIO")</f>
        <v>0</v>
      </c>
      <c r="AA5" s="130">
        <f>COUNTIFS(AA8:AA685, "=APAGADO",F8:F685,"=RADIO")</f>
        <v>0</v>
      </c>
      <c r="AB5" s="130">
        <f>COUNTIFS(AB8:AB685, "=APAGADO",F8:F685,"=RADIO")</f>
        <v>0</v>
      </c>
      <c r="AC5" s="130">
        <f>COUNTIFS(AC8:AC685, "=APAGADO",F8:F685,"=RADIO")</f>
        <v>0</v>
      </c>
      <c r="AD5" s="130">
        <f>COUNTIFS(AD8:AD685, "=APAGADO",F8:F685,"=RADIO")</f>
        <v>0</v>
      </c>
      <c r="AE5" s="130">
        <f>COUNTIFS(AE8:AE685, "=APAGADO",F8:F685,"=RADIO")</f>
        <v>0</v>
      </c>
      <c r="AF5" s="130">
        <f>COUNTIFS(AF8:AF685, "=APAGADO",F8:F685,"=RADIO")</f>
        <v>0</v>
      </c>
      <c r="AG5" s="130">
        <f>COUNTIFS(AG8:AG685, "=APAGADO",F8:F685,"=RADIO")</f>
        <v>0</v>
      </c>
      <c r="AH5" s="130">
        <f>COUNTIFS(AH8:AH685, "=APAGADO",F8:F685,"=RADIO")</f>
        <v>0</v>
      </c>
      <c r="AI5" s="130">
        <f>COUNTIFS(AI8:AI685, "=APAGADO",F8:F685,"=RADIO")</f>
        <v>0</v>
      </c>
      <c r="AJ5" s="130">
        <f>COUNTIFS(AJ8:AJ685, "=APAGADO",F8:F685,"=RADIO")</f>
        <v>0</v>
      </c>
      <c r="AK5" s="130">
        <f>COUNTIFS(AK8:AK685, "=APAGADO",F8:F685,"=RADIO")</f>
        <v>0</v>
      </c>
      <c r="AL5" s="130">
        <f>COUNTIFS(AL8:AL685, "=APAGADO",F8:F685,"=RADIO")</f>
        <v>0</v>
      </c>
      <c r="AM5" s="130">
        <f>COUNTIFS(AM8:AM685, "=APAGADO",F8:F685,"=RADIO")</f>
        <v>0</v>
      </c>
      <c r="AN5" s="130">
        <f>COUNTIFS(AN8:AN685, "=APAGADO",F8:F685,"=RADIO")</f>
        <v>0</v>
      </c>
      <c r="AO5" s="130">
        <f>COUNTIFS(AO8:AO685, "=APAGADO",F8:F685,"=RADIO")</f>
        <v>0</v>
      </c>
      <c r="AP5" s="130">
        <f>COUNTIFS(AP8:AP685, "=APAGADO",F8:F685,"=RADIO")</f>
        <v>0</v>
      </c>
      <c r="AQ5" s="130">
        <f>COUNTIFS(AQ8:AQ685, "=APAGADO",G8:G685,"=RADIO")</f>
        <v>0</v>
      </c>
    </row>
    <row r="6" spans="1:43" s="8" customFormat="1" ht="15.75" thickBot="1" x14ac:dyDescent="0.3">
      <c r="A6" s="116"/>
      <c r="B6" s="58"/>
      <c r="C6" s="58"/>
      <c r="D6" s="21" t="s">
        <v>1467</v>
      </c>
      <c r="E6" s="64"/>
      <c r="F6" s="64"/>
      <c r="G6" s="64"/>
      <c r="H6" s="64"/>
      <c r="I6" s="21"/>
      <c r="J6" s="21"/>
      <c r="K6" s="21"/>
      <c r="L6" s="27"/>
      <c r="M6" s="10">
        <f>COUNTIFS(M8:M685, "=APAGADO",F8:F685,"=PTO A FO")</f>
        <v>13</v>
      </c>
      <c r="N6" s="10">
        <f>COUNTIFS(N8:N685, "=APAGADO",F8:F685,"=PTO A FO")</f>
        <v>6</v>
      </c>
      <c r="O6" s="10">
        <f>COUNTIFS(O8:O685, "=APAGADO",F8:F685,"=PTO A FO")</f>
        <v>6</v>
      </c>
      <c r="P6" s="10">
        <f>COUNTIFS(P8:P685, "=APAGADO",F8:F685,"=PTO A FO")</f>
        <v>11</v>
      </c>
      <c r="Q6" s="10">
        <f>COUNTIFS(Q8:Q685, "=APAGADO",F8:F685,"=PTO A FO")</f>
        <v>8</v>
      </c>
      <c r="R6" s="10">
        <f>COUNTIFS(R8:R685, "=APAGADO",F8:F685,"=PTO A FO")</f>
        <v>5</v>
      </c>
      <c r="S6" s="10">
        <f>COUNTIFS(S8:S685, "=APAGADO",F8:F685,"=PTO A FO")</f>
        <v>5</v>
      </c>
      <c r="T6" s="10">
        <f>COUNTIFS(T8:T685, "=APAGADO",F8:F685,"=PTO A FO")</f>
        <v>7</v>
      </c>
      <c r="U6" s="10">
        <f>COUNTIFS(U8:U685, "=APAGADO",F8:F685,"=PTO A FO")</f>
        <v>0</v>
      </c>
      <c r="V6" s="10">
        <f>COUNTIFS(V8:V685, "=APAGADO",F8:F685,"=PTO A FO")</f>
        <v>0</v>
      </c>
      <c r="W6" s="10">
        <f>COUNTIFS(W8:W685, "=APAGADO",F8:F685,"=PTO A FO")</f>
        <v>0</v>
      </c>
      <c r="X6" s="10">
        <f>COUNTIFS(X8:X685, "=APAGADO",F8:F685,"=PTO A FO")</f>
        <v>0</v>
      </c>
      <c r="Y6" s="10">
        <f>COUNTIFS(Y8:Y685, "=APAGADO",F8:F685,"=PTO A FO")</f>
        <v>0</v>
      </c>
      <c r="Z6" s="10">
        <f>COUNTIFS(Z8:Z685, "=APAGADO",F8:F685,"=PTO A FO")</f>
        <v>0</v>
      </c>
      <c r="AA6" s="10">
        <f>COUNTIFS(AA8:AA685, "=APAGADO",F8:F685,"=PTO A FO")</f>
        <v>0</v>
      </c>
      <c r="AB6" s="10">
        <f>COUNTIFS(AB8:AB685, "=APAGADO",F8:F685,"=PTO A FO")</f>
        <v>0</v>
      </c>
      <c r="AC6" s="10">
        <f>COUNTIFS(AC8:AC685, "=APAGADO",F8:F685,"=PTO A FO")</f>
        <v>0</v>
      </c>
      <c r="AD6" s="10">
        <f>COUNTIFS(AD8:AD685, "=APAGADO",F8:F685,"=PTO A FO")</f>
        <v>0</v>
      </c>
      <c r="AE6" s="10">
        <f>COUNTIFS(AE8:AE685, "=APAGADO",F8:F685,"=PTO A FO")</f>
        <v>0</v>
      </c>
      <c r="AF6" s="10">
        <f>COUNTIFS(AF8:AF685, "=APAGADO",F8:F685,"=PTO A FO")</f>
        <v>0</v>
      </c>
      <c r="AG6" s="10">
        <f>COUNTIFS(AG8:AG685, "=APAGADO",F8:F685,"=PTO A FO")</f>
        <v>0</v>
      </c>
      <c r="AH6" s="10">
        <f>COUNTIFS(AH8:AH685, "=APAGADO",F8:F685,"=PTO A FO")</f>
        <v>0</v>
      </c>
      <c r="AI6" s="10">
        <f>COUNTIFS(AI8:AI685, "=APAGADO",F8:F685,"=PTO A FO")</f>
        <v>0</v>
      </c>
      <c r="AJ6" s="10">
        <f>COUNTIFS(AJ8:AJ685, "=APAGADO",F8:F685,"=PTO A FO")</f>
        <v>0</v>
      </c>
      <c r="AK6" s="10">
        <f>COUNTIFS(AK8:AK685, "=APAGADO",F8:F685,"=PTO A FO")</f>
        <v>0</v>
      </c>
      <c r="AL6" s="10">
        <f>COUNTIFS(AL8:AL685, "=APAGADO",F8:F685,"=PTO A FO")</f>
        <v>0</v>
      </c>
      <c r="AM6" s="10">
        <f>COUNTIFS(AM8:AM685, "=APAGADO",F8:F685,"=PTO A FO")</f>
        <v>0</v>
      </c>
      <c r="AN6" s="10">
        <f>COUNTIFS(AN8:AN685, "=APAGADO",F8:F685,"=PTO A FO")</f>
        <v>0</v>
      </c>
      <c r="AO6" s="10">
        <f>COUNTIFS(AO8:AO685, "=APAGADO",F8:F685,"=PTO A FO")</f>
        <v>0</v>
      </c>
      <c r="AP6" s="10">
        <f>COUNTIFS(AP8:AP685, "=APAGADO",F8:F685,"=PTO A FO")</f>
        <v>0</v>
      </c>
      <c r="AQ6" s="10">
        <f>COUNTIFS(AQ8:AQ685, "=APAGADO",G8:G685,"=PTO A FO")</f>
        <v>0</v>
      </c>
    </row>
    <row r="7" spans="1:43" s="120" customFormat="1" ht="32.25" thickTop="1" thickBot="1" x14ac:dyDescent="0.35">
      <c r="A7" s="35" t="s">
        <v>7</v>
      </c>
      <c r="B7" s="117" t="s">
        <v>8</v>
      </c>
      <c r="C7" s="35" t="s">
        <v>1061</v>
      </c>
      <c r="D7" s="35" t="s">
        <v>9</v>
      </c>
      <c r="E7" s="117" t="s">
        <v>10</v>
      </c>
      <c r="F7" s="117" t="s">
        <v>11</v>
      </c>
      <c r="G7" s="117" t="s">
        <v>1248</v>
      </c>
      <c r="H7" s="117"/>
      <c r="I7" s="19" t="s">
        <v>2</v>
      </c>
      <c r="J7" s="19" t="s">
        <v>1666</v>
      </c>
      <c r="K7" s="19" t="s">
        <v>3</v>
      </c>
      <c r="L7" s="118" t="s">
        <v>4</v>
      </c>
      <c r="M7" s="119">
        <v>45992</v>
      </c>
      <c r="N7" s="119">
        <v>45993</v>
      </c>
      <c r="O7" s="119">
        <v>45994</v>
      </c>
      <c r="P7" s="119">
        <v>45995</v>
      </c>
      <c r="Q7" s="119">
        <v>45996</v>
      </c>
      <c r="R7" s="119">
        <v>45997</v>
      </c>
      <c r="S7" s="119">
        <v>45998</v>
      </c>
      <c r="T7" s="119">
        <v>45999</v>
      </c>
      <c r="U7" s="119">
        <v>46000</v>
      </c>
      <c r="V7" s="119">
        <v>46001</v>
      </c>
      <c r="W7" s="119">
        <v>46002</v>
      </c>
      <c r="X7" s="119">
        <v>46003</v>
      </c>
      <c r="Y7" s="119">
        <v>46004</v>
      </c>
      <c r="Z7" s="119">
        <v>46005</v>
      </c>
      <c r="AA7" s="119">
        <v>46006</v>
      </c>
      <c r="AB7" s="119">
        <v>46007</v>
      </c>
      <c r="AC7" s="119">
        <v>46008</v>
      </c>
      <c r="AD7" s="119">
        <v>46009</v>
      </c>
      <c r="AE7" s="119">
        <v>46010</v>
      </c>
      <c r="AF7" s="119">
        <v>46011</v>
      </c>
      <c r="AG7" s="119">
        <v>46012</v>
      </c>
      <c r="AH7" s="119">
        <v>46013</v>
      </c>
      <c r="AI7" s="119">
        <v>46014</v>
      </c>
      <c r="AJ7" s="119">
        <v>46015</v>
      </c>
      <c r="AK7" s="119">
        <v>46016</v>
      </c>
      <c r="AL7" s="119">
        <v>46017</v>
      </c>
      <c r="AM7" s="119">
        <v>46018</v>
      </c>
      <c r="AN7" s="119">
        <v>46019</v>
      </c>
      <c r="AO7" s="119">
        <v>46020</v>
      </c>
      <c r="AP7" s="119">
        <v>46021</v>
      </c>
      <c r="AQ7" s="119">
        <v>46022</v>
      </c>
    </row>
    <row r="8" spans="1:43" ht="15.75" thickBot="1" x14ac:dyDescent="0.3">
      <c r="A8" t="s">
        <v>26</v>
      </c>
      <c r="B8" t="s">
        <v>29</v>
      </c>
      <c r="C8" t="s">
        <v>1062</v>
      </c>
      <c r="D8" t="s">
        <v>30</v>
      </c>
      <c r="E8" s="30" t="s">
        <v>19</v>
      </c>
      <c r="F8" s="30" t="s">
        <v>28</v>
      </c>
      <c r="G8" s="30"/>
      <c r="H8" s="30" t="s">
        <v>610</v>
      </c>
      <c r="I8" s="31">
        <f t="shared" ref="I8:I85" si="4">COUNTIF(M8:AN8,"")</f>
        <v>23</v>
      </c>
      <c r="J8" s="147" t="s">
        <v>1667</v>
      </c>
      <c r="K8" s="31">
        <f t="shared" ref="K8:K85" si="5">COUNTIF(M8:AN8,"APAGADO")</f>
        <v>5</v>
      </c>
      <c r="L8" s="32">
        <f t="shared" ref="L8:L85" si="6">(I8)/(K8+I8)</f>
        <v>0.8214285714285714</v>
      </c>
      <c r="M8" s="70" t="s">
        <v>2213</v>
      </c>
      <c r="N8" s="70" t="s">
        <v>2213</v>
      </c>
      <c r="O8" s="70" t="s">
        <v>2213</v>
      </c>
      <c r="P8" s="70" t="s">
        <v>2213</v>
      </c>
      <c r="Q8" s="70" t="s">
        <v>2213</v>
      </c>
      <c r="R8" s="70"/>
      <c r="S8" s="70"/>
      <c r="T8" s="70"/>
      <c r="U8" s="70"/>
      <c r="V8" s="70"/>
      <c r="W8" s="70"/>
      <c r="X8" s="70"/>
      <c r="Y8" s="70"/>
      <c r="Z8" s="70"/>
      <c r="AA8" s="70"/>
      <c r="AB8" s="70"/>
      <c r="AC8" s="70"/>
      <c r="AD8" s="70"/>
      <c r="AE8" s="70"/>
      <c r="AF8" s="70"/>
      <c r="AG8" s="70"/>
      <c r="AH8" s="70"/>
      <c r="AI8" s="70"/>
      <c r="AJ8" s="70"/>
      <c r="AK8" s="70"/>
      <c r="AL8" s="70"/>
      <c r="AM8" s="70"/>
      <c r="AN8" s="70"/>
      <c r="AO8" s="70"/>
      <c r="AP8" s="70"/>
      <c r="AQ8" s="70"/>
    </row>
    <row r="9" spans="1:43" ht="15.75" thickBot="1" x14ac:dyDescent="0.3">
      <c r="A9" t="s">
        <v>26</v>
      </c>
      <c r="B9" t="s">
        <v>31</v>
      </c>
      <c r="C9" t="s">
        <v>1062</v>
      </c>
      <c r="D9" t="s">
        <v>32</v>
      </c>
      <c r="E9" s="30" t="s">
        <v>19</v>
      </c>
      <c r="F9" s="30" t="s">
        <v>1056</v>
      </c>
      <c r="G9" s="30" t="s">
        <v>1251</v>
      </c>
      <c r="H9" s="30" t="s">
        <v>611</v>
      </c>
      <c r="I9" s="31">
        <f t="shared" si="4"/>
        <v>23</v>
      </c>
      <c r="J9" s="147" t="s">
        <v>1668</v>
      </c>
      <c r="K9" s="31">
        <f t="shared" si="5"/>
        <v>5</v>
      </c>
      <c r="L9" s="32">
        <f t="shared" si="6"/>
        <v>0.8214285714285714</v>
      </c>
      <c r="M9" s="70" t="s">
        <v>2213</v>
      </c>
      <c r="N9" s="70" t="s">
        <v>2213</v>
      </c>
      <c r="O9" s="70" t="s">
        <v>2213</v>
      </c>
      <c r="P9" s="70" t="s">
        <v>2213</v>
      </c>
      <c r="Q9" s="70" t="s">
        <v>2213</v>
      </c>
      <c r="R9" s="70"/>
      <c r="S9" s="70"/>
      <c r="T9" s="70"/>
      <c r="U9" s="70"/>
      <c r="V9" s="70"/>
      <c r="W9" s="70"/>
      <c r="X9" s="70"/>
      <c r="Y9" s="70"/>
      <c r="Z9" s="70"/>
      <c r="AA9" s="70"/>
      <c r="AB9" s="70"/>
      <c r="AC9" s="70"/>
      <c r="AD9" s="70"/>
      <c r="AE9" s="70"/>
      <c r="AF9" s="70"/>
      <c r="AG9" s="70"/>
      <c r="AH9" s="70"/>
      <c r="AI9" s="70"/>
      <c r="AJ9" s="70"/>
      <c r="AK9" s="70"/>
      <c r="AL9" s="70"/>
      <c r="AM9" s="70"/>
      <c r="AN9" s="70"/>
      <c r="AO9" s="70"/>
      <c r="AP9" s="70"/>
      <c r="AQ9" s="70"/>
    </row>
    <row r="10" spans="1:43" s="73" customFormat="1" ht="15.75" thickBot="1" x14ac:dyDescent="0.3">
      <c r="A10" s="73" t="s">
        <v>26</v>
      </c>
      <c r="B10" s="73" t="s">
        <v>914</v>
      </c>
      <c r="C10" s="73" t="s">
        <v>1062</v>
      </c>
      <c r="D10" s="73" t="s">
        <v>33</v>
      </c>
      <c r="E10" s="85" t="s">
        <v>19</v>
      </c>
      <c r="F10" s="85" t="s">
        <v>1301</v>
      </c>
      <c r="G10" s="85"/>
      <c r="H10" s="85" t="s">
        <v>612</v>
      </c>
      <c r="I10" s="142">
        <f t="shared" si="4"/>
        <v>28</v>
      </c>
      <c r="J10" s="147" t="s">
        <v>1669</v>
      </c>
      <c r="K10" s="142">
        <f t="shared" si="5"/>
        <v>0</v>
      </c>
      <c r="L10" s="143">
        <f t="shared" si="6"/>
        <v>1</v>
      </c>
      <c r="M10" s="70"/>
      <c r="N10" s="70"/>
      <c r="O10" s="70"/>
      <c r="P10" s="70"/>
      <c r="Q10" s="70"/>
      <c r="R10" s="70"/>
      <c r="S10" s="70"/>
      <c r="T10" s="70"/>
      <c r="U10" s="70"/>
      <c r="V10" s="70"/>
      <c r="W10" s="70"/>
      <c r="X10" s="70"/>
      <c r="Y10" s="70"/>
      <c r="Z10" s="70"/>
      <c r="AA10" s="70"/>
      <c r="AB10" s="70"/>
      <c r="AC10" s="70"/>
      <c r="AD10" s="70"/>
      <c r="AE10" s="70"/>
      <c r="AF10" s="70"/>
      <c r="AG10" s="70"/>
      <c r="AH10" s="70"/>
      <c r="AI10" s="70"/>
      <c r="AJ10" s="70"/>
      <c r="AK10" s="70"/>
      <c r="AL10" s="70"/>
      <c r="AM10" s="70"/>
      <c r="AN10" s="70"/>
      <c r="AO10" s="70"/>
      <c r="AP10" s="89"/>
      <c r="AQ10" s="89"/>
    </row>
    <row r="11" spans="1:43" s="73" customFormat="1" ht="15.75" thickBot="1" x14ac:dyDescent="0.3">
      <c r="A11" s="73" t="s">
        <v>26</v>
      </c>
      <c r="B11" s="73" t="s">
        <v>915</v>
      </c>
      <c r="C11" s="73" t="s">
        <v>1062</v>
      </c>
      <c r="D11" s="73" t="s">
        <v>34</v>
      </c>
      <c r="E11" s="85" t="s">
        <v>19</v>
      </c>
      <c r="F11" s="85" t="s">
        <v>1301</v>
      </c>
      <c r="G11" s="85"/>
      <c r="H11" s="85" t="s">
        <v>613</v>
      </c>
      <c r="I11" s="142">
        <f t="shared" si="4"/>
        <v>28</v>
      </c>
      <c r="J11" s="147" t="s">
        <v>1670</v>
      </c>
      <c r="K11" s="142">
        <f t="shared" si="5"/>
        <v>0</v>
      </c>
      <c r="L11" s="143">
        <f t="shared" si="6"/>
        <v>1</v>
      </c>
      <c r="M11" s="70"/>
      <c r="N11" s="70"/>
      <c r="O11" s="70"/>
      <c r="P11" s="70"/>
      <c r="Q11" s="70"/>
      <c r="R11" s="70"/>
      <c r="S11" s="70"/>
      <c r="T11" s="70"/>
      <c r="U11" s="70"/>
      <c r="V11" s="70"/>
      <c r="W11" s="70"/>
      <c r="X11" s="70"/>
      <c r="Y11" s="70"/>
      <c r="Z11" s="70"/>
      <c r="AA11" s="70"/>
      <c r="AB11" s="70"/>
      <c r="AC11" s="70"/>
      <c r="AD11" s="70"/>
      <c r="AE11" s="70"/>
      <c r="AF11" s="70"/>
      <c r="AG11" s="70"/>
      <c r="AH11" s="70"/>
      <c r="AI11" s="70"/>
      <c r="AJ11" s="70"/>
      <c r="AK11" s="70"/>
      <c r="AL11" s="70"/>
      <c r="AM11" s="70"/>
      <c r="AN11" s="70"/>
      <c r="AO11" s="70"/>
      <c r="AP11" s="89"/>
      <c r="AQ11" s="89"/>
    </row>
    <row r="12" spans="1:43" s="73" customFormat="1" ht="15.75" thickBot="1" x14ac:dyDescent="0.3">
      <c r="A12" s="73" t="s">
        <v>26</v>
      </c>
      <c r="B12" s="73" t="s">
        <v>35</v>
      </c>
      <c r="C12" s="73" t="s">
        <v>1062</v>
      </c>
      <c r="D12" s="73" t="s">
        <v>36</v>
      </c>
      <c r="E12" s="85" t="s">
        <v>19</v>
      </c>
      <c r="F12" s="85" t="s">
        <v>1301</v>
      </c>
      <c r="G12" s="85" t="s">
        <v>1250</v>
      </c>
      <c r="H12" s="85" t="s">
        <v>614</v>
      </c>
      <c r="I12" s="142">
        <f t="shared" si="4"/>
        <v>28</v>
      </c>
      <c r="J12" s="149" t="s">
        <v>1671</v>
      </c>
      <c r="K12" s="142">
        <f t="shared" si="5"/>
        <v>0</v>
      </c>
      <c r="L12" s="143">
        <f t="shared" si="6"/>
        <v>1</v>
      </c>
      <c r="M12" s="70"/>
      <c r="N12" s="70"/>
      <c r="O12" s="70"/>
      <c r="P12" s="70"/>
      <c r="Q12" s="70"/>
      <c r="R12" s="70"/>
      <c r="S12" s="70"/>
      <c r="T12" s="70"/>
      <c r="U12" s="70"/>
      <c r="V12" s="70"/>
      <c r="W12" s="70"/>
      <c r="X12" s="70"/>
      <c r="Y12" s="70"/>
      <c r="Z12" s="70"/>
      <c r="AA12" s="70"/>
      <c r="AB12" s="70"/>
      <c r="AC12" s="70"/>
      <c r="AD12" s="70"/>
      <c r="AE12" s="70"/>
      <c r="AF12" s="70"/>
      <c r="AG12" s="70"/>
      <c r="AH12" s="70"/>
      <c r="AI12" s="70"/>
      <c r="AJ12" s="70"/>
      <c r="AK12" s="70"/>
      <c r="AL12" s="70"/>
      <c r="AM12" s="70"/>
      <c r="AN12" s="70"/>
      <c r="AO12" s="70"/>
      <c r="AP12" s="89"/>
      <c r="AQ12" s="89"/>
    </row>
    <row r="13" spans="1:43" s="73" customFormat="1" ht="15.75" thickBot="1" x14ac:dyDescent="0.3">
      <c r="A13" s="73" t="s">
        <v>26</v>
      </c>
      <c r="B13" s="73" t="s">
        <v>916</v>
      </c>
      <c r="C13" s="73" t="s">
        <v>1062</v>
      </c>
      <c r="D13" s="73" t="s">
        <v>27</v>
      </c>
      <c r="E13" s="85" t="s">
        <v>19</v>
      </c>
      <c r="F13" s="85" t="s">
        <v>1301</v>
      </c>
      <c r="G13" s="85" t="s">
        <v>1250</v>
      </c>
      <c r="H13" s="85" t="s">
        <v>615</v>
      </c>
      <c r="I13" s="142">
        <f t="shared" si="4"/>
        <v>28</v>
      </c>
      <c r="J13" s="147" t="s">
        <v>1672</v>
      </c>
      <c r="K13" s="142">
        <f t="shared" si="5"/>
        <v>0</v>
      </c>
      <c r="L13" s="143">
        <f t="shared" si="6"/>
        <v>1</v>
      </c>
      <c r="M13" s="70"/>
      <c r="N13" s="70"/>
      <c r="O13" s="70"/>
      <c r="P13" s="70"/>
      <c r="Q13" s="70"/>
      <c r="R13" s="70"/>
      <c r="S13" s="70"/>
      <c r="T13" s="70"/>
      <c r="U13" s="70"/>
      <c r="V13" s="70"/>
      <c r="W13" s="70"/>
      <c r="X13" s="70"/>
      <c r="Y13" s="70"/>
      <c r="Z13" s="70"/>
      <c r="AA13" s="70"/>
      <c r="AB13" s="70"/>
      <c r="AC13" s="70"/>
      <c r="AD13" s="70"/>
      <c r="AE13" s="70"/>
      <c r="AF13" s="70"/>
      <c r="AG13" s="70"/>
      <c r="AH13" s="70"/>
      <c r="AI13" s="70"/>
      <c r="AJ13" s="70"/>
      <c r="AK13" s="70"/>
      <c r="AL13" s="70"/>
      <c r="AM13" s="70"/>
      <c r="AN13" s="70"/>
      <c r="AO13" s="70"/>
      <c r="AP13" s="89"/>
      <c r="AQ13" s="89"/>
    </row>
    <row r="14" spans="1:43" ht="15.75" thickBot="1" x14ac:dyDescent="0.3">
      <c r="A14" t="s">
        <v>26</v>
      </c>
      <c r="B14" t="s">
        <v>37</v>
      </c>
      <c r="C14" t="s">
        <v>1062</v>
      </c>
      <c r="D14" t="s">
        <v>38</v>
      </c>
      <c r="E14" s="30" t="s">
        <v>15</v>
      </c>
      <c r="F14" s="30" t="s">
        <v>1056</v>
      </c>
      <c r="G14" s="30" t="s">
        <v>1251</v>
      </c>
      <c r="H14" s="30" t="s">
        <v>617</v>
      </c>
      <c r="I14" s="31">
        <f t="shared" si="4"/>
        <v>23</v>
      </c>
      <c r="J14" s="147" t="s">
        <v>1673</v>
      </c>
      <c r="K14" s="31">
        <f t="shared" si="5"/>
        <v>5</v>
      </c>
      <c r="L14" s="32">
        <f t="shared" si="6"/>
        <v>0.8214285714285714</v>
      </c>
      <c r="M14" s="70" t="s">
        <v>2213</v>
      </c>
      <c r="N14" s="70" t="s">
        <v>2213</v>
      </c>
      <c r="O14" s="70" t="s">
        <v>2213</v>
      </c>
      <c r="P14" s="70" t="s">
        <v>2213</v>
      </c>
      <c r="Q14" s="70" t="s">
        <v>2213</v>
      </c>
      <c r="R14" s="70"/>
      <c r="S14" s="70"/>
      <c r="T14" s="70"/>
      <c r="U14" s="70"/>
      <c r="V14" s="70"/>
      <c r="W14" s="70"/>
      <c r="X14" s="70"/>
      <c r="Y14" s="70"/>
      <c r="Z14" s="70"/>
      <c r="AA14" s="70"/>
      <c r="AB14" s="70"/>
      <c r="AC14" s="70"/>
      <c r="AD14" s="70"/>
      <c r="AE14" s="70"/>
      <c r="AF14" s="70"/>
      <c r="AG14" s="70"/>
      <c r="AH14" s="70"/>
      <c r="AI14" s="70"/>
      <c r="AJ14" s="70"/>
      <c r="AK14" s="70"/>
      <c r="AL14" s="70"/>
      <c r="AM14" s="70"/>
      <c r="AN14" s="70"/>
      <c r="AO14" s="70"/>
      <c r="AP14" s="70"/>
      <c r="AQ14" s="70"/>
    </row>
    <row r="15" spans="1:43" ht="15.75" thickBot="1" x14ac:dyDescent="0.3">
      <c r="A15" t="s">
        <v>26</v>
      </c>
      <c r="B15" t="s">
        <v>917</v>
      </c>
      <c r="C15" t="s">
        <v>1062</v>
      </c>
      <c r="D15" t="s">
        <v>39</v>
      </c>
      <c r="E15" s="30" t="s">
        <v>15</v>
      </c>
      <c r="F15" s="30" t="s">
        <v>28</v>
      </c>
      <c r="G15" s="30"/>
      <c r="H15" s="30" t="s">
        <v>618</v>
      </c>
      <c r="I15" s="31">
        <f t="shared" si="4"/>
        <v>28</v>
      </c>
      <c r="J15" s="147" t="s">
        <v>1674</v>
      </c>
      <c r="K15" s="31">
        <f t="shared" si="5"/>
        <v>0</v>
      </c>
      <c r="L15" s="32">
        <f t="shared" si="6"/>
        <v>1</v>
      </c>
      <c r="M15" s="70"/>
      <c r="N15" s="70"/>
      <c r="O15" s="70"/>
      <c r="P15" s="70"/>
      <c r="Q15" s="70"/>
      <c r="R15" s="70"/>
      <c r="S15" s="70"/>
      <c r="T15" s="70"/>
      <c r="U15" s="70"/>
      <c r="V15" s="70"/>
      <c r="W15" s="70"/>
      <c r="X15" s="70"/>
      <c r="Y15" s="70"/>
      <c r="Z15" s="70"/>
      <c r="AA15" s="70"/>
      <c r="AB15" s="70"/>
      <c r="AC15" s="70"/>
      <c r="AD15" s="70"/>
      <c r="AE15" s="70"/>
      <c r="AF15" s="70"/>
      <c r="AG15" s="70"/>
      <c r="AH15" s="70"/>
      <c r="AI15" s="70"/>
      <c r="AJ15" s="70"/>
      <c r="AK15" s="70"/>
      <c r="AL15" s="70"/>
      <c r="AM15" s="70"/>
      <c r="AN15" s="70"/>
      <c r="AO15" s="70"/>
      <c r="AP15" s="70"/>
      <c r="AQ15" s="70"/>
    </row>
    <row r="16" spans="1:43" ht="15.75" thickBot="1" x14ac:dyDescent="0.3">
      <c r="A16" t="s">
        <v>26</v>
      </c>
      <c r="B16" t="s">
        <v>918</v>
      </c>
      <c r="C16" t="s">
        <v>1062</v>
      </c>
      <c r="D16" t="s">
        <v>40</v>
      </c>
      <c r="E16" s="30" t="s">
        <v>15</v>
      </c>
      <c r="F16" s="30" t="s">
        <v>28</v>
      </c>
      <c r="G16" s="30"/>
      <c r="H16" s="30" t="s">
        <v>619</v>
      </c>
      <c r="I16" s="31">
        <f t="shared" si="4"/>
        <v>28</v>
      </c>
      <c r="J16" s="147" t="s">
        <v>1675</v>
      </c>
      <c r="K16" s="31">
        <f t="shared" si="5"/>
        <v>0</v>
      </c>
      <c r="L16" s="32">
        <f t="shared" si="6"/>
        <v>1</v>
      </c>
      <c r="M16" s="70"/>
      <c r="N16" s="70"/>
      <c r="O16" s="70"/>
      <c r="P16" s="70"/>
      <c r="Q16" s="70"/>
      <c r="R16" s="70"/>
      <c r="S16" s="70"/>
      <c r="T16" s="70"/>
      <c r="U16" s="70"/>
      <c r="V16" s="70"/>
      <c r="W16" s="70"/>
      <c r="X16" s="70"/>
      <c r="Y16" s="70"/>
      <c r="Z16" s="70"/>
      <c r="AA16" s="70"/>
      <c r="AB16" s="70"/>
      <c r="AC16" s="70"/>
      <c r="AD16" s="70"/>
      <c r="AE16" s="70"/>
      <c r="AF16" s="70"/>
      <c r="AG16" s="70"/>
      <c r="AH16" s="70"/>
      <c r="AI16" s="70"/>
      <c r="AJ16" s="70"/>
      <c r="AK16" s="70"/>
      <c r="AL16" s="70"/>
      <c r="AM16" s="70"/>
      <c r="AN16" s="70"/>
      <c r="AO16" s="70"/>
      <c r="AP16" s="70"/>
      <c r="AQ16" s="70"/>
    </row>
    <row r="17" spans="1:43" s="73" customFormat="1" ht="15.75" thickBot="1" x14ac:dyDescent="0.3">
      <c r="A17" s="73" t="s">
        <v>26</v>
      </c>
      <c r="B17" s="73" t="s">
        <v>919</v>
      </c>
      <c r="C17" s="73" t="s">
        <v>1062</v>
      </c>
      <c r="D17" s="73" t="s">
        <v>920</v>
      </c>
      <c r="E17" s="85" t="s">
        <v>19</v>
      </c>
      <c r="F17" s="85" t="s">
        <v>1301</v>
      </c>
      <c r="G17" s="85"/>
      <c r="H17" s="85" t="s">
        <v>1213</v>
      </c>
      <c r="I17" s="142">
        <f t="shared" si="4"/>
        <v>20</v>
      </c>
      <c r="J17" s="150" t="s">
        <v>1676</v>
      </c>
      <c r="K17" s="142">
        <f t="shared" si="5"/>
        <v>8</v>
      </c>
      <c r="L17" s="143">
        <f t="shared" si="6"/>
        <v>0.7142857142857143</v>
      </c>
      <c r="M17" s="70" t="s">
        <v>2213</v>
      </c>
      <c r="N17" s="70" t="s">
        <v>2213</v>
      </c>
      <c r="O17" s="70" t="s">
        <v>2213</v>
      </c>
      <c r="P17" s="70" t="s">
        <v>2213</v>
      </c>
      <c r="Q17" s="70" t="s">
        <v>2213</v>
      </c>
      <c r="R17" s="70" t="s">
        <v>2213</v>
      </c>
      <c r="S17" s="70" t="s">
        <v>2213</v>
      </c>
      <c r="T17" s="70" t="s">
        <v>2213</v>
      </c>
      <c r="U17" s="70"/>
      <c r="V17" s="70"/>
      <c r="W17" s="70"/>
      <c r="X17" s="70"/>
      <c r="Y17" s="70"/>
      <c r="Z17" s="70"/>
      <c r="AA17" s="70"/>
      <c r="AB17" s="70"/>
      <c r="AC17" s="70"/>
      <c r="AD17" s="70"/>
      <c r="AE17" s="70"/>
      <c r="AF17" s="70"/>
      <c r="AG17" s="70"/>
      <c r="AH17" s="70"/>
      <c r="AI17" s="70"/>
      <c r="AJ17" s="70"/>
      <c r="AK17" s="70"/>
      <c r="AL17" s="70"/>
      <c r="AM17" s="70"/>
      <c r="AN17" s="70"/>
      <c r="AO17" s="70"/>
      <c r="AP17" s="89"/>
      <c r="AQ17" s="89"/>
    </row>
    <row r="18" spans="1:43" ht="15.75" thickBot="1" x14ac:dyDescent="0.3">
      <c r="A18" t="s">
        <v>26</v>
      </c>
      <c r="B18" t="s">
        <v>1528</v>
      </c>
      <c r="C18" t="s">
        <v>1062</v>
      </c>
      <c r="D18" s="68" t="s">
        <v>1529</v>
      </c>
      <c r="E18" s="30" t="s">
        <v>73</v>
      </c>
      <c r="F18" s="85" t="s">
        <v>1301</v>
      </c>
      <c r="G18" s="30"/>
      <c r="H18" s="30" t="s">
        <v>1530</v>
      </c>
      <c r="I18" s="31">
        <f t="shared" si="4"/>
        <v>28</v>
      </c>
      <c r="J18" s="87" t="s">
        <v>2159</v>
      </c>
      <c r="K18" s="31">
        <f t="shared" si="5"/>
        <v>0</v>
      </c>
      <c r="L18" s="32">
        <f t="shared" si="6"/>
        <v>1</v>
      </c>
      <c r="M18" s="70"/>
      <c r="N18" s="70"/>
      <c r="O18" s="70"/>
      <c r="P18" s="70"/>
      <c r="Q18" s="70"/>
      <c r="R18" s="70"/>
      <c r="S18" s="70"/>
      <c r="T18" s="70"/>
      <c r="U18" s="70"/>
      <c r="V18" s="70"/>
      <c r="W18" s="70"/>
      <c r="X18" s="70"/>
      <c r="Y18" s="70"/>
      <c r="Z18" s="71"/>
      <c r="AA18" s="70"/>
      <c r="AB18" s="70"/>
      <c r="AC18" s="70"/>
      <c r="AD18" s="70"/>
      <c r="AE18" s="70"/>
      <c r="AF18" s="70"/>
      <c r="AG18" s="70"/>
      <c r="AH18" s="70"/>
      <c r="AI18" s="70"/>
      <c r="AJ18" s="70"/>
      <c r="AK18" s="70"/>
      <c r="AL18" s="70"/>
      <c r="AM18" s="70"/>
      <c r="AN18" s="70"/>
      <c r="AO18" s="70"/>
      <c r="AP18" s="70"/>
      <c r="AQ18" s="70"/>
    </row>
    <row r="19" spans="1:43" ht="15.75" thickBot="1" x14ac:dyDescent="0.3">
      <c r="A19" t="s">
        <v>41</v>
      </c>
      <c r="B19" t="s">
        <v>921</v>
      </c>
      <c r="C19" t="s">
        <v>1062</v>
      </c>
      <c r="D19" t="s">
        <v>42</v>
      </c>
      <c r="E19" s="30" t="s">
        <v>19</v>
      </c>
      <c r="F19" s="30" t="s">
        <v>28</v>
      </c>
      <c r="G19" s="30"/>
      <c r="H19" s="30" t="s">
        <v>620</v>
      </c>
      <c r="I19" s="31">
        <f t="shared" si="4"/>
        <v>20</v>
      </c>
      <c r="J19" s="147" t="s">
        <v>1677</v>
      </c>
      <c r="K19" s="31">
        <f t="shared" si="5"/>
        <v>8</v>
      </c>
      <c r="L19" s="32">
        <f t="shared" si="6"/>
        <v>0.7142857142857143</v>
      </c>
      <c r="M19" s="70" t="s">
        <v>2213</v>
      </c>
      <c r="N19" s="70" t="s">
        <v>2213</v>
      </c>
      <c r="O19" s="70" t="s">
        <v>2213</v>
      </c>
      <c r="P19" s="70" t="s">
        <v>2213</v>
      </c>
      <c r="Q19" s="70" t="s">
        <v>2213</v>
      </c>
      <c r="R19" s="70" t="s">
        <v>2213</v>
      </c>
      <c r="S19" s="70" t="s">
        <v>2213</v>
      </c>
      <c r="T19" s="70" t="s">
        <v>2213</v>
      </c>
      <c r="U19" s="70"/>
      <c r="V19" s="70"/>
      <c r="W19" s="70"/>
      <c r="X19" s="70"/>
      <c r="Y19" s="70"/>
      <c r="Z19" s="71"/>
      <c r="AA19" s="70"/>
      <c r="AB19" s="70"/>
      <c r="AC19" s="70"/>
      <c r="AD19" s="70"/>
      <c r="AE19" s="70"/>
      <c r="AF19" s="70"/>
      <c r="AG19" s="70"/>
      <c r="AH19" s="70"/>
      <c r="AI19" s="70"/>
      <c r="AJ19" s="70"/>
      <c r="AK19" s="70"/>
      <c r="AL19" s="70"/>
      <c r="AM19" s="70"/>
      <c r="AN19" s="70"/>
      <c r="AO19" s="70"/>
      <c r="AP19" s="70"/>
      <c r="AQ19" s="70"/>
    </row>
    <row r="20" spans="1:43" s="73" customFormat="1" ht="15.75" thickBot="1" x14ac:dyDescent="0.3">
      <c r="A20" s="73" t="s">
        <v>41</v>
      </c>
      <c r="B20" s="73" t="s">
        <v>1543</v>
      </c>
      <c r="C20" s="73" t="s">
        <v>1062</v>
      </c>
      <c r="D20" s="73" t="s">
        <v>1544</v>
      </c>
      <c r="E20" s="85" t="s">
        <v>73</v>
      </c>
      <c r="F20" s="85" t="s">
        <v>1301</v>
      </c>
      <c r="G20" s="85"/>
      <c r="H20" s="85" t="s">
        <v>1545</v>
      </c>
      <c r="I20" s="31">
        <f t="shared" si="4"/>
        <v>20</v>
      </c>
      <c r="J20" s="147" t="s">
        <v>1678</v>
      </c>
      <c r="K20" s="31">
        <f t="shared" si="5"/>
        <v>8</v>
      </c>
      <c r="L20" s="32">
        <f t="shared" si="6"/>
        <v>0.7142857142857143</v>
      </c>
      <c r="M20" s="70" t="s">
        <v>2213</v>
      </c>
      <c r="N20" s="70" t="s">
        <v>2213</v>
      </c>
      <c r="O20" s="70" t="s">
        <v>2213</v>
      </c>
      <c r="P20" s="70" t="s">
        <v>2213</v>
      </c>
      <c r="Q20" s="70" t="s">
        <v>2213</v>
      </c>
      <c r="R20" s="70" t="s">
        <v>2213</v>
      </c>
      <c r="S20" s="70" t="s">
        <v>2213</v>
      </c>
      <c r="T20" s="70" t="s">
        <v>2213</v>
      </c>
      <c r="U20" s="70"/>
      <c r="V20" s="70"/>
      <c r="W20" s="70"/>
      <c r="X20" s="70"/>
      <c r="Y20" s="70"/>
      <c r="Z20" s="71"/>
      <c r="AA20" s="70"/>
      <c r="AB20" s="70"/>
      <c r="AC20" s="70"/>
      <c r="AD20" s="70"/>
      <c r="AE20" s="70"/>
      <c r="AF20" s="70"/>
      <c r="AG20" s="70"/>
      <c r="AH20" s="70"/>
      <c r="AI20" s="70"/>
      <c r="AJ20" s="70"/>
      <c r="AK20" s="70"/>
      <c r="AL20" s="70"/>
      <c r="AM20" s="70"/>
      <c r="AN20" s="70"/>
      <c r="AO20" s="70"/>
      <c r="AP20" s="89"/>
      <c r="AQ20" s="89"/>
    </row>
    <row r="21" spans="1:43" s="73" customFormat="1" ht="15.75" thickBot="1" x14ac:dyDescent="0.3">
      <c r="A21" s="73" t="s">
        <v>41</v>
      </c>
      <c r="B21" s="73" t="s">
        <v>1572</v>
      </c>
      <c r="C21" s="73" t="s">
        <v>1062</v>
      </c>
      <c r="D21" s="73" t="s">
        <v>1573</v>
      </c>
      <c r="E21" s="85" t="s">
        <v>73</v>
      </c>
      <c r="F21" s="85" t="s">
        <v>1301</v>
      </c>
      <c r="G21" s="85"/>
      <c r="H21" s="85" t="s">
        <v>1574</v>
      </c>
      <c r="I21" s="31">
        <f t="shared" si="4"/>
        <v>28</v>
      </c>
      <c r="J21" s="147" t="s">
        <v>1679</v>
      </c>
      <c r="K21" s="31">
        <f t="shared" si="5"/>
        <v>0</v>
      </c>
      <c r="L21" s="32">
        <f t="shared" si="6"/>
        <v>1</v>
      </c>
      <c r="M21" s="70"/>
      <c r="N21" s="70"/>
      <c r="O21" s="70"/>
      <c r="P21" s="70"/>
      <c r="Q21" s="70"/>
      <c r="R21" s="70"/>
      <c r="S21" s="70"/>
      <c r="T21" s="70"/>
      <c r="U21" s="70"/>
      <c r="V21" s="70"/>
      <c r="W21" s="70"/>
      <c r="X21" s="70"/>
      <c r="Y21" s="70"/>
      <c r="Z21" s="71"/>
      <c r="AA21" s="70"/>
      <c r="AB21" s="70"/>
      <c r="AC21" s="70"/>
      <c r="AD21" s="70"/>
      <c r="AE21" s="70"/>
      <c r="AF21" s="70"/>
      <c r="AG21" s="70"/>
      <c r="AH21" s="70"/>
      <c r="AI21" s="70"/>
      <c r="AJ21" s="70"/>
      <c r="AK21" s="70"/>
      <c r="AL21" s="70"/>
      <c r="AM21" s="70"/>
      <c r="AN21" s="70"/>
      <c r="AO21" s="70"/>
      <c r="AP21" s="89"/>
      <c r="AQ21" s="89"/>
    </row>
    <row r="22" spans="1:43" ht="15.75" thickBot="1" x14ac:dyDescent="0.3">
      <c r="A22" t="s">
        <v>43</v>
      </c>
      <c r="B22" t="s">
        <v>922</v>
      </c>
      <c r="C22" t="s">
        <v>1062</v>
      </c>
      <c r="D22" t="s">
        <v>44</v>
      </c>
      <c r="E22" s="30" t="s">
        <v>15</v>
      </c>
      <c r="F22" s="30" t="s">
        <v>28</v>
      </c>
      <c r="G22" s="30"/>
      <c r="H22" s="30" t="s">
        <v>621</v>
      </c>
      <c r="I22" s="31">
        <f t="shared" si="4"/>
        <v>28</v>
      </c>
      <c r="J22" s="147" t="s">
        <v>1680</v>
      </c>
      <c r="K22" s="31">
        <f t="shared" si="5"/>
        <v>0</v>
      </c>
      <c r="L22" s="32">
        <f t="shared" si="6"/>
        <v>1</v>
      </c>
      <c r="M22" s="70"/>
      <c r="N22" s="70"/>
      <c r="O22" s="70"/>
      <c r="P22" s="70"/>
      <c r="Q22" s="70"/>
      <c r="R22" s="70"/>
      <c r="S22" s="70"/>
      <c r="T22" s="70"/>
      <c r="U22" s="70"/>
      <c r="V22" s="70"/>
      <c r="W22" s="70"/>
      <c r="X22" s="70"/>
      <c r="Y22" s="70"/>
      <c r="Z22" s="70"/>
      <c r="AA22" s="70"/>
      <c r="AB22" s="70"/>
      <c r="AC22" s="70"/>
      <c r="AD22" s="70"/>
      <c r="AE22" s="70"/>
      <c r="AF22" s="70"/>
      <c r="AG22" s="70"/>
      <c r="AH22" s="70"/>
      <c r="AI22" s="70"/>
      <c r="AJ22" s="70"/>
      <c r="AK22" s="70"/>
      <c r="AL22" s="70"/>
      <c r="AM22" s="70"/>
      <c r="AN22" s="70"/>
      <c r="AO22" s="70"/>
      <c r="AP22" s="70"/>
      <c r="AQ22" s="70"/>
    </row>
    <row r="23" spans="1:43" ht="15.75" thickBot="1" x14ac:dyDescent="0.3">
      <c r="A23" t="s">
        <v>43</v>
      </c>
      <c r="B23" t="s">
        <v>1268</v>
      </c>
      <c r="C23" t="s">
        <v>1062</v>
      </c>
      <c r="D23" t="s">
        <v>1269</v>
      </c>
      <c r="E23" s="30" t="s">
        <v>15</v>
      </c>
      <c r="F23" s="30" t="s">
        <v>28</v>
      </c>
      <c r="G23" s="30"/>
      <c r="H23" s="30" t="s">
        <v>1357</v>
      </c>
      <c r="I23" s="31">
        <f t="shared" si="4"/>
        <v>28</v>
      </c>
      <c r="J23" s="147" t="s">
        <v>1681</v>
      </c>
      <c r="K23" s="31">
        <f t="shared" si="5"/>
        <v>0</v>
      </c>
      <c r="L23" s="32">
        <f t="shared" si="6"/>
        <v>1</v>
      </c>
      <c r="M23" s="70"/>
      <c r="N23" s="70"/>
      <c r="O23" s="70"/>
      <c r="P23" s="70"/>
      <c r="Q23" s="70"/>
      <c r="R23" s="70"/>
      <c r="S23" s="70"/>
      <c r="T23" s="70"/>
      <c r="U23" s="70"/>
      <c r="V23" s="70"/>
      <c r="W23" s="70"/>
      <c r="X23" s="70"/>
      <c r="Y23" s="70"/>
      <c r="Z23" s="70"/>
      <c r="AA23" s="70"/>
      <c r="AB23" s="70"/>
      <c r="AC23" s="70"/>
      <c r="AD23" s="70"/>
      <c r="AE23" s="70"/>
      <c r="AF23" s="70"/>
      <c r="AG23" s="70"/>
      <c r="AH23" s="70"/>
      <c r="AI23" s="70"/>
      <c r="AJ23" s="70"/>
      <c r="AK23" s="70"/>
      <c r="AL23" s="70"/>
      <c r="AM23" s="70"/>
      <c r="AN23" s="70"/>
      <c r="AO23" s="70"/>
      <c r="AP23" s="70"/>
      <c r="AQ23" s="70"/>
    </row>
    <row r="24" spans="1:43" ht="15.75" thickBot="1" x14ac:dyDescent="0.3">
      <c r="A24" t="s">
        <v>1194</v>
      </c>
      <c r="B24" s="30" t="s">
        <v>1178</v>
      </c>
      <c r="C24" s="30" t="s">
        <v>1063</v>
      </c>
      <c r="D24" t="s">
        <v>1162</v>
      </c>
      <c r="E24" s="30" t="s">
        <v>73</v>
      </c>
      <c r="F24" s="30" t="s">
        <v>1056</v>
      </c>
      <c r="G24" s="30"/>
      <c r="H24" s="30" t="s">
        <v>1165</v>
      </c>
      <c r="I24" s="31">
        <f t="shared" si="4"/>
        <v>28</v>
      </c>
      <c r="J24" s="147" t="s">
        <v>1682</v>
      </c>
      <c r="K24" s="31">
        <f t="shared" si="5"/>
        <v>0</v>
      </c>
      <c r="L24" s="32">
        <f t="shared" si="6"/>
        <v>1</v>
      </c>
      <c r="M24" s="70"/>
      <c r="N24" s="70"/>
      <c r="O24" s="70"/>
      <c r="P24" s="70"/>
      <c r="Q24" s="70"/>
      <c r="R24" s="70"/>
      <c r="S24" s="70"/>
      <c r="T24" s="70"/>
      <c r="U24" s="70"/>
      <c r="V24" s="70"/>
      <c r="W24" s="70"/>
      <c r="X24" s="70"/>
      <c r="Y24" s="70"/>
      <c r="Z24" s="70"/>
      <c r="AA24" s="70"/>
      <c r="AB24" s="70"/>
      <c r="AC24" s="70"/>
      <c r="AD24" s="70"/>
      <c r="AE24" s="70"/>
      <c r="AF24" s="70"/>
      <c r="AG24" s="70"/>
      <c r="AH24" s="70"/>
      <c r="AI24" s="70"/>
      <c r="AJ24" s="70"/>
      <c r="AK24" s="70"/>
      <c r="AL24" s="70"/>
      <c r="AM24" s="70"/>
      <c r="AN24" s="70"/>
      <c r="AO24" s="70"/>
      <c r="AP24" s="70"/>
      <c r="AQ24" s="70"/>
    </row>
    <row r="25" spans="1:43" ht="15.75" thickBot="1" x14ac:dyDescent="0.3">
      <c r="A25" t="s">
        <v>1194</v>
      </c>
      <c r="B25" s="30" t="s">
        <v>1179</v>
      </c>
      <c r="C25" s="30" t="s">
        <v>1063</v>
      </c>
      <c r="D25" t="s">
        <v>1162</v>
      </c>
      <c r="E25" s="30" t="s">
        <v>73</v>
      </c>
      <c r="F25" s="30" t="s">
        <v>1056</v>
      </c>
      <c r="G25" s="30"/>
      <c r="H25" s="30" t="s">
        <v>1166</v>
      </c>
      <c r="I25" s="31">
        <f t="shared" si="4"/>
        <v>28</v>
      </c>
      <c r="J25" s="147" t="s">
        <v>1683</v>
      </c>
      <c r="K25" s="31">
        <f t="shared" si="5"/>
        <v>0</v>
      </c>
      <c r="L25" s="32">
        <f t="shared" si="6"/>
        <v>1</v>
      </c>
      <c r="M25" s="70"/>
      <c r="N25" s="70"/>
      <c r="O25" s="70"/>
      <c r="P25" s="70"/>
      <c r="Q25" s="70"/>
      <c r="R25" s="70"/>
      <c r="S25" s="70"/>
      <c r="T25" s="70"/>
      <c r="U25" s="70"/>
      <c r="V25" s="70"/>
      <c r="W25" s="70"/>
      <c r="X25" s="70"/>
      <c r="Y25" s="70"/>
      <c r="Z25" s="70"/>
      <c r="AA25" s="70"/>
      <c r="AB25" s="70"/>
      <c r="AC25" s="70"/>
      <c r="AD25" s="70"/>
      <c r="AE25" s="70"/>
      <c r="AF25" s="70"/>
      <c r="AG25" s="70"/>
      <c r="AH25" s="70"/>
      <c r="AI25" s="70"/>
      <c r="AJ25" s="70"/>
      <c r="AK25" s="70"/>
      <c r="AL25" s="70"/>
      <c r="AM25" s="70"/>
      <c r="AN25" s="70"/>
      <c r="AO25" s="70"/>
      <c r="AP25" s="70"/>
      <c r="AQ25" s="70"/>
    </row>
    <row r="26" spans="1:43" ht="15.75" thickBot="1" x14ac:dyDescent="0.3">
      <c r="A26" t="s">
        <v>1194</v>
      </c>
      <c r="B26" s="30" t="s">
        <v>1177</v>
      </c>
      <c r="C26" s="30" t="s">
        <v>1063</v>
      </c>
      <c r="D26" t="s">
        <v>1161</v>
      </c>
      <c r="E26" s="30" t="s">
        <v>73</v>
      </c>
      <c r="F26" s="30" t="s">
        <v>1056</v>
      </c>
      <c r="G26" s="30"/>
      <c r="H26" s="30" t="s">
        <v>1164</v>
      </c>
      <c r="I26" s="31">
        <f t="shared" si="4"/>
        <v>28</v>
      </c>
      <c r="J26" s="147" t="s">
        <v>1684</v>
      </c>
      <c r="K26" s="31">
        <f t="shared" si="5"/>
        <v>0</v>
      </c>
      <c r="L26" s="32">
        <f t="shared" si="6"/>
        <v>1</v>
      </c>
      <c r="M26" s="70"/>
      <c r="N26" s="70"/>
      <c r="O26" s="70"/>
      <c r="P26" s="70"/>
      <c r="Q26" s="70"/>
      <c r="R26" s="70"/>
      <c r="S26" s="70"/>
      <c r="T26" s="70"/>
      <c r="U26" s="70"/>
      <c r="V26" s="70"/>
      <c r="W26" s="70"/>
      <c r="X26" s="70"/>
      <c r="Y26" s="70"/>
      <c r="Z26" s="70"/>
      <c r="AA26" s="70"/>
      <c r="AB26" s="70"/>
      <c r="AC26" s="70"/>
      <c r="AD26" s="70"/>
      <c r="AE26" s="70"/>
      <c r="AF26" s="70"/>
      <c r="AG26" s="70"/>
      <c r="AH26" s="70"/>
      <c r="AI26" s="70"/>
      <c r="AJ26" s="70"/>
      <c r="AK26" s="70"/>
      <c r="AL26" s="70"/>
      <c r="AM26" s="70"/>
      <c r="AN26" s="70"/>
      <c r="AO26" s="70"/>
      <c r="AP26" s="70"/>
      <c r="AQ26" s="70"/>
    </row>
    <row r="27" spans="1:43" ht="15.75" thickBot="1" x14ac:dyDescent="0.3">
      <c r="A27" t="s">
        <v>1194</v>
      </c>
      <c r="B27" s="30" t="s">
        <v>1176</v>
      </c>
      <c r="C27" s="30" t="s">
        <v>1063</v>
      </c>
      <c r="D27" t="s">
        <v>1161</v>
      </c>
      <c r="E27" s="30" t="s">
        <v>73</v>
      </c>
      <c r="F27" s="30" t="s">
        <v>1056</v>
      </c>
      <c r="G27" s="30"/>
      <c r="H27" s="30" t="s">
        <v>1171</v>
      </c>
      <c r="I27" s="31">
        <f t="shared" si="4"/>
        <v>28</v>
      </c>
      <c r="J27" s="147" t="s">
        <v>1685</v>
      </c>
      <c r="K27" s="31">
        <f t="shared" si="5"/>
        <v>0</v>
      </c>
      <c r="L27" s="32">
        <f t="shared" si="6"/>
        <v>1</v>
      </c>
      <c r="M27" s="70"/>
      <c r="N27" s="70"/>
      <c r="O27" s="70"/>
      <c r="P27" s="70"/>
      <c r="Q27" s="70"/>
      <c r="R27" s="70"/>
      <c r="S27" s="70"/>
      <c r="T27" s="70"/>
      <c r="U27" s="70"/>
      <c r="V27" s="70"/>
      <c r="W27" s="70"/>
      <c r="X27" s="70"/>
      <c r="Y27" s="70"/>
      <c r="Z27" s="70"/>
      <c r="AA27" s="70"/>
      <c r="AB27" s="70"/>
      <c r="AC27" s="70"/>
      <c r="AD27" s="70"/>
      <c r="AE27" s="70"/>
      <c r="AF27" s="70"/>
      <c r="AG27" s="70"/>
      <c r="AH27" s="70"/>
      <c r="AI27" s="70"/>
      <c r="AJ27" s="70"/>
      <c r="AK27" s="70"/>
      <c r="AL27" s="70"/>
      <c r="AM27" s="70"/>
      <c r="AN27" s="70"/>
      <c r="AO27" s="70"/>
      <c r="AP27" s="70"/>
      <c r="AQ27" s="70"/>
    </row>
    <row r="28" spans="1:43" ht="15.75" thickBot="1" x14ac:dyDescent="0.3">
      <c r="A28" t="s">
        <v>1194</v>
      </c>
      <c r="B28" s="30" t="s">
        <v>1180</v>
      </c>
      <c r="C28" s="30" t="s">
        <v>1063</v>
      </c>
      <c r="D28" t="s">
        <v>1163</v>
      </c>
      <c r="E28" s="30" t="s">
        <v>73</v>
      </c>
      <c r="F28" s="30" t="s">
        <v>1056</v>
      </c>
      <c r="G28" s="30"/>
      <c r="H28" s="30" t="s">
        <v>1167</v>
      </c>
      <c r="I28" s="31">
        <f t="shared" si="4"/>
        <v>28</v>
      </c>
      <c r="J28" s="147" t="s">
        <v>1686</v>
      </c>
      <c r="K28" s="31">
        <f t="shared" si="5"/>
        <v>0</v>
      </c>
      <c r="L28" s="32">
        <f t="shared" si="6"/>
        <v>1</v>
      </c>
      <c r="M28" s="70"/>
      <c r="N28" s="70"/>
      <c r="O28" s="70"/>
      <c r="P28" s="70"/>
      <c r="Q28" s="70"/>
      <c r="R28" s="70"/>
      <c r="S28" s="70"/>
      <c r="T28" s="70"/>
      <c r="U28" s="70"/>
      <c r="V28" s="70"/>
      <c r="W28" s="70"/>
      <c r="X28" s="70"/>
      <c r="Y28" s="70"/>
      <c r="Z28" s="70"/>
      <c r="AA28" s="70"/>
      <c r="AB28" s="70"/>
      <c r="AC28" s="70"/>
      <c r="AD28" s="70"/>
      <c r="AE28" s="70"/>
      <c r="AF28" s="70"/>
      <c r="AG28" s="70"/>
      <c r="AH28" s="70"/>
      <c r="AI28" s="70"/>
      <c r="AJ28" s="70"/>
      <c r="AK28" s="70"/>
      <c r="AL28" s="70"/>
      <c r="AM28" s="70"/>
      <c r="AN28" s="70"/>
      <c r="AO28" s="70"/>
      <c r="AP28" s="70"/>
      <c r="AQ28" s="70"/>
    </row>
    <row r="29" spans="1:43" ht="15.75" thickBot="1" x14ac:dyDescent="0.3">
      <c r="A29" t="s">
        <v>1194</v>
      </c>
      <c r="B29" s="30" t="s">
        <v>1181</v>
      </c>
      <c r="C29" s="30" t="s">
        <v>1063</v>
      </c>
      <c r="D29" t="s">
        <v>1163</v>
      </c>
      <c r="E29" s="30" t="s">
        <v>73</v>
      </c>
      <c r="F29" s="30" t="s">
        <v>1056</v>
      </c>
      <c r="G29" s="30"/>
      <c r="H29" s="30" t="s">
        <v>1168</v>
      </c>
      <c r="I29" s="31">
        <f t="shared" si="4"/>
        <v>28</v>
      </c>
      <c r="J29" s="147" t="s">
        <v>1687</v>
      </c>
      <c r="K29" s="31">
        <f t="shared" si="5"/>
        <v>0</v>
      </c>
      <c r="L29" s="32">
        <f t="shared" si="6"/>
        <v>1</v>
      </c>
      <c r="M29" s="70"/>
      <c r="N29" s="70"/>
      <c r="O29" s="70"/>
      <c r="P29" s="70"/>
      <c r="Q29" s="70"/>
      <c r="R29" s="70"/>
      <c r="S29" s="70"/>
      <c r="T29" s="70"/>
      <c r="U29" s="70"/>
      <c r="V29" s="70"/>
      <c r="W29" s="70"/>
      <c r="X29" s="70"/>
      <c r="Y29" s="70"/>
      <c r="Z29" s="70"/>
      <c r="AA29" s="70"/>
      <c r="AB29" s="70"/>
      <c r="AC29" s="70"/>
      <c r="AD29" s="70"/>
      <c r="AE29" s="70"/>
      <c r="AF29" s="70"/>
      <c r="AG29" s="70"/>
      <c r="AH29" s="70"/>
      <c r="AI29" s="70"/>
      <c r="AJ29" s="70"/>
      <c r="AK29" s="70"/>
      <c r="AL29" s="70"/>
      <c r="AM29" s="70"/>
      <c r="AN29" s="70"/>
      <c r="AO29" s="70"/>
      <c r="AP29" s="70"/>
      <c r="AQ29" s="70"/>
    </row>
    <row r="30" spans="1:43" s="73" customFormat="1" ht="15.75" thickBot="1" x14ac:dyDescent="0.3">
      <c r="A30" s="73" t="s">
        <v>1194</v>
      </c>
      <c r="B30" s="85" t="s">
        <v>1347</v>
      </c>
      <c r="C30" s="73" t="s">
        <v>1062</v>
      </c>
      <c r="D30" s="73" t="s">
        <v>1348</v>
      </c>
      <c r="E30" s="85" t="s">
        <v>19</v>
      </c>
      <c r="F30" s="85" t="s">
        <v>1301</v>
      </c>
      <c r="G30" s="85"/>
      <c r="H30" s="85" t="s">
        <v>1355</v>
      </c>
      <c r="I30" s="142">
        <f t="shared" si="4"/>
        <v>28</v>
      </c>
      <c r="J30" s="147" t="s">
        <v>1688</v>
      </c>
      <c r="K30" s="142">
        <f t="shared" si="5"/>
        <v>0</v>
      </c>
      <c r="L30" s="143">
        <f t="shared" si="6"/>
        <v>1</v>
      </c>
      <c r="M30" s="70"/>
      <c r="N30" s="70"/>
      <c r="O30" s="70"/>
      <c r="P30" s="70"/>
      <c r="Q30" s="70"/>
      <c r="R30" s="70"/>
      <c r="S30" s="70"/>
      <c r="T30" s="70"/>
      <c r="U30" s="70"/>
      <c r="V30" s="70"/>
      <c r="W30" s="70"/>
      <c r="X30" s="70"/>
      <c r="Y30" s="70"/>
      <c r="Z30" s="70"/>
      <c r="AA30" s="70"/>
      <c r="AB30" s="70"/>
      <c r="AC30" s="70"/>
      <c r="AD30" s="70"/>
      <c r="AE30" s="70"/>
      <c r="AF30" s="70"/>
      <c r="AG30" s="70"/>
      <c r="AH30" s="70"/>
      <c r="AI30" s="70"/>
      <c r="AJ30" s="70"/>
      <c r="AK30" s="70"/>
      <c r="AL30" s="70"/>
      <c r="AM30" s="70"/>
      <c r="AN30" s="70"/>
      <c r="AO30" s="70"/>
      <c r="AP30" s="89"/>
      <c r="AQ30" s="89"/>
    </row>
    <row r="31" spans="1:43" s="73" customFormat="1" ht="15.75" thickBot="1" x14ac:dyDescent="0.3">
      <c r="A31" s="73" t="s">
        <v>1194</v>
      </c>
      <c r="B31" s="85" t="s">
        <v>1597</v>
      </c>
      <c r="C31" s="85" t="s">
        <v>1063</v>
      </c>
      <c r="D31" s="73" t="s">
        <v>1600</v>
      </c>
      <c r="E31" s="85" t="s">
        <v>19</v>
      </c>
      <c r="F31" s="85" t="s">
        <v>1301</v>
      </c>
      <c r="G31" s="85"/>
      <c r="H31" s="85" t="s">
        <v>1601</v>
      </c>
      <c r="I31" s="142">
        <f t="shared" si="4"/>
        <v>28</v>
      </c>
      <c r="J31" s="87" t="s">
        <v>2160</v>
      </c>
      <c r="K31" s="142">
        <f t="shared" si="5"/>
        <v>0</v>
      </c>
      <c r="L31" s="143">
        <f t="shared" si="6"/>
        <v>1</v>
      </c>
      <c r="M31" s="70"/>
      <c r="N31" s="70"/>
      <c r="O31" s="70"/>
      <c r="P31" s="70"/>
      <c r="Q31" s="70"/>
      <c r="R31" s="70"/>
      <c r="S31" s="70"/>
      <c r="T31" s="70"/>
      <c r="U31" s="70"/>
      <c r="V31" s="70"/>
      <c r="W31" s="70"/>
      <c r="X31" s="70"/>
      <c r="Y31" s="70"/>
      <c r="Z31" s="70"/>
      <c r="AA31" s="70"/>
      <c r="AB31" s="70"/>
      <c r="AC31" s="70"/>
      <c r="AD31" s="70"/>
      <c r="AE31" s="70"/>
      <c r="AF31" s="70"/>
      <c r="AG31" s="70"/>
      <c r="AH31" s="70"/>
      <c r="AI31" s="70"/>
      <c r="AJ31" s="70"/>
      <c r="AK31" s="70"/>
      <c r="AL31" s="70"/>
      <c r="AM31" s="70"/>
      <c r="AN31" s="70"/>
      <c r="AO31" s="70"/>
      <c r="AP31" s="89"/>
      <c r="AQ31" s="89"/>
    </row>
    <row r="32" spans="1:43" s="73" customFormat="1" ht="15.75" thickBot="1" x14ac:dyDescent="0.3">
      <c r="A32" s="73" t="s">
        <v>1194</v>
      </c>
      <c r="B32" s="85" t="s">
        <v>1598</v>
      </c>
      <c r="C32" s="85" t="s">
        <v>1063</v>
      </c>
      <c r="D32" s="73" t="s">
        <v>1604</v>
      </c>
      <c r="E32" s="85" t="s">
        <v>73</v>
      </c>
      <c r="F32" s="85" t="s">
        <v>1301</v>
      </c>
      <c r="G32" s="85"/>
      <c r="H32" s="85" t="s">
        <v>1602</v>
      </c>
      <c r="I32" s="142">
        <f t="shared" si="4"/>
        <v>28</v>
      </c>
      <c r="J32" s="87" t="s">
        <v>2161</v>
      </c>
      <c r="K32" s="142">
        <f t="shared" si="5"/>
        <v>0</v>
      </c>
      <c r="L32" s="143">
        <f t="shared" si="6"/>
        <v>1</v>
      </c>
      <c r="M32" s="70"/>
      <c r="N32" s="70"/>
      <c r="O32" s="70"/>
      <c r="P32" s="70"/>
      <c r="Q32" s="70"/>
      <c r="R32" s="70"/>
      <c r="S32" s="70"/>
      <c r="T32" s="70"/>
      <c r="U32" s="70"/>
      <c r="V32" s="70"/>
      <c r="W32" s="70"/>
      <c r="X32" s="70"/>
      <c r="Y32" s="70"/>
      <c r="Z32" s="70"/>
      <c r="AA32" s="70"/>
      <c r="AB32" s="70"/>
      <c r="AC32" s="70"/>
      <c r="AD32" s="70"/>
      <c r="AE32" s="70"/>
      <c r="AF32" s="70"/>
      <c r="AG32" s="70"/>
      <c r="AH32" s="70"/>
      <c r="AI32" s="70"/>
      <c r="AJ32" s="70"/>
      <c r="AK32" s="70"/>
      <c r="AL32" s="70"/>
      <c r="AM32" s="70"/>
      <c r="AN32" s="70"/>
      <c r="AO32" s="70"/>
      <c r="AP32" s="89"/>
      <c r="AQ32" s="89"/>
    </row>
    <row r="33" spans="1:43" s="73" customFormat="1" ht="15.75" thickBot="1" x14ac:dyDescent="0.3">
      <c r="A33" s="73" t="s">
        <v>1194</v>
      </c>
      <c r="B33" s="85" t="s">
        <v>1599</v>
      </c>
      <c r="C33" s="85" t="s">
        <v>1063</v>
      </c>
      <c r="D33" s="73" t="s">
        <v>1604</v>
      </c>
      <c r="E33" s="85" t="s">
        <v>73</v>
      </c>
      <c r="F33" s="85" t="s">
        <v>1301</v>
      </c>
      <c r="G33" s="85"/>
      <c r="H33" s="85" t="s">
        <v>1603</v>
      </c>
      <c r="I33" s="142">
        <f t="shared" si="4"/>
        <v>28</v>
      </c>
      <c r="J33" s="87" t="s">
        <v>2162</v>
      </c>
      <c r="K33" s="142">
        <f t="shared" si="5"/>
        <v>0</v>
      </c>
      <c r="L33" s="143">
        <f t="shared" si="6"/>
        <v>1</v>
      </c>
      <c r="M33" s="70"/>
      <c r="N33" s="70"/>
      <c r="O33" s="70"/>
      <c r="P33" s="70"/>
      <c r="Q33" s="70"/>
      <c r="R33" s="70"/>
      <c r="S33" s="70"/>
      <c r="T33" s="70"/>
      <c r="U33" s="70"/>
      <c r="V33" s="70"/>
      <c r="W33" s="70"/>
      <c r="X33" s="70"/>
      <c r="Y33" s="70"/>
      <c r="Z33" s="70"/>
      <c r="AA33" s="70"/>
      <c r="AB33" s="70"/>
      <c r="AC33" s="70"/>
      <c r="AD33" s="70"/>
      <c r="AE33" s="70"/>
      <c r="AF33" s="70"/>
      <c r="AG33" s="70"/>
      <c r="AH33" s="70"/>
      <c r="AI33" s="70"/>
      <c r="AJ33" s="70"/>
      <c r="AK33" s="70"/>
      <c r="AL33" s="70"/>
      <c r="AM33" s="70"/>
      <c r="AN33" s="70"/>
      <c r="AO33" s="70"/>
      <c r="AP33" s="89"/>
      <c r="AQ33" s="89"/>
    </row>
    <row r="34" spans="1:43" s="132" customFormat="1" ht="15.75" thickBot="1" x14ac:dyDescent="0.3">
      <c r="A34" s="132" t="s">
        <v>2158</v>
      </c>
      <c r="B34" s="133" t="s">
        <v>1349</v>
      </c>
      <c r="C34" s="132" t="s">
        <v>1063</v>
      </c>
      <c r="D34" s="132" t="s">
        <v>1350</v>
      </c>
      <c r="E34" s="133" t="s">
        <v>19</v>
      </c>
      <c r="F34" s="133" t="s">
        <v>28</v>
      </c>
      <c r="G34" s="133"/>
      <c r="H34" s="133" t="s">
        <v>1446</v>
      </c>
      <c r="I34" s="134">
        <f t="shared" si="4"/>
        <v>20</v>
      </c>
      <c r="J34" s="147" t="s">
        <v>1689</v>
      </c>
      <c r="K34" s="134">
        <f t="shared" si="5"/>
        <v>8</v>
      </c>
      <c r="L34" s="135">
        <f t="shared" si="6"/>
        <v>0.7142857142857143</v>
      </c>
      <c r="M34" s="136" t="s">
        <v>2213</v>
      </c>
      <c r="N34" s="136" t="s">
        <v>2213</v>
      </c>
      <c r="O34" s="136" t="s">
        <v>2213</v>
      </c>
      <c r="P34" s="136" t="s">
        <v>2213</v>
      </c>
      <c r="Q34" s="136" t="s">
        <v>2213</v>
      </c>
      <c r="R34" s="136" t="s">
        <v>2213</v>
      </c>
      <c r="S34" s="136" t="s">
        <v>2213</v>
      </c>
      <c r="T34" s="136" t="s">
        <v>2213</v>
      </c>
      <c r="U34" s="136"/>
      <c r="V34" s="136"/>
      <c r="W34" s="136"/>
      <c r="X34" s="136"/>
      <c r="Y34" s="136"/>
      <c r="Z34" s="136"/>
      <c r="AA34" s="136"/>
      <c r="AB34" s="136"/>
      <c r="AC34" s="136"/>
      <c r="AD34" s="136"/>
      <c r="AE34" s="136"/>
      <c r="AF34" s="136"/>
      <c r="AG34" s="70"/>
      <c r="AH34" s="136"/>
      <c r="AI34" s="136"/>
      <c r="AJ34" s="136"/>
      <c r="AK34" s="136"/>
      <c r="AL34" s="136"/>
      <c r="AM34" s="136"/>
      <c r="AN34" s="136"/>
      <c r="AO34" s="136"/>
      <c r="AP34" s="136"/>
      <c r="AQ34" s="136"/>
    </row>
    <row r="35" spans="1:43" s="73" customFormat="1" ht="15.75" thickBot="1" x14ac:dyDescent="0.3">
      <c r="A35" s="73" t="s">
        <v>2158</v>
      </c>
      <c r="B35" s="85" t="s">
        <v>1400</v>
      </c>
      <c r="C35" s="73" t="s">
        <v>1063</v>
      </c>
      <c r="D35" s="73" t="s">
        <v>1401</v>
      </c>
      <c r="E35" s="85" t="s">
        <v>19</v>
      </c>
      <c r="F35" s="85" t="s">
        <v>1301</v>
      </c>
      <c r="G35" s="85"/>
      <c r="H35" s="85" t="s">
        <v>1402</v>
      </c>
      <c r="I35" s="142">
        <f t="shared" si="4"/>
        <v>23</v>
      </c>
      <c r="J35" s="87" t="s">
        <v>2163</v>
      </c>
      <c r="K35" s="142">
        <f t="shared" si="5"/>
        <v>5</v>
      </c>
      <c r="L35" s="143">
        <f t="shared" si="6"/>
        <v>0.8214285714285714</v>
      </c>
      <c r="M35" s="70"/>
      <c r="N35" s="70"/>
      <c r="O35" s="70"/>
      <c r="P35" s="70" t="s">
        <v>2213</v>
      </c>
      <c r="Q35" s="70" t="s">
        <v>2213</v>
      </c>
      <c r="R35" s="70" t="s">
        <v>2213</v>
      </c>
      <c r="S35" s="70" t="s">
        <v>2213</v>
      </c>
      <c r="T35" s="70" t="s">
        <v>2213</v>
      </c>
      <c r="U35" s="70"/>
      <c r="V35" s="70"/>
      <c r="W35" s="70"/>
      <c r="X35" s="70"/>
      <c r="Y35" s="70"/>
      <c r="Z35" s="70"/>
      <c r="AA35" s="70"/>
      <c r="AB35" s="70"/>
      <c r="AC35" s="70"/>
      <c r="AD35" s="70"/>
      <c r="AE35" s="70"/>
      <c r="AF35" s="70"/>
      <c r="AG35" s="70"/>
      <c r="AH35" s="70"/>
      <c r="AI35" s="70"/>
      <c r="AJ35" s="70"/>
      <c r="AK35" s="70"/>
      <c r="AL35" s="70"/>
      <c r="AM35" s="70"/>
      <c r="AN35" s="70"/>
      <c r="AO35" s="70"/>
      <c r="AP35" s="89"/>
      <c r="AQ35" s="89"/>
    </row>
    <row r="36" spans="1:43" s="73" customFormat="1" ht="15.75" thickBot="1" x14ac:dyDescent="0.3">
      <c r="A36" s="73" t="s">
        <v>2158</v>
      </c>
      <c r="B36" s="85" t="s">
        <v>2154</v>
      </c>
      <c r="C36" s="73" t="s">
        <v>1063</v>
      </c>
      <c r="D36" s="73" t="s">
        <v>2155</v>
      </c>
      <c r="E36" s="85" t="s">
        <v>19</v>
      </c>
      <c r="F36" s="85" t="s">
        <v>1301</v>
      </c>
      <c r="G36" s="85"/>
      <c r="H36" s="85" t="s">
        <v>2156</v>
      </c>
      <c r="I36" s="142">
        <f t="shared" si="4"/>
        <v>20</v>
      </c>
      <c r="J36" s="87" t="s">
        <v>2157</v>
      </c>
      <c r="K36" s="142">
        <f t="shared" si="5"/>
        <v>8</v>
      </c>
      <c r="L36" s="143">
        <f t="shared" si="6"/>
        <v>0.7142857142857143</v>
      </c>
      <c r="M36" s="70" t="s">
        <v>2213</v>
      </c>
      <c r="N36" s="70" t="s">
        <v>2213</v>
      </c>
      <c r="O36" s="70" t="s">
        <v>2213</v>
      </c>
      <c r="P36" s="70" t="s">
        <v>2213</v>
      </c>
      <c r="Q36" s="70" t="s">
        <v>2213</v>
      </c>
      <c r="R36" s="70" t="s">
        <v>2213</v>
      </c>
      <c r="S36" s="70" t="s">
        <v>2213</v>
      </c>
      <c r="T36" s="70" t="s">
        <v>2213</v>
      </c>
      <c r="U36" s="70"/>
      <c r="V36" s="70"/>
      <c r="W36" s="70"/>
      <c r="X36" s="70"/>
      <c r="Y36" s="70"/>
      <c r="Z36" s="70"/>
      <c r="AA36" s="70"/>
      <c r="AB36" s="70"/>
      <c r="AC36" s="70"/>
      <c r="AD36" s="70"/>
      <c r="AE36" s="70"/>
      <c r="AF36" s="70"/>
      <c r="AG36" s="70"/>
      <c r="AH36" s="70"/>
      <c r="AI36" s="70"/>
      <c r="AJ36" s="70"/>
      <c r="AK36" s="70"/>
      <c r="AL36" s="70"/>
      <c r="AM36" s="70"/>
      <c r="AN36" s="70"/>
      <c r="AO36" s="70"/>
      <c r="AP36" s="89"/>
      <c r="AQ36" s="89"/>
    </row>
    <row r="37" spans="1:43" s="73" customFormat="1" ht="15.75" thickBot="1" x14ac:dyDescent="0.3">
      <c r="A37" s="73" t="s">
        <v>1194</v>
      </c>
      <c r="B37" s="85" t="s">
        <v>1510</v>
      </c>
      <c r="C37" s="73" t="s">
        <v>1063</v>
      </c>
      <c r="D37" s="73" t="s">
        <v>1511</v>
      </c>
      <c r="E37" s="85" t="s">
        <v>19</v>
      </c>
      <c r="F37" s="85" t="s">
        <v>1301</v>
      </c>
      <c r="G37" s="85"/>
      <c r="H37" s="85" t="s">
        <v>1512</v>
      </c>
      <c r="I37" s="142">
        <f t="shared" si="4"/>
        <v>28</v>
      </c>
      <c r="J37" s="87" t="s">
        <v>2164</v>
      </c>
      <c r="K37" s="142">
        <f t="shared" si="5"/>
        <v>0</v>
      </c>
      <c r="L37" s="143">
        <f t="shared" si="6"/>
        <v>1</v>
      </c>
      <c r="M37" s="70"/>
      <c r="N37" s="70"/>
      <c r="O37" s="70"/>
      <c r="P37" s="70"/>
      <c r="Q37" s="70"/>
      <c r="R37" s="70"/>
      <c r="S37" s="70"/>
      <c r="T37" s="70"/>
      <c r="U37" s="70"/>
      <c r="V37" s="70"/>
      <c r="W37" s="70"/>
      <c r="X37" s="70"/>
      <c r="Y37" s="70"/>
      <c r="Z37" s="70"/>
      <c r="AA37" s="70"/>
      <c r="AB37" s="70"/>
      <c r="AC37" s="70"/>
      <c r="AD37" s="70"/>
      <c r="AE37" s="70"/>
      <c r="AF37" s="70"/>
      <c r="AG37" s="70"/>
      <c r="AH37" s="70"/>
      <c r="AI37" s="70"/>
      <c r="AJ37" s="70"/>
      <c r="AK37" s="70"/>
      <c r="AL37" s="70"/>
      <c r="AM37" s="70"/>
      <c r="AN37" s="70"/>
      <c r="AO37" s="70"/>
      <c r="AP37" s="89"/>
      <c r="AQ37" s="89"/>
    </row>
    <row r="38" spans="1:43" ht="15.75" thickBot="1" x14ac:dyDescent="0.3">
      <c r="A38" t="s">
        <v>1458</v>
      </c>
      <c r="B38" s="30" t="s">
        <v>1457</v>
      </c>
      <c r="C38" t="s">
        <v>1063</v>
      </c>
      <c r="D38" t="s">
        <v>1456</v>
      </c>
      <c r="E38" s="30" t="s">
        <v>73</v>
      </c>
      <c r="F38" s="30" t="s">
        <v>28</v>
      </c>
      <c r="G38" s="30"/>
      <c r="H38" s="85" t="s">
        <v>1460</v>
      </c>
      <c r="I38" s="31">
        <f t="shared" si="4"/>
        <v>28</v>
      </c>
      <c r="J38" s="147" t="s">
        <v>1690</v>
      </c>
      <c r="K38" s="31">
        <f t="shared" si="5"/>
        <v>0</v>
      </c>
      <c r="L38" s="32">
        <f t="shared" si="6"/>
        <v>1</v>
      </c>
      <c r="M38" s="70"/>
      <c r="N38" s="70"/>
      <c r="O38" s="70"/>
      <c r="P38" s="70"/>
      <c r="Q38" s="70"/>
      <c r="R38" s="70"/>
      <c r="S38" s="70"/>
      <c r="T38" s="70"/>
      <c r="U38" s="70"/>
      <c r="V38" s="70"/>
      <c r="W38" s="70"/>
      <c r="X38" s="70"/>
      <c r="Y38" s="70"/>
      <c r="Z38" s="70"/>
      <c r="AA38" s="70"/>
      <c r="AB38" s="70"/>
      <c r="AC38" s="70"/>
      <c r="AD38" s="70"/>
      <c r="AE38" s="70"/>
      <c r="AF38" s="70"/>
      <c r="AG38" s="70"/>
      <c r="AH38" s="70"/>
      <c r="AI38" s="70"/>
      <c r="AJ38" s="70"/>
      <c r="AK38" s="70"/>
      <c r="AL38" s="70"/>
      <c r="AM38" s="70"/>
      <c r="AN38" s="70"/>
      <c r="AO38" s="70"/>
      <c r="AP38" s="70"/>
      <c r="AQ38" s="70"/>
    </row>
    <row r="39" spans="1:43" ht="15.75" thickBot="1" x14ac:dyDescent="0.3">
      <c r="A39" t="s">
        <v>1458</v>
      </c>
      <c r="B39" s="30" t="s">
        <v>1459</v>
      </c>
      <c r="C39" t="s">
        <v>1063</v>
      </c>
      <c r="D39" t="s">
        <v>1456</v>
      </c>
      <c r="E39" s="30" t="s">
        <v>73</v>
      </c>
      <c r="F39" s="30" t="s">
        <v>28</v>
      </c>
      <c r="G39" s="30"/>
      <c r="H39" s="85" t="s">
        <v>1461</v>
      </c>
      <c r="I39" s="31">
        <f t="shared" si="4"/>
        <v>28</v>
      </c>
      <c r="J39" s="147" t="s">
        <v>1691</v>
      </c>
      <c r="K39" s="31">
        <f t="shared" si="5"/>
        <v>0</v>
      </c>
      <c r="L39" s="32">
        <f t="shared" si="6"/>
        <v>1</v>
      </c>
      <c r="M39" s="70"/>
      <c r="N39" s="70"/>
      <c r="O39" s="70"/>
      <c r="P39" s="70"/>
      <c r="Q39" s="70"/>
      <c r="R39" s="70"/>
      <c r="S39" s="70"/>
      <c r="T39" s="70"/>
      <c r="U39" s="70"/>
      <c r="V39" s="70"/>
      <c r="W39" s="70"/>
      <c r="X39" s="70"/>
      <c r="Y39" s="70"/>
      <c r="Z39" s="70"/>
      <c r="AA39" s="70"/>
      <c r="AB39" s="70"/>
      <c r="AC39" s="70"/>
      <c r="AD39" s="70"/>
      <c r="AE39" s="70"/>
      <c r="AF39" s="70"/>
      <c r="AG39" s="70"/>
      <c r="AH39" s="70"/>
      <c r="AI39" s="70"/>
      <c r="AJ39" s="70"/>
      <c r="AK39" s="70"/>
      <c r="AL39" s="70"/>
      <c r="AM39" s="70"/>
      <c r="AN39" s="70"/>
      <c r="AO39" s="70"/>
      <c r="AP39" s="70"/>
      <c r="AQ39" s="70"/>
    </row>
    <row r="40" spans="1:43" ht="15.75" thickBot="1" x14ac:dyDescent="0.3">
      <c r="A40" t="s">
        <v>1458</v>
      </c>
      <c r="B40" s="30" t="s">
        <v>1639</v>
      </c>
      <c r="C40" t="s">
        <v>1063</v>
      </c>
      <c r="D40" t="s">
        <v>1641</v>
      </c>
      <c r="E40" s="30" t="s">
        <v>73</v>
      </c>
      <c r="F40" s="30" t="s">
        <v>28</v>
      </c>
      <c r="G40" s="30"/>
      <c r="H40" s="85" t="s">
        <v>1642</v>
      </c>
      <c r="I40" s="31">
        <f t="shared" si="4"/>
        <v>28</v>
      </c>
      <c r="J40" s="87" t="s">
        <v>2165</v>
      </c>
      <c r="K40" s="31">
        <f t="shared" si="5"/>
        <v>0</v>
      </c>
      <c r="L40" s="32">
        <f t="shared" si="6"/>
        <v>1</v>
      </c>
      <c r="M40" s="70"/>
      <c r="N40" s="70"/>
      <c r="O40" s="70"/>
      <c r="P40" s="70"/>
      <c r="Q40" s="70"/>
      <c r="R40" s="70"/>
      <c r="S40" s="70"/>
      <c r="T40" s="70"/>
      <c r="U40" s="70"/>
      <c r="V40" s="70"/>
      <c r="W40" s="70"/>
      <c r="X40" s="70"/>
      <c r="Y40" s="70"/>
      <c r="Z40" s="70"/>
      <c r="AA40" s="70"/>
      <c r="AB40" s="70"/>
      <c r="AC40" s="70"/>
      <c r="AD40" s="70"/>
      <c r="AE40" s="70"/>
      <c r="AF40" s="70"/>
      <c r="AG40" s="70"/>
      <c r="AH40" s="70"/>
      <c r="AI40" s="70"/>
      <c r="AJ40" s="70"/>
      <c r="AK40" s="70"/>
      <c r="AL40" s="70"/>
      <c r="AM40" s="70"/>
      <c r="AN40" s="70"/>
      <c r="AO40" s="70"/>
      <c r="AP40" s="70"/>
      <c r="AQ40" s="70"/>
    </row>
    <row r="41" spans="1:43" ht="15.75" thickBot="1" x14ac:dyDescent="0.3">
      <c r="A41" t="s">
        <v>1458</v>
      </c>
      <c r="B41" s="30" t="s">
        <v>1640</v>
      </c>
      <c r="C41" t="s">
        <v>1063</v>
      </c>
      <c r="D41" t="s">
        <v>1641</v>
      </c>
      <c r="E41" s="30" t="s">
        <v>73</v>
      </c>
      <c r="F41" s="30" t="s">
        <v>28</v>
      </c>
      <c r="G41" s="30"/>
      <c r="H41" s="85" t="s">
        <v>1643</v>
      </c>
      <c r="I41" s="31">
        <f t="shared" si="4"/>
        <v>28</v>
      </c>
      <c r="J41" s="87" t="s">
        <v>2190</v>
      </c>
      <c r="K41" s="31">
        <f t="shared" si="5"/>
        <v>0</v>
      </c>
      <c r="L41" s="32">
        <f t="shared" si="6"/>
        <v>1</v>
      </c>
      <c r="M41" s="70"/>
      <c r="N41" s="70"/>
      <c r="O41" s="70"/>
      <c r="P41" s="70"/>
      <c r="Q41" s="70"/>
      <c r="R41" s="70"/>
      <c r="S41" s="70"/>
      <c r="T41" s="70"/>
      <c r="U41" s="70"/>
      <c r="V41" s="70"/>
      <c r="W41" s="70"/>
      <c r="X41" s="70"/>
      <c r="Y41" s="70"/>
      <c r="Z41" s="70"/>
      <c r="AA41" s="70"/>
      <c r="AB41" s="70"/>
      <c r="AC41" s="70"/>
      <c r="AD41" s="70"/>
      <c r="AE41" s="70"/>
      <c r="AF41" s="70"/>
      <c r="AG41" s="70"/>
      <c r="AH41" s="70"/>
      <c r="AI41" s="70"/>
      <c r="AJ41" s="70"/>
      <c r="AK41" s="70"/>
      <c r="AL41" s="70"/>
      <c r="AM41" s="70"/>
      <c r="AN41" s="70"/>
      <c r="AO41" s="70"/>
      <c r="AP41" s="70"/>
      <c r="AQ41" s="70"/>
    </row>
    <row r="42" spans="1:43" ht="15.75" thickBot="1" x14ac:dyDescent="0.3">
      <c r="A42" t="s">
        <v>1458</v>
      </c>
      <c r="B42" s="30" t="s">
        <v>1647</v>
      </c>
      <c r="C42" t="s">
        <v>1063</v>
      </c>
      <c r="D42" t="s">
        <v>1641</v>
      </c>
      <c r="E42" s="30" t="s">
        <v>19</v>
      </c>
      <c r="F42" s="30" t="s">
        <v>28</v>
      </c>
      <c r="G42" s="30"/>
      <c r="H42" s="85" t="s">
        <v>1645</v>
      </c>
      <c r="I42" s="31">
        <f t="shared" si="4"/>
        <v>28</v>
      </c>
      <c r="J42" s="87" t="s">
        <v>2191</v>
      </c>
      <c r="K42" s="31">
        <f t="shared" si="5"/>
        <v>0</v>
      </c>
      <c r="L42" s="32">
        <f t="shared" si="6"/>
        <v>1</v>
      </c>
      <c r="M42" s="70"/>
      <c r="N42" s="70"/>
      <c r="O42" s="70"/>
      <c r="P42" s="70"/>
      <c r="Q42" s="70"/>
      <c r="R42" s="70"/>
      <c r="S42" s="70"/>
      <c r="T42" s="70"/>
      <c r="U42" s="70"/>
      <c r="V42" s="70"/>
      <c r="W42" s="70"/>
      <c r="X42" s="70"/>
      <c r="Y42" s="70"/>
      <c r="Z42" s="70"/>
      <c r="AA42" s="70"/>
      <c r="AB42" s="70"/>
      <c r="AC42" s="70"/>
      <c r="AD42" s="70"/>
      <c r="AE42" s="70"/>
      <c r="AF42" s="70"/>
      <c r="AG42" s="70"/>
      <c r="AH42" s="70"/>
      <c r="AI42" s="70"/>
      <c r="AJ42" s="70"/>
      <c r="AK42" s="70"/>
      <c r="AL42" s="70"/>
      <c r="AM42" s="70"/>
      <c r="AN42" s="70"/>
      <c r="AO42" s="70"/>
      <c r="AP42" s="70"/>
      <c r="AQ42" s="70"/>
    </row>
    <row r="43" spans="1:43" ht="15.75" thickBot="1" x14ac:dyDescent="0.3">
      <c r="A43" t="s">
        <v>1458</v>
      </c>
      <c r="B43" s="30" t="s">
        <v>1648</v>
      </c>
      <c r="C43" t="s">
        <v>1063</v>
      </c>
      <c r="D43" t="s">
        <v>1649</v>
      </c>
      <c r="E43" s="30" t="s">
        <v>19</v>
      </c>
      <c r="F43" s="30" t="s">
        <v>28</v>
      </c>
      <c r="G43" s="30"/>
      <c r="H43" s="85" t="s">
        <v>1650</v>
      </c>
      <c r="I43" s="31">
        <f t="shared" si="4"/>
        <v>27</v>
      </c>
      <c r="J43" s="87" t="s">
        <v>2192</v>
      </c>
      <c r="K43" s="31">
        <f t="shared" si="5"/>
        <v>1</v>
      </c>
      <c r="L43" s="32">
        <f t="shared" si="6"/>
        <v>0.9642857142857143</v>
      </c>
      <c r="M43" s="70"/>
      <c r="N43" s="70"/>
      <c r="O43" s="70"/>
      <c r="P43" s="70" t="s">
        <v>2213</v>
      </c>
      <c r="Q43" s="70"/>
      <c r="R43" s="70"/>
      <c r="S43" s="70"/>
      <c r="T43" s="70"/>
      <c r="U43" s="70"/>
      <c r="V43" s="70"/>
      <c r="W43" s="70"/>
      <c r="X43" s="70"/>
      <c r="Y43" s="70"/>
      <c r="Z43" s="70"/>
      <c r="AA43" s="70"/>
      <c r="AB43" s="70"/>
      <c r="AC43" s="70"/>
      <c r="AD43" s="70"/>
      <c r="AE43" s="70"/>
      <c r="AF43" s="70"/>
      <c r="AG43" s="70"/>
      <c r="AH43" s="70"/>
      <c r="AI43" s="70"/>
      <c r="AJ43" s="70"/>
      <c r="AK43" s="70"/>
      <c r="AL43" s="70"/>
      <c r="AM43" s="70"/>
      <c r="AN43" s="70"/>
      <c r="AO43" s="70"/>
      <c r="AP43" s="70"/>
      <c r="AQ43" s="70"/>
    </row>
    <row r="44" spans="1:43" ht="15.75" thickBot="1" x14ac:dyDescent="0.3">
      <c r="A44" t="s">
        <v>1458</v>
      </c>
      <c r="B44" s="30" t="s">
        <v>2246</v>
      </c>
      <c r="C44" t="s">
        <v>1063</v>
      </c>
      <c r="D44" t="s">
        <v>2251</v>
      </c>
      <c r="E44" s="30" t="s">
        <v>73</v>
      </c>
      <c r="F44" s="30" t="s">
        <v>28</v>
      </c>
      <c r="G44" s="30"/>
      <c r="H44" s="85" t="s">
        <v>2247</v>
      </c>
      <c r="I44" s="31">
        <f t="shared" si="4"/>
        <v>28</v>
      </c>
      <c r="J44" s="153" t="s">
        <v>2248</v>
      </c>
      <c r="K44" s="31">
        <f t="shared" si="5"/>
        <v>0</v>
      </c>
      <c r="L44" s="32">
        <f t="shared" si="6"/>
        <v>1</v>
      </c>
      <c r="M44" s="70"/>
      <c r="N44" s="70"/>
      <c r="O44" s="70"/>
      <c r="P44" s="70"/>
      <c r="Q44" s="70"/>
      <c r="R44" s="70"/>
      <c r="S44" s="70"/>
      <c r="T44" s="70"/>
      <c r="U44" s="70"/>
      <c r="V44" s="70"/>
      <c r="W44" s="70"/>
      <c r="X44" s="70"/>
      <c r="Y44" s="70"/>
      <c r="Z44" s="70"/>
      <c r="AA44" s="70"/>
      <c r="AB44" s="70"/>
      <c r="AC44" s="70"/>
      <c r="AD44" s="70"/>
      <c r="AE44" s="70"/>
      <c r="AF44" s="70"/>
      <c r="AG44" s="70"/>
      <c r="AH44" s="70"/>
      <c r="AI44" s="70"/>
      <c r="AJ44" s="70"/>
      <c r="AK44" s="70"/>
      <c r="AL44" s="70"/>
      <c r="AM44" s="70"/>
      <c r="AN44" s="70"/>
      <c r="AO44" s="70"/>
      <c r="AP44" s="70"/>
      <c r="AQ44" s="70"/>
    </row>
    <row r="45" spans="1:43" ht="15.75" thickBot="1" x14ac:dyDescent="0.3">
      <c r="A45" t="s">
        <v>1458</v>
      </c>
      <c r="B45" s="30" t="s">
        <v>2249</v>
      </c>
      <c r="C45" t="s">
        <v>1063</v>
      </c>
      <c r="D45" t="s">
        <v>2250</v>
      </c>
      <c r="E45" s="30" t="s">
        <v>73</v>
      </c>
      <c r="F45" s="30" t="s">
        <v>28</v>
      </c>
      <c r="G45" s="30"/>
      <c r="H45" s="85" t="s">
        <v>2252</v>
      </c>
      <c r="I45" s="31">
        <f t="shared" si="4"/>
        <v>28</v>
      </c>
      <c r="J45" s="153" t="s">
        <v>2253</v>
      </c>
      <c r="K45" s="31">
        <f t="shared" si="5"/>
        <v>0</v>
      </c>
      <c r="L45" s="32">
        <f t="shared" si="6"/>
        <v>1</v>
      </c>
      <c r="M45" s="70"/>
      <c r="N45" s="70"/>
      <c r="O45" s="70"/>
      <c r="P45" s="70"/>
      <c r="Q45" s="70"/>
      <c r="R45" s="70"/>
      <c r="S45" s="70"/>
      <c r="T45" s="70"/>
      <c r="U45" s="70"/>
      <c r="V45" s="70"/>
      <c r="W45" s="70"/>
      <c r="X45" s="70"/>
      <c r="Y45" s="70"/>
      <c r="Z45" s="70"/>
      <c r="AA45" s="70"/>
      <c r="AB45" s="70"/>
      <c r="AC45" s="70"/>
      <c r="AD45" s="70"/>
      <c r="AE45" s="70"/>
      <c r="AF45" s="70"/>
      <c r="AG45" s="70"/>
      <c r="AH45" s="70"/>
      <c r="AI45" s="70"/>
      <c r="AJ45" s="70"/>
      <c r="AK45" s="70"/>
      <c r="AL45" s="70"/>
      <c r="AM45" s="70"/>
      <c r="AN45" s="70"/>
      <c r="AO45" s="70"/>
      <c r="AP45" s="70"/>
      <c r="AQ45" s="70"/>
    </row>
    <row r="46" spans="1:43" ht="15.75" thickBot="1" x14ac:dyDescent="0.3">
      <c r="A46" t="s">
        <v>52</v>
      </c>
      <c r="B46" t="s">
        <v>71</v>
      </c>
      <c r="C46" t="s">
        <v>1062</v>
      </c>
      <c r="D46" t="s">
        <v>72</v>
      </c>
      <c r="E46" s="30" t="s">
        <v>73</v>
      </c>
      <c r="F46" s="30" t="s">
        <v>28</v>
      </c>
      <c r="G46" s="30"/>
      <c r="H46" s="30" t="s">
        <v>622</v>
      </c>
      <c r="I46" s="31">
        <f t="shared" si="4"/>
        <v>28</v>
      </c>
      <c r="J46" s="147" t="s">
        <v>1692</v>
      </c>
      <c r="K46" s="31">
        <f t="shared" si="5"/>
        <v>0</v>
      </c>
      <c r="L46" s="32">
        <f t="shared" si="6"/>
        <v>1</v>
      </c>
      <c r="M46" s="70"/>
      <c r="N46" s="70"/>
      <c r="O46" s="70"/>
      <c r="P46" s="70"/>
      <c r="Q46" s="70"/>
      <c r="R46" s="70"/>
      <c r="S46" s="70"/>
      <c r="T46" s="70"/>
      <c r="U46" s="70"/>
      <c r="V46" s="70"/>
      <c r="W46" s="70"/>
      <c r="X46" s="70"/>
      <c r="Y46" s="70"/>
      <c r="Z46" s="70"/>
      <c r="AA46" s="70"/>
      <c r="AB46" s="70"/>
      <c r="AC46" s="70"/>
      <c r="AD46" s="70"/>
      <c r="AE46" s="70"/>
      <c r="AF46" s="70"/>
      <c r="AG46" s="70"/>
      <c r="AH46" s="70"/>
      <c r="AI46" s="70"/>
      <c r="AJ46" s="70"/>
      <c r="AK46" s="70"/>
      <c r="AL46" s="70"/>
      <c r="AM46" s="70"/>
      <c r="AN46" s="70"/>
      <c r="AO46" s="70"/>
      <c r="AP46" s="70"/>
      <c r="AQ46" s="70"/>
    </row>
    <row r="47" spans="1:43" ht="15.75" thickBot="1" x14ac:dyDescent="0.3">
      <c r="A47" t="s">
        <v>52</v>
      </c>
      <c r="B47" t="s">
        <v>74</v>
      </c>
      <c r="C47" t="s">
        <v>1062</v>
      </c>
      <c r="D47" t="s">
        <v>75</v>
      </c>
      <c r="E47" s="30" t="s">
        <v>73</v>
      </c>
      <c r="F47" s="30" t="s">
        <v>28</v>
      </c>
      <c r="G47" s="30"/>
      <c r="H47" s="30" t="s">
        <v>616</v>
      </c>
      <c r="I47" s="31">
        <f t="shared" si="4"/>
        <v>28</v>
      </c>
      <c r="J47" s="147" t="s">
        <v>1693</v>
      </c>
      <c r="K47" s="31">
        <f t="shared" si="5"/>
        <v>0</v>
      </c>
      <c r="L47" s="32">
        <f t="shared" si="6"/>
        <v>1</v>
      </c>
      <c r="M47" s="70"/>
      <c r="N47" s="70"/>
      <c r="O47" s="70"/>
      <c r="P47" s="70"/>
      <c r="Q47" s="70"/>
      <c r="R47" s="70"/>
      <c r="S47" s="70"/>
      <c r="T47" s="70"/>
      <c r="U47" s="70"/>
      <c r="V47" s="70"/>
      <c r="W47" s="70"/>
      <c r="X47" s="70"/>
      <c r="Y47" s="70"/>
      <c r="Z47" s="70"/>
      <c r="AA47" s="70"/>
      <c r="AB47" s="70"/>
      <c r="AC47" s="70"/>
      <c r="AD47" s="70"/>
      <c r="AE47" s="70"/>
      <c r="AF47" s="70"/>
      <c r="AG47" s="70"/>
      <c r="AH47" s="70"/>
      <c r="AI47" s="70"/>
      <c r="AJ47" s="70"/>
      <c r="AK47" s="70"/>
      <c r="AL47" s="70"/>
      <c r="AM47" s="70"/>
      <c r="AN47" s="70"/>
      <c r="AO47" s="70"/>
      <c r="AP47" s="70"/>
      <c r="AQ47" s="70"/>
    </row>
    <row r="48" spans="1:43" ht="15.75" thickBot="1" x14ac:dyDescent="0.3">
      <c r="A48" t="s">
        <v>52</v>
      </c>
      <c r="B48" t="s">
        <v>76</v>
      </c>
      <c r="C48" t="s">
        <v>1062</v>
      </c>
      <c r="D48" t="s">
        <v>77</v>
      </c>
      <c r="E48" s="30" t="s">
        <v>19</v>
      </c>
      <c r="F48" s="30" t="s">
        <v>28</v>
      </c>
      <c r="G48" s="30"/>
      <c r="H48" s="30" t="s">
        <v>623</v>
      </c>
      <c r="I48" s="31">
        <f t="shared" si="4"/>
        <v>28</v>
      </c>
      <c r="J48" s="147" t="s">
        <v>1694</v>
      </c>
      <c r="K48" s="31">
        <f t="shared" si="5"/>
        <v>0</v>
      </c>
      <c r="L48" s="32">
        <f t="shared" si="6"/>
        <v>1</v>
      </c>
      <c r="M48" s="70"/>
      <c r="N48" s="70"/>
      <c r="O48" s="70"/>
      <c r="P48" s="70"/>
      <c r="Q48" s="70"/>
      <c r="R48" s="70"/>
      <c r="S48" s="70"/>
      <c r="T48" s="70"/>
      <c r="U48" s="70"/>
      <c r="V48" s="70"/>
      <c r="W48" s="70"/>
      <c r="X48" s="70"/>
      <c r="Y48" s="70"/>
      <c r="Z48" s="70"/>
      <c r="AA48" s="70"/>
      <c r="AB48" s="70"/>
      <c r="AC48" s="70"/>
      <c r="AD48" s="70"/>
      <c r="AE48" s="70"/>
      <c r="AF48" s="70"/>
      <c r="AG48" s="70"/>
      <c r="AH48" s="70"/>
      <c r="AI48" s="70"/>
      <c r="AJ48" s="70"/>
      <c r="AK48" s="70"/>
      <c r="AL48" s="70"/>
      <c r="AM48" s="70"/>
      <c r="AN48" s="70"/>
      <c r="AO48" s="70"/>
      <c r="AP48" s="70"/>
      <c r="AQ48" s="70"/>
    </row>
    <row r="49" spans="1:43" ht="15.75" thickBot="1" x14ac:dyDescent="0.3">
      <c r="A49" t="s">
        <v>52</v>
      </c>
      <c r="B49" t="s">
        <v>78</v>
      </c>
      <c r="C49" t="s">
        <v>1062</v>
      </c>
      <c r="D49" t="s">
        <v>79</v>
      </c>
      <c r="E49" s="30" t="s">
        <v>19</v>
      </c>
      <c r="F49" s="30" t="s">
        <v>28</v>
      </c>
      <c r="G49" s="30"/>
      <c r="H49" s="30" t="s">
        <v>624</v>
      </c>
      <c r="I49" s="31">
        <f t="shared" si="4"/>
        <v>28</v>
      </c>
      <c r="J49" s="147" t="s">
        <v>1695</v>
      </c>
      <c r="K49" s="31">
        <f t="shared" si="5"/>
        <v>0</v>
      </c>
      <c r="L49" s="32">
        <f t="shared" si="6"/>
        <v>1</v>
      </c>
      <c r="M49" s="70"/>
      <c r="N49" s="70"/>
      <c r="O49" s="70"/>
      <c r="P49" s="70"/>
      <c r="Q49" s="70"/>
      <c r="R49" s="70"/>
      <c r="S49" s="70"/>
      <c r="T49" s="70"/>
      <c r="U49" s="70"/>
      <c r="V49" s="70"/>
      <c r="W49" s="70"/>
      <c r="X49" s="70"/>
      <c r="Y49" s="70"/>
      <c r="Z49" s="70"/>
      <c r="AA49" s="70"/>
      <c r="AB49" s="70"/>
      <c r="AC49" s="70"/>
      <c r="AD49" s="70"/>
      <c r="AE49" s="70"/>
      <c r="AF49" s="70"/>
      <c r="AG49" s="70"/>
      <c r="AH49" s="70"/>
      <c r="AI49" s="70"/>
      <c r="AJ49" s="70"/>
      <c r="AK49" s="70"/>
      <c r="AL49" s="70"/>
      <c r="AM49" s="70"/>
      <c r="AN49" s="70"/>
      <c r="AO49" s="70"/>
      <c r="AP49" s="70"/>
      <c r="AQ49" s="70"/>
    </row>
    <row r="50" spans="1:43" ht="15.75" thickBot="1" x14ac:dyDescent="0.3">
      <c r="A50" t="s">
        <v>52</v>
      </c>
      <c r="B50" t="s">
        <v>923</v>
      </c>
      <c r="C50" t="s">
        <v>1062</v>
      </c>
      <c r="D50" t="s">
        <v>1081</v>
      </c>
      <c r="E50" s="30" t="s">
        <v>15</v>
      </c>
      <c r="F50" s="30" t="s">
        <v>28</v>
      </c>
      <c r="G50" s="30"/>
      <c r="H50" s="30" t="s">
        <v>625</v>
      </c>
      <c r="I50" s="31">
        <f t="shared" si="4"/>
        <v>28</v>
      </c>
      <c r="J50" s="147" t="s">
        <v>1696</v>
      </c>
      <c r="K50" s="31">
        <f t="shared" si="5"/>
        <v>0</v>
      </c>
      <c r="L50" s="32">
        <f t="shared" si="6"/>
        <v>1</v>
      </c>
      <c r="M50" s="70"/>
      <c r="N50" s="70"/>
      <c r="O50" s="70"/>
      <c r="P50" s="70"/>
      <c r="Q50" s="70"/>
      <c r="R50" s="70"/>
      <c r="S50" s="70"/>
      <c r="T50" s="70"/>
      <c r="U50" s="70"/>
      <c r="V50" s="70"/>
      <c r="W50" s="70"/>
      <c r="X50" s="70"/>
      <c r="Y50" s="70"/>
      <c r="Z50" s="70"/>
      <c r="AA50" s="70"/>
      <c r="AB50" s="70"/>
      <c r="AC50" s="70"/>
      <c r="AD50" s="70"/>
      <c r="AE50" s="70"/>
      <c r="AF50" s="70"/>
      <c r="AG50" s="70"/>
      <c r="AH50" s="70"/>
      <c r="AI50" s="70"/>
      <c r="AJ50" s="70"/>
      <c r="AK50" s="70"/>
      <c r="AL50" s="70"/>
      <c r="AM50" s="70"/>
      <c r="AN50" s="70"/>
      <c r="AO50" s="70"/>
      <c r="AP50" s="70"/>
      <c r="AQ50" s="70"/>
    </row>
    <row r="51" spans="1:43" ht="15.75" thickBot="1" x14ac:dyDescent="0.3">
      <c r="A51" t="s">
        <v>52</v>
      </c>
      <c r="B51" t="s">
        <v>80</v>
      </c>
      <c r="C51" t="s">
        <v>1062</v>
      </c>
      <c r="D51" t="s">
        <v>81</v>
      </c>
      <c r="E51" s="30" t="s">
        <v>73</v>
      </c>
      <c r="F51" s="30" t="s">
        <v>28</v>
      </c>
      <c r="G51" s="30"/>
      <c r="H51" s="30" t="s">
        <v>626</v>
      </c>
      <c r="I51" s="31">
        <f t="shared" si="4"/>
        <v>28</v>
      </c>
      <c r="J51" s="147"/>
      <c r="K51" s="31">
        <f t="shared" si="5"/>
        <v>0</v>
      </c>
      <c r="L51" s="32">
        <f t="shared" si="6"/>
        <v>1</v>
      </c>
      <c r="M51" s="70"/>
      <c r="N51" s="70"/>
      <c r="O51" s="70"/>
      <c r="P51" s="70"/>
      <c r="Q51" s="70"/>
      <c r="R51" s="70"/>
      <c r="S51" s="70"/>
      <c r="T51" s="70"/>
      <c r="U51" s="70"/>
      <c r="V51" s="70"/>
      <c r="W51" s="70"/>
      <c r="X51" s="70"/>
      <c r="Y51" s="70"/>
      <c r="Z51" s="70"/>
      <c r="AA51" s="70"/>
      <c r="AB51" s="70"/>
      <c r="AC51" s="70"/>
      <c r="AD51" s="70"/>
      <c r="AE51" s="70"/>
      <c r="AF51" s="70"/>
      <c r="AG51" s="70"/>
      <c r="AH51" s="70"/>
      <c r="AI51" s="70"/>
      <c r="AJ51" s="70"/>
      <c r="AK51" s="70"/>
      <c r="AL51" s="70"/>
      <c r="AM51" s="70"/>
      <c r="AN51" s="70"/>
      <c r="AO51" s="70"/>
      <c r="AP51" s="70"/>
      <c r="AQ51" s="70"/>
    </row>
    <row r="52" spans="1:43" ht="15.75" thickBot="1" x14ac:dyDescent="0.3">
      <c r="A52" t="s">
        <v>52</v>
      </c>
      <c r="B52" t="s">
        <v>82</v>
      </c>
      <c r="C52" t="s">
        <v>1062</v>
      </c>
      <c r="D52" t="s">
        <v>1077</v>
      </c>
      <c r="E52" s="30" t="s">
        <v>15</v>
      </c>
      <c r="F52" s="30" t="s">
        <v>28</v>
      </c>
      <c r="G52" s="30"/>
      <c r="H52" s="30" t="s">
        <v>627</v>
      </c>
      <c r="I52" s="31">
        <f t="shared" si="4"/>
        <v>28</v>
      </c>
      <c r="J52" s="147" t="s">
        <v>1697</v>
      </c>
      <c r="K52" s="31">
        <f t="shared" si="5"/>
        <v>0</v>
      </c>
      <c r="L52" s="32">
        <f t="shared" si="6"/>
        <v>1</v>
      </c>
      <c r="M52" s="70"/>
      <c r="N52" s="70"/>
      <c r="O52" s="70"/>
      <c r="P52" s="70"/>
      <c r="Q52" s="70"/>
      <c r="R52" s="70"/>
      <c r="S52" s="70"/>
      <c r="T52" s="70"/>
      <c r="U52" s="70"/>
      <c r="V52" s="70"/>
      <c r="W52" s="70"/>
      <c r="X52" s="70"/>
      <c r="Y52" s="70"/>
      <c r="Z52" s="70"/>
      <c r="AA52" s="70"/>
      <c r="AB52" s="70"/>
      <c r="AC52" s="70"/>
      <c r="AD52" s="70"/>
      <c r="AE52" s="70"/>
      <c r="AF52" s="70"/>
      <c r="AG52" s="70"/>
      <c r="AH52" s="70"/>
      <c r="AI52" s="70"/>
      <c r="AJ52" s="70"/>
      <c r="AK52" s="70"/>
      <c r="AL52" s="70"/>
      <c r="AM52" s="70"/>
      <c r="AN52" s="70"/>
      <c r="AO52" s="70"/>
      <c r="AP52" s="70"/>
      <c r="AQ52" s="70"/>
    </row>
    <row r="53" spans="1:43" ht="15.75" thickBot="1" x14ac:dyDescent="0.3">
      <c r="A53" t="s">
        <v>52</v>
      </c>
      <c r="B53" t="s">
        <v>83</v>
      </c>
      <c r="C53" t="s">
        <v>1062</v>
      </c>
      <c r="D53" t="s">
        <v>1076</v>
      </c>
      <c r="E53" s="30" t="s">
        <v>19</v>
      </c>
      <c r="F53" s="30" t="s">
        <v>28</v>
      </c>
      <c r="G53" s="30"/>
      <c r="H53" s="30" t="s">
        <v>628</v>
      </c>
      <c r="I53" s="31">
        <f t="shared" si="4"/>
        <v>28</v>
      </c>
      <c r="J53" s="147" t="s">
        <v>1698</v>
      </c>
      <c r="K53" s="31">
        <f t="shared" si="5"/>
        <v>0</v>
      </c>
      <c r="L53" s="32">
        <f t="shared" si="6"/>
        <v>1</v>
      </c>
      <c r="M53" s="70"/>
      <c r="N53" s="70"/>
      <c r="O53" s="70"/>
      <c r="P53" s="70"/>
      <c r="Q53" s="70"/>
      <c r="R53" s="70"/>
      <c r="S53" s="70"/>
      <c r="T53" s="70"/>
      <c r="U53" s="70"/>
      <c r="V53" s="70"/>
      <c r="W53" s="70"/>
      <c r="X53" s="70"/>
      <c r="Y53" s="70"/>
      <c r="Z53" s="70"/>
      <c r="AA53" s="70"/>
      <c r="AB53" s="70"/>
      <c r="AC53" s="70"/>
      <c r="AD53" s="70"/>
      <c r="AE53" s="70"/>
      <c r="AF53" s="70"/>
      <c r="AG53" s="70"/>
      <c r="AH53" s="70"/>
      <c r="AI53" s="70"/>
      <c r="AJ53" s="70"/>
      <c r="AK53" s="70"/>
      <c r="AL53" s="70"/>
      <c r="AM53" s="70"/>
      <c r="AN53" s="70"/>
      <c r="AO53" s="70"/>
      <c r="AP53" s="70"/>
      <c r="AQ53" s="70"/>
    </row>
    <row r="54" spans="1:43" ht="15.75" thickBot="1" x14ac:dyDescent="0.3">
      <c r="A54" t="s">
        <v>52</v>
      </c>
      <c r="B54" t="s">
        <v>84</v>
      </c>
      <c r="C54" t="s">
        <v>1062</v>
      </c>
      <c r="D54" t="s">
        <v>85</v>
      </c>
      <c r="E54" s="30" t="s">
        <v>19</v>
      </c>
      <c r="F54" s="30" t="s">
        <v>28</v>
      </c>
      <c r="G54" s="30"/>
      <c r="H54" s="30" t="s">
        <v>629</v>
      </c>
      <c r="I54" s="31">
        <f t="shared" si="4"/>
        <v>28</v>
      </c>
      <c r="J54" s="147" t="s">
        <v>1699</v>
      </c>
      <c r="K54" s="31">
        <f t="shared" si="5"/>
        <v>0</v>
      </c>
      <c r="L54" s="32">
        <f t="shared" si="6"/>
        <v>1</v>
      </c>
      <c r="M54" s="70"/>
      <c r="N54" s="70"/>
      <c r="O54" s="70"/>
      <c r="P54" s="70"/>
      <c r="Q54" s="70"/>
      <c r="R54" s="70"/>
      <c r="S54" s="70"/>
      <c r="T54" s="70"/>
      <c r="U54" s="70"/>
      <c r="V54" s="70"/>
      <c r="W54" s="70"/>
      <c r="X54" s="70"/>
      <c r="Y54" s="70"/>
      <c r="Z54" s="70"/>
      <c r="AA54" s="70"/>
      <c r="AB54" s="70"/>
      <c r="AC54" s="70"/>
      <c r="AD54" s="70"/>
      <c r="AE54" s="70"/>
      <c r="AF54" s="70"/>
      <c r="AG54" s="70"/>
      <c r="AH54" s="70"/>
      <c r="AI54" s="70"/>
      <c r="AJ54" s="70"/>
      <c r="AK54" s="70"/>
      <c r="AL54" s="70"/>
      <c r="AM54" s="70"/>
      <c r="AN54" s="70"/>
      <c r="AO54" s="70"/>
      <c r="AP54" s="70"/>
      <c r="AQ54" s="70"/>
    </row>
    <row r="55" spans="1:43" ht="15.75" thickBot="1" x14ac:dyDescent="0.3">
      <c r="A55" t="s">
        <v>52</v>
      </c>
      <c r="B55" t="s">
        <v>86</v>
      </c>
      <c r="C55" t="s">
        <v>1062</v>
      </c>
      <c r="D55" t="s">
        <v>1075</v>
      </c>
      <c r="E55" s="30" t="s">
        <v>19</v>
      </c>
      <c r="F55" s="30" t="s">
        <v>28</v>
      </c>
      <c r="G55" s="30"/>
      <c r="H55" s="30" t="s">
        <v>630</v>
      </c>
      <c r="I55" s="31">
        <f t="shared" si="4"/>
        <v>28</v>
      </c>
      <c r="J55" s="147" t="s">
        <v>1700</v>
      </c>
      <c r="K55" s="31">
        <f t="shared" si="5"/>
        <v>0</v>
      </c>
      <c r="L55" s="32">
        <f t="shared" si="6"/>
        <v>1</v>
      </c>
      <c r="M55" s="70"/>
      <c r="N55" s="70"/>
      <c r="O55" s="70"/>
      <c r="P55" s="70"/>
      <c r="Q55" s="70"/>
      <c r="R55" s="70"/>
      <c r="S55" s="70"/>
      <c r="T55" s="70"/>
      <c r="U55" s="70"/>
      <c r="V55" s="70"/>
      <c r="W55" s="70"/>
      <c r="X55" s="70"/>
      <c r="Y55" s="70"/>
      <c r="Z55" s="70"/>
      <c r="AA55" s="70"/>
      <c r="AB55" s="70"/>
      <c r="AC55" s="70"/>
      <c r="AD55" s="70"/>
      <c r="AE55" s="70"/>
      <c r="AF55" s="70"/>
      <c r="AG55" s="70"/>
      <c r="AH55" s="70"/>
      <c r="AI55" s="70"/>
      <c r="AJ55" s="70"/>
      <c r="AK55" s="70"/>
      <c r="AL55" s="70"/>
      <c r="AM55" s="70"/>
      <c r="AN55" s="70"/>
      <c r="AO55" s="70"/>
      <c r="AP55" s="70"/>
      <c r="AQ55" s="70"/>
    </row>
    <row r="56" spans="1:43" ht="15.75" thickBot="1" x14ac:dyDescent="0.3">
      <c r="A56" t="s">
        <v>52</v>
      </c>
      <c r="B56" t="s">
        <v>87</v>
      </c>
      <c r="C56" t="s">
        <v>1062</v>
      </c>
      <c r="D56" t="s">
        <v>88</v>
      </c>
      <c r="E56" s="30" t="s">
        <v>19</v>
      </c>
      <c r="F56" s="30" t="s">
        <v>28</v>
      </c>
      <c r="G56" s="30"/>
      <c r="H56" s="30" t="s">
        <v>631</v>
      </c>
      <c r="I56" s="31">
        <f t="shared" si="4"/>
        <v>28</v>
      </c>
      <c r="J56" s="147" t="s">
        <v>1701</v>
      </c>
      <c r="K56" s="31">
        <f t="shared" si="5"/>
        <v>0</v>
      </c>
      <c r="L56" s="32">
        <f t="shared" si="6"/>
        <v>1</v>
      </c>
      <c r="M56" s="70"/>
      <c r="N56" s="70"/>
      <c r="O56" s="70"/>
      <c r="P56" s="70"/>
      <c r="Q56" s="70"/>
      <c r="R56" s="70"/>
      <c r="S56" s="70"/>
      <c r="T56" s="70"/>
      <c r="U56" s="70"/>
      <c r="V56" s="70"/>
      <c r="W56" s="70"/>
      <c r="X56" s="70"/>
      <c r="Y56" s="70"/>
      <c r="Z56" s="70"/>
      <c r="AA56" s="70"/>
      <c r="AB56" s="70"/>
      <c r="AC56" s="70"/>
      <c r="AD56" s="70"/>
      <c r="AE56" s="70"/>
      <c r="AF56" s="70"/>
      <c r="AG56" s="70"/>
      <c r="AH56" s="70"/>
      <c r="AI56" s="70"/>
      <c r="AJ56" s="70"/>
      <c r="AK56" s="70"/>
      <c r="AL56" s="70"/>
      <c r="AM56" s="70"/>
      <c r="AN56" s="70"/>
      <c r="AO56" s="70"/>
      <c r="AP56" s="70"/>
      <c r="AQ56" s="70"/>
    </row>
    <row r="57" spans="1:43" ht="15.75" thickBot="1" x14ac:dyDescent="0.3">
      <c r="A57" t="s">
        <v>52</v>
      </c>
      <c r="B57" t="s">
        <v>924</v>
      </c>
      <c r="C57" t="s">
        <v>1062</v>
      </c>
      <c r="D57" t="s">
        <v>89</v>
      </c>
      <c r="E57" s="30" t="s">
        <v>19</v>
      </c>
      <c r="F57" s="30" t="s">
        <v>28</v>
      </c>
      <c r="G57" s="30"/>
      <c r="H57" s="30" t="s">
        <v>632</v>
      </c>
      <c r="I57" s="31">
        <f t="shared" si="4"/>
        <v>28</v>
      </c>
      <c r="J57" s="147" t="s">
        <v>1702</v>
      </c>
      <c r="K57" s="31">
        <f t="shared" si="5"/>
        <v>0</v>
      </c>
      <c r="L57" s="32">
        <f t="shared" si="6"/>
        <v>1</v>
      </c>
      <c r="M57" s="70"/>
      <c r="N57" s="70"/>
      <c r="O57" s="70"/>
      <c r="P57" s="70"/>
      <c r="Q57" s="70"/>
      <c r="R57" s="70"/>
      <c r="S57" s="70"/>
      <c r="T57" s="70"/>
      <c r="U57" s="70"/>
      <c r="V57" s="70"/>
      <c r="W57" s="70"/>
      <c r="X57" s="70"/>
      <c r="Y57" s="70"/>
      <c r="Z57" s="70"/>
      <c r="AA57" s="70"/>
      <c r="AB57" s="70"/>
      <c r="AC57" s="70"/>
      <c r="AD57" s="70"/>
      <c r="AE57" s="70"/>
      <c r="AF57" s="70"/>
      <c r="AG57" s="70"/>
      <c r="AH57" s="70"/>
      <c r="AI57" s="70"/>
      <c r="AJ57" s="70"/>
      <c r="AK57" s="70"/>
      <c r="AL57" s="70"/>
      <c r="AM57" s="70"/>
      <c r="AN57" s="70"/>
      <c r="AO57" s="70"/>
      <c r="AP57" s="70"/>
      <c r="AQ57" s="70"/>
    </row>
    <row r="58" spans="1:43" s="73" customFormat="1" ht="15.75" thickBot="1" x14ac:dyDescent="0.3">
      <c r="A58" s="73" t="s">
        <v>52</v>
      </c>
      <c r="B58" s="73" t="s">
        <v>925</v>
      </c>
      <c r="C58" s="73" t="s">
        <v>1062</v>
      </c>
      <c r="D58" s="73" t="s">
        <v>90</v>
      </c>
      <c r="E58" s="85" t="s">
        <v>15</v>
      </c>
      <c r="F58" s="85" t="s">
        <v>1301</v>
      </c>
      <c r="G58" s="85"/>
      <c r="H58" s="85" t="s">
        <v>633</v>
      </c>
      <c r="I58" s="142">
        <f t="shared" si="4"/>
        <v>26</v>
      </c>
      <c r="J58" s="147" t="s">
        <v>1703</v>
      </c>
      <c r="K58" s="142">
        <f t="shared" si="5"/>
        <v>2</v>
      </c>
      <c r="L58" s="143">
        <f t="shared" si="6"/>
        <v>0.9285714285714286</v>
      </c>
      <c r="M58" s="70"/>
      <c r="N58" s="70"/>
      <c r="O58" s="70"/>
      <c r="P58" s="70"/>
      <c r="Q58" s="70"/>
      <c r="R58" s="70"/>
      <c r="S58" s="70" t="s">
        <v>2213</v>
      </c>
      <c r="T58" s="70" t="s">
        <v>2213</v>
      </c>
      <c r="U58" s="70"/>
      <c r="V58" s="70"/>
      <c r="W58" s="70"/>
      <c r="X58" s="70"/>
      <c r="Y58" s="70"/>
      <c r="Z58" s="70"/>
      <c r="AA58" s="70"/>
      <c r="AB58" s="70"/>
      <c r="AC58" s="70"/>
      <c r="AD58" s="70"/>
      <c r="AE58" s="70"/>
      <c r="AF58" s="70"/>
      <c r="AG58" s="70"/>
      <c r="AH58" s="70"/>
      <c r="AI58" s="70"/>
      <c r="AJ58" s="70"/>
      <c r="AK58" s="70"/>
      <c r="AL58" s="70"/>
      <c r="AM58" s="70"/>
      <c r="AN58" s="70"/>
      <c r="AO58" s="70"/>
      <c r="AP58" s="89"/>
      <c r="AQ58" s="89"/>
    </row>
    <row r="59" spans="1:43" ht="15.75" thickBot="1" x14ac:dyDescent="0.3">
      <c r="A59" t="s">
        <v>52</v>
      </c>
      <c r="B59" t="s">
        <v>91</v>
      </c>
      <c r="C59" t="s">
        <v>1062</v>
      </c>
      <c r="D59" t="s">
        <v>1079</v>
      </c>
      <c r="E59" s="30" t="s">
        <v>19</v>
      </c>
      <c r="F59" s="30" t="s">
        <v>28</v>
      </c>
      <c r="G59" s="30"/>
      <c r="H59" s="30" t="s">
        <v>634</v>
      </c>
      <c r="I59" s="31">
        <f t="shared" si="4"/>
        <v>28</v>
      </c>
      <c r="J59" s="147" t="s">
        <v>1704</v>
      </c>
      <c r="K59" s="31">
        <f t="shared" si="5"/>
        <v>0</v>
      </c>
      <c r="L59" s="32">
        <f t="shared" si="6"/>
        <v>1</v>
      </c>
      <c r="M59" s="70"/>
      <c r="N59" s="70"/>
      <c r="O59" s="70"/>
      <c r="P59" s="70"/>
      <c r="Q59" s="70"/>
      <c r="R59" s="70"/>
      <c r="S59" s="70"/>
      <c r="T59" s="70"/>
      <c r="U59" s="70"/>
      <c r="V59" s="70"/>
      <c r="W59" s="70"/>
      <c r="X59" s="70"/>
      <c r="Y59" s="70"/>
      <c r="Z59" s="70"/>
      <c r="AA59" s="70"/>
      <c r="AB59" s="70"/>
      <c r="AC59" s="70"/>
      <c r="AD59" s="70"/>
      <c r="AE59" s="70"/>
      <c r="AF59" s="70"/>
      <c r="AG59" s="70"/>
      <c r="AH59" s="70"/>
      <c r="AI59" s="70"/>
      <c r="AJ59" s="70"/>
      <c r="AK59" s="70"/>
      <c r="AL59" s="70"/>
      <c r="AM59" s="70"/>
      <c r="AN59" s="70"/>
      <c r="AO59" s="70"/>
      <c r="AP59" s="70"/>
      <c r="AQ59" s="70"/>
    </row>
    <row r="60" spans="1:43" s="73" customFormat="1" ht="15.75" thickBot="1" x14ac:dyDescent="0.3">
      <c r="A60" s="73" t="s">
        <v>52</v>
      </c>
      <c r="B60" s="73" t="s">
        <v>92</v>
      </c>
      <c r="C60" s="73" t="s">
        <v>1062</v>
      </c>
      <c r="D60" s="73" t="s">
        <v>93</v>
      </c>
      <c r="E60" s="85" t="s">
        <v>19</v>
      </c>
      <c r="F60" s="85" t="s">
        <v>1301</v>
      </c>
      <c r="G60" s="85"/>
      <c r="H60" s="85" t="s">
        <v>635</v>
      </c>
      <c r="I60" s="142">
        <f t="shared" si="4"/>
        <v>28</v>
      </c>
      <c r="J60" s="147" t="s">
        <v>1705</v>
      </c>
      <c r="K60" s="142">
        <f t="shared" si="5"/>
        <v>0</v>
      </c>
      <c r="L60" s="143">
        <f t="shared" si="6"/>
        <v>1</v>
      </c>
      <c r="M60" s="70"/>
      <c r="N60" s="70"/>
      <c r="O60" s="70"/>
      <c r="P60" s="70"/>
      <c r="Q60" s="70"/>
      <c r="R60" s="70"/>
      <c r="S60" s="70"/>
      <c r="T60" s="70"/>
      <c r="U60" s="70"/>
      <c r="V60" s="70"/>
      <c r="W60" s="70"/>
      <c r="X60" s="70"/>
      <c r="Y60" s="70"/>
      <c r="Z60" s="70"/>
      <c r="AA60" s="70"/>
      <c r="AB60" s="70"/>
      <c r="AC60" s="70"/>
      <c r="AD60" s="70"/>
      <c r="AE60" s="70"/>
      <c r="AF60" s="70"/>
      <c r="AG60" s="70"/>
      <c r="AH60" s="70"/>
      <c r="AI60" s="70"/>
      <c r="AJ60" s="70"/>
      <c r="AK60" s="70"/>
      <c r="AL60" s="70"/>
      <c r="AM60" s="70"/>
      <c r="AN60" s="70"/>
      <c r="AO60" s="70"/>
      <c r="AP60" s="89"/>
      <c r="AQ60" s="89"/>
    </row>
    <row r="61" spans="1:43" ht="15.75" thickBot="1" x14ac:dyDescent="0.3">
      <c r="A61" t="s">
        <v>52</v>
      </c>
      <c r="B61" t="s">
        <v>94</v>
      </c>
      <c r="C61" t="s">
        <v>1062</v>
      </c>
      <c r="D61" t="s">
        <v>95</v>
      </c>
      <c r="E61" s="30" t="s">
        <v>73</v>
      </c>
      <c r="F61" s="30" t="s">
        <v>28</v>
      </c>
      <c r="G61" s="30"/>
      <c r="H61" s="30" t="s">
        <v>636</v>
      </c>
      <c r="I61" s="31">
        <f t="shared" si="4"/>
        <v>28</v>
      </c>
      <c r="J61" s="147" t="s">
        <v>1706</v>
      </c>
      <c r="K61" s="31">
        <f t="shared" si="5"/>
        <v>0</v>
      </c>
      <c r="L61" s="32">
        <f t="shared" si="6"/>
        <v>1</v>
      </c>
      <c r="M61" s="70"/>
      <c r="N61" s="70"/>
      <c r="O61" s="70"/>
      <c r="P61" s="70"/>
      <c r="Q61" s="70"/>
      <c r="R61" s="70"/>
      <c r="S61" s="70"/>
      <c r="T61" s="70"/>
      <c r="U61" s="70"/>
      <c r="V61" s="70"/>
      <c r="W61" s="70"/>
      <c r="X61" s="70"/>
      <c r="Y61" s="70"/>
      <c r="Z61" s="70"/>
      <c r="AA61" s="70"/>
      <c r="AB61" s="70"/>
      <c r="AC61" s="70"/>
      <c r="AD61" s="70"/>
      <c r="AE61" s="70"/>
      <c r="AF61" s="70"/>
      <c r="AG61" s="70"/>
      <c r="AH61" s="70"/>
      <c r="AI61" s="70"/>
      <c r="AJ61" s="70"/>
      <c r="AK61" s="70"/>
      <c r="AL61" s="70"/>
      <c r="AM61" s="70"/>
      <c r="AN61" s="70"/>
      <c r="AO61" s="70"/>
      <c r="AP61" s="70"/>
      <c r="AQ61" s="70"/>
    </row>
    <row r="62" spans="1:43" ht="15.75" thickBot="1" x14ac:dyDescent="0.3">
      <c r="A62" t="s">
        <v>52</v>
      </c>
      <c r="B62" t="s">
        <v>96</v>
      </c>
      <c r="C62" t="s">
        <v>1062</v>
      </c>
      <c r="D62" t="s">
        <v>97</v>
      </c>
      <c r="E62" s="30" t="s">
        <v>19</v>
      </c>
      <c r="F62" s="30" t="s">
        <v>1056</v>
      </c>
      <c r="G62" s="30" t="s">
        <v>1252</v>
      </c>
      <c r="H62" s="30" t="s">
        <v>637</v>
      </c>
      <c r="I62" s="31">
        <f t="shared" si="4"/>
        <v>28</v>
      </c>
      <c r="J62" s="147" t="s">
        <v>1707</v>
      </c>
      <c r="K62" s="31">
        <f t="shared" si="5"/>
        <v>0</v>
      </c>
      <c r="L62" s="32">
        <f t="shared" si="6"/>
        <v>1</v>
      </c>
      <c r="M62" s="70"/>
      <c r="N62" s="70"/>
      <c r="O62" s="70"/>
      <c r="P62" s="70"/>
      <c r="Q62" s="70"/>
      <c r="R62" s="70"/>
      <c r="S62" s="70"/>
      <c r="T62" s="70"/>
      <c r="U62" s="70"/>
      <c r="V62" s="70"/>
      <c r="W62" s="70"/>
      <c r="X62" s="70"/>
      <c r="Y62" s="70"/>
      <c r="Z62" s="70"/>
      <c r="AA62" s="70"/>
      <c r="AB62" s="70"/>
      <c r="AC62" s="70"/>
      <c r="AD62" s="70"/>
      <c r="AE62" s="70"/>
      <c r="AF62" s="70"/>
      <c r="AG62" s="70"/>
      <c r="AH62" s="70"/>
      <c r="AI62" s="70"/>
      <c r="AJ62" s="70"/>
      <c r="AK62" s="70"/>
      <c r="AL62" s="70"/>
      <c r="AM62" s="70"/>
      <c r="AN62" s="70"/>
      <c r="AO62" s="70"/>
      <c r="AP62" s="70"/>
      <c r="AQ62" s="70"/>
    </row>
    <row r="63" spans="1:43" ht="15.75" thickBot="1" x14ac:dyDescent="0.3">
      <c r="A63" t="s">
        <v>52</v>
      </c>
      <c r="B63" t="s">
        <v>98</v>
      </c>
      <c r="C63" t="s">
        <v>1062</v>
      </c>
      <c r="D63" t="s">
        <v>99</v>
      </c>
      <c r="E63" s="30" t="s">
        <v>73</v>
      </c>
      <c r="F63" s="30" t="s">
        <v>28</v>
      </c>
      <c r="G63" s="30"/>
      <c r="H63" s="30" t="s">
        <v>638</v>
      </c>
      <c r="I63" s="31">
        <f t="shared" si="4"/>
        <v>28</v>
      </c>
      <c r="J63" s="147" t="s">
        <v>1708</v>
      </c>
      <c r="K63" s="31">
        <f t="shared" si="5"/>
        <v>0</v>
      </c>
      <c r="L63" s="32">
        <f t="shared" si="6"/>
        <v>1</v>
      </c>
      <c r="M63" s="70"/>
      <c r="N63" s="70"/>
      <c r="O63" s="70"/>
      <c r="P63" s="70"/>
      <c r="Q63" s="70"/>
      <c r="R63" s="70"/>
      <c r="S63" s="70"/>
      <c r="T63" s="70"/>
      <c r="U63" s="70"/>
      <c r="V63" s="70"/>
      <c r="W63" s="70"/>
      <c r="X63" s="70"/>
      <c r="Y63" s="70"/>
      <c r="Z63" s="70"/>
      <c r="AA63" s="70"/>
      <c r="AB63" s="70"/>
      <c r="AC63" s="70"/>
      <c r="AD63" s="70"/>
      <c r="AE63" s="70"/>
      <c r="AF63" s="70"/>
      <c r="AG63" s="70"/>
      <c r="AH63" s="70"/>
      <c r="AI63" s="70"/>
      <c r="AJ63" s="70"/>
      <c r="AK63" s="70"/>
      <c r="AL63" s="70"/>
      <c r="AM63" s="70"/>
      <c r="AN63" s="70"/>
      <c r="AO63" s="70"/>
      <c r="AP63" s="70"/>
      <c r="AQ63" s="70"/>
    </row>
    <row r="64" spans="1:43" ht="15.75" thickBot="1" x14ac:dyDescent="0.3">
      <c r="A64" t="s">
        <v>52</v>
      </c>
      <c r="B64" t="s">
        <v>100</v>
      </c>
      <c r="C64" t="s">
        <v>1062</v>
      </c>
      <c r="D64" t="s">
        <v>85</v>
      </c>
      <c r="E64" s="30" t="s">
        <v>73</v>
      </c>
      <c r="F64" s="30" t="s">
        <v>28</v>
      </c>
      <c r="G64" s="30"/>
      <c r="H64" s="30" t="s">
        <v>639</v>
      </c>
      <c r="I64" s="31">
        <f t="shared" si="4"/>
        <v>28</v>
      </c>
      <c r="J64" s="147" t="s">
        <v>1709</v>
      </c>
      <c r="K64" s="31">
        <f t="shared" si="5"/>
        <v>0</v>
      </c>
      <c r="L64" s="32">
        <f t="shared" si="6"/>
        <v>1</v>
      </c>
      <c r="M64" s="70"/>
      <c r="N64" s="70"/>
      <c r="O64" s="70"/>
      <c r="P64" s="70"/>
      <c r="Q64" s="70"/>
      <c r="R64" s="70"/>
      <c r="S64" s="70"/>
      <c r="T64" s="70"/>
      <c r="U64" s="70"/>
      <c r="V64" s="70"/>
      <c r="W64" s="70"/>
      <c r="X64" s="70"/>
      <c r="Y64" s="70"/>
      <c r="Z64" s="70"/>
      <c r="AA64" s="70"/>
      <c r="AB64" s="70"/>
      <c r="AC64" s="70"/>
      <c r="AD64" s="70"/>
      <c r="AE64" s="70"/>
      <c r="AF64" s="70"/>
      <c r="AG64" s="70"/>
      <c r="AH64" s="70"/>
      <c r="AI64" s="70"/>
      <c r="AJ64" s="70"/>
      <c r="AK64" s="70"/>
      <c r="AL64" s="70"/>
      <c r="AM64" s="70"/>
      <c r="AN64" s="70"/>
      <c r="AO64" s="70"/>
      <c r="AP64" s="70"/>
      <c r="AQ64" s="70"/>
    </row>
    <row r="65" spans="1:43" s="73" customFormat="1" ht="15.75" thickBot="1" x14ac:dyDescent="0.3">
      <c r="A65" s="73" t="s">
        <v>101</v>
      </c>
      <c r="B65" s="73" t="s">
        <v>102</v>
      </c>
      <c r="C65" s="73" t="s">
        <v>1062</v>
      </c>
      <c r="D65" s="73" t="s">
        <v>103</v>
      </c>
      <c r="E65" s="85" t="s">
        <v>19</v>
      </c>
      <c r="F65" s="85" t="s">
        <v>1301</v>
      </c>
      <c r="G65" s="85"/>
      <c r="H65" s="85" t="s">
        <v>640</v>
      </c>
      <c r="I65" s="142">
        <f t="shared" si="4"/>
        <v>28</v>
      </c>
      <c r="J65" s="147" t="s">
        <v>1710</v>
      </c>
      <c r="K65" s="142">
        <f t="shared" si="5"/>
        <v>0</v>
      </c>
      <c r="L65" s="143">
        <f t="shared" si="6"/>
        <v>1</v>
      </c>
      <c r="M65" s="70"/>
      <c r="N65" s="70"/>
      <c r="O65" s="70"/>
      <c r="P65" s="70"/>
      <c r="Q65" s="70"/>
      <c r="R65" s="70"/>
      <c r="S65" s="70"/>
      <c r="T65" s="70"/>
      <c r="U65" s="70"/>
      <c r="V65" s="70"/>
      <c r="W65" s="70"/>
      <c r="X65" s="70"/>
      <c r="Y65" s="70"/>
      <c r="Z65" s="70"/>
      <c r="AA65" s="70"/>
      <c r="AB65" s="70"/>
      <c r="AC65" s="70"/>
      <c r="AD65" s="70"/>
      <c r="AE65" s="70"/>
      <c r="AF65" s="70"/>
      <c r="AG65" s="70"/>
      <c r="AH65" s="70"/>
      <c r="AI65" s="70"/>
      <c r="AJ65" s="70"/>
      <c r="AK65" s="70"/>
      <c r="AL65" s="70"/>
      <c r="AM65" s="70"/>
      <c r="AN65" s="70"/>
      <c r="AO65" s="70"/>
      <c r="AP65" s="89"/>
      <c r="AQ65" s="89"/>
    </row>
    <row r="66" spans="1:43" s="91" customFormat="1" ht="15.75" thickBot="1" x14ac:dyDescent="0.3">
      <c r="A66" s="91" t="s">
        <v>52</v>
      </c>
      <c r="B66" s="91" t="s">
        <v>104</v>
      </c>
      <c r="C66" s="91" t="s">
        <v>1062</v>
      </c>
      <c r="D66" s="91" t="s">
        <v>105</v>
      </c>
      <c r="E66" s="92" t="s">
        <v>73</v>
      </c>
      <c r="F66" s="85" t="s">
        <v>1301</v>
      </c>
      <c r="G66" s="92"/>
      <c r="H66" s="92" t="s">
        <v>641</v>
      </c>
      <c r="I66" s="31">
        <f t="shared" si="4"/>
        <v>28</v>
      </c>
      <c r="J66" s="87"/>
      <c r="K66" s="31">
        <f t="shared" si="5"/>
        <v>0</v>
      </c>
      <c r="L66" s="32">
        <f t="shared" si="6"/>
        <v>1</v>
      </c>
      <c r="M66" s="70"/>
      <c r="N66" s="70"/>
      <c r="O66" s="70"/>
      <c r="P66" s="70"/>
      <c r="Q66" s="70"/>
      <c r="R66" s="70"/>
      <c r="S66" s="70"/>
      <c r="T66" s="70"/>
      <c r="U66" s="70"/>
      <c r="V66" s="70"/>
      <c r="W66" s="70"/>
      <c r="X66" s="70"/>
      <c r="Y66" s="70"/>
      <c r="Z66" s="70"/>
      <c r="AA66" s="70"/>
      <c r="AB66" s="70"/>
      <c r="AC66" s="70"/>
      <c r="AD66" s="70"/>
      <c r="AE66" s="93"/>
      <c r="AF66" s="93"/>
      <c r="AG66" s="70"/>
      <c r="AH66" s="93"/>
      <c r="AI66" s="93"/>
      <c r="AJ66" s="93"/>
      <c r="AK66" s="93"/>
      <c r="AL66" s="93"/>
      <c r="AM66" s="93"/>
      <c r="AN66" s="93"/>
      <c r="AO66" s="93"/>
      <c r="AP66" s="93"/>
      <c r="AQ66" s="93"/>
    </row>
    <row r="67" spans="1:43" s="73" customFormat="1" ht="15.75" thickBot="1" x14ac:dyDescent="0.3">
      <c r="A67" s="73" t="s">
        <v>52</v>
      </c>
      <c r="B67" s="73" t="s">
        <v>106</v>
      </c>
      <c r="C67" s="73" t="s">
        <v>1062</v>
      </c>
      <c r="D67" s="73" t="s">
        <v>107</v>
      </c>
      <c r="E67" s="85" t="s">
        <v>19</v>
      </c>
      <c r="F67" s="85" t="s">
        <v>1301</v>
      </c>
      <c r="G67" s="85"/>
      <c r="H67" s="85" t="s">
        <v>1377</v>
      </c>
      <c r="I67" s="142">
        <f t="shared" si="4"/>
        <v>28</v>
      </c>
      <c r="J67" s="147" t="s">
        <v>1711</v>
      </c>
      <c r="K67" s="142">
        <f t="shared" si="5"/>
        <v>0</v>
      </c>
      <c r="L67" s="143">
        <f t="shared" si="6"/>
        <v>1</v>
      </c>
      <c r="M67" s="70"/>
      <c r="N67" s="70"/>
      <c r="O67" s="70"/>
      <c r="P67" s="70"/>
      <c r="Q67" s="70"/>
      <c r="R67" s="70"/>
      <c r="S67" s="70"/>
      <c r="T67" s="70"/>
      <c r="U67" s="70"/>
      <c r="V67" s="70"/>
      <c r="W67" s="70"/>
      <c r="X67" s="70"/>
      <c r="Y67" s="70"/>
      <c r="Z67" s="70"/>
      <c r="AA67" s="70"/>
      <c r="AB67" s="70"/>
      <c r="AC67" s="70"/>
      <c r="AD67" s="70"/>
      <c r="AE67" s="70"/>
      <c r="AF67" s="70"/>
      <c r="AG67" s="70"/>
      <c r="AH67" s="70"/>
      <c r="AI67" s="70"/>
      <c r="AJ67" s="70"/>
      <c r="AK67" s="70"/>
      <c r="AL67" s="70"/>
      <c r="AM67" s="70"/>
      <c r="AN67" s="70"/>
      <c r="AO67" s="70"/>
      <c r="AP67" s="89"/>
      <c r="AQ67" s="89"/>
    </row>
    <row r="68" spans="1:43" ht="15.75" thickBot="1" x14ac:dyDescent="0.3">
      <c r="A68" t="s">
        <v>52</v>
      </c>
      <c r="B68" t="s">
        <v>108</v>
      </c>
      <c r="C68" t="s">
        <v>1062</v>
      </c>
      <c r="D68" t="s">
        <v>109</v>
      </c>
      <c r="E68" s="30" t="s">
        <v>19</v>
      </c>
      <c r="F68" s="30" t="s">
        <v>28</v>
      </c>
      <c r="G68" s="30"/>
      <c r="H68" s="30" t="s">
        <v>642</v>
      </c>
      <c r="I68" s="31">
        <f t="shared" si="4"/>
        <v>28</v>
      </c>
      <c r="J68" s="147" t="s">
        <v>1712</v>
      </c>
      <c r="K68" s="31">
        <f t="shared" si="5"/>
        <v>0</v>
      </c>
      <c r="L68" s="32">
        <f t="shared" si="6"/>
        <v>1</v>
      </c>
      <c r="M68" s="70"/>
      <c r="N68" s="70"/>
      <c r="O68" s="70"/>
      <c r="P68" s="70"/>
      <c r="Q68" s="70"/>
      <c r="R68" s="70"/>
      <c r="S68" s="70"/>
      <c r="T68" s="70"/>
      <c r="U68" s="70"/>
      <c r="V68" s="70"/>
      <c r="W68" s="70"/>
      <c r="X68" s="70"/>
      <c r="Y68" s="70"/>
      <c r="Z68" s="70"/>
      <c r="AA68" s="70"/>
      <c r="AB68" s="70"/>
      <c r="AC68" s="70"/>
      <c r="AD68" s="70"/>
      <c r="AE68" s="70"/>
      <c r="AF68" s="70"/>
      <c r="AG68" s="70"/>
      <c r="AH68" s="70"/>
      <c r="AI68" s="70"/>
      <c r="AJ68" s="70"/>
      <c r="AK68" s="70"/>
      <c r="AL68" s="70"/>
      <c r="AM68" s="70"/>
      <c r="AN68" s="70"/>
      <c r="AO68" s="70"/>
      <c r="AP68" s="70"/>
      <c r="AQ68" s="70"/>
    </row>
    <row r="69" spans="1:43" ht="15.75" thickBot="1" x14ac:dyDescent="0.3">
      <c r="A69" t="s">
        <v>52</v>
      </c>
      <c r="B69" t="s">
        <v>110</v>
      </c>
      <c r="C69" t="s">
        <v>1062</v>
      </c>
      <c r="D69" t="s">
        <v>1080</v>
      </c>
      <c r="E69" s="30" t="s">
        <v>19</v>
      </c>
      <c r="F69" s="30" t="s">
        <v>28</v>
      </c>
      <c r="G69" s="30"/>
      <c r="H69" s="30" t="s">
        <v>1442</v>
      </c>
      <c r="I69" s="31">
        <f t="shared" si="4"/>
        <v>28</v>
      </c>
      <c r="J69" s="147" t="s">
        <v>1713</v>
      </c>
      <c r="K69" s="31">
        <f t="shared" si="5"/>
        <v>0</v>
      </c>
      <c r="L69" s="32">
        <f t="shared" si="6"/>
        <v>1</v>
      </c>
      <c r="M69" s="70"/>
      <c r="N69" s="70"/>
      <c r="O69" s="70"/>
      <c r="P69" s="70"/>
      <c r="Q69" s="70"/>
      <c r="R69" s="70"/>
      <c r="S69" s="70"/>
      <c r="T69" s="70"/>
      <c r="U69" s="70"/>
      <c r="V69" s="70"/>
      <c r="W69" s="70"/>
      <c r="X69" s="70"/>
      <c r="Y69" s="70"/>
      <c r="Z69" s="70"/>
      <c r="AA69" s="70"/>
      <c r="AB69" s="70"/>
      <c r="AC69" s="70"/>
      <c r="AD69" s="70"/>
      <c r="AE69" s="70"/>
      <c r="AF69" s="70"/>
      <c r="AG69" s="70"/>
      <c r="AH69" s="70"/>
      <c r="AI69" s="70"/>
      <c r="AJ69" s="70"/>
      <c r="AK69" s="70"/>
      <c r="AL69" s="70"/>
      <c r="AM69" s="70"/>
      <c r="AN69" s="70"/>
      <c r="AO69" s="70"/>
      <c r="AP69" s="70"/>
      <c r="AQ69" s="70"/>
    </row>
    <row r="70" spans="1:43" ht="15.75" thickBot="1" x14ac:dyDescent="0.3">
      <c r="A70" t="s">
        <v>52</v>
      </c>
      <c r="B70" t="s">
        <v>111</v>
      </c>
      <c r="C70" t="s">
        <v>1062</v>
      </c>
      <c r="D70" t="s">
        <v>112</v>
      </c>
      <c r="E70" s="30" t="s">
        <v>19</v>
      </c>
      <c r="F70" s="30" t="s">
        <v>28</v>
      </c>
      <c r="G70" s="30"/>
      <c r="H70" s="30" t="s">
        <v>643</v>
      </c>
      <c r="I70" s="31">
        <f t="shared" si="4"/>
        <v>28</v>
      </c>
      <c r="J70" s="147" t="s">
        <v>1714</v>
      </c>
      <c r="K70" s="31">
        <f t="shared" si="5"/>
        <v>0</v>
      </c>
      <c r="L70" s="32">
        <f t="shared" si="6"/>
        <v>1</v>
      </c>
      <c r="M70" s="70"/>
      <c r="N70" s="70"/>
      <c r="O70" s="70"/>
      <c r="P70" s="70"/>
      <c r="Q70" s="70"/>
      <c r="R70" s="70"/>
      <c r="S70" s="70"/>
      <c r="T70" s="70"/>
      <c r="U70" s="70"/>
      <c r="V70" s="70"/>
      <c r="W70" s="70"/>
      <c r="X70" s="70"/>
      <c r="Y70" s="70"/>
      <c r="Z70" s="70"/>
      <c r="AA70" s="70"/>
      <c r="AB70" s="70"/>
      <c r="AC70" s="70"/>
      <c r="AD70" s="70"/>
      <c r="AE70" s="70"/>
      <c r="AF70" s="70"/>
      <c r="AG70" s="70"/>
      <c r="AH70" s="70"/>
      <c r="AI70" s="70"/>
      <c r="AJ70" s="70"/>
      <c r="AK70" s="70"/>
      <c r="AL70" s="70"/>
      <c r="AM70" s="70"/>
      <c r="AN70" s="70"/>
      <c r="AO70" s="70"/>
      <c r="AP70" s="70"/>
      <c r="AQ70" s="70"/>
    </row>
    <row r="71" spans="1:43" ht="15.75" thickBot="1" x14ac:dyDescent="0.3">
      <c r="A71" t="s">
        <v>52</v>
      </c>
      <c r="B71" t="s">
        <v>113</v>
      </c>
      <c r="C71" t="s">
        <v>1062</v>
      </c>
      <c r="D71" t="s">
        <v>1082</v>
      </c>
      <c r="E71" s="30" t="s">
        <v>19</v>
      </c>
      <c r="F71" s="30" t="s">
        <v>28</v>
      </c>
      <c r="G71" s="30"/>
      <c r="H71" s="30" t="s">
        <v>1149</v>
      </c>
      <c r="I71" s="31">
        <f t="shared" si="4"/>
        <v>28</v>
      </c>
      <c r="J71" s="147" t="s">
        <v>1715</v>
      </c>
      <c r="K71" s="31">
        <f t="shared" si="5"/>
        <v>0</v>
      </c>
      <c r="L71" s="32">
        <f t="shared" si="6"/>
        <v>1</v>
      </c>
      <c r="M71" s="70"/>
      <c r="N71" s="70"/>
      <c r="O71" s="70"/>
      <c r="P71" s="70"/>
      <c r="Q71" s="70"/>
      <c r="R71" s="70"/>
      <c r="S71" s="70"/>
      <c r="T71" s="70"/>
      <c r="U71" s="70"/>
      <c r="V71" s="70"/>
      <c r="W71" s="70"/>
      <c r="X71" s="70"/>
      <c r="Y71" s="70"/>
      <c r="Z71" s="70"/>
      <c r="AA71" s="70"/>
      <c r="AB71" s="70"/>
      <c r="AC71" s="70"/>
      <c r="AD71" s="70"/>
      <c r="AE71" s="70"/>
      <c r="AF71" s="70"/>
      <c r="AG71" s="70"/>
      <c r="AH71" s="70"/>
      <c r="AI71" s="70"/>
      <c r="AJ71" s="70"/>
      <c r="AK71" s="70"/>
      <c r="AL71" s="70"/>
      <c r="AM71" s="70"/>
      <c r="AN71" s="70"/>
      <c r="AO71" s="70"/>
      <c r="AP71" s="70"/>
      <c r="AQ71" s="70"/>
    </row>
    <row r="72" spans="1:43" ht="15.75" thickBot="1" x14ac:dyDescent="0.3">
      <c r="A72" t="s">
        <v>52</v>
      </c>
      <c r="B72" t="s">
        <v>114</v>
      </c>
      <c r="C72" t="s">
        <v>1062</v>
      </c>
      <c r="D72" t="s">
        <v>1083</v>
      </c>
      <c r="E72" s="30" t="s">
        <v>19</v>
      </c>
      <c r="F72" s="30" t="s">
        <v>28</v>
      </c>
      <c r="G72" s="30"/>
      <c r="H72" s="30" t="s">
        <v>1480</v>
      </c>
      <c r="I72" s="31">
        <f t="shared" si="4"/>
        <v>28</v>
      </c>
      <c r="J72" s="147" t="s">
        <v>1716</v>
      </c>
      <c r="K72" s="31">
        <f t="shared" si="5"/>
        <v>0</v>
      </c>
      <c r="L72" s="32">
        <f t="shared" si="6"/>
        <v>1</v>
      </c>
      <c r="M72" s="70"/>
      <c r="N72" s="70"/>
      <c r="O72" s="70"/>
      <c r="P72" s="70"/>
      <c r="Q72" s="70"/>
      <c r="R72" s="70"/>
      <c r="S72" s="70"/>
      <c r="T72" s="70"/>
      <c r="U72" s="70"/>
      <c r="V72" s="70"/>
      <c r="W72" s="70"/>
      <c r="X72" s="70"/>
      <c r="Y72" s="70"/>
      <c r="Z72" s="70"/>
      <c r="AA72" s="70"/>
      <c r="AB72" s="70"/>
      <c r="AC72" s="70"/>
      <c r="AD72" s="70"/>
      <c r="AE72" s="70"/>
      <c r="AF72" s="70"/>
      <c r="AG72" s="70"/>
      <c r="AH72" s="70"/>
      <c r="AI72" s="70"/>
      <c r="AJ72" s="70"/>
      <c r="AK72" s="70"/>
      <c r="AL72" s="70"/>
      <c r="AM72" s="70"/>
      <c r="AN72" s="70"/>
      <c r="AO72" s="70"/>
      <c r="AP72" s="70"/>
      <c r="AQ72" s="70"/>
    </row>
    <row r="73" spans="1:43" ht="15.75" thickBot="1" x14ac:dyDescent="0.3">
      <c r="A73" t="s">
        <v>52</v>
      </c>
      <c r="B73" t="s">
        <v>115</v>
      </c>
      <c r="C73" t="s">
        <v>1062</v>
      </c>
      <c r="D73" t="s">
        <v>116</v>
      </c>
      <c r="E73" s="30" t="s">
        <v>19</v>
      </c>
      <c r="F73" s="30" t="s">
        <v>28</v>
      </c>
      <c r="G73" s="30"/>
      <c r="H73" s="30" t="s">
        <v>644</v>
      </c>
      <c r="I73" s="31">
        <f t="shared" si="4"/>
        <v>28</v>
      </c>
      <c r="J73" s="147" t="s">
        <v>1717</v>
      </c>
      <c r="K73" s="31">
        <f t="shared" si="5"/>
        <v>0</v>
      </c>
      <c r="L73" s="32">
        <f t="shared" si="6"/>
        <v>1</v>
      </c>
      <c r="M73" s="70"/>
      <c r="N73" s="70"/>
      <c r="O73" s="70"/>
      <c r="P73" s="70"/>
      <c r="Q73" s="70"/>
      <c r="R73" s="70"/>
      <c r="S73" s="70"/>
      <c r="T73" s="70"/>
      <c r="U73" s="70"/>
      <c r="V73" s="70"/>
      <c r="W73" s="70"/>
      <c r="X73" s="70"/>
      <c r="Y73" s="70"/>
      <c r="Z73" s="70"/>
      <c r="AA73" s="70"/>
      <c r="AB73" s="70"/>
      <c r="AC73" s="70"/>
      <c r="AD73" s="70"/>
      <c r="AE73" s="70"/>
      <c r="AF73" s="70"/>
      <c r="AG73" s="70"/>
      <c r="AH73" s="70"/>
      <c r="AI73" s="70"/>
      <c r="AJ73" s="70"/>
      <c r="AK73" s="70"/>
      <c r="AL73" s="70"/>
      <c r="AM73" s="70"/>
      <c r="AN73" s="70"/>
      <c r="AO73" s="70"/>
      <c r="AP73" s="70"/>
      <c r="AQ73" s="70"/>
    </row>
    <row r="74" spans="1:43" ht="15.75" thickBot="1" x14ac:dyDescent="0.3">
      <c r="A74" t="s">
        <v>52</v>
      </c>
      <c r="B74" t="s">
        <v>117</v>
      </c>
      <c r="C74" t="s">
        <v>1062</v>
      </c>
      <c r="D74" t="s">
        <v>118</v>
      </c>
      <c r="E74" s="30" t="s">
        <v>19</v>
      </c>
      <c r="F74" s="30" t="s">
        <v>28</v>
      </c>
      <c r="G74" s="30"/>
      <c r="H74" s="30" t="s">
        <v>645</v>
      </c>
      <c r="I74" s="31">
        <f t="shared" si="4"/>
        <v>28</v>
      </c>
      <c r="J74" s="147" t="s">
        <v>1718</v>
      </c>
      <c r="K74" s="31">
        <f t="shared" si="5"/>
        <v>0</v>
      </c>
      <c r="L74" s="32">
        <f t="shared" si="6"/>
        <v>1</v>
      </c>
      <c r="M74" s="70"/>
      <c r="N74" s="70"/>
      <c r="O74" s="70"/>
      <c r="P74" s="70"/>
      <c r="Q74" s="70"/>
      <c r="R74" s="70"/>
      <c r="S74" s="70"/>
      <c r="T74" s="70"/>
      <c r="U74" s="70"/>
      <c r="V74" s="70"/>
      <c r="W74" s="70"/>
      <c r="X74" s="70"/>
      <c r="Y74" s="70"/>
      <c r="Z74" s="70"/>
      <c r="AA74" s="70"/>
      <c r="AB74" s="70"/>
      <c r="AC74" s="70"/>
      <c r="AD74" s="70"/>
      <c r="AE74" s="70"/>
      <c r="AF74" s="70"/>
      <c r="AG74" s="70"/>
      <c r="AH74" s="70"/>
      <c r="AI74" s="70"/>
      <c r="AJ74" s="70"/>
      <c r="AK74" s="70"/>
      <c r="AL74" s="70"/>
      <c r="AM74" s="70"/>
      <c r="AN74" s="70"/>
      <c r="AO74" s="70"/>
      <c r="AP74" s="70"/>
      <c r="AQ74" s="70"/>
    </row>
    <row r="75" spans="1:43" ht="15.75" thickBot="1" x14ac:dyDescent="0.3">
      <c r="A75" t="s">
        <v>52</v>
      </c>
      <c r="B75" t="s">
        <v>119</v>
      </c>
      <c r="C75" t="s">
        <v>1062</v>
      </c>
      <c r="D75" t="s">
        <v>120</v>
      </c>
      <c r="E75" s="30" t="s">
        <v>19</v>
      </c>
      <c r="F75" s="30" t="s">
        <v>28</v>
      </c>
      <c r="G75" s="30"/>
      <c r="H75" s="30" t="s">
        <v>646</v>
      </c>
      <c r="I75" s="31">
        <f t="shared" si="4"/>
        <v>28</v>
      </c>
      <c r="J75" s="147" t="s">
        <v>1719</v>
      </c>
      <c r="K75" s="31">
        <f t="shared" si="5"/>
        <v>0</v>
      </c>
      <c r="L75" s="32">
        <f t="shared" si="6"/>
        <v>1</v>
      </c>
      <c r="M75" s="70"/>
      <c r="N75" s="70"/>
      <c r="O75" s="70"/>
      <c r="P75" s="70"/>
      <c r="Q75" s="70"/>
      <c r="R75" s="70"/>
      <c r="S75" s="70"/>
      <c r="T75" s="70"/>
      <c r="U75" s="70"/>
      <c r="V75" s="70"/>
      <c r="W75" s="70"/>
      <c r="X75" s="70"/>
      <c r="Y75" s="70"/>
      <c r="Z75" s="70"/>
      <c r="AA75" s="70"/>
      <c r="AB75" s="70"/>
      <c r="AC75" s="70"/>
      <c r="AD75" s="70"/>
      <c r="AE75" s="70"/>
      <c r="AF75" s="70"/>
      <c r="AG75" s="70"/>
      <c r="AH75" s="70"/>
      <c r="AI75" s="70"/>
      <c r="AJ75" s="70"/>
      <c r="AK75" s="70"/>
      <c r="AL75" s="70"/>
      <c r="AM75" s="70"/>
      <c r="AN75" s="70"/>
      <c r="AO75" s="70"/>
      <c r="AP75" s="70"/>
      <c r="AQ75" s="70"/>
    </row>
    <row r="76" spans="1:43" ht="15.75" thickBot="1" x14ac:dyDescent="0.3">
      <c r="A76" t="s">
        <v>52</v>
      </c>
      <c r="B76" t="s">
        <v>121</v>
      </c>
      <c r="C76" t="s">
        <v>1062</v>
      </c>
      <c r="D76" t="s">
        <v>122</v>
      </c>
      <c r="E76" s="30" t="s">
        <v>19</v>
      </c>
      <c r="F76" s="30" t="s">
        <v>28</v>
      </c>
      <c r="G76" s="30"/>
      <c r="H76" s="30" t="s">
        <v>647</v>
      </c>
      <c r="I76" s="31">
        <f t="shared" si="4"/>
        <v>28</v>
      </c>
      <c r="J76" s="147" t="s">
        <v>1720</v>
      </c>
      <c r="K76" s="31">
        <f t="shared" si="5"/>
        <v>0</v>
      </c>
      <c r="L76" s="32">
        <f t="shared" si="6"/>
        <v>1</v>
      </c>
      <c r="M76" s="70"/>
      <c r="N76" s="70"/>
      <c r="O76" s="70"/>
      <c r="P76" s="70"/>
      <c r="Q76" s="70"/>
      <c r="R76" s="70"/>
      <c r="S76" s="70"/>
      <c r="T76" s="70"/>
      <c r="U76" s="70"/>
      <c r="V76" s="70"/>
      <c r="W76" s="70"/>
      <c r="X76" s="70"/>
      <c r="Y76" s="70"/>
      <c r="Z76" s="70"/>
      <c r="AA76" s="70"/>
      <c r="AB76" s="70"/>
      <c r="AC76" s="70"/>
      <c r="AD76" s="70"/>
      <c r="AE76" s="70"/>
      <c r="AF76" s="70"/>
      <c r="AG76" s="70"/>
      <c r="AH76" s="70"/>
      <c r="AI76" s="70"/>
      <c r="AJ76" s="70"/>
      <c r="AK76" s="70"/>
      <c r="AL76" s="70"/>
      <c r="AM76" s="70"/>
      <c r="AN76" s="70"/>
      <c r="AO76" s="70"/>
      <c r="AP76" s="70"/>
      <c r="AQ76" s="70"/>
    </row>
    <row r="77" spans="1:43" ht="15.75" thickBot="1" x14ac:dyDescent="0.3">
      <c r="A77" t="s">
        <v>52</v>
      </c>
      <c r="B77" t="s">
        <v>123</v>
      </c>
      <c r="C77" t="s">
        <v>1062</v>
      </c>
      <c r="D77" t="s">
        <v>1084</v>
      </c>
      <c r="E77" s="30" t="s">
        <v>19</v>
      </c>
      <c r="F77" s="30" t="s">
        <v>28</v>
      </c>
      <c r="G77" s="30"/>
      <c r="H77" s="30" t="s">
        <v>648</v>
      </c>
      <c r="I77" s="31">
        <f t="shared" si="4"/>
        <v>28</v>
      </c>
      <c r="J77" s="147" t="s">
        <v>1721</v>
      </c>
      <c r="K77" s="31">
        <f t="shared" si="5"/>
        <v>0</v>
      </c>
      <c r="L77" s="32">
        <f t="shared" si="6"/>
        <v>1</v>
      </c>
      <c r="M77" s="70"/>
      <c r="N77" s="70"/>
      <c r="O77" s="70"/>
      <c r="P77" s="70"/>
      <c r="Q77" s="70"/>
      <c r="R77" s="70"/>
      <c r="S77" s="70"/>
      <c r="T77" s="70"/>
      <c r="U77" s="70"/>
      <c r="V77" s="70"/>
      <c r="W77" s="70"/>
      <c r="X77" s="70"/>
      <c r="Y77" s="70"/>
      <c r="Z77" s="70"/>
      <c r="AA77" s="70"/>
      <c r="AB77" s="70"/>
      <c r="AC77" s="70"/>
      <c r="AD77" s="70"/>
      <c r="AE77" s="70"/>
      <c r="AF77" s="70"/>
      <c r="AG77" s="70"/>
      <c r="AH77" s="70"/>
      <c r="AI77" s="70"/>
      <c r="AJ77" s="70"/>
      <c r="AK77" s="70"/>
      <c r="AL77" s="70"/>
      <c r="AM77" s="70"/>
      <c r="AN77" s="70"/>
      <c r="AO77" s="70"/>
      <c r="AP77" s="70"/>
      <c r="AQ77" s="70"/>
    </row>
    <row r="78" spans="1:43" ht="15.75" thickBot="1" x14ac:dyDescent="0.3">
      <c r="A78" t="s">
        <v>52</v>
      </c>
      <c r="B78" t="s">
        <v>124</v>
      </c>
      <c r="C78" t="s">
        <v>1062</v>
      </c>
      <c r="D78" t="s">
        <v>125</v>
      </c>
      <c r="E78" s="30" t="s">
        <v>19</v>
      </c>
      <c r="F78" s="30" t="s">
        <v>28</v>
      </c>
      <c r="G78" s="30"/>
      <c r="H78" s="30" t="s">
        <v>649</v>
      </c>
      <c r="I78" s="31">
        <f t="shared" si="4"/>
        <v>28</v>
      </c>
      <c r="J78" s="147" t="s">
        <v>1722</v>
      </c>
      <c r="K78" s="31">
        <f t="shared" si="5"/>
        <v>0</v>
      </c>
      <c r="L78" s="32">
        <f t="shared" si="6"/>
        <v>1</v>
      </c>
      <c r="M78" s="70"/>
      <c r="N78" s="70"/>
      <c r="O78" s="70"/>
      <c r="P78" s="70"/>
      <c r="Q78" s="70"/>
      <c r="R78" s="70"/>
      <c r="S78" s="70"/>
      <c r="T78" s="70"/>
      <c r="U78" s="70"/>
      <c r="V78" s="70"/>
      <c r="W78" s="70"/>
      <c r="X78" s="70"/>
      <c r="Y78" s="70"/>
      <c r="Z78" s="70"/>
      <c r="AA78" s="70"/>
      <c r="AB78" s="70"/>
      <c r="AC78" s="70"/>
      <c r="AD78" s="70"/>
      <c r="AE78" s="70"/>
      <c r="AF78" s="70"/>
      <c r="AG78" s="70"/>
      <c r="AH78" s="70"/>
      <c r="AI78" s="70"/>
      <c r="AJ78" s="70"/>
      <c r="AK78" s="70"/>
      <c r="AL78" s="70"/>
      <c r="AM78" s="70"/>
      <c r="AN78" s="70"/>
      <c r="AO78" s="70"/>
      <c r="AP78" s="70"/>
      <c r="AQ78" s="70"/>
    </row>
    <row r="79" spans="1:43" ht="15.75" thickBot="1" x14ac:dyDescent="0.3">
      <c r="A79" t="s">
        <v>52</v>
      </c>
      <c r="B79" t="s">
        <v>126</v>
      </c>
      <c r="C79" t="s">
        <v>1062</v>
      </c>
      <c r="D79" t="s">
        <v>1065</v>
      </c>
      <c r="E79" s="30" t="s">
        <v>19</v>
      </c>
      <c r="F79" s="30" t="s">
        <v>28</v>
      </c>
      <c r="G79" s="30"/>
      <c r="H79" s="30" t="s">
        <v>650</v>
      </c>
      <c r="I79" s="31">
        <f t="shared" si="4"/>
        <v>28</v>
      </c>
      <c r="J79" s="147" t="s">
        <v>1723</v>
      </c>
      <c r="K79" s="31">
        <f t="shared" si="5"/>
        <v>0</v>
      </c>
      <c r="L79" s="32">
        <f t="shared" si="6"/>
        <v>1</v>
      </c>
      <c r="M79" s="70"/>
      <c r="N79" s="70"/>
      <c r="O79" s="70"/>
      <c r="P79" s="70"/>
      <c r="Q79" s="70"/>
      <c r="R79" s="70"/>
      <c r="S79" s="70"/>
      <c r="T79" s="70"/>
      <c r="U79" s="70"/>
      <c r="V79" s="70"/>
      <c r="W79" s="70"/>
      <c r="X79" s="70"/>
      <c r="Y79" s="70"/>
      <c r="Z79" s="70"/>
      <c r="AA79" s="70"/>
      <c r="AB79" s="70"/>
      <c r="AC79" s="70"/>
      <c r="AD79" s="70"/>
      <c r="AE79" s="70"/>
      <c r="AF79" s="70"/>
      <c r="AG79" s="70"/>
      <c r="AH79" s="70"/>
      <c r="AI79" s="70"/>
      <c r="AJ79" s="70"/>
      <c r="AK79" s="70"/>
      <c r="AL79" s="70"/>
      <c r="AM79" s="70"/>
      <c r="AN79" s="70"/>
      <c r="AO79" s="70"/>
      <c r="AP79" s="70"/>
      <c r="AQ79" s="70"/>
    </row>
    <row r="80" spans="1:43" ht="15.75" thickBot="1" x14ac:dyDescent="0.3">
      <c r="A80" t="s">
        <v>52</v>
      </c>
      <c r="B80" t="s">
        <v>127</v>
      </c>
      <c r="C80" t="s">
        <v>1062</v>
      </c>
      <c r="D80" t="s">
        <v>1066</v>
      </c>
      <c r="E80" s="30" t="s">
        <v>19</v>
      </c>
      <c r="F80" s="30" t="s">
        <v>28</v>
      </c>
      <c r="G80" s="30"/>
      <c r="H80" s="30" t="s">
        <v>651</v>
      </c>
      <c r="I80" s="31">
        <f t="shared" si="4"/>
        <v>28</v>
      </c>
      <c r="J80" s="147" t="s">
        <v>1724</v>
      </c>
      <c r="K80" s="31">
        <f t="shared" si="5"/>
        <v>0</v>
      </c>
      <c r="L80" s="32">
        <f t="shared" si="6"/>
        <v>1</v>
      </c>
      <c r="M80" s="70"/>
      <c r="N80" s="70"/>
      <c r="O80" s="70"/>
      <c r="P80" s="70"/>
      <c r="Q80" s="70"/>
      <c r="R80" s="70"/>
      <c r="S80" s="70"/>
      <c r="T80" s="70"/>
      <c r="U80" s="70"/>
      <c r="V80" s="70"/>
      <c r="W80" s="70"/>
      <c r="X80" s="70"/>
      <c r="Y80" s="70"/>
      <c r="Z80" s="70"/>
      <c r="AA80" s="70"/>
      <c r="AB80" s="70"/>
      <c r="AC80" s="70"/>
      <c r="AD80" s="70"/>
      <c r="AE80" s="70"/>
      <c r="AF80" s="70"/>
      <c r="AG80" s="70"/>
      <c r="AH80" s="70"/>
      <c r="AI80" s="70"/>
      <c r="AJ80" s="70"/>
      <c r="AK80" s="70"/>
      <c r="AL80" s="70"/>
      <c r="AM80" s="70"/>
      <c r="AN80" s="70"/>
      <c r="AO80" s="70"/>
      <c r="AP80" s="70"/>
      <c r="AQ80" s="70"/>
    </row>
    <row r="81" spans="1:43" ht="15.75" thickBot="1" x14ac:dyDescent="0.3">
      <c r="A81" t="s">
        <v>52</v>
      </c>
      <c r="B81" t="s">
        <v>128</v>
      </c>
      <c r="C81" t="s">
        <v>1062</v>
      </c>
      <c r="D81" t="s">
        <v>1067</v>
      </c>
      <c r="E81" s="30" t="s">
        <v>19</v>
      </c>
      <c r="F81" s="30" t="s">
        <v>28</v>
      </c>
      <c r="G81" s="30"/>
      <c r="H81" s="30" t="s">
        <v>652</v>
      </c>
      <c r="I81" s="31">
        <f t="shared" si="4"/>
        <v>28</v>
      </c>
      <c r="J81" s="147" t="s">
        <v>1725</v>
      </c>
      <c r="K81" s="31">
        <f t="shared" si="5"/>
        <v>0</v>
      </c>
      <c r="L81" s="32">
        <f t="shared" si="6"/>
        <v>1</v>
      </c>
      <c r="M81" s="70"/>
      <c r="N81" s="70"/>
      <c r="O81" s="70"/>
      <c r="P81" s="70"/>
      <c r="Q81" s="70"/>
      <c r="R81" s="70"/>
      <c r="S81" s="70"/>
      <c r="T81" s="70"/>
      <c r="U81" s="70"/>
      <c r="V81" s="70"/>
      <c r="W81" s="70"/>
      <c r="X81" s="70"/>
      <c r="Y81" s="70"/>
      <c r="Z81" s="70"/>
      <c r="AA81" s="70"/>
      <c r="AB81" s="70"/>
      <c r="AC81" s="70"/>
      <c r="AD81" s="70"/>
      <c r="AE81" s="70"/>
      <c r="AF81" s="70"/>
      <c r="AG81" s="70"/>
      <c r="AH81" s="70"/>
      <c r="AI81" s="70"/>
      <c r="AJ81" s="70"/>
      <c r="AK81" s="70"/>
      <c r="AL81" s="70"/>
      <c r="AM81" s="70"/>
      <c r="AN81" s="70"/>
      <c r="AO81" s="70"/>
      <c r="AP81" s="70"/>
      <c r="AQ81" s="70"/>
    </row>
    <row r="82" spans="1:43" ht="15.75" thickBot="1" x14ac:dyDescent="0.3">
      <c r="A82" t="s">
        <v>52</v>
      </c>
      <c r="B82" t="s">
        <v>926</v>
      </c>
      <c r="C82" t="s">
        <v>1062</v>
      </c>
      <c r="D82" t="s">
        <v>129</v>
      </c>
      <c r="E82" s="30" t="s">
        <v>19</v>
      </c>
      <c r="F82" s="30" t="s">
        <v>28</v>
      </c>
      <c r="G82" s="30"/>
      <c r="H82" s="30" t="s">
        <v>653</v>
      </c>
      <c r="I82" s="31">
        <f t="shared" si="4"/>
        <v>28</v>
      </c>
      <c r="J82" s="147" t="s">
        <v>1726</v>
      </c>
      <c r="K82" s="31">
        <f t="shared" si="5"/>
        <v>0</v>
      </c>
      <c r="L82" s="32">
        <f t="shared" si="6"/>
        <v>1</v>
      </c>
      <c r="M82" s="70"/>
      <c r="N82" s="70"/>
      <c r="O82" s="70"/>
      <c r="P82" s="70"/>
      <c r="Q82" s="70"/>
      <c r="R82" s="70"/>
      <c r="S82" s="70"/>
      <c r="T82" s="70"/>
      <c r="U82" s="70"/>
      <c r="V82" s="70"/>
      <c r="W82" s="70"/>
      <c r="X82" s="70"/>
      <c r="Y82" s="70"/>
      <c r="Z82" s="70"/>
      <c r="AA82" s="70"/>
      <c r="AB82" s="70"/>
      <c r="AC82" s="70"/>
      <c r="AD82" s="70"/>
      <c r="AE82" s="70"/>
      <c r="AF82" s="70"/>
      <c r="AG82" s="70"/>
      <c r="AH82" s="70"/>
      <c r="AI82" s="70"/>
      <c r="AJ82" s="70"/>
      <c r="AK82" s="70"/>
      <c r="AL82" s="70"/>
      <c r="AM82" s="70"/>
      <c r="AN82" s="70"/>
      <c r="AO82" s="70"/>
      <c r="AP82" s="70"/>
      <c r="AQ82" s="70"/>
    </row>
    <row r="83" spans="1:43" ht="15.75" thickBot="1" x14ac:dyDescent="0.3">
      <c r="A83" t="s">
        <v>52</v>
      </c>
      <c r="B83" t="s">
        <v>130</v>
      </c>
      <c r="C83" t="s">
        <v>1062</v>
      </c>
      <c r="D83" t="s">
        <v>131</v>
      </c>
      <c r="E83" s="30" t="s">
        <v>19</v>
      </c>
      <c r="F83" s="30" t="s">
        <v>28</v>
      </c>
      <c r="G83" s="30"/>
      <c r="H83" s="30" t="s">
        <v>654</v>
      </c>
      <c r="I83" s="31">
        <f t="shared" si="4"/>
        <v>28</v>
      </c>
      <c r="J83" s="147" t="s">
        <v>1727</v>
      </c>
      <c r="K83" s="31">
        <f t="shared" si="5"/>
        <v>0</v>
      </c>
      <c r="L83" s="32">
        <f t="shared" si="6"/>
        <v>1</v>
      </c>
      <c r="M83" s="70"/>
      <c r="N83" s="70"/>
      <c r="O83" s="70"/>
      <c r="P83" s="70"/>
      <c r="Q83" s="70"/>
      <c r="R83" s="70"/>
      <c r="S83" s="70"/>
      <c r="T83" s="70"/>
      <c r="U83" s="70"/>
      <c r="V83" s="70"/>
      <c r="W83" s="70"/>
      <c r="X83" s="70"/>
      <c r="Y83" s="70"/>
      <c r="Z83" s="70"/>
      <c r="AA83" s="70"/>
      <c r="AB83" s="70"/>
      <c r="AC83" s="70"/>
      <c r="AD83" s="70"/>
      <c r="AE83" s="70"/>
      <c r="AF83" s="70"/>
      <c r="AG83" s="70"/>
      <c r="AH83" s="70"/>
      <c r="AI83" s="70"/>
      <c r="AJ83" s="70"/>
      <c r="AK83" s="70"/>
      <c r="AL83" s="70"/>
      <c r="AM83" s="70"/>
      <c r="AN83" s="70"/>
      <c r="AO83" s="70"/>
      <c r="AP83" s="70"/>
      <c r="AQ83" s="70"/>
    </row>
    <row r="84" spans="1:43" ht="15.75" thickBot="1" x14ac:dyDescent="0.3">
      <c r="A84" t="s">
        <v>52</v>
      </c>
      <c r="B84" t="s">
        <v>132</v>
      </c>
      <c r="C84" t="s">
        <v>1062</v>
      </c>
      <c r="D84" t="s">
        <v>133</v>
      </c>
      <c r="E84" s="30" t="s">
        <v>19</v>
      </c>
      <c r="F84" s="30" t="s">
        <v>28</v>
      </c>
      <c r="G84" s="30"/>
      <c r="H84" s="30" t="s">
        <v>655</v>
      </c>
      <c r="I84" s="31">
        <f t="shared" si="4"/>
        <v>28</v>
      </c>
      <c r="J84" s="147" t="s">
        <v>1728</v>
      </c>
      <c r="K84" s="31">
        <f t="shared" si="5"/>
        <v>0</v>
      </c>
      <c r="L84" s="32">
        <f t="shared" si="6"/>
        <v>1</v>
      </c>
      <c r="M84" s="70"/>
      <c r="N84" s="70"/>
      <c r="O84" s="70"/>
      <c r="P84" s="70"/>
      <c r="Q84" s="70"/>
      <c r="R84" s="70"/>
      <c r="S84" s="70"/>
      <c r="T84" s="70"/>
      <c r="U84" s="70"/>
      <c r="V84" s="70"/>
      <c r="W84" s="70"/>
      <c r="X84" s="70"/>
      <c r="Y84" s="70"/>
      <c r="Z84" s="70"/>
      <c r="AA84" s="70"/>
      <c r="AB84" s="70"/>
      <c r="AC84" s="70"/>
      <c r="AD84" s="70"/>
      <c r="AE84" s="70"/>
      <c r="AF84" s="70"/>
      <c r="AG84" s="70"/>
      <c r="AH84" s="70"/>
      <c r="AI84" s="70"/>
      <c r="AJ84" s="70"/>
      <c r="AK84" s="70"/>
      <c r="AL84" s="70"/>
      <c r="AM84" s="70"/>
      <c r="AN84" s="70"/>
      <c r="AO84" s="70"/>
      <c r="AP84" s="70"/>
      <c r="AQ84" s="70"/>
    </row>
    <row r="85" spans="1:43" ht="15.75" thickBot="1" x14ac:dyDescent="0.3">
      <c r="A85" t="s">
        <v>52</v>
      </c>
      <c r="B85" t="s">
        <v>134</v>
      </c>
      <c r="C85" t="s">
        <v>1062</v>
      </c>
      <c r="D85" t="s">
        <v>135</v>
      </c>
      <c r="E85" s="30" t="s">
        <v>19</v>
      </c>
      <c r="F85" s="30" t="s">
        <v>28</v>
      </c>
      <c r="G85" s="30"/>
      <c r="H85" s="30" t="s">
        <v>656</v>
      </c>
      <c r="I85" s="31">
        <f t="shared" si="4"/>
        <v>28</v>
      </c>
      <c r="J85" s="147" t="s">
        <v>1729</v>
      </c>
      <c r="K85" s="31">
        <f t="shared" si="5"/>
        <v>0</v>
      </c>
      <c r="L85" s="32">
        <f t="shared" si="6"/>
        <v>1</v>
      </c>
      <c r="M85" s="70"/>
      <c r="N85" s="70"/>
      <c r="O85" s="70"/>
      <c r="P85" s="70"/>
      <c r="Q85" s="70"/>
      <c r="R85" s="70"/>
      <c r="S85" s="70"/>
      <c r="T85" s="70"/>
      <c r="U85" s="70"/>
      <c r="V85" s="70"/>
      <c r="W85" s="70"/>
      <c r="X85" s="70"/>
      <c r="Y85" s="70"/>
      <c r="Z85" s="70"/>
      <c r="AA85" s="70"/>
      <c r="AB85" s="70"/>
      <c r="AC85" s="70"/>
      <c r="AD85" s="70"/>
      <c r="AE85" s="70"/>
      <c r="AF85" s="70"/>
      <c r="AG85" s="70"/>
      <c r="AH85" s="70"/>
      <c r="AI85" s="70"/>
      <c r="AJ85" s="70"/>
      <c r="AK85" s="70"/>
      <c r="AL85" s="70"/>
      <c r="AM85" s="70"/>
      <c r="AN85" s="70"/>
      <c r="AO85" s="70"/>
      <c r="AP85" s="70"/>
      <c r="AQ85" s="70"/>
    </row>
    <row r="86" spans="1:43" ht="15.75" thickBot="1" x14ac:dyDescent="0.3">
      <c r="A86" t="s">
        <v>52</v>
      </c>
      <c r="B86" t="s">
        <v>136</v>
      </c>
      <c r="C86" t="s">
        <v>1062</v>
      </c>
      <c r="D86" t="s">
        <v>137</v>
      </c>
      <c r="E86" s="30" t="s">
        <v>19</v>
      </c>
      <c r="F86" s="30" t="s">
        <v>28</v>
      </c>
      <c r="G86" s="30"/>
      <c r="H86" s="30" t="s">
        <v>657</v>
      </c>
      <c r="I86" s="31">
        <f t="shared" ref="I86:I162" si="7">COUNTIF(M86:AN86,"")</f>
        <v>28</v>
      </c>
      <c r="J86" s="147" t="s">
        <v>1730</v>
      </c>
      <c r="K86" s="31">
        <f t="shared" ref="K86:K162" si="8">COUNTIF(M86:AN86,"APAGADO")</f>
        <v>0</v>
      </c>
      <c r="L86" s="32">
        <f t="shared" ref="L86:L162" si="9">(I86)/(K86+I86)</f>
        <v>1</v>
      </c>
      <c r="M86" s="70"/>
      <c r="N86" s="70"/>
      <c r="O86" s="70"/>
      <c r="P86" s="70"/>
      <c r="Q86" s="70"/>
      <c r="R86" s="70"/>
      <c r="S86" s="70"/>
      <c r="T86" s="70"/>
      <c r="U86" s="70"/>
      <c r="V86" s="70"/>
      <c r="W86" s="70"/>
      <c r="X86" s="70"/>
      <c r="Y86" s="70"/>
      <c r="Z86" s="70"/>
      <c r="AA86" s="70"/>
      <c r="AB86" s="70"/>
      <c r="AC86" s="70"/>
      <c r="AD86" s="70"/>
      <c r="AE86" s="70"/>
      <c r="AF86" s="70"/>
      <c r="AG86" s="70"/>
      <c r="AH86" s="70"/>
      <c r="AI86" s="70"/>
      <c r="AJ86" s="70"/>
      <c r="AK86" s="70"/>
      <c r="AL86" s="70"/>
      <c r="AM86" s="70"/>
      <c r="AN86" s="70"/>
      <c r="AO86" s="70"/>
      <c r="AP86" s="70"/>
      <c r="AQ86" s="70"/>
    </row>
    <row r="87" spans="1:43" s="73" customFormat="1" ht="15.75" thickBot="1" x14ac:dyDescent="0.3">
      <c r="A87" s="73" t="s">
        <v>52</v>
      </c>
      <c r="B87" s="73" t="s">
        <v>138</v>
      </c>
      <c r="C87" s="73" t="s">
        <v>1062</v>
      </c>
      <c r="D87" s="73" t="s">
        <v>1521</v>
      </c>
      <c r="E87" s="85" t="s">
        <v>19</v>
      </c>
      <c r="F87" s="85" t="s">
        <v>1301</v>
      </c>
      <c r="G87" s="85"/>
      <c r="H87" s="85" t="s">
        <v>658</v>
      </c>
      <c r="I87" s="142">
        <f t="shared" si="7"/>
        <v>28</v>
      </c>
      <c r="J87" s="147" t="s">
        <v>1731</v>
      </c>
      <c r="K87" s="142">
        <f t="shared" si="8"/>
        <v>0</v>
      </c>
      <c r="L87" s="143">
        <f t="shared" si="9"/>
        <v>1</v>
      </c>
      <c r="M87" s="70"/>
      <c r="N87" s="70"/>
      <c r="O87" s="70"/>
      <c r="P87" s="70"/>
      <c r="Q87" s="70"/>
      <c r="R87" s="70"/>
      <c r="S87" s="70"/>
      <c r="T87" s="70"/>
      <c r="U87" s="70"/>
      <c r="V87" s="70"/>
      <c r="W87" s="70"/>
      <c r="X87" s="70"/>
      <c r="Y87" s="70"/>
      <c r="Z87" s="70"/>
      <c r="AA87" s="70"/>
      <c r="AB87" s="70"/>
      <c r="AC87" s="70"/>
      <c r="AD87" s="70"/>
      <c r="AE87" s="70"/>
      <c r="AF87" s="70"/>
      <c r="AG87" s="70"/>
      <c r="AH87" s="70"/>
      <c r="AI87" s="70"/>
      <c r="AJ87" s="70"/>
      <c r="AK87" s="70"/>
      <c r="AL87" s="70"/>
      <c r="AM87" s="70"/>
      <c r="AN87" s="70"/>
      <c r="AO87" s="70"/>
      <c r="AP87" s="89"/>
      <c r="AQ87" s="89"/>
    </row>
    <row r="88" spans="1:43" ht="15.75" thickBot="1" x14ac:dyDescent="0.3">
      <c r="A88" t="s">
        <v>52</v>
      </c>
      <c r="B88" t="s">
        <v>139</v>
      </c>
      <c r="C88" t="s">
        <v>1062</v>
      </c>
      <c r="D88" t="s">
        <v>140</v>
      </c>
      <c r="E88" s="30" t="s">
        <v>19</v>
      </c>
      <c r="F88" s="30" t="s">
        <v>28</v>
      </c>
      <c r="G88" s="30"/>
      <c r="H88" s="30" t="s">
        <v>659</v>
      </c>
      <c r="I88" s="31">
        <f t="shared" si="7"/>
        <v>27</v>
      </c>
      <c r="J88" s="147" t="s">
        <v>1732</v>
      </c>
      <c r="K88" s="31">
        <f t="shared" si="8"/>
        <v>1</v>
      </c>
      <c r="L88" s="32">
        <f t="shared" si="9"/>
        <v>0.9642857142857143</v>
      </c>
      <c r="M88" s="70"/>
      <c r="N88" s="70"/>
      <c r="O88" s="70"/>
      <c r="P88" s="70" t="s">
        <v>2213</v>
      </c>
      <c r="Q88" s="70"/>
      <c r="R88" s="70"/>
      <c r="S88" s="70"/>
      <c r="T88" s="70"/>
      <c r="U88" s="70"/>
      <c r="V88" s="70"/>
      <c r="W88" s="70"/>
      <c r="X88" s="70"/>
      <c r="Y88" s="70"/>
      <c r="Z88" s="70"/>
      <c r="AA88" s="70"/>
      <c r="AB88" s="70"/>
      <c r="AC88" s="70"/>
      <c r="AD88" s="70"/>
      <c r="AE88" s="70"/>
      <c r="AF88" s="70"/>
      <c r="AG88" s="70"/>
      <c r="AH88" s="70"/>
      <c r="AI88" s="70"/>
      <c r="AJ88" s="70"/>
      <c r="AK88" s="70"/>
      <c r="AL88" s="70"/>
      <c r="AM88" s="70"/>
      <c r="AN88" s="70"/>
      <c r="AO88" s="70"/>
      <c r="AP88" s="70"/>
      <c r="AQ88" s="70"/>
    </row>
    <row r="89" spans="1:43" ht="15.75" thickBot="1" x14ac:dyDescent="0.3">
      <c r="A89" t="s">
        <v>52</v>
      </c>
      <c r="B89" t="s">
        <v>141</v>
      </c>
      <c r="C89" t="s">
        <v>1062</v>
      </c>
      <c r="D89" t="s">
        <v>142</v>
      </c>
      <c r="E89" s="30" t="s">
        <v>19</v>
      </c>
      <c r="F89" s="30" t="s">
        <v>28</v>
      </c>
      <c r="G89" s="30"/>
      <c r="H89" s="30" t="s">
        <v>660</v>
      </c>
      <c r="I89" s="31">
        <f t="shared" si="7"/>
        <v>21</v>
      </c>
      <c r="J89" s="147" t="s">
        <v>1733</v>
      </c>
      <c r="K89" s="31">
        <f t="shared" si="8"/>
        <v>7</v>
      </c>
      <c r="L89" s="32">
        <f t="shared" si="9"/>
        <v>0.75</v>
      </c>
      <c r="M89" s="70" t="s">
        <v>2213</v>
      </c>
      <c r="N89" s="70" t="s">
        <v>2213</v>
      </c>
      <c r="O89" s="70" t="s">
        <v>2213</v>
      </c>
      <c r="P89" s="70" t="s">
        <v>2213</v>
      </c>
      <c r="Q89" s="70"/>
      <c r="R89" s="70" t="s">
        <v>2213</v>
      </c>
      <c r="S89" s="70" t="s">
        <v>2213</v>
      </c>
      <c r="T89" s="70" t="s">
        <v>2213</v>
      </c>
      <c r="U89" s="70"/>
      <c r="V89" s="70"/>
      <c r="W89" s="70"/>
      <c r="X89" s="70"/>
      <c r="Y89" s="70"/>
      <c r="Z89" s="70"/>
      <c r="AA89" s="70"/>
      <c r="AB89" s="70"/>
      <c r="AC89" s="70"/>
      <c r="AD89" s="70"/>
      <c r="AE89" s="70"/>
      <c r="AF89" s="70"/>
      <c r="AG89" s="70"/>
      <c r="AH89" s="70"/>
      <c r="AI89" s="70"/>
      <c r="AJ89" s="70"/>
      <c r="AK89" s="70"/>
      <c r="AL89" s="70"/>
      <c r="AM89" s="70"/>
      <c r="AN89" s="70"/>
      <c r="AO89" s="70"/>
      <c r="AP89" s="70"/>
      <c r="AQ89" s="70"/>
    </row>
    <row r="90" spans="1:43" ht="15.75" thickBot="1" x14ac:dyDescent="0.3">
      <c r="A90" t="s">
        <v>52</v>
      </c>
      <c r="B90" t="s">
        <v>1481</v>
      </c>
      <c r="C90" t="s">
        <v>1062</v>
      </c>
      <c r="D90" t="s">
        <v>58</v>
      </c>
      <c r="E90" s="30" t="s">
        <v>73</v>
      </c>
      <c r="F90" s="30" t="s">
        <v>28</v>
      </c>
      <c r="G90" s="30"/>
      <c r="H90" s="30" t="s">
        <v>661</v>
      </c>
      <c r="I90" s="31">
        <f t="shared" si="7"/>
        <v>28</v>
      </c>
      <c r="J90" s="147" t="s">
        <v>1734</v>
      </c>
      <c r="K90" s="31">
        <f t="shared" si="8"/>
        <v>0</v>
      </c>
      <c r="L90" s="32">
        <f t="shared" si="9"/>
        <v>1</v>
      </c>
      <c r="M90" s="70"/>
      <c r="N90" s="70"/>
      <c r="O90" s="70"/>
      <c r="P90" s="70"/>
      <c r="Q90" s="70"/>
      <c r="R90" s="70"/>
      <c r="S90" s="70"/>
      <c r="T90" s="70"/>
      <c r="U90" s="70"/>
      <c r="V90" s="70"/>
      <c r="W90" s="70"/>
      <c r="X90" s="70"/>
      <c r="Y90" s="70"/>
      <c r="Z90" s="70"/>
      <c r="AA90" s="70"/>
      <c r="AB90" s="70"/>
      <c r="AC90" s="70"/>
      <c r="AD90" s="70"/>
      <c r="AE90" s="70"/>
      <c r="AF90" s="70"/>
      <c r="AG90" s="70"/>
      <c r="AH90" s="70"/>
      <c r="AI90" s="70"/>
      <c r="AJ90" s="70"/>
      <c r="AK90" s="70"/>
      <c r="AL90" s="70"/>
      <c r="AM90" s="70"/>
      <c r="AN90" s="70"/>
      <c r="AO90" s="70"/>
      <c r="AP90" s="70"/>
      <c r="AQ90" s="70"/>
    </row>
    <row r="91" spans="1:43" ht="15.75" thickBot="1" x14ac:dyDescent="0.3">
      <c r="A91" t="s">
        <v>52</v>
      </c>
      <c r="B91" t="s">
        <v>1482</v>
      </c>
      <c r="C91" t="s">
        <v>1062</v>
      </c>
      <c r="D91" t="s">
        <v>58</v>
      </c>
      <c r="E91" s="30" t="s">
        <v>73</v>
      </c>
      <c r="F91" s="30" t="s">
        <v>28</v>
      </c>
      <c r="G91" s="30"/>
      <c r="H91" s="30" t="s">
        <v>662</v>
      </c>
      <c r="I91" s="31">
        <f t="shared" si="7"/>
        <v>28</v>
      </c>
      <c r="J91" s="147" t="s">
        <v>1735</v>
      </c>
      <c r="K91" s="31">
        <f t="shared" si="8"/>
        <v>0</v>
      </c>
      <c r="L91" s="32">
        <f t="shared" si="9"/>
        <v>1</v>
      </c>
      <c r="M91" s="70"/>
      <c r="N91" s="70"/>
      <c r="O91" s="70"/>
      <c r="P91" s="70"/>
      <c r="Q91" s="70"/>
      <c r="R91" s="70"/>
      <c r="S91" s="70"/>
      <c r="T91" s="70"/>
      <c r="U91" s="70"/>
      <c r="V91" s="70"/>
      <c r="W91" s="70"/>
      <c r="X91" s="70"/>
      <c r="Y91" s="70"/>
      <c r="Z91" s="70"/>
      <c r="AA91" s="70"/>
      <c r="AB91" s="70"/>
      <c r="AC91" s="70"/>
      <c r="AD91" s="70"/>
      <c r="AE91" s="70"/>
      <c r="AF91" s="70"/>
      <c r="AG91" s="70"/>
      <c r="AH91" s="70"/>
      <c r="AI91" s="70"/>
      <c r="AJ91" s="70"/>
      <c r="AK91" s="70"/>
      <c r="AL91" s="70"/>
      <c r="AM91" s="70"/>
      <c r="AN91" s="70"/>
      <c r="AO91" s="70"/>
      <c r="AP91" s="70"/>
      <c r="AQ91" s="70"/>
    </row>
    <row r="92" spans="1:43" ht="15.75" thickBot="1" x14ac:dyDescent="0.3">
      <c r="A92" t="s">
        <v>52</v>
      </c>
      <c r="B92" t="s">
        <v>143</v>
      </c>
      <c r="C92" t="s">
        <v>1062</v>
      </c>
      <c r="D92" t="s">
        <v>144</v>
      </c>
      <c r="E92" s="30" t="s">
        <v>19</v>
      </c>
      <c r="F92" s="30" t="s">
        <v>28</v>
      </c>
      <c r="G92" s="30"/>
      <c r="H92" s="30" t="s">
        <v>663</v>
      </c>
      <c r="I92" s="31">
        <f t="shared" si="7"/>
        <v>26</v>
      </c>
      <c r="J92" s="147" t="s">
        <v>1736</v>
      </c>
      <c r="K92" s="31">
        <f t="shared" si="8"/>
        <v>2</v>
      </c>
      <c r="L92" s="32">
        <f t="shared" si="9"/>
        <v>0.9285714285714286</v>
      </c>
      <c r="M92" s="70"/>
      <c r="N92" s="70"/>
      <c r="O92" s="70"/>
      <c r="P92" s="70" t="s">
        <v>2213</v>
      </c>
      <c r="Q92" s="70" t="s">
        <v>2213</v>
      </c>
      <c r="R92" s="70"/>
      <c r="S92" s="70"/>
      <c r="T92" s="70"/>
      <c r="U92" s="70"/>
      <c r="V92" s="70"/>
      <c r="W92" s="70"/>
      <c r="X92" s="70"/>
      <c r="Y92" s="70"/>
      <c r="Z92" s="70"/>
      <c r="AA92" s="70"/>
      <c r="AB92" s="70"/>
      <c r="AC92" s="70"/>
      <c r="AD92" s="70"/>
      <c r="AE92" s="70"/>
      <c r="AF92" s="70"/>
      <c r="AG92" s="70"/>
      <c r="AH92" s="70"/>
      <c r="AI92" s="70"/>
      <c r="AJ92" s="70"/>
      <c r="AK92" s="70"/>
      <c r="AL92" s="70"/>
      <c r="AM92" s="70"/>
      <c r="AN92" s="70"/>
      <c r="AO92" s="70"/>
      <c r="AP92" s="70"/>
      <c r="AQ92" s="70"/>
    </row>
    <row r="93" spans="1:43" s="73" customFormat="1" ht="15.75" thickBot="1" x14ac:dyDescent="0.3">
      <c r="A93" s="73" t="s">
        <v>52</v>
      </c>
      <c r="B93" s="73" t="s">
        <v>145</v>
      </c>
      <c r="C93" s="73" t="s">
        <v>1062</v>
      </c>
      <c r="D93" s="73" t="s">
        <v>146</v>
      </c>
      <c r="E93" s="85" t="s">
        <v>19</v>
      </c>
      <c r="F93" s="85" t="s">
        <v>1301</v>
      </c>
      <c r="G93" s="85"/>
      <c r="H93" s="85" t="s">
        <v>1425</v>
      </c>
      <c r="I93" s="142">
        <f t="shared" si="7"/>
        <v>28</v>
      </c>
      <c r="J93" s="147" t="s">
        <v>1737</v>
      </c>
      <c r="K93" s="142">
        <f t="shared" si="8"/>
        <v>0</v>
      </c>
      <c r="L93" s="143">
        <f t="shared" si="9"/>
        <v>1</v>
      </c>
      <c r="M93" s="70"/>
      <c r="N93" s="70"/>
      <c r="O93" s="70"/>
      <c r="P93" s="70"/>
      <c r="Q93" s="70"/>
      <c r="R93" s="70"/>
      <c r="S93" s="70"/>
      <c r="T93" s="70"/>
      <c r="U93" s="70"/>
      <c r="V93" s="70"/>
      <c r="W93" s="70"/>
      <c r="X93" s="70"/>
      <c r="Y93" s="70"/>
      <c r="Z93" s="70"/>
      <c r="AA93" s="70"/>
      <c r="AB93" s="70"/>
      <c r="AC93" s="70"/>
      <c r="AD93" s="70"/>
      <c r="AE93" s="70"/>
      <c r="AF93" s="70"/>
      <c r="AG93" s="70"/>
      <c r="AH93" s="71"/>
      <c r="AI93" s="70"/>
      <c r="AJ93" s="70"/>
      <c r="AK93" s="70"/>
      <c r="AL93" s="70"/>
      <c r="AM93" s="70"/>
      <c r="AN93" s="70"/>
      <c r="AO93" s="70"/>
      <c r="AP93" s="89"/>
      <c r="AQ93" s="89"/>
    </row>
    <row r="94" spans="1:43" ht="15.75" thickBot="1" x14ac:dyDescent="0.3">
      <c r="A94" t="s">
        <v>52</v>
      </c>
      <c r="B94" t="s">
        <v>147</v>
      </c>
      <c r="C94" t="s">
        <v>1062</v>
      </c>
      <c r="D94" t="s">
        <v>148</v>
      </c>
      <c r="E94" s="30" t="s">
        <v>19</v>
      </c>
      <c r="F94" s="30" t="s">
        <v>28</v>
      </c>
      <c r="G94" s="30"/>
      <c r="H94" s="30" t="s">
        <v>1462</v>
      </c>
      <c r="I94" s="31">
        <f t="shared" si="7"/>
        <v>28</v>
      </c>
      <c r="J94" s="150" t="s">
        <v>1738</v>
      </c>
      <c r="K94" s="31">
        <f t="shared" si="8"/>
        <v>0</v>
      </c>
      <c r="L94" s="32">
        <f t="shared" si="9"/>
        <v>1</v>
      </c>
      <c r="M94" s="70"/>
      <c r="N94" s="70"/>
      <c r="O94" s="70"/>
      <c r="P94" s="70"/>
      <c r="Q94" s="70"/>
      <c r="R94" s="70"/>
      <c r="S94" s="70"/>
      <c r="T94" s="70"/>
      <c r="U94" s="70"/>
      <c r="V94" s="70"/>
      <c r="W94" s="70"/>
      <c r="X94" s="70"/>
      <c r="Y94" s="70"/>
      <c r="Z94" s="70"/>
      <c r="AA94" s="70"/>
      <c r="AB94" s="70"/>
      <c r="AC94" s="70"/>
      <c r="AD94" s="70"/>
      <c r="AE94" s="70"/>
      <c r="AF94" s="70"/>
      <c r="AG94" s="70"/>
      <c r="AH94" s="70"/>
      <c r="AI94" s="70"/>
      <c r="AJ94" s="70"/>
      <c r="AK94" s="70"/>
      <c r="AL94" s="70"/>
      <c r="AM94" s="70"/>
      <c r="AN94" s="70"/>
      <c r="AO94" s="70"/>
      <c r="AP94" s="70"/>
      <c r="AQ94" s="70"/>
    </row>
    <row r="95" spans="1:43" s="73" customFormat="1" ht="15.75" thickBot="1" x14ac:dyDescent="0.3">
      <c r="A95" s="73" t="s">
        <v>52</v>
      </c>
      <c r="B95" s="73" t="s">
        <v>927</v>
      </c>
      <c r="C95" s="73" t="s">
        <v>1062</v>
      </c>
      <c r="D95" s="73" t="s">
        <v>149</v>
      </c>
      <c r="E95" s="85" t="s">
        <v>19</v>
      </c>
      <c r="F95" s="85" t="s">
        <v>1301</v>
      </c>
      <c r="G95" s="85"/>
      <c r="H95" s="85" t="s">
        <v>1362</v>
      </c>
      <c r="I95" s="142">
        <f t="shared" si="7"/>
        <v>28</v>
      </c>
      <c r="J95" s="147" t="s">
        <v>1739</v>
      </c>
      <c r="K95" s="142">
        <f t="shared" si="8"/>
        <v>0</v>
      </c>
      <c r="L95" s="143">
        <f t="shared" si="9"/>
        <v>1</v>
      </c>
      <c r="M95" s="70"/>
      <c r="N95" s="70"/>
      <c r="O95" s="70"/>
      <c r="P95" s="70"/>
      <c r="Q95" s="70"/>
      <c r="R95" s="70"/>
      <c r="S95" s="70"/>
      <c r="T95" s="70"/>
      <c r="U95" s="70"/>
      <c r="V95" s="70"/>
      <c r="W95" s="70"/>
      <c r="X95" s="70"/>
      <c r="Y95" s="70"/>
      <c r="Z95" s="70"/>
      <c r="AA95" s="70"/>
      <c r="AB95" s="70"/>
      <c r="AC95" s="70"/>
      <c r="AD95" s="70"/>
      <c r="AE95" s="70"/>
      <c r="AF95" s="70"/>
      <c r="AG95" s="70"/>
      <c r="AH95" s="70"/>
      <c r="AI95" s="70"/>
      <c r="AJ95" s="70"/>
      <c r="AK95" s="70"/>
      <c r="AL95" s="70"/>
      <c r="AM95" s="70"/>
      <c r="AN95" s="70"/>
      <c r="AO95" s="70"/>
      <c r="AP95" s="89"/>
      <c r="AQ95" s="89"/>
    </row>
    <row r="96" spans="1:43" s="73" customFormat="1" ht="15.75" thickBot="1" x14ac:dyDescent="0.3">
      <c r="A96" s="73" t="s">
        <v>52</v>
      </c>
      <c r="B96" s="73" t="s">
        <v>928</v>
      </c>
      <c r="C96" s="73" t="s">
        <v>1062</v>
      </c>
      <c r="D96" s="73" t="s">
        <v>45</v>
      </c>
      <c r="E96" s="85" t="s">
        <v>46</v>
      </c>
      <c r="F96" s="85" t="s">
        <v>1301</v>
      </c>
      <c r="G96" s="85"/>
      <c r="H96" s="85" t="s">
        <v>664</v>
      </c>
      <c r="I96" s="142">
        <f t="shared" si="7"/>
        <v>28</v>
      </c>
      <c r="J96" s="147" t="s">
        <v>1740</v>
      </c>
      <c r="K96" s="142">
        <f t="shared" si="8"/>
        <v>0</v>
      </c>
      <c r="L96" s="143">
        <f t="shared" si="9"/>
        <v>1</v>
      </c>
      <c r="M96" s="70"/>
      <c r="N96" s="70"/>
      <c r="O96" s="70"/>
      <c r="P96" s="70"/>
      <c r="Q96" s="70"/>
      <c r="R96" s="70"/>
      <c r="S96" s="70"/>
      <c r="T96" s="70"/>
      <c r="U96" s="70"/>
      <c r="V96" s="70"/>
      <c r="W96" s="70"/>
      <c r="X96" s="70"/>
      <c r="Y96" s="70"/>
      <c r="Z96" s="70"/>
      <c r="AA96" s="70"/>
      <c r="AB96" s="70"/>
      <c r="AC96" s="70"/>
      <c r="AD96" s="70"/>
      <c r="AE96" s="70"/>
      <c r="AF96" s="70"/>
      <c r="AG96" s="70"/>
      <c r="AH96" s="70"/>
      <c r="AI96" s="70"/>
      <c r="AJ96" s="70"/>
      <c r="AK96" s="70"/>
      <c r="AL96" s="70"/>
      <c r="AM96" s="70"/>
      <c r="AN96" s="70"/>
      <c r="AO96" s="70"/>
      <c r="AP96" s="89"/>
      <c r="AQ96" s="89"/>
    </row>
    <row r="97" spans="1:43" s="73" customFormat="1" ht="15.75" thickBot="1" x14ac:dyDescent="0.3">
      <c r="A97" s="73" t="s">
        <v>52</v>
      </c>
      <c r="B97" s="73" t="s">
        <v>150</v>
      </c>
      <c r="C97" s="73" t="s">
        <v>1062</v>
      </c>
      <c r="D97" s="73" t="s">
        <v>151</v>
      </c>
      <c r="E97" s="85" t="s">
        <v>15</v>
      </c>
      <c r="F97" s="85" t="s">
        <v>1301</v>
      </c>
      <c r="G97" s="85"/>
      <c r="H97" s="85" t="s">
        <v>1433</v>
      </c>
      <c r="I97" s="142">
        <f t="shared" si="7"/>
        <v>28</v>
      </c>
      <c r="J97" s="147" t="s">
        <v>1741</v>
      </c>
      <c r="K97" s="142">
        <f t="shared" si="8"/>
        <v>0</v>
      </c>
      <c r="L97" s="143">
        <f t="shared" si="9"/>
        <v>1</v>
      </c>
      <c r="M97" s="70"/>
      <c r="N97" s="70"/>
      <c r="O97" s="70"/>
      <c r="P97" s="70"/>
      <c r="Q97" s="70"/>
      <c r="R97" s="70"/>
      <c r="S97" s="70"/>
      <c r="T97" s="70"/>
      <c r="U97" s="70"/>
      <c r="V97" s="70"/>
      <c r="W97" s="70"/>
      <c r="X97" s="70"/>
      <c r="Y97" s="70"/>
      <c r="Z97" s="70"/>
      <c r="AA97" s="70"/>
      <c r="AB97" s="70"/>
      <c r="AC97" s="70"/>
      <c r="AD97" s="70"/>
      <c r="AE97" s="70"/>
      <c r="AF97" s="70"/>
      <c r="AG97" s="70"/>
      <c r="AH97" s="70"/>
      <c r="AI97" s="70"/>
      <c r="AJ97" s="70"/>
      <c r="AK97" s="70"/>
      <c r="AL97" s="70"/>
      <c r="AM97" s="70"/>
      <c r="AN97" s="70"/>
      <c r="AO97" s="70"/>
      <c r="AP97" s="89"/>
      <c r="AQ97" s="89"/>
    </row>
    <row r="98" spans="1:43" s="73" customFormat="1" ht="15.75" thickBot="1" x14ac:dyDescent="0.3">
      <c r="A98" s="73" t="s">
        <v>52</v>
      </c>
      <c r="B98" s="73" t="s">
        <v>929</v>
      </c>
      <c r="C98" s="73" t="s">
        <v>1062</v>
      </c>
      <c r="D98" s="73" t="s">
        <v>47</v>
      </c>
      <c r="E98" s="85" t="s">
        <v>19</v>
      </c>
      <c r="F98" s="85" t="s">
        <v>1301</v>
      </c>
      <c r="G98" s="85"/>
      <c r="H98" s="85" t="s">
        <v>1369</v>
      </c>
      <c r="I98" s="142">
        <f t="shared" si="7"/>
        <v>28</v>
      </c>
      <c r="J98" s="147" t="s">
        <v>1742</v>
      </c>
      <c r="K98" s="142">
        <f t="shared" si="8"/>
        <v>0</v>
      </c>
      <c r="L98" s="143">
        <f t="shared" si="9"/>
        <v>1</v>
      </c>
      <c r="M98" s="70"/>
      <c r="N98" s="70"/>
      <c r="O98" s="70"/>
      <c r="P98" s="70"/>
      <c r="Q98" s="70"/>
      <c r="R98" s="70"/>
      <c r="S98" s="70"/>
      <c r="T98" s="70"/>
      <c r="U98" s="70"/>
      <c r="V98" s="70"/>
      <c r="W98" s="70"/>
      <c r="X98" s="70"/>
      <c r="Y98" s="70"/>
      <c r="Z98" s="70"/>
      <c r="AA98" s="70"/>
      <c r="AB98" s="70"/>
      <c r="AC98" s="70"/>
      <c r="AD98" s="70"/>
      <c r="AE98" s="70"/>
      <c r="AF98" s="70"/>
      <c r="AG98" s="70"/>
      <c r="AH98" s="70"/>
      <c r="AI98" s="70"/>
      <c r="AJ98" s="70"/>
      <c r="AK98" s="70"/>
      <c r="AL98" s="70"/>
      <c r="AM98" s="70"/>
      <c r="AN98" s="70"/>
      <c r="AO98" s="70"/>
      <c r="AP98" s="89"/>
      <c r="AQ98" s="89"/>
    </row>
    <row r="99" spans="1:43" s="73" customFormat="1" ht="15.75" thickBot="1" x14ac:dyDescent="0.3">
      <c r="A99" s="73" t="s">
        <v>52</v>
      </c>
      <c r="B99" s="73" t="s">
        <v>48</v>
      </c>
      <c r="C99" s="73" t="s">
        <v>1062</v>
      </c>
      <c r="D99" s="73" t="s">
        <v>49</v>
      </c>
      <c r="E99" s="85" t="s">
        <v>19</v>
      </c>
      <c r="F99" s="85" t="s">
        <v>1301</v>
      </c>
      <c r="G99" s="85"/>
      <c r="H99" s="85" t="s">
        <v>1356</v>
      </c>
      <c r="I99" s="142">
        <f t="shared" si="7"/>
        <v>20</v>
      </c>
      <c r="J99" s="147" t="s">
        <v>1743</v>
      </c>
      <c r="K99" s="142">
        <f t="shared" si="8"/>
        <v>8</v>
      </c>
      <c r="L99" s="143">
        <f t="shared" si="9"/>
        <v>0.7142857142857143</v>
      </c>
      <c r="M99" s="70" t="s">
        <v>2213</v>
      </c>
      <c r="N99" s="70" t="s">
        <v>2213</v>
      </c>
      <c r="O99" s="70" t="s">
        <v>2213</v>
      </c>
      <c r="P99" s="70" t="s">
        <v>2213</v>
      </c>
      <c r="Q99" s="70" t="s">
        <v>2213</v>
      </c>
      <c r="R99" s="70" t="s">
        <v>2213</v>
      </c>
      <c r="S99" s="70" t="s">
        <v>2213</v>
      </c>
      <c r="T99" s="70" t="s">
        <v>2213</v>
      </c>
      <c r="U99" s="70"/>
      <c r="V99" s="70"/>
      <c r="W99" s="70"/>
      <c r="X99" s="70"/>
      <c r="Y99" s="70"/>
      <c r="Z99" s="70"/>
      <c r="AA99" s="70"/>
      <c r="AB99" s="70"/>
      <c r="AC99" s="70"/>
      <c r="AD99" s="70"/>
      <c r="AE99" s="70"/>
      <c r="AF99" s="70"/>
      <c r="AG99" s="70"/>
      <c r="AH99" s="70"/>
      <c r="AI99" s="70"/>
      <c r="AJ99" s="70"/>
      <c r="AK99" s="70"/>
      <c r="AL99" s="70"/>
      <c r="AM99" s="70"/>
      <c r="AN99" s="70"/>
      <c r="AO99" s="70"/>
      <c r="AP99" s="89"/>
      <c r="AQ99" s="89"/>
    </row>
    <row r="100" spans="1:43" s="73" customFormat="1" ht="15.75" thickBot="1" x14ac:dyDescent="0.3">
      <c r="A100" s="73" t="s">
        <v>52</v>
      </c>
      <c r="B100" s="73" t="s">
        <v>50</v>
      </c>
      <c r="C100" s="73" t="s">
        <v>1062</v>
      </c>
      <c r="D100" s="73" t="s">
        <v>51</v>
      </c>
      <c r="E100" s="85" t="s">
        <v>19</v>
      </c>
      <c r="F100" s="85" t="s">
        <v>1301</v>
      </c>
      <c r="G100" s="85"/>
      <c r="H100" s="85" t="s">
        <v>1410</v>
      </c>
      <c r="I100" s="142">
        <f t="shared" si="7"/>
        <v>28</v>
      </c>
      <c r="J100" s="147" t="s">
        <v>1744</v>
      </c>
      <c r="K100" s="142">
        <f t="shared" si="8"/>
        <v>0</v>
      </c>
      <c r="L100" s="143">
        <f t="shared" si="9"/>
        <v>1</v>
      </c>
      <c r="M100" s="70"/>
      <c r="N100" s="70"/>
      <c r="O100" s="70"/>
      <c r="P100" s="70"/>
      <c r="Q100" s="70"/>
      <c r="R100" s="70"/>
      <c r="S100" s="70"/>
      <c r="T100" s="70"/>
      <c r="U100" s="70"/>
      <c r="V100" s="70"/>
      <c r="W100" s="70"/>
      <c r="X100" s="70"/>
      <c r="Y100" s="70"/>
      <c r="Z100" s="70"/>
      <c r="AA100" s="70"/>
      <c r="AB100" s="70"/>
      <c r="AC100" s="70"/>
      <c r="AD100" s="70"/>
      <c r="AE100" s="70"/>
      <c r="AF100" s="70"/>
      <c r="AG100" s="70"/>
      <c r="AH100" s="70"/>
      <c r="AI100" s="70"/>
      <c r="AJ100" s="70"/>
      <c r="AK100" s="70"/>
      <c r="AL100" s="70"/>
      <c r="AM100" s="70"/>
      <c r="AN100" s="70"/>
      <c r="AO100" s="70"/>
      <c r="AP100" s="89"/>
      <c r="AQ100" s="89"/>
    </row>
    <row r="101" spans="1:43" s="73" customFormat="1" ht="15.75" thickBot="1" x14ac:dyDescent="0.3">
      <c r="A101" s="73" t="s">
        <v>52</v>
      </c>
      <c r="B101" s="73" t="s">
        <v>53</v>
      </c>
      <c r="C101" s="73" t="s">
        <v>1062</v>
      </c>
      <c r="D101" s="73" t="s">
        <v>54</v>
      </c>
      <c r="E101" s="85" t="s">
        <v>15</v>
      </c>
      <c r="F101" s="85" t="s">
        <v>1301</v>
      </c>
      <c r="G101" s="85"/>
      <c r="H101" s="85" t="s">
        <v>1426</v>
      </c>
      <c r="I101" s="142">
        <f t="shared" si="7"/>
        <v>28</v>
      </c>
      <c r="J101" s="147" t="s">
        <v>1745</v>
      </c>
      <c r="K101" s="142">
        <f t="shared" si="8"/>
        <v>0</v>
      </c>
      <c r="L101" s="143">
        <f t="shared" si="9"/>
        <v>1</v>
      </c>
      <c r="M101" s="70"/>
      <c r="N101" s="70"/>
      <c r="O101" s="70"/>
      <c r="P101" s="70"/>
      <c r="Q101" s="70"/>
      <c r="R101" s="70"/>
      <c r="S101" s="70"/>
      <c r="T101" s="70"/>
      <c r="U101" s="70"/>
      <c r="V101" s="70"/>
      <c r="W101" s="70"/>
      <c r="X101" s="70"/>
      <c r="Y101" s="70"/>
      <c r="Z101" s="70"/>
      <c r="AA101" s="70"/>
      <c r="AB101" s="70"/>
      <c r="AC101" s="70"/>
      <c r="AD101" s="70"/>
      <c r="AE101" s="70"/>
      <c r="AF101" s="70"/>
      <c r="AG101" s="70"/>
      <c r="AH101" s="70"/>
      <c r="AI101" s="70"/>
      <c r="AJ101" s="70"/>
      <c r="AK101" s="70"/>
      <c r="AL101" s="70"/>
      <c r="AM101" s="70"/>
      <c r="AN101" s="70"/>
      <c r="AO101" s="70"/>
      <c r="AP101" s="89"/>
      <c r="AQ101" s="89"/>
    </row>
    <row r="102" spans="1:43" s="73" customFormat="1" ht="15.75" thickBot="1" x14ac:dyDescent="0.3">
      <c r="A102" s="73" t="s">
        <v>52</v>
      </c>
      <c r="B102" s="73" t="s">
        <v>55</v>
      </c>
      <c r="C102" s="73" t="s">
        <v>1062</v>
      </c>
      <c r="D102" s="73" t="s">
        <v>56</v>
      </c>
      <c r="E102" s="85" t="s">
        <v>15</v>
      </c>
      <c r="F102" s="85" t="s">
        <v>1301</v>
      </c>
      <c r="G102" s="85"/>
      <c r="H102" s="85" t="s">
        <v>1365</v>
      </c>
      <c r="I102" s="142">
        <f t="shared" si="7"/>
        <v>28</v>
      </c>
      <c r="J102" s="147" t="s">
        <v>1746</v>
      </c>
      <c r="K102" s="142">
        <f t="shared" si="8"/>
        <v>0</v>
      </c>
      <c r="L102" s="143">
        <f t="shared" si="9"/>
        <v>1</v>
      </c>
      <c r="M102" s="70"/>
      <c r="N102" s="70"/>
      <c r="O102" s="70"/>
      <c r="P102" s="70"/>
      <c r="Q102" s="70"/>
      <c r="R102" s="70"/>
      <c r="S102" s="70"/>
      <c r="T102" s="70"/>
      <c r="U102" s="70"/>
      <c r="V102" s="70"/>
      <c r="W102" s="70"/>
      <c r="X102" s="70"/>
      <c r="Y102" s="70"/>
      <c r="Z102" s="70"/>
      <c r="AA102" s="70"/>
      <c r="AB102" s="70"/>
      <c r="AC102" s="70"/>
      <c r="AD102" s="70"/>
      <c r="AE102" s="70"/>
      <c r="AF102" s="70"/>
      <c r="AG102" s="70"/>
      <c r="AH102" s="70"/>
      <c r="AI102" s="70"/>
      <c r="AJ102" s="70"/>
      <c r="AK102" s="70"/>
      <c r="AL102" s="70"/>
      <c r="AM102" s="70"/>
      <c r="AN102" s="70"/>
      <c r="AO102" s="70"/>
      <c r="AP102" s="89"/>
      <c r="AQ102" s="89"/>
    </row>
    <row r="103" spans="1:43" ht="15.75" thickBot="1" x14ac:dyDescent="0.3">
      <c r="A103" t="s">
        <v>52</v>
      </c>
      <c r="B103" t="s">
        <v>57</v>
      </c>
      <c r="C103" t="s">
        <v>1062</v>
      </c>
      <c r="D103" t="s">
        <v>58</v>
      </c>
      <c r="E103" s="30" t="s">
        <v>15</v>
      </c>
      <c r="F103" s="30" t="s">
        <v>28</v>
      </c>
      <c r="G103" s="30"/>
      <c r="H103" s="30" t="s">
        <v>665</v>
      </c>
      <c r="I103" s="31">
        <f t="shared" si="7"/>
        <v>28</v>
      </c>
      <c r="J103" s="147" t="s">
        <v>1747</v>
      </c>
      <c r="K103" s="31">
        <f t="shared" si="8"/>
        <v>0</v>
      </c>
      <c r="L103" s="32">
        <f t="shared" si="9"/>
        <v>1</v>
      </c>
      <c r="M103" s="70"/>
      <c r="N103" s="70"/>
      <c r="O103" s="70"/>
      <c r="P103" s="70"/>
      <c r="Q103" s="70"/>
      <c r="R103" s="70"/>
      <c r="S103" s="70"/>
      <c r="T103" s="70"/>
      <c r="U103" s="70"/>
      <c r="V103" s="70"/>
      <c r="W103" s="70"/>
      <c r="X103" s="70"/>
      <c r="Y103" s="70"/>
      <c r="Z103" s="70"/>
      <c r="AA103" s="70"/>
      <c r="AB103" s="70"/>
      <c r="AC103" s="70"/>
      <c r="AD103" s="70"/>
      <c r="AE103" s="70"/>
      <c r="AF103" s="70"/>
      <c r="AG103" s="70"/>
      <c r="AH103" s="70"/>
      <c r="AI103" s="70"/>
      <c r="AJ103" s="70"/>
      <c r="AK103" s="70"/>
      <c r="AL103" s="70"/>
      <c r="AM103" s="70"/>
      <c r="AN103" s="70"/>
      <c r="AO103" s="70"/>
      <c r="AP103" s="70"/>
      <c r="AQ103" s="70"/>
    </row>
    <row r="104" spans="1:43" s="73" customFormat="1" ht="15.75" thickBot="1" x14ac:dyDescent="0.3">
      <c r="A104" s="73" t="s">
        <v>52</v>
      </c>
      <c r="B104" s="73" t="s">
        <v>934</v>
      </c>
      <c r="C104" s="73" t="s">
        <v>1062</v>
      </c>
      <c r="D104" s="73" t="s">
        <v>59</v>
      </c>
      <c r="E104" s="85" t="s">
        <v>15</v>
      </c>
      <c r="F104" s="85" t="s">
        <v>1301</v>
      </c>
      <c r="G104" s="85"/>
      <c r="H104" s="85" t="s">
        <v>1376</v>
      </c>
      <c r="I104" s="142">
        <f t="shared" si="7"/>
        <v>28</v>
      </c>
      <c r="J104" s="147" t="s">
        <v>1748</v>
      </c>
      <c r="K104" s="142">
        <f t="shared" si="8"/>
        <v>0</v>
      </c>
      <c r="L104" s="143">
        <f t="shared" si="9"/>
        <v>1</v>
      </c>
      <c r="M104" s="70"/>
      <c r="N104" s="70"/>
      <c r="O104" s="70"/>
      <c r="P104" s="70"/>
      <c r="Q104" s="70"/>
      <c r="R104" s="70"/>
      <c r="S104" s="70"/>
      <c r="T104" s="70"/>
      <c r="U104" s="70"/>
      <c r="V104" s="70"/>
      <c r="W104" s="70"/>
      <c r="X104" s="70"/>
      <c r="Y104" s="70"/>
      <c r="Z104" s="70"/>
      <c r="AA104" s="70"/>
      <c r="AB104" s="70"/>
      <c r="AC104" s="70"/>
      <c r="AD104" s="70"/>
      <c r="AE104" s="70"/>
      <c r="AF104" s="70"/>
      <c r="AG104" s="70"/>
      <c r="AH104" s="70"/>
      <c r="AI104" s="70"/>
      <c r="AJ104" s="70"/>
      <c r="AK104" s="70"/>
      <c r="AL104" s="70"/>
      <c r="AM104" s="70"/>
      <c r="AN104" s="70"/>
      <c r="AO104" s="70"/>
      <c r="AP104" s="89"/>
      <c r="AQ104" s="89"/>
    </row>
    <row r="105" spans="1:43" ht="15.75" thickBot="1" x14ac:dyDescent="0.3">
      <c r="A105" t="s">
        <v>52</v>
      </c>
      <c r="B105" t="s">
        <v>60</v>
      </c>
      <c r="C105" t="s">
        <v>1062</v>
      </c>
      <c r="D105" t="s">
        <v>61</v>
      </c>
      <c r="E105" s="30" t="s">
        <v>15</v>
      </c>
      <c r="F105" s="30" t="s">
        <v>1056</v>
      </c>
      <c r="G105" s="30" t="s">
        <v>45</v>
      </c>
      <c r="H105" s="30" t="s">
        <v>666</v>
      </c>
      <c r="I105" s="31">
        <f t="shared" si="7"/>
        <v>28</v>
      </c>
      <c r="J105" s="147" t="s">
        <v>1749</v>
      </c>
      <c r="K105" s="31">
        <f t="shared" si="8"/>
        <v>0</v>
      </c>
      <c r="L105" s="32">
        <f t="shared" si="9"/>
        <v>1</v>
      </c>
      <c r="M105" s="70"/>
      <c r="N105" s="70"/>
      <c r="O105" s="70"/>
      <c r="P105" s="70"/>
      <c r="Q105" s="70"/>
      <c r="R105" s="70"/>
      <c r="S105" s="70"/>
      <c r="T105" s="70"/>
      <c r="U105" s="70"/>
      <c r="V105" s="70"/>
      <c r="W105" s="70"/>
      <c r="X105" s="70"/>
      <c r="Y105" s="70"/>
      <c r="Z105" s="70"/>
      <c r="AA105" s="70"/>
      <c r="AB105" s="70"/>
      <c r="AC105" s="70"/>
      <c r="AD105" s="70"/>
      <c r="AE105" s="70"/>
      <c r="AF105" s="70"/>
      <c r="AG105" s="70"/>
      <c r="AH105" s="70"/>
      <c r="AI105" s="70"/>
      <c r="AJ105" s="70"/>
      <c r="AK105" s="70"/>
      <c r="AL105" s="70"/>
      <c r="AM105" s="70"/>
      <c r="AN105" s="70"/>
      <c r="AO105" s="70"/>
      <c r="AP105" s="70"/>
      <c r="AQ105" s="70"/>
    </row>
    <row r="106" spans="1:43" s="73" customFormat="1" ht="15.75" thickBot="1" x14ac:dyDescent="0.3">
      <c r="A106" s="73" t="s">
        <v>52</v>
      </c>
      <c r="B106" s="73" t="s">
        <v>62</v>
      </c>
      <c r="C106" s="73" t="s">
        <v>1062</v>
      </c>
      <c r="D106" s="73" t="s">
        <v>63</v>
      </c>
      <c r="E106" s="85" t="s">
        <v>15</v>
      </c>
      <c r="F106" s="85" t="s">
        <v>1301</v>
      </c>
      <c r="G106" s="85"/>
      <c r="H106" s="85" t="s">
        <v>1366</v>
      </c>
      <c r="I106" s="142">
        <f t="shared" si="7"/>
        <v>25</v>
      </c>
      <c r="J106" s="147" t="s">
        <v>1750</v>
      </c>
      <c r="K106" s="142">
        <f t="shared" si="8"/>
        <v>3</v>
      </c>
      <c r="L106" s="143">
        <f t="shared" si="9"/>
        <v>0.8928571428571429</v>
      </c>
      <c r="M106" s="70" t="s">
        <v>2213</v>
      </c>
      <c r="N106" s="70" t="s">
        <v>2213</v>
      </c>
      <c r="O106" s="70" t="s">
        <v>2213</v>
      </c>
      <c r="P106" s="70"/>
      <c r="Q106" s="70"/>
      <c r="R106" s="70"/>
      <c r="S106" s="70"/>
      <c r="T106" s="70"/>
      <c r="U106" s="70"/>
      <c r="V106" s="70"/>
      <c r="W106" s="70"/>
      <c r="X106" s="70"/>
      <c r="Y106" s="70"/>
      <c r="Z106" s="70"/>
      <c r="AA106" s="70"/>
      <c r="AB106" s="70"/>
      <c r="AC106" s="70"/>
      <c r="AD106" s="70"/>
      <c r="AE106" s="70"/>
      <c r="AF106" s="70"/>
      <c r="AG106" s="70"/>
      <c r="AH106" s="70"/>
      <c r="AI106" s="70"/>
      <c r="AJ106" s="70"/>
      <c r="AK106" s="70"/>
      <c r="AL106" s="70"/>
      <c r="AM106" s="70"/>
      <c r="AN106" s="70"/>
      <c r="AO106" s="70"/>
      <c r="AP106" s="89"/>
      <c r="AQ106" s="89"/>
    </row>
    <row r="107" spans="1:43" ht="15.75" thickBot="1" x14ac:dyDescent="0.3">
      <c r="A107" t="s">
        <v>52</v>
      </c>
      <c r="B107" t="s">
        <v>935</v>
      </c>
      <c r="C107" t="s">
        <v>1062</v>
      </c>
      <c r="D107" t="s">
        <v>1085</v>
      </c>
      <c r="E107" s="30" t="s">
        <v>15</v>
      </c>
      <c r="F107" s="30" t="s">
        <v>1056</v>
      </c>
      <c r="G107" s="30" t="s">
        <v>1253</v>
      </c>
      <c r="H107" s="30" t="s">
        <v>667</v>
      </c>
      <c r="I107" s="31">
        <f t="shared" si="7"/>
        <v>28</v>
      </c>
      <c r="J107" s="147" t="s">
        <v>1751</v>
      </c>
      <c r="K107" s="31">
        <f t="shared" si="8"/>
        <v>0</v>
      </c>
      <c r="L107" s="32">
        <f t="shared" si="9"/>
        <v>1</v>
      </c>
      <c r="M107" s="70"/>
      <c r="N107" s="70"/>
      <c r="O107" s="70"/>
      <c r="P107" s="70"/>
      <c r="Q107" s="70"/>
      <c r="R107" s="70"/>
      <c r="S107" s="70"/>
      <c r="T107" s="70"/>
      <c r="U107" s="70"/>
      <c r="V107" s="70"/>
      <c r="W107" s="70"/>
      <c r="X107" s="70"/>
      <c r="Y107" s="70"/>
      <c r="Z107" s="70"/>
      <c r="AA107" s="70"/>
      <c r="AB107" s="70"/>
      <c r="AC107" s="70"/>
      <c r="AD107" s="70"/>
      <c r="AE107" s="70"/>
      <c r="AF107" s="70"/>
      <c r="AG107" s="70"/>
      <c r="AH107" s="70"/>
      <c r="AI107" s="70"/>
      <c r="AJ107" s="70"/>
      <c r="AK107" s="70"/>
      <c r="AL107" s="70"/>
      <c r="AM107" s="70"/>
      <c r="AN107" s="70"/>
      <c r="AO107" s="70"/>
      <c r="AP107" s="70"/>
      <c r="AQ107" s="70"/>
    </row>
    <row r="108" spans="1:43" ht="15.75" thickBot="1" x14ac:dyDescent="0.3">
      <c r="A108" t="s">
        <v>52</v>
      </c>
      <c r="B108" t="s">
        <v>936</v>
      </c>
      <c r="C108" t="s">
        <v>1062</v>
      </c>
      <c r="D108" t="s">
        <v>64</v>
      </c>
      <c r="E108" s="30" t="s">
        <v>15</v>
      </c>
      <c r="F108" s="30" t="s">
        <v>28</v>
      </c>
      <c r="G108" s="30"/>
      <c r="H108" s="30" t="s">
        <v>668</v>
      </c>
      <c r="I108" s="31">
        <f t="shared" si="7"/>
        <v>28</v>
      </c>
      <c r="J108" s="147" t="s">
        <v>1752</v>
      </c>
      <c r="K108" s="31">
        <f t="shared" si="8"/>
        <v>0</v>
      </c>
      <c r="L108" s="32">
        <f t="shared" si="9"/>
        <v>1</v>
      </c>
      <c r="M108" s="70"/>
      <c r="N108" s="70"/>
      <c r="O108" s="70"/>
      <c r="P108" s="70"/>
      <c r="Q108" s="70"/>
      <c r="R108" s="70"/>
      <c r="S108" s="70"/>
      <c r="T108" s="70"/>
      <c r="U108" s="70"/>
      <c r="V108" s="70"/>
      <c r="W108" s="70"/>
      <c r="X108" s="70"/>
      <c r="Y108" s="70"/>
      <c r="Z108" s="70"/>
      <c r="AA108" s="70"/>
      <c r="AB108" s="70"/>
      <c r="AC108" s="70"/>
      <c r="AD108" s="70"/>
      <c r="AE108" s="70"/>
      <c r="AF108" s="70"/>
      <c r="AG108" s="70"/>
      <c r="AH108" s="70"/>
      <c r="AI108" s="70"/>
      <c r="AJ108" s="70"/>
      <c r="AK108" s="70"/>
      <c r="AL108" s="70"/>
      <c r="AM108" s="70"/>
      <c r="AN108" s="70"/>
      <c r="AO108" s="70"/>
      <c r="AP108" s="70"/>
      <c r="AQ108" s="70"/>
    </row>
    <row r="109" spans="1:43" ht="15.75" thickBot="1" x14ac:dyDescent="0.3">
      <c r="A109" t="s">
        <v>52</v>
      </c>
      <c r="B109" t="s">
        <v>152</v>
      </c>
      <c r="C109" t="s">
        <v>1062</v>
      </c>
      <c r="D109" t="s">
        <v>153</v>
      </c>
      <c r="E109" s="30" t="s">
        <v>46</v>
      </c>
      <c r="F109" s="30" t="s">
        <v>28</v>
      </c>
      <c r="G109" s="30"/>
      <c r="H109" s="30" t="s">
        <v>669</v>
      </c>
      <c r="I109" s="31">
        <f t="shared" si="7"/>
        <v>28</v>
      </c>
      <c r="J109" s="147" t="s">
        <v>1753</v>
      </c>
      <c r="K109" s="31">
        <f t="shared" si="8"/>
        <v>0</v>
      </c>
      <c r="L109" s="32">
        <f t="shared" si="9"/>
        <v>1</v>
      </c>
      <c r="M109" s="70"/>
      <c r="N109" s="70"/>
      <c r="O109" s="70"/>
      <c r="P109" s="70"/>
      <c r="Q109" s="70"/>
      <c r="R109" s="70"/>
      <c r="S109" s="70"/>
      <c r="T109" s="70"/>
      <c r="U109" s="70"/>
      <c r="V109" s="70"/>
      <c r="W109" s="70"/>
      <c r="X109" s="70"/>
      <c r="Y109" s="70"/>
      <c r="Z109" s="70"/>
      <c r="AA109" s="70"/>
      <c r="AB109" s="70"/>
      <c r="AC109" s="70"/>
      <c r="AD109" s="70"/>
      <c r="AE109" s="70"/>
      <c r="AF109" s="70"/>
      <c r="AG109" s="70"/>
      <c r="AH109" s="70"/>
      <c r="AI109" s="70"/>
      <c r="AJ109" s="70"/>
      <c r="AK109" s="70"/>
      <c r="AL109" s="70"/>
      <c r="AM109" s="70"/>
      <c r="AN109" s="70"/>
      <c r="AO109" s="70"/>
      <c r="AP109" s="70"/>
      <c r="AQ109" s="70"/>
    </row>
    <row r="110" spans="1:43" s="73" customFormat="1" ht="15.75" thickBot="1" x14ac:dyDescent="0.3">
      <c r="A110" s="73" t="s">
        <v>52</v>
      </c>
      <c r="B110" s="73" t="s">
        <v>930</v>
      </c>
      <c r="C110" s="73" t="s">
        <v>1062</v>
      </c>
      <c r="D110" s="73" t="s">
        <v>154</v>
      </c>
      <c r="E110" s="85" t="s">
        <v>46</v>
      </c>
      <c r="F110" s="85" t="s">
        <v>1301</v>
      </c>
      <c r="G110" s="85"/>
      <c r="H110" s="85" t="s">
        <v>1059</v>
      </c>
      <c r="I110" s="142">
        <f t="shared" si="7"/>
        <v>28</v>
      </c>
      <c r="J110" s="147" t="s">
        <v>1754</v>
      </c>
      <c r="K110" s="142">
        <f t="shared" si="8"/>
        <v>0</v>
      </c>
      <c r="L110" s="143">
        <f t="shared" si="9"/>
        <v>1</v>
      </c>
      <c r="M110" s="70"/>
      <c r="N110" s="70"/>
      <c r="O110" s="70"/>
      <c r="P110" s="70"/>
      <c r="Q110" s="70"/>
      <c r="R110" s="70"/>
      <c r="S110" s="70"/>
      <c r="T110" s="70"/>
      <c r="U110" s="70"/>
      <c r="V110" s="70"/>
      <c r="W110" s="70"/>
      <c r="X110" s="70"/>
      <c r="Y110" s="70"/>
      <c r="Z110" s="70"/>
      <c r="AA110" s="70"/>
      <c r="AB110" s="70"/>
      <c r="AC110" s="70"/>
      <c r="AD110" s="70"/>
      <c r="AE110" s="70"/>
      <c r="AF110" s="70"/>
      <c r="AG110" s="70"/>
      <c r="AH110" s="70"/>
      <c r="AI110" s="70"/>
      <c r="AJ110" s="70"/>
      <c r="AK110" s="70"/>
      <c r="AL110" s="70"/>
      <c r="AM110" s="70"/>
      <c r="AN110" s="70"/>
      <c r="AO110" s="70"/>
      <c r="AP110" s="89"/>
      <c r="AQ110" s="89"/>
    </row>
    <row r="111" spans="1:43" s="73" customFormat="1" ht="15.75" thickBot="1" x14ac:dyDescent="0.3">
      <c r="A111" s="73" t="s">
        <v>52</v>
      </c>
      <c r="B111" s="73" t="s">
        <v>155</v>
      </c>
      <c r="C111" s="73" t="s">
        <v>1062</v>
      </c>
      <c r="D111" s="73" t="s">
        <v>154</v>
      </c>
      <c r="E111" s="85" t="s">
        <v>46</v>
      </c>
      <c r="F111" s="85" t="s">
        <v>1301</v>
      </c>
      <c r="G111" s="85"/>
      <c r="H111" s="85" t="s">
        <v>670</v>
      </c>
      <c r="I111" s="142">
        <f t="shared" si="7"/>
        <v>28</v>
      </c>
      <c r="J111" s="147" t="s">
        <v>1754</v>
      </c>
      <c r="K111" s="142">
        <f t="shared" si="8"/>
        <v>0</v>
      </c>
      <c r="L111" s="143">
        <f t="shared" si="9"/>
        <v>1</v>
      </c>
      <c r="M111" s="70"/>
      <c r="N111" s="70"/>
      <c r="O111" s="70"/>
      <c r="P111" s="70"/>
      <c r="Q111" s="70"/>
      <c r="R111" s="70"/>
      <c r="S111" s="70"/>
      <c r="T111" s="70"/>
      <c r="U111" s="70"/>
      <c r="V111" s="70"/>
      <c r="W111" s="70"/>
      <c r="X111" s="70"/>
      <c r="Y111" s="70"/>
      <c r="Z111" s="70"/>
      <c r="AA111" s="70"/>
      <c r="AB111" s="70"/>
      <c r="AC111" s="70"/>
      <c r="AD111" s="70"/>
      <c r="AE111" s="70"/>
      <c r="AF111" s="70"/>
      <c r="AG111" s="70"/>
      <c r="AH111" s="70"/>
      <c r="AI111" s="70"/>
      <c r="AJ111" s="70"/>
      <c r="AK111" s="70"/>
      <c r="AL111" s="70"/>
      <c r="AM111" s="70"/>
      <c r="AN111" s="70"/>
      <c r="AO111" s="70"/>
      <c r="AP111" s="89"/>
      <c r="AQ111" s="89"/>
    </row>
    <row r="112" spans="1:43" s="73" customFormat="1" ht="15.75" thickBot="1" x14ac:dyDescent="0.3">
      <c r="A112" s="73" t="s">
        <v>52</v>
      </c>
      <c r="B112" s="73" t="s">
        <v>156</v>
      </c>
      <c r="C112" s="73" t="s">
        <v>1062</v>
      </c>
      <c r="D112" s="73" t="s">
        <v>157</v>
      </c>
      <c r="E112" s="85" t="s">
        <v>73</v>
      </c>
      <c r="F112" s="85" t="s">
        <v>1301</v>
      </c>
      <c r="G112" s="85"/>
      <c r="H112" s="85" t="s">
        <v>674</v>
      </c>
      <c r="I112" s="142">
        <f t="shared" si="7"/>
        <v>28</v>
      </c>
      <c r="J112" s="147" t="s">
        <v>1756</v>
      </c>
      <c r="K112" s="142">
        <f t="shared" si="8"/>
        <v>0</v>
      </c>
      <c r="L112" s="143">
        <f t="shared" si="9"/>
        <v>1</v>
      </c>
      <c r="M112" s="70"/>
      <c r="N112" s="70"/>
      <c r="O112" s="70"/>
      <c r="P112" s="70"/>
      <c r="Q112" s="70"/>
      <c r="R112" s="70"/>
      <c r="S112" s="70"/>
      <c r="T112" s="70"/>
      <c r="U112" s="70"/>
      <c r="V112" s="70"/>
      <c r="W112" s="70"/>
      <c r="X112" s="70"/>
      <c r="Y112" s="70"/>
      <c r="Z112" s="70"/>
      <c r="AA112" s="70"/>
      <c r="AB112" s="70"/>
      <c r="AC112" s="70"/>
      <c r="AD112" s="70"/>
      <c r="AE112" s="70"/>
      <c r="AF112" s="70"/>
      <c r="AG112" s="70"/>
      <c r="AH112" s="70"/>
      <c r="AI112" s="70"/>
      <c r="AJ112" s="70"/>
      <c r="AK112" s="70"/>
      <c r="AL112" s="70"/>
      <c r="AM112" s="70"/>
      <c r="AN112" s="70"/>
      <c r="AO112" s="70"/>
      <c r="AP112" s="89"/>
      <c r="AQ112" s="89"/>
    </row>
    <row r="113" spans="1:43" s="73" customFormat="1" ht="15.75" thickBot="1" x14ac:dyDescent="0.3">
      <c r="A113" s="73" t="s">
        <v>52</v>
      </c>
      <c r="B113" s="73" t="s">
        <v>158</v>
      </c>
      <c r="C113" s="73" t="s">
        <v>1062</v>
      </c>
      <c r="D113" s="73" t="s">
        <v>157</v>
      </c>
      <c r="E113" s="85" t="s">
        <v>73</v>
      </c>
      <c r="F113" s="85" t="s">
        <v>1301</v>
      </c>
      <c r="G113" s="85"/>
      <c r="H113" s="85" t="s">
        <v>675</v>
      </c>
      <c r="I113" s="142">
        <f t="shared" si="7"/>
        <v>28</v>
      </c>
      <c r="J113" s="147" t="s">
        <v>1755</v>
      </c>
      <c r="K113" s="142">
        <f t="shared" si="8"/>
        <v>0</v>
      </c>
      <c r="L113" s="143">
        <f t="shared" si="9"/>
        <v>1</v>
      </c>
      <c r="M113" s="70"/>
      <c r="N113" s="70"/>
      <c r="O113" s="70"/>
      <c r="P113" s="70"/>
      <c r="Q113" s="70"/>
      <c r="R113" s="70"/>
      <c r="S113" s="70"/>
      <c r="T113" s="70"/>
      <c r="U113" s="70"/>
      <c r="V113" s="70"/>
      <c r="W113" s="70"/>
      <c r="X113" s="70"/>
      <c r="Y113" s="70"/>
      <c r="Z113" s="70"/>
      <c r="AA113" s="70"/>
      <c r="AB113" s="70"/>
      <c r="AC113" s="70"/>
      <c r="AD113" s="70"/>
      <c r="AE113" s="70"/>
      <c r="AF113" s="70"/>
      <c r="AG113" s="70"/>
      <c r="AH113" s="70"/>
      <c r="AI113" s="70"/>
      <c r="AJ113" s="70"/>
      <c r="AK113" s="70"/>
      <c r="AL113" s="70"/>
      <c r="AM113" s="70"/>
      <c r="AN113" s="70"/>
      <c r="AO113" s="70"/>
      <c r="AP113" s="89"/>
      <c r="AQ113" s="89"/>
    </row>
    <row r="114" spans="1:43" ht="15.75" thickBot="1" x14ac:dyDescent="0.3">
      <c r="A114" t="s">
        <v>52</v>
      </c>
      <c r="B114" t="s">
        <v>159</v>
      </c>
      <c r="C114" t="s">
        <v>1062</v>
      </c>
      <c r="D114" t="s">
        <v>160</v>
      </c>
      <c r="E114" s="30" t="s">
        <v>15</v>
      </c>
      <c r="F114" s="30" t="s">
        <v>28</v>
      </c>
      <c r="G114" s="30"/>
      <c r="H114" s="30" t="s">
        <v>676</v>
      </c>
      <c r="I114" s="31">
        <f t="shared" si="7"/>
        <v>28</v>
      </c>
      <c r="J114" s="147" t="s">
        <v>1757</v>
      </c>
      <c r="K114" s="31">
        <f t="shared" si="8"/>
        <v>0</v>
      </c>
      <c r="L114" s="32">
        <f t="shared" si="9"/>
        <v>1</v>
      </c>
      <c r="M114" s="70"/>
      <c r="N114" s="70"/>
      <c r="O114" s="70"/>
      <c r="P114" s="70"/>
      <c r="Q114" s="70"/>
      <c r="R114" s="70"/>
      <c r="S114" s="70"/>
      <c r="T114" s="70"/>
      <c r="U114" s="70"/>
      <c r="V114" s="70"/>
      <c r="W114" s="70"/>
      <c r="X114" s="70"/>
      <c r="Y114" s="70"/>
      <c r="Z114" s="70"/>
      <c r="AA114" s="70"/>
      <c r="AB114" s="70"/>
      <c r="AC114" s="70"/>
      <c r="AD114" s="70"/>
      <c r="AE114" s="70"/>
      <c r="AF114" s="70"/>
      <c r="AG114" s="70"/>
      <c r="AH114" s="70"/>
      <c r="AI114" s="70"/>
      <c r="AJ114" s="70"/>
      <c r="AK114" s="70"/>
      <c r="AL114" s="70"/>
      <c r="AM114" s="70"/>
      <c r="AN114" s="70"/>
      <c r="AO114" s="70"/>
      <c r="AP114" s="70"/>
      <c r="AQ114" s="70"/>
    </row>
    <row r="115" spans="1:43" ht="15.75" thickBot="1" x14ac:dyDescent="0.3">
      <c r="A115" t="s">
        <v>52</v>
      </c>
      <c r="B115" t="s">
        <v>65</v>
      </c>
      <c r="C115" t="s">
        <v>1062</v>
      </c>
      <c r="D115" t="s">
        <v>66</v>
      </c>
      <c r="E115" s="30" t="s">
        <v>19</v>
      </c>
      <c r="F115" s="30" t="s">
        <v>28</v>
      </c>
      <c r="G115" s="30"/>
      <c r="H115" s="30" t="s">
        <v>677</v>
      </c>
      <c r="I115" s="31">
        <f t="shared" si="7"/>
        <v>28</v>
      </c>
      <c r="J115" s="147" t="s">
        <v>1758</v>
      </c>
      <c r="K115" s="31">
        <f t="shared" si="8"/>
        <v>0</v>
      </c>
      <c r="L115" s="32">
        <f t="shared" si="9"/>
        <v>1</v>
      </c>
      <c r="M115" s="70"/>
      <c r="N115" s="70"/>
      <c r="O115" s="70"/>
      <c r="P115" s="70"/>
      <c r="Q115" s="70"/>
      <c r="R115" s="70"/>
      <c r="S115" s="70"/>
      <c r="T115" s="70"/>
      <c r="U115" s="70"/>
      <c r="V115" s="70"/>
      <c r="W115" s="70"/>
      <c r="X115" s="70"/>
      <c r="Y115" s="70"/>
      <c r="Z115" s="70"/>
      <c r="AA115" s="70"/>
      <c r="AB115" s="70"/>
      <c r="AC115" s="70"/>
      <c r="AD115" s="70"/>
      <c r="AE115" s="70"/>
      <c r="AF115" s="70"/>
      <c r="AG115" s="70"/>
      <c r="AH115" s="70"/>
      <c r="AI115" s="70"/>
      <c r="AJ115" s="70"/>
      <c r="AK115" s="70"/>
      <c r="AL115" s="70"/>
      <c r="AM115" s="70"/>
      <c r="AN115" s="70"/>
      <c r="AO115" s="70"/>
      <c r="AP115" s="70"/>
      <c r="AQ115" s="70"/>
    </row>
    <row r="116" spans="1:43" s="73" customFormat="1" ht="15.75" thickBot="1" x14ac:dyDescent="0.3">
      <c r="A116" s="73" t="s">
        <v>52</v>
      </c>
      <c r="B116" s="73" t="s">
        <v>67</v>
      </c>
      <c r="C116" s="73" t="s">
        <v>1062</v>
      </c>
      <c r="D116" s="73" t="s">
        <v>68</v>
      </c>
      <c r="E116" s="85" t="s">
        <v>19</v>
      </c>
      <c r="F116" s="85" t="s">
        <v>1301</v>
      </c>
      <c r="G116" s="85"/>
      <c r="H116" s="85" t="s">
        <v>678</v>
      </c>
      <c r="I116" s="142">
        <f t="shared" si="7"/>
        <v>28</v>
      </c>
      <c r="J116" s="147" t="s">
        <v>1759</v>
      </c>
      <c r="K116" s="142">
        <f t="shared" si="8"/>
        <v>0</v>
      </c>
      <c r="L116" s="143">
        <f t="shared" si="9"/>
        <v>1</v>
      </c>
      <c r="M116" s="70"/>
      <c r="N116" s="70"/>
      <c r="O116" s="70"/>
      <c r="P116" s="70"/>
      <c r="Q116" s="70"/>
      <c r="R116" s="70"/>
      <c r="S116" s="70"/>
      <c r="T116" s="70"/>
      <c r="U116" s="70"/>
      <c r="V116" s="70"/>
      <c r="W116" s="70"/>
      <c r="X116" s="70"/>
      <c r="Y116" s="70"/>
      <c r="Z116" s="70"/>
      <c r="AA116" s="70"/>
      <c r="AB116" s="70"/>
      <c r="AC116" s="70"/>
      <c r="AD116" s="70"/>
      <c r="AE116" s="70"/>
      <c r="AF116" s="70"/>
      <c r="AG116" s="70"/>
      <c r="AH116" s="70"/>
      <c r="AI116" s="70"/>
      <c r="AJ116" s="70"/>
      <c r="AK116" s="70"/>
      <c r="AL116" s="70"/>
      <c r="AM116" s="70"/>
      <c r="AN116" s="70"/>
      <c r="AO116" s="70"/>
      <c r="AP116" s="89"/>
      <c r="AQ116" s="89"/>
    </row>
    <row r="117" spans="1:43" ht="13.9" customHeight="1" thickBot="1" x14ac:dyDescent="0.3">
      <c r="A117" t="s">
        <v>52</v>
      </c>
      <c r="B117" t="s">
        <v>69</v>
      </c>
      <c r="C117" t="s">
        <v>1062</v>
      </c>
      <c r="D117" t="s">
        <v>70</v>
      </c>
      <c r="E117" s="30" t="s">
        <v>19</v>
      </c>
      <c r="F117" s="30" t="s">
        <v>28</v>
      </c>
      <c r="G117" s="30"/>
      <c r="H117" s="30" t="s">
        <v>679</v>
      </c>
      <c r="I117" s="31">
        <f t="shared" si="7"/>
        <v>28</v>
      </c>
      <c r="J117" s="147" t="s">
        <v>1760</v>
      </c>
      <c r="K117" s="31">
        <f t="shared" si="8"/>
        <v>0</v>
      </c>
      <c r="L117" s="32">
        <f t="shared" si="9"/>
        <v>1</v>
      </c>
      <c r="M117" s="70"/>
      <c r="N117" s="70"/>
      <c r="O117" s="70"/>
      <c r="P117" s="70"/>
      <c r="Q117" s="70"/>
      <c r="R117" s="70"/>
      <c r="S117" s="70"/>
      <c r="T117" s="70"/>
      <c r="U117" s="70"/>
      <c r="V117" s="70"/>
      <c r="W117" s="70"/>
      <c r="X117" s="70"/>
      <c r="Y117" s="70"/>
      <c r="Z117" s="70"/>
      <c r="AA117" s="70"/>
      <c r="AB117" s="70"/>
      <c r="AC117" s="70"/>
      <c r="AD117" s="70"/>
      <c r="AE117" s="70"/>
      <c r="AF117" s="70"/>
      <c r="AG117" s="70"/>
      <c r="AH117" s="70"/>
      <c r="AI117" s="70"/>
      <c r="AJ117" s="70"/>
      <c r="AK117" s="70"/>
      <c r="AL117" s="70"/>
      <c r="AM117" s="70"/>
      <c r="AN117" s="70"/>
      <c r="AO117" s="70"/>
      <c r="AP117" s="70"/>
      <c r="AQ117" s="70"/>
    </row>
    <row r="118" spans="1:43" ht="15.75" thickBot="1" x14ac:dyDescent="0.3">
      <c r="A118" t="s">
        <v>52</v>
      </c>
      <c r="B118" t="s">
        <v>161</v>
      </c>
      <c r="C118" t="s">
        <v>1062</v>
      </c>
      <c r="D118" t="s">
        <v>162</v>
      </c>
      <c r="E118" s="30" t="s">
        <v>15</v>
      </c>
      <c r="F118" s="30" t="s">
        <v>28</v>
      </c>
      <c r="G118" s="30"/>
      <c r="H118" s="30" t="s">
        <v>680</v>
      </c>
      <c r="I118" s="31">
        <f t="shared" si="7"/>
        <v>28</v>
      </c>
      <c r="J118" s="147" t="s">
        <v>1761</v>
      </c>
      <c r="K118" s="31">
        <f t="shared" si="8"/>
        <v>0</v>
      </c>
      <c r="L118" s="32">
        <f t="shared" si="9"/>
        <v>1</v>
      </c>
      <c r="M118" s="70"/>
      <c r="N118" s="70"/>
      <c r="O118" s="70"/>
      <c r="P118" s="70"/>
      <c r="Q118" s="70"/>
      <c r="R118" s="70"/>
      <c r="S118" s="70"/>
      <c r="T118" s="70"/>
      <c r="U118" s="70"/>
      <c r="V118" s="70"/>
      <c r="W118" s="70"/>
      <c r="X118" s="70"/>
      <c r="Y118" s="70"/>
      <c r="Z118" s="70"/>
      <c r="AA118" s="70"/>
      <c r="AB118" s="70"/>
      <c r="AC118" s="70"/>
      <c r="AD118" s="70"/>
      <c r="AE118" s="70"/>
      <c r="AF118" s="70"/>
      <c r="AG118" s="70"/>
      <c r="AH118" s="70"/>
      <c r="AI118" s="70"/>
      <c r="AJ118" s="70"/>
      <c r="AK118" s="70"/>
      <c r="AL118" s="70"/>
      <c r="AM118" s="70"/>
      <c r="AN118" s="70"/>
      <c r="AO118" s="70"/>
      <c r="AP118" s="70"/>
      <c r="AQ118" s="70"/>
    </row>
    <row r="119" spans="1:43" ht="15.75" thickBot="1" x14ac:dyDescent="0.3">
      <c r="A119" t="s">
        <v>52</v>
      </c>
      <c r="B119" t="s">
        <v>163</v>
      </c>
      <c r="C119" t="s">
        <v>1062</v>
      </c>
      <c r="D119" t="s">
        <v>164</v>
      </c>
      <c r="E119" s="30" t="s">
        <v>19</v>
      </c>
      <c r="F119" s="30" t="s">
        <v>28</v>
      </c>
      <c r="G119" s="30"/>
      <c r="H119" s="30" t="s">
        <v>681</v>
      </c>
      <c r="I119" s="31">
        <f t="shared" si="7"/>
        <v>28</v>
      </c>
      <c r="J119" s="147" t="s">
        <v>1762</v>
      </c>
      <c r="K119" s="31">
        <f t="shared" si="8"/>
        <v>0</v>
      </c>
      <c r="L119" s="32">
        <f t="shared" si="9"/>
        <v>1</v>
      </c>
      <c r="M119" s="70"/>
      <c r="N119" s="70"/>
      <c r="O119" s="70"/>
      <c r="P119" s="70"/>
      <c r="Q119" s="70"/>
      <c r="R119" s="70"/>
      <c r="S119" s="70"/>
      <c r="T119" s="70"/>
      <c r="U119" s="70"/>
      <c r="V119" s="70"/>
      <c r="W119" s="70"/>
      <c r="X119" s="70"/>
      <c r="Y119" s="70"/>
      <c r="Z119" s="70"/>
      <c r="AA119" s="70"/>
      <c r="AB119" s="70"/>
      <c r="AC119" s="70"/>
      <c r="AD119" s="70"/>
      <c r="AE119" s="70"/>
      <c r="AF119" s="70"/>
      <c r="AG119" s="70"/>
      <c r="AH119" s="70"/>
      <c r="AI119" s="70"/>
      <c r="AJ119" s="70"/>
      <c r="AK119" s="70"/>
      <c r="AL119" s="70"/>
      <c r="AM119" s="70"/>
      <c r="AN119" s="70"/>
      <c r="AO119" s="70"/>
      <c r="AP119" s="70"/>
      <c r="AQ119" s="70"/>
    </row>
    <row r="120" spans="1:43" s="73" customFormat="1" ht="15.75" thickBot="1" x14ac:dyDescent="0.3">
      <c r="A120" s="73" t="s">
        <v>52</v>
      </c>
      <c r="B120" s="73" t="s">
        <v>931</v>
      </c>
      <c r="C120" s="73" t="s">
        <v>1062</v>
      </c>
      <c r="D120" s="73" t="s">
        <v>932</v>
      </c>
      <c r="E120" s="85" t="s">
        <v>19</v>
      </c>
      <c r="F120" s="85" t="s">
        <v>1301</v>
      </c>
      <c r="G120" s="85"/>
      <c r="H120" s="85" t="s">
        <v>1214</v>
      </c>
      <c r="I120" s="142">
        <f t="shared" si="7"/>
        <v>27</v>
      </c>
      <c r="J120" s="147" t="s">
        <v>1763</v>
      </c>
      <c r="K120" s="142">
        <f t="shared" si="8"/>
        <v>1</v>
      </c>
      <c r="L120" s="143">
        <f t="shared" si="9"/>
        <v>0.9642857142857143</v>
      </c>
      <c r="M120" s="70" t="s">
        <v>2213</v>
      </c>
      <c r="N120" s="70"/>
      <c r="O120" s="70"/>
      <c r="P120" s="70"/>
      <c r="Q120" s="70"/>
      <c r="R120" s="70"/>
      <c r="S120" s="70"/>
      <c r="T120" s="70"/>
      <c r="U120" s="70"/>
      <c r="V120" s="70"/>
      <c r="W120" s="70"/>
      <c r="X120" s="70"/>
      <c r="Y120" s="70"/>
      <c r="Z120" s="70"/>
      <c r="AA120" s="70"/>
      <c r="AB120" s="70"/>
      <c r="AC120" s="70"/>
      <c r="AD120" s="70"/>
      <c r="AE120" s="70"/>
      <c r="AF120" s="70"/>
      <c r="AG120" s="70"/>
      <c r="AH120" s="70"/>
      <c r="AI120" s="70"/>
      <c r="AJ120" s="70"/>
      <c r="AK120" s="70"/>
      <c r="AL120" s="70"/>
      <c r="AM120" s="70"/>
      <c r="AN120" s="70"/>
      <c r="AO120" s="70"/>
      <c r="AP120" s="89"/>
      <c r="AQ120" s="89"/>
    </row>
    <row r="121" spans="1:43" ht="15.75" thickBot="1" x14ac:dyDescent="0.3">
      <c r="A121" t="s">
        <v>52</v>
      </c>
      <c r="B121" t="s">
        <v>933</v>
      </c>
      <c r="C121" t="s">
        <v>1062</v>
      </c>
      <c r="D121" t="s">
        <v>1078</v>
      </c>
      <c r="E121" s="30" t="s">
        <v>73</v>
      </c>
      <c r="F121" s="30" t="s">
        <v>28</v>
      </c>
      <c r="G121" s="30"/>
      <c r="H121" s="30" t="s">
        <v>1496</v>
      </c>
      <c r="I121" s="31">
        <f t="shared" si="7"/>
        <v>28</v>
      </c>
      <c r="J121" s="147" t="s">
        <v>1764</v>
      </c>
      <c r="K121" s="31">
        <f t="shared" si="8"/>
        <v>0</v>
      </c>
      <c r="L121" s="32">
        <f t="shared" si="9"/>
        <v>1</v>
      </c>
      <c r="M121" s="70"/>
      <c r="N121" s="70"/>
      <c r="O121" s="70"/>
      <c r="P121" s="70"/>
      <c r="Q121" s="70"/>
      <c r="R121" s="70"/>
      <c r="S121" s="70"/>
      <c r="T121" s="70"/>
      <c r="U121" s="70"/>
      <c r="V121" s="70"/>
      <c r="W121" s="70"/>
      <c r="X121" s="70"/>
      <c r="Y121" s="70"/>
      <c r="Z121" s="70"/>
      <c r="AA121" s="70"/>
      <c r="AB121" s="70"/>
      <c r="AC121" s="70"/>
      <c r="AD121" s="70"/>
      <c r="AE121" s="70"/>
      <c r="AF121" s="70"/>
      <c r="AG121" s="70"/>
      <c r="AH121" s="70"/>
      <c r="AI121" s="70"/>
      <c r="AJ121" s="70"/>
      <c r="AK121" s="70"/>
      <c r="AL121" s="70"/>
      <c r="AM121" s="70"/>
      <c r="AN121" s="70"/>
      <c r="AO121" s="70"/>
      <c r="AP121" s="70"/>
      <c r="AQ121" s="70"/>
    </row>
    <row r="122" spans="1:43" ht="15.75" thickBot="1" x14ac:dyDescent="0.3">
      <c r="A122" t="s">
        <v>52</v>
      </c>
      <c r="B122" t="s">
        <v>1109</v>
      </c>
      <c r="C122" t="s">
        <v>1062</v>
      </c>
      <c r="D122" t="s">
        <v>1108</v>
      </c>
      <c r="E122" s="30" t="s">
        <v>73</v>
      </c>
      <c r="F122" s="30" t="s">
        <v>28</v>
      </c>
      <c r="G122" s="30"/>
      <c r="H122" s="30" t="s">
        <v>1110</v>
      </c>
      <c r="I122" s="31">
        <f t="shared" si="7"/>
        <v>28</v>
      </c>
      <c r="J122" s="147" t="s">
        <v>1765</v>
      </c>
      <c r="K122" s="31">
        <f t="shared" si="8"/>
        <v>0</v>
      </c>
      <c r="L122" s="32">
        <f t="shared" si="9"/>
        <v>1</v>
      </c>
      <c r="M122" s="70"/>
      <c r="N122" s="70"/>
      <c r="O122" s="70"/>
      <c r="P122" s="70"/>
      <c r="Q122" s="70"/>
      <c r="R122" s="70"/>
      <c r="S122" s="70"/>
      <c r="T122" s="70"/>
      <c r="U122" s="70"/>
      <c r="V122" s="70"/>
      <c r="W122" s="70"/>
      <c r="X122" s="70"/>
      <c r="Y122" s="70"/>
      <c r="Z122" s="70"/>
      <c r="AA122" s="70"/>
      <c r="AB122" s="70"/>
      <c r="AC122" s="70"/>
      <c r="AD122" s="70"/>
      <c r="AE122" s="70"/>
      <c r="AF122" s="70"/>
      <c r="AG122" s="70"/>
      <c r="AH122" s="70"/>
      <c r="AI122" s="70"/>
      <c r="AJ122" s="70"/>
      <c r="AK122" s="70"/>
      <c r="AL122" s="70"/>
      <c r="AM122" s="70"/>
      <c r="AN122" s="70"/>
      <c r="AO122" s="70"/>
      <c r="AP122" s="70"/>
      <c r="AQ122" s="70"/>
    </row>
    <row r="123" spans="1:43" ht="15.75" thickBot="1" x14ac:dyDescent="0.3">
      <c r="A123" t="s">
        <v>52</v>
      </c>
      <c r="B123" s="30" t="s">
        <v>1118</v>
      </c>
      <c r="C123" s="30" t="s">
        <v>1062</v>
      </c>
      <c r="D123" t="s">
        <v>122</v>
      </c>
      <c r="E123" s="30" t="s">
        <v>73</v>
      </c>
      <c r="F123" s="30" t="s">
        <v>28</v>
      </c>
      <c r="G123" s="30"/>
      <c r="H123" s="30" t="s">
        <v>1119</v>
      </c>
      <c r="I123" s="31">
        <f t="shared" si="7"/>
        <v>28</v>
      </c>
      <c r="J123" s="147" t="s">
        <v>1766</v>
      </c>
      <c r="K123" s="31">
        <f t="shared" si="8"/>
        <v>0</v>
      </c>
      <c r="L123" s="32">
        <f t="shared" si="9"/>
        <v>1</v>
      </c>
      <c r="M123" s="70"/>
      <c r="N123" s="70"/>
      <c r="O123" s="70"/>
      <c r="P123" s="70"/>
      <c r="Q123" s="70"/>
      <c r="R123" s="70"/>
      <c r="S123" s="70"/>
      <c r="T123" s="70"/>
      <c r="U123" s="70"/>
      <c r="V123" s="70"/>
      <c r="W123" s="70"/>
      <c r="X123" s="70"/>
      <c r="Y123" s="70"/>
      <c r="Z123" s="70"/>
      <c r="AA123" s="70"/>
      <c r="AB123" s="70"/>
      <c r="AC123" s="70"/>
      <c r="AD123" s="70"/>
      <c r="AE123" s="70"/>
      <c r="AF123" s="70"/>
      <c r="AG123" s="70"/>
      <c r="AH123" s="70"/>
      <c r="AI123" s="70"/>
      <c r="AJ123" s="70"/>
      <c r="AK123" s="70"/>
      <c r="AL123" s="70"/>
      <c r="AM123" s="70"/>
      <c r="AN123" s="70"/>
      <c r="AO123" s="70"/>
      <c r="AP123" s="70"/>
      <c r="AQ123" s="70"/>
    </row>
    <row r="124" spans="1:43" ht="15.75" thickBot="1" x14ac:dyDescent="0.3">
      <c r="A124" t="s">
        <v>52</v>
      </c>
      <c r="B124" s="30" t="s">
        <v>1111</v>
      </c>
      <c r="C124" s="30" t="s">
        <v>1062</v>
      </c>
      <c r="D124" t="s">
        <v>1113</v>
      </c>
      <c r="E124" s="30" t="s">
        <v>73</v>
      </c>
      <c r="F124" s="30" t="s">
        <v>28</v>
      </c>
      <c r="G124" s="30"/>
      <c r="H124" s="30" t="s">
        <v>1120</v>
      </c>
      <c r="I124" s="31">
        <f t="shared" si="7"/>
        <v>28</v>
      </c>
      <c r="J124" s="147" t="s">
        <v>1767</v>
      </c>
      <c r="K124" s="31">
        <f t="shared" si="8"/>
        <v>0</v>
      </c>
      <c r="L124" s="32">
        <f t="shared" si="9"/>
        <v>1</v>
      </c>
      <c r="M124" s="70"/>
      <c r="N124" s="70"/>
      <c r="O124" s="70"/>
      <c r="P124" s="70"/>
      <c r="Q124" s="70"/>
      <c r="R124" s="70"/>
      <c r="S124" s="70"/>
      <c r="T124" s="70"/>
      <c r="U124" s="70"/>
      <c r="V124" s="70"/>
      <c r="W124" s="70"/>
      <c r="X124" s="70"/>
      <c r="Y124" s="70"/>
      <c r="Z124" s="70"/>
      <c r="AA124" s="70"/>
      <c r="AB124" s="70"/>
      <c r="AC124" s="70"/>
      <c r="AD124" s="70"/>
      <c r="AE124" s="70"/>
      <c r="AF124" s="70"/>
      <c r="AG124" s="70"/>
      <c r="AH124" s="70"/>
      <c r="AI124" s="70"/>
      <c r="AJ124" s="70"/>
      <c r="AK124" s="70"/>
      <c r="AL124" s="70"/>
      <c r="AM124" s="70"/>
      <c r="AN124" s="70"/>
      <c r="AO124" s="70"/>
      <c r="AP124" s="70"/>
      <c r="AQ124" s="70"/>
    </row>
    <row r="125" spans="1:43" ht="15.75" thickBot="1" x14ac:dyDescent="0.3">
      <c r="A125" t="s">
        <v>52</v>
      </c>
      <c r="B125" s="30" t="s">
        <v>1112</v>
      </c>
      <c r="C125" s="30" t="s">
        <v>1062</v>
      </c>
      <c r="D125" t="s">
        <v>1113</v>
      </c>
      <c r="E125" s="30" t="s">
        <v>73</v>
      </c>
      <c r="F125" s="30" t="s">
        <v>28</v>
      </c>
      <c r="G125" s="30"/>
      <c r="H125" s="30" t="s">
        <v>1121</v>
      </c>
      <c r="I125" s="31">
        <f t="shared" si="7"/>
        <v>28</v>
      </c>
      <c r="J125" s="147" t="s">
        <v>1768</v>
      </c>
      <c r="K125" s="31">
        <f t="shared" si="8"/>
        <v>0</v>
      </c>
      <c r="L125" s="32">
        <f t="shared" si="9"/>
        <v>1</v>
      </c>
      <c r="M125" s="70"/>
      <c r="N125" s="70"/>
      <c r="O125" s="70"/>
      <c r="P125" s="70"/>
      <c r="Q125" s="70"/>
      <c r="R125" s="70"/>
      <c r="S125" s="70"/>
      <c r="T125" s="70"/>
      <c r="U125" s="70"/>
      <c r="V125" s="70"/>
      <c r="W125" s="70"/>
      <c r="X125" s="70"/>
      <c r="Y125" s="70"/>
      <c r="Z125" s="70"/>
      <c r="AA125" s="70"/>
      <c r="AB125" s="70"/>
      <c r="AC125" s="70"/>
      <c r="AD125" s="70"/>
      <c r="AE125" s="70"/>
      <c r="AF125" s="70"/>
      <c r="AG125" s="70"/>
      <c r="AH125" s="70"/>
      <c r="AI125" s="70"/>
      <c r="AJ125" s="70"/>
      <c r="AK125" s="70"/>
      <c r="AL125" s="70"/>
      <c r="AM125" s="70"/>
      <c r="AN125" s="70"/>
      <c r="AO125" s="70"/>
      <c r="AP125" s="70"/>
      <c r="AQ125" s="70"/>
    </row>
    <row r="126" spans="1:43" ht="15.75" thickBot="1" x14ac:dyDescent="0.3">
      <c r="A126" t="s">
        <v>52</v>
      </c>
      <c r="B126" s="30" t="s">
        <v>1182</v>
      </c>
      <c r="C126" s="30" t="s">
        <v>1062</v>
      </c>
      <c r="D126" t="s">
        <v>93</v>
      </c>
      <c r="E126" s="30" t="s">
        <v>73</v>
      </c>
      <c r="F126" s="30" t="s">
        <v>28</v>
      </c>
      <c r="G126" s="30"/>
      <c r="H126" s="30" t="s">
        <v>1183</v>
      </c>
      <c r="I126" s="31">
        <f t="shared" si="7"/>
        <v>28</v>
      </c>
      <c r="J126" s="147" t="s">
        <v>1769</v>
      </c>
      <c r="K126" s="31">
        <f t="shared" si="8"/>
        <v>0</v>
      </c>
      <c r="L126" s="32">
        <f t="shared" si="9"/>
        <v>1</v>
      </c>
      <c r="M126" s="70"/>
      <c r="N126" s="70"/>
      <c r="O126" s="70"/>
      <c r="P126" s="70"/>
      <c r="Q126" s="70"/>
      <c r="R126" s="70"/>
      <c r="S126" s="70"/>
      <c r="T126" s="70"/>
      <c r="U126" s="70"/>
      <c r="V126" s="70"/>
      <c r="W126" s="70"/>
      <c r="X126" s="70"/>
      <c r="Y126" s="70"/>
      <c r="Z126" s="70"/>
      <c r="AA126" s="70"/>
      <c r="AB126" s="70"/>
      <c r="AC126" s="70"/>
      <c r="AD126" s="70"/>
      <c r="AE126" s="70"/>
      <c r="AF126" s="70"/>
      <c r="AG126" s="70"/>
      <c r="AH126" s="70"/>
      <c r="AI126" s="70"/>
      <c r="AJ126" s="70"/>
      <c r="AK126" s="70"/>
      <c r="AL126" s="70"/>
      <c r="AM126" s="70"/>
      <c r="AN126" s="70"/>
      <c r="AO126" s="70"/>
      <c r="AP126" s="70"/>
      <c r="AQ126" s="70"/>
    </row>
    <row r="127" spans="1:43" s="73" customFormat="1" ht="15.75" thickBot="1" x14ac:dyDescent="0.3">
      <c r="A127" s="73" t="s">
        <v>52</v>
      </c>
      <c r="B127" s="85" t="s">
        <v>1198</v>
      </c>
      <c r="C127" s="85" t="s">
        <v>1062</v>
      </c>
      <c r="D127" s="73" t="s">
        <v>1199</v>
      </c>
      <c r="E127" s="85" t="s">
        <v>19</v>
      </c>
      <c r="F127" s="85" t="s">
        <v>1301</v>
      </c>
      <c r="G127" s="85"/>
      <c r="H127" s="85" t="s">
        <v>1200</v>
      </c>
      <c r="I127" s="142">
        <f t="shared" si="7"/>
        <v>26</v>
      </c>
      <c r="J127" s="148" t="s">
        <v>1770</v>
      </c>
      <c r="K127" s="142">
        <f t="shared" si="8"/>
        <v>2</v>
      </c>
      <c r="L127" s="143">
        <f t="shared" si="9"/>
        <v>0.9285714285714286</v>
      </c>
      <c r="M127" s="70"/>
      <c r="N127" s="70"/>
      <c r="O127" s="70"/>
      <c r="P127" s="70"/>
      <c r="Q127" s="70"/>
      <c r="R127" s="70" t="s">
        <v>2213</v>
      </c>
      <c r="S127" s="70" t="s">
        <v>2213</v>
      </c>
      <c r="T127" s="70"/>
      <c r="U127" s="70"/>
      <c r="V127" s="70"/>
      <c r="W127" s="70"/>
      <c r="X127" s="70"/>
      <c r="Y127" s="70"/>
      <c r="Z127" s="70"/>
      <c r="AA127" s="70"/>
      <c r="AB127" s="70"/>
      <c r="AC127" s="70"/>
      <c r="AD127" s="70"/>
      <c r="AE127" s="70"/>
      <c r="AF127" s="70"/>
      <c r="AG127" s="70"/>
      <c r="AH127" s="70"/>
      <c r="AI127" s="70"/>
      <c r="AJ127" s="70"/>
      <c r="AK127" s="70"/>
      <c r="AL127" s="70"/>
      <c r="AM127" s="70"/>
      <c r="AN127" s="70"/>
      <c r="AO127" s="70"/>
      <c r="AP127" s="89"/>
      <c r="AQ127" s="89"/>
    </row>
    <row r="128" spans="1:43" s="73" customFormat="1" ht="15.75" thickBot="1" x14ac:dyDescent="0.3">
      <c r="A128" s="73" t="s">
        <v>52</v>
      </c>
      <c r="B128" s="85" t="s">
        <v>1195</v>
      </c>
      <c r="C128" s="85" t="s">
        <v>1062</v>
      </c>
      <c r="D128" s="73" t="s">
        <v>1196</v>
      </c>
      <c r="E128" s="85" t="s">
        <v>19</v>
      </c>
      <c r="F128" s="85" t="s">
        <v>1301</v>
      </c>
      <c r="G128" s="85"/>
      <c r="H128" s="85" t="s">
        <v>1197</v>
      </c>
      <c r="I128" s="142">
        <f t="shared" si="7"/>
        <v>23</v>
      </c>
      <c r="J128" s="147" t="s">
        <v>1771</v>
      </c>
      <c r="K128" s="142">
        <f t="shared" si="8"/>
        <v>5</v>
      </c>
      <c r="L128" s="143">
        <f t="shared" si="9"/>
        <v>0.8214285714285714</v>
      </c>
      <c r="M128" s="70" t="s">
        <v>2213</v>
      </c>
      <c r="N128" s="70" t="s">
        <v>2213</v>
      </c>
      <c r="O128" s="70" t="s">
        <v>2213</v>
      </c>
      <c r="P128" s="70" t="s">
        <v>2213</v>
      </c>
      <c r="Q128" s="70" t="s">
        <v>2213</v>
      </c>
      <c r="R128" s="70"/>
      <c r="S128" s="70"/>
      <c r="T128" s="70"/>
      <c r="U128" s="70"/>
      <c r="V128" s="70"/>
      <c r="W128" s="70"/>
      <c r="X128" s="70"/>
      <c r="Y128" s="70"/>
      <c r="Z128" s="70"/>
      <c r="AA128" s="70"/>
      <c r="AB128" s="70"/>
      <c r="AC128" s="70"/>
      <c r="AD128" s="70"/>
      <c r="AE128" s="70"/>
      <c r="AF128" s="70"/>
      <c r="AG128" s="70"/>
      <c r="AH128" s="70"/>
      <c r="AI128" s="70"/>
      <c r="AJ128" s="70"/>
      <c r="AK128" s="70"/>
      <c r="AL128" s="70"/>
      <c r="AM128" s="70"/>
      <c r="AN128" s="70"/>
      <c r="AO128" s="70"/>
      <c r="AP128" s="89"/>
      <c r="AQ128" s="89"/>
    </row>
    <row r="129" spans="1:43" s="73" customFormat="1" ht="15.75" thickBot="1" x14ac:dyDescent="0.3">
      <c r="A129" s="73" t="s">
        <v>52</v>
      </c>
      <c r="B129" s="73" t="s">
        <v>1223</v>
      </c>
      <c r="C129" s="85" t="s">
        <v>1062</v>
      </c>
      <c r="D129" s="73" t="s">
        <v>1224</v>
      </c>
      <c r="E129" s="73" t="s">
        <v>73</v>
      </c>
      <c r="F129" s="73" t="s">
        <v>1301</v>
      </c>
      <c r="H129" s="85" t="s">
        <v>1311</v>
      </c>
      <c r="I129" s="142">
        <f t="shared" si="7"/>
        <v>28</v>
      </c>
      <c r="J129" s="147" t="s">
        <v>1772</v>
      </c>
      <c r="K129" s="142">
        <f t="shared" si="8"/>
        <v>0</v>
      </c>
      <c r="L129" s="143">
        <f t="shared" si="9"/>
        <v>1</v>
      </c>
      <c r="M129" s="70"/>
      <c r="N129" s="70"/>
      <c r="O129" s="70"/>
      <c r="P129" s="70"/>
      <c r="Q129" s="70"/>
      <c r="R129" s="70"/>
      <c r="S129" s="70"/>
      <c r="T129" s="70"/>
      <c r="U129" s="70"/>
      <c r="V129" s="70"/>
      <c r="W129" s="70"/>
      <c r="X129" s="70"/>
      <c r="Y129" s="70"/>
      <c r="Z129" s="70"/>
      <c r="AA129" s="70"/>
      <c r="AB129" s="70"/>
      <c r="AC129" s="70"/>
      <c r="AD129" s="70"/>
      <c r="AE129" s="70"/>
      <c r="AF129" s="70"/>
      <c r="AG129" s="70"/>
      <c r="AH129" s="70"/>
      <c r="AI129" s="70"/>
      <c r="AJ129" s="70"/>
      <c r="AK129" s="70"/>
      <c r="AL129" s="70"/>
      <c r="AM129" s="70"/>
      <c r="AN129" s="70"/>
      <c r="AO129" s="70"/>
      <c r="AP129" s="89"/>
      <c r="AQ129" s="89"/>
    </row>
    <row r="130" spans="1:43" ht="15.75" thickBot="1" x14ac:dyDescent="0.3">
      <c r="A130" s="69" t="s">
        <v>52</v>
      </c>
      <c r="B130" t="s">
        <v>1225</v>
      </c>
      <c r="C130" s="30" t="s">
        <v>1062</v>
      </c>
      <c r="D130" t="s">
        <v>1226</v>
      </c>
      <c r="E130" t="s">
        <v>73</v>
      </c>
      <c r="F130" t="s">
        <v>28</v>
      </c>
      <c r="G130"/>
      <c r="H130" s="30" t="s">
        <v>1322</v>
      </c>
      <c r="I130" s="31">
        <f t="shared" si="7"/>
        <v>24</v>
      </c>
      <c r="J130" s="147" t="s">
        <v>1773</v>
      </c>
      <c r="K130" s="31">
        <f t="shared" si="8"/>
        <v>4</v>
      </c>
      <c r="L130" s="32">
        <f t="shared" si="9"/>
        <v>0.8571428571428571</v>
      </c>
      <c r="M130" s="70"/>
      <c r="N130" s="70"/>
      <c r="O130" s="70"/>
      <c r="P130" s="70" t="s">
        <v>2213</v>
      </c>
      <c r="Q130" s="70"/>
      <c r="R130" s="70" t="s">
        <v>2213</v>
      </c>
      <c r="S130" s="70" t="s">
        <v>2213</v>
      </c>
      <c r="T130" s="70" t="s">
        <v>2213</v>
      </c>
      <c r="U130" s="70"/>
      <c r="V130" s="70"/>
      <c r="W130" s="70"/>
      <c r="X130" s="70"/>
      <c r="Y130" s="70"/>
      <c r="Z130" s="70"/>
      <c r="AA130" s="70"/>
      <c r="AB130" s="70"/>
      <c r="AC130" s="70"/>
      <c r="AD130" s="70"/>
      <c r="AE130" s="70"/>
      <c r="AF130" s="70"/>
      <c r="AG130" s="70"/>
      <c r="AH130" s="70"/>
      <c r="AI130" s="70"/>
      <c r="AJ130" s="70"/>
      <c r="AK130" s="70"/>
      <c r="AL130" s="70"/>
      <c r="AM130" s="70"/>
      <c r="AN130" s="70"/>
      <c r="AO130" s="70"/>
      <c r="AP130" s="70"/>
      <c r="AQ130" s="70"/>
    </row>
    <row r="131" spans="1:43" ht="15.75" thickBot="1" x14ac:dyDescent="0.3">
      <c r="A131" t="s">
        <v>52</v>
      </c>
      <c r="B131" s="30" t="s">
        <v>1299</v>
      </c>
      <c r="C131" s="30" t="s">
        <v>1062</v>
      </c>
      <c r="D131" t="s">
        <v>88</v>
      </c>
      <c r="E131" s="30" t="s">
        <v>73</v>
      </c>
      <c r="F131" s="30" t="s">
        <v>28</v>
      </c>
      <c r="G131" s="30"/>
      <c r="H131" s="30" t="s">
        <v>1298</v>
      </c>
      <c r="I131" s="31">
        <f t="shared" si="7"/>
        <v>28</v>
      </c>
      <c r="J131" s="147" t="s">
        <v>1774</v>
      </c>
      <c r="K131" s="31">
        <f t="shared" si="8"/>
        <v>0</v>
      </c>
      <c r="L131" s="32">
        <f t="shared" si="9"/>
        <v>1</v>
      </c>
      <c r="M131" s="70"/>
      <c r="N131" s="70"/>
      <c r="O131" s="70"/>
      <c r="P131" s="70"/>
      <c r="Q131" s="70"/>
      <c r="R131" s="70"/>
      <c r="S131" s="70"/>
      <c r="T131" s="70"/>
      <c r="U131" s="70"/>
      <c r="V131" s="70"/>
      <c r="W131" s="70"/>
      <c r="X131" s="70"/>
      <c r="Y131" s="70"/>
      <c r="Z131" s="70"/>
      <c r="AA131" s="70"/>
      <c r="AB131" s="70"/>
      <c r="AC131" s="70"/>
      <c r="AD131" s="70"/>
      <c r="AE131" s="70"/>
      <c r="AF131" s="70"/>
      <c r="AG131" s="70"/>
      <c r="AH131" s="70"/>
      <c r="AI131" s="70"/>
      <c r="AJ131" s="70"/>
      <c r="AK131" s="70"/>
      <c r="AL131" s="70"/>
      <c r="AM131" s="70"/>
      <c r="AN131" s="70"/>
      <c r="AO131" s="70"/>
      <c r="AP131" s="70"/>
      <c r="AQ131" s="70"/>
    </row>
    <row r="132" spans="1:43" s="73" customFormat="1" ht="15.75" thickBot="1" x14ac:dyDescent="0.3">
      <c r="A132" s="73" t="s">
        <v>52</v>
      </c>
      <c r="B132" s="85" t="s">
        <v>1324</v>
      </c>
      <c r="C132" s="85" t="s">
        <v>1062</v>
      </c>
      <c r="D132" s="73" t="s">
        <v>1325</v>
      </c>
      <c r="E132" s="85" t="s">
        <v>19</v>
      </c>
      <c r="F132" s="85" t="s">
        <v>1301</v>
      </c>
      <c r="G132" s="85"/>
      <c r="H132" s="85" t="s">
        <v>1326</v>
      </c>
      <c r="I132" s="142">
        <f t="shared" si="7"/>
        <v>26</v>
      </c>
      <c r="J132" s="147" t="s">
        <v>1775</v>
      </c>
      <c r="K132" s="142">
        <f t="shared" si="8"/>
        <v>2</v>
      </c>
      <c r="L132" s="143">
        <f t="shared" si="9"/>
        <v>0.9285714285714286</v>
      </c>
      <c r="M132" s="70"/>
      <c r="N132" s="70"/>
      <c r="O132" s="70"/>
      <c r="P132" s="70"/>
      <c r="Q132" s="70"/>
      <c r="R132" s="70" t="s">
        <v>2213</v>
      </c>
      <c r="S132" s="70" t="s">
        <v>2213</v>
      </c>
      <c r="T132" s="70"/>
      <c r="U132" s="70"/>
      <c r="V132" s="70"/>
      <c r="W132" s="70"/>
      <c r="X132" s="70"/>
      <c r="Y132" s="70"/>
      <c r="Z132" s="70"/>
      <c r="AA132" s="70"/>
      <c r="AB132" s="70"/>
      <c r="AC132" s="70"/>
      <c r="AD132" s="70"/>
      <c r="AE132" s="70"/>
      <c r="AF132" s="70"/>
      <c r="AG132" s="70"/>
      <c r="AH132" s="70"/>
      <c r="AI132" s="70"/>
      <c r="AJ132" s="70"/>
      <c r="AK132" s="70"/>
      <c r="AL132" s="70"/>
      <c r="AM132" s="70"/>
      <c r="AN132" s="70"/>
      <c r="AO132" s="70"/>
      <c r="AP132" s="89"/>
      <c r="AQ132" s="89"/>
    </row>
    <row r="133" spans="1:43" s="73" customFormat="1" ht="15.75" thickBot="1" x14ac:dyDescent="0.3">
      <c r="A133" s="73" t="s">
        <v>52</v>
      </c>
      <c r="B133" s="85" t="s">
        <v>1417</v>
      </c>
      <c r="C133" s="85" t="s">
        <v>1062</v>
      </c>
      <c r="D133" s="73" t="s">
        <v>1531</v>
      </c>
      <c r="E133" s="85" t="s">
        <v>19</v>
      </c>
      <c r="F133" s="85" t="s">
        <v>1301</v>
      </c>
      <c r="G133" s="85"/>
      <c r="H133" s="85" t="s">
        <v>1418</v>
      </c>
      <c r="I133" s="142">
        <f t="shared" si="7"/>
        <v>28</v>
      </c>
      <c r="J133" s="147" t="s">
        <v>1776</v>
      </c>
      <c r="K133" s="142">
        <f t="shared" si="8"/>
        <v>0</v>
      </c>
      <c r="L133" s="143">
        <f t="shared" si="9"/>
        <v>1</v>
      </c>
      <c r="M133" s="70"/>
      <c r="N133" s="70"/>
      <c r="O133" s="70"/>
      <c r="P133" s="70"/>
      <c r="Q133" s="70"/>
      <c r="R133" s="70"/>
      <c r="S133" s="70"/>
      <c r="T133" s="70"/>
      <c r="U133" s="70"/>
      <c r="V133" s="70"/>
      <c r="W133" s="70"/>
      <c r="X133" s="70"/>
      <c r="Y133" s="70"/>
      <c r="Z133" s="70"/>
      <c r="AA133" s="70"/>
      <c r="AB133" s="70"/>
      <c r="AC133" s="70"/>
      <c r="AD133" s="70"/>
      <c r="AE133" s="70"/>
      <c r="AF133" s="70"/>
      <c r="AG133" s="70"/>
      <c r="AH133" s="70"/>
      <c r="AI133" s="70"/>
      <c r="AJ133" s="70"/>
      <c r="AK133" s="70"/>
      <c r="AL133" s="70"/>
      <c r="AM133" s="70"/>
      <c r="AN133" s="70"/>
      <c r="AO133" s="70"/>
      <c r="AP133" s="89"/>
      <c r="AQ133" s="89"/>
    </row>
    <row r="134" spans="1:43" s="73" customFormat="1" ht="18.75" customHeight="1" thickBot="1" x14ac:dyDescent="0.3">
      <c r="A134" s="73" t="s">
        <v>52</v>
      </c>
      <c r="B134" s="85" t="s">
        <v>1508</v>
      </c>
      <c r="C134" s="85" t="s">
        <v>1062</v>
      </c>
      <c r="D134" s="73" t="s">
        <v>1509</v>
      </c>
      <c r="E134" s="85" t="s">
        <v>19</v>
      </c>
      <c r="F134" s="85" t="s">
        <v>1301</v>
      </c>
      <c r="G134" s="85"/>
      <c r="H134" s="85" t="s">
        <v>1513</v>
      </c>
      <c r="I134" s="142">
        <f t="shared" si="7"/>
        <v>28</v>
      </c>
      <c r="J134" s="147" t="s">
        <v>1777</v>
      </c>
      <c r="K134" s="142">
        <f t="shared" si="8"/>
        <v>0</v>
      </c>
      <c r="L134" s="143">
        <f t="shared" si="9"/>
        <v>1</v>
      </c>
      <c r="M134" s="70"/>
      <c r="N134" s="70"/>
      <c r="O134" s="70"/>
      <c r="P134" s="70"/>
      <c r="Q134" s="70"/>
      <c r="R134" s="70"/>
      <c r="S134" s="70"/>
      <c r="T134" s="70"/>
      <c r="U134" s="70"/>
      <c r="V134" s="70"/>
      <c r="W134" s="70"/>
      <c r="X134" s="70"/>
      <c r="Y134" s="70"/>
      <c r="Z134" s="70"/>
      <c r="AA134" s="70"/>
      <c r="AB134" s="70"/>
      <c r="AC134" s="70"/>
      <c r="AD134" s="70"/>
      <c r="AE134" s="70"/>
      <c r="AF134" s="70"/>
      <c r="AG134" s="70"/>
      <c r="AH134" s="70"/>
      <c r="AI134" s="70"/>
      <c r="AJ134" s="70"/>
      <c r="AK134" s="70"/>
      <c r="AL134" s="70"/>
      <c r="AM134" s="70"/>
      <c r="AN134" s="70"/>
      <c r="AO134" s="70"/>
      <c r="AP134" s="89"/>
      <c r="AQ134" s="89"/>
    </row>
    <row r="135" spans="1:43" ht="15.75" thickBot="1" x14ac:dyDescent="0.3">
      <c r="A135" t="s">
        <v>52</v>
      </c>
      <c r="B135" s="30" t="s">
        <v>1487</v>
      </c>
      <c r="C135" s="30" t="s">
        <v>1062</v>
      </c>
      <c r="D135" t="s">
        <v>1486</v>
      </c>
      <c r="E135" s="85" t="s">
        <v>73</v>
      </c>
      <c r="F135" s="85" t="s">
        <v>28</v>
      </c>
      <c r="G135" s="85"/>
      <c r="H135" s="85" t="s">
        <v>1488</v>
      </c>
      <c r="I135" s="142">
        <f t="shared" si="7"/>
        <v>28</v>
      </c>
      <c r="J135" s="147" t="s">
        <v>1778</v>
      </c>
      <c r="K135" s="142">
        <f t="shared" si="8"/>
        <v>0</v>
      </c>
      <c r="L135" s="143">
        <f t="shared" si="9"/>
        <v>1</v>
      </c>
      <c r="M135" s="70"/>
      <c r="N135" s="70"/>
      <c r="O135" s="70"/>
      <c r="P135" s="70"/>
      <c r="Q135" s="70"/>
      <c r="R135" s="70"/>
      <c r="S135" s="70"/>
      <c r="T135" s="70"/>
      <c r="U135" s="70"/>
      <c r="V135" s="70"/>
      <c r="W135" s="70"/>
      <c r="X135" s="70"/>
      <c r="Y135" s="70"/>
      <c r="Z135" s="70"/>
      <c r="AA135" s="70"/>
      <c r="AB135" s="70"/>
      <c r="AC135" s="70"/>
      <c r="AD135" s="70"/>
      <c r="AE135" s="70"/>
      <c r="AF135" s="70"/>
      <c r="AG135" s="70"/>
      <c r="AH135" s="70"/>
      <c r="AI135" s="70"/>
      <c r="AJ135" s="70"/>
      <c r="AK135" s="70"/>
      <c r="AL135" s="70"/>
      <c r="AM135" s="70"/>
      <c r="AN135" s="70"/>
      <c r="AO135" s="70"/>
      <c r="AP135" s="70"/>
      <c r="AQ135" s="70"/>
    </row>
    <row r="136" spans="1:43" ht="15.75" thickBot="1" x14ac:dyDescent="0.3">
      <c r="A136" t="s">
        <v>52</v>
      </c>
      <c r="B136" s="30" t="s">
        <v>1490</v>
      </c>
      <c r="C136" s="30" t="s">
        <v>1062</v>
      </c>
      <c r="D136" t="s">
        <v>1489</v>
      </c>
      <c r="E136" s="85" t="s">
        <v>19</v>
      </c>
      <c r="F136" s="85" t="s">
        <v>28</v>
      </c>
      <c r="G136" s="85"/>
      <c r="H136" s="85" t="s">
        <v>1491</v>
      </c>
      <c r="I136" s="142">
        <f t="shared" si="7"/>
        <v>28</v>
      </c>
      <c r="J136" s="147" t="s">
        <v>1779</v>
      </c>
      <c r="K136" s="142">
        <f t="shared" si="8"/>
        <v>0</v>
      </c>
      <c r="L136" s="143">
        <f t="shared" si="9"/>
        <v>1</v>
      </c>
      <c r="M136" s="70"/>
      <c r="N136" s="70"/>
      <c r="O136" s="70"/>
      <c r="P136" s="70"/>
      <c r="Q136" s="70"/>
      <c r="R136" s="70"/>
      <c r="S136" s="70"/>
      <c r="T136" s="70"/>
      <c r="U136" s="70"/>
      <c r="V136" s="70"/>
      <c r="W136" s="70"/>
      <c r="X136" s="70"/>
      <c r="Y136" s="70"/>
      <c r="Z136" s="70"/>
      <c r="AA136" s="70"/>
      <c r="AB136" s="70"/>
      <c r="AC136" s="70"/>
      <c r="AD136" s="70"/>
      <c r="AE136" s="70"/>
      <c r="AF136" s="70"/>
      <c r="AG136" s="70"/>
      <c r="AH136" s="70"/>
      <c r="AI136" s="70"/>
      <c r="AJ136" s="70"/>
      <c r="AK136" s="70"/>
      <c r="AL136" s="70"/>
      <c r="AM136" s="70"/>
      <c r="AN136" s="70"/>
      <c r="AO136" s="70"/>
      <c r="AP136" s="70"/>
      <c r="AQ136" s="70"/>
    </row>
    <row r="137" spans="1:43" s="73" customFormat="1" ht="15.75" thickBot="1" x14ac:dyDescent="0.3">
      <c r="A137" s="73" t="s">
        <v>52</v>
      </c>
      <c r="B137" s="85" t="s">
        <v>1522</v>
      </c>
      <c r="C137" s="85" t="s">
        <v>1062</v>
      </c>
      <c r="D137" s="73" t="s">
        <v>1523</v>
      </c>
      <c r="E137" s="85" t="s">
        <v>19</v>
      </c>
      <c r="F137" s="85" t="s">
        <v>1301</v>
      </c>
      <c r="G137" s="85"/>
      <c r="H137" s="85" t="s">
        <v>1524</v>
      </c>
      <c r="I137" s="142">
        <f t="shared" si="7"/>
        <v>28</v>
      </c>
      <c r="J137" s="147" t="s">
        <v>1780</v>
      </c>
      <c r="K137" s="142">
        <f t="shared" si="8"/>
        <v>0</v>
      </c>
      <c r="L137" s="143">
        <f t="shared" si="9"/>
        <v>1</v>
      </c>
      <c r="M137" s="70"/>
      <c r="N137" s="70"/>
      <c r="O137" s="70"/>
      <c r="P137" s="70"/>
      <c r="Q137" s="70"/>
      <c r="R137" s="70"/>
      <c r="S137" s="70"/>
      <c r="T137" s="70"/>
      <c r="U137" s="70"/>
      <c r="V137" s="70"/>
      <c r="W137" s="70"/>
      <c r="X137" s="70"/>
      <c r="Y137" s="70"/>
      <c r="Z137" s="70"/>
      <c r="AA137" s="70"/>
      <c r="AB137" s="70"/>
      <c r="AC137" s="70"/>
      <c r="AD137" s="70"/>
      <c r="AE137" s="70"/>
      <c r="AF137" s="70"/>
      <c r="AG137" s="70"/>
      <c r="AH137" s="70"/>
      <c r="AI137" s="70"/>
      <c r="AJ137" s="70"/>
      <c r="AK137" s="70"/>
      <c r="AL137" s="70"/>
      <c r="AM137" s="70"/>
      <c r="AN137" s="70"/>
      <c r="AO137" s="70"/>
      <c r="AP137" s="89"/>
      <c r="AQ137" s="89"/>
    </row>
    <row r="138" spans="1:43" ht="15.75" thickBot="1" x14ac:dyDescent="0.3">
      <c r="A138" t="s">
        <v>52</v>
      </c>
      <c r="B138" s="30" t="s">
        <v>1525</v>
      </c>
      <c r="C138" s="30" t="s">
        <v>1062</v>
      </c>
      <c r="D138" t="s">
        <v>1526</v>
      </c>
      <c r="E138" s="85" t="s">
        <v>19</v>
      </c>
      <c r="F138" s="85" t="s">
        <v>28</v>
      </c>
      <c r="G138" s="85"/>
      <c r="H138" s="85" t="s">
        <v>1527</v>
      </c>
      <c r="I138" s="142">
        <f t="shared" si="7"/>
        <v>28</v>
      </c>
      <c r="J138" s="147" t="s">
        <v>1781</v>
      </c>
      <c r="K138" s="142">
        <f t="shared" si="8"/>
        <v>0</v>
      </c>
      <c r="L138" s="143">
        <f t="shared" si="9"/>
        <v>1</v>
      </c>
      <c r="M138" s="70"/>
      <c r="N138" s="70"/>
      <c r="O138" s="70"/>
      <c r="P138" s="70"/>
      <c r="Q138" s="70"/>
      <c r="R138" s="70"/>
      <c r="S138" s="70"/>
      <c r="T138" s="70"/>
      <c r="U138" s="70"/>
      <c r="V138" s="70"/>
      <c r="W138" s="70"/>
      <c r="X138" s="70"/>
      <c r="Y138" s="70"/>
      <c r="Z138" s="70"/>
      <c r="AA138" s="70"/>
      <c r="AB138" s="70"/>
      <c r="AC138" s="70"/>
      <c r="AD138" s="70"/>
      <c r="AE138" s="70"/>
      <c r="AF138" s="70"/>
      <c r="AG138" s="70"/>
      <c r="AH138" s="70"/>
      <c r="AI138" s="70"/>
      <c r="AJ138" s="70"/>
      <c r="AK138" s="70"/>
      <c r="AL138" s="70"/>
      <c r="AM138" s="70"/>
      <c r="AN138" s="70"/>
      <c r="AO138" s="70"/>
      <c r="AP138" s="70"/>
      <c r="AQ138" s="70"/>
    </row>
    <row r="139" spans="1:43" ht="15.75" thickBot="1" x14ac:dyDescent="0.3">
      <c r="A139" t="s">
        <v>52</v>
      </c>
      <c r="B139" s="30" t="s">
        <v>1652</v>
      </c>
      <c r="C139" s="30" t="s">
        <v>1062</v>
      </c>
      <c r="D139" t="s">
        <v>1653</v>
      </c>
      <c r="E139" s="85" t="s">
        <v>19</v>
      </c>
      <c r="F139" s="85" t="s">
        <v>28</v>
      </c>
      <c r="G139" s="85"/>
      <c r="H139" s="85" t="s">
        <v>2125</v>
      </c>
      <c r="I139" s="142">
        <f t="shared" si="7"/>
        <v>28</v>
      </c>
      <c r="J139" s="87" t="s">
        <v>2193</v>
      </c>
      <c r="K139" s="142">
        <f t="shared" si="8"/>
        <v>0</v>
      </c>
      <c r="L139" s="143">
        <f t="shared" si="9"/>
        <v>1</v>
      </c>
      <c r="M139" s="70"/>
      <c r="N139" s="70"/>
      <c r="O139" s="70"/>
      <c r="P139" s="70"/>
      <c r="Q139" s="70"/>
      <c r="R139" s="70"/>
      <c r="S139" s="70"/>
      <c r="T139" s="70"/>
      <c r="U139" s="70"/>
      <c r="V139" s="70"/>
      <c r="W139" s="70"/>
      <c r="X139" s="70"/>
      <c r="Y139" s="70"/>
      <c r="Z139" s="70"/>
      <c r="AA139" s="70"/>
      <c r="AB139" s="70"/>
      <c r="AC139" s="70"/>
      <c r="AD139" s="70"/>
      <c r="AE139" s="70"/>
      <c r="AF139" s="70"/>
      <c r="AG139" s="70"/>
      <c r="AH139" s="70"/>
      <c r="AI139" s="70"/>
      <c r="AJ139" s="70"/>
      <c r="AK139" s="70"/>
      <c r="AL139" s="70"/>
      <c r="AM139" s="70"/>
      <c r="AN139" s="70"/>
      <c r="AO139" s="70"/>
      <c r="AP139" s="70"/>
      <c r="AQ139" s="70"/>
    </row>
    <row r="140" spans="1:43" s="73" customFormat="1" ht="15.75" thickBot="1" x14ac:dyDescent="0.3">
      <c r="A140" s="73" t="s">
        <v>52</v>
      </c>
      <c r="B140" s="85" t="s">
        <v>1566</v>
      </c>
      <c r="C140" s="85" t="s">
        <v>1062</v>
      </c>
      <c r="D140" s="73" t="s">
        <v>1568</v>
      </c>
      <c r="E140" s="85" t="s">
        <v>19</v>
      </c>
      <c r="F140" s="85" t="s">
        <v>1301</v>
      </c>
      <c r="G140" s="85"/>
      <c r="H140" s="85" t="s">
        <v>1570</v>
      </c>
      <c r="I140" s="142">
        <f t="shared" si="7"/>
        <v>28</v>
      </c>
      <c r="J140" s="147" t="s">
        <v>1782</v>
      </c>
      <c r="K140" s="142">
        <f t="shared" si="8"/>
        <v>0</v>
      </c>
      <c r="L140" s="143">
        <f t="shared" si="9"/>
        <v>1</v>
      </c>
      <c r="M140" s="70"/>
      <c r="N140" s="70"/>
      <c r="O140" s="70"/>
      <c r="P140" s="70"/>
      <c r="Q140" s="70"/>
      <c r="R140" s="70"/>
      <c r="S140" s="70"/>
      <c r="T140" s="70"/>
      <c r="U140" s="70"/>
      <c r="V140" s="70"/>
      <c r="W140" s="70"/>
      <c r="X140" s="70"/>
      <c r="Y140" s="70"/>
      <c r="Z140" s="70"/>
      <c r="AA140" s="70"/>
      <c r="AB140" s="70"/>
      <c r="AC140" s="70"/>
      <c r="AD140" s="70"/>
      <c r="AE140" s="70"/>
      <c r="AF140" s="70"/>
      <c r="AG140" s="70"/>
      <c r="AH140" s="70"/>
      <c r="AI140" s="70"/>
      <c r="AJ140" s="70"/>
      <c r="AK140" s="70"/>
      <c r="AL140" s="70"/>
      <c r="AM140" s="70"/>
      <c r="AN140" s="70"/>
      <c r="AO140" s="70"/>
      <c r="AP140" s="89"/>
      <c r="AQ140" s="89"/>
    </row>
    <row r="141" spans="1:43" s="73" customFormat="1" ht="15.75" thickBot="1" x14ac:dyDescent="0.3">
      <c r="A141" s="73" t="s">
        <v>52</v>
      </c>
      <c r="B141" s="85" t="s">
        <v>1567</v>
      </c>
      <c r="C141" s="85" t="s">
        <v>1062</v>
      </c>
      <c r="D141" s="73" t="s">
        <v>1569</v>
      </c>
      <c r="E141" s="85" t="s">
        <v>19</v>
      </c>
      <c r="F141" s="85" t="s">
        <v>1301</v>
      </c>
      <c r="G141" s="85"/>
      <c r="H141" s="85" t="s">
        <v>1571</v>
      </c>
      <c r="I141" s="142">
        <f t="shared" si="7"/>
        <v>28</v>
      </c>
      <c r="J141" s="147" t="s">
        <v>1783</v>
      </c>
      <c r="K141" s="142">
        <f t="shared" si="8"/>
        <v>0</v>
      </c>
      <c r="L141" s="143">
        <f t="shared" si="9"/>
        <v>1</v>
      </c>
      <c r="M141" s="70"/>
      <c r="N141" s="70"/>
      <c r="O141" s="70"/>
      <c r="P141" s="70"/>
      <c r="Q141" s="70"/>
      <c r="R141" s="70"/>
      <c r="S141" s="70"/>
      <c r="T141" s="70"/>
      <c r="U141" s="70"/>
      <c r="V141" s="70"/>
      <c r="W141" s="70"/>
      <c r="X141" s="70"/>
      <c r="Y141" s="70"/>
      <c r="Z141" s="70"/>
      <c r="AA141" s="70"/>
      <c r="AB141" s="70"/>
      <c r="AC141" s="70"/>
      <c r="AD141" s="70"/>
      <c r="AE141" s="70"/>
      <c r="AF141" s="70"/>
      <c r="AG141" s="70"/>
      <c r="AH141" s="70"/>
      <c r="AI141" s="70"/>
      <c r="AJ141" s="70"/>
      <c r="AK141" s="70"/>
      <c r="AL141" s="70"/>
      <c r="AM141" s="70"/>
      <c r="AN141" s="70"/>
      <c r="AO141" s="70"/>
      <c r="AP141" s="89"/>
      <c r="AQ141" s="89"/>
    </row>
    <row r="142" spans="1:43" s="73" customFormat="1" ht="15.75" thickBot="1" x14ac:dyDescent="0.3">
      <c r="A142" s="73" t="s">
        <v>52</v>
      </c>
      <c r="B142" s="85" t="s">
        <v>2132</v>
      </c>
      <c r="C142" s="85" t="s">
        <v>1062</v>
      </c>
      <c r="D142" s="73" t="s">
        <v>2133</v>
      </c>
      <c r="E142" s="85" t="s">
        <v>19</v>
      </c>
      <c r="F142" s="85" t="s">
        <v>1301</v>
      </c>
      <c r="G142" s="85"/>
      <c r="H142" s="85" t="s">
        <v>2194</v>
      </c>
      <c r="I142" s="142">
        <f t="shared" si="7"/>
        <v>28</v>
      </c>
      <c r="J142" s="147" t="s">
        <v>2195</v>
      </c>
      <c r="K142" s="142">
        <f t="shared" si="8"/>
        <v>0</v>
      </c>
      <c r="L142" s="143">
        <f t="shared" si="9"/>
        <v>1</v>
      </c>
      <c r="M142" s="70"/>
      <c r="N142" s="70"/>
      <c r="O142" s="70"/>
      <c r="P142" s="70"/>
      <c r="Q142" s="70"/>
      <c r="R142" s="70"/>
      <c r="S142" s="70"/>
      <c r="T142" s="70"/>
      <c r="U142" s="70"/>
      <c r="V142" s="70"/>
      <c r="W142" s="70"/>
      <c r="X142" s="70"/>
      <c r="Y142" s="70"/>
      <c r="Z142" s="70"/>
      <c r="AA142" s="70"/>
      <c r="AB142" s="70"/>
      <c r="AC142" s="70"/>
      <c r="AD142" s="70"/>
      <c r="AE142" s="70"/>
      <c r="AF142" s="70"/>
      <c r="AG142" s="70"/>
      <c r="AH142" s="70"/>
      <c r="AI142" s="70"/>
      <c r="AJ142" s="70"/>
      <c r="AK142" s="70"/>
      <c r="AL142" s="70"/>
      <c r="AM142" s="70"/>
      <c r="AN142" s="70"/>
      <c r="AO142" s="70"/>
      <c r="AP142" s="89"/>
      <c r="AQ142" s="89"/>
    </row>
    <row r="143" spans="1:43" s="73" customFormat="1" ht="15.75" thickBot="1" x14ac:dyDescent="0.3">
      <c r="A143" s="73" t="s">
        <v>52</v>
      </c>
      <c r="B143" s="85" t="s">
        <v>2223</v>
      </c>
      <c r="C143" s="85" t="s">
        <v>1062</v>
      </c>
      <c r="D143" s="73" t="s">
        <v>2224</v>
      </c>
      <c r="E143" s="85" t="s">
        <v>19</v>
      </c>
      <c r="F143" s="85" t="s">
        <v>1301</v>
      </c>
      <c r="G143" s="85"/>
      <c r="H143" s="85" t="s">
        <v>2225</v>
      </c>
      <c r="I143" s="142">
        <f t="shared" si="7"/>
        <v>28</v>
      </c>
      <c r="J143" s="147" t="s">
        <v>2226</v>
      </c>
      <c r="K143" s="142">
        <f t="shared" si="8"/>
        <v>0</v>
      </c>
      <c r="L143" s="143">
        <f t="shared" si="9"/>
        <v>1</v>
      </c>
      <c r="M143" s="70"/>
      <c r="N143" s="70"/>
      <c r="O143" s="70"/>
      <c r="P143" s="70"/>
      <c r="Q143" s="70"/>
      <c r="R143" s="70"/>
      <c r="S143" s="70"/>
      <c r="T143" s="70"/>
      <c r="U143" s="70"/>
      <c r="V143" s="70"/>
      <c r="W143" s="70"/>
      <c r="X143" s="70"/>
      <c r="Y143" s="70"/>
      <c r="Z143" s="70"/>
      <c r="AA143" s="70"/>
      <c r="AB143" s="70"/>
      <c r="AC143" s="70"/>
      <c r="AD143" s="70"/>
      <c r="AE143" s="70"/>
      <c r="AF143" s="70"/>
      <c r="AG143" s="70"/>
      <c r="AH143" s="70"/>
      <c r="AI143" s="70"/>
      <c r="AJ143" s="70"/>
      <c r="AK143" s="70"/>
      <c r="AL143" s="70"/>
      <c r="AM143" s="70"/>
      <c r="AN143" s="70"/>
      <c r="AO143" s="70"/>
      <c r="AP143" s="89"/>
      <c r="AQ143" s="89"/>
    </row>
    <row r="144" spans="1:43" s="73" customFormat="1" ht="15.75" thickBot="1" x14ac:dyDescent="0.3">
      <c r="A144" s="73" t="s">
        <v>52</v>
      </c>
      <c r="B144" s="85" t="s">
        <v>2261</v>
      </c>
      <c r="C144" s="85" t="s">
        <v>1062</v>
      </c>
      <c r="D144" s="73" t="s">
        <v>2262</v>
      </c>
      <c r="E144" s="85" t="s">
        <v>19</v>
      </c>
      <c r="F144" s="30" t="s">
        <v>28</v>
      </c>
      <c r="G144" s="85"/>
      <c r="H144" s="85" t="s">
        <v>2263</v>
      </c>
      <c r="I144" s="142">
        <f t="shared" si="7"/>
        <v>28</v>
      </c>
      <c r="J144" s="147" t="s">
        <v>2264</v>
      </c>
      <c r="K144" s="142">
        <f t="shared" si="8"/>
        <v>0</v>
      </c>
      <c r="L144" s="143">
        <f t="shared" si="9"/>
        <v>1</v>
      </c>
      <c r="M144" s="70"/>
      <c r="N144" s="70"/>
      <c r="O144" s="70"/>
      <c r="P144" s="70"/>
      <c r="Q144" s="70"/>
      <c r="R144" s="70"/>
      <c r="S144" s="70"/>
      <c r="T144" s="70"/>
      <c r="U144" s="70"/>
      <c r="V144" s="70"/>
      <c r="W144" s="70"/>
      <c r="X144" s="70"/>
      <c r="Y144" s="70"/>
      <c r="Z144" s="70"/>
      <c r="AA144" s="70"/>
      <c r="AB144" s="70"/>
      <c r="AC144" s="70"/>
      <c r="AD144" s="70"/>
      <c r="AE144" s="70"/>
      <c r="AF144" s="70"/>
      <c r="AG144" s="70"/>
      <c r="AH144" s="70"/>
      <c r="AI144" s="70"/>
      <c r="AJ144" s="70"/>
      <c r="AK144" s="70"/>
      <c r="AL144" s="70"/>
      <c r="AM144" s="70"/>
      <c r="AN144" s="70"/>
      <c r="AO144" s="70"/>
      <c r="AP144" s="89"/>
      <c r="AQ144" s="89"/>
    </row>
    <row r="145" spans="1:43" ht="15.75" thickBot="1" x14ac:dyDescent="0.3">
      <c r="A145" t="s">
        <v>165</v>
      </c>
      <c r="B145" t="s">
        <v>166</v>
      </c>
      <c r="C145" t="s">
        <v>1062</v>
      </c>
      <c r="D145" t="s">
        <v>167</v>
      </c>
      <c r="E145" s="30" t="s">
        <v>19</v>
      </c>
      <c r="F145" s="30" t="s">
        <v>1056</v>
      </c>
      <c r="G145" s="30"/>
      <c r="H145" s="30" t="s">
        <v>1408</v>
      </c>
      <c r="I145" s="31">
        <f t="shared" si="7"/>
        <v>27</v>
      </c>
      <c r="J145" s="147" t="s">
        <v>1784</v>
      </c>
      <c r="K145" s="31">
        <f t="shared" si="8"/>
        <v>1</v>
      </c>
      <c r="L145" s="32">
        <f t="shared" si="9"/>
        <v>0.9642857142857143</v>
      </c>
      <c r="M145" s="70" t="s">
        <v>2213</v>
      </c>
      <c r="N145" s="70"/>
      <c r="O145" s="70"/>
      <c r="P145" s="70"/>
      <c r="Q145" s="70"/>
      <c r="R145" s="70"/>
      <c r="S145" s="70"/>
      <c r="T145" s="70"/>
      <c r="U145" s="70"/>
      <c r="V145" s="70"/>
      <c r="W145" s="70"/>
      <c r="X145" s="70"/>
      <c r="Y145" s="70"/>
      <c r="Z145" s="70"/>
      <c r="AA145" s="70"/>
      <c r="AB145" s="70"/>
      <c r="AC145" s="70"/>
      <c r="AD145" s="70"/>
      <c r="AE145" s="70"/>
      <c r="AF145" s="70"/>
      <c r="AG145" s="70"/>
      <c r="AH145" s="70"/>
      <c r="AI145" s="70"/>
      <c r="AJ145" s="70"/>
      <c r="AK145" s="70"/>
      <c r="AL145" s="70"/>
      <c r="AM145" s="70"/>
      <c r="AN145" s="70"/>
      <c r="AO145" s="70"/>
      <c r="AP145" s="70"/>
      <c r="AQ145" s="70"/>
    </row>
    <row r="146" spans="1:43" ht="15.75" thickBot="1" x14ac:dyDescent="0.3">
      <c r="A146" t="s">
        <v>168</v>
      </c>
      <c r="B146" t="s">
        <v>169</v>
      </c>
      <c r="C146" t="s">
        <v>1062</v>
      </c>
      <c r="D146" t="s">
        <v>170</v>
      </c>
      <c r="E146" s="30" t="s">
        <v>19</v>
      </c>
      <c r="F146" s="30" t="s">
        <v>1056</v>
      </c>
      <c r="G146" s="30"/>
      <c r="H146" s="30" t="s">
        <v>682</v>
      </c>
      <c r="I146" s="31">
        <f t="shared" si="7"/>
        <v>28</v>
      </c>
      <c r="J146" s="87"/>
      <c r="K146" s="31">
        <f t="shared" si="8"/>
        <v>0</v>
      </c>
      <c r="L146" s="32">
        <f t="shared" si="9"/>
        <v>1</v>
      </c>
      <c r="M146" s="70"/>
      <c r="N146" s="70"/>
      <c r="O146" s="70"/>
      <c r="P146" s="70"/>
      <c r="Q146" s="70"/>
      <c r="R146" s="70"/>
      <c r="S146" s="70"/>
      <c r="T146" s="70"/>
      <c r="U146" s="70"/>
      <c r="V146" s="70"/>
      <c r="W146" s="70"/>
      <c r="X146" s="70"/>
      <c r="Y146" s="70"/>
      <c r="Z146" s="70"/>
      <c r="AA146" s="70"/>
      <c r="AB146" s="70"/>
      <c r="AC146" s="70"/>
      <c r="AD146" s="70"/>
      <c r="AE146" s="70"/>
      <c r="AF146" s="70"/>
      <c r="AG146" s="70"/>
      <c r="AH146" s="70"/>
      <c r="AI146" s="70"/>
      <c r="AJ146" s="70"/>
      <c r="AK146" s="70"/>
      <c r="AL146" s="70"/>
      <c r="AM146" s="70"/>
      <c r="AN146" s="70"/>
      <c r="AO146" s="70"/>
      <c r="AP146" s="70"/>
      <c r="AQ146" s="70"/>
    </row>
    <row r="147" spans="1:43" ht="15.75" thickBot="1" x14ac:dyDescent="0.3">
      <c r="A147" t="s">
        <v>168</v>
      </c>
      <c r="B147" t="s">
        <v>171</v>
      </c>
      <c r="C147" t="s">
        <v>1062</v>
      </c>
      <c r="D147" t="s">
        <v>172</v>
      </c>
      <c r="E147" s="30" t="s">
        <v>15</v>
      </c>
      <c r="F147" s="30" t="s">
        <v>28</v>
      </c>
      <c r="G147" s="30"/>
      <c r="H147" s="30" t="s">
        <v>683</v>
      </c>
      <c r="I147" s="31">
        <f t="shared" si="7"/>
        <v>28</v>
      </c>
      <c r="J147" s="147" t="s">
        <v>1785</v>
      </c>
      <c r="K147" s="31">
        <f t="shared" si="8"/>
        <v>0</v>
      </c>
      <c r="L147" s="32">
        <f t="shared" si="9"/>
        <v>1</v>
      </c>
      <c r="M147" s="70"/>
      <c r="N147" s="70"/>
      <c r="O147" s="70"/>
      <c r="P147" s="70"/>
      <c r="Q147" s="70"/>
      <c r="R147" s="70"/>
      <c r="S147" s="70"/>
      <c r="T147" s="70"/>
      <c r="U147" s="70"/>
      <c r="V147" s="70"/>
      <c r="W147" s="70"/>
      <c r="X147" s="70"/>
      <c r="Y147" s="70"/>
      <c r="Z147" s="70"/>
      <c r="AA147" s="70"/>
      <c r="AB147" s="70"/>
      <c r="AC147" s="70"/>
      <c r="AD147" s="70"/>
      <c r="AE147" s="70"/>
      <c r="AF147" s="70"/>
      <c r="AG147" s="70"/>
      <c r="AH147" s="70"/>
      <c r="AI147" s="70"/>
      <c r="AJ147" s="70"/>
      <c r="AK147" s="70"/>
      <c r="AL147" s="70"/>
      <c r="AM147" s="70"/>
      <c r="AN147" s="70"/>
      <c r="AO147" s="70"/>
      <c r="AP147" s="70"/>
      <c r="AQ147" s="70"/>
    </row>
    <row r="148" spans="1:43" ht="15.75" thickBot="1" x14ac:dyDescent="0.3">
      <c r="A148" t="s">
        <v>168</v>
      </c>
      <c r="B148" t="s">
        <v>173</v>
      </c>
      <c r="C148" t="s">
        <v>1062</v>
      </c>
      <c r="D148" t="s">
        <v>174</v>
      </c>
      <c r="E148" s="30" t="s">
        <v>15</v>
      </c>
      <c r="F148" s="30" t="s">
        <v>28</v>
      </c>
      <c r="G148" s="30"/>
      <c r="H148" s="30" t="s">
        <v>684</v>
      </c>
      <c r="I148" s="31">
        <f t="shared" si="7"/>
        <v>28</v>
      </c>
      <c r="J148" s="147" t="s">
        <v>1786</v>
      </c>
      <c r="K148" s="31">
        <f t="shared" si="8"/>
        <v>0</v>
      </c>
      <c r="L148" s="32">
        <f t="shared" si="9"/>
        <v>1</v>
      </c>
      <c r="M148" s="70"/>
      <c r="N148" s="70"/>
      <c r="O148" s="70"/>
      <c r="P148" s="70"/>
      <c r="Q148" s="70"/>
      <c r="R148" s="70"/>
      <c r="S148" s="70"/>
      <c r="T148" s="70"/>
      <c r="U148" s="70"/>
      <c r="V148" s="70"/>
      <c r="W148" s="70"/>
      <c r="X148" s="70"/>
      <c r="Y148" s="70"/>
      <c r="Z148" s="70"/>
      <c r="AA148" s="70"/>
      <c r="AB148" s="70"/>
      <c r="AC148" s="70"/>
      <c r="AD148" s="70"/>
      <c r="AE148" s="70"/>
      <c r="AF148" s="70"/>
      <c r="AG148" s="70"/>
      <c r="AH148" s="70"/>
      <c r="AI148" s="70"/>
      <c r="AJ148" s="70"/>
      <c r="AK148" s="70"/>
      <c r="AL148" s="70"/>
      <c r="AM148" s="70"/>
      <c r="AN148" s="70"/>
      <c r="AO148" s="70"/>
      <c r="AP148" s="70"/>
      <c r="AQ148" s="70"/>
    </row>
    <row r="149" spans="1:43" ht="15.75" thickBot="1" x14ac:dyDescent="0.3">
      <c r="A149" t="s">
        <v>175</v>
      </c>
      <c r="B149" t="s">
        <v>176</v>
      </c>
      <c r="C149" t="s">
        <v>1063</v>
      </c>
      <c r="D149" t="s">
        <v>177</v>
      </c>
      <c r="E149" s="30" t="s">
        <v>19</v>
      </c>
      <c r="F149" s="30" t="s">
        <v>28</v>
      </c>
      <c r="G149" s="30"/>
      <c r="H149" s="30" t="s">
        <v>2211</v>
      </c>
      <c r="I149" s="31">
        <f t="shared" si="7"/>
        <v>28</v>
      </c>
      <c r="J149" s="147" t="s">
        <v>1787</v>
      </c>
      <c r="K149" s="31">
        <f t="shared" si="8"/>
        <v>0</v>
      </c>
      <c r="L149" s="32">
        <f t="shared" si="9"/>
        <v>1</v>
      </c>
      <c r="M149" s="70"/>
      <c r="N149" s="70"/>
      <c r="O149" s="70"/>
      <c r="P149" s="70"/>
      <c r="Q149" s="70"/>
      <c r="R149" s="70"/>
      <c r="S149" s="70"/>
      <c r="T149" s="70"/>
      <c r="U149" s="70"/>
      <c r="V149" s="70"/>
      <c r="W149" s="70"/>
      <c r="X149" s="70"/>
      <c r="Y149" s="70"/>
      <c r="Z149" s="70"/>
      <c r="AA149" s="70"/>
      <c r="AB149" s="70"/>
      <c r="AC149" s="70"/>
      <c r="AD149" s="70"/>
      <c r="AE149" s="70"/>
      <c r="AF149" s="70"/>
      <c r="AG149" s="70"/>
      <c r="AH149" s="70"/>
      <c r="AI149" s="70"/>
      <c r="AJ149" s="70"/>
      <c r="AK149" s="70"/>
      <c r="AL149" s="70"/>
      <c r="AM149" s="70"/>
      <c r="AN149" s="70"/>
      <c r="AO149" s="70"/>
      <c r="AP149" s="70"/>
      <c r="AQ149" s="70"/>
    </row>
    <row r="150" spans="1:43" ht="15.75" thickBot="1" x14ac:dyDescent="0.3">
      <c r="A150" t="s">
        <v>178</v>
      </c>
      <c r="B150" t="s">
        <v>179</v>
      </c>
      <c r="C150" t="s">
        <v>1063</v>
      </c>
      <c r="D150" t="s">
        <v>180</v>
      </c>
      <c r="E150" s="30" t="s">
        <v>19</v>
      </c>
      <c r="F150" s="30" t="s">
        <v>1056</v>
      </c>
      <c r="G150" s="30"/>
      <c r="H150" s="30" t="s">
        <v>1309</v>
      </c>
      <c r="I150" s="31">
        <f t="shared" si="7"/>
        <v>28</v>
      </c>
      <c r="J150" s="147" t="s">
        <v>1788</v>
      </c>
      <c r="K150" s="31">
        <f t="shared" si="8"/>
        <v>0</v>
      </c>
      <c r="L150" s="32">
        <f t="shared" si="9"/>
        <v>1</v>
      </c>
      <c r="M150" s="70"/>
      <c r="N150" s="70"/>
      <c r="O150" s="70"/>
      <c r="P150" s="70"/>
      <c r="Q150" s="70"/>
      <c r="R150" s="70"/>
      <c r="S150" s="70"/>
      <c r="T150" s="70"/>
      <c r="U150" s="70"/>
      <c r="V150" s="70"/>
      <c r="W150" s="70"/>
      <c r="X150" s="70"/>
      <c r="Y150" s="70"/>
      <c r="Z150" s="70"/>
      <c r="AA150" s="70"/>
      <c r="AB150" s="70"/>
      <c r="AC150" s="70"/>
      <c r="AD150" s="70"/>
      <c r="AE150" s="70"/>
      <c r="AF150" s="70"/>
      <c r="AG150" s="70"/>
      <c r="AH150" s="70"/>
      <c r="AI150" s="70"/>
      <c r="AJ150" s="70"/>
      <c r="AK150" s="70"/>
      <c r="AL150" s="70"/>
      <c r="AM150" s="70"/>
      <c r="AN150" s="70"/>
      <c r="AO150" s="70"/>
      <c r="AP150" s="70"/>
      <c r="AQ150" s="70"/>
    </row>
    <row r="151" spans="1:43" ht="15.75" thickBot="1" x14ac:dyDescent="0.3">
      <c r="A151" t="s">
        <v>178</v>
      </c>
      <c r="B151" t="s">
        <v>937</v>
      </c>
      <c r="C151" t="s">
        <v>1063</v>
      </c>
      <c r="D151" t="s">
        <v>181</v>
      </c>
      <c r="E151" s="30" t="s">
        <v>15</v>
      </c>
      <c r="F151" s="30" t="s">
        <v>20</v>
      </c>
      <c r="G151" s="30"/>
      <c r="H151" s="30" t="s">
        <v>685</v>
      </c>
      <c r="I151" s="31">
        <f t="shared" si="7"/>
        <v>20</v>
      </c>
      <c r="J151" s="87"/>
      <c r="K151" s="31">
        <f t="shared" si="8"/>
        <v>8</v>
      </c>
      <c r="L151" s="32">
        <f t="shared" si="9"/>
        <v>0.7142857142857143</v>
      </c>
      <c r="M151" s="70" t="s">
        <v>2213</v>
      </c>
      <c r="N151" s="70" t="s">
        <v>2213</v>
      </c>
      <c r="O151" s="70" t="s">
        <v>2213</v>
      </c>
      <c r="P151" s="70" t="s">
        <v>2213</v>
      </c>
      <c r="Q151" s="70" t="s">
        <v>2213</v>
      </c>
      <c r="R151" s="70" t="s">
        <v>2213</v>
      </c>
      <c r="S151" s="70" t="s">
        <v>2213</v>
      </c>
      <c r="T151" s="70" t="s">
        <v>2213</v>
      </c>
      <c r="U151" s="70"/>
      <c r="V151" s="70"/>
      <c r="W151" s="70"/>
      <c r="X151" s="70"/>
      <c r="Y151" s="70"/>
      <c r="Z151" s="70"/>
      <c r="AA151" s="70"/>
      <c r="AB151" s="70"/>
      <c r="AC151" s="70"/>
      <c r="AD151" s="70"/>
      <c r="AE151" s="70"/>
      <c r="AF151" s="70"/>
      <c r="AG151" s="70"/>
      <c r="AH151" s="70"/>
      <c r="AI151" s="70"/>
      <c r="AJ151" s="70"/>
      <c r="AK151" s="70"/>
      <c r="AL151" s="70"/>
      <c r="AM151" s="70"/>
      <c r="AN151" s="70"/>
      <c r="AO151" s="70"/>
      <c r="AP151" s="70"/>
      <c r="AQ151" s="70"/>
    </row>
    <row r="152" spans="1:43" ht="15.75" thickBot="1" x14ac:dyDescent="0.3">
      <c r="A152" s="69" t="s">
        <v>178</v>
      </c>
      <c r="B152" t="s">
        <v>1227</v>
      </c>
      <c r="C152" t="s">
        <v>1063</v>
      </c>
      <c r="D152" t="s">
        <v>1228</v>
      </c>
      <c r="E152" t="s">
        <v>19</v>
      </c>
      <c r="F152" t="s">
        <v>28</v>
      </c>
      <c r="G152"/>
      <c r="H152" s="30" t="s">
        <v>1238</v>
      </c>
      <c r="I152" s="31">
        <f t="shared" si="7"/>
        <v>28</v>
      </c>
      <c r="J152" s="147" t="s">
        <v>1789</v>
      </c>
      <c r="K152" s="31">
        <f t="shared" si="8"/>
        <v>0</v>
      </c>
      <c r="L152" s="32">
        <f t="shared" si="9"/>
        <v>1</v>
      </c>
      <c r="M152" s="70"/>
      <c r="N152" s="70"/>
      <c r="O152" s="70"/>
      <c r="P152" s="70"/>
      <c r="Q152" s="70"/>
      <c r="R152" s="70"/>
      <c r="S152" s="70"/>
      <c r="T152" s="70"/>
      <c r="U152" s="70"/>
      <c r="V152" s="70"/>
      <c r="W152" s="70"/>
      <c r="X152" s="70"/>
      <c r="Y152" s="70"/>
      <c r="Z152" s="70"/>
      <c r="AA152" s="70"/>
      <c r="AB152" s="70"/>
      <c r="AC152" s="70"/>
      <c r="AD152" s="70"/>
      <c r="AE152" s="70"/>
      <c r="AF152" s="70"/>
      <c r="AG152" s="70"/>
      <c r="AH152" s="70"/>
      <c r="AI152" s="70"/>
      <c r="AJ152" s="70"/>
      <c r="AK152" s="70"/>
      <c r="AL152" s="70"/>
      <c r="AM152" s="70"/>
      <c r="AN152" s="70"/>
      <c r="AO152" s="70"/>
      <c r="AP152" s="70"/>
      <c r="AQ152" s="70"/>
    </row>
    <row r="153" spans="1:43" s="91" customFormat="1" ht="15.75" thickBot="1" x14ac:dyDescent="0.3">
      <c r="A153" s="73" t="s">
        <v>184</v>
      </c>
      <c r="B153" s="73" t="s">
        <v>182</v>
      </c>
      <c r="C153" s="91" t="s">
        <v>1062</v>
      </c>
      <c r="D153" s="73" t="s">
        <v>183</v>
      </c>
      <c r="E153" s="92" t="s">
        <v>19</v>
      </c>
      <c r="F153" s="85" t="s">
        <v>1301</v>
      </c>
      <c r="G153" s="85"/>
      <c r="H153" s="85" t="s">
        <v>686</v>
      </c>
      <c r="I153" s="87">
        <f t="shared" si="7"/>
        <v>28</v>
      </c>
      <c r="J153" s="87"/>
      <c r="K153" s="87">
        <f t="shared" si="8"/>
        <v>0</v>
      </c>
      <c r="L153" s="141">
        <f t="shared" si="9"/>
        <v>1</v>
      </c>
      <c r="M153" s="93"/>
      <c r="N153" s="93"/>
      <c r="O153" s="93"/>
      <c r="P153" s="93"/>
      <c r="Q153" s="93"/>
      <c r="R153" s="93"/>
      <c r="S153" s="93"/>
      <c r="T153" s="93"/>
      <c r="U153" s="93"/>
      <c r="V153" s="93"/>
      <c r="W153" s="93"/>
      <c r="X153" s="93"/>
      <c r="Y153" s="93"/>
      <c r="Z153" s="93"/>
      <c r="AA153" s="93"/>
      <c r="AB153" s="93"/>
      <c r="AC153" s="93"/>
      <c r="AD153" s="93"/>
      <c r="AE153" s="93"/>
      <c r="AF153" s="93"/>
      <c r="AG153" s="70"/>
      <c r="AH153" s="93"/>
      <c r="AI153" s="93"/>
      <c r="AJ153" s="93"/>
      <c r="AK153" s="93"/>
      <c r="AL153" s="93"/>
      <c r="AM153" s="93"/>
      <c r="AN153" s="93"/>
      <c r="AO153" s="93"/>
      <c r="AP153" s="93"/>
      <c r="AQ153" s="93"/>
    </row>
    <row r="154" spans="1:43" ht="15.75" thickBot="1" x14ac:dyDescent="0.3">
      <c r="A154" t="s">
        <v>184</v>
      </c>
      <c r="B154" t="s">
        <v>938</v>
      </c>
      <c r="C154" t="s">
        <v>1062</v>
      </c>
      <c r="D154" t="s">
        <v>185</v>
      </c>
      <c r="E154" s="30" t="s">
        <v>73</v>
      </c>
      <c r="F154" s="30" t="s">
        <v>1056</v>
      </c>
      <c r="G154" s="30" t="s">
        <v>1249</v>
      </c>
      <c r="H154" s="30" t="s">
        <v>687</v>
      </c>
      <c r="I154" s="31">
        <f t="shared" si="7"/>
        <v>28</v>
      </c>
      <c r="J154" s="147" t="s">
        <v>1790</v>
      </c>
      <c r="K154" s="31">
        <f t="shared" si="8"/>
        <v>0</v>
      </c>
      <c r="L154" s="32">
        <f t="shared" si="9"/>
        <v>1</v>
      </c>
      <c r="M154" s="70"/>
      <c r="N154" s="70"/>
      <c r="O154" s="70"/>
      <c r="P154" s="70"/>
      <c r="Q154" s="70"/>
      <c r="R154" s="70"/>
      <c r="S154" s="70"/>
      <c r="T154" s="70"/>
      <c r="U154" s="70"/>
      <c r="V154" s="70"/>
      <c r="W154" s="70"/>
      <c r="X154" s="70"/>
      <c r="Y154" s="70"/>
      <c r="Z154" s="70"/>
      <c r="AA154" s="70"/>
      <c r="AB154" s="70"/>
      <c r="AC154" s="70"/>
      <c r="AD154" s="70"/>
      <c r="AE154" s="70"/>
      <c r="AF154" s="70"/>
      <c r="AG154" s="70"/>
      <c r="AH154" s="70"/>
      <c r="AI154" s="70"/>
      <c r="AJ154" s="70"/>
      <c r="AK154" s="70"/>
      <c r="AL154" s="70"/>
      <c r="AM154" s="70"/>
      <c r="AN154" s="70"/>
      <c r="AO154" s="70"/>
      <c r="AP154" s="70"/>
      <c r="AQ154" s="70"/>
    </row>
    <row r="155" spans="1:43" ht="15.75" thickBot="1" x14ac:dyDescent="0.3">
      <c r="A155" t="s">
        <v>184</v>
      </c>
      <c r="B155" t="s">
        <v>939</v>
      </c>
      <c r="C155" t="s">
        <v>1062</v>
      </c>
      <c r="D155" t="s">
        <v>185</v>
      </c>
      <c r="E155" s="30" t="s">
        <v>73</v>
      </c>
      <c r="F155" s="30" t="s">
        <v>1056</v>
      </c>
      <c r="G155" s="30" t="s">
        <v>1249</v>
      </c>
      <c r="H155" s="30" t="s">
        <v>688</v>
      </c>
      <c r="I155" s="31">
        <f t="shared" si="7"/>
        <v>28</v>
      </c>
      <c r="J155" s="147" t="s">
        <v>1791</v>
      </c>
      <c r="K155" s="31">
        <f t="shared" si="8"/>
        <v>0</v>
      </c>
      <c r="L155" s="32">
        <f t="shared" si="9"/>
        <v>1</v>
      </c>
      <c r="M155" s="70"/>
      <c r="N155" s="70"/>
      <c r="O155" s="70"/>
      <c r="P155" s="70"/>
      <c r="Q155" s="70"/>
      <c r="R155" s="70"/>
      <c r="S155" s="70"/>
      <c r="T155" s="70"/>
      <c r="U155" s="70"/>
      <c r="V155" s="70"/>
      <c r="W155" s="70"/>
      <c r="X155" s="70"/>
      <c r="Y155" s="70"/>
      <c r="Z155" s="70"/>
      <c r="AA155" s="70"/>
      <c r="AB155" s="70"/>
      <c r="AC155" s="70"/>
      <c r="AD155" s="70"/>
      <c r="AE155" s="70"/>
      <c r="AF155" s="70"/>
      <c r="AG155" s="70"/>
      <c r="AH155" s="70"/>
      <c r="AI155" s="70"/>
      <c r="AJ155" s="70"/>
      <c r="AK155" s="70"/>
      <c r="AL155" s="70"/>
      <c r="AM155" s="70"/>
      <c r="AN155" s="70"/>
      <c r="AO155" s="70"/>
      <c r="AP155" s="70"/>
      <c r="AQ155" s="70"/>
    </row>
    <row r="156" spans="1:43" s="91" customFormat="1" ht="15.75" thickBot="1" x14ac:dyDescent="0.3">
      <c r="A156" s="73" t="s">
        <v>184</v>
      </c>
      <c r="B156" s="73" t="s">
        <v>940</v>
      </c>
      <c r="C156" s="91" t="s">
        <v>1062</v>
      </c>
      <c r="D156" s="73" t="s">
        <v>941</v>
      </c>
      <c r="E156" s="92" t="s">
        <v>73</v>
      </c>
      <c r="F156" s="85" t="s">
        <v>1301</v>
      </c>
      <c r="G156" s="85" t="s">
        <v>1249</v>
      </c>
      <c r="H156" s="85" t="s">
        <v>1215</v>
      </c>
      <c r="I156" s="31">
        <f t="shared" si="7"/>
        <v>28</v>
      </c>
      <c r="J156" s="87"/>
      <c r="K156" s="31">
        <f t="shared" si="8"/>
        <v>0</v>
      </c>
      <c r="L156" s="32">
        <f t="shared" si="9"/>
        <v>1</v>
      </c>
      <c r="M156" s="70"/>
      <c r="N156" s="70"/>
      <c r="O156" s="70"/>
      <c r="P156" s="70"/>
      <c r="Q156" s="70"/>
      <c r="R156" s="70"/>
      <c r="S156" s="70"/>
      <c r="T156" s="70"/>
      <c r="U156" s="70"/>
      <c r="V156" s="70"/>
      <c r="W156" s="70"/>
      <c r="X156" s="70"/>
      <c r="Y156" s="70"/>
      <c r="Z156" s="70"/>
      <c r="AA156" s="70"/>
      <c r="AB156" s="70"/>
      <c r="AC156" s="70"/>
      <c r="AD156" s="70"/>
      <c r="AE156" s="93"/>
      <c r="AF156" s="93"/>
      <c r="AG156" s="70"/>
      <c r="AH156" s="93"/>
      <c r="AI156" s="93"/>
      <c r="AJ156" s="93"/>
      <c r="AK156" s="93"/>
      <c r="AL156" s="93"/>
      <c r="AM156" s="93"/>
      <c r="AN156" s="93"/>
      <c r="AO156" s="93"/>
      <c r="AP156" s="93"/>
      <c r="AQ156" s="93"/>
    </row>
    <row r="157" spans="1:43" s="91" customFormat="1" ht="16.149999999999999" customHeight="1" thickBot="1" x14ac:dyDescent="0.3">
      <c r="A157" s="73" t="s">
        <v>184</v>
      </c>
      <c r="B157" s="73" t="s">
        <v>942</v>
      </c>
      <c r="C157" s="91" t="s">
        <v>1062</v>
      </c>
      <c r="D157" s="73" t="s">
        <v>941</v>
      </c>
      <c r="E157" s="92" t="s">
        <v>73</v>
      </c>
      <c r="F157" s="85" t="s">
        <v>1301</v>
      </c>
      <c r="G157" s="85" t="s">
        <v>1249</v>
      </c>
      <c r="H157" s="85" t="s">
        <v>1216</v>
      </c>
      <c r="I157" s="31">
        <f t="shared" si="7"/>
        <v>28</v>
      </c>
      <c r="J157" s="87"/>
      <c r="K157" s="31">
        <f t="shared" si="8"/>
        <v>0</v>
      </c>
      <c r="L157" s="32">
        <f t="shared" si="9"/>
        <v>1</v>
      </c>
      <c r="M157" s="70"/>
      <c r="N157" s="70"/>
      <c r="O157" s="70"/>
      <c r="P157" s="70"/>
      <c r="Q157" s="70"/>
      <c r="R157" s="70"/>
      <c r="S157" s="70"/>
      <c r="T157" s="70"/>
      <c r="U157" s="70"/>
      <c r="V157" s="70"/>
      <c r="W157" s="70"/>
      <c r="X157" s="70"/>
      <c r="Y157" s="70"/>
      <c r="Z157" s="70"/>
      <c r="AA157" s="70"/>
      <c r="AB157" s="70"/>
      <c r="AC157" s="70"/>
      <c r="AD157" s="70"/>
      <c r="AE157" s="93"/>
      <c r="AF157" s="93"/>
      <c r="AG157" s="70"/>
      <c r="AH157" s="93"/>
      <c r="AI157" s="93"/>
      <c r="AJ157" s="93"/>
      <c r="AK157" s="93"/>
      <c r="AL157" s="93"/>
      <c r="AM157" s="93"/>
      <c r="AN157" s="93"/>
      <c r="AO157" s="93"/>
      <c r="AP157" s="93"/>
      <c r="AQ157" s="93"/>
    </row>
    <row r="158" spans="1:43" ht="15.75" thickBot="1" x14ac:dyDescent="0.3">
      <c r="A158" t="s">
        <v>184</v>
      </c>
      <c r="B158" t="s">
        <v>1134</v>
      </c>
      <c r="C158" t="s">
        <v>1062</v>
      </c>
      <c r="D158" t="s">
        <v>1129</v>
      </c>
      <c r="E158" s="30" t="s">
        <v>73</v>
      </c>
      <c r="F158" s="30" t="s">
        <v>1056</v>
      </c>
      <c r="G158" s="30" t="s">
        <v>1249</v>
      </c>
      <c r="H158" s="30" t="s">
        <v>1142</v>
      </c>
      <c r="I158" s="31">
        <f t="shared" si="7"/>
        <v>28</v>
      </c>
      <c r="J158" s="147" t="s">
        <v>1792</v>
      </c>
      <c r="K158" s="31">
        <f t="shared" si="8"/>
        <v>0</v>
      </c>
      <c r="L158" s="32">
        <f t="shared" si="9"/>
        <v>1</v>
      </c>
      <c r="M158" s="70"/>
      <c r="N158" s="70"/>
      <c r="O158" s="70"/>
      <c r="P158" s="70"/>
      <c r="Q158" s="70"/>
      <c r="R158" s="70"/>
      <c r="S158" s="70"/>
      <c r="T158" s="70"/>
      <c r="U158" s="70"/>
      <c r="V158" s="70"/>
      <c r="W158" s="70"/>
      <c r="X158" s="70"/>
      <c r="Y158" s="70"/>
      <c r="Z158" s="70"/>
      <c r="AA158" s="70"/>
      <c r="AB158" s="70"/>
      <c r="AC158" s="70"/>
      <c r="AD158" s="70"/>
      <c r="AE158" s="70"/>
      <c r="AF158" s="70"/>
      <c r="AG158" s="70"/>
      <c r="AH158" s="70"/>
      <c r="AI158" s="70"/>
      <c r="AJ158" s="70"/>
      <c r="AK158" s="70"/>
      <c r="AL158" s="70"/>
      <c r="AM158" s="70"/>
      <c r="AN158" s="70"/>
      <c r="AO158" s="70"/>
      <c r="AP158" s="70"/>
      <c r="AQ158" s="70"/>
    </row>
    <row r="159" spans="1:43" ht="15.75" thickBot="1" x14ac:dyDescent="0.3">
      <c r="A159" t="s">
        <v>184</v>
      </c>
      <c r="B159" t="s">
        <v>1135</v>
      </c>
      <c r="C159" t="s">
        <v>1062</v>
      </c>
      <c r="D159" t="s">
        <v>1129</v>
      </c>
      <c r="E159" s="30" t="s">
        <v>73</v>
      </c>
      <c r="F159" s="30" t="s">
        <v>1056</v>
      </c>
      <c r="G159" s="30" t="s">
        <v>1249</v>
      </c>
      <c r="H159" s="30" t="s">
        <v>1143</v>
      </c>
      <c r="I159" s="31">
        <f t="shared" si="7"/>
        <v>28</v>
      </c>
      <c r="J159" s="147" t="s">
        <v>1793</v>
      </c>
      <c r="K159" s="31">
        <f t="shared" si="8"/>
        <v>0</v>
      </c>
      <c r="L159" s="32">
        <f t="shared" si="9"/>
        <v>1</v>
      </c>
      <c r="M159" s="70"/>
      <c r="N159" s="70"/>
      <c r="O159" s="70"/>
      <c r="P159" s="70"/>
      <c r="Q159" s="70"/>
      <c r="R159" s="70"/>
      <c r="S159" s="70"/>
      <c r="T159" s="70"/>
      <c r="U159" s="70"/>
      <c r="V159" s="70"/>
      <c r="W159" s="70"/>
      <c r="X159" s="70"/>
      <c r="Y159" s="70"/>
      <c r="Z159" s="70"/>
      <c r="AA159" s="70"/>
      <c r="AB159" s="70"/>
      <c r="AC159" s="70"/>
      <c r="AD159" s="70"/>
      <c r="AE159" s="70"/>
      <c r="AF159" s="70"/>
      <c r="AG159" s="70"/>
      <c r="AH159" s="70"/>
      <c r="AI159" s="70"/>
      <c r="AJ159" s="70"/>
      <c r="AK159" s="70"/>
      <c r="AL159" s="70"/>
      <c r="AM159" s="70"/>
      <c r="AN159" s="70"/>
      <c r="AO159" s="70"/>
      <c r="AP159" s="70"/>
      <c r="AQ159" s="70"/>
    </row>
    <row r="160" spans="1:43" s="73" customFormat="1" ht="15.75" thickBot="1" x14ac:dyDescent="0.3">
      <c r="A160" s="73" t="s">
        <v>184</v>
      </c>
      <c r="B160" s="73" t="s">
        <v>1557</v>
      </c>
      <c r="C160" s="73" t="s">
        <v>1062</v>
      </c>
      <c r="D160" s="73" t="s">
        <v>1558</v>
      </c>
      <c r="E160" s="85" t="s">
        <v>46</v>
      </c>
      <c r="F160" s="85" t="s">
        <v>1301</v>
      </c>
      <c r="G160" s="85"/>
      <c r="H160" s="85" t="s">
        <v>1559</v>
      </c>
      <c r="I160" s="31">
        <f t="shared" si="7"/>
        <v>28</v>
      </c>
      <c r="J160" s="147" t="s">
        <v>1794</v>
      </c>
      <c r="K160" s="31">
        <f t="shared" si="8"/>
        <v>0</v>
      </c>
      <c r="L160" s="32">
        <f t="shared" si="9"/>
        <v>1</v>
      </c>
      <c r="M160" s="70"/>
      <c r="N160" s="70"/>
      <c r="O160" s="70"/>
      <c r="P160" s="70"/>
      <c r="Q160" s="70"/>
      <c r="R160" s="70"/>
      <c r="S160" s="70"/>
      <c r="T160" s="70"/>
      <c r="U160" s="70"/>
      <c r="V160" s="70"/>
      <c r="W160" s="70"/>
      <c r="X160" s="70"/>
      <c r="Y160" s="70"/>
      <c r="Z160" s="70"/>
      <c r="AA160" s="70"/>
      <c r="AB160" s="70"/>
      <c r="AC160" s="70"/>
      <c r="AD160" s="70"/>
      <c r="AE160" s="70"/>
      <c r="AF160" s="70"/>
      <c r="AG160" s="70"/>
      <c r="AH160" s="70"/>
      <c r="AI160" s="70"/>
      <c r="AJ160" s="70"/>
      <c r="AK160" s="70"/>
      <c r="AL160" s="70"/>
      <c r="AM160" s="70"/>
      <c r="AN160" s="70"/>
      <c r="AO160" s="70"/>
      <c r="AP160" s="89"/>
      <c r="AQ160" s="89"/>
    </row>
    <row r="161" spans="1:43" s="73" customFormat="1" ht="15.75" thickBot="1" x14ac:dyDescent="0.3">
      <c r="A161" s="73" t="s">
        <v>184</v>
      </c>
      <c r="B161" s="73" t="s">
        <v>2126</v>
      </c>
      <c r="C161" s="73" t="s">
        <v>1062</v>
      </c>
      <c r="D161" s="73" t="s">
        <v>2127</v>
      </c>
      <c r="E161" s="85" t="s">
        <v>46</v>
      </c>
      <c r="F161" s="85" t="s">
        <v>1301</v>
      </c>
      <c r="G161" s="85"/>
      <c r="H161" s="85" t="s">
        <v>2130</v>
      </c>
      <c r="I161" s="31">
        <f t="shared" si="7"/>
        <v>28</v>
      </c>
      <c r="J161" s="147"/>
      <c r="K161" s="31">
        <f t="shared" si="8"/>
        <v>0</v>
      </c>
      <c r="L161" s="32">
        <f t="shared" si="9"/>
        <v>1</v>
      </c>
      <c r="M161" s="70"/>
      <c r="N161" s="70"/>
      <c r="O161" s="70"/>
      <c r="P161" s="70"/>
      <c r="Q161" s="70"/>
      <c r="R161" s="70"/>
      <c r="S161" s="70"/>
      <c r="T161" s="70"/>
      <c r="U161" s="70"/>
      <c r="V161" s="70"/>
      <c r="W161" s="70"/>
      <c r="X161" s="70"/>
      <c r="Y161" s="70"/>
      <c r="Z161" s="70"/>
      <c r="AA161" s="70"/>
      <c r="AB161" s="70"/>
      <c r="AC161" s="70"/>
      <c r="AD161" s="70"/>
      <c r="AE161" s="70"/>
      <c r="AF161" s="70"/>
      <c r="AG161" s="70"/>
      <c r="AH161" s="70"/>
      <c r="AI161" s="70"/>
      <c r="AJ161" s="70"/>
      <c r="AK161" s="70"/>
      <c r="AL161" s="70"/>
      <c r="AM161" s="70"/>
      <c r="AN161" s="70"/>
      <c r="AO161" s="70"/>
      <c r="AP161" s="89"/>
      <c r="AQ161" s="89"/>
    </row>
    <row r="162" spans="1:43" s="73" customFormat="1" ht="15.75" thickBot="1" x14ac:dyDescent="0.3">
      <c r="A162" s="73" t="s">
        <v>1329</v>
      </c>
      <c r="B162" s="73" t="s">
        <v>1317</v>
      </c>
      <c r="C162" s="73" t="s">
        <v>1063</v>
      </c>
      <c r="D162" s="73" t="s">
        <v>1318</v>
      </c>
      <c r="E162" s="85" t="s">
        <v>19</v>
      </c>
      <c r="F162" s="85" t="s">
        <v>1301</v>
      </c>
      <c r="G162" s="85"/>
      <c r="H162" s="85" t="s">
        <v>2212</v>
      </c>
      <c r="I162" s="142">
        <f t="shared" si="7"/>
        <v>27</v>
      </c>
      <c r="J162" s="147" t="s">
        <v>1795</v>
      </c>
      <c r="K162" s="142">
        <f t="shared" si="8"/>
        <v>1</v>
      </c>
      <c r="L162" s="143">
        <f t="shared" si="9"/>
        <v>0.9642857142857143</v>
      </c>
      <c r="M162" s="70" t="s">
        <v>2213</v>
      </c>
      <c r="N162" s="70"/>
      <c r="O162" s="70"/>
      <c r="P162" s="70"/>
      <c r="Q162" s="70"/>
      <c r="R162" s="70"/>
      <c r="S162" s="70"/>
      <c r="T162" s="70"/>
      <c r="U162" s="70"/>
      <c r="V162" s="70"/>
      <c r="W162" s="70"/>
      <c r="X162" s="70"/>
      <c r="Y162" s="70"/>
      <c r="Z162" s="70"/>
      <c r="AA162" s="70"/>
      <c r="AB162" s="70"/>
      <c r="AC162" s="70"/>
      <c r="AD162" s="70"/>
      <c r="AE162" s="70"/>
      <c r="AF162" s="70"/>
      <c r="AG162" s="70"/>
      <c r="AH162" s="70"/>
      <c r="AI162" s="70"/>
      <c r="AJ162" s="70"/>
      <c r="AK162" s="70"/>
      <c r="AL162" s="70"/>
      <c r="AM162" s="70"/>
      <c r="AN162" s="70"/>
      <c r="AO162" s="70"/>
      <c r="AP162" s="89"/>
      <c r="AQ162" s="89"/>
    </row>
    <row r="163" spans="1:43" s="73" customFormat="1" ht="15.75" thickBot="1" x14ac:dyDescent="0.3">
      <c r="A163" s="73" t="s">
        <v>1329</v>
      </c>
      <c r="B163" s="73" t="s">
        <v>1333</v>
      </c>
      <c r="C163" s="73" t="s">
        <v>1063</v>
      </c>
      <c r="D163" s="73" t="s">
        <v>1334</v>
      </c>
      <c r="E163" s="85" t="s">
        <v>15</v>
      </c>
      <c r="F163" s="85" t="s">
        <v>1301</v>
      </c>
      <c r="G163" s="85"/>
      <c r="H163" s="85" t="s">
        <v>1497</v>
      </c>
      <c r="I163" s="142">
        <f t="shared" ref="I163:I238" si="10">COUNTIF(M163:AN163,"")</f>
        <v>28</v>
      </c>
      <c r="J163" s="147" t="s">
        <v>1796</v>
      </c>
      <c r="K163" s="142">
        <f t="shared" ref="K163:K238" si="11">COUNTIF(M163:AN163,"APAGADO")</f>
        <v>0</v>
      </c>
      <c r="L163" s="143">
        <f t="shared" ref="L163:L238" si="12">(I163)/(K163+I163)</f>
        <v>1</v>
      </c>
      <c r="M163" s="70"/>
      <c r="N163" s="70"/>
      <c r="O163" s="70"/>
      <c r="P163" s="70"/>
      <c r="Q163" s="70"/>
      <c r="R163" s="70"/>
      <c r="S163" s="70"/>
      <c r="T163" s="70"/>
      <c r="U163" s="70"/>
      <c r="V163" s="70"/>
      <c r="W163" s="70"/>
      <c r="X163" s="70"/>
      <c r="Y163" s="70"/>
      <c r="Z163" s="70"/>
      <c r="AA163" s="70"/>
      <c r="AB163" s="70"/>
      <c r="AC163" s="70"/>
      <c r="AD163" s="70"/>
      <c r="AE163" s="70"/>
      <c r="AF163" s="70"/>
      <c r="AG163" s="70"/>
      <c r="AH163" s="70"/>
      <c r="AI163" s="70"/>
      <c r="AJ163" s="70"/>
      <c r="AK163" s="70"/>
      <c r="AL163" s="70"/>
      <c r="AM163" s="70"/>
      <c r="AN163" s="70"/>
      <c r="AO163" s="70"/>
      <c r="AP163" s="89"/>
      <c r="AQ163" s="89"/>
    </row>
    <row r="164" spans="1:43" ht="15.75" thickBot="1" x14ac:dyDescent="0.3">
      <c r="A164" t="s">
        <v>186</v>
      </c>
      <c r="B164" t="s">
        <v>943</v>
      </c>
      <c r="C164" t="s">
        <v>1063</v>
      </c>
      <c r="D164" t="s">
        <v>187</v>
      </c>
      <c r="E164" s="30" t="s">
        <v>15</v>
      </c>
      <c r="F164" s="30" t="s">
        <v>28</v>
      </c>
      <c r="G164" s="30"/>
      <c r="H164" s="30" t="s">
        <v>689</v>
      </c>
      <c r="I164" s="31">
        <f t="shared" si="10"/>
        <v>28</v>
      </c>
      <c r="J164" s="147" t="s">
        <v>1797</v>
      </c>
      <c r="K164" s="31">
        <f t="shared" si="11"/>
        <v>0</v>
      </c>
      <c r="L164" s="32">
        <f t="shared" si="12"/>
        <v>1</v>
      </c>
      <c r="M164" s="70"/>
      <c r="N164" s="70"/>
      <c r="O164" s="70"/>
      <c r="P164" s="70"/>
      <c r="Q164" s="70"/>
      <c r="R164" s="70"/>
      <c r="S164" s="70"/>
      <c r="T164" s="70"/>
      <c r="U164" s="70"/>
      <c r="V164" s="70"/>
      <c r="W164" s="70"/>
      <c r="X164" s="70"/>
      <c r="Y164" s="70"/>
      <c r="Z164" s="70"/>
      <c r="AA164" s="70"/>
      <c r="AB164" s="70"/>
      <c r="AC164" s="70"/>
      <c r="AD164" s="70"/>
      <c r="AE164" s="70"/>
      <c r="AF164" s="70"/>
      <c r="AG164" s="70"/>
      <c r="AH164" s="70"/>
      <c r="AI164" s="70"/>
      <c r="AJ164" s="70"/>
      <c r="AK164" s="70"/>
      <c r="AL164" s="70"/>
      <c r="AM164" s="70"/>
      <c r="AN164" s="70"/>
      <c r="AO164" s="70"/>
      <c r="AP164" s="70"/>
      <c r="AQ164" s="70"/>
    </row>
    <row r="165" spans="1:43" ht="15.75" thickBot="1" x14ac:dyDescent="0.3">
      <c r="A165" t="s">
        <v>186</v>
      </c>
      <c r="B165" t="s">
        <v>944</v>
      </c>
      <c r="C165" t="s">
        <v>1063</v>
      </c>
      <c r="D165" t="s">
        <v>188</v>
      </c>
      <c r="E165" s="30" t="s">
        <v>15</v>
      </c>
      <c r="F165" s="30" t="s">
        <v>28</v>
      </c>
      <c r="G165" s="30"/>
      <c r="H165" s="30" t="s">
        <v>690</v>
      </c>
      <c r="I165" s="31">
        <f t="shared" si="10"/>
        <v>28</v>
      </c>
      <c r="J165" s="147" t="s">
        <v>1798</v>
      </c>
      <c r="K165" s="31">
        <f t="shared" si="11"/>
        <v>0</v>
      </c>
      <c r="L165" s="32">
        <f t="shared" si="12"/>
        <v>1</v>
      </c>
      <c r="M165" s="70"/>
      <c r="N165" s="70"/>
      <c r="O165" s="70"/>
      <c r="P165" s="70"/>
      <c r="Q165" s="70"/>
      <c r="R165" s="70"/>
      <c r="S165" s="70"/>
      <c r="T165" s="70"/>
      <c r="U165" s="70"/>
      <c r="V165" s="70"/>
      <c r="W165" s="70"/>
      <c r="X165" s="70"/>
      <c r="Y165" s="70"/>
      <c r="Z165" s="70"/>
      <c r="AA165" s="70"/>
      <c r="AB165" s="70"/>
      <c r="AC165" s="70"/>
      <c r="AD165" s="70"/>
      <c r="AE165" s="70"/>
      <c r="AF165" s="70"/>
      <c r="AG165" s="70"/>
      <c r="AH165" s="70"/>
      <c r="AI165" s="70"/>
      <c r="AJ165" s="70"/>
      <c r="AK165" s="70"/>
      <c r="AL165" s="70"/>
      <c r="AM165" s="70"/>
      <c r="AN165" s="70"/>
      <c r="AO165" s="70"/>
      <c r="AP165" s="70"/>
      <c r="AQ165" s="70"/>
    </row>
    <row r="166" spans="1:43" ht="15.75" thickBot="1" x14ac:dyDescent="0.3">
      <c r="A166" t="s">
        <v>186</v>
      </c>
      <c r="B166" t="s">
        <v>945</v>
      </c>
      <c r="C166" t="s">
        <v>1063</v>
      </c>
      <c r="D166" t="s">
        <v>189</v>
      </c>
      <c r="E166" s="30" t="s">
        <v>19</v>
      </c>
      <c r="F166" s="30" t="s">
        <v>28</v>
      </c>
      <c r="G166" s="30"/>
      <c r="H166" s="30" t="s">
        <v>1310</v>
      </c>
      <c r="I166" s="31">
        <f t="shared" si="10"/>
        <v>28</v>
      </c>
      <c r="J166" s="147" t="s">
        <v>1799</v>
      </c>
      <c r="K166" s="31">
        <f t="shared" si="11"/>
        <v>0</v>
      </c>
      <c r="L166" s="32">
        <f t="shared" si="12"/>
        <v>1</v>
      </c>
      <c r="M166" s="70"/>
      <c r="N166" s="70"/>
      <c r="O166" s="70"/>
      <c r="P166" s="70"/>
      <c r="Q166" s="70"/>
      <c r="R166" s="70"/>
      <c r="S166" s="70"/>
      <c r="T166" s="70"/>
      <c r="U166" s="70"/>
      <c r="V166" s="70"/>
      <c r="W166" s="70"/>
      <c r="X166" s="70"/>
      <c r="Y166" s="70"/>
      <c r="Z166" s="70"/>
      <c r="AA166" s="70"/>
      <c r="AB166" s="70"/>
      <c r="AC166" s="70"/>
      <c r="AD166" s="70"/>
      <c r="AE166" s="70"/>
      <c r="AF166" s="70"/>
      <c r="AG166" s="70"/>
      <c r="AH166" s="70"/>
      <c r="AI166" s="70"/>
      <c r="AJ166" s="70"/>
      <c r="AK166" s="70"/>
      <c r="AL166" s="70"/>
      <c r="AM166" s="70"/>
      <c r="AN166" s="70"/>
      <c r="AO166" s="70"/>
      <c r="AP166" s="70"/>
      <c r="AQ166" s="70"/>
    </row>
    <row r="167" spans="1:43" ht="15.75" thickBot="1" x14ac:dyDescent="0.3">
      <c r="A167" t="s">
        <v>186</v>
      </c>
      <c r="B167" t="s">
        <v>946</v>
      </c>
      <c r="C167" t="s">
        <v>1063</v>
      </c>
      <c r="D167" t="s">
        <v>190</v>
      </c>
      <c r="E167" s="30" t="s">
        <v>15</v>
      </c>
      <c r="F167" s="30" t="s">
        <v>28</v>
      </c>
      <c r="G167" s="30"/>
      <c r="H167" s="30" t="s">
        <v>691</v>
      </c>
      <c r="I167" s="31">
        <f t="shared" si="10"/>
        <v>28</v>
      </c>
      <c r="J167" s="147" t="s">
        <v>1800</v>
      </c>
      <c r="K167" s="31">
        <f t="shared" si="11"/>
        <v>0</v>
      </c>
      <c r="L167" s="32">
        <f t="shared" si="12"/>
        <v>1</v>
      </c>
      <c r="M167" s="70"/>
      <c r="N167" s="70"/>
      <c r="O167" s="70"/>
      <c r="P167" s="70"/>
      <c r="Q167" s="70"/>
      <c r="R167" s="70"/>
      <c r="S167" s="70"/>
      <c r="T167" s="70"/>
      <c r="U167" s="70"/>
      <c r="V167" s="70"/>
      <c r="W167" s="70"/>
      <c r="X167" s="70"/>
      <c r="Y167" s="70"/>
      <c r="Z167" s="70"/>
      <c r="AA167" s="70"/>
      <c r="AB167" s="70"/>
      <c r="AC167" s="70"/>
      <c r="AD167" s="70"/>
      <c r="AE167" s="70"/>
      <c r="AF167" s="70"/>
      <c r="AG167" s="70"/>
      <c r="AH167" s="70"/>
      <c r="AI167" s="70"/>
      <c r="AJ167" s="70"/>
      <c r="AK167" s="70"/>
      <c r="AL167" s="70"/>
      <c r="AM167" s="70"/>
      <c r="AN167" s="70"/>
      <c r="AO167" s="70"/>
      <c r="AP167" s="70"/>
      <c r="AQ167" s="70"/>
    </row>
    <row r="168" spans="1:43" ht="15.75" thickBot="1" x14ac:dyDescent="0.3">
      <c r="A168" t="s">
        <v>186</v>
      </c>
      <c r="B168" t="s">
        <v>1549</v>
      </c>
      <c r="C168" t="s">
        <v>1063</v>
      </c>
      <c r="D168" t="s">
        <v>978</v>
      </c>
      <c r="E168" s="30" t="s">
        <v>46</v>
      </c>
      <c r="F168" s="30" t="s">
        <v>28</v>
      </c>
      <c r="G168" s="30"/>
      <c r="H168" s="30" t="s">
        <v>1552</v>
      </c>
      <c r="I168" s="31">
        <f t="shared" si="10"/>
        <v>20</v>
      </c>
      <c r="J168" s="147" t="s">
        <v>1801</v>
      </c>
      <c r="K168" s="31">
        <f t="shared" si="11"/>
        <v>8</v>
      </c>
      <c r="L168" s="32">
        <f t="shared" si="12"/>
        <v>0.7142857142857143</v>
      </c>
      <c r="M168" s="70" t="s">
        <v>2213</v>
      </c>
      <c r="N168" s="70" t="s">
        <v>2213</v>
      </c>
      <c r="O168" s="70" t="s">
        <v>2213</v>
      </c>
      <c r="P168" s="70" t="s">
        <v>2213</v>
      </c>
      <c r="Q168" s="70" t="s">
        <v>2213</v>
      </c>
      <c r="R168" s="70" t="s">
        <v>2213</v>
      </c>
      <c r="S168" s="70" t="s">
        <v>2213</v>
      </c>
      <c r="T168" s="70" t="s">
        <v>2213</v>
      </c>
      <c r="U168" s="70"/>
      <c r="V168" s="70"/>
      <c r="W168" s="70"/>
      <c r="X168" s="70"/>
      <c r="Y168" s="70"/>
      <c r="Z168" s="70"/>
      <c r="AA168" s="70"/>
      <c r="AB168" s="70"/>
      <c r="AC168" s="70"/>
      <c r="AD168" s="70"/>
      <c r="AE168" s="70"/>
      <c r="AF168" s="70"/>
      <c r="AG168" s="70"/>
      <c r="AH168" s="70"/>
      <c r="AI168" s="70"/>
      <c r="AJ168" s="70"/>
      <c r="AK168" s="70"/>
      <c r="AL168" s="70"/>
      <c r="AM168" s="70"/>
      <c r="AN168" s="70"/>
      <c r="AO168" s="70"/>
      <c r="AP168" s="70"/>
      <c r="AQ168" s="70"/>
    </row>
    <row r="169" spans="1:43" ht="15.75" thickBot="1" x14ac:dyDescent="0.3">
      <c r="A169" t="s">
        <v>186</v>
      </c>
      <c r="B169" t="s">
        <v>1550</v>
      </c>
      <c r="C169" t="s">
        <v>1063</v>
      </c>
      <c r="D169" t="s">
        <v>1551</v>
      </c>
      <c r="E169" s="30" t="s">
        <v>15</v>
      </c>
      <c r="F169" s="30" t="s">
        <v>28</v>
      </c>
      <c r="G169" s="30"/>
      <c r="H169" s="30" t="s">
        <v>1553</v>
      </c>
      <c r="I169" s="31">
        <f t="shared" si="10"/>
        <v>28</v>
      </c>
      <c r="J169" s="147" t="s">
        <v>1802</v>
      </c>
      <c r="K169" s="31">
        <f t="shared" si="11"/>
        <v>0</v>
      </c>
      <c r="L169" s="32">
        <f t="shared" si="12"/>
        <v>1</v>
      </c>
      <c r="M169" s="70"/>
      <c r="N169" s="70"/>
      <c r="O169" s="70"/>
      <c r="P169" s="70"/>
      <c r="Q169" s="70"/>
      <c r="R169" s="70"/>
      <c r="S169" s="70"/>
      <c r="T169" s="70"/>
      <c r="U169" s="70"/>
      <c r="V169" s="70"/>
      <c r="W169" s="70"/>
      <c r="X169" s="70"/>
      <c r="Y169" s="70"/>
      <c r="Z169" s="70"/>
      <c r="AA169" s="70"/>
      <c r="AB169" s="70"/>
      <c r="AC169" s="70"/>
      <c r="AD169" s="70"/>
      <c r="AE169" s="70"/>
      <c r="AF169" s="70"/>
      <c r="AG169" s="70"/>
      <c r="AH169" s="70"/>
      <c r="AI169" s="70"/>
      <c r="AJ169" s="70"/>
      <c r="AK169" s="70"/>
      <c r="AL169" s="70"/>
      <c r="AM169" s="70"/>
      <c r="AN169" s="70"/>
      <c r="AO169" s="70"/>
      <c r="AP169" s="70"/>
      <c r="AQ169" s="70"/>
    </row>
    <row r="170" spans="1:43" ht="15.75" thickBot="1" x14ac:dyDescent="0.3">
      <c r="A170" t="s">
        <v>191</v>
      </c>
      <c r="B170" t="s">
        <v>194</v>
      </c>
      <c r="C170" t="s">
        <v>1063</v>
      </c>
      <c r="D170" t="s">
        <v>195</v>
      </c>
      <c r="E170" s="30" t="s">
        <v>19</v>
      </c>
      <c r="F170" s="30" t="s">
        <v>1056</v>
      </c>
      <c r="G170" s="30"/>
      <c r="H170" s="30" t="s">
        <v>1444</v>
      </c>
      <c r="I170" s="31">
        <f t="shared" si="10"/>
        <v>28</v>
      </c>
      <c r="J170" s="147" t="s">
        <v>1803</v>
      </c>
      <c r="K170" s="31">
        <f t="shared" si="11"/>
        <v>0</v>
      </c>
      <c r="L170" s="32">
        <f t="shared" si="12"/>
        <v>1</v>
      </c>
      <c r="M170" s="70"/>
      <c r="N170" s="70"/>
      <c r="O170" s="70"/>
      <c r="P170" s="70"/>
      <c r="Q170" s="70"/>
      <c r="R170" s="70"/>
      <c r="S170" s="70"/>
      <c r="T170" s="70"/>
      <c r="U170" s="70"/>
      <c r="V170" s="70"/>
      <c r="W170" s="70"/>
      <c r="X170" s="70"/>
      <c r="Y170" s="70"/>
      <c r="Z170" s="70"/>
      <c r="AA170" s="70"/>
      <c r="AB170" s="70"/>
      <c r="AC170" s="70"/>
      <c r="AD170" s="70"/>
      <c r="AE170" s="70"/>
      <c r="AF170" s="70"/>
      <c r="AG170" s="70"/>
      <c r="AH170" s="70"/>
      <c r="AI170" s="70"/>
      <c r="AJ170" s="70"/>
      <c r="AK170" s="70"/>
      <c r="AL170" s="70"/>
      <c r="AM170" s="70"/>
      <c r="AN170" s="70"/>
      <c r="AO170" s="70"/>
      <c r="AP170" s="70"/>
      <c r="AQ170" s="70"/>
    </row>
    <row r="171" spans="1:43" ht="15.75" thickBot="1" x14ac:dyDescent="0.3">
      <c r="A171" t="s">
        <v>196</v>
      </c>
      <c r="B171" t="s">
        <v>197</v>
      </c>
      <c r="C171" t="s">
        <v>1063</v>
      </c>
      <c r="D171" t="s">
        <v>198</v>
      </c>
      <c r="E171" s="30" t="s">
        <v>19</v>
      </c>
      <c r="F171" s="30" t="s">
        <v>1056</v>
      </c>
      <c r="G171" s="30" t="s">
        <v>458</v>
      </c>
      <c r="H171" s="30" t="s">
        <v>692</v>
      </c>
      <c r="I171" s="31">
        <f t="shared" si="10"/>
        <v>28</v>
      </c>
      <c r="J171" s="147" t="s">
        <v>1804</v>
      </c>
      <c r="K171" s="31">
        <f t="shared" si="11"/>
        <v>0</v>
      </c>
      <c r="L171" s="32">
        <f t="shared" si="12"/>
        <v>1</v>
      </c>
      <c r="M171" s="70"/>
      <c r="N171" s="70"/>
      <c r="O171" s="70"/>
      <c r="P171" s="70"/>
      <c r="Q171" s="70"/>
      <c r="R171" s="70"/>
      <c r="S171" s="70"/>
      <c r="T171" s="70"/>
      <c r="U171" s="70"/>
      <c r="V171" s="70"/>
      <c r="W171" s="70"/>
      <c r="X171" s="70"/>
      <c r="Y171" s="70"/>
      <c r="Z171" s="70"/>
      <c r="AA171" s="70"/>
      <c r="AB171" s="70"/>
      <c r="AC171" s="70"/>
      <c r="AD171" s="70"/>
      <c r="AE171" s="70"/>
      <c r="AF171" s="70"/>
      <c r="AG171" s="70"/>
      <c r="AH171" s="70"/>
      <c r="AI171" s="70"/>
      <c r="AJ171" s="70"/>
      <c r="AK171" s="70"/>
      <c r="AL171" s="70"/>
      <c r="AM171" s="70"/>
      <c r="AN171" s="70"/>
      <c r="AO171" s="70"/>
      <c r="AP171" s="70"/>
      <c r="AQ171" s="70"/>
    </row>
    <row r="172" spans="1:43" ht="15.75" thickBot="1" x14ac:dyDescent="0.3">
      <c r="A172" t="s">
        <v>196</v>
      </c>
      <c r="B172" t="s">
        <v>200</v>
      </c>
      <c r="C172" t="s">
        <v>1063</v>
      </c>
      <c r="D172" t="s">
        <v>201</v>
      </c>
      <c r="E172" s="30" t="s">
        <v>15</v>
      </c>
      <c r="F172" s="30" t="s">
        <v>1056</v>
      </c>
      <c r="G172" s="30" t="s">
        <v>458</v>
      </c>
      <c r="H172" s="30" t="s">
        <v>693</v>
      </c>
      <c r="I172" s="31">
        <f t="shared" si="10"/>
        <v>28</v>
      </c>
      <c r="J172" s="147" t="s">
        <v>1805</v>
      </c>
      <c r="K172" s="31">
        <f t="shared" si="11"/>
        <v>0</v>
      </c>
      <c r="L172" s="32">
        <f t="shared" si="12"/>
        <v>1</v>
      </c>
      <c r="M172" s="70"/>
      <c r="N172" s="70"/>
      <c r="O172" s="70"/>
      <c r="P172" s="70"/>
      <c r="Q172" s="70"/>
      <c r="R172" s="70"/>
      <c r="S172" s="70"/>
      <c r="T172" s="70"/>
      <c r="U172" s="70"/>
      <c r="V172" s="70"/>
      <c r="W172" s="70"/>
      <c r="X172" s="70"/>
      <c r="Y172" s="70"/>
      <c r="Z172" s="70"/>
      <c r="AA172" s="70"/>
      <c r="AB172" s="70"/>
      <c r="AC172" s="70"/>
      <c r="AD172" s="70"/>
      <c r="AE172" s="70"/>
      <c r="AF172" s="70"/>
      <c r="AG172" s="70"/>
      <c r="AH172" s="70"/>
      <c r="AI172" s="70"/>
      <c r="AJ172" s="70"/>
      <c r="AK172" s="70"/>
      <c r="AL172" s="70"/>
      <c r="AM172" s="70"/>
      <c r="AN172" s="70"/>
      <c r="AO172" s="70"/>
      <c r="AP172" s="70"/>
      <c r="AQ172" s="70"/>
    </row>
    <row r="173" spans="1:43" ht="15.75" thickBot="1" x14ac:dyDescent="0.3">
      <c r="A173" t="s">
        <v>191</v>
      </c>
      <c r="B173" t="s">
        <v>202</v>
      </c>
      <c r="C173" t="s">
        <v>1063</v>
      </c>
      <c r="D173" t="s">
        <v>203</v>
      </c>
      <c r="E173" s="30" t="s">
        <v>19</v>
      </c>
      <c r="F173" s="30" t="s">
        <v>28</v>
      </c>
      <c r="G173" s="30"/>
      <c r="H173" s="30" t="s">
        <v>694</v>
      </c>
      <c r="I173" s="31">
        <f t="shared" si="10"/>
        <v>28</v>
      </c>
      <c r="J173" s="147" t="s">
        <v>1806</v>
      </c>
      <c r="K173" s="31">
        <f t="shared" si="11"/>
        <v>0</v>
      </c>
      <c r="L173" s="32">
        <f t="shared" si="12"/>
        <v>1</v>
      </c>
      <c r="M173" s="70"/>
      <c r="N173" s="70"/>
      <c r="O173" s="70"/>
      <c r="P173" s="70"/>
      <c r="Q173" s="70"/>
      <c r="R173" s="70"/>
      <c r="S173" s="70"/>
      <c r="T173" s="70"/>
      <c r="U173" s="70"/>
      <c r="V173" s="70"/>
      <c r="W173" s="70"/>
      <c r="X173" s="70"/>
      <c r="Y173" s="70"/>
      <c r="Z173" s="70"/>
      <c r="AA173" s="70"/>
      <c r="AB173" s="70"/>
      <c r="AC173" s="70"/>
      <c r="AD173" s="70"/>
      <c r="AE173" s="70"/>
      <c r="AF173" s="70"/>
      <c r="AG173" s="70"/>
      <c r="AH173" s="70"/>
      <c r="AI173" s="70"/>
      <c r="AJ173" s="70"/>
      <c r="AK173" s="70"/>
      <c r="AL173" s="70"/>
      <c r="AM173" s="70"/>
      <c r="AN173" s="70"/>
      <c r="AO173" s="70"/>
      <c r="AP173" s="70"/>
      <c r="AQ173" s="70"/>
    </row>
    <row r="174" spans="1:43" ht="15.75" thickBot="1" x14ac:dyDescent="0.3">
      <c r="A174" t="s">
        <v>191</v>
      </c>
      <c r="B174" t="s">
        <v>204</v>
      </c>
      <c r="C174" t="s">
        <v>1063</v>
      </c>
      <c r="D174" t="s">
        <v>205</v>
      </c>
      <c r="E174" s="30" t="s">
        <v>19</v>
      </c>
      <c r="F174" s="30" t="s">
        <v>28</v>
      </c>
      <c r="G174" s="30"/>
      <c r="H174" s="30" t="s">
        <v>695</v>
      </c>
      <c r="I174" s="31">
        <f t="shared" si="10"/>
        <v>28</v>
      </c>
      <c r="J174" s="147" t="s">
        <v>1807</v>
      </c>
      <c r="K174" s="31">
        <f t="shared" si="11"/>
        <v>0</v>
      </c>
      <c r="L174" s="32">
        <f t="shared" si="12"/>
        <v>1</v>
      </c>
      <c r="M174" s="70"/>
      <c r="N174" s="70"/>
      <c r="O174" s="70"/>
      <c r="P174" s="70"/>
      <c r="Q174" s="70"/>
      <c r="R174" s="70"/>
      <c r="S174" s="70"/>
      <c r="T174" s="70"/>
      <c r="U174" s="70"/>
      <c r="V174" s="70"/>
      <c r="W174" s="70"/>
      <c r="X174" s="70"/>
      <c r="Y174" s="70"/>
      <c r="Z174" s="70"/>
      <c r="AA174" s="70"/>
      <c r="AB174" s="70"/>
      <c r="AC174" s="70"/>
      <c r="AD174" s="70"/>
      <c r="AE174" s="70"/>
      <c r="AF174" s="70"/>
      <c r="AG174" s="70"/>
      <c r="AH174" s="70"/>
      <c r="AI174" s="70"/>
      <c r="AJ174" s="70"/>
      <c r="AK174" s="70"/>
      <c r="AL174" s="70"/>
      <c r="AM174" s="70"/>
      <c r="AN174" s="70"/>
      <c r="AO174" s="70"/>
      <c r="AP174" s="70"/>
      <c r="AQ174" s="70"/>
    </row>
    <row r="175" spans="1:43" s="73" customFormat="1" ht="15.75" thickBot="1" x14ac:dyDescent="0.3">
      <c r="A175" s="73" t="s">
        <v>191</v>
      </c>
      <c r="B175" s="73" t="s">
        <v>206</v>
      </c>
      <c r="C175" s="73" t="s">
        <v>1063</v>
      </c>
      <c r="D175" s="73" t="s">
        <v>207</v>
      </c>
      <c r="E175" s="85" t="s">
        <v>19</v>
      </c>
      <c r="F175" s="85" t="s">
        <v>1301</v>
      </c>
      <c r="G175" s="85"/>
      <c r="H175" s="85" t="s">
        <v>1430</v>
      </c>
      <c r="I175" s="142">
        <f t="shared" si="10"/>
        <v>28</v>
      </c>
      <c r="J175" s="147" t="s">
        <v>1808</v>
      </c>
      <c r="K175" s="142">
        <f t="shared" si="11"/>
        <v>0</v>
      </c>
      <c r="L175" s="143">
        <f t="shared" si="12"/>
        <v>1</v>
      </c>
      <c r="M175" s="70"/>
      <c r="N175" s="70"/>
      <c r="O175" s="70"/>
      <c r="P175" s="70"/>
      <c r="Q175" s="70"/>
      <c r="R175" s="70"/>
      <c r="S175" s="70"/>
      <c r="T175" s="70"/>
      <c r="U175" s="70"/>
      <c r="V175" s="70"/>
      <c r="W175" s="70"/>
      <c r="X175" s="70"/>
      <c r="Y175" s="70"/>
      <c r="Z175" s="70"/>
      <c r="AA175" s="70"/>
      <c r="AB175" s="70"/>
      <c r="AC175" s="70"/>
      <c r="AD175" s="70"/>
      <c r="AE175" s="70"/>
      <c r="AF175" s="70"/>
      <c r="AG175" s="70"/>
      <c r="AH175" s="70"/>
      <c r="AI175" s="70"/>
      <c r="AJ175" s="70"/>
      <c r="AK175" s="70"/>
      <c r="AL175" s="70"/>
      <c r="AM175" s="70"/>
      <c r="AN175" s="70"/>
      <c r="AO175" s="70"/>
      <c r="AP175" s="89"/>
      <c r="AQ175" s="89"/>
    </row>
    <row r="176" spans="1:43" ht="15.75" thickBot="1" x14ac:dyDescent="0.3">
      <c r="A176" t="s">
        <v>191</v>
      </c>
      <c r="B176" t="s">
        <v>948</v>
      </c>
      <c r="C176" t="s">
        <v>1063</v>
      </c>
      <c r="D176" t="s">
        <v>192</v>
      </c>
      <c r="E176" s="30" t="s">
        <v>15</v>
      </c>
      <c r="F176" s="30" t="s">
        <v>1056</v>
      </c>
      <c r="G176" s="30" t="s">
        <v>458</v>
      </c>
      <c r="H176" s="30" t="s">
        <v>696</v>
      </c>
      <c r="I176" s="31">
        <f t="shared" si="10"/>
        <v>28</v>
      </c>
      <c r="J176" s="147" t="s">
        <v>1809</v>
      </c>
      <c r="K176" s="31">
        <f t="shared" si="11"/>
        <v>0</v>
      </c>
      <c r="L176" s="32">
        <f t="shared" si="12"/>
        <v>1</v>
      </c>
      <c r="M176" s="70"/>
      <c r="N176" s="70"/>
      <c r="O176" s="70"/>
      <c r="P176" s="70"/>
      <c r="Q176" s="70"/>
      <c r="R176" s="70"/>
      <c r="S176" s="70"/>
      <c r="T176" s="70"/>
      <c r="U176" s="70"/>
      <c r="V176" s="70"/>
      <c r="W176" s="70"/>
      <c r="X176" s="70"/>
      <c r="Y176" s="70"/>
      <c r="Z176" s="70"/>
      <c r="AA176" s="70"/>
      <c r="AB176" s="70"/>
      <c r="AC176" s="70"/>
      <c r="AD176" s="70"/>
      <c r="AE176" s="70"/>
      <c r="AF176" s="70"/>
      <c r="AG176" s="70"/>
      <c r="AH176" s="70"/>
      <c r="AI176" s="70"/>
      <c r="AJ176" s="70"/>
      <c r="AK176" s="70"/>
      <c r="AL176" s="70"/>
      <c r="AM176" s="70"/>
      <c r="AN176" s="70"/>
      <c r="AO176" s="70"/>
      <c r="AP176" s="70"/>
      <c r="AQ176" s="70"/>
    </row>
    <row r="177" spans="1:43" ht="15.75" thickBot="1" x14ac:dyDescent="0.3">
      <c r="A177" t="s">
        <v>191</v>
      </c>
      <c r="B177" t="s">
        <v>193</v>
      </c>
      <c r="C177" t="s">
        <v>1063</v>
      </c>
      <c r="D177" t="s">
        <v>947</v>
      </c>
      <c r="E177" s="30" t="s">
        <v>46</v>
      </c>
      <c r="F177" s="30" t="s">
        <v>20</v>
      </c>
      <c r="G177" s="30"/>
      <c r="H177" s="30" t="s">
        <v>697</v>
      </c>
      <c r="I177" s="31">
        <f t="shared" si="10"/>
        <v>28</v>
      </c>
      <c r="J177" s="87"/>
      <c r="K177" s="31">
        <f t="shared" si="11"/>
        <v>0</v>
      </c>
      <c r="L177" s="32">
        <f t="shared" si="12"/>
        <v>1</v>
      </c>
      <c r="M177" s="70"/>
      <c r="N177" s="70"/>
      <c r="O177" s="70"/>
      <c r="P177" s="70"/>
      <c r="Q177" s="70"/>
      <c r="R177" s="70"/>
      <c r="S177" s="70"/>
      <c r="T177" s="70"/>
      <c r="U177" s="70"/>
      <c r="V177" s="70"/>
      <c r="W177" s="70"/>
      <c r="X177" s="70"/>
      <c r="Y177" s="70"/>
      <c r="Z177" s="70"/>
      <c r="AA177" s="70"/>
      <c r="AB177" s="70"/>
      <c r="AC177" s="70"/>
      <c r="AD177" s="70"/>
      <c r="AE177" s="70"/>
      <c r="AF177" s="70"/>
      <c r="AG177" s="70"/>
      <c r="AH177" s="70"/>
      <c r="AI177" s="70"/>
      <c r="AJ177" s="70"/>
      <c r="AK177" s="70"/>
      <c r="AL177" s="70"/>
      <c r="AM177" s="70"/>
      <c r="AN177" s="70"/>
      <c r="AO177" s="70"/>
      <c r="AP177" s="70"/>
      <c r="AQ177" s="70"/>
    </row>
    <row r="178" spans="1:43" ht="15.75" thickBot="1" x14ac:dyDescent="0.3">
      <c r="A178" t="s">
        <v>191</v>
      </c>
      <c r="B178" t="s">
        <v>208</v>
      </c>
      <c r="C178" t="s">
        <v>1063</v>
      </c>
      <c r="D178" t="s">
        <v>209</v>
      </c>
      <c r="E178" s="30" t="s">
        <v>73</v>
      </c>
      <c r="F178" s="30" t="s">
        <v>28</v>
      </c>
      <c r="G178" s="30"/>
      <c r="H178" s="30" t="s">
        <v>698</v>
      </c>
      <c r="I178" s="31">
        <f t="shared" si="10"/>
        <v>28</v>
      </c>
      <c r="J178" s="147" t="s">
        <v>1810</v>
      </c>
      <c r="K178" s="31">
        <f t="shared" si="11"/>
        <v>0</v>
      </c>
      <c r="L178" s="32">
        <f t="shared" si="12"/>
        <v>1</v>
      </c>
      <c r="M178" s="70"/>
      <c r="N178" s="70"/>
      <c r="O178" s="70"/>
      <c r="P178" s="70"/>
      <c r="Q178" s="70"/>
      <c r="R178" s="70"/>
      <c r="S178" s="70"/>
      <c r="T178" s="70"/>
      <c r="U178" s="70"/>
      <c r="V178" s="70"/>
      <c r="W178" s="70"/>
      <c r="X178" s="70"/>
      <c r="Y178" s="70"/>
      <c r="Z178" s="70"/>
      <c r="AA178" s="70"/>
      <c r="AB178" s="70"/>
      <c r="AC178" s="70"/>
      <c r="AD178" s="70"/>
      <c r="AE178" s="70"/>
      <c r="AF178" s="70"/>
      <c r="AG178" s="70"/>
      <c r="AH178" s="70"/>
      <c r="AI178" s="70"/>
      <c r="AJ178" s="70"/>
      <c r="AK178" s="70"/>
      <c r="AL178" s="70"/>
      <c r="AM178" s="70"/>
      <c r="AN178" s="70"/>
      <c r="AO178" s="70"/>
      <c r="AP178" s="70"/>
      <c r="AQ178" s="70"/>
    </row>
    <row r="179" spans="1:43" ht="15.75" thickBot="1" x14ac:dyDescent="0.3">
      <c r="A179" t="s">
        <v>191</v>
      </c>
      <c r="B179" t="s">
        <v>210</v>
      </c>
      <c r="C179" t="s">
        <v>1063</v>
      </c>
      <c r="D179" t="s">
        <v>209</v>
      </c>
      <c r="E179" s="30" t="s">
        <v>73</v>
      </c>
      <c r="F179" s="30" t="s">
        <v>28</v>
      </c>
      <c r="G179" s="30"/>
      <c r="H179" s="30" t="s">
        <v>699</v>
      </c>
      <c r="I179" s="31">
        <f t="shared" si="10"/>
        <v>28</v>
      </c>
      <c r="J179" s="147" t="s">
        <v>1811</v>
      </c>
      <c r="K179" s="31">
        <f t="shared" si="11"/>
        <v>0</v>
      </c>
      <c r="L179" s="32">
        <f t="shared" si="12"/>
        <v>1</v>
      </c>
      <c r="M179" s="70"/>
      <c r="N179" s="70"/>
      <c r="O179" s="70"/>
      <c r="P179" s="70"/>
      <c r="Q179" s="70"/>
      <c r="R179" s="70"/>
      <c r="S179" s="70"/>
      <c r="T179" s="70"/>
      <c r="U179" s="70"/>
      <c r="V179" s="70"/>
      <c r="W179" s="70"/>
      <c r="X179" s="70"/>
      <c r="Y179" s="70"/>
      <c r="Z179" s="70"/>
      <c r="AA179" s="70"/>
      <c r="AB179" s="70"/>
      <c r="AC179" s="70"/>
      <c r="AD179" s="70"/>
      <c r="AE179" s="70"/>
      <c r="AF179" s="70"/>
      <c r="AG179" s="70"/>
      <c r="AH179" s="70"/>
      <c r="AI179" s="70"/>
      <c r="AJ179" s="70"/>
      <c r="AK179" s="70"/>
      <c r="AL179" s="70"/>
      <c r="AM179" s="70"/>
      <c r="AN179" s="70"/>
      <c r="AO179" s="70"/>
      <c r="AP179" s="70"/>
      <c r="AQ179" s="70"/>
    </row>
    <row r="180" spans="1:43" ht="15.75" thickBot="1" x14ac:dyDescent="0.3">
      <c r="A180" t="s">
        <v>191</v>
      </c>
      <c r="B180" t="s">
        <v>211</v>
      </c>
      <c r="C180" t="s">
        <v>1063</v>
      </c>
      <c r="D180" t="s">
        <v>212</v>
      </c>
      <c r="E180" s="30" t="s">
        <v>73</v>
      </c>
      <c r="F180" s="30" t="s">
        <v>28</v>
      </c>
      <c r="G180" s="30"/>
      <c r="H180" s="30" t="s">
        <v>672</v>
      </c>
      <c r="I180" s="31">
        <f t="shared" si="10"/>
        <v>28</v>
      </c>
      <c r="J180" s="147" t="s">
        <v>1812</v>
      </c>
      <c r="K180" s="31">
        <f t="shared" si="11"/>
        <v>0</v>
      </c>
      <c r="L180" s="32">
        <f t="shared" si="12"/>
        <v>1</v>
      </c>
      <c r="M180" s="70"/>
      <c r="N180" s="70"/>
      <c r="O180" s="70"/>
      <c r="P180" s="70"/>
      <c r="Q180" s="70"/>
      <c r="R180" s="70"/>
      <c r="S180" s="70"/>
      <c r="T180" s="70"/>
      <c r="U180" s="70"/>
      <c r="V180" s="70"/>
      <c r="W180" s="70"/>
      <c r="X180" s="70"/>
      <c r="Y180" s="70"/>
      <c r="Z180" s="70"/>
      <c r="AA180" s="70"/>
      <c r="AB180" s="70"/>
      <c r="AC180" s="70"/>
      <c r="AD180" s="70"/>
      <c r="AE180" s="70"/>
      <c r="AF180" s="70"/>
      <c r="AG180" s="70"/>
      <c r="AH180" s="70"/>
      <c r="AI180" s="70"/>
      <c r="AJ180" s="70"/>
      <c r="AK180" s="70"/>
      <c r="AL180" s="70"/>
      <c r="AM180" s="70"/>
      <c r="AN180" s="70"/>
      <c r="AO180" s="70"/>
      <c r="AP180" s="70"/>
      <c r="AQ180" s="70"/>
    </row>
    <row r="181" spans="1:43" ht="15.75" thickBot="1" x14ac:dyDescent="0.3">
      <c r="A181" t="s">
        <v>191</v>
      </c>
      <c r="B181" t="s">
        <v>213</v>
      </c>
      <c r="C181" t="s">
        <v>1063</v>
      </c>
      <c r="D181" t="s">
        <v>212</v>
      </c>
      <c r="E181" s="30" t="s">
        <v>73</v>
      </c>
      <c r="F181" s="30" t="s">
        <v>28</v>
      </c>
      <c r="G181" s="30"/>
      <c r="H181" s="30" t="s">
        <v>673</v>
      </c>
      <c r="I181" s="31">
        <f t="shared" si="10"/>
        <v>28</v>
      </c>
      <c r="J181" s="147" t="s">
        <v>1813</v>
      </c>
      <c r="K181" s="31">
        <f t="shared" si="11"/>
        <v>0</v>
      </c>
      <c r="L181" s="32">
        <f t="shared" si="12"/>
        <v>1</v>
      </c>
      <c r="M181" s="70"/>
      <c r="N181" s="70"/>
      <c r="O181" s="70"/>
      <c r="P181" s="70"/>
      <c r="Q181" s="70"/>
      <c r="R181" s="70"/>
      <c r="S181" s="70"/>
      <c r="T181" s="70"/>
      <c r="U181" s="70"/>
      <c r="V181" s="70"/>
      <c r="W181" s="70"/>
      <c r="X181" s="70"/>
      <c r="Y181" s="70"/>
      <c r="Z181" s="70"/>
      <c r="AA181" s="70"/>
      <c r="AB181" s="70"/>
      <c r="AC181" s="70"/>
      <c r="AD181" s="70"/>
      <c r="AE181" s="70"/>
      <c r="AF181" s="70"/>
      <c r="AG181" s="70"/>
      <c r="AH181" s="70"/>
      <c r="AI181" s="70"/>
      <c r="AJ181" s="70"/>
      <c r="AK181" s="70"/>
      <c r="AL181" s="70"/>
      <c r="AM181" s="70"/>
      <c r="AN181" s="70"/>
      <c r="AO181" s="70"/>
      <c r="AP181" s="70"/>
      <c r="AQ181" s="70"/>
    </row>
    <row r="182" spans="1:43" ht="15.75" thickBot="1" x14ac:dyDescent="0.3">
      <c r="A182" t="s">
        <v>191</v>
      </c>
      <c r="B182" s="30" t="s">
        <v>1170</v>
      </c>
      <c r="C182" s="30" t="s">
        <v>1063</v>
      </c>
      <c r="D182" t="s">
        <v>1153</v>
      </c>
      <c r="E182" s="30" t="s">
        <v>1114</v>
      </c>
      <c r="F182" s="30" t="s">
        <v>28</v>
      </c>
      <c r="G182" s="30"/>
      <c r="H182" s="30" t="s">
        <v>1154</v>
      </c>
      <c r="I182" s="31">
        <f t="shared" si="10"/>
        <v>28</v>
      </c>
      <c r="J182" s="147" t="s">
        <v>1814</v>
      </c>
      <c r="K182" s="31">
        <f t="shared" si="11"/>
        <v>0</v>
      </c>
      <c r="L182" s="32">
        <f t="shared" si="12"/>
        <v>1</v>
      </c>
      <c r="M182" s="70"/>
      <c r="N182" s="70"/>
      <c r="O182" s="70"/>
      <c r="P182" s="70"/>
      <c r="Q182" s="70"/>
      <c r="R182" s="70"/>
      <c r="S182" s="70"/>
      <c r="T182" s="70"/>
      <c r="U182" s="70"/>
      <c r="V182" s="70"/>
      <c r="W182" s="70"/>
      <c r="X182" s="70"/>
      <c r="Y182" s="70"/>
      <c r="Z182" s="70"/>
      <c r="AA182" s="70"/>
      <c r="AB182" s="70"/>
      <c r="AC182" s="70"/>
      <c r="AD182" s="70"/>
      <c r="AE182" s="70"/>
      <c r="AF182" s="70"/>
      <c r="AG182" s="70"/>
      <c r="AH182" s="70"/>
      <c r="AI182" s="70"/>
      <c r="AJ182" s="70"/>
      <c r="AK182" s="70"/>
      <c r="AL182" s="70"/>
      <c r="AM182" s="70"/>
      <c r="AN182" s="70"/>
      <c r="AO182" s="70"/>
      <c r="AP182" s="70"/>
      <c r="AQ182" s="70"/>
    </row>
    <row r="183" spans="1:43" ht="15.75" thickBot="1" x14ac:dyDescent="0.3">
      <c r="A183" t="s">
        <v>191</v>
      </c>
      <c r="B183" s="30" t="s">
        <v>1169</v>
      </c>
      <c r="C183" s="30" t="s">
        <v>1063</v>
      </c>
      <c r="D183" t="s">
        <v>1153</v>
      </c>
      <c r="E183" s="30" t="s">
        <v>1114</v>
      </c>
      <c r="F183" s="30" t="s">
        <v>28</v>
      </c>
      <c r="G183" s="30"/>
      <c r="H183" s="30" t="s">
        <v>1155</v>
      </c>
      <c r="I183" s="31">
        <f t="shared" si="10"/>
        <v>26</v>
      </c>
      <c r="J183" s="147" t="s">
        <v>1815</v>
      </c>
      <c r="K183" s="31">
        <f t="shared" si="11"/>
        <v>2</v>
      </c>
      <c r="L183" s="32">
        <f t="shared" si="12"/>
        <v>0.9285714285714286</v>
      </c>
      <c r="M183" s="70" t="s">
        <v>2213</v>
      </c>
      <c r="N183" s="70" t="s">
        <v>2213</v>
      </c>
      <c r="O183" s="70"/>
      <c r="P183" s="70"/>
      <c r="Q183" s="70"/>
      <c r="R183" s="70"/>
      <c r="S183" s="70"/>
      <c r="T183" s="70"/>
      <c r="U183" s="70"/>
      <c r="V183" s="70"/>
      <c r="W183" s="70"/>
      <c r="X183" s="70"/>
      <c r="Y183" s="70"/>
      <c r="Z183" s="70"/>
      <c r="AA183" s="70"/>
      <c r="AB183" s="70"/>
      <c r="AC183" s="70"/>
      <c r="AD183" s="70"/>
      <c r="AE183" s="70"/>
      <c r="AF183" s="70"/>
      <c r="AG183" s="70"/>
      <c r="AH183" s="70"/>
      <c r="AI183" s="70"/>
      <c r="AJ183" s="70"/>
      <c r="AK183" s="70"/>
      <c r="AL183" s="70"/>
      <c r="AM183" s="70"/>
      <c r="AN183" s="70"/>
      <c r="AO183" s="70"/>
      <c r="AP183" s="70"/>
      <c r="AQ183" s="70"/>
    </row>
    <row r="184" spans="1:43" ht="15.75" thickBot="1" x14ac:dyDescent="0.3">
      <c r="A184" t="s">
        <v>191</v>
      </c>
      <c r="B184" s="30" t="s">
        <v>1172</v>
      </c>
      <c r="C184" s="30" t="s">
        <v>1063</v>
      </c>
      <c r="D184" t="s">
        <v>1150</v>
      </c>
      <c r="E184" s="30" t="s">
        <v>73</v>
      </c>
      <c r="F184" s="30" t="s">
        <v>28</v>
      </c>
      <c r="G184" s="30"/>
      <c r="H184" s="30" t="s">
        <v>1151</v>
      </c>
      <c r="I184" s="31">
        <f t="shared" si="10"/>
        <v>28</v>
      </c>
      <c r="J184" s="147" t="s">
        <v>1816</v>
      </c>
      <c r="K184" s="31">
        <f t="shared" si="11"/>
        <v>0</v>
      </c>
      <c r="L184" s="32">
        <f t="shared" si="12"/>
        <v>1</v>
      </c>
      <c r="M184" s="70"/>
      <c r="N184" s="70"/>
      <c r="O184" s="70"/>
      <c r="P184" s="70"/>
      <c r="Q184" s="70"/>
      <c r="R184" s="70"/>
      <c r="S184" s="70"/>
      <c r="T184" s="70"/>
      <c r="U184" s="70"/>
      <c r="V184" s="70"/>
      <c r="W184" s="70"/>
      <c r="X184" s="70"/>
      <c r="Y184" s="70"/>
      <c r="Z184" s="70"/>
      <c r="AA184" s="70"/>
      <c r="AB184" s="70"/>
      <c r="AC184" s="70"/>
      <c r="AD184" s="70"/>
      <c r="AE184" s="70"/>
      <c r="AF184" s="70"/>
      <c r="AG184" s="70"/>
      <c r="AH184" s="70"/>
      <c r="AI184" s="70"/>
      <c r="AJ184" s="70"/>
      <c r="AK184" s="70"/>
      <c r="AL184" s="70"/>
      <c r="AM184" s="70"/>
      <c r="AN184" s="70"/>
      <c r="AO184" s="70"/>
      <c r="AP184" s="70"/>
      <c r="AQ184" s="70"/>
    </row>
    <row r="185" spans="1:43" ht="15.75" thickBot="1" x14ac:dyDescent="0.3">
      <c r="A185" t="s">
        <v>191</v>
      </c>
      <c r="B185" s="30" t="s">
        <v>1173</v>
      </c>
      <c r="C185" s="30" t="s">
        <v>1063</v>
      </c>
      <c r="D185" t="s">
        <v>1150</v>
      </c>
      <c r="E185" s="30" t="s">
        <v>73</v>
      </c>
      <c r="F185" s="30" t="s">
        <v>28</v>
      </c>
      <c r="G185" s="30"/>
      <c r="H185" s="30" t="s">
        <v>1152</v>
      </c>
      <c r="I185" s="31">
        <f t="shared" si="10"/>
        <v>28</v>
      </c>
      <c r="J185" s="147" t="s">
        <v>1817</v>
      </c>
      <c r="K185" s="31">
        <f t="shared" si="11"/>
        <v>0</v>
      </c>
      <c r="L185" s="32">
        <f t="shared" si="12"/>
        <v>1</v>
      </c>
      <c r="M185" s="70"/>
      <c r="N185" s="70"/>
      <c r="O185" s="70"/>
      <c r="P185" s="70"/>
      <c r="Q185" s="70"/>
      <c r="R185" s="70"/>
      <c r="S185" s="70"/>
      <c r="T185" s="70"/>
      <c r="U185" s="70"/>
      <c r="V185" s="70"/>
      <c r="W185" s="70"/>
      <c r="X185" s="70"/>
      <c r="Y185" s="70"/>
      <c r="Z185" s="70"/>
      <c r="AA185" s="70"/>
      <c r="AB185" s="70"/>
      <c r="AC185" s="70"/>
      <c r="AD185" s="70"/>
      <c r="AE185" s="70"/>
      <c r="AF185" s="70"/>
      <c r="AG185" s="70"/>
      <c r="AH185" s="70"/>
      <c r="AI185" s="70"/>
      <c r="AJ185" s="70"/>
      <c r="AK185" s="70"/>
      <c r="AL185" s="70"/>
      <c r="AM185" s="70"/>
      <c r="AN185" s="70"/>
      <c r="AO185" s="70"/>
      <c r="AP185" s="70"/>
      <c r="AQ185" s="70"/>
    </row>
    <row r="186" spans="1:43" ht="15.75" thickBot="1" x14ac:dyDescent="0.3">
      <c r="A186" t="s">
        <v>191</v>
      </c>
      <c r="B186" s="30" t="s">
        <v>1514</v>
      </c>
      <c r="C186" s="30" t="s">
        <v>1063</v>
      </c>
      <c r="D186" t="s">
        <v>1515</v>
      </c>
      <c r="E186" s="30" t="s">
        <v>19</v>
      </c>
      <c r="F186" s="30" t="s">
        <v>28</v>
      </c>
      <c r="G186" s="30"/>
      <c r="H186" s="30" t="s">
        <v>1516</v>
      </c>
      <c r="I186" s="31">
        <f t="shared" si="10"/>
        <v>28</v>
      </c>
      <c r="J186" s="87"/>
      <c r="K186" s="31">
        <f t="shared" si="11"/>
        <v>0</v>
      </c>
      <c r="L186" s="32">
        <f t="shared" si="12"/>
        <v>1</v>
      </c>
      <c r="M186" s="70"/>
      <c r="N186" s="70"/>
      <c r="O186" s="70"/>
      <c r="P186" s="70"/>
      <c r="Q186" s="70"/>
      <c r="R186" s="70"/>
      <c r="S186" s="70"/>
      <c r="T186" s="70"/>
      <c r="U186" s="70"/>
      <c r="V186" s="70"/>
      <c r="W186" s="70"/>
      <c r="X186" s="70"/>
      <c r="Y186" s="70"/>
      <c r="Z186" s="70"/>
      <c r="AA186" s="70"/>
      <c r="AB186" s="70"/>
      <c r="AC186" s="70"/>
      <c r="AD186" s="70"/>
      <c r="AE186" s="70"/>
      <c r="AF186" s="70"/>
      <c r="AG186" s="70"/>
      <c r="AH186" s="70"/>
      <c r="AI186" s="70"/>
      <c r="AJ186" s="70"/>
      <c r="AK186" s="70"/>
      <c r="AL186" s="70"/>
      <c r="AM186" s="70"/>
      <c r="AN186" s="70"/>
      <c r="AO186" s="70"/>
      <c r="AP186" s="70"/>
      <c r="AQ186" s="70"/>
    </row>
    <row r="187" spans="1:43" s="73" customFormat="1" ht="15.75" thickBot="1" x14ac:dyDescent="0.3">
      <c r="A187" s="73" t="s">
        <v>191</v>
      </c>
      <c r="B187" s="85" t="s">
        <v>1554</v>
      </c>
      <c r="C187" s="85" t="s">
        <v>1063</v>
      </c>
      <c r="D187" s="73" t="s">
        <v>1555</v>
      </c>
      <c r="E187" s="85" t="s">
        <v>19</v>
      </c>
      <c r="F187" s="85" t="s">
        <v>1301</v>
      </c>
      <c r="G187" s="85"/>
      <c r="H187" s="85" t="s">
        <v>1556</v>
      </c>
      <c r="I187" s="31">
        <f t="shared" si="10"/>
        <v>28</v>
      </c>
      <c r="J187" s="147" t="s">
        <v>1818</v>
      </c>
      <c r="K187" s="31">
        <f t="shared" si="11"/>
        <v>0</v>
      </c>
      <c r="L187" s="32">
        <f t="shared" si="12"/>
        <v>1</v>
      </c>
      <c r="M187" s="70"/>
      <c r="N187" s="70"/>
      <c r="O187" s="70"/>
      <c r="P187" s="70"/>
      <c r="Q187" s="70"/>
      <c r="R187" s="70"/>
      <c r="S187" s="70"/>
      <c r="T187" s="70"/>
      <c r="U187" s="70"/>
      <c r="V187" s="70"/>
      <c r="W187" s="70"/>
      <c r="X187" s="70"/>
      <c r="Y187" s="70"/>
      <c r="Z187" s="70"/>
      <c r="AA187" s="70"/>
      <c r="AB187" s="70"/>
      <c r="AC187" s="70"/>
      <c r="AD187" s="70"/>
      <c r="AE187" s="70"/>
      <c r="AF187" s="70"/>
      <c r="AG187" s="70"/>
      <c r="AH187" s="70"/>
      <c r="AI187" s="70"/>
      <c r="AJ187" s="70"/>
      <c r="AK187" s="70"/>
      <c r="AL187" s="70"/>
      <c r="AM187" s="70"/>
      <c r="AN187" s="70"/>
      <c r="AO187" s="70"/>
      <c r="AP187" s="89"/>
      <c r="AQ187" s="89"/>
    </row>
    <row r="188" spans="1:43" s="73" customFormat="1" ht="15.75" thickBot="1" x14ac:dyDescent="0.3">
      <c r="A188" s="73" t="s">
        <v>191</v>
      </c>
      <c r="B188" s="85" t="s">
        <v>2170</v>
      </c>
      <c r="C188" s="85" t="s">
        <v>1063</v>
      </c>
      <c r="D188" s="73" t="s">
        <v>2171</v>
      </c>
      <c r="E188" s="85" t="s">
        <v>19</v>
      </c>
      <c r="F188" s="85" t="s">
        <v>1301</v>
      </c>
      <c r="G188" s="85"/>
      <c r="H188" s="85" t="s">
        <v>2172</v>
      </c>
      <c r="I188" s="31">
        <f t="shared" si="10"/>
        <v>28</v>
      </c>
      <c r="J188" s="147" t="s">
        <v>2173</v>
      </c>
      <c r="K188" s="31">
        <f t="shared" si="11"/>
        <v>0</v>
      </c>
      <c r="L188" s="32">
        <f t="shared" si="12"/>
        <v>1</v>
      </c>
      <c r="M188" s="70"/>
      <c r="N188" s="70"/>
      <c r="O188" s="70"/>
      <c r="P188" s="70"/>
      <c r="Q188" s="70"/>
      <c r="R188" s="70"/>
      <c r="S188" s="70"/>
      <c r="T188" s="70"/>
      <c r="U188" s="70"/>
      <c r="V188" s="70"/>
      <c r="W188" s="70"/>
      <c r="X188" s="70"/>
      <c r="Y188" s="70"/>
      <c r="Z188" s="70"/>
      <c r="AA188" s="70"/>
      <c r="AB188" s="70"/>
      <c r="AC188" s="70"/>
      <c r="AD188" s="70"/>
      <c r="AE188" s="70"/>
      <c r="AF188" s="70"/>
      <c r="AG188" s="70"/>
      <c r="AH188" s="70"/>
      <c r="AI188" s="70"/>
      <c r="AJ188" s="70"/>
      <c r="AK188" s="70"/>
      <c r="AL188" s="70"/>
      <c r="AM188" s="70"/>
      <c r="AN188" s="70"/>
      <c r="AO188" s="70"/>
      <c r="AP188" s="89"/>
      <c r="AQ188" s="89"/>
    </row>
    <row r="189" spans="1:43" s="73" customFormat="1" ht="15.75" thickBot="1" x14ac:dyDescent="0.3">
      <c r="A189" s="73" t="s">
        <v>191</v>
      </c>
      <c r="B189" s="85" t="s">
        <v>2237</v>
      </c>
      <c r="C189" s="85" t="s">
        <v>1063</v>
      </c>
      <c r="D189" s="73" t="s">
        <v>2238</v>
      </c>
      <c r="E189" s="85" t="s">
        <v>19</v>
      </c>
      <c r="F189" s="85" t="s">
        <v>1301</v>
      </c>
      <c r="G189" s="85"/>
      <c r="H189" s="85" t="s">
        <v>2239</v>
      </c>
      <c r="I189" s="31">
        <f t="shared" si="10"/>
        <v>28</v>
      </c>
      <c r="J189" s="147" t="s">
        <v>2173</v>
      </c>
      <c r="K189" s="31">
        <f t="shared" si="11"/>
        <v>0</v>
      </c>
      <c r="L189" s="32">
        <f t="shared" si="12"/>
        <v>1</v>
      </c>
      <c r="M189" s="70"/>
      <c r="N189" s="70"/>
      <c r="O189" s="70"/>
      <c r="P189" s="70"/>
      <c r="Q189" s="70"/>
      <c r="R189" s="70"/>
      <c r="S189" s="70"/>
      <c r="T189" s="70"/>
      <c r="U189" s="70"/>
      <c r="V189" s="70"/>
      <c r="W189" s="70"/>
      <c r="X189" s="70"/>
      <c r="Y189" s="70"/>
      <c r="Z189" s="70"/>
      <c r="AA189" s="70"/>
      <c r="AB189" s="70"/>
      <c r="AC189" s="70"/>
      <c r="AD189" s="70"/>
      <c r="AE189" s="70"/>
      <c r="AF189" s="70"/>
      <c r="AG189" s="70"/>
      <c r="AH189" s="70"/>
      <c r="AI189" s="70"/>
      <c r="AJ189" s="70"/>
      <c r="AK189" s="70"/>
      <c r="AL189" s="70"/>
      <c r="AM189" s="70"/>
      <c r="AN189" s="70"/>
      <c r="AO189" s="70"/>
      <c r="AP189" s="89"/>
      <c r="AQ189" s="89"/>
    </row>
    <row r="190" spans="1:43" s="73" customFormat="1" ht="15.75" thickBot="1" x14ac:dyDescent="0.3">
      <c r="B190" s="85" t="s">
        <v>1535</v>
      </c>
      <c r="C190" s="85" t="s">
        <v>1063</v>
      </c>
      <c r="D190" s="73" t="s">
        <v>1536</v>
      </c>
      <c r="E190" s="85" t="s">
        <v>1114</v>
      </c>
      <c r="F190" s="85" t="s">
        <v>1537</v>
      </c>
      <c r="G190" s="85"/>
      <c r="H190" s="85" t="s">
        <v>1538</v>
      </c>
      <c r="I190" s="31">
        <f t="shared" si="10"/>
        <v>28</v>
      </c>
      <c r="J190" s="147" t="s">
        <v>1819</v>
      </c>
      <c r="K190" s="31">
        <f t="shared" si="11"/>
        <v>0</v>
      </c>
      <c r="L190" s="32">
        <f t="shared" si="12"/>
        <v>1</v>
      </c>
      <c r="M190" s="70"/>
      <c r="N190" s="70"/>
      <c r="O190" s="70"/>
      <c r="P190" s="70"/>
      <c r="Q190" s="70"/>
      <c r="R190" s="70"/>
      <c r="S190" s="70"/>
      <c r="T190" s="70"/>
      <c r="U190" s="70"/>
      <c r="V190" s="70"/>
      <c r="W190" s="70"/>
      <c r="X190" s="70"/>
      <c r="Y190" s="70"/>
      <c r="Z190" s="70"/>
      <c r="AA190" s="70"/>
      <c r="AB190" s="70"/>
      <c r="AC190" s="70"/>
      <c r="AD190" s="70"/>
      <c r="AE190" s="70"/>
      <c r="AF190" s="70"/>
      <c r="AG190" s="70"/>
      <c r="AH190" s="70"/>
      <c r="AI190" s="70"/>
      <c r="AJ190" s="70"/>
      <c r="AK190" s="70"/>
      <c r="AL190" s="70"/>
      <c r="AM190" s="70"/>
      <c r="AN190" s="70"/>
      <c r="AO190" s="70"/>
      <c r="AP190" s="89"/>
      <c r="AQ190" s="89"/>
    </row>
    <row r="191" spans="1:43" ht="15.75" thickBot="1" x14ac:dyDescent="0.3">
      <c r="A191" t="s">
        <v>214</v>
      </c>
      <c r="B191" t="s">
        <v>949</v>
      </c>
      <c r="C191" t="s">
        <v>1063</v>
      </c>
      <c r="D191" t="s">
        <v>215</v>
      </c>
      <c r="E191" s="30" t="s">
        <v>15</v>
      </c>
      <c r="F191" s="30" t="s">
        <v>28</v>
      </c>
      <c r="G191" s="30"/>
      <c r="H191" s="30" t="s">
        <v>701</v>
      </c>
      <c r="I191" s="31">
        <f t="shared" si="10"/>
        <v>28</v>
      </c>
      <c r="J191" s="147" t="s">
        <v>1820</v>
      </c>
      <c r="K191" s="31">
        <f t="shared" si="11"/>
        <v>0</v>
      </c>
      <c r="L191" s="32">
        <f t="shared" si="12"/>
        <v>1</v>
      </c>
      <c r="M191" s="70"/>
      <c r="N191" s="70"/>
      <c r="O191" s="70"/>
      <c r="P191" s="70"/>
      <c r="Q191" s="70"/>
      <c r="R191" s="70"/>
      <c r="S191" s="70"/>
      <c r="T191" s="70"/>
      <c r="U191" s="70"/>
      <c r="V191" s="70"/>
      <c r="W191" s="70"/>
      <c r="X191" s="70"/>
      <c r="Y191" s="70"/>
      <c r="Z191" s="70"/>
      <c r="AA191" s="70"/>
      <c r="AB191" s="70"/>
      <c r="AC191" s="70"/>
      <c r="AD191" s="70"/>
      <c r="AE191" s="70"/>
      <c r="AF191" s="70"/>
      <c r="AG191" s="70"/>
      <c r="AH191" s="70"/>
      <c r="AI191" s="70"/>
      <c r="AJ191" s="70"/>
      <c r="AK191" s="70"/>
      <c r="AL191" s="70"/>
      <c r="AM191" s="70"/>
      <c r="AN191" s="70"/>
      <c r="AO191" s="70"/>
      <c r="AP191" s="70"/>
      <c r="AQ191" s="70"/>
    </row>
    <row r="192" spans="1:43" ht="15.75" thickBot="1" x14ac:dyDescent="0.3">
      <c r="A192" t="s">
        <v>214</v>
      </c>
      <c r="B192" t="s">
        <v>950</v>
      </c>
      <c r="C192" t="s">
        <v>1063</v>
      </c>
      <c r="D192" t="s">
        <v>216</v>
      </c>
      <c r="E192" s="30" t="s">
        <v>15</v>
      </c>
      <c r="F192" s="30" t="s">
        <v>28</v>
      </c>
      <c r="G192" s="30"/>
      <c r="H192" s="30" t="s">
        <v>702</v>
      </c>
      <c r="I192" s="31">
        <f t="shared" si="10"/>
        <v>28</v>
      </c>
      <c r="J192" s="147" t="s">
        <v>1821</v>
      </c>
      <c r="K192" s="31">
        <f t="shared" si="11"/>
        <v>0</v>
      </c>
      <c r="L192" s="32">
        <f t="shared" si="12"/>
        <v>1</v>
      </c>
      <c r="M192" s="70"/>
      <c r="N192" s="70"/>
      <c r="O192" s="70"/>
      <c r="P192" s="70"/>
      <c r="Q192" s="70"/>
      <c r="R192" s="70"/>
      <c r="S192" s="70"/>
      <c r="T192" s="70"/>
      <c r="U192" s="70"/>
      <c r="V192" s="70"/>
      <c r="W192" s="70"/>
      <c r="X192" s="70"/>
      <c r="Y192" s="70"/>
      <c r="Z192" s="70"/>
      <c r="AA192" s="70"/>
      <c r="AB192" s="70"/>
      <c r="AC192" s="70"/>
      <c r="AD192" s="70"/>
      <c r="AE192" s="70"/>
      <c r="AF192" s="70"/>
      <c r="AG192" s="70"/>
      <c r="AH192" s="70"/>
      <c r="AI192" s="70"/>
      <c r="AJ192" s="70"/>
      <c r="AK192" s="70"/>
      <c r="AL192" s="70"/>
      <c r="AM192" s="70"/>
      <c r="AN192" s="70"/>
      <c r="AO192" s="70"/>
      <c r="AP192" s="70"/>
      <c r="AQ192" s="70"/>
    </row>
    <row r="193" spans="1:43" s="137" customFormat="1" ht="15.75" thickBot="1" x14ac:dyDescent="0.3">
      <c r="A193" s="137" t="s">
        <v>217</v>
      </c>
      <c r="B193" s="137" t="s">
        <v>951</v>
      </c>
      <c r="C193" s="137" t="s">
        <v>1063</v>
      </c>
      <c r="D193" s="137" t="s">
        <v>218</v>
      </c>
      <c r="E193" s="86" t="s">
        <v>19</v>
      </c>
      <c r="F193" s="86" t="s">
        <v>28</v>
      </c>
      <c r="G193" s="86"/>
      <c r="H193" s="86" t="s">
        <v>703</v>
      </c>
      <c r="I193" s="138">
        <f t="shared" si="10"/>
        <v>20</v>
      </c>
      <c r="J193" s="87"/>
      <c r="K193" s="138">
        <f t="shared" si="11"/>
        <v>8</v>
      </c>
      <c r="L193" s="139">
        <f t="shared" si="12"/>
        <v>0.7142857142857143</v>
      </c>
      <c r="M193" s="140" t="s">
        <v>2213</v>
      </c>
      <c r="N193" s="140" t="s">
        <v>2213</v>
      </c>
      <c r="O193" s="140" t="s">
        <v>2213</v>
      </c>
      <c r="P193" s="140" t="s">
        <v>2213</v>
      </c>
      <c r="Q193" s="140" t="s">
        <v>2213</v>
      </c>
      <c r="R193" s="140" t="s">
        <v>2213</v>
      </c>
      <c r="S193" s="140" t="s">
        <v>2213</v>
      </c>
      <c r="T193" s="140" t="s">
        <v>2213</v>
      </c>
      <c r="U193" s="140"/>
      <c r="V193" s="140"/>
      <c r="W193" s="140"/>
      <c r="X193" s="140"/>
      <c r="Y193" s="140"/>
      <c r="Z193" s="140"/>
      <c r="AA193" s="140"/>
      <c r="AB193" s="140"/>
      <c r="AC193" s="140"/>
      <c r="AD193" s="140"/>
      <c r="AE193" s="140"/>
      <c r="AF193" s="140"/>
      <c r="AG193" s="70"/>
      <c r="AH193" s="140"/>
      <c r="AI193" s="140"/>
      <c r="AJ193" s="140"/>
      <c r="AK193" s="140"/>
      <c r="AL193" s="140"/>
      <c r="AM193" s="140"/>
      <c r="AN193" s="140"/>
      <c r="AO193" s="140"/>
      <c r="AP193" s="140"/>
      <c r="AQ193" s="140"/>
    </row>
    <row r="194" spans="1:43" s="73" customFormat="1" ht="15.75" thickBot="1" x14ac:dyDescent="0.3">
      <c r="A194" s="73" t="s">
        <v>229</v>
      </c>
      <c r="B194" s="73" t="s">
        <v>230</v>
      </c>
      <c r="C194" s="73" t="s">
        <v>1062</v>
      </c>
      <c r="D194" s="73" t="s">
        <v>231</v>
      </c>
      <c r="E194" s="85" t="s">
        <v>15</v>
      </c>
      <c r="F194" s="85" t="s">
        <v>1301</v>
      </c>
      <c r="G194" s="85"/>
      <c r="H194" s="85" t="s">
        <v>1392</v>
      </c>
      <c r="I194" s="142">
        <f t="shared" si="10"/>
        <v>28</v>
      </c>
      <c r="J194" s="147" t="s">
        <v>1822</v>
      </c>
      <c r="K194" s="142">
        <f t="shared" si="11"/>
        <v>0</v>
      </c>
      <c r="L194" s="143">
        <f t="shared" si="12"/>
        <v>1</v>
      </c>
      <c r="M194" s="70"/>
      <c r="N194" s="70"/>
      <c r="O194" s="70"/>
      <c r="P194" s="70"/>
      <c r="Q194" s="70"/>
      <c r="R194" s="70"/>
      <c r="S194" s="70"/>
      <c r="T194" s="70"/>
      <c r="U194" s="70"/>
      <c r="V194" s="70"/>
      <c r="W194" s="70"/>
      <c r="X194" s="70"/>
      <c r="Y194" s="70"/>
      <c r="Z194" s="70"/>
      <c r="AA194" s="70"/>
      <c r="AB194" s="70"/>
      <c r="AC194" s="70"/>
      <c r="AD194" s="70"/>
      <c r="AE194" s="70"/>
      <c r="AF194" s="70"/>
      <c r="AG194" s="70"/>
      <c r="AH194" s="70"/>
      <c r="AI194" s="70"/>
      <c r="AJ194" s="70"/>
      <c r="AK194" s="70"/>
      <c r="AL194" s="70"/>
      <c r="AM194" s="70"/>
      <c r="AN194" s="70"/>
      <c r="AO194" s="70"/>
      <c r="AP194" s="89"/>
      <c r="AQ194" s="89"/>
    </row>
    <row r="195" spans="1:43" s="73" customFormat="1" ht="15.75" thickBot="1" x14ac:dyDescent="0.3">
      <c r="A195" s="73" t="s">
        <v>168</v>
      </c>
      <c r="B195" s="73" t="s">
        <v>232</v>
      </c>
      <c r="C195" s="73" t="s">
        <v>1062</v>
      </c>
      <c r="D195" s="73" t="s">
        <v>233</v>
      </c>
      <c r="E195" s="85" t="s">
        <v>19</v>
      </c>
      <c r="F195" s="85" t="s">
        <v>1301</v>
      </c>
      <c r="G195" s="85"/>
      <c r="H195" s="85" t="s">
        <v>1427</v>
      </c>
      <c r="I195" s="142">
        <f t="shared" si="10"/>
        <v>23</v>
      </c>
      <c r="J195" s="147" t="s">
        <v>1823</v>
      </c>
      <c r="K195" s="142">
        <f t="shared" si="11"/>
        <v>5</v>
      </c>
      <c r="L195" s="143">
        <f t="shared" si="12"/>
        <v>0.8214285714285714</v>
      </c>
      <c r="M195" s="70" t="s">
        <v>2213</v>
      </c>
      <c r="N195" s="70" t="s">
        <v>2213</v>
      </c>
      <c r="O195" s="70" t="s">
        <v>2213</v>
      </c>
      <c r="P195" s="70"/>
      <c r="Q195" s="70"/>
      <c r="R195" s="70"/>
      <c r="S195" s="70" t="s">
        <v>2213</v>
      </c>
      <c r="T195" s="70" t="s">
        <v>2213</v>
      </c>
      <c r="U195" s="70"/>
      <c r="V195" s="70"/>
      <c r="W195" s="70"/>
      <c r="X195" s="70"/>
      <c r="Y195" s="70"/>
      <c r="Z195" s="70"/>
      <c r="AA195" s="70"/>
      <c r="AB195" s="70"/>
      <c r="AC195" s="70"/>
      <c r="AD195" s="70"/>
      <c r="AE195" s="70"/>
      <c r="AF195" s="70"/>
      <c r="AG195" s="70"/>
      <c r="AH195" s="70"/>
      <c r="AI195" s="70"/>
      <c r="AJ195" s="70"/>
      <c r="AK195" s="70"/>
      <c r="AL195" s="70"/>
      <c r="AM195" s="70"/>
      <c r="AN195" s="70"/>
      <c r="AO195" s="70"/>
      <c r="AP195" s="89"/>
      <c r="AQ195" s="89"/>
    </row>
    <row r="196" spans="1:43" ht="15.75" thickBot="1" x14ac:dyDescent="0.3">
      <c r="A196" t="s">
        <v>219</v>
      </c>
      <c r="B196" t="s">
        <v>234</v>
      </c>
      <c r="C196" t="s">
        <v>1062</v>
      </c>
      <c r="D196" t="s">
        <v>235</v>
      </c>
      <c r="E196" s="30" t="s">
        <v>19</v>
      </c>
      <c r="F196" s="30" t="s">
        <v>1056</v>
      </c>
      <c r="G196" s="30"/>
      <c r="H196" s="30" t="s">
        <v>1409</v>
      </c>
      <c r="I196" s="31">
        <f t="shared" si="10"/>
        <v>28</v>
      </c>
      <c r="J196" s="147" t="s">
        <v>1824</v>
      </c>
      <c r="K196" s="31">
        <f t="shared" si="11"/>
        <v>0</v>
      </c>
      <c r="L196" s="32">
        <f t="shared" si="12"/>
        <v>1</v>
      </c>
      <c r="M196" s="70"/>
      <c r="N196" s="70"/>
      <c r="O196" s="70"/>
      <c r="P196" s="70"/>
      <c r="Q196" s="70"/>
      <c r="R196" s="70"/>
      <c r="S196" s="70"/>
      <c r="T196" s="70"/>
      <c r="U196" s="70"/>
      <c r="V196" s="70"/>
      <c r="W196" s="70"/>
      <c r="X196" s="70"/>
      <c r="Y196" s="70"/>
      <c r="Z196" s="70"/>
      <c r="AA196" s="70"/>
      <c r="AB196" s="70"/>
      <c r="AC196" s="70"/>
      <c r="AD196" s="70"/>
      <c r="AE196" s="70"/>
      <c r="AF196" s="70"/>
      <c r="AG196" s="70"/>
      <c r="AH196" s="70"/>
      <c r="AI196" s="70"/>
      <c r="AJ196" s="70"/>
      <c r="AK196" s="70"/>
      <c r="AL196" s="70"/>
      <c r="AM196" s="70"/>
      <c r="AN196" s="70"/>
      <c r="AO196" s="70"/>
      <c r="AP196" s="70"/>
      <c r="AQ196" s="70"/>
    </row>
    <row r="197" spans="1:43" ht="15.75" thickBot="1" x14ac:dyDescent="0.3">
      <c r="A197" t="s">
        <v>219</v>
      </c>
      <c r="B197" t="s">
        <v>236</v>
      </c>
      <c r="C197" t="s">
        <v>1062</v>
      </c>
      <c r="D197" t="s">
        <v>237</v>
      </c>
      <c r="E197" s="30" t="s">
        <v>19</v>
      </c>
      <c r="F197" s="30" t="s">
        <v>1056</v>
      </c>
      <c r="G197" s="30"/>
      <c r="H197" s="30" t="s">
        <v>1435</v>
      </c>
      <c r="I197" s="31">
        <f t="shared" si="10"/>
        <v>27</v>
      </c>
      <c r="J197" s="147" t="s">
        <v>1825</v>
      </c>
      <c r="K197" s="31">
        <f t="shared" si="11"/>
        <v>1</v>
      </c>
      <c r="L197" s="32">
        <f t="shared" si="12"/>
        <v>0.9642857142857143</v>
      </c>
      <c r="M197" s="70" t="s">
        <v>2213</v>
      </c>
      <c r="N197" s="70"/>
      <c r="O197" s="70"/>
      <c r="P197" s="70"/>
      <c r="Q197" s="70"/>
      <c r="R197" s="70"/>
      <c r="S197" s="70"/>
      <c r="T197" s="70"/>
      <c r="U197" s="70"/>
      <c r="V197" s="70"/>
      <c r="W197" s="70"/>
      <c r="X197" s="70"/>
      <c r="Y197" s="70"/>
      <c r="Z197" s="70"/>
      <c r="AA197" s="70"/>
      <c r="AB197" s="70"/>
      <c r="AC197" s="70"/>
      <c r="AD197" s="70"/>
      <c r="AE197" s="70"/>
      <c r="AF197" s="70"/>
      <c r="AG197" s="70"/>
      <c r="AH197" s="70"/>
      <c r="AI197" s="70"/>
      <c r="AJ197" s="70"/>
      <c r="AK197" s="70"/>
      <c r="AL197" s="70"/>
      <c r="AM197" s="70"/>
      <c r="AN197" s="70"/>
      <c r="AO197" s="70"/>
      <c r="AP197" s="70"/>
      <c r="AQ197" s="70"/>
    </row>
    <row r="198" spans="1:43" ht="15.75" thickBot="1" x14ac:dyDescent="0.3">
      <c r="A198" t="s">
        <v>219</v>
      </c>
      <c r="B198" t="s">
        <v>238</v>
      </c>
      <c r="C198" t="s">
        <v>1062</v>
      </c>
      <c r="D198" t="s">
        <v>239</v>
      </c>
      <c r="E198" s="30" t="s">
        <v>19</v>
      </c>
      <c r="F198" s="30" t="s">
        <v>1056</v>
      </c>
      <c r="G198" s="30"/>
      <c r="H198" s="30" t="s">
        <v>1436</v>
      </c>
      <c r="I198" s="31">
        <f t="shared" si="10"/>
        <v>27</v>
      </c>
      <c r="J198" s="147" t="s">
        <v>1826</v>
      </c>
      <c r="K198" s="31">
        <f t="shared" si="11"/>
        <v>1</v>
      </c>
      <c r="L198" s="32">
        <f t="shared" si="12"/>
        <v>0.9642857142857143</v>
      </c>
      <c r="M198" s="70" t="s">
        <v>2213</v>
      </c>
      <c r="N198" s="70"/>
      <c r="O198" s="70"/>
      <c r="P198" s="70"/>
      <c r="Q198" s="70"/>
      <c r="R198" s="70"/>
      <c r="S198" s="70"/>
      <c r="T198" s="70"/>
      <c r="U198" s="70"/>
      <c r="V198" s="70"/>
      <c r="W198" s="70"/>
      <c r="X198" s="70"/>
      <c r="Y198" s="70"/>
      <c r="Z198" s="70"/>
      <c r="AA198" s="70"/>
      <c r="AB198" s="70"/>
      <c r="AC198" s="70"/>
      <c r="AD198" s="70"/>
      <c r="AE198" s="70"/>
      <c r="AF198" s="70"/>
      <c r="AG198" s="70"/>
      <c r="AH198" s="70"/>
      <c r="AI198" s="70"/>
      <c r="AJ198" s="70"/>
      <c r="AK198" s="70"/>
      <c r="AL198" s="70"/>
      <c r="AM198" s="70"/>
      <c r="AN198" s="70"/>
      <c r="AO198" s="70"/>
      <c r="AP198" s="70"/>
      <c r="AQ198" s="70"/>
    </row>
    <row r="199" spans="1:43" s="91" customFormat="1" ht="15.75" thickBot="1" x14ac:dyDescent="0.3">
      <c r="A199" s="91" t="s">
        <v>219</v>
      </c>
      <c r="B199" s="91" t="s">
        <v>240</v>
      </c>
      <c r="C199" s="91" t="s">
        <v>1062</v>
      </c>
      <c r="D199" s="91" t="s">
        <v>241</v>
      </c>
      <c r="E199" s="92" t="s">
        <v>15</v>
      </c>
      <c r="F199" s="92" t="s">
        <v>20</v>
      </c>
      <c r="G199" s="92"/>
      <c r="H199" s="92" t="s">
        <v>704</v>
      </c>
      <c r="I199" s="31">
        <f t="shared" si="10"/>
        <v>28</v>
      </c>
      <c r="J199" s="87"/>
      <c r="K199" s="31">
        <f t="shared" si="11"/>
        <v>0</v>
      </c>
      <c r="L199" s="32">
        <f t="shared" si="12"/>
        <v>1</v>
      </c>
      <c r="M199" s="70"/>
      <c r="N199" s="70"/>
      <c r="O199" s="70"/>
      <c r="P199" s="70"/>
      <c r="Q199" s="70"/>
      <c r="R199" s="70"/>
      <c r="S199" s="70"/>
      <c r="T199" s="70"/>
      <c r="U199" s="70"/>
      <c r="V199" s="70"/>
      <c r="W199" s="70"/>
      <c r="X199" s="70"/>
      <c r="Y199" s="70"/>
      <c r="Z199" s="70"/>
      <c r="AA199" s="70"/>
      <c r="AB199" s="70"/>
      <c r="AC199" s="70"/>
      <c r="AD199" s="70"/>
      <c r="AE199" s="93"/>
      <c r="AF199" s="93"/>
      <c r="AG199" s="70"/>
      <c r="AH199" s="93"/>
      <c r="AI199" s="93"/>
      <c r="AJ199" s="93"/>
      <c r="AK199" s="93"/>
      <c r="AL199" s="93"/>
      <c r="AM199" s="93"/>
      <c r="AN199" s="93"/>
      <c r="AO199" s="93"/>
      <c r="AP199" s="93"/>
      <c r="AQ199" s="93"/>
    </row>
    <row r="200" spans="1:43" s="73" customFormat="1" ht="15.75" thickBot="1" x14ac:dyDescent="0.3">
      <c r="A200" s="73" t="s">
        <v>219</v>
      </c>
      <c r="B200" s="73" t="s">
        <v>220</v>
      </c>
      <c r="C200" s="73" t="s">
        <v>1062</v>
      </c>
      <c r="D200" s="73" t="s">
        <v>221</v>
      </c>
      <c r="E200" s="85" t="s">
        <v>15</v>
      </c>
      <c r="F200" s="85" t="s">
        <v>1301</v>
      </c>
      <c r="G200" s="85"/>
      <c r="H200" s="85" t="s">
        <v>1593</v>
      </c>
      <c r="I200" s="142">
        <f t="shared" si="10"/>
        <v>27</v>
      </c>
      <c r="J200" s="147" t="s">
        <v>1827</v>
      </c>
      <c r="K200" s="142">
        <f t="shared" si="11"/>
        <v>1</v>
      </c>
      <c r="L200" s="143">
        <f t="shared" si="12"/>
        <v>0.9642857142857143</v>
      </c>
      <c r="M200" s="70"/>
      <c r="N200" s="70"/>
      <c r="O200" s="70" t="s">
        <v>2213</v>
      </c>
      <c r="P200" s="70"/>
      <c r="Q200" s="70"/>
      <c r="R200" s="70"/>
      <c r="S200" s="70"/>
      <c r="T200" s="70"/>
      <c r="U200" s="70"/>
      <c r="V200" s="70"/>
      <c r="W200" s="70"/>
      <c r="X200" s="70"/>
      <c r="Y200" s="70"/>
      <c r="Z200" s="70"/>
      <c r="AA200" s="70"/>
      <c r="AB200" s="70"/>
      <c r="AC200" s="70"/>
      <c r="AD200" s="70"/>
      <c r="AE200" s="70"/>
      <c r="AF200" s="70"/>
      <c r="AG200" s="70"/>
      <c r="AH200" s="70"/>
      <c r="AI200" s="70"/>
      <c r="AJ200" s="70"/>
      <c r="AK200" s="70"/>
      <c r="AL200" s="70"/>
      <c r="AM200" s="70"/>
      <c r="AN200" s="70"/>
      <c r="AO200" s="70"/>
      <c r="AP200" s="89"/>
      <c r="AQ200" s="89"/>
    </row>
    <row r="201" spans="1:43" ht="15.75" thickBot="1" x14ac:dyDescent="0.3">
      <c r="A201" t="s">
        <v>219</v>
      </c>
      <c r="B201" t="s">
        <v>956</v>
      </c>
      <c r="C201" t="s">
        <v>1062</v>
      </c>
      <c r="D201" t="s">
        <v>222</v>
      </c>
      <c r="E201" s="30" t="s">
        <v>15</v>
      </c>
      <c r="F201" s="30" t="s">
        <v>1301</v>
      </c>
      <c r="G201" s="30"/>
      <c r="H201" s="30" t="s">
        <v>1407</v>
      </c>
      <c r="I201" s="31">
        <f t="shared" si="10"/>
        <v>20</v>
      </c>
      <c r="J201" s="147" t="s">
        <v>1828</v>
      </c>
      <c r="K201" s="31">
        <f t="shared" si="11"/>
        <v>8</v>
      </c>
      <c r="L201" s="32">
        <f t="shared" si="12"/>
        <v>0.7142857142857143</v>
      </c>
      <c r="M201" s="70" t="s">
        <v>2213</v>
      </c>
      <c r="N201" s="70" t="s">
        <v>2213</v>
      </c>
      <c r="O201" s="70" t="s">
        <v>2213</v>
      </c>
      <c r="P201" s="70" t="s">
        <v>2213</v>
      </c>
      <c r="Q201" s="70" t="s">
        <v>2213</v>
      </c>
      <c r="R201" s="70" t="s">
        <v>2213</v>
      </c>
      <c r="S201" s="70" t="s">
        <v>2213</v>
      </c>
      <c r="T201" s="70" t="s">
        <v>2213</v>
      </c>
      <c r="U201" s="70"/>
      <c r="V201" s="70"/>
      <c r="W201" s="70"/>
      <c r="X201" s="70"/>
      <c r="Y201" s="70"/>
      <c r="Z201" s="70"/>
      <c r="AA201" s="70"/>
      <c r="AB201" s="70"/>
      <c r="AC201" s="70"/>
      <c r="AD201" s="70"/>
      <c r="AE201" s="70"/>
      <c r="AF201" s="70"/>
      <c r="AG201" s="70"/>
      <c r="AH201" s="70"/>
      <c r="AI201" s="70"/>
      <c r="AJ201" s="70"/>
      <c r="AK201" s="70"/>
      <c r="AL201" s="70"/>
      <c r="AM201" s="70"/>
      <c r="AN201" s="70"/>
      <c r="AO201" s="70"/>
      <c r="AP201" s="70"/>
      <c r="AQ201" s="70"/>
    </row>
    <row r="202" spans="1:43" ht="15.75" thickBot="1" x14ac:dyDescent="0.3">
      <c r="A202" t="s">
        <v>219</v>
      </c>
      <c r="B202" t="s">
        <v>957</v>
      </c>
      <c r="C202" t="s">
        <v>1062</v>
      </c>
      <c r="D202" t="s">
        <v>223</v>
      </c>
      <c r="E202" s="30" t="s">
        <v>15</v>
      </c>
      <c r="F202" s="30" t="s">
        <v>1056</v>
      </c>
      <c r="G202" s="30"/>
      <c r="H202" s="30" t="s">
        <v>1212</v>
      </c>
      <c r="I202" s="31">
        <f t="shared" si="10"/>
        <v>28</v>
      </c>
      <c r="J202" s="147" t="s">
        <v>1829</v>
      </c>
      <c r="K202" s="31">
        <f t="shared" si="11"/>
        <v>0</v>
      </c>
      <c r="L202" s="32">
        <f t="shared" si="12"/>
        <v>1</v>
      </c>
      <c r="M202" s="70"/>
      <c r="N202" s="70"/>
      <c r="O202" s="70"/>
      <c r="P202" s="70"/>
      <c r="Q202" s="70"/>
      <c r="R202" s="70"/>
      <c r="S202" s="70"/>
      <c r="T202" s="70"/>
      <c r="U202" s="70"/>
      <c r="V202" s="70"/>
      <c r="W202" s="70"/>
      <c r="X202" s="70"/>
      <c r="Y202" s="70"/>
      <c r="Z202" s="70"/>
      <c r="AA202" s="70"/>
      <c r="AB202" s="70"/>
      <c r="AC202" s="70"/>
      <c r="AD202" s="70"/>
      <c r="AE202" s="70"/>
      <c r="AF202" s="70"/>
      <c r="AG202" s="70"/>
      <c r="AH202" s="70"/>
      <c r="AI202" s="70"/>
      <c r="AJ202" s="70"/>
      <c r="AK202" s="70"/>
      <c r="AL202" s="70"/>
      <c r="AM202" s="70"/>
      <c r="AN202" s="70"/>
      <c r="AO202" s="70"/>
      <c r="AP202" s="70"/>
      <c r="AQ202" s="70"/>
    </row>
    <row r="203" spans="1:43" s="73" customFormat="1" ht="15.75" thickBot="1" x14ac:dyDescent="0.3">
      <c r="A203" s="73" t="s">
        <v>219</v>
      </c>
      <c r="B203" s="73" t="s">
        <v>224</v>
      </c>
      <c r="C203" s="73" t="s">
        <v>1062</v>
      </c>
      <c r="D203" s="73" t="s">
        <v>225</v>
      </c>
      <c r="E203" s="85" t="s">
        <v>15</v>
      </c>
      <c r="F203" s="85" t="s">
        <v>1301</v>
      </c>
      <c r="G203" s="85"/>
      <c r="H203" s="85" t="s">
        <v>1406</v>
      </c>
      <c r="I203" s="142">
        <f t="shared" si="10"/>
        <v>28</v>
      </c>
      <c r="J203" s="147" t="s">
        <v>1830</v>
      </c>
      <c r="K203" s="142">
        <f t="shared" si="11"/>
        <v>0</v>
      </c>
      <c r="L203" s="143">
        <f t="shared" si="12"/>
        <v>1</v>
      </c>
      <c r="M203" s="70"/>
      <c r="N203" s="70"/>
      <c r="O203" s="70"/>
      <c r="P203" s="70"/>
      <c r="Q203" s="70"/>
      <c r="R203" s="70"/>
      <c r="S203" s="70"/>
      <c r="T203" s="70"/>
      <c r="U203" s="70"/>
      <c r="V203" s="70"/>
      <c r="W203" s="70"/>
      <c r="X203" s="70"/>
      <c r="Y203" s="70"/>
      <c r="Z203" s="70"/>
      <c r="AA203" s="70"/>
      <c r="AB203" s="70"/>
      <c r="AC203" s="70"/>
      <c r="AD203" s="70"/>
      <c r="AE203" s="70"/>
      <c r="AF203" s="70"/>
      <c r="AG203" s="70"/>
      <c r="AH203" s="70"/>
      <c r="AI203" s="70"/>
      <c r="AJ203" s="70"/>
      <c r="AK203" s="70"/>
      <c r="AL203" s="70"/>
      <c r="AM203" s="70"/>
      <c r="AN203" s="70"/>
      <c r="AO203" s="70"/>
      <c r="AP203" s="89"/>
      <c r="AQ203" s="89"/>
    </row>
    <row r="204" spans="1:43" ht="15.75" thickBot="1" x14ac:dyDescent="0.3">
      <c r="A204" t="s">
        <v>219</v>
      </c>
      <c r="B204" t="s">
        <v>242</v>
      </c>
      <c r="C204" t="s">
        <v>1062</v>
      </c>
      <c r="D204" t="s">
        <v>243</v>
      </c>
      <c r="E204" s="30" t="s">
        <v>15</v>
      </c>
      <c r="F204" s="30" t="s">
        <v>28</v>
      </c>
      <c r="G204" s="30"/>
      <c r="H204" s="30" t="s">
        <v>705</v>
      </c>
      <c r="I204" s="31">
        <f t="shared" si="10"/>
        <v>28</v>
      </c>
      <c r="J204" s="147" t="s">
        <v>1831</v>
      </c>
      <c r="K204" s="31">
        <f t="shared" si="11"/>
        <v>0</v>
      </c>
      <c r="L204" s="32">
        <f t="shared" si="12"/>
        <v>1</v>
      </c>
      <c r="M204" s="70"/>
      <c r="N204" s="70"/>
      <c r="O204" s="70"/>
      <c r="P204" s="70"/>
      <c r="Q204" s="70"/>
      <c r="R204" s="70"/>
      <c r="S204" s="70"/>
      <c r="T204" s="70"/>
      <c r="U204" s="70"/>
      <c r="V204" s="70"/>
      <c r="W204" s="70"/>
      <c r="X204" s="70"/>
      <c r="Y204" s="70"/>
      <c r="Z204" s="70"/>
      <c r="AA204" s="70"/>
      <c r="AB204" s="70"/>
      <c r="AC204" s="70"/>
      <c r="AD204" s="70"/>
      <c r="AE204" s="70"/>
      <c r="AF204" s="70"/>
      <c r="AG204" s="70"/>
      <c r="AH204" s="70"/>
      <c r="AI204" s="70"/>
      <c r="AJ204" s="70"/>
      <c r="AK204" s="70"/>
      <c r="AL204" s="70"/>
      <c r="AM204" s="70"/>
      <c r="AN204" s="70"/>
      <c r="AO204" s="70"/>
      <c r="AP204" s="70"/>
      <c r="AQ204" s="70"/>
    </row>
    <row r="205" spans="1:43" ht="15.75" thickBot="1" x14ac:dyDescent="0.3">
      <c r="A205" t="s">
        <v>219</v>
      </c>
      <c r="B205" t="s">
        <v>226</v>
      </c>
      <c r="C205" t="s">
        <v>1062</v>
      </c>
      <c r="D205" t="s">
        <v>227</v>
      </c>
      <c r="E205" s="30" t="s">
        <v>73</v>
      </c>
      <c r="F205" s="30" t="s">
        <v>1056</v>
      </c>
      <c r="G205" s="30" t="s">
        <v>1249</v>
      </c>
      <c r="H205" s="30" t="s">
        <v>706</v>
      </c>
      <c r="I205" s="31">
        <f t="shared" si="10"/>
        <v>27</v>
      </c>
      <c r="J205" s="147" t="s">
        <v>1832</v>
      </c>
      <c r="K205" s="31">
        <f t="shared" si="11"/>
        <v>1</v>
      </c>
      <c r="L205" s="32">
        <f t="shared" si="12"/>
        <v>0.9642857142857143</v>
      </c>
      <c r="M205" s="70"/>
      <c r="N205" s="70"/>
      <c r="O205" s="70"/>
      <c r="P205" s="70" t="s">
        <v>2213</v>
      </c>
      <c r="Q205" s="70"/>
      <c r="R205" s="70"/>
      <c r="S205" s="70"/>
      <c r="T205" s="70"/>
      <c r="U205" s="70"/>
      <c r="V205" s="70"/>
      <c r="W205" s="70"/>
      <c r="X205" s="70"/>
      <c r="Y205" s="70"/>
      <c r="Z205" s="70"/>
      <c r="AA205" s="70"/>
      <c r="AB205" s="70"/>
      <c r="AC205" s="70"/>
      <c r="AD205" s="70"/>
      <c r="AE205" s="70"/>
      <c r="AF205" s="70"/>
      <c r="AG205" s="70"/>
      <c r="AH205" s="70"/>
      <c r="AI205" s="70"/>
      <c r="AJ205" s="70"/>
      <c r="AK205" s="70"/>
      <c r="AL205" s="70"/>
      <c r="AM205" s="70"/>
      <c r="AN205" s="70"/>
      <c r="AO205" s="70"/>
      <c r="AP205" s="70"/>
      <c r="AQ205" s="70"/>
    </row>
    <row r="206" spans="1:43" ht="15.75" thickBot="1" x14ac:dyDescent="0.3">
      <c r="A206" t="s">
        <v>219</v>
      </c>
      <c r="B206" t="s">
        <v>228</v>
      </c>
      <c r="C206" t="s">
        <v>1062</v>
      </c>
      <c r="D206" t="s">
        <v>227</v>
      </c>
      <c r="E206" s="30" t="s">
        <v>73</v>
      </c>
      <c r="F206" s="30" t="s">
        <v>1056</v>
      </c>
      <c r="G206" s="30" t="s">
        <v>1249</v>
      </c>
      <c r="H206" s="30" t="s">
        <v>707</v>
      </c>
      <c r="I206" s="31">
        <f t="shared" si="10"/>
        <v>27</v>
      </c>
      <c r="J206" s="147" t="s">
        <v>1833</v>
      </c>
      <c r="K206" s="31">
        <f t="shared" si="11"/>
        <v>1</v>
      </c>
      <c r="L206" s="32">
        <f t="shared" si="12"/>
        <v>0.9642857142857143</v>
      </c>
      <c r="M206" s="70"/>
      <c r="N206" s="70"/>
      <c r="O206" s="70"/>
      <c r="P206" s="70" t="s">
        <v>2213</v>
      </c>
      <c r="Q206" s="70"/>
      <c r="R206" s="70"/>
      <c r="S206" s="70"/>
      <c r="T206" s="70"/>
      <c r="U206" s="70"/>
      <c r="V206" s="70"/>
      <c r="W206" s="70"/>
      <c r="X206" s="70"/>
      <c r="Y206" s="70"/>
      <c r="Z206" s="70"/>
      <c r="AA206" s="70"/>
      <c r="AB206" s="70"/>
      <c r="AC206" s="70"/>
      <c r="AD206" s="70"/>
      <c r="AE206" s="70"/>
      <c r="AF206" s="70"/>
      <c r="AG206" s="70"/>
      <c r="AH206" s="70"/>
      <c r="AI206" s="70"/>
      <c r="AJ206" s="70"/>
      <c r="AK206" s="70"/>
      <c r="AL206" s="70"/>
      <c r="AM206" s="70"/>
      <c r="AN206" s="70"/>
      <c r="AO206" s="70"/>
      <c r="AP206" s="70"/>
      <c r="AQ206" s="70"/>
    </row>
    <row r="207" spans="1:43" ht="15.75" thickBot="1" x14ac:dyDescent="0.3">
      <c r="A207" t="s">
        <v>219</v>
      </c>
      <c r="B207" t="s">
        <v>952</v>
      </c>
      <c r="C207" t="s">
        <v>1062</v>
      </c>
      <c r="D207" t="s">
        <v>244</v>
      </c>
      <c r="E207" s="30" t="s">
        <v>73</v>
      </c>
      <c r="F207" s="30" t="s">
        <v>1056</v>
      </c>
      <c r="G207" s="30" t="s">
        <v>1249</v>
      </c>
      <c r="H207" s="30" t="s">
        <v>708</v>
      </c>
      <c r="I207" s="31">
        <f t="shared" si="10"/>
        <v>28</v>
      </c>
      <c r="J207" s="147" t="s">
        <v>1834</v>
      </c>
      <c r="K207" s="31">
        <f t="shared" si="11"/>
        <v>0</v>
      </c>
      <c r="L207" s="32">
        <f t="shared" si="12"/>
        <v>1</v>
      </c>
      <c r="M207" s="70"/>
      <c r="N207" s="70"/>
      <c r="O207" s="70"/>
      <c r="P207" s="70"/>
      <c r="Q207" s="70"/>
      <c r="R207" s="70"/>
      <c r="S207" s="70"/>
      <c r="T207" s="70"/>
      <c r="U207" s="70"/>
      <c r="V207" s="70"/>
      <c r="W207" s="70"/>
      <c r="X207" s="70"/>
      <c r="Y207" s="70"/>
      <c r="Z207" s="70"/>
      <c r="AA207" s="70"/>
      <c r="AB207" s="70"/>
      <c r="AC207" s="70"/>
      <c r="AD207" s="70"/>
      <c r="AE207" s="70"/>
      <c r="AF207" s="70"/>
      <c r="AG207" s="70"/>
      <c r="AH207" s="70"/>
      <c r="AI207" s="70"/>
      <c r="AJ207" s="70"/>
      <c r="AK207" s="70"/>
      <c r="AL207" s="70"/>
      <c r="AM207" s="70"/>
      <c r="AN207" s="70"/>
      <c r="AO207" s="70"/>
      <c r="AP207" s="70"/>
      <c r="AQ207" s="70"/>
    </row>
    <row r="208" spans="1:43" ht="15.75" thickBot="1" x14ac:dyDescent="0.3">
      <c r="A208" t="s">
        <v>219</v>
      </c>
      <c r="B208" t="s">
        <v>953</v>
      </c>
      <c r="C208" t="s">
        <v>1062</v>
      </c>
      <c r="D208" t="s">
        <v>244</v>
      </c>
      <c r="E208" s="30" t="s">
        <v>73</v>
      </c>
      <c r="F208" s="30" t="s">
        <v>1056</v>
      </c>
      <c r="G208" s="30" t="s">
        <v>1249</v>
      </c>
      <c r="H208" s="30" t="s">
        <v>709</v>
      </c>
      <c r="I208" s="31">
        <f t="shared" si="10"/>
        <v>28</v>
      </c>
      <c r="J208" s="147" t="s">
        <v>1835</v>
      </c>
      <c r="K208" s="31">
        <f t="shared" si="11"/>
        <v>0</v>
      </c>
      <c r="L208" s="32">
        <f t="shared" si="12"/>
        <v>1</v>
      </c>
      <c r="M208" s="70"/>
      <c r="N208" s="70"/>
      <c r="O208" s="70"/>
      <c r="P208" s="70"/>
      <c r="Q208" s="70"/>
      <c r="R208" s="70"/>
      <c r="S208" s="70"/>
      <c r="T208" s="70"/>
      <c r="U208" s="70"/>
      <c r="V208" s="70"/>
      <c r="W208" s="70"/>
      <c r="X208" s="70"/>
      <c r="Y208" s="70"/>
      <c r="Z208" s="70"/>
      <c r="AA208" s="70"/>
      <c r="AB208" s="70"/>
      <c r="AC208" s="70"/>
      <c r="AD208" s="70"/>
      <c r="AE208" s="70"/>
      <c r="AF208" s="70"/>
      <c r="AG208" s="70"/>
      <c r="AH208" s="70"/>
      <c r="AI208" s="70"/>
      <c r="AJ208" s="70"/>
      <c r="AK208" s="70"/>
      <c r="AL208" s="70"/>
      <c r="AM208" s="70"/>
      <c r="AN208" s="70"/>
      <c r="AO208" s="70"/>
      <c r="AP208" s="70"/>
      <c r="AQ208" s="70"/>
    </row>
    <row r="209" spans="1:43" ht="15.75" thickBot="1" x14ac:dyDescent="0.3">
      <c r="A209" t="s">
        <v>219</v>
      </c>
      <c r="B209" t="s">
        <v>954</v>
      </c>
      <c r="C209" t="s">
        <v>1062</v>
      </c>
      <c r="D209" t="s">
        <v>245</v>
      </c>
      <c r="E209" s="30" t="s">
        <v>73</v>
      </c>
      <c r="F209" s="30" t="s">
        <v>1056</v>
      </c>
      <c r="G209" s="30" t="s">
        <v>1249</v>
      </c>
      <c r="H209" s="30" t="s">
        <v>710</v>
      </c>
      <c r="I209" s="31">
        <f t="shared" si="10"/>
        <v>28</v>
      </c>
      <c r="J209" s="147" t="s">
        <v>1836</v>
      </c>
      <c r="K209" s="31">
        <f t="shared" si="11"/>
        <v>0</v>
      </c>
      <c r="L209" s="32">
        <f t="shared" si="12"/>
        <v>1</v>
      </c>
      <c r="M209" s="70"/>
      <c r="N209" s="70"/>
      <c r="O209" s="70"/>
      <c r="P209" s="70"/>
      <c r="Q209" s="70"/>
      <c r="R209" s="70"/>
      <c r="S209" s="70"/>
      <c r="T209" s="70"/>
      <c r="U209" s="70"/>
      <c r="V209" s="70"/>
      <c r="W209" s="70"/>
      <c r="X209" s="70"/>
      <c r="Y209" s="70"/>
      <c r="Z209" s="70"/>
      <c r="AA209" s="70"/>
      <c r="AB209" s="70"/>
      <c r="AC209" s="70"/>
      <c r="AD209" s="70"/>
      <c r="AE209" s="70"/>
      <c r="AF209" s="70"/>
      <c r="AG209" s="70"/>
      <c r="AH209" s="70"/>
      <c r="AI209" s="70"/>
      <c r="AJ209" s="70"/>
      <c r="AK209" s="70"/>
      <c r="AL209" s="70"/>
      <c r="AM209" s="70"/>
      <c r="AN209" s="70"/>
      <c r="AO209" s="70"/>
      <c r="AP209" s="70"/>
      <c r="AQ209" s="70"/>
    </row>
    <row r="210" spans="1:43" ht="15.75" thickBot="1" x14ac:dyDescent="0.3">
      <c r="A210" t="s">
        <v>219</v>
      </c>
      <c r="B210" t="s">
        <v>955</v>
      </c>
      <c r="C210" t="s">
        <v>1062</v>
      </c>
      <c r="D210" t="s">
        <v>245</v>
      </c>
      <c r="E210" s="30" t="s">
        <v>73</v>
      </c>
      <c r="F210" s="30" t="s">
        <v>1056</v>
      </c>
      <c r="G210" s="30" t="s">
        <v>1249</v>
      </c>
      <c r="H210" s="30" t="s">
        <v>711</v>
      </c>
      <c r="I210" s="31">
        <f t="shared" si="10"/>
        <v>28</v>
      </c>
      <c r="J210" s="147" t="s">
        <v>1693</v>
      </c>
      <c r="K210" s="31">
        <f t="shared" si="11"/>
        <v>0</v>
      </c>
      <c r="L210" s="32">
        <f t="shared" si="12"/>
        <v>1</v>
      </c>
      <c r="M210" s="70"/>
      <c r="N210" s="70"/>
      <c r="O210" s="70"/>
      <c r="P210" s="70"/>
      <c r="Q210" s="70"/>
      <c r="R210" s="70"/>
      <c r="S210" s="70"/>
      <c r="T210" s="70"/>
      <c r="U210" s="70"/>
      <c r="V210" s="70"/>
      <c r="W210" s="70"/>
      <c r="X210" s="70"/>
      <c r="Y210" s="70"/>
      <c r="Z210" s="70"/>
      <c r="AA210" s="70"/>
      <c r="AB210" s="70"/>
      <c r="AC210" s="70"/>
      <c r="AD210" s="70"/>
      <c r="AE210" s="70"/>
      <c r="AF210" s="70"/>
      <c r="AG210" s="70"/>
      <c r="AH210" s="70"/>
      <c r="AI210" s="70"/>
      <c r="AJ210" s="70"/>
      <c r="AK210" s="70"/>
      <c r="AL210" s="70"/>
      <c r="AM210" s="70"/>
      <c r="AN210" s="70"/>
      <c r="AO210" s="70"/>
      <c r="AP210" s="70"/>
      <c r="AQ210" s="70"/>
    </row>
    <row r="211" spans="1:43" s="73" customFormat="1" ht="15.75" thickBot="1" x14ac:dyDescent="0.3">
      <c r="A211" s="73" t="s">
        <v>219</v>
      </c>
      <c r="B211" s="73" t="s">
        <v>1230</v>
      </c>
      <c r="C211" s="73" t="s">
        <v>1062</v>
      </c>
      <c r="D211" s="73" t="s">
        <v>1229</v>
      </c>
      <c r="E211" s="73" t="s">
        <v>19</v>
      </c>
      <c r="F211" s="73" t="s">
        <v>1301</v>
      </c>
      <c r="H211" s="85" t="s">
        <v>1239</v>
      </c>
      <c r="I211" s="142">
        <f t="shared" si="10"/>
        <v>28</v>
      </c>
      <c r="J211" s="147" t="s">
        <v>1837</v>
      </c>
      <c r="K211" s="142">
        <f t="shared" si="11"/>
        <v>0</v>
      </c>
      <c r="L211" s="143">
        <f t="shared" si="12"/>
        <v>1</v>
      </c>
      <c r="M211" s="70"/>
      <c r="N211" s="70"/>
      <c r="O211" s="70"/>
      <c r="P211" s="70"/>
      <c r="Q211" s="70"/>
      <c r="R211" s="70"/>
      <c r="S211" s="70"/>
      <c r="T211" s="70"/>
      <c r="U211" s="70"/>
      <c r="V211" s="70"/>
      <c r="W211" s="70"/>
      <c r="X211" s="70"/>
      <c r="Y211" s="70"/>
      <c r="Z211" s="70"/>
      <c r="AA211" s="70"/>
      <c r="AB211" s="70"/>
      <c r="AC211" s="70"/>
      <c r="AD211" s="70"/>
      <c r="AE211" s="70"/>
      <c r="AF211" s="70"/>
      <c r="AG211" s="70"/>
      <c r="AH211" s="70"/>
      <c r="AI211" s="70"/>
      <c r="AJ211" s="70"/>
      <c r="AK211" s="70"/>
      <c r="AL211" s="70"/>
      <c r="AM211" s="70"/>
      <c r="AN211" s="70"/>
      <c r="AO211" s="70"/>
      <c r="AP211" s="89"/>
      <c r="AQ211" s="89"/>
    </row>
    <row r="212" spans="1:43" s="73" customFormat="1" ht="15.75" thickBot="1" x14ac:dyDescent="0.3">
      <c r="A212" s="73" t="s">
        <v>219</v>
      </c>
      <c r="B212" s="73" t="s">
        <v>1590</v>
      </c>
      <c r="C212" s="73" t="s">
        <v>1062</v>
      </c>
      <c r="D212" s="73" t="s">
        <v>1591</v>
      </c>
      <c r="E212" s="85" t="s">
        <v>73</v>
      </c>
      <c r="F212" s="85" t="s">
        <v>1301</v>
      </c>
      <c r="H212" s="85" t="s">
        <v>1592</v>
      </c>
      <c r="I212" s="142">
        <f t="shared" si="10"/>
        <v>28</v>
      </c>
      <c r="J212" s="147" t="s">
        <v>1838</v>
      </c>
      <c r="K212" s="142">
        <f t="shared" si="11"/>
        <v>0</v>
      </c>
      <c r="L212" s="143">
        <f t="shared" si="12"/>
        <v>1</v>
      </c>
      <c r="M212" s="70"/>
      <c r="N212" s="70"/>
      <c r="O212" s="70"/>
      <c r="P212" s="70"/>
      <c r="Q212" s="70"/>
      <c r="R212" s="70"/>
      <c r="S212" s="70"/>
      <c r="T212" s="70"/>
      <c r="U212" s="70"/>
      <c r="V212" s="70"/>
      <c r="W212" s="70"/>
      <c r="X212" s="70"/>
      <c r="Y212" s="70"/>
      <c r="Z212" s="70"/>
      <c r="AA212" s="70"/>
      <c r="AB212" s="70"/>
      <c r="AC212" s="70"/>
      <c r="AD212" s="70"/>
      <c r="AE212" s="70"/>
      <c r="AF212" s="70"/>
      <c r="AG212" s="70"/>
      <c r="AH212" s="70"/>
      <c r="AI212" s="70"/>
      <c r="AJ212" s="70"/>
      <c r="AK212" s="70"/>
      <c r="AL212" s="70"/>
      <c r="AM212" s="70"/>
      <c r="AN212" s="70"/>
      <c r="AO212" s="70"/>
      <c r="AP212" s="89"/>
      <c r="AQ212" s="89"/>
    </row>
    <row r="213" spans="1:43" s="73" customFormat="1" ht="15.75" thickBot="1" x14ac:dyDescent="0.3">
      <c r="A213" s="73" t="s">
        <v>219</v>
      </c>
      <c r="B213" s="73" t="s">
        <v>2207</v>
      </c>
      <c r="C213" s="73" t="s">
        <v>1062</v>
      </c>
      <c r="D213" s="73" t="s">
        <v>2208</v>
      </c>
      <c r="E213" s="85" t="s">
        <v>73</v>
      </c>
      <c r="F213" s="85" t="s">
        <v>1301</v>
      </c>
      <c r="H213" s="85" t="s">
        <v>2209</v>
      </c>
      <c r="I213" s="142">
        <f t="shared" si="10"/>
        <v>28</v>
      </c>
      <c r="J213" s="147" t="s">
        <v>2210</v>
      </c>
      <c r="K213" s="142">
        <f t="shared" si="11"/>
        <v>0</v>
      </c>
      <c r="L213" s="143">
        <f t="shared" si="12"/>
        <v>1</v>
      </c>
      <c r="M213" s="70"/>
      <c r="N213" s="70"/>
      <c r="O213" s="70"/>
      <c r="P213" s="70"/>
      <c r="Q213" s="70"/>
      <c r="R213" s="70"/>
      <c r="S213" s="70"/>
      <c r="T213" s="70"/>
      <c r="U213" s="70"/>
      <c r="V213" s="70"/>
      <c r="W213" s="70"/>
      <c r="X213" s="70"/>
      <c r="Y213" s="70"/>
      <c r="Z213" s="70"/>
      <c r="AA213" s="70"/>
      <c r="AB213" s="70"/>
      <c r="AC213" s="70"/>
      <c r="AD213" s="70"/>
      <c r="AE213" s="70"/>
      <c r="AF213" s="70"/>
      <c r="AG213" s="70"/>
      <c r="AH213" s="70"/>
      <c r="AI213" s="70"/>
      <c r="AJ213" s="70"/>
      <c r="AK213" s="70"/>
      <c r="AL213" s="70"/>
      <c r="AM213" s="70"/>
      <c r="AN213" s="70"/>
      <c r="AO213" s="70"/>
      <c r="AP213" s="89"/>
      <c r="AQ213" s="89"/>
    </row>
    <row r="214" spans="1:43" ht="15.75" thickBot="1" x14ac:dyDescent="0.3">
      <c r="A214" t="s">
        <v>101</v>
      </c>
      <c r="B214" t="s">
        <v>246</v>
      </c>
      <c r="C214" t="s">
        <v>1062</v>
      </c>
      <c r="D214" t="s">
        <v>247</v>
      </c>
      <c r="E214" s="30" t="s">
        <v>15</v>
      </c>
      <c r="F214" s="30" t="s">
        <v>1056</v>
      </c>
      <c r="G214" s="30" t="s">
        <v>45</v>
      </c>
      <c r="H214" s="30" t="s">
        <v>712</v>
      </c>
      <c r="I214" s="31">
        <f t="shared" si="10"/>
        <v>28</v>
      </c>
      <c r="J214" s="147" t="s">
        <v>1839</v>
      </c>
      <c r="K214" s="31">
        <f t="shared" si="11"/>
        <v>0</v>
      </c>
      <c r="L214" s="32">
        <f t="shared" si="12"/>
        <v>1</v>
      </c>
      <c r="M214" s="70"/>
      <c r="N214" s="70"/>
      <c r="O214" s="70"/>
      <c r="P214" s="70"/>
      <c r="Q214" s="70"/>
      <c r="R214" s="70"/>
      <c r="S214" s="70"/>
      <c r="T214" s="70"/>
      <c r="U214" s="70"/>
      <c r="V214" s="70"/>
      <c r="W214" s="70"/>
      <c r="X214" s="70"/>
      <c r="Y214" s="70"/>
      <c r="Z214" s="70"/>
      <c r="AA214" s="70"/>
      <c r="AB214" s="70"/>
      <c r="AC214" s="70"/>
      <c r="AD214" s="70"/>
      <c r="AE214" s="70"/>
      <c r="AF214" s="70"/>
      <c r="AG214" s="70"/>
      <c r="AH214" s="70"/>
      <c r="AI214" s="70"/>
      <c r="AJ214" s="70"/>
      <c r="AK214" s="70"/>
      <c r="AL214" s="70"/>
      <c r="AM214" s="70"/>
      <c r="AN214" s="70"/>
      <c r="AO214" s="70"/>
      <c r="AP214" s="70"/>
      <c r="AQ214" s="70"/>
    </row>
    <row r="215" spans="1:43" s="73" customFormat="1" ht="15.75" thickBot="1" x14ac:dyDescent="0.3">
      <c r="A215" s="73" t="s">
        <v>101</v>
      </c>
      <c r="B215" s="73" t="s">
        <v>248</v>
      </c>
      <c r="C215" s="73" t="s">
        <v>1062</v>
      </c>
      <c r="D215" s="73" t="s">
        <v>249</v>
      </c>
      <c r="E215" s="85" t="s">
        <v>15</v>
      </c>
      <c r="F215" s="85" t="s">
        <v>1301</v>
      </c>
      <c r="G215" s="85" t="s">
        <v>45</v>
      </c>
      <c r="H215" s="85" t="s">
        <v>713</v>
      </c>
      <c r="I215" s="142">
        <f t="shared" si="10"/>
        <v>28</v>
      </c>
      <c r="J215" s="147" t="s">
        <v>1840</v>
      </c>
      <c r="K215" s="142">
        <f t="shared" si="11"/>
        <v>0</v>
      </c>
      <c r="L215" s="143">
        <f t="shared" si="12"/>
        <v>1</v>
      </c>
      <c r="M215" s="70"/>
      <c r="N215" s="70"/>
      <c r="O215" s="70"/>
      <c r="P215" s="70"/>
      <c r="Q215" s="70"/>
      <c r="R215" s="70"/>
      <c r="S215" s="70"/>
      <c r="T215" s="70"/>
      <c r="U215" s="70"/>
      <c r="V215" s="70"/>
      <c r="W215" s="70"/>
      <c r="X215" s="70"/>
      <c r="Y215" s="70"/>
      <c r="Z215" s="70"/>
      <c r="AA215" s="70"/>
      <c r="AB215" s="70"/>
      <c r="AC215" s="70"/>
      <c r="AD215" s="70"/>
      <c r="AE215" s="70"/>
      <c r="AF215" s="70"/>
      <c r="AG215" s="70"/>
      <c r="AH215" s="70"/>
      <c r="AI215" s="70"/>
      <c r="AJ215" s="70"/>
      <c r="AK215" s="70"/>
      <c r="AL215" s="70"/>
      <c r="AM215" s="70"/>
      <c r="AN215" s="70"/>
      <c r="AO215" s="70"/>
      <c r="AP215" s="89"/>
      <c r="AQ215" s="89"/>
    </row>
    <row r="216" spans="1:43" s="73" customFormat="1" ht="15.75" thickBot="1" x14ac:dyDescent="0.3">
      <c r="A216" s="73" t="s">
        <v>101</v>
      </c>
      <c r="B216" s="73" t="s">
        <v>250</v>
      </c>
      <c r="C216" s="73" t="s">
        <v>1062</v>
      </c>
      <c r="D216" s="73" t="s">
        <v>251</v>
      </c>
      <c r="E216" s="85" t="s">
        <v>15</v>
      </c>
      <c r="F216" s="85" t="s">
        <v>1301</v>
      </c>
      <c r="G216" s="85" t="s">
        <v>45</v>
      </c>
      <c r="H216" s="85" t="s">
        <v>714</v>
      </c>
      <c r="I216" s="142">
        <f t="shared" si="10"/>
        <v>28</v>
      </c>
      <c r="J216" s="147" t="s">
        <v>1841</v>
      </c>
      <c r="K216" s="142">
        <f t="shared" si="11"/>
        <v>0</v>
      </c>
      <c r="L216" s="143">
        <f t="shared" si="12"/>
        <v>1</v>
      </c>
      <c r="M216" s="70"/>
      <c r="N216" s="70"/>
      <c r="O216" s="70"/>
      <c r="P216" s="70"/>
      <c r="Q216" s="70"/>
      <c r="R216" s="70"/>
      <c r="S216" s="70"/>
      <c r="T216" s="70"/>
      <c r="U216" s="70"/>
      <c r="V216" s="70"/>
      <c r="W216" s="70"/>
      <c r="X216" s="70"/>
      <c r="Y216" s="70"/>
      <c r="Z216" s="70"/>
      <c r="AA216" s="70"/>
      <c r="AB216" s="70"/>
      <c r="AC216" s="70"/>
      <c r="AD216" s="70"/>
      <c r="AE216" s="70"/>
      <c r="AF216" s="70"/>
      <c r="AG216" s="70"/>
      <c r="AH216" s="70"/>
      <c r="AI216" s="70"/>
      <c r="AJ216" s="70"/>
      <c r="AK216" s="70"/>
      <c r="AL216" s="70"/>
      <c r="AM216" s="70"/>
      <c r="AN216" s="70"/>
      <c r="AO216" s="70"/>
      <c r="AP216" s="89"/>
      <c r="AQ216" s="89"/>
    </row>
    <row r="217" spans="1:43" ht="15.75" thickBot="1" x14ac:dyDescent="0.3">
      <c r="A217" t="s">
        <v>101</v>
      </c>
      <c r="B217" t="s">
        <v>1518</v>
      </c>
      <c r="C217" t="s">
        <v>1062</v>
      </c>
      <c r="D217" t="s">
        <v>1519</v>
      </c>
      <c r="E217" s="30" t="s">
        <v>15</v>
      </c>
      <c r="F217" s="30" t="s">
        <v>28</v>
      </c>
      <c r="G217" s="30"/>
      <c r="H217" s="30" t="s">
        <v>1520</v>
      </c>
      <c r="I217" s="142">
        <f t="shared" si="10"/>
        <v>20</v>
      </c>
      <c r="J217" s="147" t="s">
        <v>1842</v>
      </c>
      <c r="K217" s="142">
        <f t="shared" si="11"/>
        <v>8</v>
      </c>
      <c r="L217" s="143">
        <f t="shared" si="12"/>
        <v>0.7142857142857143</v>
      </c>
      <c r="M217" s="70" t="s">
        <v>2213</v>
      </c>
      <c r="N217" s="70" t="s">
        <v>2213</v>
      </c>
      <c r="O217" s="70" t="s">
        <v>2213</v>
      </c>
      <c r="P217" s="70" t="s">
        <v>2213</v>
      </c>
      <c r="Q217" s="70" t="s">
        <v>2213</v>
      </c>
      <c r="R217" s="70" t="s">
        <v>2213</v>
      </c>
      <c r="S217" s="70" t="s">
        <v>2213</v>
      </c>
      <c r="T217" s="70" t="s">
        <v>2213</v>
      </c>
      <c r="U217" s="70"/>
      <c r="V217" s="70"/>
      <c r="W217" s="70"/>
      <c r="X217" s="70"/>
      <c r="Y217" s="70"/>
      <c r="Z217" s="70"/>
      <c r="AA217" s="70"/>
      <c r="AB217" s="70"/>
      <c r="AC217" s="70"/>
      <c r="AD217" s="70"/>
      <c r="AE217" s="70"/>
      <c r="AF217" s="70"/>
      <c r="AG217" s="70"/>
      <c r="AH217" s="70"/>
      <c r="AI217" s="70"/>
      <c r="AJ217" s="70"/>
      <c r="AK217" s="70"/>
      <c r="AL217" s="70"/>
      <c r="AM217" s="70"/>
      <c r="AN217" s="70"/>
      <c r="AO217" s="70"/>
      <c r="AP217" s="70"/>
      <c r="AQ217" s="70"/>
    </row>
    <row r="218" spans="1:43" ht="15.75" thickBot="1" x14ac:dyDescent="0.3">
      <c r="A218" t="s">
        <v>101</v>
      </c>
      <c r="B218" t="s">
        <v>2274</v>
      </c>
      <c r="C218" t="s">
        <v>1062</v>
      </c>
      <c r="D218" t="s">
        <v>2275</v>
      </c>
      <c r="E218" s="30" t="s">
        <v>15</v>
      </c>
      <c r="F218" s="85" t="s">
        <v>1301</v>
      </c>
      <c r="G218" s="30"/>
      <c r="H218" s="30" t="s">
        <v>2276</v>
      </c>
      <c r="I218" s="142">
        <f t="shared" si="10"/>
        <v>28</v>
      </c>
      <c r="J218" s="151" t="s">
        <v>2277</v>
      </c>
      <c r="K218" s="142">
        <f t="shared" si="11"/>
        <v>0</v>
      </c>
      <c r="L218" s="143">
        <f t="shared" si="12"/>
        <v>1</v>
      </c>
      <c r="M218" s="70"/>
      <c r="N218" s="70"/>
      <c r="O218" s="70"/>
      <c r="P218" s="70"/>
      <c r="Q218" s="70"/>
      <c r="R218" s="70"/>
      <c r="S218" s="70"/>
      <c r="T218" s="70"/>
      <c r="U218" s="70"/>
      <c r="V218" s="70"/>
      <c r="W218" s="70"/>
      <c r="X218" s="70"/>
      <c r="Y218" s="70"/>
      <c r="Z218" s="70"/>
      <c r="AA218" s="70"/>
      <c r="AB218" s="70"/>
      <c r="AC218" s="70"/>
      <c r="AD218" s="70"/>
      <c r="AE218" s="70"/>
      <c r="AF218" s="70"/>
      <c r="AG218" s="70"/>
      <c r="AH218" s="70"/>
      <c r="AI218" s="70"/>
      <c r="AJ218" s="70"/>
      <c r="AK218" s="70"/>
      <c r="AL218" s="70"/>
      <c r="AM218" s="70"/>
      <c r="AN218" s="70"/>
      <c r="AO218" s="70"/>
      <c r="AP218" s="70"/>
      <c r="AQ218" s="70"/>
    </row>
    <row r="219" spans="1:43" ht="15.75" thickBot="1" x14ac:dyDescent="0.3">
      <c r="A219" t="s">
        <v>199</v>
      </c>
      <c r="B219" t="s">
        <v>1184</v>
      </c>
      <c r="C219" t="s">
        <v>1063</v>
      </c>
      <c r="D219" t="s">
        <v>1185</v>
      </c>
      <c r="E219" s="30" t="s">
        <v>73</v>
      </c>
      <c r="F219" s="30" t="s">
        <v>16</v>
      </c>
      <c r="G219" s="30"/>
      <c r="H219" s="30" t="s">
        <v>1270</v>
      </c>
      <c r="I219" s="31">
        <f t="shared" si="10"/>
        <v>20</v>
      </c>
      <c r="J219" s="87"/>
      <c r="K219" s="31">
        <f t="shared" si="11"/>
        <v>8</v>
      </c>
      <c r="L219" s="32">
        <f t="shared" si="12"/>
        <v>0.7142857142857143</v>
      </c>
      <c r="M219" s="70" t="s">
        <v>2213</v>
      </c>
      <c r="N219" s="70" t="s">
        <v>2213</v>
      </c>
      <c r="O219" s="70" t="s">
        <v>2213</v>
      </c>
      <c r="P219" s="70" t="s">
        <v>2213</v>
      </c>
      <c r="Q219" s="70" t="s">
        <v>2213</v>
      </c>
      <c r="R219" s="70" t="s">
        <v>2213</v>
      </c>
      <c r="S219" s="70" t="s">
        <v>2213</v>
      </c>
      <c r="T219" s="70" t="s">
        <v>2213</v>
      </c>
      <c r="U219" s="70"/>
      <c r="V219" s="70"/>
      <c r="W219" s="70"/>
      <c r="X219" s="70"/>
      <c r="Y219" s="70"/>
      <c r="Z219" s="70"/>
      <c r="AA219" s="70"/>
      <c r="AB219" s="70"/>
      <c r="AC219" s="70"/>
      <c r="AD219" s="70"/>
      <c r="AE219" s="70"/>
      <c r="AF219" s="70"/>
      <c r="AG219" s="70"/>
      <c r="AH219" s="70"/>
      <c r="AI219" s="70"/>
      <c r="AJ219" s="70"/>
      <c r="AK219" s="70"/>
      <c r="AL219" s="70"/>
      <c r="AM219" s="70"/>
      <c r="AN219" s="70"/>
      <c r="AO219" s="70"/>
      <c r="AP219" s="70"/>
      <c r="AQ219" s="70"/>
    </row>
    <row r="220" spans="1:43" ht="15.75" thickBot="1" x14ac:dyDescent="0.3">
      <c r="A220" t="s">
        <v>199</v>
      </c>
      <c r="B220" t="s">
        <v>1186</v>
      </c>
      <c r="C220" t="s">
        <v>1063</v>
      </c>
      <c r="D220" t="s">
        <v>1187</v>
      </c>
      <c r="E220" s="30" t="s">
        <v>73</v>
      </c>
      <c r="F220" s="30" t="s">
        <v>20</v>
      </c>
      <c r="G220" s="30"/>
      <c r="H220" s="30" t="s">
        <v>1271</v>
      </c>
      <c r="I220" s="31">
        <f t="shared" si="10"/>
        <v>20</v>
      </c>
      <c r="J220" s="87"/>
      <c r="K220" s="31">
        <f t="shared" si="11"/>
        <v>8</v>
      </c>
      <c r="L220" s="32">
        <f t="shared" si="12"/>
        <v>0.7142857142857143</v>
      </c>
      <c r="M220" s="70" t="s">
        <v>2213</v>
      </c>
      <c r="N220" s="70" t="s">
        <v>2213</v>
      </c>
      <c r="O220" s="70" t="s">
        <v>2213</v>
      </c>
      <c r="P220" s="70" t="s">
        <v>2213</v>
      </c>
      <c r="Q220" s="70" t="s">
        <v>2213</v>
      </c>
      <c r="R220" s="70" t="s">
        <v>2213</v>
      </c>
      <c r="S220" s="70" t="s">
        <v>2213</v>
      </c>
      <c r="T220" s="70" t="s">
        <v>2213</v>
      </c>
      <c r="U220" s="70"/>
      <c r="V220" s="70"/>
      <c r="W220" s="70"/>
      <c r="X220" s="70"/>
      <c r="Y220" s="70"/>
      <c r="Z220" s="70"/>
      <c r="AA220" s="70"/>
      <c r="AB220" s="70"/>
      <c r="AC220" s="70"/>
      <c r="AD220" s="70"/>
      <c r="AE220" s="70"/>
      <c r="AF220" s="70"/>
      <c r="AG220" s="70"/>
      <c r="AH220" s="70"/>
      <c r="AI220" s="70"/>
      <c r="AJ220" s="70"/>
      <c r="AK220" s="70"/>
      <c r="AL220" s="70"/>
      <c r="AM220" s="70"/>
      <c r="AN220" s="70"/>
      <c r="AO220" s="70"/>
      <c r="AP220" s="70"/>
      <c r="AQ220" s="70"/>
    </row>
    <row r="221" spans="1:43" ht="15.75" thickBot="1" x14ac:dyDescent="0.3">
      <c r="A221" t="s">
        <v>1445</v>
      </c>
      <c r="B221" t="s">
        <v>958</v>
      </c>
      <c r="C221" t="s">
        <v>1062</v>
      </c>
      <c r="D221" t="s">
        <v>1086</v>
      </c>
      <c r="E221" s="30" t="s">
        <v>19</v>
      </c>
      <c r="F221" s="30" t="s">
        <v>1056</v>
      </c>
      <c r="G221" s="30"/>
      <c r="H221" s="30" t="s">
        <v>1434</v>
      </c>
      <c r="I221" s="31">
        <f t="shared" si="10"/>
        <v>28</v>
      </c>
      <c r="J221" s="147" t="s">
        <v>1843</v>
      </c>
      <c r="K221" s="31">
        <f t="shared" si="11"/>
        <v>0</v>
      </c>
      <c r="L221" s="32">
        <f t="shared" si="12"/>
        <v>1</v>
      </c>
      <c r="M221" s="70"/>
      <c r="N221" s="70"/>
      <c r="O221" s="70"/>
      <c r="P221" s="70"/>
      <c r="Q221" s="70"/>
      <c r="R221" s="70"/>
      <c r="S221" s="70"/>
      <c r="T221" s="70"/>
      <c r="U221" s="70"/>
      <c r="V221" s="70"/>
      <c r="W221" s="70"/>
      <c r="X221" s="70"/>
      <c r="Y221" s="70"/>
      <c r="Z221" s="70"/>
      <c r="AA221" s="70"/>
      <c r="AB221" s="70"/>
      <c r="AC221" s="70"/>
      <c r="AD221" s="70"/>
      <c r="AE221" s="70"/>
      <c r="AF221" s="70"/>
      <c r="AG221" s="70"/>
      <c r="AH221" s="70"/>
      <c r="AI221" s="70"/>
      <c r="AJ221" s="70"/>
      <c r="AK221" s="70"/>
      <c r="AL221" s="70"/>
      <c r="AM221" s="70"/>
      <c r="AN221" s="70"/>
      <c r="AO221" s="70"/>
      <c r="AP221" s="70"/>
      <c r="AQ221" s="70"/>
    </row>
    <row r="222" spans="1:43" s="73" customFormat="1" ht="15.75" thickBot="1" x14ac:dyDescent="0.3">
      <c r="A222" s="73" t="s">
        <v>168</v>
      </c>
      <c r="B222" s="73" t="s">
        <v>252</v>
      </c>
      <c r="C222" s="73" t="s">
        <v>1062</v>
      </c>
      <c r="D222" s="73" t="s">
        <v>253</v>
      </c>
      <c r="E222" s="85" t="s">
        <v>19</v>
      </c>
      <c r="F222" s="85" t="s">
        <v>1301</v>
      </c>
      <c r="G222" s="85"/>
      <c r="H222" s="85" t="s">
        <v>1416</v>
      </c>
      <c r="I222" s="142">
        <f t="shared" si="10"/>
        <v>28</v>
      </c>
      <c r="J222" s="147" t="s">
        <v>1844</v>
      </c>
      <c r="K222" s="142">
        <f t="shared" si="11"/>
        <v>0</v>
      </c>
      <c r="L222" s="143">
        <f t="shared" si="12"/>
        <v>1</v>
      </c>
      <c r="M222" s="70"/>
      <c r="N222" s="70"/>
      <c r="O222" s="70"/>
      <c r="P222" s="70"/>
      <c r="Q222" s="70"/>
      <c r="R222" s="70"/>
      <c r="S222" s="70"/>
      <c r="T222" s="70"/>
      <c r="U222" s="70"/>
      <c r="V222" s="70"/>
      <c r="W222" s="70"/>
      <c r="X222" s="70"/>
      <c r="Y222" s="70"/>
      <c r="Z222" s="70"/>
      <c r="AA222" s="70"/>
      <c r="AB222" s="70"/>
      <c r="AC222" s="70"/>
      <c r="AD222" s="70"/>
      <c r="AE222" s="70"/>
      <c r="AF222" s="70"/>
      <c r="AG222" s="70"/>
      <c r="AH222" s="70"/>
      <c r="AI222" s="70"/>
      <c r="AJ222" s="70"/>
      <c r="AK222" s="70"/>
      <c r="AL222" s="70"/>
      <c r="AM222" s="70"/>
      <c r="AN222" s="70"/>
      <c r="AO222" s="70"/>
      <c r="AP222" s="89"/>
      <c r="AQ222" s="89"/>
    </row>
    <row r="223" spans="1:43" ht="15.75" thickBot="1" x14ac:dyDescent="0.3">
      <c r="A223" t="s">
        <v>254</v>
      </c>
      <c r="B223" t="s">
        <v>255</v>
      </c>
      <c r="C223" t="s">
        <v>1062</v>
      </c>
      <c r="D223" t="s">
        <v>256</v>
      </c>
      <c r="E223" s="30" t="s">
        <v>73</v>
      </c>
      <c r="F223" s="30" t="s">
        <v>28</v>
      </c>
      <c r="G223" s="30"/>
      <c r="H223" s="30" t="s">
        <v>715</v>
      </c>
      <c r="I223" s="31">
        <f t="shared" si="10"/>
        <v>28</v>
      </c>
      <c r="J223" s="147" t="s">
        <v>1845</v>
      </c>
      <c r="K223" s="31">
        <f t="shared" si="11"/>
        <v>0</v>
      </c>
      <c r="L223" s="32">
        <f t="shared" si="12"/>
        <v>1</v>
      </c>
      <c r="M223" s="70"/>
      <c r="N223" s="70"/>
      <c r="O223" s="70"/>
      <c r="P223" s="70"/>
      <c r="Q223" s="70"/>
      <c r="R223" s="70"/>
      <c r="S223" s="70"/>
      <c r="T223" s="70"/>
      <c r="U223" s="70"/>
      <c r="V223" s="70"/>
      <c r="W223" s="70"/>
      <c r="X223" s="70"/>
      <c r="Y223" s="70"/>
      <c r="Z223" s="70"/>
      <c r="AA223" s="70"/>
      <c r="AB223" s="70"/>
      <c r="AC223" s="70"/>
      <c r="AD223" s="70"/>
      <c r="AE223" s="70"/>
      <c r="AF223" s="70"/>
      <c r="AG223" s="70"/>
      <c r="AH223" s="70"/>
      <c r="AI223" s="70"/>
      <c r="AJ223" s="70"/>
      <c r="AK223" s="70"/>
      <c r="AL223" s="70"/>
      <c r="AM223" s="70"/>
      <c r="AN223" s="70"/>
      <c r="AO223" s="70"/>
      <c r="AP223" s="70"/>
      <c r="AQ223" s="70"/>
    </row>
    <row r="224" spans="1:43" ht="15.75" thickBot="1" x14ac:dyDescent="0.3">
      <c r="A224" t="s">
        <v>254</v>
      </c>
      <c r="B224" t="s">
        <v>257</v>
      </c>
      <c r="C224" t="s">
        <v>1062</v>
      </c>
      <c r="D224" t="s">
        <v>256</v>
      </c>
      <c r="E224" s="30" t="s">
        <v>46</v>
      </c>
      <c r="F224" s="30" t="s">
        <v>28</v>
      </c>
      <c r="G224" s="30"/>
      <c r="H224" s="30" t="s">
        <v>700</v>
      </c>
      <c r="I224" s="31">
        <f t="shared" si="10"/>
        <v>28</v>
      </c>
      <c r="J224" s="147" t="s">
        <v>1846</v>
      </c>
      <c r="K224" s="31">
        <f t="shared" si="11"/>
        <v>0</v>
      </c>
      <c r="L224" s="32">
        <f t="shared" si="12"/>
        <v>1</v>
      </c>
      <c r="M224" s="70"/>
      <c r="N224" s="70"/>
      <c r="O224" s="70"/>
      <c r="P224" s="70"/>
      <c r="Q224" s="70"/>
      <c r="R224" s="70"/>
      <c r="S224" s="70"/>
      <c r="T224" s="70"/>
      <c r="U224" s="70"/>
      <c r="V224" s="70"/>
      <c r="W224" s="70"/>
      <c r="X224" s="70"/>
      <c r="Y224" s="70"/>
      <c r="Z224" s="70"/>
      <c r="AA224" s="70"/>
      <c r="AB224" s="70"/>
      <c r="AC224" s="70"/>
      <c r="AD224" s="70"/>
      <c r="AE224" s="70"/>
      <c r="AF224" s="70"/>
      <c r="AG224" s="70"/>
      <c r="AH224" s="70"/>
      <c r="AI224" s="70"/>
      <c r="AJ224" s="70"/>
      <c r="AK224" s="70"/>
      <c r="AL224" s="70"/>
      <c r="AM224" s="70"/>
      <c r="AN224" s="70"/>
      <c r="AO224" s="70"/>
      <c r="AP224" s="70"/>
      <c r="AQ224" s="70"/>
    </row>
    <row r="225" spans="1:43" s="73" customFormat="1" ht="15.75" thickBot="1" x14ac:dyDescent="0.3">
      <c r="A225" s="73" t="s">
        <v>254</v>
      </c>
      <c r="B225" s="73" t="s">
        <v>1323</v>
      </c>
      <c r="C225" s="73" t="s">
        <v>1062</v>
      </c>
      <c r="D225" s="73" t="s">
        <v>1327</v>
      </c>
      <c r="E225" s="85" t="s">
        <v>15</v>
      </c>
      <c r="F225" s="85" t="s">
        <v>1301</v>
      </c>
      <c r="G225" s="85"/>
      <c r="H225" s="85" t="s">
        <v>1332</v>
      </c>
      <c r="I225" s="142">
        <f t="shared" si="10"/>
        <v>28</v>
      </c>
      <c r="J225" s="147" t="s">
        <v>1847</v>
      </c>
      <c r="K225" s="142">
        <f t="shared" si="11"/>
        <v>0</v>
      </c>
      <c r="L225" s="143">
        <f t="shared" si="12"/>
        <v>1</v>
      </c>
      <c r="M225" s="70"/>
      <c r="N225" s="70"/>
      <c r="O225" s="70"/>
      <c r="P225" s="70"/>
      <c r="Q225" s="70"/>
      <c r="R225" s="70"/>
      <c r="S225" s="70"/>
      <c r="T225" s="70"/>
      <c r="U225" s="70"/>
      <c r="V225" s="70"/>
      <c r="W225" s="70"/>
      <c r="X225" s="70"/>
      <c r="Y225" s="70"/>
      <c r="Z225" s="70"/>
      <c r="AA225" s="70"/>
      <c r="AB225" s="70"/>
      <c r="AC225" s="70"/>
      <c r="AD225" s="70"/>
      <c r="AE225" s="70"/>
      <c r="AF225" s="70"/>
      <c r="AG225" s="70"/>
      <c r="AH225" s="70"/>
      <c r="AI225" s="70"/>
      <c r="AJ225" s="70"/>
      <c r="AK225" s="70"/>
      <c r="AL225" s="70"/>
      <c r="AM225" s="70"/>
      <c r="AN225" s="70"/>
      <c r="AO225" s="70"/>
      <c r="AP225" s="89"/>
      <c r="AQ225" s="89"/>
    </row>
    <row r="226" spans="1:43" s="73" customFormat="1" ht="15.75" thickBot="1" x14ac:dyDescent="0.3">
      <c r="A226" s="73" t="s">
        <v>254</v>
      </c>
      <c r="B226" s="73" t="s">
        <v>1419</v>
      </c>
      <c r="C226" s="73" t="s">
        <v>1062</v>
      </c>
      <c r="D226" s="73" t="s">
        <v>1420</v>
      </c>
      <c r="E226" s="85" t="s">
        <v>15</v>
      </c>
      <c r="F226" s="85" t="s">
        <v>1301</v>
      </c>
      <c r="G226" s="85"/>
      <c r="H226" s="85" t="s">
        <v>1421</v>
      </c>
      <c r="I226" s="142">
        <f t="shared" si="10"/>
        <v>28</v>
      </c>
      <c r="J226" s="147" t="s">
        <v>1848</v>
      </c>
      <c r="K226" s="142">
        <f t="shared" si="11"/>
        <v>0</v>
      </c>
      <c r="L226" s="143">
        <f t="shared" si="12"/>
        <v>1</v>
      </c>
      <c r="M226" s="71"/>
      <c r="N226" s="71"/>
      <c r="O226" s="71"/>
      <c r="P226" s="71"/>
      <c r="Q226" s="71"/>
      <c r="R226" s="71"/>
      <c r="S226" s="71"/>
      <c r="T226" s="71"/>
      <c r="U226" s="71"/>
      <c r="V226" s="71"/>
      <c r="W226" s="71"/>
      <c r="X226" s="71"/>
      <c r="Y226" s="71"/>
      <c r="Z226" s="70"/>
      <c r="AA226" s="71"/>
      <c r="AB226" s="71"/>
      <c r="AC226" s="71"/>
      <c r="AD226" s="71"/>
      <c r="AE226" s="71"/>
      <c r="AF226" s="71"/>
      <c r="AG226" s="71"/>
      <c r="AH226" s="71"/>
      <c r="AI226" s="71"/>
      <c r="AJ226" s="71"/>
      <c r="AK226" s="71"/>
      <c r="AL226" s="71"/>
      <c r="AM226" s="71"/>
      <c r="AN226" s="71"/>
      <c r="AO226" s="71"/>
    </row>
    <row r="227" spans="1:43" s="73" customFormat="1" ht="15.75" thickBot="1" x14ac:dyDescent="0.3">
      <c r="A227" s="73" t="s">
        <v>254</v>
      </c>
      <c r="B227" s="73" t="s">
        <v>1594</v>
      </c>
      <c r="C227" s="73" t="s">
        <v>1062</v>
      </c>
      <c r="D227" s="73" t="s">
        <v>1595</v>
      </c>
      <c r="E227" s="85" t="s">
        <v>15</v>
      </c>
      <c r="F227" s="85" t="s">
        <v>1301</v>
      </c>
      <c r="G227" s="85"/>
      <c r="H227" s="85" t="s">
        <v>1596</v>
      </c>
      <c r="I227" s="142">
        <f t="shared" si="10"/>
        <v>28</v>
      </c>
      <c r="J227" s="87"/>
      <c r="K227" s="142">
        <f t="shared" si="11"/>
        <v>0</v>
      </c>
      <c r="L227" s="143">
        <f t="shared" si="12"/>
        <v>1</v>
      </c>
      <c r="M227" s="71"/>
      <c r="N227" s="71"/>
      <c r="O227" s="71"/>
      <c r="P227" s="71"/>
      <c r="Q227" s="71"/>
      <c r="R227" s="71"/>
      <c r="S227" s="71"/>
      <c r="T227" s="71"/>
      <c r="U227" s="71"/>
      <c r="V227" s="71"/>
      <c r="W227" s="71"/>
      <c r="X227" s="71"/>
      <c r="Y227" s="71"/>
      <c r="Z227" s="70"/>
      <c r="AA227" s="71"/>
      <c r="AB227" s="71"/>
      <c r="AC227" s="71"/>
      <c r="AD227" s="71"/>
      <c r="AE227" s="71"/>
      <c r="AF227" s="71"/>
      <c r="AG227" s="71"/>
      <c r="AH227" s="71"/>
      <c r="AI227" s="71"/>
      <c r="AJ227" s="71"/>
      <c r="AK227" s="71"/>
      <c r="AL227" s="71"/>
      <c r="AM227" s="71"/>
      <c r="AN227" s="71"/>
      <c r="AO227" s="71"/>
    </row>
    <row r="228" spans="1:43" s="73" customFormat="1" ht="15.75" thickBot="1" x14ac:dyDescent="0.3">
      <c r="A228" s="73" t="s">
        <v>258</v>
      </c>
      <c r="B228" s="73" t="s">
        <v>959</v>
      </c>
      <c r="C228" s="73" t="s">
        <v>1063</v>
      </c>
      <c r="D228" s="73" t="s">
        <v>259</v>
      </c>
      <c r="E228" s="85" t="s">
        <v>15</v>
      </c>
      <c r="F228" s="85" t="s">
        <v>1301</v>
      </c>
      <c r="G228" s="85"/>
      <c r="H228" s="85" t="s">
        <v>716</v>
      </c>
      <c r="I228" s="142">
        <f t="shared" si="10"/>
        <v>28</v>
      </c>
      <c r="J228" s="147" t="s">
        <v>1849</v>
      </c>
      <c r="K228" s="142">
        <f t="shared" si="11"/>
        <v>0</v>
      </c>
      <c r="L228" s="143">
        <f t="shared" si="12"/>
        <v>1</v>
      </c>
      <c r="M228" s="70"/>
      <c r="N228" s="70"/>
      <c r="O228" s="70"/>
      <c r="P228" s="70"/>
      <c r="Q228" s="70"/>
      <c r="R228" s="70"/>
      <c r="S228" s="70"/>
      <c r="T228" s="70"/>
      <c r="U228" s="70"/>
      <c r="V228" s="70"/>
      <c r="W228" s="70"/>
      <c r="X228" s="70"/>
      <c r="Y228" s="70"/>
      <c r="Z228" s="70"/>
      <c r="AA228" s="70"/>
      <c r="AB228" s="70"/>
      <c r="AC228" s="70"/>
      <c r="AD228" s="70"/>
      <c r="AE228" s="70"/>
      <c r="AF228" s="70"/>
      <c r="AG228" s="70"/>
      <c r="AH228" s="70"/>
      <c r="AI228" s="70"/>
      <c r="AJ228" s="70"/>
      <c r="AK228" s="70"/>
      <c r="AL228" s="70"/>
      <c r="AM228" s="70"/>
      <c r="AN228" s="70"/>
      <c r="AO228" s="70"/>
      <c r="AP228" s="89"/>
      <c r="AQ228" s="89"/>
    </row>
    <row r="229" spans="1:43" s="73" customFormat="1" ht="15.75" thickBot="1" x14ac:dyDescent="0.3">
      <c r="A229" s="73" t="s">
        <v>258</v>
      </c>
      <c r="B229" s="73" t="s">
        <v>260</v>
      </c>
      <c r="C229" s="73" t="s">
        <v>1063</v>
      </c>
      <c r="D229" s="73" t="s">
        <v>261</v>
      </c>
      <c r="E229" s="85" t="s">
        <v>73</v>
      </c>
      <c r="F229" s="85" t="s">
        <v>1301</v>
      </c>
      <c r="G229" s="85"/>
      <c r="H229" s="85" t="s">
        <v>717</v>
      </c>
      <c r="I229" s="142">
        <f t="shared" si="10"/>
        <v>28</v>
      </c>
      <c r="J229" s="147" t="s">
        <v>1850</v>
      </c>
      <c r="K229" s="142">
        <f t="shared" si="11"/>
        <v>0</v>
      </c>
      <c r="L229" s="143">
        <f t="shared" si="12"/>
        <v>1</v>
      </c>
      <c r="M229" s="70"/>
      <c r="N229" s="70"/>
      <c r="O229" s="70"/>
      <c r="P229" s="70"/>
      <c r="Q229" s="70"/>
      <c r="R229" s="70"/>
      <c r="S229" s="70"/>
      <c r="T229" s="70"/>
      <c r="U229" s="70"/>
      <c r="V229" s="70"/>
      <c r="W229" s="70"/>
      <c r="X229" s="70"/>
      <c r="Y229" s="70"/>
      <c r="Z229" s="70"/>
      <c r="AA229" s="70"/>
      <c r="AB229" s="70"/>
      <c r="AC229" s="70"/>
      <c r="AD229" s="70"/>
      <c r="AE229" s="70"/>
      <c r="AF229" s="70"/>
      <c r="AG229" s="70"/>
      <c r="AH229" s="70"/>
      <c r="AI229" s="70"/>
      <c r="AJ229" s="70"/>
      <c r="AK229" s="70"/>
      <c r="AL229" s="70"/>
      <c r="AM229" s="70"/>
      <c r="AN229" s="70"/>
      <c r="AO229" s="70"/>
      <c r="AP229" s="89"/>
      <c r="AQ229" s="89"/>
    </row>
    <row r="230" spans="1:43" s="73" customFormat="1" ht="15.75" thickBot="1" x14ac:dyDescent="0.3">
      <c r="A230" s="73" t="s">
        <v>258</v>
      </c>
      <c r="B230" s="73" t="s">
        <v>262</v>
      </c>
      <c r="C230" s="73" t="s">
        <v>1063</v>
      </c>
      <c r="D230" s="73" t="s">
        <v>261</v>
      </c>
      <c r="E230" s="85" t="s">
        <v>73</v>
      </c>
      <c r="F230" s="85" t="s">
        <v>1301</v>
      </c>
      <c r="G230" s="85"/>
      <c r="H230" s="85" t="s">
        <v>718</v>
      </c>
      <c r="I230" s="142">
        <f t="shared" si="10"/>
        <v>28</v>
      </c>
      <c r="J230" s="147" t="s">
        <v>1851</v>
      </c>
      <c r="K230" s="142">
        <f t="shared" si="11"/>
        <v>0</v>
      </c>
      <c r="L230" s="143">
        <f t="shared" si="12"/>
        <v>1</v>
      </c>
      <c r="M230" s="70"/>
      <c r="N230" s="70"/>
      <c r="O230" s="70"/>
      <c r="P230" s="70"/>
      <c r="Q230" s="70"/>
      <c r="R230" s="70"/>
      <c r="S230" s="70"/>
      <c r="T230" s="70"/>
      <c r="U230" s="70"/>
      <c r="V230" s="70"/>
      <c r="W230" s="70"/>
      <c r="X230" s="70"/>
      <c r="Y230" s="70"/>
      <c r="Z230" s="70"/>
      <c r="AA230" s="70"/>
      <c r="AB230" s="70"/>
      <c r="AC230" s="70"/>
      <c r="AD230" s="70"/>
      <c r="AE230" s="70"/>
      <c r="AF230" s="70"/>
      <c r="AG230" s="70"/>
      <c r="AH230" s="70"/>
      <c r="AI230" s="70"/>
      <c r="AJ230" s="70"/>
      <c r="AK230" s="70"/>
      <c r="AL230" s="70"/>
      <c r="AM230" s="70"/>
      <c r="AN230" s="70"/>
      <c r="AO230" s="70"/>
      <c r="AP230" s="89"/>
      <c r="AQ230" s="89"/>
    </row>
    <row r="231" spans="1:43" ht="15.75" thickBot="1" x14ac:dyDescent="0.3">
      <c r="A231" t="s">
        <v>267</v>
      </c>
      <c r="B231" t="s">
        <v>960</v>
      </c>
      <c r="C231" t="s">
        <v>1062</v>
      </c>
      <c r="D231" t="s">
        <v>272</v>
      </c>
      <c r="E231" s="30" t="s">
        <v>73</v>
      </c>
      <c r="F231" s="30" t="s">
        <v>28</v>
      </c>
      <c r="G231" s="30"/>
      <c r="H231" s="30" t="s">
        <v>723</v>
      </c>
      <c r="I231" s="31">
        <f t="shared" si="10"/>
        <v>23</v>
      </c>
      <c r="J231" s="147" t="s">
        <v>1852</v>
      </c>
      <c r="K231" s="31">
        <f t="shared" si="11"/>
        <v>5</v>
      </c>
      <c r="L231" s="32">
        <f t="shared" si="12"/>
        <v>0.8214285714285714</v>
      </c>
      <c r="M231" s="70" t="s">
        <v>2213</v>
      </c>
      <c r="N231" s="70" t="s">
        <v>2213</v>
      </c>
      <c r="O231" s="70" t="s">
        <v>2213</v>
      </c>
      <c r="P231" s="70" t="s">
        <v>2213</v>
      </c>
      <c r="Q231" s="70" t="s">
        <v>2213</v>
      </c>
      <c r="R231" s="70"/>
      <c r="S231" s="70"/>
      <c r="T231" s="70"/>
      <c r="U231" s="70"/>
      <c r="V231" s="70"/>
      <c r="W231" s="70"/>
      <c r="X231" s="70"/>
      <c r="Y231" s="70"/>
      <c r="Z231" s="70"/>
      <c r="AA231" s="70"/>
      <c r="AB231" s="70"/>
      <c r="AC231" s="70"/>
      <c r="AD231" s="70"/>
      <c r="AE231" s="70"/>
      <c r="AF231" s="70"/>
      <c r="AG231" s="70"/>
      <c r="AH231" s="70"/>
      <c r="AI231" s="70"/>
      <c r="AJ231" s="70"/>
      <c r="AK231" s="70"/>
      <c r="AL231" s="70"/>
      <c r="AM231" s="70"/>
      <c r="AN231" s="70"/>
      <c r="AO231" s="70"/>
      <c r="AP231" s="70"/>
      <c r="AQ231" s="70"/>
    </row>
    <row r="232" spans="1:43" ht="15.75" thickBot="1" x14ac:dyDescent="0.3">
      <c r="A232" t="s">
        <v>267</v>
      </c>
      <c r="B232" t="s">
        <v>961</v>
      </c>
      <c r="C232" t="s">
        <v>1062</v>
      </c>
      <c r="D232" t="s">
        <v>1087</v>
      </c>
      <c r="E232" s="30" t="s">
        <v>19</v>
      </c>
      <c r="F232" s="30" t="s">
        <v>28</v>
      </c>
      <c r="G232" s="30"/>
      <c r="H232" s="30" t="s">
        <v>725</v>
      </c>
      <c r="I232" s="31">
        <f t="shared" si="10"/>
        <v>28</v>
      </c>
      <c r="J232" s="147" t="s">
        <v>1853</v>
      </c>
      <c r="K232" s="31">
        <f t="shared" si="11"/>
        <v>0</v>
      </c>
      <c r="L232" s="32">
        <f t="shared" si="12"/>
        <v>1</v>
      </c>
      <c r="M232" s="70"/>
      <c r="N232" s="70"/>
      <c r="O232" s="70"/>
      <c r="P232" s="70"/>
      <c r="Q232" s="70"/>
      <c r="R232" s="70"/>
      <c r="S232" s="70"/>
      <c r="T232" s="70"/>
      <c r="U232" s="70"/>
      <c r="V232" s="70"/>
      <c r="W232" s="70"/>
      <c r="X232" s="70"/>
      <c r="Y232" s="70"/>
      <c r="Z232" s="70"/>
      <c r="AA232" s="70"/>
      <c r="AB232" s="70"/>
      <c r="AC232" s="70"/>
      <c r="AD232" s="70"/>
      <c r="AE232" s="70"/>
      <c r="AF232" s="70"/>
      <c r="AG232" s="70"/>
      <c r="AH232" s="70"/>
      <c r="AI232" s="70"/>
      <c r="AJ232" s="70"/>
      <c r="AK232" s="70"/>
      <c r="AL232" s="70"/>
      <c r="AM232" s="70"/>
      <c r="AN232" s="70"/>
      <c r="AO232" s="70"/>
      <c r="AP232" s="70"/>
      <c r="AQ232" s="70"/>
    </row>
    <row r="233" spans="1:43" ht="15.75" thickBot="1" x14ac:dyDescent="0.3">
      <c r="A233" t="s">
        <v>267</v>
      </c>
      <c r="B233" t="s">
        <v>962</v>
      </c>
      <c r="C233" t="s">
        <v>1062</v>
      </c>
      <c r="D233" t="s">
        <v>279</v>
      </c>
      <c r="E233" s="30" t="s">
        <v>19</v>
      </c>
      <c r="F233" s="30" t="s">
        <v>28</v>
      </c>
      <c r="G233" s="30"/>
      <c r="H233" s="30" t="s">
        <v>1483</v>
      </c>
      <c r="I233" s="31">
        <f t="shared" si="10"/>
        <v>20</v>
      </c>
      <c r="J233" s="147" t="s">
        <v>1854</v>
      </c>
      <c r="K233" s="31">
        <f t="shared" si="11"/>
        <v>8</v>
      </c>
      <c r="L233" s="32">
        <f t="shared" si="12"/>
        <v>0.7142857142857143</v>
      </c>
      <c r="M233" s="70" t="s">
        <v>2213</v>
      </c>
      <c r="N233" s="70" t="s">
        <v>2213</v>
      </c>
      <c r="O233" s="70" t="s">
        <v>2213</v>
      </c>
      <c r="P233" s="70" t="s">
        <v>2213</v>
      </c>
      <c r="Q233" s="70" t="s">
        <v>2213</v>
      </c>
      <c r="R233" s="70" t="s">
        <v>2213</v>
      </c>
      <c r="S233" s="70" t="s">
        <v>2213</v>
      </c>
      <c r="T233" s="70" t="s">
        <v>2213</v>
      </c>
      <c r="U233" s="70"/>
      <c r="V233" s="70"/>
      <c r="W233" s="70"/>
      <c r="X233" s="70"/>
      <c r="Y233" s="70"/>
      <c r="Z233" s="70"/>
      <c r="AA233" s="70"/>
      <c r="AB233" s="70"/>
      <c r="AC233" s="70"/>
      <c r="AD233" s="70"/>
      <c r="AE233" s="70"/>
      <c r="AF233" s="70"/>
      <c r="AG233" s="70"/>
      <c r="AH233" s="70"/>
      <c r="AI233" s="70"/>
      <c r="AJ233" s="70"/>
      <c r="AK233" s="70"/>
      <c r="AL233" s="70"/>
      <c r="AM233" s="70"/>
      <c r="AN233" s="70"/>
      <c r="AO233" s="70"/>
      <c r="AP233" s="70"/>
      <c r="AQ233" s="70"/>
    </row>
    <row r="234" spans="1:43" ht="15.75" thickBot="1" x14ac:dyDescent="0.3">
      <c r="A234" t="s">
        <v>267</v>
      </c>
      <c r="B234" t="s">
        <v>963</v>
      </c>
      <c r="C234" t="s">
        <v>1062</v>
      </c>
      <c r="D234" t="s">
        <v>282</v>
      </c>
      <c r="E234" s="30" t="s">
        <v>73</v>
      </c>
      <c r="F234" s="30" t="s">
        <v>28</v>
      </c>
      <c r="G234" s="30"/>
      <c r="H234" s="30" t="s">
        <v>727</v>
      </c>
      <c r="I234" s="31">
        <f t="shared" si="10"/>
        <v>28</v>
      </c>
      <c r="J234" s="147" t="s">
        <v>1855</v>
      </c>
      <c r="K234" s="31">
        <f t="shared" si="11"/>
        <v>0</v>
      </c>
      <c r="L234" s="32">
        <f t="shared" si="12"/>
        <v>1</v>
      </c>
      <c r="M234" s="70"/>
      <c r="N234" s="70"/>
      <c r="O234" s="70"/>
      <c r="P234" s="70"/>
      <c r="Q234" s="70"/>
      <c r="R234" s="70"/>
      <c r="S234" s="70"/>
      <c r="T234" s="70"/>
      <c r="U234" s="70"/>
      <c r="V234" s="70"/>
      <c r="W234" s="70"/>
      <c r="X234" s="70"/>
      <c r="Y234" s="70"/>
      <c r="Z234" s="70"/>
      <c r="AA234" s="70"/>
      <c r="AB234" s="70"/>
      <c r="AC234" s="70"/>
      <c r="AD234" s="70"/>
      <c r="AE234" s="70"/>
      <c r="AF234" s="70"/>
      <c r="AG234" s="70"/>
      <c r="AH234" s="70"/>
      <c r="AI234" s="70"/>
      <c r="AJ234" s="70"/>
      <c r="AK234" s="70"/>
      <c r="AL234" s="70"/>
      <c r="AM234" s="70"/>
      <c r="AN234" s="70"/>
      <c r="AO234" s="70"/>
      <c r="AP234" s="70"/>
      <c r="AQ234" s="70"/>
    </row>
    <row r="235" spans="1:43" ht="15.75" thickBot="1" x14ac:dyDescent="0.3">
      <c r="A235" t="s">
        <v>267</v>
      </c>
      <c r="B235" t="s">
        <v>964</v>
      </c>
      <c r="C235" t="s">
        <v>1062</v>
      </c>
      <c r="D235" t="s">
        <v>282</v>
      </c>
      <c r="E235" s="30" t="s">
        <v>73</v>
      </c>
      <c r="F235" s="30" t="s">
        <v>28</v>
      </c>
      <c r="G235" s="30"/>
      <c r="H235" s="30" t="s">
        <v>728</v>
      </c>
      <c r="I235" s="31">
        <f t="shared" si="10"/>
        <v>28</v>
      </c>
      <c r="J235" s="147" t="s">
        <v>1856</v>
      </c>
      <c r="K235" s="31">
        <f t="shared" si="11"/>
        <v>0</v>
      </c>
      <c r="L235" s="32">
        <f t="shared" si="12"/>
        <v>1</v>
      </c>
      <c r="M235" s="70"/>
      <c r="N235" s="70"/>
      <c r="O235" s="70"/>
      <c r="P235" s="70"/>
      <c r="Q235" s="70"/>
      <c r="R235" s="70"/>
      <c r="S235" s="70"/>
      <c r="T235" s="70"/>
      <c r="U235" s="70"/>
      <c r="V235" s="70"/>
      <c r="W235" s="70"/>
      <c r="X235" s="70"/>
      <c r="Y235" s="70"/>
      <c r="Z235" s="70"/>
      <c r="AA235" s="70"/>
      <c r="AB235" s="70"/>
      <c r="AC235" s="70"/>
      <c r="AD235" s="70"/>
      <c r="AE235" s="70"/>
      <c r="AF235" s="70"/>
      <c r="AG235" s="70"/>
      <c r="AH235" s="70"/>
      <c r="AI235" s="70"/>
      <c r="AJ235" s="70"/>
      <c r="AK235" s="70"/>
      <c r="AL235" s="70"/>
      <c r="AM235" s="70"/>
      <c r="AN235" s="70"/>
      <c r="AO235" s="70"/>
      <c r="AP235" s="70"/>
      <c r="AQ235" s="70"/>
    </row>
    <row r="236" spans="1:43" ht="15.75" thickBot="1" x14ac:dyDescent="0.3">
      <c r="A236" t="s">
        <v>267</v>
      </c>
      <c r="B236" t="s">
        <v>965</v>
      </c>
      <c r="C236" t="s">
        <v>1062</v>
      </c>
      <c r="D236" t="s">
        <v>263</v>
      </c>
      <c r="E236" s="30" t="s">
        <v>46</v>
      </c>
      <c r="F236" s="30" t="s">
        <v>28</v>
      </c>
      <c r="G236" s="30"/>
      <c r="H236" s="30" t="s">
        <v>719</v>
      </c>
      <c r="I236" s="31">
        <f t="shared" si="10"/>
        <v>28</v>
      </c>
      <c r="J236" s="147" t="s">
        <v>1857</v>
      </c>
      <c r="K236" s="31">
        <f t="shared" si="11"/>
        <v>0</v>
      </c>
      <c r="L236" s="32">
        <f t="shared" si="12"/>
        <v>1</v>
      </c>
      <c r="M236" s="70"/>
      <c r="N236" s="70"/>
      <c r="O236" s="70"/>
      <c r="P236" s="70"/>
      <c r="Q236" s="70"/>
      <c r="R236" s="70"/>
      <c r="S236" s="70"/>
      <c r="T236" s="70"/>
      <c r="U236" s="70"/>
      <c r="V236" s="70"/>
      <c r="W236" s="70"/>
      <c r="X236" s="70"/>
      <c r="Y236" s="70"/>
      <c r="Z236" s="70"/>
      <c r="AA236" s="70"/>
      <c r="AB236" s="70"/>
      <c r="AC236" s="70"/>
      <c r="AD236" s="70"/>
      <c r="AE236" s="70"/>
      <c r="AF236" s="70"/>
      <c r="AG236" s="70"/>
      <c r="AH236" s="70"/>
      <c r="AI236" s="70"/>
      <c r="AJ236" s="70"/>
      <c r="AK236" s="70"/>
      <c r="AL236" s="70"/>
      <c r="AM236" s="70"/>
      <c r="AN236" s="70"/>
      <c r="AO236" s="70"/>
      <c r="AP236" s="70"/>
      <c r="AQ236" s="70"/>
    </row>
    <row r="237" spans="1:43" ht="15.75" thickBot="1" x14ac:dyDescent="0.3">
      <c r="A237" t="s">
        <v>264</v>
      </c>
      <c r="B237" t="s">
        <v>265</v>
      </c>
      <c r="C237" t="s">
        <v>1062</v>
      </c>
      <c r="D237" t="s">
        <v>266</v>
      </c>
      <c r="E237" s="30" t="s">
        <v>19</v>
      </c>
      <c r="F237" s="30" t="s">
        <v>28</v>
      </c>
      <c r="G237" s="30"/>
      <c r="H237" s="30" t="s">
        <v>720</v>
      </c>
      <c r="I237" s="31">
        <f t="shared" si="10"/>
        <v>28</v>
      </c>
      <c r="J237" s="147" t="s">
        <v>1858</v>
      </c>
      <c r="K237" s="31">
        <f t="shared" si="11"/>
        <v>0</v>
      </c>
      <c r="L237" s="32">
        <f t="shared" si="12"/>
        <v>1</v>
      </c>
      <c r="M237" s="70"/>
      <c r="N237" s="70"/>
      <c r="O237" s="70"/>
      <c r="P237" s="70"/>
      <c r="Q237" s="70"/>
      <c r="R237" s="70"/>
      <c r="S237" s="70"/>
      <c r="T237" s="70"/>
      <c r="U237" s="70"/>
      <c r="V237" s="70"/>
      <c r="W237" s="70"/>
      <c r="X237" s="70"/>
      <c r="Y237" s="70"/>
      <c r="Z237" s="70"/>
      <c r="AA237" s="70"/>
      <c r="AB237" s="70"/>
      <c r="AC237" s="70"/>
      <c r="AD237" s="70"/>
      <c r="AE237" s="70"/>
      <c r="AF237" s="70"/>
      <c r="AG237" s="70"/>
      <c r="AH237" s="70"/>
      <c r="AI237" s="70"/>
      <c r="AJ237" s="70"/>
      <c r="AK237" s="70"/>
      <c r="AL237" s="70"/>
      <c r="AM237" s="70"/>
      <c r="AN237" s="70"/>
      <c r="AO237" s="70"/>
      <c r="AP237" s="70"/>
      <c r="AQ237" s="70"/>
    </row>
    <row r="238" spans="1:43" ht="15.75" thickBot="1" x14ac:dyDescent="0.3">
      <c r="A238" t="s">
        <v>267</v>
      </c>
      <c r="B238" t="s">
        <v>268</v>
      </c>
      <c r="C238" t="s">
        <v>1062</v>
      </c>
      <c r="D238" t="s">
        <v>269</v>
      </c>
      <c r="E238" s="30" t="s">
        <v>73</v>
      </c>
      <c r="F238" s="30" t="s">
        <v>28</v>
      </c>
      <c r="G238" s="30"/>
      <c r="H238" s="30" t="s">
        <v>721</v>
      </c>
      <c r="I238" s="31">
        <f t="shared" si="10"/>
        <v>28</v>
      </c>
      <c r="J238" s="147" t="s">
        <v>1859</v>
      </c>
      <c r="K238" s="31">
        <f t="shared" si="11"/>
        <v>0</v>
      </c>
      <c r="L238" s="32">
        <f t="shared" si="12"/>
        <v>1</v>
      </c>
      <c r="M238" s="70"/>
      <c r="N238" s="70"/>
      <c r="O238" s="70"/>
      <c r="P238" s="70"/>
      <c r="Q238" s="70"/>
      <c r="R238" s="70"/>
      <c r="S238" s="70"/>
      <c r="T238" s="70"/>
      <c r="U238" s="70"/>
      <c r="V238" s="70"/>
      <c r="W238" s="70"/>
      <c r="X238" s="70"/>
      <c r="Y238" s="70"/>
      <c r="Z238" s="70"/>
      <c r="AA238" s="70"/>
      <c r="AB238" s="70"/>
      <c r="AC238" s="70"/>
      <c r="AD238" s="70"/>
      <c r="AE238" s="70"/>
      <c r="AF238" s="70"/>
      <c r="AG238" s="70"/>
      <c r="AH238" s="70"/>
      <c r="AI238" s="70"/>
      <c r="AJ238" s="70"/>
      <c r="AK238" s="70"/>
      <c r="AL238" s="70"/>
      <c r="AM238" s="70"/>
      <c r="AN238" s="70"/>
      <c r="AO238" s="70"/>
      <c r="AP238" s="70"/>
      <c r="AQ238" s="70"/>
    </row>
    <row r="239" spans="1:43" ht="15.75" thickBot="1" x14ac:dyDescent="0.3">
      <c r="A239" t="s">
        <v>267</v>
      </c>
      <c r="B239" t="s">
        <v>270</v>
      </c>
      <c r="C239" t="s">
        <v>1062</v>
      </c>
      <c r="D239" t="s">
        <v>271</v>
      </c>
      <c r="E239" s="30" t="s">
        <v>46</v>
      </c>
      <c r="F239" s="30" t="s">
        <v>28</v>
      </c>
      <c r="G239" s="30"/>
      <c r="H239" s="30" t="s">
        <v>722</v>
      </c>
      <c r="I239" s="31">
        <f t="shared" ref="I239:I308" si="13">COUNTIF(M239:AN239,"")</f>
        <v>28</v>
      </c>
      <c r="J239" s="147" t="s">
        <v>1860</v>
      </c>
      <c r="K239" s="31">
        <f t="shared" ref="K239:K308" si="14">COUNTIF(M239:AN239,"APAGADO")</f>
        <v>0</v>
      </c>
      <c r="L239" s="32">
        <f t="shared" ref="L239:L308" si="15">(I239)/(K239+I239)</f>
        <v>1</v>
      </c>
      <c r="M239" s="70"/>
      <c r="N239" s="70"/>
      <c r="O239" s="70"/>
      <c r="P239" s="70"/>
      <c r="Q239" s="70"/>
      <c r="R239" s="70"/>
      <c r="S239" s="70"/>
      <c r="T239" s="70"/>
      <c r="U239" s="70"/>
      <c r="V239" s="70"/>
      <c r="W239" s="70"/>
      <c r="X239" s="70"/>
      <c r="Y239" s="70"/>
      <c r="Z239" s="70"/>
      <c r="AA239" s="70"/>
      <c r="AB239" s="70"/>
      <c r="AC239" s="70"/>
      <c r="AD239" s="70"/>
      <c r="AE239" s="70"/>
      <c r="AF239" s="70"/>
      <c r="AG239" s="70"/>
      <c r="AH239" s="70"/>
      <c r="AI239" s="70"/>
      <c r="AJ239" s="70"/>
      <c r="AK239" s="70"/>
      <c r="AL239" s="70"/>
      <c r="AM239" s="70"/>
      <c r="AN239" s="70"/>
      <c r="AO239" s="70"/>
      <c r="AP239" s="70"/>
      <c r="AQ239" s="70"/>
    </row>
    <row r="240" spans="1:43" ht="15.75" thickBot="1" x14ac:dyDescent="0.3">
      <c r="A240" t="s">
        <v>264</v>
      </c>
      <c r="B240" t="s">
        <v>273</v>
      </c>
      <c r="C240" t="s">
        <v>1062</v>
      </c>
      <c r="D240" t="s">
        <v>274</v>
      </c>
      <c r="E240" s="30" t="s">
        <v>19</v>
      </c>
      <c r="F240" s="30" t="s">
        <v>28</v>
      </c>
      <c r="G240" s="30"/>
      <c r="H240" s="30" t="s">
        <v>724</v>
      </c>
      <c r="I240" s="31">
        <f t="shared" si="13"/>
        <v>28</v>
      </c>
      <c r="J240" s="147" t="s">
        <v>1861</v>
      </c>
      <c r="K240" s="31">
        <f t="shared" si="14"/>
        <v>0</v>
      </c>
      <c r="L240" s="32">
        <f t="shared" si="15"/>
        <v>1</v>
      </c>
      <c r="M240" s="70"/>
      <c r="N240" s="70"/>
      <c r="O240" s="70"/>
      <c r="P240" s="70"/>
      <c r="Q240" s="70"/>
      <c r="R240" s="70"/>
      <c r="S240" s="70"/>
      <c r="T240" s="70"/>
      <c r="U240" s="70"/>
      <c r="V240" s="70"/>
      <c r="W240" s="70"/>
      <c r="X240" s="70"/>
      <c r="Y240" s="70"/>
      <c r="Z240" s="70"/>
      <c r="AA240" s="70"/>
      <c r="AB240" s="70"/>
      <c r="AC240" s="70"/>
      <c r="AD240" s="70"/>
      <c r="AE240" s="70"/>
      <c r="AF240" s="70"/>
      <c r="AG240" s="70"/>
      <c r="AH240" s="70"/>
      <c r="AI240" s="70"/>
      <c r="AJ240" s="70"/>
      <c r="AK240" s="70"/>
      <c r="AL240" s="70"/>
      <c r="AM240" s="70"/>
      <c r="AN240" s="70"/>
      <c r="AO240" s="70"/>
      <c r="AP240" s="70"/>
      <c r="AQ240" s="70"/>
    </row>
    <row r="241" spans="1:43" ht="15.75" thickBot="1" x14ac:dyDescent="0.3">
      <c r="A241" t="s">
        <v>267</v>
      </c>
      <c r="B241" t="s">
        <v>275</v>
      </c>
      <c r="C241" t="s">
        <v>1062</v>
      </c>
      <c r="D241" t="s">
        <v>276</v>
      </c>
      <c r="E241" s="30" t="s">
        <v>19</v>
      </c>
      <c r="F241" s="30" t="s">
        <v>28</v>
      </c>
      <c r="G241" s="30"/>
      <c r="H241" s="30" t="s">
        <v>713</v>
      </c>
      <c r="I241" s="31">
        <f t="shared" si="13"/>
        <v>28</v>
      </c>
      <c r="J241" s="147" t="s">
        <v>1862</v>
      </c>
      <c r="K241" s="31">
        <f t="shared" si="14"/>
        <v>0</v>
      </c>
      <c r="L241" s="32">
        <f t="shared" si="15"/>
        <v>1</v>
      </c>
      <c r="M241" s="70"/>
      <c r="N241" s="70"/>
      <c r="O241" s="70"/>
      <c r="P241" s="70"/>
      <c r="Q241" s="70"/>
      <c r="R241" s="70"/>
      <c r="S241" s="70"/>
      <c r="T241" s="70"/>
      <c r="U241" s="70"/>
      <c r="V241" s="70"/>
      <c r="W241" s="70"/>
      <c r="X241" s="70"/>
      <c r="Y241" s="70"/>
      <c r="Z241" s="70"/>
      <c r="AA241" s="70"/>
      <c r="AB241" s="70"/>
      <c r="AC241" s="70"/>
      <c r="AD241" s="70"/>
      <c r="AE241" s="70"/>
      <c r="AF241" s="70"/>
      <c r="AG241" s="70"/>
      <c r="AH241" s="70"/>
      <c r="AI241" s="70"/>
      <c r="AJ241" s="70"/>
      <c r="AK241" s="70"/>
      <c r="AL241" s="70"/>
      <c r="AM241" s="70"/>
      <c r="AN241" s="70"/>
      <c r="AO241" s="70"/>
      <c r="AP241" s="70"/>
      <c r="AQ241" s="70"/>
    </row>
    <row r="242" spans="1:43" ht="15.75" thickBot="1" x14ac:dyDescent="0.3">
      <c r="A242" t="s">
        <v>267</v>
      </c>
      <c r="B242" t="s">
        <v>277</v>
      </c>
      <c r="C242" t="s">
        <v>1062</v>
      </c>
      <c r="D242" t="s">
        <v>278</v>
      </c>
      <c r="E242" s="30" t="s">
        <v>19</v>
      </c>
      <c r="F242" s="30" t="s">
        <v>28</v>
      </c>
      <c r="G242" s="30"/>
      <c r="H242" s="30" t="s">
        <v>1443</v>
      </c>
      <c r="I242" s="31">
        <f t="shared" si="13"/>
        <v>28</v>
      </c>
      <c r="J242" s="147" t="s">
        <v>1863</v>
      </c>
      <c r="K242" s="31">
        <f t="shared" si="14"/>
        <v>0</v>
      </c>
      <c r="L242" s="32">
        <f t="shared" si="15"/>
        <v>1</v>
      </c>
      <c r="M242" s="70"/>
      <c r="N242" s="70"/>
      <c r="O242" s="70"/>
      <c r="P242" s="70"/>
      <c r="Q242" s="70"/>
      <c r="R242" s="70"/>
      <c r="S242" s="70"/>
      <c r="T242" s="70"/>
      <c r="U242" s="70"/>
      <c r="V242" s="70"/>
      <c r="W242" s="70"/>
      <c r="X242" s="70"/>
      <c r="Y242" s="70"/>
      <c r="Z242" s="70"/>
      <c r="AA242" s="70"/>
      <c r="AB242" s="70"/>
      <c r="AC242" s="70"/>
      <c r="AD242" s="70"/>
      <c r="AE242" s="70"/>
      <c r="AF242" s="70"/>
      <c r="AG242" s="70"/>
      <c r="AH242" s="70"/>
      <c r="AI242" s="70"/>
      <c r="AJ242" s="70"/>
      <c r="AK242" s="70"/>
      <c r="AL242" s="70"/>
      <c r="AM242" s="70"/>
      <c r="AN242" s="70"/>
      <c r="AO242" s="70"/>
      <c r="AP242" s="70"/>
      <c r="AQ242" s="70"/>
    </row>
    <row r="243" spans="1:43" ht="15.75" thickBot="1" x14ac:dyDescent="0.3">
      <c r="A243" t="s">
        <v>267</v>
      </c>
      <c r="B243" t="s">
        <v>280</v>
      </c>
      <c r="C243" t="s">
        <v>1062</v>
      </c>
      <c r="D243" t="s">
        <v>281</v>
      </c>
      <c r="E243" s="30" t="s">
        <v>19</v>
      </c>
      <c r="F243" s="30" t="s">
        <v>28</v>
      </c>
      <c r="G243" s="30"/>
      <c r="H243" s="30" t="s">
        <v>726</v>
      </c>
      <c r="I243" s="31">
        <f t="shared" si="13"/>
        <v>26</v>
      </c>
      <c r="J243" s="147" t="s">
        <v>1864</v>
      </c>
      <c r="K243" s="31">
        <f t="shared" si="14"/>
        <v>2</v>
      </c>
      <c r="L243" s="32">
        <f t="shared" si="15"/>
        <v>0.9285714285714286</v>
      </c>
      <c r="M243" s="70" t="s">
        <v>2213</v>
      </c>
      <c r="N243" s="70" t="s">
        <v>2213</v>
      </c>
      <c r="O243" s="70"/>
      <c r="P243" s="70"/>
      <c r="Q243" s="70"/>
      <c r="R243" s="70"/>
      <c r="S243" s="70"/>
      <c r="T243" s="70"/>
      <c r="U243" s="70"/>
      <c r="V243" s="70"/>
      <c r="W243" s="70"/>
      <c r="X243" s="70"/>
      <c r="Y243" s="70"/>
      <c r="Z243" s="70"/>
      <c r="AA243" s="70"/>
      <c r="AB243" s="70"/>
      <c r="AC243" s="70"/>
      <c r="AD243" s="70"/>
      <c r="AE243" s="70"/>
      <c r="AF243" s="70"/>
      <c r="AG243" s="70"/>
      <c r="AH243" s="70"/>
      <c r="AI243" s="70"/>
      <c r="AJ243" s="70"/>
      <c r="AK243" s="70"/>
      <c r="AL243" s="70"/>
      <c r="AM243" s="70"/>
      <c r="AN243" s="70"/>
      <c r="AO243" s="70"/>
      <c r="AP243" s="70"/>
      <c r="AQ243" s="70"/>
    </row>
    <row r="244" spans="1:43" ht="15.75" thickBot="1" x14ac:dyDescent="0.3">
      <c r="A244" t="s">
        <v>267</v>
      </c>
      <c r="B244" t="s">
        <v>283</v>
      </c>
      <c r="C244" t="s">
        <v>1062</v>
      </c>
      <c r="D244" t="s">
        <v>284</v>
      </c>
      <c r="E244" s="30" t="s">
        <v>15</v>
      </c>
      <c r="F244" s="30" t="s">
        <v>28</v>
      </c>
      <c r="G244" s="30"/>
      <c r="H244" s="30" t="s">
        <v>729</v>
      </c>
      <c r="I244" s="31">
        <f t="shared" si="13"/>
        <v>28</v>
      </c>
      <c r="J244" s="147" t="s">
        <v>1865</v>
      </c>
      <c r="K244" s="31">
        <f t="shared" si="14"/>
        <v>0</v>
      </c>
      <c r="L244" s="32">
        <f t="shared" si="15"/>
        <v>1</v>
      </c>
      <c r="M244" s="70"/>
      <c r="N244" s="70"/>
      <c r="O244" s="70"/>
      <c r="P244" s="70"/>
      <c r="Q244" s="70"/>
      <c r="R244" s="70"/>
      <c r="S244" s="70"/>
      <c r="T244" s="70"/>
      <c r="U244" s="70"/>
      <c r="V244" s="70"/>
      <c r="W244" s="70"/>
      <c r="X244" s="70"/>
      <c r="Y244" s="70"/>
      <c r="Z244" s="70"/>
      <c r="AA244" s="70"/>
      <c r="AB244" s="70"/>
      <c r="AC244" s="70"/>
      <c r="AD244" s="70"/>
      <c r="AE244" s="70"/>
      <c r="AF244" s="70"/>
      <c r="AG244" s="70"/>
      <c r="AH244" s="70"/>
      <c r="AI244" s="70"/>
      <c r="AJ244" s="70"/>
      <c r="AK244" s="70"/>
      <c r="AL244" s="70"/>
      <c r="AM244" s="70"/>
      <c r="AN244" s="70"/>
      <c r="AO244" s="70"/>
      <c r="AP244" s="70"/>
      <c r="AQ244" s="70"/>
    </row>
    <row r="245" spans="1:43" ht="15.75" thickBot="1" x14ac:dyDescent="0.3">
      <c r="A245" t="s">
        <v>267</v>
      </c>
      <c r="B245" s="30" t="s">
        <v>1211</v>
      </c>
      <c r="C245" s="30" t="s">
        <v>1062</v>
      </c>
      <c r="D245" t="s">
        <v>1206</v>
      </c>
      <c r="E245" s="30" t="s">
        <v>15</v>
      </c>
      <c r="F245" s="30" t="s">
        <v>28</v>
      </c>
      <c r="G245" s="30"/>
      <c r="H245" s="30" t="s">
        <v>1207</v>
      </c>
      <c r="I245" s="31">
        <f t="shared" si="13"/>
        <v>28</v>
      </c>
      <c r="J245" s="147" t="s">
        <v>1866</v>
      </c>
      <c r="K245" s="31">
        <f t="shared" si="14"/>
        <v>0</v>
      </c>
      <c r="L245" s="32">
        <f t="shared" si="15"/>
        <v>1</v>
      </c>
      <c r="M245" s="70"/>
      <c r="N245" s="70"/>
      <c r="O245" s="70"/>
      <c r="P245" s="70"/>
      <c r="Q245" s="70"/>
      <c r="R245" s="70"/>
      <c r="S245" s="70"/>
      <c r="T245" s="70"/>
      <c r="U245" s="70"/>
      <c r="V245" s="70"/>
      <c r="W245" s="70"/>
      <c r="X245" s="70"/>
      <c r="Y245" s="70"/>
      <c r="Z245" s="70"/>
      <c r="AA245" s="70"/>
      <c r="AB245" s="70"/>
      <c r="AC245" s="70"/>
      <c r="AD245" s="70"/>
      <c r="AE245" s="70"/>
      <c r="AF245" s="70"/>
      <c r="AG245" s="70"/>
      <c r="AH245" s="70"/>
      <c r="AI245" s="70"/>
      <c r="AJ245" s="70"/>
      <c r="AK245" s="70"/>
      <c r="AL245" s="70"/>
      <c r="AM245" s="70"/>
      <c r="AN245" s="70"/>
      <c r="AO245" s="70"/>
      <c r="AP245" s="70"/>
      <c r="AQ245" s="70"/>
    </row>
    <row r="246" spans="1:43" s="91" customFormat="1" ht="15.75" thickBot="1" x14ac:dyDescent="0.3">
      <c r="A246" s="73" t="s">
        <v>287</v>
      </c>
      <c r="B246" s="73" t="s">
        <v>966</v>
      </c>
      <c r="C246" s="91" t="s">
        <v>1063</v>
      </c>
      <c r="D246" s="73" t="s">
        <v>1088</v>
      </c>
      <c r="E246" s="92" t="s">
        <v>19</v>
      </c>
      <c r="F246" s="85" t="s">
        <v>1301</v>
      </c>
      <c r="G246" s="85"/>
      <c r="H246" s="85" t="s">
        <v>2260</v>
      </c>
      <c r="I246" s="31">
        <f t="shared" si="13"/>
        <v>23</v>
      </c>
      <c r="J246" s="87"/>
      <c r="K246" s="31">
        <f t="shared" si="14"/>
        <v>5</v>
      </c>
      <c r="L246" s="32">
        <f t="shared" si="15"/>
        <v>0.8214285714285714</v>
      </c>
      <c r="M246" s="70" t="s">
        <v>2213</v>
      </c>
      <c r="N246" s="70" t="s">
        <v>2213</v>
      </c>
      <c r="O246" s="70" t="s">
        <v>2213</v>
      </c>
      <c r="P246" s="70" t="s">
        <v>2213</v>
      </c>
      <c r="Q246" s="70" t="s">
        <v>2213</v>
      </c>
      <c r="R246" s="70"/>
      <c r="S246" s="70"/>
      <c r="T246" s="70"/>
      <c r="U246" s="70"/>
      <c r="V246" s="70"/>
      <c r="W246" s="70"/>
      <c r="X246" s="70"/>
      <c r="Y246" s="70"/>
      <c r="Z246" s="70"/>
      <c r="AA246" s="70"/>
      <c r="AB246" s="70"/>
      <c r="AC246" s="70"/>
      <c r="AD246" s="70"/>
      <c r="AE246" s="93"/>
      <c r="AF246" s="93"/>
      <c r="AG246" s="70"/>
      <c r="AH246" s="93"/>
      <c r="AI246" s="93"/>
      <c r="AJ246" s="93"/>
      <c r="AK246" s="93"/>
      <c r="AL246" s="93"/>
      <c r="AM246" s="93"/>
      <c r="AN246" s="93"/>
      <c r="AO246" s="93"/>
      <c r="AP246" s="93"/>
      <c r="AQ246" s="93"/>
    </row>
    <row r="247" spans="1:43" ht="15.75" thickBot="1" x14ac:dyDescent="0.3">
      <c r="A247" t="s">
        <v>229</v>
      </c>
      <c r="B247" t="s">
        <v>285</v>
      </c>
      <c r="C247" t="s">
        <v>1063</v>
      </c>
      <c r="D247" t="s">
        <v>286</v>
      </c>
      <c r="E247" s="30" t="s">
        <v>15</v>
      </c>
      <c r="F247" s="30" t="s">
        <v>1056</v>
      </c>
      <c r="G247" s="30"/>
      <c r="H247" s="30" t="s">
        <v>1064</v>
      </c>
      <c r="I247" s="31">
        <f t="shared" si="13"/>
        <v>27</v>
      </c>
      <c r="J247" s="147" t="s">
        <v>1822</v>
      </c>
      <c r="K247" s="31">
        <f t="shared" si="14"/>
        <v>1</v>
      </c>
      <c r="L247" s="32">
        <f t="shared" si="15"/>
        <v>0.9642857142857143</v>
      </c>
      <c r="M247" s="70" t="s">
        <v>2213</v>
      </c>
      <c r="N247" s="70"/>
      <c r="O247" s="70"/>
      <c r="P247" s="70"/>
      <c r="Q247" s="70"/>
      <c r="R247" s="70"/>
      <c r="S247" s="71"/>
      <c r="T247" s="70"/>
      <c r="U247" s="70"/>
      <c r="V247" s="70"/>
      <c r="W247" s="70"/>
      <c r="X247" s="70"/>
      <c r="Y247" s="70"/>
      <c r="Z247" s="70"/>
      <c r="AA247" s="70"/>
      <c r="AB247" s="70"/>
      <c r="AC247" s="70"/>
      <c r="AD247" s="70"/>
      <c r="AE247" s="70"/>
      <c r="AF247" s="70"/>
      <c r="AG247" s="70"/>
      <c r="AH247" s="70"/>
      <c r="AI247" s="70"/>
      <c r="AJ247" s="70"/>
      <c r="AK247" s="70"/>
      <c r="AL247" s="70"/>
      <c r="AM247" s="70"/>
      <c r="AN247" s="70"/>
      <c r="AO247" s="70"/>
      <c r="AP247" s="70"/>
      <c r="AQ247" s="70"/>
    </row>
    <row r="248" spans="1:43" ht="15.75" thickBot="1" x14ac:dyDescent="0.3">
      <c r="A248" t="s">
        <v>287</v>
      </c>
      <c r="B248" t="s">
        <v>288</v>
      </c>
      <c r="C248" t="s">
        <v>1063</v>
      </c>
      <c r="D248" t="s">
        <v>289</v>
      </c>
      <c r="E248" s="30" t="s">
        <v>15</v>
      </c>
      <c r="F248" s="30" t="s">
        <v>28</v>
      </c>
      <c r="G248" s="30"/>
      <c r="H248" s="30" t="s">
        <v>730</v>
      </c>
      <c r="I248" s="31">
        <f t="shared" si="13"/>
        <v>28</v>
      </c>
      <c r="J248" s="147" t="s">
        <v>1867</v>
      </c>
      <c r="K248" s="31">
        <f t="shared" si="14"/>
        <v>0</v>
      </c>
      <c r="L248" s="32">
        <f t="shared" si="15"/>
        <v>1</v>
      </c>
      <c r="M248" s="70"/>
      <c r="N248" s="70"/>
      <c r="O248" s="70"/>
      <c r="P248" s="70"/>
      <c r="Q248" s="70"/>
      <c r="R248" s="70"/>
      <c r="S248" s="70"/>
      <c r="T248" s="70"/>
      <c r="U248" s="70"/>
      <c r="V248" s="70"/>
      <c r="W248" s="70"/>
      <c r="X248" s="70"/>
      <c r="Y248" s="70"/>
      <c r="Z248" s="70"/>
      <c r="AA248" s="70"/>
      <c r="AB248" s="70"/>
      <c r="AC248" s="70"/>
      <c r="AD248" s="70"/>
      <c r="AE248" s="70"/>
      <c r="AF248" s="70"/>
      <c r="AG248" s="70"/>
      <c r="AH248" s="70"/>
      <c r="AI248" s="70"/>
      <c r="AJ248" s="70"/>
      <c r="AK248" s="70"/>
      <c r="AL248" s="70"/>
      <c r="AM248" s="70"/>
      <c r="AN248" s="70"/>
      <c r="AO248" s="70"/>
      <c r="AP248" s="70"/>
      <c r="AQ248" s="70"/>
    </row>
    <row r="249" spans="1:43" ht="15.75" thickBot="1" x14ac:dyDescent="0.3">
      <c r="A249" t="s">
        <v>12</v>
      </c>
      <c r="B249" s="33" t="s">
        <v>13</v>
      </c>
      <c r="C249" t="s">
        <v>1063</v>
      </c>
      <c r="D249" t="s">
        <v>14</v>
      </c>
      <c r="E249" s="30" t="s">
        <v>15</v>
      </c>
      <c r="F249" s="30" t="s">
        <v>1056</v>
      </c>
      <c r="G249" s="30"/>
      <c r="H249" s="30" t="s">
        <v>731</v>
      </c>
      <c r="I249" s="31">
        <f t="shared" si="13"/>
        <v>28</v>
      </c>
      <c r="J249" s="87"/>
      <c r="K249" s="31">
        <f t="shared" si="14"/>
        <v>0</v>
      </c>
      <c r="L249" s="32">
        <f t="shared" si="15"/>
        <v>1</v>
      </c>
      <c r="M249" s="70"/>
      <c r="N249" s="70"/>
      <c r="O249" s="70"/>
      <c r="P249" s="70"/>
      <c r="Q249" s="70"/>
      <c r="R249" s="70"/>
      <c r="S249" s="70"/>
      <c r="T249" s="70"/>
      <c r="U249" s="70"/>
      <c r="V249" s="70"/>
      <c r="W249" s="70"/>
      <c r="X249" s="70"/>
      <c r="Y249" s="70"/>
      <c r="Z249" s="70"/>
      <c r="AA249" s="70"/>
      <c r="AB249" s="70"/>
      <c r="AC249" s="70"/>
      <c r="AD249" s="70"/>
      <c r="AE249" s="70"/>
      <c r="AF249" s="70"/>
      <c r="AG249" s="70"/>
      <c r="AH249" s="70"/>
      <c r="AI249" s="70"/>
      <c r="AJ249" s="70"/>
      <c r="AK249" s="70"/>
      <c r="AL249" s="70"/>
      <c r="AM249" s="70"/>
      <c r="AN249" s="70"/>
      <c r="AO249" s="70"/>
      <c r="AP249" s="70"/>
      <c r="AQ249" s="70"/>
    </row>
    <row r="250" spans="1:43" ht="15.75" thickBot="1" x14ac:dyDescent="0.3">
      <c r="A250" t="s">
        <v>375</v>
      </c>
      <c r="B250" t="s">
        <v>967</v>
      </c>
      <c r="C250" t="s">
        <v>1063</v>
      </c>
      <c r="D250" t="s">
        <v>968</v>
      </c>
      <c r="E250" s="30" t="s">
        <v>73</v>
      </c>
      <c r="F250" s="30" t="s">
        <v>28</v>
      </c>
      <c r="G250" s="30"/>
      <c r="H250" s="30" t="s">
        <v>1217</v>
      </c>
      <c r="I250" s="31">
        <f t="shared" si="13"/>
        <v>28</v>
      </c>
      <c r="J250" s="147" t="s">
        <v>1868</v>
      </c>
      <c r="K250" s="31">
        <f t="shared" si="14"/>
        <v>0</v>
      </c>
      <c r="L250" s="32">
        <f t="shared" si="15"/>
        <v>1</v>
      </c>
      <c r="M250" s="70"/>
      <c r="N250" s="70"/>
      <c r="O250" s="70"/>
      <c r="P250" s="70"/>
      <c r="Q250" s="70"/>
      <c r="R250" s="70"/>
      <c r="S250" s="70"/>
      <c r="T250" s="70"/>
      <c r="U250" s="70"/>
      <c r="V250" s="70"/>
      <c r="W250" s="70"/>
      <c r="X250" s="70"/>
      <c r="Y250" s="70"/>
      <c r="Z250" s="70"/>
      <c r="AA250" s="70"/>
      <c r="AB250" s="70"/>
      <c r="AC250" s="70"/>
      <c r="AD250" s="70"/>
      <c r="AE250" s="70"/>
      <c r="AF250" s="70"/>
      <c r="AG250" s="70"/>
      <c r="AH250" s="70"/>
      <c r="AI250" s="70"/>
      <c r="AJ250" s="70"/>
      <c r="AK250" s="70"/>
      <c r="AL250" s="70"/>
      <c r="AM250" s="70"/>
      <c r="AN250" s="70"/>
      <c r="AO250" s="70"/>
      <c r="AP250" s="70"/>
      <c r="AQ250" s="70"/>
    </row>
    <row r="251" spans="1:43" ht="15.75" thickBot="1" x14ac:dyDescent="0.3">
      <c r="A251" t="s">
        <v>969</v>
      </c>
      <c r="B251" t="s">
        <v>970</v>
      </c>
      <c r="C251" t="s">
        <v>1063</v>
      </c>
      <c r="D251" t="s">
        <v>968</v>
      </c>
      <c r="E251" s="30" t="s">
        <v>73</v>
      </c>
      <c r="F251" s="30" t="s">
        <v>28</v>
      </c>
      <c r="G251" s="30"/>
      <c r="H251" s="30" t="s">
        <v>1218</v>
      </c>
      <c r="I251" s="31">
        <f t="shared" si="13"/>
        <v>28</v>
      </c>
      <c r="J251" s="147" t="s">
        <v>1869</v>
      </c>
      <c r="K251" s="31">
        <f t="shared" si="14"/>
        <v>0</v>
      </c>
      <c r="L251" s="32">
        <f t="shared" si="15"/>
        <v>1</v>
      </c>
      <c r="M251" s="70"/>
      <c r="N251" s="70"/>
      <c r="O251" s="70"/>
      <c r="P251" s="70"/>
      <c r="Q251" s="70"/>
      <c r="R251" s="70"/>
      <c r="S251" s="70"/>
      <c r="T251" s="70"/>
      <c r="U251" s="70"/>
      <c r="V251" s="70"/>
      <c r="W251" s="70"/>
      <c r="X251" s="70"/>
      <c r="Y251" s="70"/>
      <c r="Z251" s="70"/>
      <c r="AA251" s="70"/>
      <c r="AB251" s="70"/>
      <c r="AC251" s="70"/>
      <c r="AD251" s="70"/>
      <c r="AE251" s="70"/>
      <c r="AF251" s="70"/>
      <c r="AG251" s="70"/>
      <c r="AH251" s="70"/>
      <c r="AI251" s="70"/>
      <c r="AJ251" s="70"/>
      <c r="AK251" s="70"/>
      <c r="AL251" s="70"/>
      <c r="AM251" s="70"/>
      <c r="AN251" s="70"/>
      <c r="AO251" s="70"/>
      <c r="AP251" s="70"/>
      <c r="AQ251" s="70"/>
    </row>
    <row r="252" spans="1:43" s="73" customFormat="1" ht="15.75" thickBot="1" x14ac:dyDescent="0.3">
      <c r="A252" s="73" t="s">
        <v>17</v>
      </c>
      <c r="B252" s="144" t="s">
        <v>18</v>
      </c>
      <c r="C252" s="73" t="s">
        <v>1063</v>
      </c>
      <c r="D252" s="73" t="s">
        <v>1089</v>
      </c>
      <c r="E252" s="85" t="s">
        <v>19</v>
      </c>
      <c r="F252" s="85" t="s">
        <v>1301</v>
      </c>
      <c r="G252" s="85"/>
      <c r="H252" s="85" t="s">
        <v>1378</v>
      </c>
      <c r="I252" s="142">
        <f t="shared" si="13"/>
        <v>28</v>
      </c>
      <c r="J252" s="147" t="s">
        <v>1870</v>
      </c>
      <c r="K252" s="142">
        <f t="shared" si="14"/>
        <v>0</v>
      </c>
      <c r="L252" s="143">
        <f t="shared" si="15"/>
        <v>1</v>
      </c>
      <c r="M252" s="70"/>
      <c r="N252" s="70"/>
      <c r="O252" s="70"/>
      <c r="P252" s="70"/>
      <c r="Q252" s="70"/>
      <c r="R252" s="70"/>
      <c r="S252" s="70"/>
      <c r="T252" s="70"/>
      <c r="U252" s="70"/>
      <c r="V252" s="70"/>
      <c r="W252" s="70"/>
      <c r="X252" s="70"/>
      <c r="Y252" s="70"/>
      <c r="Z252" s="70"/>
      <c r="AA252" s="70"/>
      <c r="AB252" s="70"/>
      <c r="AC252" s="70"/>
      <c r="AD252" s="70"/>
      <c r="AE252" s="70"/>
      <c r="AF252" s="70"/>
      <c r="AG252" s="70"/>
      <c r="AH252" s="70"/>
      <c r="AI252" s="70"/>
      <c r="AJ252" s="70"/>
      <c r="AK252" s="70"/>
      <c r="AL252" s="70"/>
      <c r="AM252" s="70"/>
      <c r="AN252" s="70"/>
      <c r="AO252" s="70"/>
      <c r="AP252" s="89"/>
      <c r="AQ252" s="89"/>
    </row>
    <row r="253" spans="1:43" s="73" customFormat="1" ht="15.75" thickBot="1" x14ac:dyDescent="0.3">
      <c r="A253" s="73" t="s">
        <v>17</v>
      </c>
      <c r="B253" s="144" t="s">
        <v>21</v>
      </c>
      <c r="C253" s="73" t="s">
        <v>1063</v>
      </c>
      <c r="D253" s="73" t="s">
        <v>22</v>
      </c>
      <c r="E253" s="85" t="s">
        <v>19</v>
      </c>
      <c r="F253" s="85" t="s">
        <v>1301</v>
      </c>
      <c r="G253" s="85"/>
      <c r="H253" s="85" t="s">
        <v>1379</v>
      </c>
      <c r="I253" s="142">
        <f t="shared" si="13"/>
        <v>28</v>
      </c>
      <c r="J253" s="147" t="s">
        <v>1871</v>
      </c>
      <c r="K253" s="142">
        <f t="shared" si="14"/>
        <v>0</v>
      </c>
      <c r="L253" s="143">
        <f t="shared" si="15"/>
        <v>1</v>
      </c>
      <c r="M253" s="70"/>
      <c r="N253" s="70"/>
      <c r="O253" s="70"/>
      <c r="P253" s="70"/>
      <c r="Q253" s="70"/>
      <c r="R253" s="70"/>
      <c r="S253" s="70"/>
      <c r="T253" s="70"/>
      <c r="U253" s="70"/>
      <c r="V253" s="70"/>
      <c r="W253" s="70"/>
      <c r="X253" s="70"/>
      <c r="Y253" s="70"/>
      <c r="Z253" s="70"/>
      <c r="AA253" s="70"/>
      <c r="AB253" s="70"/>
      <c r="AC253" s="70"/>
      <c r="AD253" s="70"/>
      <c r="AE253" s="70"/>
      <c r="AF253" s="70"/>
      <c r="AG253" s="70"/>
      <c r="AH253" s="70"/>
      <c r="AI253" s="70"/>
      <c r="AJ253" s="70"/>
      <c r="AK253" s="70"/>
      <c r="AL253" s="70"/>
      <c r="AM253" s="70"/>
      <c r="AN253" s="70"/>
      <c r="AO253" s="70"/>
      <c r="AP253" s="89"/>
      <c r="AQ253" s="89"/>
    </row>
    <row r="254" spans="1:43" ht="15.75" thickBot="1" x14ac:dyDescent="0.3">
      <c r="A254" t="s">
        <v>17</v>
      </c>
      <c r="B254" s="33" t="s">
        <v>23</v>
      </c>
      <c r="C254" t="s">
        <v>1063</v>
      </c>
      <c r="D254" t="s">
        <v>609</v>
      </c>
      <c r="E254" s="30" t="s">
        <v>15</v>
      </c>
      <c r="F254" s="30" t="s">
        <v>1056</v>
      </c>
      <c r="G254" s="30" t="s">
        <v>1254</v>
      </c>
      <c r="H254" s="30" t="s">
        <v>732</v>
      </c>
      <c r="I254" s="31">
        <f t="shared" si="13"/>
        <v>28</v>
      </c>
      <c r="J254" s="147" t="s">
        <v>1872</v>
      </c>
      <c r="K254" s="31">
        <f t="shared" si="14"/>
        <v>0</v>
      </c>
      <c r="L254" s="32">
        <f t="shared" si="15"/>
        <v>1</v>
      </c>
      <c r="M254" s="70"/>
      <c r="N254" s="70"/>
      <c r="O254" s="70"/>
      <c r="P254" s="70"/>
      <c r="Q254" s="70"/>
      <c r="R254" s="70"/>
      <c r="S254" s="70"/>
      <c r="T254" s="70"/>
      <c r="U254" s="70"/>
      <c r="V254" s="70"/>
      <c r="W254" s="70"/>
      <c r="X254" s="70"/>
      <c r="Y254" s="70"/>
      <c r="Z254" s="70"/>
      <c r="AA254" s="70"/>
      <c r="AB254" s="70"/>
      <c r="AC254" s="70"/>
      <c r="AD254" s="70"/>
      <c r="AE254" s="70"/>
      <c r="AF254" s="70"/>
      <c r="AG254" s="70"/>
      <c r="AH254" s="70"/>
      <c r="AI254" s="70"/>
      <c r="AJ254" s="70"/>
      <c r="AK254" s="70"/>
      <c r="AL254" s="70"/>
      <c r="AM254" s="70"/>
      <c r="AN254" s="70"/>
      <c r="AO254" s="70"/>
      <c r="AP254" s="70"/>
      <c r="AQ254" s="70"/>
    </row>
    <row r="255" spans="1:43" ht="13.5" customHeight="1" thickBot="1" x14ac:dyDescent="0.3">
      <c r="A255" t="s">
        <v>17</v>
      </c>
      <c r="B255" s="33" t="s">
        <v>24</v>
      </c>
      <c r="C255" t="s">
        <v>1063</v>
      </c>
      <c r="D255" t="s">
        <v>25</v>
      </c>
      <c r="E255" s="30" t="s">
        <v>15</v>
      </c>
      <c r="F255" s="30" t="s">
        <v>20</v>
      </c>
      <c r="G255" s="30"/>
      <c r="H255" s="30" t="s">
        <v>733</v>
      </c>
      <c r="I255" s="31">
        <f t="shared" si="13"/>
        <v>28</v>
      </c>
      <c r="J255" s="87"/>
      <c r="K255" s="31">
        <f t="shared" si="14"/>
        <v>0</v>
      </c>
      <c r="L255" s="32">
        <f t="shared" si="15"/>
        <v>1</v>
      </c>
      <c r="M255" s="70"/>
      <c r="N255" s="70"/>
      <c r="O255" s="70"/>
      <c r="P255" s="70"/>
      <c r="Q255" s="70"/>
      <c r="R255" s="70"/>
      <c r="S255" s="70"/>
      <c r="T255" s="70"/>
      <c r="U255" s="70"/>
      <c r="V255" s="70"/>
      <c r="W255" s="70"/>
      <c r="X255" s="70"/>
      <c r="Y255" s="70"/>
      <c r="Z255" s="70"/>
      <c r="AA255" s="70"/>
      <c r="AB255" s="70"/>
      <c r="AC255" s="70"/>
      <c r="AD255" s="70"/>
      <c r="AE255" s="70"/>
      <c r="AF255" s="70"/>
      <c r="AG255" s="70"/>
      <c r="AH255" s="70"/>
      <c r="AI255" s="70"/>
      <c r="AJ255" s="70"/>
      <c r="AK255" s="70"/>
      <c r="AL255" s="70"/>
      <c r="AM255" s="70"/>
      <c r="AN255" s="70"/>
      <c r="AO255" s="70"/>
      <c r="AP255" s="70"/>
      <c r="AQ255" s="70"/>
    </row>
    <row r="256" spans="1:43" ht="18" customHeight="1" thickBot="1" x14ac:dyDescent="0.3">
      <c r="A256" s="69"/>
      <c r="B256" t="s">
        <v>1231</v>
      </c>
      <c r="C256" t="s">
        <v>1062</v>
      </c>
      <c r="D256" t="s">
        <v>1232</v>
      </c>
      <c r="E256" t="s">
        <v>19</v>
      </c>
      <c r="F256" t="s">
        <v>28</v>
      </c>
      <c r="G256"/>
      <c r="H256" s="30" t="s">
        <v>1272</v>
      </c>
      <c r="I256" s="31">
        <f t="shared" si="13"/>
        <v>26</v>
      </c>
      <c r="J256" s="147" t="s">
        <v>1873</v>
      </c>
      <c r="K256" s="31">
        <f t="shared" si="14"/>
        <v>2</v>
      </c>
      <c r="L256" s="32">
        <f t="shared" si="15"/>
        <v>0.9285714285714286</v>
      </c>
      <c r="M256" s="70"/>
      <c r="N256" s="70"/>
      <c r="O256" s="70"/>
      <c r="P256" s="70"/>
      <c r="Q256" s="70"/>
      <c r="R256" s="70" t="s">
        <v>2213</v>
      </c>
      <c r="S256" s="70" t="s">
        <v>2213</v>
      </c>
      <c r="T256" s="70"/>
      <c r="U256" s="70"/>
      <c r="V256" s="70"/>
      <c r="W256" s="70"/>
      <c r="X256" s="70"/>
      <c r="Y256" s="70"/>
      <c r="Z256" s="70"/>
      <c r="AA256" s="70"/>
      <c r="AB256" s="70"/>
      <c r="AC256" s="70"/>
      <c r="AD256" s="70"/>
      <c r="AE256" s="70"/>
      <c r="AF256" s="70"/>
      <c r="AG256" s="70"/>
      <c r="AH256" s="70"/>
      <c r="AI256" s="70"/>
      <c r="AJ256" s="70"/>
      <c r="AK256" s="70"/>
      <c r="AL256" s="70"/>
      <c r="AM256" s="70"/>
      <c r="AN256" s="70"/>
      <c r="AO256" s="70"/>
      <c r="AP256" s="70"/>
      <c r="AQ256" s="70"/>
    </row>
    <row r="257" spans="1:43" ht="15" customHeight="1" thickBot="1" x14ac:dyDescent="0.3">
      <c r="A257" s="69"/>
      <c r="B257" t="s">
        <v>1316</v>
      </c>
      <c r="C257" t="s">
        <v>1062</v>
      </c>
      <c r="D257" t="s">
        <v>1319</v>
      </c>
      <c r="E257" s="30" t="s">
        <v>15</v>
      </c>
      <c r="F257" s="30" t="s">
        <v>28</v>
      </c>
      <c r="G257"/>
      <c r="H257" s="30" t="s">
        <v>1331</v>
      </c>
      <c r="I257" s="31">
        <f t="shared" si="13"/>
        <v>23</v>
      </c>
      <c r="J257" s="147" t="s">
        <v>1874</v>
      </c>
      <c r="K257" s="31">
        <f t="shared" si="14"/>
        <v>5</v>
      </c>
      <c r="L257" s="32">
        <f t="shared" si="15"/>
        <v>0.8214285714285714</v>
      </c>
      <c r="M257" s="70"/>
      <c r="N257" s="70"/>
      <c r="O257" s="70"/>
      <c r="P257" s="70" t="s">
        <v>2213</v>
      </c>
      <c r="Q257" s="70" t="s">
        <v>2213</v>
      </c>
      <c r="R257" s="70" t="s">
        <v>2213</v>
      </c>
      <c r="S257" s="70" t="s">
        <v>2213</v>
      </c>
      <c r="T257" s="70" t="s">
        <v>2213</v>
      </c>
      <c r="U257" s="70"/>
      <c r="V257" s="70"/>
      <c r="W257" s="70"/>
      <c r="X257" s="70"/>
      <c r="Y257" s="70"/>
      <c r="Z257" s="70"/>
      <c r="AA257" s="70"/>
      <c r="AB257" s="70"/>
      <c r="AC257" s="70"/>
      <c r="AD257" s="70"/>
      <c r="AE257" s="70"/>
      <c r="AF257" s="70"/>
      <c r="AG257" s="70"/>
      <c r="AH257" s="70"/>
      <c r="AI257" s="70"/>
      <c r="AJ257" s="70"/>
      <c r="AK257" s="70"/>
      <c r="AL257" s="70"/>
      <c r="AM257" s="70"/>
      <c r="AN257" s="70"/>
      <c r="AO257" s="70"/>
      <c r="AP257" s="70"/>
      <c r="AQ257" s="70"/>
    </row>
    <row r="258" spans="1:43" s="73" customFormat="1" ht="15.75" thickBot="1" x14ac:dyDescent="0.3">
      <c r="A258" s="73" t="s">
        <v>290</v>
      </c>
      <c r="B258" s="73" t="s">
        <v>971</v>
      </c>
      <c r="C258" s="73" t="s">
        <v>1062</v>
      </c>
      <c r="D258" s="73" t="s">
        <v>291</v>
      </c>
      <c r="E258" s="85" t="s">
        <v>73</v>
      </c>
      <c r="F258" s="85" t="s">
        <v>1301</v>
      </c>
      <c r="G258" s="85"/>
      <c r="H258" s="85" t="s">
        <v>734</v>
      </c>
      <c r="I258" s="142">
        <f t="shared" si="13"/>
        <v>28</v>
      </c>
      <c r="J258" s="147" t="s">
        <v>1875</v>
      </c>
      <c r="K258" s="142">
        <f t="shared" si="14"/>
        <v>0</v>
      </c>
      <c r="L258" s="143">
        <f t="shared" si="15"/>
        <v>1</v>
      </c>
      <c r="M258" s="70"/>
      <c r="N258" s="70"/>
      <c r="O258" s="70"/>
      <c r="P258" s="70"/>
      <c r="Q258" s="70"/>
      <c r="R258" s="70"/>
      <c r="S258" s="70"/>
      <c r="T258" s="70"/>
      <c r="U258" s="70"/>
      <c r="V258" s="70"/>
      <c r="W258" s="70"/>
      <c r="X258" s="70"/>
      <c r="Y258" s="70"/>
      <c r="Z258" s="70"/>
      <c r="AA258" s="70"/>
      <c r="AB258" s="70"/>
      <c r="AC258" s="70"/>
      <c r="AD258" s="70"/>
      <c r="AE258" s="70"/>
      <c r="AF258" s="70"/>
      <c r="AG258" s="70"/>
      <c r="AH258" s="70"/>
      <c r="AI258" s="70"/>
      <c r="AJ258" s="70"/>
      <c r="AK258" s="70"/>
      <c r="AL258" s="70"/>
      <c r="AM258" s="70"/>
      <c r="AN258" s="70"/>
      <c r="AO258" s="70"/>
      <c r="AP258" s="89"/>
      <c r="AQ258" s="89"/>
    </row>
    <row r="259" spans="1:43" ht="15.75" thickBot="1" x14ac:dyDescent="0.3">
      <c r="A259" t="s">
        <v>267</v>
      </c>
      <c r="B259" t="s">
        <v>292</v>
      </c>
      <c r="C259" t="s">
        <v>1062</v>
      </c>
      <c r="D259" t="s">
        <v>293</v>
      </c>
      <c r="E259" s="30" t="s">
        <v>73</v>
      </c>
      <c r="F259" s="30" t="s">
        <v>28</v>
      </c>
      <c r="G259" s="30"/>
      <c r="H259" s="30" t="s">
        <v>1060</v>
      </c>
      <c r="I259" s="31">
        <f t="shared" si="13"/>
        <v>27</v>
      </c>
      <c r="J259" s="147" t="s">
        <v>1876</v>
      </c>
      <c r="K259" s="31">
        <f t="shared" si="14"/>
        <v>1</v>
      </c>
      <c r="L259" s="32">
        <f t="shared" si="15"/>
        <v>0.9642857142857143</v>
      </c>
      <c r="M259" s="70" t="s">
        <v>2213</v>
      </c>
      <c r="N259" s="70"/>
      <c r="O259" s="70"/>
      <c r="P259" s="70"/>
      <c r="Q259" s="70"/>
      <c r="R259" s="70"/>
      <c r="S259" s="70"/>
      <c r="T259" s="70"/>
      <c r="U259" s="70"/>
      <c r="V259" s="70"/>
      <c r="W259" s="70"/>
      <c r="X259" s="70"/>
      <c r="Y259" s="70"/>
      <c r="Z259" s="70"/>
      <c r="AA259" s="70"/>
      <c r="AB259" s="70"/>
      <c r="AC259" s="70"/>
      <c r="AD259" s="70"/>
      <c r="AE259" s="70"/>
      <c r="AF259" s="70"/>
      <c r="AG259" s="70"/>
      <c r="AH259" s="70"/>
      <c r="AI259" s="70"/>
      <c r="AJ259" s="70"/>
      <c r="AK259" s="70"/>
      <c r="AL259" s="70"/>
      <c r="AM259" s="70"/>
      <c r="AN259" s="70"/>
      <c r="AO259" s="70"/>
      <c r="AP259" s="70"/>
      <c r="AQ259" s="70"/>
    </row>
    <row r="260" spans="1:43" ht="15.75" thickBot="1" x14ac:dyDescent="0.3">
      <c r="A260" t="s">
        <v>294</v>
      </c>
      <c r="B260" t="s">
        <v>972</v>
      </c>
      <c r="C260" t="s">
        <v>1062</v>
      </c>
      <c r="D260" t="s">
        <v>295</v>
      </c>
      <c r="E260" s="30" t="s">
        <v>19</v>
      </c>
      <c r="F260" s="30" t="s">
        <v>28</v>
      </c>
      <c r="G260" s="30"/>
      <c r="H260" s="30" t="s">
        <v>735</v>
      </c>
      <c r="I260" s="31">
        <f t="shared" si="13"/>
        <v>28</v>
      </c>
      <c r="J260" s="147" t="s">
        <v>1877</v>
      </c>
      <c r="K260" s="31">
        <f t="shared" si="14"/>
        <v>0</v>
      </c>
      <c r="L260" s="32">
        <f t="shared" si="15"/>
        <v>1</v>
      </c>
      <c r="M260" s="70"/>
      <c r="N260" s="70"/>
      <c r="O260" s="70"/>
      <c r="P260" s="70"/>
      <c r="Q260" s="70"/>
      <c r="R260" s="70"/>
      <c r="S260" s="70"/>
      <c r="T260" s="70"/>
      <c r="U260" s="70"/>
      <c r="V260" s="70"/>
      <c r="W260" s="70"/>
      <c r="X260" s="70"/>
      <c r="Y260" s="70"/>
      <c r="Z260" s="70"/>
      <c r="AA260" s="70"/>
      <c r="AB260" s="70"/>
      <c r="AC260" s="70"/>
      <c r="AD260" s="70"/>
      <c r="AE260" s="70"/>
      <c r="AF260" s="70"/>
      <c r="AG260" s="70"/>
      <c r="AH260" s="70"/>
      <c r="AI260" s="70"/>
      <c r="AJ260" s="70"/>
      <c r="AK260" s="70"/>
      <c r="AL260" s="70"/>
      <c r="AM260" s="70"/>
      <c r="AN260" s="70"/>
      <c r="AO260" s="70"/>
      <c r="AP260" s="70"/>
      <c r="AQ260" s="70"/>
    </row>
    <row r="261" spans="1:43" ht="15.75" thickBot="1" x14ac:dyDescent="0.3">
      <c r="A261" t="s">
        <v>290</v>
      </c>
      <c r="B261" t="s">
        <v>296</v>
      </c>
      <c r="C261" t="s">
        <v>1062</v>
      </c>
      <c r="D261" t="s">
        <v>297</v>
      </c>
      <c r="E261" s="30" t="s">
        <v>19</v>
      </c>
      <c r="F261" s="30" t="s">
        <v>28</v>
      </c>
      <c r="G261" s="30"/>
      <c r="H261" s="30" t="s">
        <v>736</v>
      </c>
      <c r="I261" s="31">
        <f t="shared" si="13"/>
        <v>27</v>
      </c>
      <c r="J261" s="147" t="s">
        <v>1864</v>
      </c>
      <c r="K261" s="31">
        <f t="shared" si="14"/>
        <v>1</v>
      </c>
      <c r="L261" s="32">
        <f t="shared" si="15"/>
        <v>0.9642857142857143</v>
      </c>
      <c r="M261" s="70" t="s">
        <v>2213</v>
      </c>
      <c r="N261" s="70"/>
      <c r="O261" s="70"/>
      <c r="P261" s="70"/>
      <c r="Q261" s="70"/>
      <c r="R261" s="70"/>
      <c r="S261" s="70"/>
      <c r="T261" s="70"/>
      <c r="U261" s="70"/>
      <c r="V261" s="70"/>
      <c r="W261" s="70"/>
      <c r="X261" s="70"/>
      <c r="Y261" s="70"/>
      <c r="Z261" s="70"/>
      <c r="AA261" s="70"/>
      <c r="AB261" s="70"/>
      <c r="AC261" s="70"/>
      <c r="AD261" s="70"/>
      <c r="AE261" s="70"/>
      <c r="AF261" s="70"/>
      <c r="AG261" s="70"/>
      <c r="AH261" s="70"/>
      <c r="AI261" s="70"/>
      <c r="AJ261" s="70"/>
      <c r="AK261" s="70"/>
      <c r="AL261" s="70"/>
      <c r="AM261" s="70"/>
      <c r="AN261" s="70"/>
      <c r="AO261" s="70"/>
      <c r="AP261" s="70"/>
      <c r="AQ261" s="70"/>
    </row>
    <row r="262" spans="1:43" ht="15.75" thickBot="1" x14ac:dyDescent="0.3">
      <c r="A262" t="s">
        <v>294</v>
      </c>
      <c r="B262" t="s">
        <v>973</v>
      </c>
      <c r="C262" t="s">
        <v>1062</v>
      </c>
      <c r="D262" t="s">
        <v>298</v>
      </c>
      <c r="E262" s="30" t="s">
        <v>19</v>
      </c>
      <c r="F262" s="30" t="s">
        <v>28</v>
      </c>
      <c r="G262" s="30"/>
      <c r="H262" s="30" t="s">
        <v>737</v>
      </c>
      <c r="I262" s="31">
        <f t="shared" si="13"/>
        <v>28</v>
      </c>
      <c r="J262" s="147" t="s">
        <v>1878</v>
      </c>
      <c r="K262" s="31">
        <f t="shared" si="14"/>
        <v>0</v>
      </c>
      <c r="L262" s="32">
        <f t="shared" si="15"/>
        <v>1</v>
      </c>
      <c r="M262" s="70"/>
      <c r="N262" s="70"/>
      <c r="O262" s="70"/>
      <c r="P262" s="70"/>
      <c r="Q262" s="70"/>
      <c r="R262" s="70"/>
      <c r="S262" s="70"/>
      <c r="T262" s="70"/>
      <c r="U262" s="70"/>
      <c r="V262" s="70"/>
      <c r="W262" s="70"/>
      <c r="X262" s="70"/>
      <c r="Y262" s="70"/>
      <c r="Z262" s="70"/>
      <c r="AA262" s="70"/>
      <c r="AB262" s="70"/>
      <c r="AC262" s="70"/>
      <c r="AD262" s="70"/>
      <c r="AE262" s="70"/>
      <c r="AF262" s="70"/>
      <c r="AG262" s="70"/>
      <c r="AH262" s="70"/>
      <c r="AI262" s="70"/>
      <c r="AJ262" s="70"/>
      <c r="AK262" s="70"/>
      <c r="AL262" s="70"/>
      <c r="AM262" s="70"/>
      <c r="AN262" s="70"/>
      <c r="AO262" s="70"/>
      <c r="AP262" s="70"/>
      <c r="AQ262" s="70"/>
    </row>
    <row r="263" spans="1:43" ht="15.75" thickBot="1" x14ac:dyDescent="0.3">
      <c r="A263" t="s">
        <v>294</v>
      </c>
      <c r="B263" t="s">
        <v>299</v>
      </c>
      <c r="C263" t="s">
        <v>1062</v>
      </c>
      <c r="D263" t="s">
        <v>300</v>
      </c>
      <c r="E263" s="30" t="s">
        <v>15</v>
      </c>
      <c r="F263" s="30" t="s">
        <v>1056</v>
      </c>
      <c r="G263" s="30"/>
      <c r="H263" s="30" t="s">
        <v>738</v>
      </c>
      <c r="I263" s="31">
        <f t="shared" si="13"/>
        <v>28</v>
      </c>
      <c r="J263" s="147" t="s">
        <v>1879</v>
      </c>
      <c r="K263" s="31">
        <f t="shared" si="14"/>
        <v>0</v>
      </c>
      <c r="L263" s="32">
        <f t="shared" si="15"/>
        <v>1</v>
      </c>
      <c r="M263" s="70"/>
      <c r="N263" s="70"/>
      <c r="O263" s="70"/>
      <c r="P263" s="70"/>
      <c r="Q263" s="70"/>
      <c r="R263" s="70"/>
      <c r="S263" s="70"/>
      <c r="T263" s="70"/>
      <c r="U263" s="70"/>
      <c r="V263" s="70"/>
      <c r="W263" s="70"/>
      <c r="X263" s="70"/>
      <c r="Y263" s="70"/>
      <c r="Z263" s="70"/>
      <c r="AA263" s="70"/>
      <c r="AB263" s="70"/>
      <c r="AC263" s="70"/>
      <c r="AD263" s="70"/>
      <c r="AE263" s="70"/>
      <c r="AF263" s="70"/>
      <c r="AG263" s="70"/>
      <c r="AH263" s="70"/>
      <c r="AI263" s="70"/>
      <c r="AJ263" s="70"/>
      <c r="AK263" s="70"/>
      <c r="AL263" s="70"/>
      <c r="AM263" s="70"/>
      <c r="AN263" s="70"/>
      <c r="AO263" s="70"/>
      <c r="AP263" s="70"/>
      <c r="AQ263" s="70"/>
    </row>
    <row r="264" spans="1:43" s="73" customFormat="1" ht="15.75" thickBot="1" x14ac:dyDescent="0.3">
      <c r="A264" s="73" t="s">
        <v>290</v>
      </c>
      <c r="B264" s="73" t="s">
        <v>1245</v>
      </c>
      <c r="C264" s="73" t="s">
        <v>1062</v>
      </c>
      <c r="D264" s="73" t="s">
        <v>1246</v>
      </c>
      <c r="E264" s="85" t="s">
        <v>19</v>
      </c>
      <c r="F264" s="85" t="s">
        <v>1301</v>
      </c>
      <c r="G264" s="85"/>
      <c r="H264" s="85" t="s">
        <v>1247</v>
      </c>
      <c r="I264" s="142">
        <f t="shared" si="13"/>
        <v>28</v>
      </c>
      <c r="J264" s="147" t="s">
        <v>1880</v>
      </c>
      <c r="K264" s="142">
        <f t="shared" si="14"/>
        <v>0</v>
      </c>
      <c r="L264" s="143">
        <f t="shared" si="15"/>
        <v>1</v>
      </c>
      <c r="M264" s="70"/>
      <c r="N264" s="70"/>
      <c r="O264" s="70"/>
      <c r="P264" s="70"/>
      <c r="Q264" s="70"/>
      <c r="R264" s="70"/>
      <c r="S264" s="70"/>
      <c r="T264" s="70"/>
      <c r="U264" s="70"/>
      <c r="V264" s="70"/>
      <c r="W264" s="70"/>
      <c r="X264" s="70"/>
      <c r="Y264" s="70"/>
      <c r="Z264" s="70"/>
      <c r="AA264" s="70"/>
      <c r="AB264" s="70"/>
      <c r="AC264" s="70"/>
      <c r="AD264" s="70"/>
      <c r="AE264" s="70"/>
      <c r="AF264" s="70"/>
      <c r="AG264" s="70"/>
      <c r="AH264" s="70"/>
      <c r="AI264" s="70"/>
      <c r="AJ264" s="70"/>
      <c r="AK264" s="70"/>
      <c r="AL264" s="70"/>
      <c r="AM264" s="70"/>
      <c r="AN264" s="70"/>
      <c r="AO264" s="70"/>
      <c r="AP264" s="89"/>
      <c r="AQ264" s="89"/>
    </row>
    <row r="265" spans="1:43" ht="15.75" thickBot="1" x14ac:dyDescent="0.3">
      <c r="A265" t="s">
        <v>290</v>
      </c>
      <c r="B265" t="s">
        <v>1284</v>
      </c>
      <c r="C265" t="s">
        <v>1062</v>
      </c>
      <c r="D265" t="s">
        <v>1285</v>
      </c>
      <c r="E265" s="30" t="s">
        <v>19</v>
      </c>
      <c r="F265" s="30" t="s">
        <v>1056</v>
      </c>
      <c r="G265" s="30"/>
      <c r="H265" s="30" t="s">
        <v>1360</v>
      </c>
      <c r="I265" s="31">
        <f t="shared" si="13"/>
        <v>28</v>
      </c>
      <c r="J265" s="147" t="s">
        <v>1881</v>
      </c>
      <c r="K265" s="31">
        <f t="shared" si="14"/>
        <v>0</v>
      </c>
      <c r="L265" s="32">
        <f t="shared" si="15"/>
        <v>1</v>
      </c>
      <c r="M265" s="70"/>
      <c r="N265" s="70"/>
      <c r="O265" s="70"/>
      <c r="P265" s="70"/>
      <c r="Q265" s="70"/>
      <c r="R265" s="70"/>
      <c r="S265" s="70"/>
      <c r="T265" s="70"/>
      <c r="U265" s="70"/>
      <c r="V265" s="70"/>
      <c r="W265" s="70"/>
      <c r="X265" s="70"/>
      <c r="Y265" s="70"/>
      <c r="Z265" s="70"/>
      <c r="AA265" s="70"/>
      <c r="AB265" s="70"/>
      <c r="AC265" s="70"/>
      <c r="AD265" s="70"/>
      <c r="AE265" s="70"/>
      <c r="AF265" s="70"/>
      <c r="AG265" s="70"/>
      <c r="AH265" s="70"/>
      <c r="AI265" s="70"/>
      <c r="AJ265" s="70"/>
      <c r="AK265" s="70"/>
      <c r="AL265" s="70"/>
      <c r="AM265" s="70"/>
      <c r="AN265" s="70"/>
      <c r="AO265" s="70"/>
      <c r="AP265" s="70"/>
      <c r="AQ265" s="70"/>
    </row>
    <row r="266" spans="1:43" ht="15.75" thickBot="1" x14ac:dyDescent="0.3">
      <c r="A266" t="s">
        <v>301</v>
      </c>
      <c r="B266" t="s">
        <v>302</v>
      </c>
      <c r="C266" t="s">
        <v>1062</v>
      </c>
      <c r="D266" t="s">
        <v>303</v>
      </c>
      <c r="E266" s="30" t="s">
        <v>73</v>
      </c>
      <c r="F266" s="30" t="s">
        <v>28</v>
      </c>
      <c r="G266" s="30"/>
      <c r="H266" s="30" t="s">
        <v>739</v>
      </c>
      <c r="I266" s="31">
        <f t="shared" si="13"/>
        <v>28</v>
      </c>
      <c r="J266" s="147" t="s">
        <v>1882</v>
      </c>
      <c r="K266" s="31">
        <f t="shared" si="14"/>
        <v>0</v>
      </c>
      <c r="L266" s="32">
        <f t="shared" si="15"/>
        <v>1</v>
      </c>
      <c r="M266" s="70"/>
      <c r="N266" s="70"/>
      <c r="O266" s="70"/>
      <c r="P266" s="70"/>
      <c r="Q266" s="70"/>
      <c r="R266" s="70"/>
      <c r="S266" s="70"/>
      <c r="T266" s="70"/>
      <c r="U266" s="70"/>
      <c r="V266" s="70"/>
      <c r="W266" s="70"/>
      <c r="X266" s="70"/>
      <c r="Y266" s="70"/>
      <c r="Z266" s="70"/>
      <c r="AA266" s="70"/>
      <c r="AB266" s="70"/>
      <c r="AC266" s="70"/>
      <c r="AD266" s="70"/>
      <c r="AE266" s="70"/>
      <c r="AF266" s="70"/>
      <c r="AG266" s="70"/>
      <c r="AH266" s="70"/>
      <c r="AI266" s="70"/>
      <c r="AJ266" s="70"/>
      <c r="AK266" s="70"/>
      <c r="AL266" s="70"/>
      <c r="AM266" s="70"/>
      <c r="AN266" s="70"/>
      <c r="AO266" s="70"/>
      <c r="AP266" s="70"/>
      <c r="AQ266" s="70"/>
    </row>
    <row r="267" spans="1:43" ht="15.75" thickBot="1" x14ac:dyDescent="0.3">
      <c r="A267" t="s">
        <v>301</v>
      </c>
      <c r="B267" t="s">
        <v>304</v>
      </c>
      <c r="C267" t="s">
        <v>1062</v>
      </c>
      <c r="D267" t="s">
        <v>305</v>
      </c>
      <c r="E267" s="30" t="s">
        <v>19</v>
      </c>
      <c r="F267" s="30" t="s">
        <v>28</v>
      </c>
      <c r="G267" s="30"/>
      <c r="H267" s="30" t="s">
        <v>740</v>
      </c>
      <c r="I267" s="31">
        <f t="shared" si="13"/>
        <v>28</v>
      </c>
      <c r="J267" s="150" t="s">
        <v>1883</v>
      </c>
      <c r="K267" s="31">
        <f t="shared" si="14"/>
        <v>0</v>
      </c>
      <c r="L267" s="32">
        <f t="shared" si="15"/>
        <v>1</v>
      </c>
      <c r="M267" s="70"/>
      <c r="N267" s="70"/>
      <c r="O267" s="70"/>
      <c r="P267" s="70"/>
      <c r="Q267" s="70"/>
      <c r="R267" s="70"/>
      <c r="S267" s="70"/>
      <c r="T267" s="70"/>
      <c r="U267" s="70"/>
      <c r="V267" s="70"/>
      <c r="W267" s="70"/>
      <c r="X267" s="70"/>
      <c r="Y267" s="70"/>
      <c r="Z267" s="70"/>
      <c r="AA267" s="70"/>
      <c r="AB267" s="70"/>
      <c r="AC267" s="70"/>
      <c r="AD267" s="70"/>
      <c r="AE267" s="70"/>
      <c r="AF267" s="70"/>
      <c r="AG267" s="70"/>
      <c r="AH267" s="70"/>
      <c r="AI267" s="70"/>
      <c r="AJ267" s="70"/>
      <c r="AK267" s="70"/>
      <c r="AL267" s="70"/>
      <c r="AM267" s="70"/>
      <c r="AN267" s="70"/>
      <c r="AO267" s="70"/>
      <c r="AP267" s="70"/>
      <c r="AQ267" s="70"/>
    </row>
    <row r="268" spans="1:43" ht="15.75" thickBot="1" x14ac:dyDescent="0.3">
      <c r="A268" t="s">
        <v>301</v>
      </c>
      <c r="B268" t="s">
        <v>306</v>
      </c>
      <c r="C268" t="s">
        <v>1062</v>
      </c>
      <c r="D268" t="s">
        <v>307</v>
      </c>
      <c r="E268" s="30" t="s">
        <v>19</v>
      </c>
      <c r="F268" s="30" t="s">
        <v>1056</v>
      </c>
      <c r="G268" s="30"/>
      <c r="H268" s="30" t="s">
        <v>1498</v>
      </c>
      <c r="I268" s="31">
        <f t="shared" si="13"/>
        <v>28</v>
      </c>
      <c r="J268" s="147" t="s">
        <v>1884</v>
      </c>
      <c r="K268" s="31">
        <f t="shared" si="14"/>
        <v>0</v>
      </c>
      <c r="L268" s="32">
        <f t="shared" si="15"/>
        <v>1</v>
      </c>
      <c r="M268" s="70"/>
      <c r="N268" s="70"/>
      <c r="O268" s="70"/>
      <c r="P268" s="70"/>
      <c r="Q268" s="70"/>
      <c r="R268" s="70"/>
      <c r="S268" s="70"/>
      <c r="T268" s="70"/>
      <c r="U268" s="70"/>
      <c r="V268" s="70"/>
      <c r="W268" s="70"/>
      <c r="X268" s="70"/>
      <c r="Y268" s="70"/>
      <c r="Z268" s="70"/>
      <c r="AA268" s="70"/>
      <c r="AB268" s="70"/>
      <c r="AC268" s="70"/>
      <c r="AD268" s="70"/>
      <c r="AE268" s="70"/>
      <c r="AF268" s="70"/>
      <c r="AG268" s="70"/>
      <c r="AH268" s="70"/>
      <c r="AI268" s="70"/>
      <c r="AJ268" s="70"/>
      <c r="AK268" s="70"/>
      <c r="AL268" s="70"/>
      <c r="AM268" s="70"/>
      <c r="AN268" s="70"/>
      <c r="AO268" s="70"/>
      <c r="AP268" s="70"/>
      <c r="AQ268" s="70"/>
    </row>
    <row r="269" spans="1:43" s="73" customFormat="1" ht="15.75" thickBot="1" x14ac:dyDescent="0.3">
      <c r="A269" s="73" t="s">
        <v>301</v>
      </c>
      <c r="B269" s="73" t="s">
        <v>308</v>
      </c>
      <c r="C269" s="73" t="s">
        <v>1062</v>
      </c>
      <c r="D269" s="73" t="s">
        <v>309</v>
      </c>
      <c r="E269" s="85" t="s">
        <v>19</v>
      </c>
      <c r="F269" s="85" t="s">
        <v>1301</v>
      </c>
      <c r="G269" s="85"/>
      <c r="H269" s="85" t="s">
        <v>1499</v>
      </c>
      <c r="I269" s="142">
        <f t="shared" si="13"/>
        <v>28</v>
      </c>
      <c r="J269" s="147" t="s">
        <v>1885</v>
      </c>
      <c r="K269" s="142">
        <f t="shared" si="14"/>
        <v>0</v>
      </c>
      <c r="L269" s="143">
        <f t="shared" si="15"/>
        <v>1</v>
      </c>
      <c r="M269" s="70"/>
      <c r="N269" s="70"/>
      <c r="O269" s="70"/>
      <c r="P269" s="70"/>
      <c r="Q269" s="70"/>
      <c r="R269" s="70"/>
      <c r="S269" s="70"/>
      <c r="T269" s="70"/>
      <c r="U269" s="70"/>
      <c r="V269" s="70"/>
      <c r="W269" s="70"/>
      <c r="X269" s="70"/>
      <c r="Y269" s="70"/>
      <c r="Z269" s="70"/>
      <c r="AA269" s="70"/>
      <c r="AB269" s="70"/>
      <c r="AC269" s="70"/>
      <c r="AD269" s="70"/>
      <c r="AE269" s="70"/>
      <c r="AF269" s="70"/>
      <c r="AG269" s="70"/>
      <c r="AH269" s="70"/>
      <c r="AI269" s="70"/>
      <c r="AJ269" s="70"/>
      <c r="AK269" s="70"/>
      <c r="AL269" s="70"/>
      <c r="AM269" s="70"/>
      <c r="AN269" s="70"/>
      <c r="AO269" s="70"/>
      <c r="AP269" s="89"/>
      <c r="AQ269" s="89"/>
    </row>
    <row r="270" spans="1:43" ht="15.75" thickBot="1" x14ac:dyDescent="0.3">
      <c r="A270" t="s">
        <v>301</v>
      </c>
      <c r="B270" t="s">
        <v>1493</v>
      </c>
      <c r="C270" t="s">
        <v>1062</v>
      </c>
      <c r="D270" t="s">
        <v>1492</v>
      </c>
      <c r="E270" s="30" t="s">
        <v>73</v>
      </c>
      <c r="F270" s="30" t="s">
        <v>28</v>
      </c>
      <c r="G270" s="30"/>
      <c r="H270" s="30" t="s">
        <v>1494</v>
      </c>
      <c r="I270" s="142">
        <f t="shared" si="13"/>
        <v>28</v>
      </c>
      <c r="J270" s="147" t="s">
        <v>1886</v>
      </c>
      <c r="K270" s="142">
        <f t="shared" si="14"/>
        <v>0</v>
      </c>
      <c r="L270" s="143">
        <f t="shared" si="15"/>
        <v>1</v>
      </c>
      <c r="M270" s="70"/>
      <c r="N270" s="70"/>
      <c r="O270" s="70"/>
      <c r="P270" s="70"/>
      <c r="Q270" s="70"/>
      <c r="R270" s="70"/>
      <c r="S270" s="70"/>
      <c r="T270" s="70"/>
      <c r="U270" s="70"/>
      <c r="V270" s="70"/>
      <c r="W270" s="70"/>
      <c r="X270" s="70"/>
      <c r="Y270" s="70"/>
      <c r="Z270" s="70"/>
      <c r="AA270" s="70"/>
      <c r="AB270" s="70"/>
      <c r="AC270" s="70"/>
      <c r="AD270" s="70"/>
      <c r="AE270" s="70"/>
      <c r="AF270" s="70"/>
      <c r="AG270" s="70"/>
      <c r="AH270" s="70"/>
      <c r="AI270" s="70"/>
      <c r="AJ270" s="70"/>
      <c r="AK270" s="70"/>
      <c r="AL270" s="70"/>
      <c r="AM270" s="70"/>
      <c r="AN270" s="70"/>
      <c r="AO270" s="70"/>
      <c r="AP270" s="70"/>
      <c r="AQ270" s="70"/>
    </row>
    <row r="271" spans="1:43" ht="15.75" thickBot="1" x14ac:dyDescent="0.3">
      <c r="A271" t="s">
        <v>301</v>
      </c>
      <c r="B271" t="s">
        <v>1495</v>
      </c>
      <c r="C271" t="s">
        <v>1062</v>
      </c>
      <c r="D271" t="s">
        <v>1492</v>
      </c>
      <c r="E271" s="30" t="s">
        <v>73</v>
      </c>
      <c r="F271" s="30" t="s">
        <v>28</v>
      </c>
      <c r="G271" s="30"/>
      <c r="H271" s="30" t="s">
        <v>1500</v>
      </c>
      <c r="I271" s="142">
        <f t="shared" si="13"/>
        <v>28</v>
      </c>
      <c r="J271" s="147" t="s">
        <v>1887</v>
      </c>
      <c r="K271" s="142">
        <f t="shared" si="14"/>
        <v>0</v>
      </c>
      <c r="L271" s="143">
        <f t="shared" si="15"/>
        <v>1</v>
      </c>
      <c r="M271" s="70"/>
      <c r="N271" s="70"/>
      <c r="O271" s="70"/>
      <c r="P271" s="70"/>
      <c r="Q271" s="70"/>
      <c r="R271" s="70"/>
      <c r="S271" s="70"/>
      <c r="T271" s="70"/>
      <c r="U271" s="70"/>
      <c r="V271" s="70"/>
      <c r="W271" s="70"/>
      <c r="X271" s="70"/>
      <c r="Y271" s="70"/>
      <c r="Z271" s="70"/>
      <c r="AA271" s="70"/>
      <c r="AB271" s="70"/>
      <c r="AC271" s="70"/>
      <c r="AD271" s="70"/>
      <c r="AE271" s="70"/>
      <c r="AF271" s="70"/>
      <c r="AG271" s="70"/>
      <c r="AH271" s="70"/>
      <c r="AI271" s="70"/>
      <c r="AJ271" s="70"/>
      <c r="AK271" s="70"/>
      <c r="AL271" s="70"/>
      <c r="AM271" s="70"/>
      <c r="AN271" s="70"/>
      <c r="AO271" s="70"/>
      <c r="AP271" s="70"/>
      <c r="AQ271" s="70"/>
    </row>
    <row r="272" spans="1:43" ht="15.75" thickBot="1" x14ac:dyDescent="0.3">
      <c r="A272" t="s">
        <v>2214</v>
      </c>
      <c r="B272" t="s">
        <v>2215</v>
      </c>
      <c r="C272" t="s">
        <v>1063</v>
      </c>
      <c r="D272" t="s">
        <v>2216</v>
      </c>
      <c r="E272" s="30" t="s">
        <v>19</v>
      </c>
      <c r="F272" s="85" t="s">
        <v>1301</v>
      </c>
      <c r="G272" s="30"/>
      <c r="H272" s="30" t="s">
        <v>2217</v>
      </c>
      <c r="I272" s="142">
        <f t="shared" si="13"/>
        <v>28</v>
      </c>
      <c r="J272" s="147" t="s">
        <v>2218</v>
      </c>
      <c r="K272" s="142">
        <f t="shared" si="14"/>
        <v>0</v>
      </c>
      <c r="L272" s="143">
        <f t="shared" si="15"/>
        <v>1</v>
      </c>
      <c r="M272" s="70"/>
      <c r="N272" s="70"/>
      <c r="O272" s="70"/>
      <c r="P272" s="70"/>
      <c r="Q272" s="70"/>
      <c r="R272" s="70"/>
      <c r="S272" s="70"/>
      <c r="T272" s="70"/>
      <c r="U272" s="70"/>
      <c r="V272" s="70"/>
      <c r="W272" s="70"/>
      <c r="X272" s="70"/>
      <c r="Y272" s="70"/>
      <c r="Z272" s="70"/>
      <c r="AA272" s="70"/>
      <c r="AB272" s="70"/>
      <c r="AC272" s="70"/>
      <c r="AD272" s="70"/>
      <c r="AE272" s="70"/>
      <c r="AF272" s="70"/>
      <c r="AG272" s="70"/>
      <c r="AH272" s="70"/>
      <c r="AI272" s="70"/>
      <c r="AJ272" s="70"/>
      <c r="AK272" s="70"/>
      <c r="AL272" s="70"/>
      <c r="AM272" s="70"/>
      <c r="AN272" s="70"/>
      <c r="AO272" s="70"/>
      <c r="AP272" s="70"/>
      <c r="AQ272" s="70"/>
    </row>
    <row r="273" spans="1:43" ht="15.75" thickBot="1" x14ac:dyDescent="0.3">
      <c r="A273" t="s">
        <v>2214</v>
      </c>
      <c r="B273" t="s">
        <v>2219</v>
      </c>
      <c r="C273" t="s">
        <v>1063</v>
      </c>
      <c r="D273" t="s">
        <v>2221</v>
      </c>
      <c r="E273" s="30" t="s">
        <v>19</v>
      </c>
      <c r="F273" s="85" t="s">
        <v>1301</v>
      </c>
      <c r="G273" s="30"/>
      <c r="H273" s="30" t="s">
        <v>2220</v>
      </c>
      <c r="I273" s="142">
        <f t="shared" si="13"/>
        <v>28</v>
      </c>
      <c r="J273" s="147" t="s">
        <v>2222</v>
      </c>
      <c r="K273" s="142">
        <f t="shared" si="14"/>
        <v>0</v>
      </c>
      <c r="L273" s="143">
        <f t="shared" si="15"/>
        <v>1</v>
      </c>
      <c r="M273" s="70"/>
      <c r="N273" s="70"/>
      <c r="O273" s="70"/>
      <c r="P273" s="70"/>
      <c r="Q273" s="70"/>
      <c r="R273" s="70"/>
      <c r="S273" s="70"/>
      <c r="T273" s="70"/>
      <c r="U273" s="70"/>
      <c r="V273" s="70"/>
      <c r="W273" s="70"/>
      <c r="X273" s="70"/>
      <c r="Y273" s="70"/>
      <c r="Z273" s="70"/>
      <c r="AA273" s="70"/>
      <c r="AB273" s="70"/>
      <c r="AC273" s="70"/>
      <c r="AD273" s="70"/>
      <c r="AE273" s="70"/>
      <c r="AF273" s="70"/>
      <c r="AG273" s="70"/>
      <c r="AH273" s="70"/>
      <c r="AI273" s="70"/>
      <c r="AJ273" s="70"/>
      <c r="AK273" s="70"/>
      <c r="AL273" s="70"/>
      <c r="AM273" s="70"/>
      <c r="AN273" s="70"/>
      <c r="AO273" s="70"/>
      <c r="AP273" s="70"/>
      <c r="AQ273" s="70"/>
    </row>
    <row r="274" spans="1:43" ht="15.75" thickBot="1" x14ac:dyDescent="0.3">
      <c r="A274" t="s">
        <v>310</v>
      </c>
      <c r="B274" t="s">
        <v>974</v>
      </c>
      <c r="C274" t="s">
        <v>1062</v>
      </c>
      <c r="D274" t="s">
        <v>313</v>
      </c>
      <c r="E274" s="30" t="s">
        <v>19</v>
      </c>
      <c r="F274" s="30" t="s">
        <v>28</v>
      </c>
      <c r="G274" s="30"/>
      <c r="H274" s="30" t="s">
        <v>741</v>
      </c>
      <c r="I274" s="31">
        <f t="shared" si="13"/>
        <v>28</v>
      </c>
      <c r="J274" s="147" t="s">
        <v>1888</v>
      </c>
      <c r="K274" s="31">
        <f t="shared" si="14"/>
        <v>0</v>
      </c>
      <c r="L274" s="32">
        <f t="shared" si="15"/>
        <v>1</v>
      </c>
      <c r="M274" s="70"/>
      <c r="N274" s="70"/>
      <c r="O274" s="70"/>
      <c r="P274" s="70"/>
      <c r="Q274" s="70"/>
      <c r="R274" s="70"/>
      <c r="S274" s="70"/>
      <c r="T274" s="70"/>
      <c r="U274" s="70"/>
      <c r="V274" s="70"/>
      <c r="W274" s="70"/>
      <c r="X274" s="70"/>
      <c r="Y274" s="70"/>
      <c r="Z274" s="70"/>
      <c r="AA274" s="70"/>
      <c r="AB274" s="70"/>
      <c r="AC274" s="70"/>
      <c r="AD274" s="70"/>
      <c r="AE274" s="70"/>
      <c r="AF274" s="70"/>
      <c r="AG274" s="70"/>
      <c r="AH274" s="70"/>
      <c r="AI274" s="70"/>
      <c r="AJ274" s="70"/>
      <c r="AK274" s="70"/>
      <c r="AL274" s="70"/>
      <c r="AM274" s="70"/>
      <c r="AN274" s="70"/>
      <c r="AO274" s="70"/>
      <c r="AP274" s="70"/>
      <c r="AQ274" s="70"/>
    </row>
    <row r="275" spans="1:43" s="73" customFormat="1" ht="15.75" thickBot="1" x14ac:dyDescent="0.3">
      <c r="A275" s="73" t="s">
        <v>310</v>
      </c>
      <c r="B275" s="73" t="s">
        <v>314</v>
      </c>
      <c r="C275" s="73" t="s">
        <v>1062</v>
      </c>
      <c r="D275" s="73" t="s">
        <v>315</v>
      </c>
      <c r="E275" s="85" t="s">
        <v>19</v>
      </c>
      <c r="F275" s="85" t="s">
        <v>1301</v>
      </c>
      <c r="G275" s="85"/>
      <c r="H275" s="85" t="s">
        <v>1373</v>
      </c>
      <c r="I275" s="142">
        <f t="shared" si="13"/>
        <v>28</v>
      </c>
      <c r="J275" s="147" t="s">
        <v>1889</v>
      </c>
      <c r="K275" s="142">
        <f t="shared" si="14"/>
        <v>0</v>
      </c>
      <c r="L275" s="143">
        <f t="shared" si="15"/>
        <v>1</v>
      </c>
      <c r="M275" s="70"/>
      <c r="N275" s="70"/>
      <c r="O275" s="70"/>
      <c r="P275" s="70"/>
      <c r="Q275" s="70"/>
      <c r="R275" s="70"/>
      <c r="S275" s="70"/>
      <c r="T275" s="70"/>
      <c r="U275" s="70"/>
      <c r="V275" s="70"/>
      <c r="W275" s="70"/>
      <c r="X275" s="70"/>
      <c r="Y275" s="70"/>
      <c r="Z275" s="70"/>
      <c r="AA275" s="70"/>
      <c r="AB275" s="70"/>
      <c r="AC275" s="70"/>
      <c r="AD275" s="70"/>
      <c r="AE275" s="70"/>
      <c r="AF275" s="70"/>
      <c r="AG275" s="70"/>
      <c r="AH275" s="70"/>
      <c r="AI275" s="70"/>
      <c r="AJ275" s="70"/>
      <c r="AK275" s="70"/>
      <c r="AL275" s="70"/>
      <c r="AM275" s="70"/>
      <c r="AN275" s="70"/>
      <c r="AO275" s="70"/>
      <c r="AP275" s="89"/>
      <c r="AQ275" s="89"/>
    </row>
    <row r="276" spans="1:43" ht="15.75" thickBot="1" x14ac:dyDescent="0.3">
      <c r="A276" t="s">
        <v>310</v>
      </c>
      <c r="B276" t="s">
        <v>316</v>
      </c>
      <c r="C276" t="s">
        <v>1062</v>
      </c>
      <c r="D276" t="s">
        <v>317</v>
      </c>
      <c r="E276" s="30" t="s">
        <v>19</v>
      </c>
      <c r="F276" s="30" t="s">
        <v>1056</v>
      </c>
      <c r="G276" s="30" t="s">
        <v>1255</v>
      </c>
      <c r="H276" s="30" t="s">
        <v>742</v>
      </c>
      <c r="I276" s="31">
        <f t="shared" si="13"/>
        <v>28</v>
      </c>
      <c r="J276" s="147" t="s">
        <v>1890</v>
      </c>
      <c r="K276" s="31">
        <f t="shared" si="14"/>
        <v>0</v>
      </c>
      <c r="L276" s="32">
        <f t="shared" si="15"/>
        <v>1</v>
      </c>
      <c r="M276" s="70"/>
      <c r="N276" s="70"/>
      <c r="O276" s="70"/>
      <c r="P276" s="70"/>
      <c r="Q276" s="70"/>
      <c r="R276" s="70"/>
      <c r="S276" s="70"/>
      <c r="T276" s="70"/>
      <c r="U276" s="70"/>
      <c r="V276" s="70"/>
      <c r="W276" s="70"/>
      <c r="X276" s="70"/>
      <c r="Y276" s="70"/>
      <c r="Z276" s="70"/>
      <c r="AA276" s="70"/>
      <c r="AB276" s="70"/>
      <c r="AC276" s="70"/>
      <c r="AD276" s="70"/>
      <c r="AE276" s="70"/>
      <c r="AF276" s="70"/>
      <c r="AG276" s="70"/>
      <c r="AH276" s="70"/>
      <c r="AI276" s="70"/>
      <c r="AJ276" s="70"/>
      <c r="AK276" s="70"/>
      <c r="AL276" s="70"/>
      <c r="AM276" s="70"/>
      <c r="AN276" s="70"/>
      <c r="AO276" s="70"/>
      <c r="AP276" s="70"/>
      <c r="AQ276" s="70"/>
    </row>
    <row r="277" spans="1:43" s="73" customFormat="1" ht="15.75" thickBot="1" x14ac:dyDescent="0.3">
      <c r="A277" s="73" t="s">
        <v>310</v>
      </c>
      <c r="B277" s="73" t="s">
        <v>318</v>
      </c>
      <c r="C277" s="73" t="s">
        <v>1062</v>
      </c>
      <c r="D277" s="73" t="s">
        <v>319</v>
      </c>
      <c r="E277" s="85" t="s">
        <v>19</v>
      </c>
      <c r="F277" s="85" t="s">
        <v>1301</v>
      </c>
      <c r="G277" s="85"/>
      <c r="H277" s="85" t="s">
        <v>1363</v>
      </c>
      <c r="I277" s="142">
        <f t="shared" si="13"/>
        <v>28</v>
      </c>
      <c r="J277" s="147" t="s">
        <v>1891</v>
      </c>
      <c r="K277" s="142">
        <f t="shared" si="14"/>
        <v>0</v>
      </c>
      <c r="L277" s="143">
        <f t="shared" si="15"/>
        <v>1</v>
      </c>
      <c r="M277" s="70"/>
      <c r="N277" s="70"/>
      <c r="O277" s="70"/>
      <c r="P277" s="70"/>
      <c r="Q277" s="70"/>
      <c r="R277" s="70"/>
      <c r="S277" s="70"/>
      <c r="T277" s="70"/>
      <c r="U277" s="70"/>
      <c r="V277" s="70"/>
      <c r="W277" s="70"/>
      <c r="X277" s="70"/>
      <c r="Y277" s="70"/>
      <c r="Z277" s="70"/>
      <c r="AA277" s="70"/>
      <c r="AB277" s="70"/>
      <c r="AC277" s="70"/>
      <c r="AD277" s="70"/>
      <c r="AE277" s="70"/>
      <c r="AF277" s="70"/>
      <c r="AG277" s="70"/>
      <c r="AH277" s="70"/>
      <c r="AI277" s="70"/>
      <c r="AJ277" s="70"/>
      <c r="AK277" s="70"/>
      <c r="AL277" s="70"/>
      <c r="AM277" s="70"/>
      <c r="AN277" s="70"/>
      <c r="AO277" s="70"/>
      <c r="AP277" s="89"/>
      <c r="AQ277" s="89"/>
    </row>
    <row r="278" spans="1:43" s="73" customFormat="1" ht="15.75" thickBot="1" x14ac:dyDescent="0.3">
      <c r="A278" s="73" t="s">
        <v>320</v>
      </c>
      <c r="B278" s="73" t="s">
        <v>321</v>
      </c>
      <c r="C278" s="73" t="s">
        <v>1062</v>
      </c>
      <c r="D278" s="73" t="s">
        <v>322</v>
      </c>
      <c r="E278" s="85" t="s">
        <v>19</v>
      </c>
      <c r="F278" s="85" t="s">
        <v>1301</v>
      </c>
      <c r="G278" s="85"/>
      <c r="H278" s="145" t="s">
        <v>1364</v>
      </c>
      <c r="I278" s="142">
        <f t="shared" si="13"/>
        <v>28</v>
      </c>
      <c r="J278" s="147" t="s">
        <v>1892</v>
      </c>
      <c r="K278" s="142">
        <f t="shared" si="14"/>
        <v>0</v>
      </c>
      <c r="L278" s="143">
        <f t="shared" si="15"/>
        <v>1</v>
      </c>
      <c r="M278" s="70"/>
      <c r="N278" s="70"/>
      <c r="O278" s="70"/>
      <c r="P278" s="70"/>
      <c r="Q278" s="70"/>
      <c r="R278" s="70"/>
      <c r="S278" s="70"/>
      <c r="T278" s="70"/>
      <c r="U278" s="70"/>
      <c r="V278" s="70"/>
      <c r="W278" s="70"/>
      <c r="X278" s="70"/>
      <c r="Y278" s="70"/>
      <c r="Z278" s="70"/>
      <c r="AA278" s="70"/>
      <c r="AB278" s="70"/>
      <c r="AC278" s="70"/>
      <c r="AD278" s="70"/>
      <c r="AE278" s="70"/>
      <c r="AF278" s="70"/>
      <c r="AG278" s="70"/>
      <c r="AH278" s="70"/>
      <c r="AI278" s="70"/>
      <c r="AJ278" s="70"/>
      <c r="AK278" s="70"/>
      <c r="AL278" s="70"/>
      <c r="AM278" s="70"/>
      <c r="AN278" s="70"/>
      <c r="AO278" s="70"/>
      <c r="AP278" s="89"/>
      <c r="AQ278" s="89"/>
    </row>
    <row r="279" spans="1:43" ht="15.75" thickBot="1" x14ac:dyDescent="0.3">
      <c r="A279" t="s">
        <v>52</v>
      </c>
      <c r="B279" t="s">
        <v>323</v>
      </c>
      <c r="C279" t="s">
        <v>1062</v>
      </c>
      <c r="D279" t="s">
        <v>324</v>
      </c>
      <c r="E279" s="30" t="s">
        <v>19</v>
      </c>
      <c r="F279" s="30" t="s">
        <v>28</v>
      </c>
      <c r="G279" s="30"/>
      <c r="H279" s="30" t="s">
        <v>743</v>
      </c>
      <c r="I279" s="31">
        <f t="shared" si="13"/>
        <v>28</v>
      </c>
      <c r="J279" s="147" t="s">
        <v>1694</v>
      </c>
      <c r="K279" s="31">
        <f t="shared" si="14"/>
        <v>0</v>
      </c>
      <c r="L279" s="32">
        <f t="shared" si="15"/>
        <v>1</v>
      </c>
      <c r="M279" s="70"/>
      <c r="N279" s="70"/>
      <c r="O279" s="70"/>
      <c r="P279" s="70"/>
      <c r="Q279" s="70"/>
      <c r="R279" s="70"/>
      <c r="S279" s="70"/>
      <c r="T279" s="70"/>
      <c r="U279" s="70"/>
      <c r="V279" s="70"/>
      <c r="W279" s="70"/>
      <c r="X279" s="70"/>
      <c r="Y279" s="70"/>
      <c r="Z279" s="70"/>
      <c r="AA279" s="70"/>
      <c r="AB279" s="70"/>
      <c r="AC279" s="70"/>
      <c r="AD279" s="70"/>
      <c r="AE279" s="70"/>
      <c r="AF279" s="70"/>
      <c r="AG279" s="70"/>
      <c r="AH279" s="70"/>
      <c r="AI279" s="70"/>
      <c r="AJ279" s="70"/>
      <c r="AK279" s="70"/>
      <c r="AL279" s="70"/>
      <c r="AM279" s="70"/>
      <c r="AN279" s="70"/>
      <c r="AO279" s="70"/>
      <c r="AP279" s="70"/>
      <c r="AQ279" s="70"/>
    </row>
    <row r="280" spans="1:43" ht="15.75" thickBot="1" x14ac:dyDescent="0.3">
      <c r="A280" t="s">
        <v>310</v>
      </c>
      <c r="B280" t="s">
        <v>325</v>
      </c>
      <c r="C280" t="s">
        <v>1062</v>
      </c>
      <c r="D280" t="s">
        <v>326</v>
      </c>
      <c r="E280" s="30" t="s">
        <v>19</v>
      </c>
      <c r="F280" s="30" t="s">
        <v>28</v>
      </c>
      <c r="G280" s="30"/>
      <c r="H280" s="30" t="s">
        <v>744</v>
      </c>
      <c r="I280" s="31">
        <f t="shared" si="13"/>
        <v>20</v>
      </c>
      <c r="J280" s="147" t="s">
        <v>1893</v>
      </c>
      <c r="K280" s="31">
        <f t="shared" si="14"/>
        <v>8</v>
      </c>
      <c r="L280" s="32">
        <f t="shared" si="15"/>
        <v>0.7142857142857143</v>
      </c>
      <c r="M280" s="70" t="s">
        <v>2213</v>
      </c>
      <c r="N280" s="70" t="s">
        <v>2213</v>
      </c>
      <c r="O280" s="70" t="s">
        <v>2213</v>
      </c>
      <c r="P280" s="70" t="s">
        <v>2213</v>
      </c>
      <c r="Q280" s="70" t="s">
        <v>2213</v>
      </c>
      <c r="R280" s="70" t="s">
        <v>2213</v>
      </c>
      <c r="S280" s="70" t="s">
        <v>2213</v>
      </c>
      <c r="T280" s="70" t="s">
        <v>2213</v>
      </c>
      <c r="U280" s="70"/>
      <c r="V280" s="70"/>
      <c r="W280" s="70"/>
      <c r="X280" s="70"/>
      <c r="Y280" s="70"/>
      <c r="Z280" s="70"/>
      <c r="AA280" s="70"/>
      <c r="AB280" s="70"/>
      <c r="AC280" s="70"/>
      <c r="AD280" s="70"/>
      <c r="AE280" s="70"/>
      <c r="AF280" s="70"/>
      <c r="AG280" s="70"/>
      <c r="AH280" s="70"/>
      <c r="AI280" s="70"/>
      <c r="AJ280" s="70"/>
      <c r="AK280" s="70"/>
      <c r="AL280" s="70"/>
      <c r="AM280" s="70"/>
      <c r="AN280" s="70"/>
      <c r="AO280" s="70"/>
      <c r="AP280" s="70"/>
      <c r="AQ280" s="70"/>
    </row>
    <row r="281" spans="1:43" s="73" customFormat="1" ht="15.75" thickBot="1" x14ac:dyDescent="0.3">
      <c r="A281" s="73" t="s">
        <v>310</v>
      </c>
      <c r="B281" s="73" t="s">
        <v>311</v>
      </c>
      <c r="C281" s="73" t="s">
        <v>1062</v>
      </c>
      <c r="D281" s="73" t="s">
        <v>312</v>
      </c>
      <c r="E281" s="85" t="s">
        <v>15</v>
      </c>
      <c r="F281" s="85" t="s">
        <v>1301</v>
      </c>
      <c r="G281" s="85"/>
      <c r="H281" s="85" t="s">
        <v>1372</v>
      </c>
      <c r="I281" s="142">
        <f t="shared" si="13"/>
        <v>28</v>
      </c>
      <c r="J281" s="147" t="s">
        <v>1894</v>
      </c>
      <c r="K281" s="142">
        <f t="shared" si="14"/>
        <v>0</v>
      </c>
      <c r="L281" s="143">
        <f t="shared" si="15"/>
        <v>1</v>
      </c>
      <c r="M281" s="70"/>
      <c r="N281" s="70"/>
      <c r="O281" s="70"/>
      <c r="P281" s="70"/>
      <c r="Q281" s="70"/>
      <c r="R281" s="70"/>
      <c r="S281" s="70"/>
      <c r="T281" s="70"/>
      <c r="U281" s="70"/>
      <c r="V281" s="70"/>
      <c r="W281" s="70"/>
      <c r="X281" s="70"/>
      <c r="Y281" s="70"/>
      <c r="Z281" s="70"/>
      <c r="AA281" s="70"/>
      <c r="AB281" s="70"/>
      <c r="AC281" s="70"/>
      <c r="AD281" s="70"/>
      <c r="AE281" s="70"/>
      <c r="AF281" s="70"/>
      <c r="AG281" s="70"/>
      <c r="AH281" s="70"/>
      <c r="AI281" s="70"/>
      <c r="AJ281" s="70"/>
      <c r="AK281" s="70"/>
      <c r="AL281" s="70"/>
      <c r="AM281" s="70"/>
      <c r="AN281" s="70"/>
      <c r="AO281" s="70"/>
      <c r="AP281" s="89"/>
      <c r="AQ281" s="89"/>
    </row>
    <row r="282" spans="1:43" s="73" customFormat="1" ht="15.75" thickBot="1" x14ac:dyDescent="0.3">
      <c r="A282" s="73" t="s">
        <v>310</v>
      </c>
      <c r="B282" s="73" t="s">
        <v>327</v>
      </c>
      <c r="C282" s="73" t="s">
        <v>1062</v>
      </c>
      <c r="D282" s="73" t="s">
        <v>328</v>
      </c>
      <c r="E282" s="85" t="s">
        <v>15</v>
      </c>
      <c r="F282" s="85" t="s">
        <v>1301</v>
      </c>
      <c r="G282" s="85"/>
      <c r="H282" s="85" t="s">
        <v>745</v>
      </c>
      <c r="I282" s="142">
        <f t="shared" si="13"/>
        <v>27</v>
      </c>
      <c r="J282" s="147" t="s">
        <v>1895</v>
      </c>
      <c r="K282" s="142">
        <f t="shared" si="14"/>
        <v>1</v>
      </c>
      <c r="L282" s="143">
        <f t="shared" si="15"/>
        <v>0.9642857142857143</v>
      </c>
      <c r="M282" s="70"/>
      <c r="N282" s="70" t="s">
        <v>2213</v>
      </c>
      <c r="O282" s="70"/>
      <c r="P282" s="70"/>
      <c r="Q282" s="70"/>
      <c r="R282" s="70"/>
      <c r="S282" s="70"/>
      <c r="T282" s="70"/>
      <c r="U282" s="70"/>
      <c r="V282" s="70"/>
      <c r="W282" s="70"/>
      <c r="X282" s="70"/>
      <c r="Y282" s="70"/>
      <c r="Z282" s="70"/>
      <c r="AA282" s="70"/>
      <c r="AB282" s="70"/>
      <c r="AC282" s="70"/>
      <c r="AD282" s="70"/>
      <c r="AE282" s="70"/>
      <c r="AF282" s="70"/>
      <c r="AG282" s="70"/>
      <c r="AH282" s="70"/>
      <c r="AI282" s="70"/>
      <c r="AJ282" s="70"/>
      <c r="AK282" s="70"/>
      <c r="AL282" s="70"/>
      <c r="AM282" s="70"/>
      <c r="AN282" s="70"/>
      <c r="AO282" s="70"/>
      <c r="AP282" s="89"/>
      <c r="AQ282" s="89"/>
    </row>
    <row r="283" spans="1:43" s="73" customFormat="1" ht="14.25" customHeight="1" thickBot="1" x14ac:dyDescent="0.3">
      <c r="A283" s="73" t="s">
        <v>310</v>
      </c>
      <c r="B283" s="73" t="s">
        <v>1342</v>
      </c>
      <c r="C283" s="73" t="s">
        <v>1062</v>
      </c>
      <c r="D283" s="73" t="s">
        <v>1343</v>
      </c>
      <c r="E283" s="85" t="s">
        <v>15</v>
      </c>
      <c r="F283" s="85" t="s">
        <v>1301</v>
      </c>
      <c r="G283" s="85"/>
      <c r="H283" s="85" t="s">
        <v>1358</v>
      </c>
      <c r="I283" s="142">
        <f t="shared" si="13"/>
        <v>28</v>
      </c>
      <c r="J283" s="147" t="s">
        <v>1896</v>
      </c>
      <c r="K283" s="142">
        <f t="shared" si="14"/>
        <v>0</v>
      </c>
      <c r="L283" s="143">
        <f t="shared" si="15"/>
        <v>1</v>
      </c>
      <c r="M283" s="70"/>
      <c r="N283" s="70"/>
      <c r="O283" s="70"/>
      <c r="P283" s="70"/>
      <c r="Q283" s="70"/>
      <c r="R283" s="70"/>
      <c r="S283" s="70"/>
      <c r="T283" s="70"/>
      <c r="U283" s="70"/>
      <c r="V283" s="70"/>
      <c r="W283" s="70"/>
      <c r="X283" s="70"/>
      <c r="Y283" s="70"/>
      <c r="Z283" s="70"/>
      <c r="AA283" s="70"/>
      <c r="AB283" s="70"/>
      <c r="AC283" s="70"/>
      <c r="AD283" s="70"/>
      <c r="AE283" s="70"/>
      <c r="AF283" s="70"/>
      <c r="AG283" s="70"/>
      <c r="AH283" s="70"/>
      <c r="AI283" s="70"/>
      <c r="AJ283" s="70"/>
      <c r="AK283" s="70"/>
      <c r="AL283" s="70"/>
      <c r="AM283" s="70"/>
      <c r="AN283" s="70"/>
      <c r="AO283" s="70"/>
      <c r="AP283" s="89"/>
      <c r="AQ283" s="89"/>
    </row>
    <row r="284" spans="1:43" s="73" customFormat="1" ht="15.75" thickBot="1" x14ac:dyDescent="0.3">
      <c r="A284" s="73" t="s">
        <v>1540</v>
      </c>
      <c r="B284" s="73" t="s">
        <v>1539</v>
      </c>
      <c r="C284" s="73" t="s">
        <v>1062</v>
      </c>
      <c r="D284" s="73" t="s">
        <v>1541</v>
      </c>
      <c r="E284" s="85" t="s">
        <v>19</v>
      </c>
      <c r="F284" s="85" t="s">
        <v>1301</v>
      </c>
      <c r="G284" s="85"/>
      <c r="H284" s="85" t="s">
        <v>1542</v>
      </c>
      <c r="I284" s="142">
        <f t="shared" si="13"/>
        <v>28</v>
      </c>
      <c r="J284" s="147" t="s">
        <v>1897</v>
      </c>
      <c r="K284" s="142">
        <f t="shared" si="14"/>
        <v>0</v>
      </c>
      <c r="L284" s="143">
        <f t="shared" si="15"/>
        <v>1</v>
      </c>
      <c r="M284" s="70"/>
      <c r="N284" s="70"/>
      <c r="O284" s="70"/>
      <c r="P284" s="70"/>
      <c r="Q284" s="70"/>
      <c r="R284" s="70"/>
      <c r="S284" s="70"/>
      <c r="T284" s="70"/>
      <c r="U284" s="70"/>
      <c r="V284" s="70"/>
      <c r="W284" s="70"/>
      <c r="X284" s="70"/>
      <c r="Y284" s="70"/>
      <c r="Z284" s="70"/>
      <c r="AA284" s="70"/>
      <c r="AB284" s="70"/>
      <c r="AC284" s="70"/>
      <c r="AD284" s="70"/>
      <c r="AE284" s="70"/>
      <c r="AF284" s="70"/>
      <c r="AG284" s="70"/>
      <c r="AH284" s="70"/>
      <c r="AI284" s="70"/>
      <c r="AJ284" s="70"/>
      <c r="AK284" s="70"/>
      <c r="AL284" s="70"/>
      <c r="AM284" s="70"/>
      <c r="AN284" s="70"/>
      <c r="AO284" s="70"/>
      <c r="AP284" s="89"/>
      <c r="AQ284" s="89"/>
    </row>
    <row r="285" spans="1:43" s="73" customFormat="1" ht="15.75" thickBot="1" x14ac:dyDescent="0.3">
      <c r="A285" s="73" t="s">
        <v>1540</v>
      </c>
      <c r="B285" s="73" t="s">
        <v>1654</v>
      </c>
      <c r="C285" s="73" t="s">
        <v>1062</v>
      </c>
      <c r="D285" s="73" t="s">
        <v>1655</v>
      </c>
      <c r="E285" s="85" t="s">
        <v>19</v>
      </c>
      <c r="F285" s="85" t="s">
        <v>28</v>
      </c>
      <c r="G285" s="85"/>
      <c r="H285" s="85" t="s">
        <v>1656</v>
      </c>
      <c r="I285" s="142">
        <f t="shared" si="13"/>
        <v>28</v>
      </c>
      <c r="J285" s="87" t="s">
        <v>2196</v>
      </c>
      <c r="K285" s="142">
        <f t="shared" si="14"/>
        <v>0</v>
      </c>
      <c r="L285" s="143">
        <f t="shared" si="15"/>
        <v>1</v>
      </c>
      <c r="M285" s="70"/>
      <c r="N285" s="70"/>
      <c r="O285" s="70"/>
      <c r="P285" s="70"/>
      <c r="Q285" s="70"/>
      <c r="R285" s="70"/>
      <c r="S285" s="70"/>
      <c r="T285" s="70"/>
      <c r="U285" s="70"/>
      <c r="V285" s="70"/>
      <c r="W285" s="70"/>
      <c r="X285" s="70"/>
      <c r="Y285" s="70"/>
      <c r="Z285" s="70"/>
      <c r="AA285" s="70"/>
      <c r="AB285" s="70"/>
      <c r="AC285" s="70"/>
      <c r="AD285" s="70"/>
      <c r="AE285" s="70"/>
      <c r="AF285" s="70"/>
      <c r="AG285" s="70"/>
      <c r="AH285" s="70"/>
      <c r="AI285" s="70"/>
      <c r="AJ285" s="70"/>
      <c r="AK285" s="70"/>
      <c r="AL285" s="70"/>
      <c r="AM285" s="70"/>
      <c r="AN285" s="70"/>
      <c r="AO285" s="70"/>
      <c r="AP285" s="89"/>
      <c r="AQ285" s="89"/>
    </row>
    <row r="286" spans="1:43" ht="15.75" thickBot="1" x14ac:dyDescent="0.3">
      <c r="A286" t="s">
        <v>331</v>
      </c>
      <c r="B286" t="s">
        <v>329</v>
      </c>
      <c r="C286" t="s">
        <v>1063</v>
      </c>
      <c r="D286" t="s">
        <v>330</v>
      </c>
      <c r="E286" s="30" t="s">
        <v>15</v>
      </c>
      <c r="F286" s="30" t="s">
        <v>28</v>
      </c>
      <c r="G286" s="30"/>
      <c r="H286" s="30" t="s">
        <v>746</v>
      </c>
      <c r="I286" s="31">
        <f t="shared" si="13"/>
        <v>28</v>
      </c>
      <c r="J286" s="147" t="s">
        <v>1898</v>
      </c>
      <c r="K286" s="31">
        <f t="shared" si="14"/>
        <v>0</v>
      </c>
      <c r="L286" s="32">
        <f t="shared" si="15"/>
        <v>1</v>
      </c>
      <c r="M286" s="70"/>
      <c r="N286" s="70"/>
      <c r="O286" s="70"/>
      <c r="P286" s="70"/>
      <c r="Q286" s="70"/>
      <c r="R286" s="70"/>
      <c r="S286" s="70"/>
      <c r="T286" s="70"/>
      <c r="U286" s="70"/>
      <c r="V286" s="70"/>
      <c r="W286" s="70"/>
      <c r="X286" s="70"/>
      <c r="Y286" s="70"/>
      <c r="Z286" s="70"/>
      <c r="AA286" s="70"/>
      <c r="AB286" s="70"/>
      <c r="AC286" s="70"/>
      <c r="AD286" s="70"/>
      <c r="AE286" s="70"/>
      <c r="AF286" s="70"/>
      <c r="AG286" s="70"/>
      <c r="AH286" s="70"/>
      <c r="AI286" s="70"/>
      <c r="AJ286" s="70"/>
      <c r="AK286" s="70"/>
      <c r="AL286" s="70"/>
      <c r="AM286" s="70"/>
      <c r="AN286" s="70"/>
      <c r="AO286" s="70"/>
      <c r="AP286" s="70"/>
      <c r="AQ286" s="70"/>
    </row>
    <row r="287" spans="1:43" ht="15.75" thickBot="1" x14ac:dyDescent="0.3">
      <c r="A287" t="s">
        <v>331</v>
      </c>
      <c r="B287" t="s">
        <v>332</v>
      </c>
      <c r="C287" t="s">
        <v>1063</v>
      </c>
      <c r="D287" t="s">
        <v>333</v>
      </c>
      <c r="E287" s="30" t="s">
        <v>73</v>
      </c>
      <c r="F287" s="30" t="s">
        <v>28</v>
      </c>
      <c r="G287" s="30"/>
      <c r="H287" s="30" t="s">
        <v>747</v>
      </c>
      <c r="I287" s="31">
        <f t="shared" si="13"/>
        <v>28</v>
      </c>
      <c r="J287" s="147" t="s">
        <v>1899</v>
      </c>
      <c r="K287" s="31">
        <f t="shared" si="14"/>
        <v>0</v>
      </c>
      <c r="L287" s="32">
        <f t="shared" si="15"/>
        <v>1</v>
      </c>
      <c r="M287" s="70"/>
      <c r="N287" s="70"/>
      <c r="O287" s="70"/>
      <c r="P287" s="70"/>
      <c r="Q287" s="70"/>
      <c r="R287" s="70"/>
      <c r="S287" s="70"/>
      <c r="T287" s="70"/>
      <c r="U287" s="70"/>
      <c r="V287" s="70"/>
      <c r="W287" s="70"/>
      <c r="X287" s="70"/>
      <c r="Y287" s="70"/>
      <c r="Z287" s="70"/>
      <c r="AA287" s="70"/>
      <c r="AB287" s="70"/>
      <c r="AC287" s="70"/>
      <c r="AD287" s="70"/>
      <c r="AE287" s="70"/>
      <c r="AF287" s="70"/>
      <c r="AG287" s="70"/>
      <c r="AH287" s="70"/>
      <c r="AI287" s="70"/>
      <c r="AJ287" s="70"/>
      <c r="AK287" s="70"/>
      <c r="AL287" s="70"/>
      <c r="AM287" s="70"/>
      <c r="AN287" s="70"/>
      <c r="AO287" s="70"/>
      <c r="AP287" s="70"/>
      <c r="AQ287" s="70"/>
    </row>
    <row r="288" spans="1:43" ht="15.75" thickBot="1" x14ac:dyDescent="0.3">
      <c r="A288" t="s">
        <v>331</v>
      </c>
      <c r="B288" t="s">
        <v>334</v>
      </c>
      <c r="C288" t="s">
        <v>1063</v>
      </c>
      <c r="D288" t="s">
        <v>333</v>
      </c>
      <c r="E288" s="30" t="s">
        <v>73</v>
      </c>
      <c r="F288" s="30" t="s">
        <v>28</v>
      </c>
      <c r="G288" s="30"/>
      <c r="H288" s="30" t="s">
        <v>748</v>
      </c>
      <c r="I288" s="31">
        <f t="shared" si="13"/>
        <v>28</v>
      </c>
      <c r="J288" s="147" t="s">
        <v>1900</v>
      </c>
      <c r="K288" s="31">
        <f t="shared" si="14"/>
        <v>0</v>
      </c>
      <c r="L288" s="32">
        <f t="shared" si="15"/>
        <v>1</v>
      </c>
      <c r="M288" s="70"/>
      <c r="N288" s="70"/>
      <c r="O288" s="70"/>
      <c r="P288" s="70"/>
      <c r="Q288" s="70"/>
      <c r="R288" s="70"/>
      <c r="S288" s="70"/>
      <c r="T288" s="70"/>
      <c r="U288" s="70"/>
      <c r="V288" s="70"/>
      <c r="W288" s="70"/>
      <c r="X288" s="70"/>
      <c r="Y288" s="70"/>
      <c r="Z288" s="70"/>
      <c r="AA288" s="70"/>
      <c r="AB288" s="70"/>
      <c r="AC288" s="70"/>
      <c r="AD288" s="70"/>
      <c r="AE288" s="70"/>
      <c r="AF288" s="70"/>
      <c r="AG288" s="70"/>
      <c r="AH288" s="70"/>
      <c r="AI288" s="70"/>
      <c r="AJ288" s="70"/>
      <c r="AK288" s="70"/>
      <c r="AL288" s="70"/>
      <c r="AM288" s="70"/>
      <c r="AN288" s="70"/>
      <c r="AO288" s="70"/>
      <c r="AP288" s="70"/>
      <c r="AQ288" s="70"/>
    </row>
    <row r="289" spans="1:43" ht="15.75" thickBot="1" x14ac:dyDescent="0.3">
      <c r="A289" t="s">
        <v>331</v>
      </c>
      <c r="B289" t="s">
        <v>335</v>
      </c>
      <c r="C289" t="s">
        <v>1063</v>
      </c>
      <c r="D289" t="s">
        <v>336</v>
      </c>
      <c r="E289" s="30" t="s">
        <v>73</v>
      </c>
      <c r="F289" s="30" t="s">
        <v>28</v>
      </c>
      <c r="G289" s="30"/>
      <c r="H289" s="30" t="s">
        <v>749</v>
      </c>
      <c r="I289" s="31">
        <f t="shared" si="13"/>
        <v>28</v>
      </c>
      <c r="J289" s="147" t="s">
        <v>1901</v>
      </c>
      <c r="K289" s="31">
        <f t="shared" si="14"/>
        <v>0</v>
      </c>
      <c r="L289" s="32">
        <f t="shared" si="15"/>
        <v>1</v>
      </c>
      <c r="M289" s="70"/>
      <c r="N289" s="70"/>
      <c r="O289" s="70"/>
      <c r="P289" s="70"/>
      <c r="Q289" s="70"/>
      <c r="R289" s="70"/>
      <c r="S289" s="70"/>
      <c r="T289" s="70"/>
      <c r="U289" s="70"/>
      <c r="V289" s="70"/>
      <c r="W289" s="70"/>
      <c r="X289" s="70"/>
      <c r="Y289" s="70"/>
      <c r="Z289" s="70"/>
      <c r="AA289" s="70"/>
      <c r="AB289" s="70"/>
      <c r="AC289" s="70"/>
      <c r="AD289" s="70"/>
      <c r="AE289" s="70"/>
      <c r="AF289" s="70"/>
      <c r="AG289" s="70"/>
      <c r="AH289" s="70"/>
      <c r="AI289" s="70"/>
      <c r="AJ289" s="70"/>
      <c r="AK289" s="70"/>
      <c r="AL289" s="70"/>
      <c r="AM289" s="70"/>
      <c r="AN289" s="70"/>
      <c r="AO289" s="70"/>
      <c r="AP289" s="70"/>
      <c r="AQ289" s="70"/>
    </row>
    <row r="290" spans="1:43" ht="15.75" thickBot="1" x14ac:dyDescent="0.3">
      <c r="A290" t="s">
        <v>331</v>
      </c>
      <c r="B290" t="s">
        <v>337</v>
      </c>
      <c r="C290" t="s">
        <v>1063</v>
      </c>
      <c r="D290" t="s">
        <v>336</v>
      </c>
      <c r="E290" s="30" t="s">
        <v>73</v>
      </c>
      <c r="F290" s="30" t="s">
        <v>28</v>
      </c>
      <c r="G290" s="30"/>
      <c r="H290" s="30" t="s">
        <v>750</v>
      </c>
      <c r="I290" s="31">
        <f t="shared" si="13"/>
        <v>28</v>
      </c>
      <c r="J290" s="147" t="s">
        <v>1902</v>
      </c>
      <c r="K290" s="31">
        <f t="shared" si="14"/>
        <v>0</v>
      </c>
      <c r="L290" s="32">
        <f t="shared" si="15"/>
        <v>1</v>
      </c>
      <c r="M290" s="70"/>
      <c r="N290" s="70"/>
      <c r="O290" s="70"/>
      <c r="P290" s="70"/>
      <c r="Q290" s="70"/>
      <c r="R290" s="70"/>
      <c r="S290" s="70"/>
      <c r="T290" s="70"/>
      <c r="U290" s="70"/>
      <c r="V290" s="70"/>
      <c r="W290" s="70"/>
      <c r="X290" s="70"/>
      <c r="Y290" s="70"/>
      <c r="Z290" s="70"/>
      <c r="AA290" s="70"/>
      <c r="AB290" s="70"/>
      <c r="AC290" s="70"/>
      <c r="AD290" s="70"/>
      <c r="AE290" s="70"/>
      <c r="AF290" s="70"/>
      <c r="AG290" s="70"/>
      <c r="AH290" s="70"/>
      <c r="AI290" s="70"/>
      <c r="AJ290" s="70"/>
      <c r="AK290" s="70"/>
      <c r="AL290" s="70"/>
      <c r="AM290" s="70"/>
      <c r="AN290" s="70"/>
      <c r="AO290" s="70"/>
      <c r="AP290" s="70"/>
      <c r="AQ290" s="70"/>
    </row>
    <row r="291" spans="1:43" ht="15.75" thickBot="1" x14ac:dyDescent="0.3">
      <c r="A291" t="s">
        <v>41</v>
      </c>
      <c r="B291" t="s">
        <v>339</v>
      </c>
      <c r="C291" t="s">
        <v>1062</v>
      </c>
      <c r="D291" t="s">
        <v>340</v>
      </c>
      <c r="E291" s="30" t="s">
        <v>15</v>
      </c>
      <c r="F291" s="30" t="s">
        <v>28</v>
      </c>
      <c r="G291" s="30"/>
      <c r="H291" s="30" t="s">
        <v>753</v>
      </c>
      <c r="I291" s="31">
        <f t="shared" si="13"/>
        <v>28</v>
      </c>
      <c r="J291" s="147" t="s">
        <v>1903</v>
      </c>
      <c r="K291" s="31">
        <f t="shared" si="14"/>
        <v>0</v>
      </c>
      <c r="L291" s="32">
        <f t="shared" si="15"/>
        <v>1</v>
      </c>
      <c r="M291" s="70"/>
      <c r="N291" s="70"/>
      <c r="O291" s="70"/>
      <c r="P291" s="70"/>
      <c r="Q291" s="70"/>
      <c r="R291" s="70"/>
      <c r="S291" s="70"/>
      <c r="T291" s="70"/>
      <c r="U291" s="70"/>
      <c r="V291" s="70"/>
      <c r="W291" s="70"/>
      <c r="X291" s="70"/>
      <c r="Y291" s="70"/>
      <c r="Z291" s="70"/>
      <c r="AA291" s="70"/>
      <c r="AB291" s="70"/>
      <c r="AC291" s="70"/>
      <c r="AD291" s="70"/>
      <c r="AE291" s="70"/>
      <c r="AF291" s="70"/>
      <c r="AG291" s="70"/>
      <c r="AH291" s="70"/>
      <c r="AI291" s="70"/>
      <c r="AJ291" s="70"/>
      <c r="AK291" s="70"/>
      <c r="AL291" s="70"/>
      <c r="AM291" s="70"/>
      <c r="AN291" s="70"/>
      <c r="AO291" s="70"/>
      <c r="AP291" s="70"/>
      <c r="AQ291" s="70"/>
    </row>
    <row r="292" spans="1:43" ht="15.75" thickBot="1" x14ac:dyDescent="0.3">
      <c r="A292" t="s">
        <v>41</v>
      </c>
      <c r="B292" t="s">
        <v>341</v>
      </c>
      <c r="C292" t="s">
        <v>1062</v>
      </c>
      <c r="D292" t="s">
        <v>340</v>
      </c>
      <c r="E292" s="30" t="s">
        <v>73</v>
      </c>
      <c r="F292" s="30" t="s">
        <v>28</v>
      </c>
      <c r="G292" s="30"/>
      <c r="H292" s="30" t="s">
        <v>754</v>
      </c>
      <c r="I292" s="31">
        <f t="shared" si="13"/>
        <v>28</v>
      </c>
      <c r="J292" s="147" t="s">
        <v>1904</v>
      </c>
      <c r="K292" s="31">
        <f t="shared" si="14"/>
        <v>0</v>
      </c>
      <c r="L292" s="32">
        <f t="shared" si="15"/>
        <v>1</v>
      </c>
      <c r="M292" s="70"/>
      <c r="N292" s="70"/>
      <c r="O292" s="70"/>
      <c r="P292" s="70"/>
      <c r="Q292" s="70"/>
      <c r="R292" s="70"/>
      <c r="S292" s="70"/>
      <c r="T292" s="70"/>
      <c r="U292" s="70"/>
      <c r="V292" s="70"/>
      <c r="W292" s="70"/>
      <c r="X292" s="70"/>
      <c r="Y292" s="70"/>
      <c r="Z292" s="70"/>
      <c r="AA292" s="70"/>
      <c r="AB292" s="70"/>
      <c r="AC292" s="70"/>
      <c r="AD292" s="70"/>
      <c r="AE292" s="70"/>
      <c r="AF292" s="70"/>
      <c r="AG292" s="70"/>
      <c r="AH292" s="70"/>
      <c r="AI292" s="70"/>
      <c r="AJ292" s="70"/>
      <c r="AK292" s="70"/>
      <c r="AL292" s="70"/>
      <c r="AM292" s="70"/>
      <c r="AN292" s="70"/>
      <c r="AO292" s="70"/>
      <c r="AP292" s="70"/>
      <c r="AQ292" s="70"/>
    </row>
    <row r="293" spans="1:43" ht="15.75" thickBot="1" x14ac:dyDescent="0.3">
      <c r="A293" t="s">
        <v>41</v>
      </c>
      <c r="B293" t="s">
        <v>976</v>
      </c>
      <c r="C293" t="s">
        <v>1062</v>
      </c>
      <c r="D293" t="s">
        <v>977</v>
      </c>
      <c r="E293" s="30" t="s">
        <v>73</v>
      </c>
      <c r="F293" s="30" t="s">
        <v>28</v>
      </c>
      <c r="G293" s="30"/>
      <c r="H293" s="30" t="s">
        <v>1273</v>
      </c>
      <c r="I293" s="31">
        <f t="shared" si="13"/>
        <v>28</v>
      </c>
      <c r="J293" s="147" t="s">
        <v>1905</v>
      </c>
      <c r="K293" s="31">
        <f t="shared" si="14"/>
        <v>0</v>
      </c>
      <c r="L293" s="32">
        <f t="shared" si="15"/>
        <v>1</v>
      </c>
      <c r="M293" s="70"/>
      <c r="N293" s="70"/>
      <c r="O293" s="70"/>
      <c r="P293" s="70"/>
      <c r="Q293" s="70"/>
      <c r="R293" s="70"/>
      <c r="S293" s="70"/>
      <c r="T293" s="70"/>
      <c r="U293" s="70"/>
      <c r="V293" s="70"/>
      <c r="W293" s="70"/>
      <c r="X293" s="70"/>
      <c r="Y293" s="70"/>
      <c r="Z293" s="70"/>
      <c r="AA293" s="70"/>
      <c r="AB293" s="70"/>
      <c r="AC293" s="70"/>
      <c r="AD293" s="70"/>
      <c r="AE293" s="70"/>
      <c r="AF293" s="70"/>
      <c r="AG293" s="70"/>
      <c r="AH293" s="70"/>
      <c r="AI293" s="70"/>
      <c r="AJ293" s="70"/>
      <c r="AK293" s="70"/>
      <c r="AL293" s="70"/>
      <c r="AM293" s="70"/>
      <c r="AN293" s="70"/>
      <c r="AO293" s="70"/>
      <c r="AP293" s="70"/>
      <c r="AQ293" s="70"/>
    </row>
    <row r="294" spans="1:43" ht="15.75" thickBot="1" x14ac:dyDescent="0.3">
      <c r="A294" t="s">
        <v>186</v>
      </c>
      <c r="B294" t="s">
        <v>342</v>
      </c>
      <c r="C294" t="s">
        <v>1063</v>
      </c>
      <c r="D294" t="s">
        <v>343</v>
      </c>
      <c r="E294" s="30" t="s">
        <v>15</v>
      </c>
      <c r="F294" s="30" t="s">
        <v>28</v>
      </c>
      <c r="G294" s="30"/>
      <c r="H294" s="30" t="s">
        <v>755</v>
      </c>
      <c r="I294" s="31">
        <f t="shared" si="13"/>
        <v>28</v>
      </c>
      <c r="J294" s="147" t="s">
        <v>1906</v>
      </c>
      <c r="K294" s="31">
        <f t="shared" si="14"/>
        <v>0</v>
      </c>
      <c r="L294" s="32">
        <f t="shared" si="15"/>
        <v>1</v>
      </c>
      <c r="M294" s="70"/>
      <c r="N294" s="70"/>
      <c r="O294" s="70"/>
      <c r="P294" s="70"/>
      <c r="Q294" s="70"/>
      <c r="R294" s="70"/>
      <c r="S294" s="70"/>
      <c r="T294" s="70"/>
      <c r="U294" s="70"/>
      <c r="V294" s="70"/>
      <c r="W294" s="70"/>
      <c r="X294" s="70"/>
      <c r="Y294" s="70"/>
      <c r="Z294" s="70"/>
      <c r="AA294" s="70"/>
      <c r="AB294" s="70"/>
      <c r="AC294" s="70"/>
      <c r="AD294" s="70"/>
      <c r="AE294" s="70"/>
      <c r="AF294" s="70"/>
      <c r="AG294" s="70"/>
      <c r="AH294" s="70"/>
      <c r="AI294" s="70"/>
      <c r="AJ294" s="70"/>
      <c r="AK294" s="70"/>
      <c r="AL294" s="70"/>
      <c r="AM294" s="70"/>
      <c r="AN294" s="70"/>
      <c r="AO294" s="70"/>
      <c r="AP294" s="70"/>
      <c r="AQ294" s="70"/>
    </row>
    <row r="295" spans="1:43" ht="21" customHeight="1" thickBot="1" x14ac:dyDescent="0.3">
      <c r="A295" t="s">
        <v>186</v>
      </c>
      <c r="B295" t="s">
        <v>344</v>
      </c>
      <c r="C295" t="s">
        <v>1063</v>
      </c>
      <c r="D295" t="s">
        <v>343</v>
      </c>
      <c r="E295" s="30" t="s">
        <v>73</v>
      </c>
      <c r="F295" s="30" t="s">
        <v>28</v>
      </c>
      <c r="G295" s="30"/>
      <c r="H295" s="30" t="s">
        <v>756</v>
      </c>
      <c r="I295" s="31">
        <f t="shared" si="13"/>
        <v>20</v>
      </c>
      <c r="J295" s="147" t="s">
        <v>1907</v>
      </c>
      <c r="K295" s="31">
        <f t="shared" si="14"/>
        <v>8</v>
      </c>
      <c r="L295" s="32">
        <f t="shared" si="15"/>
        <v>0.7142857142857143</v>
      </c>
      <c r="M295" s="70" t="s">
        <v>2213</v>
      </c>
      <c r="N295" s="70" t="s">
        <v>2213</v>
      </c>
      <c r="O295" s="70" t="s">
        <v>2213</v>
      </c>
      <c r="P295" s="70" t="s">
        <v>2213</v>
      </c>
      <c r="Q295" s="70" t="s">
        <v>2213</v>
      </c>
      <c r="R295" s="70" t="s">
        <v>2213</v>
      </c>
      <c r="S295" s="70" t="s">
        <v>2213</v>
      </c>
      <c r="T295" s="70" t="s">
        <v>2213</v>
      </c>
      <c r="U295" s="70"/>
      <c r="V295" s="70"/>
      <c r="W295" s="70"/>
      <c r="X295" s="70"/>
      <c r="Y295" s="70"/>
      <c r="Z295" s="70"/>
      <c r="AA295" s="70"/>
      <c r="AB295" s="70"/>
      <c r="AC295" s="70"/>
      <c r="AD295" s="70"/>
      <c r="AE295" s="70"/>
      <c r="AF295" s="70"/>
      <c r="AG295" s="70"/>
      <c r="AH295" s="70"/>
      <c r="AI295" s="70"/>
      <c r="AJ295" s="70"/>
      <c r="AK295" s="70"/>
      <c r="AL295" s="70"/>
      <c r="AM295" s="70"/>
      <c r="AN295" s="70"/>
      <c r="AO295" s="70"/>
      <c r="AP295" s="70"/>
      <c r="AQ295" s="70"/>
    </row>
    <row r="296" spans="1:43" ht="15.75" thickBot="1" x14ac:dyDescent="0.3">
      <c r="A296" t="s">
        <v>186</v>
      </c>
      <c r="B296" t="s">
        <v>1295</v>
      </c>
      <c r="C296" t="s">
        <v>1063</v>
      </c>
      <c r="D296" t="s">
        <v>978</v>
      </c>
      <c r="E296" s="30" t="s">
        <v>73</v>
      </c>
      <c r="F296" s="30" t="s">
        <v>28</v>
      </c>
      <c r="G296" s="30"/>
      <c r="H296" s="30" t="s">
        <v>1274</v>
      </c>
      <c r="I296" s="31">
        <f t="shared" si="13"/>
        <v>20</v>
      </c>
      <c r="J296" s="147" t="s">
        <v>1908</v>
      </c>
      <c r="K296" s="31">
        <f t="shared" si="14"/>
        <v>8</v>
      </c>
      <c r="L296" s="32">
        <f t="shared" si="15"/>
        <v>0.7142857142857143</v>
      </c>
      <c r="M296" s="70" t="s">
        <v>2213</v>
      </c>
      <c r="N296" s="70" t="s">
        <v>2213</v>
      </c>
      <c r="O296" s="70" t="s">
        <v>2213</v>
      </c>
      <c r="P296" s="70" t="s">
        <v>2213</v>
      </c>
      <c r="Q296" s="70" t="s">
        <v>2213</v>
      </c>
      <c r="R296" s="70" t="s">
        <v>2213</v>
      </c>
      <c r="S296" s="70" t="s">
        <v>2213</v>
      </c>
      <c r="T296" s="70" t="s">
        <v>2213</v>
      </c>
      <c r="U296" s="70"/>
      <c r="V296" s="70"/>
      <c r="W296" s="70"/>
      <c r="X296" s="70"/>
      <c r="Y296" s="70"/>
      <c r="Z296" s="70"/>
      <c r="AA296" s="70"/>
      <c r="AB296" s="70"/>
      <c r="AC296" s="70"/>
      <c r="AD296" s="70"/>
      <c r="AE296" s="70"/>
      <c r="AF296" s="70"/>
      <c r="AG296" s="70"/>
      <c r="AH296" s="70"/>
      <c r="AI296" s="70"/>
      <c r="AJ296" s="70"/>
      <c r="AK296" s="70"/>
      <c r="AL296" s="70"/>
      <c r="AM296" s="70"/>
      <c r="AN296" s="70"/>
      <c r="AO296" s="70"/>
      <c r="AP296" s="70"/>
      <c r="AQ296" s="70"/>
    </row>
    <row r="297" spans="1:43" ht="15.75" thickBot="1" x14ac:dyDescent="0.3">
      <c r="A297" t="s">
        <v>214</v>
      </c>
      <c r="B297" t="s">
        <v>345</v>
      </c>
      <c r="C297" t="s">
        <v>1063</v>
      </c>
      <c r="D297" t="s">
        <v>346</v>
      </c>
      <c r="E297" s="30" t="s">
        <v>15</v>
      </c>
      <c r="F297" s="30" t="s">
        <v>28</v>
      </c>
      <c r="G297" s="30"/>
      <c r="H297" s="30" t="s">
        <v>757</v>
      </c>
      <c r="I297" s="31">
        <f t="shared" si="13"/>
        <v>27</v>
      </c>
      <c r="J297" s="147" t="s">
        <v>1909</v>
      </c>
      <c r="K297" s="31">
        <f t="shared" si="14"/>
        <v>1</v>
      </c>
      <c r="L297" s="32">
        <f t="shared" si="15"/>
        <v>0.9642857142857143</v>
      </c>
      <c r="M297" s="70"/>
      <c r="N297" s="70"/>
      <c r="O297" s="70"/>
      <c r="P297" s="70"/>
      <c r="Q297" s="70" t="s">
        <v>2213</v>
      </c>
      <c r="R297" s="70"/>
      <c r="S297" s="70"/>
      <c r="T297" s="70"/>
      <c r="U297" s="70"/>
      <c r="V297" s="70"/>
      <c r="W297" s="70"/>
      <c r="X297" s="70"/>
      <c r="Y297" s="70"/>
      <c r="Z297" s="70"/>
      <c r="AA297" s="70"/>
      <c r="AB297" s="70"/>
      <c r="AC297" s="70"/>
      <c r="AD297" s="70"/>
      <c r="AE297" s="70"/>
      <c r="AF297" s="70"/>
      <c r="AG297" s="70"/>
      <c r="AH297" s="70"/>
      <c r="AI297" s="70"/>
      <c r="AJ297" s="70"/>
      <c r="AK297" s="70"/>
      <c r="AL297" s="70"/>
      <c r="AM297" s="70"/>
      <c r="AN297" s="70"/>
      <c r="AO297" s="70"/>
      <c r="AP297" s="70"/>
      <c r="AQ297" s="70"/>
    </row>
    <row r="298" spans="1:43" ht="15.75" thickBot="1" x14ac:dyDescent="0.3">
      <c r="A298" t="s">
        <v>214</v>
      </c>
      <c r="B298" t="s">
        <v>347</v>
      </c>
      <c r="C298" t="s">
        <v>1063</v>
      </c>
      <c r="D298" t="s">
        <v>346</v>
      </c>
      <c r="E298" s="30" t="s">
        <v>73</v>
      </c>
      <c r="F298" s="30" t="s">
        <v>28</v>
      </c>
      <c r="G298" s="30"/>
      <c r="H298" s="30" t="s">
        <v>758</v>
      </c>
      <c r="I298" s="31">
        <f t="shared" si="13"/>
        <v>28</v>
      </c>
      <c r="J298" s="147" t="s">
        <v>1910</v>
      </c>
      <c r="K298" s="31">
        <f t="shared" si="14"/>
        <v>0</v>
      </c>
      <c r="L298" s="32">
        <f t="shared" si="15"/>
        <v>1</v>
      </c>
      <c r="M298" s="70"/>
      <c r="N298" s="70"/>
      <c r="O298" s="70"/>
      <c r="P298" s="70"/>
      <c r="Q298" s="70"/>
      <c r="R298" s="70"/>
      <c r="S298" s="70"/>
      <c r="T298" s="70"/>
      <c r="U298" s="70"/>
      <c r="V298" s="70"/>
      <c r="W298" s="70"/>
      <c r="X298" s="70"/>
      <c r="Y298" s="70"/>
      <c r="Z298" s="70"/>
      <c r="AA298" s="70"/>
      <c r="AB298" s="70"/>
      <c r="AC298" s="70"/>
      <c r="AD298" s="70"/>
      <c r="AE298" s="70"/>
      <c r="AF298" s="70"/>
      <c r="AG298" s="70"/>
      <c r="AH298" s="70"/>
      <c r="AI298" s="70"/>
      <c r="AJ298" s="70"/>
      <c r="AK298" s="70"/>
      <c r="AL298" s="70"/>
      <c r="AM298" s="70"/>
      <c r="AN298" s="70"/>
      <c r="AO298" s="70"/>
      <c r="AP298" s="70"/>
      <c r="AQ298" s="70"/>
    </row>
    <row r="299" spans="1:43" ht="15.75" thickBot="1" x14ac:dyDescent="0.3">
      <c r="A299" t="s">
        <v>214</v>
      </c>
      <c r="B299" t="s">
        <v>1294</v>
      </c>
      <c r="C299" t="s">
        <v>1063</v>
      </c>
      <c r="D299" t="s">
        <v>979</v>
      </c>
      <c r="E299" s="30" t="s">
        <v>19</v>
      </c>
      <c r="F299" s="30" t="s">
        <v>28</v>
      </c>
      <c r="G299" s="30"/>
      <c r="H299" s="30" t="s">
        <v>1275</v>
      </c>
      <c r="I299" s="31">
        <f t="shared" si="13"/>
        <v>28</v>
      </c>
      <c r="J299" s="147" t="s">
        <v>1911</v>
      </c>
      <c r="K299" s="31">
        <f t="shared" si="14"/>
        <v>0</v>
      </c>
      <c r="L299" s="32">
        <f t="shared" si="15"/>
        <v>1</v>
      </c>
      <c r="M299" s="70"/>
      <c r="N299" s="70"/>
      <c r="O299" s="70"/>
      <c r="P299" s="70"/>
      <c r="Q299" s="70"/>
      <c r="R299" s="70"/>
      <c r="S299" s="70"/>
      <c r="T299" s="70"/>
      <c r="U299" s="70"/>
      <c r="V299" s="70"/>
      <c r="W299" s="70"/>
      <c r="X299" s="70"/>
      <c r="Y299" s="70"/>
      <c r="Z299" s="70"/>
      <c r="AA299" s="70"/>
      <c r="AB299" s="70"/>
      <c r="AC299" s="70"/>
      <c r="AD299" s="70"/>
      <c r="AE299" s="70"/>
      <c r="AF299" s="70"/>
      <c r="AG299" s="70"/>
      <c r="AH299" s="70"/>
      <c r="AI299" s="70"/>
      <c r="AJ299" s="70"/>
      <c r="AK299" s="70"/>
      <c r="AL299" s="70"/>
      <c r="AM299" s="70"/>
      <c r="AN299" s="70"/>
      <c r="AO299" s="70"/>
      <c r="AP299" s="70"/>
      <c r="AQ299" s="70"/>
    </row>
    <row r="300" spans="1:43" ht="15.75" thickBot="1" x14ac:dyDescent="0.3">
      <c r="A300" t="s">
        <v>287</v>
      </c>
      <c r="B300" t="s">
        <v>348</v>
      </c>
      <c r="C300" t="s">
        <v>1063</v>
      </c>
      <c r="D300" t="s">
        <v>349</v>
      </c>
      <c r="E300" s="30" t="s">
        <v>73</v>
      </c>
      <c r="F300" s="30" t="s">
        <v>28</v>
      </c>
      <c r="G300" s="30"/>
      <c r="H300" s="30" t="s">
        <v>760</v>
      </c>
      <c r="I300" s="31">
        <f t="shared" si="13"/>
        <v>28</v>
      </c>
      <c r="J300" s="147" t="s">
        <v>1912</v>
      </c>
      <c r="K300" s="31">
        <f t="shared" si="14"/>
        <v>0</v>
      </c>
      <c r="L300" s="32">
        <f t="shared" si="15"/>
        <v>1</v>
      </c>
      <c r="M300" s="70"/>
      <c r="N300" s="70"/>
      <c r="O300" s="70"/>
      <c r="P300" s="70"/>
      <c r="Q300" s="70"/>
      <c r="R300" s="70"/>
      <c r="S300" s="70"/>
      <c r="T300" s="70"/>
      <c r="U300" s="70"/>
      <c r="V300" s="70"/>
      <c r="W300" s="70"/>
      <c r="X300" s="70"/>
      <c r="Y300" s="70"/>
      <c r="Z300" s="70"/>
      <c r="AA300" s="70"/>
      <c r="AB300" s="70"/>
      <c r="AC300" s="70"/>
      <c r="AD300" s="70"/>
      <c r="AE300" s="70"/>
      <c r="AF300" s="70"/>
      <c r="AG300" s="70"/>
      <c r="AH300" s="70"/>
      <c r="AI300" s="70"/>
      <c r="AJ300" s="70"/>
      <c r="AK300" s="70"/>
      <c r="AL300" s="70"/>
      <c r="AM300" s="70"/>
      <c r="AN300" s="70"/>
      <c r="AO300" s="70"/>
      <c r="AP300" s="70"/>
      <c r="AQ300" s="70"/>
    </row>
    <row r="301" spans="1:43" ht="15.75" thickBot="1" x14ac:dyDescent="0.3">
      <c r="A301" t="s">
        <v>287</v>
      </c>
      <c r="B301" t="s">
        <v>364</v>
      </c>
      <c r="C301" t="s">
        <v>1063</v>
      </c>
      <c r="D301" t="s">
        <v>349</v>
      </c>
      <c r="E301" s="30" t="s">
        <v>15</v>
      </c>
      <c r="F301" s="30" t="s">
        <v>28</v>
      </c>
      <c r="G301" s="30"/>
      <c r="H301" s="30" t="s">
        <v>761</v>
      </c>
      <c r="I301" s="31">
        <f t="shared" si="13"/>
        <v>28</v>
      </c>
      <c r="J301" s="147" t="s">
        <v>1913</v>
      </c>
      <c r="K301" s="31">
        <f t="shared" si="14"/>
        <v>0</v>
      </c>
      <c r="L301" s="32">
        <f t="shared" si="15"/>
        <v>1</v>
      </c>
      <c r="M301" s="70"/>
      <c r="N301" s="70"/>
      <c r="O301" s="70"/>
      <c r="P301" s="70"/>
      <c r="Q301" s="70"/>
      <c r="R301" s="70"/>
      <c r="S301" s="70"/>
      <c r="T301" s="70"/>
      <c r="U301" s="70"/>
      <c r="V301" s="70"/>
      <c r="W301" s="70"/>
      <c r="X301" s="70"/>
      <c r="Y301" s="70"/>
      <c r="Z301" s="70"/>
      <c r="AA301" s="70"/>
      <c r="AB301" s="70"/>
      <c r="AC301" s="70"/>
      <c r="AD301" s="70"/>
      <c r="AE301" s="70"/>
      <c r="AF301" s="70"/>
      <c r="AG301" s="70"/>
      <c r="AH301" s="70"/>
      <c r="AI301" s="70"/>
      <c r="AJ301" s="70"/>
      <c r="AK301" s="70"/>
      <c r="AL301" s="70"/>
      <c r="AM301" s="70"/>
      <c r="AN301" s="70"/>
      <c r="AO301" s="70"/>
      <c r="AP301" s="70"/>
      <c r="AQ301" s="70"/>
    </row>
    <row r="302" spans="1:43" ht="15.75" thickBot="1" x14ac:dyDescent="0.3">
      <c r="A302" t="s">
        <v>287</v>
      </c>
      <c r="B302" t="s">
        <v>980</v>
      </c>
      <c r="C302" t="s">
        <v>1063</v>
      </c>
      <c r="D302" t="s">
        <v>981</v>
      </c>
      <c r="E302" s="30" t="s">
        <v>73</v>
      </c>
      <c r="F302" s="30" t="s">
        <v>28</v>
      </c>
      <c r="G302" s="30"/>
      <c r="H302" s="30" t="s">
        <v>1276</v>
      </c>
      <c r="I302" s="31">
        <f t="shared" si="13"/>
        <v>28</v>
      </c>
      <c r="J302" s="147" t="s">
        <v>1914</v>
      </c>
      <c r="K302" s="31">
        <f t="shared" si="14"/>
        <v>0</v>
      </c>
      <c r="L302" s="32">
        <f t="shared" si="15"/>
        <v>1</v>
      </c>
      <c r="M302" s="70"/>
      <c r="N302" s="70"/>
      <c r="O302" s="70"/>
      <c r="P302" s="70"/>
      <c r="Q302" s="70"/>
      <c r="R302" s="70"/>
      <c r="S302" s="70"/>
      <c r="T302" s="70"/>
      <c r="U302" s="70"/>
      <c r="V302" s="70"/>
      <c r="W302" s="70"/>
      <c r="X302" s="70"/>
      <c r="Y302" s="70"/>
      <c r="Z302" s="70"/>
      <c r="AA302" s="70"/>
      <c r="AB302" s="70"/>
      <c r="AC302" s="70"/>
      <c r="AD302" s="70"/>
      <c r="AE302" s="70"/>
      <c r="AF302" s="70"/>
      <c r="AG302" s="70"/>
      <c r="AH302" s="70"/>
      <c r="AI302" s="70"/>
      <c r="AJ302" s="70"/>
      <c r="AK302" s="70"/>
      <c r="AL302" s="70"/>
      <c r="AM302" s="70"/>
      <c r="AN302" s="70"/>
      <c r="AO302" s="70"/>
      <c r="AP302" s="70"/>
      <c r="AQ302" s="70"/>
    </row>
    <row r="303" spans="1:43" ht="15.75" thickBot="1" x14ac:dyDescent="0.3">
      <c r="A303" t="s">
        <v>350</v>
      </c>
      <c r="B303" t="s">
        <v>351</v>
      </c>
      <c r="C303" t="s">
        <v>1063</v>
      </c>
      <c r="D303" t="s">
        <v>352</v>
      </c>
      <c r="E303" s="30" t="s">
        <v>15</v>
      </c>
      <c r="F303" s="30" t="s">
        <v>28</v>
      </c>
      <c r="G303" s="30"/>
      <c r="H303" s="30" t="s">
        <v>762</v>
      </c>
      <c r="I303" s="31">
        <f t="shared" si="13"/>
        <v>28</v>
      </c>
      <c r="J303" s="147" t="s">
        <v>1915</v>
      </c>
      <c r="K303" s="31">
        <f t="shared" si="14"/>
        <v>0</v>
      </c>
      <c r="L303" s="32">
        <f t="shared" si="15"/>
        <v>1</v>
      </c>
      <c r="M303" s="70"/>
      <c r="N303" s="70"/>
      <c r="O303" s="70"/>
      <c r="P303" s="70"/>
      <c r="Q303" s="70"/>
      <c r="R303" s="70"/>
      <c r="S303" s="70"/>
      <c r="T303" s="70"/>
      <c r="U303" s="70"/>
      <c r="V303" s="70"/>
      <c r="W303" s="70"/>
      <c r="X303" s="70"/>
      <c r="Y303" s="70"/>
      <c r="Z303" s="70"/>
      <c r="AA303" s="70"/>
      <c r="AB303" s="70"/>
      <c r="AC303" s="70"/>
      <c r="AD303" s="70"/>
      <c r="AE303" s="70"/>
      <c r="AF303" s="70"/>
      <c r="AG303" s="70"/>
      <c r="AH303" s="70"/>
      <c r="AI303" s="70"/>
      <c r="AJ303" s="70"/>
      <c r="AK303" s="70"/>
      <c r="AL303" s="70"/>
      <c r="AM303" s="70"/>
      <c r="AN303" s="70"/>
      <c r="AO303" s="70"/>
      <c r="AP303" s="70"/>
      <c r="AQ303" s="70"/>
    </row>
    <row r="304" spans="1:43" ht="15.75" thickBot="1" x14ac:dyDescent="0.3">
      <c r="A304" t="s">
        <v>350</v>
      </c>
      <c r="B304" t="s">
        <v>353</v>
      </c>
      <c r="C304" t="s">
        <v>1063</v>
      </c>
      <c r="D304" t="s">
        <v>352</v>
      </c>
      <c r="E304" s="30" t="s">
        <v>73</v>
      </c>
      <c r="F304" s="30" t="s">
        <v>28</v>
      </c>
      <c r="G304" s="30"/>
      <c r="H304" s="30" t="s">
        <v>763</v>
      </c>
      <c r="I304" s="31">
        <f t="shared" si="13"/>
        <v>28</v>
      </c>
      <c r="J304" s="147" t="s">
        <v>1916</v>
      </c>
      <c r="K304" s="31">
        <f t="shared" si="14"/>
        <v>0</v>
      </c>
      <c r="L304" s="32">
        <f t="shared" si="15"/>
        <v>1</v>
      </c>
      <c r="M304" s="70"/>
      <c r="N304" s="70"/>
      <c r="O304" s="70"/>
      <c r="P304" s="70"/>
      <c r="Q304" s="70"/>
      <c r="R304" s="70"/>
      <c r="S304" s="70"/>
      <c r="T304" s="70"/>
      <c r="U304" s="70"/>
      <c r="V304" s="70"/>
      <c r="W304" s="70"/>
      <c r="X304" s="70"/>
      <c r="Y304" s="70"/>
      <c r="Z304" s="70"/>
      <c r="AA304" s="70"/>
      <c r="AB304" s="70"/>
      <c r="AC304" s="70"/>
      <c r="AD304" s="70"/>
      <c r="AE304" s="70"/>
      <c r="AF304" s="70"/>
      <c r="AG304" s="70"/>
      <c r="AH304" s="70"/>
      <c r="AI304" s="70"/>
      <c r="AJ304" s="70"/>
      <c r="AK304" s="70"/>
      <c r="AL304" s="70"/>
      <c r="AM304" s="70"/>
      <c r="AN304" s="70"/>
      <c r="AO304" s="70"/>
      <c r="AP304" s="70"/>
      <c r="AQ304" s="70"/>
    </row>
    <row r="305" spans="1:43" ht="15.75" thickBot="1" x14ac:dyDescent="0.3">
      <c r="A305" t="s">
        <v>350</v>
      </c>
      <c r="B305" t="s">
        <v>982</v>
      </c>
      <c r="C305" t="s">
        <v>1063</v>
      </c>
      <c r="D305" t="s">
        <v>352</v>
      </c>
      <c r="E305" s="30" t="s">
        <v>19</v>
      </c>
      <c r="F305" s="30" t="s">
        <v>28</v>
      </c>
      <c r="G305" s="30"/>
      <c r="H305" s="30" t="s">
        <v>1277</v>
      </c>
      <c r="I305" s="31">
        <f t="shared" si="13"/>
        <v>28</v>
      </c>
      <c r="J305" s="147" t="s">
        <v>1917</v>
      </c>
      <c r="K305" s="31">
        <f t="shared" si="14"/>
        <v>0</v>
      </c>
      <c r="L305" s="32">
        <f t="shared" si="15"/>
        <v>1</v>
      </c>
      <c r="M305" s="70"/>
      <c r="N305" s="70"/>
      <c r="O305" s="70"/>
      <c r="P305" s="70"/>
      <c r="Q305" s="70"/>
      <c r="R305" s="70"/>
      <c r="S305" s="70"/>
      <c r="T305" s="70"/>
      <c r="U305" s="70"/>
      <c r="V305" s="70"/>
      <c r="W305" s="70"/>
      <c r="X305" s="70"/>
      <c r="Y305" s="70"/>
      <c r="Z305" s="70"/>
      <c r="AA305" s="70"/>
      <c r="AB305" s="70"/>
      <c r="AC305" s="70"/>
      <c r="AD305" s="70"/>
      <c r="AE305" s="70"/>
      <c r="AF305" s="70"/>
      <c r="AG305" s="70"/>
      <c r="AH305" s="70"/>
      <c r="AI305" s="70"/>
      <c r="AJ305" s="70"/>
      <c r="AK305" s="70"/>
      <c r="AL305" s="70"/>
      <c r="AM305" s="70"/>
      <c r="AN305" s="70"/>
      <c r="AO305" s="70"/>
      <c r="AP305" s="70"/>
      <c r="AQ305" s="70"/>
    </row>
    <row r="306" spans="1:43" ht="15.75" thickBot="1" x14ac:dyDescent="0.3">
      <c r="A306" t="s">
        <v>354</v>
      </c>
      <c r="B306" t="s">
        <v>975</v>
      </c>
      <c r="C306" t="s">
        <v>1063</v>
      </c>
      <c r="D306" t="s">
        <v>355</v>
      </c>
      <c r="E306" s="30" t="s">
        <v>15</v>
      </c>
      <c r="F306" s="30" t="s">
        <v>28</v>
      </c>
      <c r="G306" s="30"/>
      <c r="H306" s="30" t="s">
        <v>768</v>
      </c>
      <c r="I306" s="31">
        <f t="shared" si="13"/>
        <v>28</v>
      </c>
      <c r="J306" s="87"/>
      <c r="K306" s="31">
        <f t="shared" si="14"/>
        <v>0</v>
      </c>
      <c r="L306" s="32">
        <f t="shared" si="15"/>
        <v>1</v>
      </c>
      <c r="M306" s="70"/>
      <c r="N306" s="70"/>
      <c r="O306" s="70"/>
      <c r="P306" s="70"/>
      <c r="Q306" s="70"/>
      <c r="R306" s="70"/>
      <c r="S306" s="70"/>
      <c r="T306" s="70"/>
      <c r="U306" s="70"/>
      <c r="V306" s="70"/>
      <c r="W306" s="70"/>
      <c r="X306" s="70"/>
      <c r="Y306" s="70"/>
      <c r="Z306" s="70"/>
      <c r="AA306" s="70"/>
      <c r="AB306" s="70"/>
      <c r="AC306" s="70"/>
      <c r="AD306" s="70"/>
      <c r="AE306" s="70"/>
      <c r="AF306" s="70"/>
      <c r="AG306" s="70"/>
      <c r="AH306" s="70"/>
      <c r="AI306" s="70"/>
      <c r="AJ306" s="70"/>
      <c r="AK306" s="70"/>
      <c r="AL306" s="70"/>
      <c r="AM306" s="70"/>
      <c r="AN306" s="70"/>
      <c r="AO306" s="70"/>
      <c r="AP306" s="70"/>
      <c r="AQ306" s="70"/>
    </row>
    <row r="307" spans="1:43" s="73" customFormat="1" ht="15.75" thickBot="1" x14ac:dyDescent="0.3">
      <c r="A307" s="73" t="s">
        <v>196</v>
      </c>
      <c r="B307" s="73" t="s">
        <v>356</v>
      </c>
      <c r="C307" s="73" t="s">
        <v>1063</v>
      </c>
      <c r="D307" s="73" t="s">
        <v>357</v>
      </c>
      <c r="E307" s="85" t="s">
        <v>15</v>
      </c>
      <c r="F307" s="85" t="s">
        <v>1301</v>
      </c>
      <c r="G307" s="85"/>
      <c r="H307" s="85" t="s">
        <v>764</v>
      </c>
      <c r="I307" s="142">
        <f t="shared" si="13"/>
        <v>20</v>
      </c>
      <c r="J307" s="147" t="s">
        <v>1918</v>
      </c>
      <c r="K307" s="142">
        <f t="shared" si="14"/>
        <v>8</v>
      </c>
      <c r="L307" s="143">
        <f t="shared" si="15"/>
        <v>0.7142857142857143</v>
      </c>
      <c r="M307" s="70" t="s">
        <v>2213</v>
      </c>
      <c r="N307" s="70" t="s">
        <v>2213</v>
      </c>
      <c r="O307" s="70" t="s">
        <v>2213</v>
      </c>
      <c r="P307" s="70" t="s">
        <v>2213</v>
      </c>
      <c r="Q307" s="70" t="s">
        <v>2213</v>
      </c>
      <c r="R307" s="70" t="s">
        <v>2213</v>
      </c>
      <c r="S307" s="70" t="s">
        <v>2213</v>
      </c>
      <c r="T307" s="70" t="s">
        <v>2213</v>
      </c>
      <c r="U307" s="70"/>
      <c r="V307" s="70"/>
      <c r="W307" s="70"/>
      <c r="X307" s="70"/>
      <c r="Y307" s="70"/>
      <c r="Z307" s="70"/>
      <c r="AA307" s="70"/>
      <c r="AB307" s="70"/>
      <c r="AC307" s="70"/>
      <c r="AD307" s="70"/>
      <c r="AE307" s="70"/>
      <c r="AF307" s="70"/>
      <c r="AG307" s="70"/>
      <c r="AH307" s="70"/>
      <c r="AI307" s="70"/>
      <c r="AJ307" s="70"/>
      <c r="AK307" s="70"/>
      <c r="AL307" s="70"/>
      <c r="AM307" s="70"/>
      <c r="AN307" s="70"/>
      <c r="AO307" s="70"/>
      <c r="AP307" s="89"/>
      <c r="AQ307" s="89"/>
    </row>
    <row r="308" spans="1:43" s="73" customFormat="1" ht="15.75" thickBot="1" x14ac:dyDescent="0.3">
      <c r="A308" s="73" t="s">
        <v>196</v>
      </c>
      <c r="B308" s="73" t="s">
        <v>358</v>
      </c>
      <c r="C308" s="73" t="s">
        <v>1063</v>
      </c>
      <c r="D308" s="73" t="s">
        <v>357</v>
      </c>
      <c r="E308" s="85" t="s">
        <v>73</v>
      </c>
      <c r="F308" s="85" t="s">
        <v>1301</v>
      </c>
      <c r="G308" s="85"/>
      <c r="H308" s="85" t="s">
        <v>1632</v>
      </c>
      <c r="I308" s="142">
        <f t="shared" si="13"/>
        <v>28</v>
      </c>
      <c r="J308" s="147" t="s">
        <v>2153</v>
      </c>
      <c r="K308" s="142">
        <f t="shared" si="14"/>
        <v>0</v>
      </c>
      <c r="L308" s="143">
        <f t="shared" si="15"/>
        <v>1</v>
      </c>
      <c r="M308" s="70"/>
      <c r="N308" s="70"/>
      <c r="O308" s="70"/>
      <c r="P308" s="70"/>
      <c r="Q308" s="70"/>
      <c r="R308" s="70"/>
      <c r="S308" s="70"/>
      <c r="T308" s="70"/>
      <c r="U308" s="70"/>
      <c r="V308" s="70"/>
      <c r="W308" s="70"/>
      <c r="X308" s="70"/>
      <c r="Y308" s="70"/>
      <c r="Z308" s="70"/>
      <c r="AA308" s="70"/>
      <c r="AB308" s="70"/>
      <c r="AC308" s="70"/>
      <c r="AD308" s="70"/>
      <c r="AE308" s="70"/>
      <c r="AF308" s="70"/>
      <c r="AG308" s="70"/>
      <c r="AH308" s="70"/>
      <c r="AI308" s="70"/>
      <c r="AJ308" s="70"/>
      <c r="AK308" s="70"/>
      <c r="AL308" s="70"/>
      <c r="AM308" s="70"/>
      <c r="AN308" s="70"/>
      <c r="AO308" s="70"/>
      <c r="AP308" s="89"/>
      <c r="AQ308" s="89"/>
    </row>
    <row r="309" spans="1:43" s="73" customFormat="1" ht="15.75" thickBot="1" x14ac:dyDescent="0.3">
      <c r="A309" s="73" t="s">
        <v>196</v>
      </c>
      <c r="B309" s="73" t="s">
        <v>983</v>
      </c>
      <c r="C309" s="73" t="s">
        <v>1063</v>
      </c>
      <c r="D309" s="73" t="s">
        <v>984</v>
      </c>
      <c r="E309" s="85" t="s">
        <v>73</v>
      </c>
      <c r="F309" s="85" t="s">
        <v>1301</v>
      </c>
      <c r="G309" s="85"/>
      <c r="H309" s="85" t="s">
        <v>1278</v>
      </c>
      <c r="I309" s="31">
        <f t="shared" ref="I309:I379" si="16">COUNTIF(M309:AN309,"")</f>
        <v>20</v>
      </c>
      <c r="J309" s="147" t="s">
        <v>1919</v>
      </c>
      <c r="K309" s="31">
        <f t="shared" ref="K309:K379" si="17">COUNTIF(M309:AN309,"APAGADO")</f>
        <v>8</v>
      </c>
      <c r="L309" s="32">
        <f t="shared" ref="L309:L379" si="18">(I309)/(K309+I309)</f>
        <v>0.7142857142857143</v>
      </c>
      <c r="M309" s="70" t="s">
        <v>2213</v>
      </c>
      <c r="N309" s="70" t="s">
        <v>2213</v>
      </c>
      <c r="O309" s="70" t="s">
        <v>2213</v>
      </c>
      <c r="P309" s="70" t="s">
        <v>2213</v>
      </c>
      <c r="Q309" s="70" t="s">
        <v>2213</v>
      </c>
      <c r="R309" s="70" t="s">
        <v>2213</v>
      </c>
      <c r="S309" s="70" t="s">
        <v>2213</v>
      </c>
      <c r="T309" s="70" t="s">
        <v>2213</v>
      </c>
      <c r="U309" s="70"/>
      <c r="V309" s="70"/>
      <c r="W309" s="70"/>
      <c r="X309" s="70"/>
      <c r="Y309" s="70"/>
      <c r="Z309" s="70"/>
      <c r="AA309" s="70"/>
      <c r="AB309" s="70"/>
      <c r="AC309" s="70"/>
      <c r="AD309" s="70"/>
      <c r="AE309" s="70"/>
      <c r="AF309" s="70"/>
      <c r="AG309" s="70"/>
      <c r="AH309" s="70"/>
      <c r="AI309" s="70"/>
      <c r="AJ309" s="70"/>
      <c r="AK309" s="70"/>
      <c r="AL309" s="70"/>
      <c r="AM309" s="70"/>
      <c r="AN309" s="70"/>
      <c r="AO309" s="70"/>
      <c r="AP309" s="89"/>
      <c r="AQ309" s="89"/>
    </row>
    <row r="310" spans="1:43" s="73" customFormat="1" ht="15.75" thickBot="1" x14ac:dyDescent="0.3">
      <c r="A310" s="73" t="s">
        <v>359</v>
      </c>
      <c r="B310" s="73" t="s">
        <v>1209</v>
      </c>
      <c r="C310" s="73" t="s">
        <v>1063</v>
      </c>
      <c r="D310" s="73" t="s">
        <v>1210</v>
      </c>
      <c r="E310" s="85" t="s">
        <v>15</v>
      </c>
      <c r="F310" s="85" t="s">
        <v>1301</v>
      </c>
      <c r="G310" s="85"/>
      <c r="H310" s="85" t="s">
        <v>769</v>
      </c>
      <c r="I310" s="142">
        <f t="shared" si="16"/>
        <v>20</v>
      </c>
      <c r="J310" s="147" t="s">
        <v>1920</v>
      </c>
      <c r="K310" s="142">
        <f t="shared" si="17"/>
        <v>8</v>
      </c>
      <c r="L310" s="143">
        <f t="shared" si="18"/>
        <v>0.7142857142857143</v>
      </c>
      <c r="M310" s="70" t="s">
        <v>2213</v>
      </c>
      <c r="N310" s="70" t="s">
        <v>2213</v>
      </c>
      <c r="O310" s="70" t="s">
        <v>2213</v>
      </c>
      <c r="P310" s="70" t="s">
        <v>2213</v>
      </c>
      <c r="Q310" s="70" t="s">
        <v>2213</v>
      </c>
      <c r="R310" s="70" t="s">
        <v>2213</v>
      </c>
      <c r="S310" s="70" t="s">
        <v>2213</v>
      </c>
      <c r="T310" s="70" t="s">
        <v>2213</v>
      </c>
      <c r="U310" s="70"/>
      <c r="V310" s="70"/>
      <c r="W310" s="70"/>
      <c r="X310" s="70"/>
      <c r="Y310" s="70"/>
      <c r="Z310" s="70"/>
      <c r="AA310" s="70"/>
      <c r="AB310" s="70"/>
      <c r="AC310" s="70"/>
      <c r="AD310" s="70"/>
      <c r="AE310" s="70"/>
      <c r="AF310" s="70"/>
      <c r="AG310" s="70"/>
      <c r="AH310" s="70"/>
      <c r="AI310" s="70"/>
      <c r="AJ310" s="70"/>
      <c r="AK310" s="70"/>
      <c r="AL310" s="70"/>
      <c r="AM310" s="70"/>
      <c r="AN310" s="70"/>
      <c r="AO310" s="70"/>
      <c r="AP310" s="89"/>
      <c r="AQ310" s="89"/>
    </row>
    <row r="311" spans="1:43" s="73" customFormat="1" ht="15.75" thickBot="1" x14ac:dyDescent="0.3">
      <c r="A311" s="73" t="s">
        <v>359</v>
      </c>
      <c r="B311" s="73" t="s">
        <v>360</v>
      </c>
      <c r="C311" s="73" t="s">
        <v>1063</v>
      </c>
      <c r="D311" s="73" t="s">
        <v>1210</v>
      </c>
      <c r="E311" s="85" t="s">
        <v>73</v>
      </c>
      <c r="F311" s="85" t="s">
        <v>1301</v>
      </c>
      <c r="G311" s="85"/>
      <c r="H311" s="85" t="s">
        <v>770</v>
      </c>
      <c r="I311" s="142">
        <f t="shared" si="16"/>
        <v>20</v>
      </c>
      <c r="J311" s="87" t="s">
        <v>2197</v>
      </c>
      <c r="K311" s="142">
        <f t="shared" si="17"/>
        <v>8</v>
      </c>
      <c r="L311" s="143">
        <f t="shared" si="18"/>
        <v>0.7142857142857143</v>
      </c>
      <c r="M311" s="70" t="s">
        <v>2213</v>
      </c>
      <c r="N311" s="70" t="s">
        <v>2213</v>
      </c>
      <c r="O311" s="70" t="s">
        <v>2213</v>
      </c>
      <c r="P311" s="70" t="s">
        <v>2213</v>
      </c>
      <c r="Q311" s="70" t="s">
        <v>2213</v>
      </c>
      <c r="R311" s="70" t="s">
        <v>2213</v>
      </c>
      <c r="S311" s="70" t="s">
        <v>2213</v>
      </c>
      <c r="T311" s="70" t="s">
        <v>2213</v>
      </c>
      <c r="U311" s="70"/>
      <c r="V311" s="70"/>
      <c r="W311" s="70"/>
      <c r="X311" s="70"/>
      <c r="Y311" s="70"/>
      <c r="Z311" s="70"/>
      <c r="AA311" s="70"/>
      <c r="AB311" s="70"/>
      <c r="AC311" s="70"/>
      <c r="AD311" s="70"/>
      <c r="AE311" s="70"/>
      <c r="AF311" s="70"/>
      <c r="AG311" s="70"/>
      <c r="AH311" s="70"/>
      <c r="AI311" s="70"/>
      <c r="AJ311" s="70"/>
      <c r="AK311" s="70"/>
      <c r="AL311" s="70"/>
      <c r="AM311" s="70"/>
      <c r="AN311" s="70"/>
      <c r="AO311" s="70"/>
      <c r="AP311" s="89"/>
      <c r="AQ311" s="89"/>
    </row>
    <row r="312" spans="1:43" s="73" customFormat="1" ht="15.75" thickBot="1" x14ac:dyDescent="0.3">
      <c r="A312" s="73" t="s">
        <v>359</v>
      </c>
      <c r="B312" s="73" t="s">
        <v>985</v>
      </c>
      <c r="C312" s="73" t="s">
        <v>1063</v>
      </c>
      <c r="D312" s="73" t="s">
        <v>986</v>
      </c>
      <c r="E312" s="85" t="s">
        <v>19</v>
      </c>
      <c r="F312" s="85" t="s">
        <v>1301</v>
      </c>
      <c r="G312" s="85"/>
      <c r="H312" s="85" t="s">
        <v>1279</v>
      </c>
      <c r="I312" s="142">
        <f t="shared" si="16"/>
        <v>20</v>
      </c>
      <c r="J312" s="147" t="s">
        <v>1921</v>
      </c>
      <c r="K312" s="142">
        <f t="shared" si="17"/>
        <v>8</v>
      </c>
      <c r="L312" s="143">
        <f t="shared" si="18"/>
        <v>0.7142857142857143</v>
      </c>
      <c r="M312" s="70" t="s">
        <v>2213</v>
      </c>
      <c r="N312" s="70" t="s">
        <v>2213</v>
      </c>
      <c r="O312" s="70" t="s">
        <v>2213</v>
      </c>
      <c r="P312" s="70" t="s">
        <v>2213</v>
      </c>
      <c r="Q312" s="70" t="s">
        <v>2213</v>
      </c>
      <c r="R312" s="70" t="s">
        <v>2213</v>
      </c>
      <c r="S312" s="70" t="s">
        <v>2213</v>
      </c>
      <c r="T312" s="70" t="s">
        <v>2213</v>
      </c>
      <c r="U312" s="70"/>
      <c r="V312" s="70"/>
      <c r="W312" s="70"/>
      <c r="X312" s="70"/>
      <c r="Y312" s="70"/>
      <c r="Z312" s="70"/>
      <c r="AA312" s="70"/>
      <c r="AB312" s="70"/>
      <c r="AC312" s="70"/>
      <c r="AD312" s="70"/>
      <c r="AE312" s="70"/>
      <c r="AF312" s="70"/>
      <c r="AG312" s="70"/>
      <c r="AH312" s="70"/>
      <c r="AI312" s="70"/>
      <c r="AJ312" s="70"/>
      <c r="AK312" s="70"/>
      <c r="AL312" s="70"/>
      <c r="AM312" s="70"/>
      <c r="AN312" s="70"/>
      <c r="AO312" s="70"/>
      <c r="AP312" s="89"/>
      <c r="AQ312" s="89"/>
    </row>
    <row r="313" spans="1:43" ht="15.75" thickBot="1" x14ac:dyDescent="0.3">
      <c r="A313" t="s">
        <v>350</v>
      </c>
      <c r="B313" t="s">
        <v>361</v>
      </c>
      <c r="C313" t="s">
        <v>1063</v>
      </c>
      <c r="D313" t="s">
        <v>362</v>
      </c>
      <c r="E313" s="30" t="s">
        <v>15</v>
      </c>
      <c r="F313" s="30" t="s">
        <v>28</v>
      </c>
      <c r="G313" s="30"/>
      <c r="H313" s="30" t="s">
        <v>766</v>
      </c>
      <c r="I313" s="31">
        <f t="shared" si="16"/>
        <v>21</v>
      </c>
      <c r="J313" s="147" t="s">
        <v>1922</v>
      </c>
      <c r="K313" s="31">
        <f t="shared" si="17"/>
        <v>7</v>
      </c>
      <c r="L313" s="32">
        <f t="shared" si="18"/>
        <v>0.75</v>
      </c>
      <c r="M313" s="70"/>
      <c r="N313" s="70" t="s">
        <v>2213</v>
      </c>
      <c r="O313" s="70" t="s">
        <v>2213</v>
      </c>
      <c r="P313" s="70" t="s">
        <v>2213</v>
      </c>
      <c r="Q313" s="70" t="s">
        <v>2213</v>
      </c>
      <c r="R313" s="70" t="s">
        <v>2213</v>
      </c>
      <c r="S313" s="70" t="s">
        <v>2213</v>
      </c>
      <c r="T313" s="70" t="s">
        <v>2213</v>
      </c>
      <c r="U313" s="70"/>
      <c r="V313" s="70"/>
      <c r="W313" s="70"/>
      <c r="X313" s="70"/>
      <c r="Y313" s="70"/>
      <c r="Z313" s="70"/>
      <c r="AA313" s="70"/>
      <c r="AB313" s="70"/>
      <c r="AC313" s="70"/>
      <c r="AD313" s="70"/>
      <c r="AE313" s="70"/>
      <c r="AF313" s="70"/>
      <c r="AG313" s="70"/>
      <c r="AH313" s="70"/>
      <c r="AI313" s="70"/>
      <c r="AJ313" s="70"/>
      <c r="AK313" s="70"/>
      <c r="AL313" s="70"/>
      <c r="AM313" s="70"/>
      <c r="AN313" s="70"/>
      <c r="AO313" s="70"/>
      <c r="AP313" s="70"/>
      <c r="AQ313" s="70"/>
    </row>
    <row r="314" spans="1:43" ht="15.75" thickBot="1" x14ac:dyDescent="0.3">
      <c r="A314" t="s">
        <v>350</v>
      </c>
      <c r="B314" t="s">
        <v>363</v>
      </c>
      <c r="C314" t="s">
        <v>1063</v>
      </c>
      <c r="D314" t="s">
        <v>362</v>
      </c>
      <c r="E314" s="30" t="s">
        <v>73</v>
      </c>
      <c r="F314" s="30" t="s">
        <v>28</v>
      </c>
      <c r="G314" s="30"/>
      <c r="H314" s="30" t="s">
        <v>765</v>
      </c>
      <c r="I314" s="31">
        <f t="shared" si="16"/>
        <v>24</v>
      </c>
      <c r="J314" s="147" t="s">
        <v>1923</v>
      </c>
      <c r="K314" s="31">
        <f t="shared" si="17"/>
        <v>4</v>
      </c>
      <c r="L314" s="32">
        <f t="shared" si="18"/>
        <v>0.8571428571428571</v>
      </c>
      <c r="M314" s="70"/>
      <c r="N314" s="70"/>
      <c r="O314" s="70"/>
      <c r="P314" s="70" t="s">
        <v>2213</v>
      </c>
      <c r="Q314" s="70"/>
      <c r="R314" s="70" t="s">
        <v>2213</v>
      </c>
      <c r="S314" s="70" t="s">
        <v>2213</v>
      </c>
      <c r="T314" s="70" t="s">
        <v>2213</v>
      </c>
      <c r="U314" s="70"/>
      <c r="V314" s="70"/>
      <c r="W314" s="70"/>
      <c r="X314" s="70"/>
      <c r="Y314" s="70"/>
      <c r="Z314" s="70"/>
      <c r="AA314" s="70"/>
      <c r="AB314" s="70"/>
      <c r="AC314" s="70"/>
      <c r="AD314" s="70"/>
      <c r="AE314" s="70"/>
      <c r="AF314" s="70"/>
      <c r="AG314" s="70"/>
      <c r="AH314" s="70"/>
      <c r="AI314" s="70"/>
      <c r="AJ314" s="70"/>
      <c r="AK314" s="70"/>
      <c r="AL314" s="70"/>
      <c r="AM314" s="70"/>
      <c r="AN314" s="70"/>
      <c r="AO314" s="70"/>
      <c r="AP314" s="70"/>
      <c r="AQ314" s="70"/>
    </row>
    <row r="315" spans="1:43" ht="15.75" thickBot="1" x14ac:dyDescent="0.3">
      <c r="A315" t="s">
        <v>350</v>
      </c>
      <c r="B315" t="s">
        <v>987</v>
      </c>
      <c r="C315" t="s">
        <v>1063</v>
      </c>
      <c r="D315" t="s">
        <v>988</v>
      </c>
      <c r="E315" s="30" t="s">
        <v>73</v>
      </c>
      <c r="F315" s="30" t="s">
        <v>28</v>
      </c>
      <c r="G315" s="30"/>
      <c r="H315" s="30" t="s">
        <v>1280</v>
      </c>
      <c r="I315" s="31">
        <f t="shared" si="16"/>
        <v>27</v>
      </c>
      <c r="J315" s="147" t="s">
        <v>1924</v>
      </c>
      <c r="K315" s="31">
        <f t="shared" si="17"/>
        <v>1</v>
      </c>
      <c r="L315" s="32">
        <f t="shared" si="18"/>
        <v>0.9642857142857143</v>
      </c>
      <c r="M315" s="70"/>
      <c r="N315" s="70"/>
      <c r="O315" s="70"/>
      <c r="P315" s="70" t="s">
        <v>2213</v>
      </c>
      <c r="Q315" s="70"/>
      <c r="R315" s="70"/>
      <c r="S315" s="70"/>
      <c r="T315" s="70"/>
      <c r="U315" s="70"/>
      <c r="V315" s="70"/>
      <c r="W315" s="70"/>
      <c r="X315" s="70"/>
      <c r="Y315" s="70"/>
      <c r="Z315" s="70"/>
      <c r="AA315" s="70"/>
      <c r="AB315" s="70"/>
      <c r="AC315" s="70"/>
      <c r="AD315" s="70"/>
      <c r="AE315" s="70"/>
      <c r="AF315" s="70"/>
      <c r="AG315" s="70"/>
      <c r="AH315" s="70"/>
      <c r="AI315" s="70"/>
      <c r="AJ315" s="70"/>
      <c r="AK315" s="70"/>
      <c r="AL315" s="70"/>
      <c r="AM315" s="70"/>
      <c r="AN315" s="70"/>
      <c r="AO315" s="70"/>
      <c r="AP315" s="70"/>
      <c r="AQ315" s="70"/>
    </row>
    <row r="316" spans="1:43" ht="15.75" thickBot="1" x14ac:dyDescent="0.3">
      <c r="A316" t="s">
        <v>229</v>
      </c>
      <c r="B316" t="s">
        <v>1291</v>
      </c>
      <c r="C316" t="s">
        <v>1063</v>
      </c>
      <c r="D316" t="s">
        <v>990</v>
      </c>
      <c r="E316" s="30" t="s">
        <v>73</v>
      </c>
      <c r="F316" s="30" t="s">
        <v>28</v>
      </c>
      <c r="G316" s="30"/>
      <c r="H316" s="30" t="s">
        <v>767</v>
      </c>
      <c r="I316" s="31">
        <f t="shared" si="16"/>
        <v>27</v>
      </c>
      <c r="J316" s="147" t="s">
        <v>1925</v>
      </c>
      <c r="K316" s="31">
        <f t="shared" si="17"/>
        <v>1</v>
      </c>
      <c r="L316" s="32">
        <f t="shared" si="18"/>
        <v>0.9642857142857143</v>
      </c>
      <c r="M316" s="70" t="s">
        <v>2213</v>
      </c>
      <c r="N316" s="70"/>
      <c r="O316" s="70"/>
      <c r="P316" s="70"/>
      <c r="Q316" s="70"/>
      <c r="R316" s="70"/>
      <c r="S316" s="70"/>
      <c r="T316" s="70"/>
      <c r="U316" s="70"/>
      <c r="V316" s="70"/>
      <c r="W316" s="70"/>
      <c r="X316" s="70"/>
      <c r="Y316" s="70"/>
      <c r="Z316" s="70"/>
      <c r="AA316" s="70"/>
      <c r="AB316" s="70"/>
      <c r="AC316" s="70"/>
      <c r="AD316" s="70"/>
      <c r="AE316" s="70"/>
      <c r="AF316" s="70"/>
      <c r="AG316" s="70"/>
      <c r="AH316" s="70"/>
      <c r="AI316" s="70"/>
      <c r="AJ316" s="70"/>
      <c r="AK316" s="70"/>
      <c r="AL316" s="70"/>
      <c r="AM316" s="70"/>
      <c r="AN316" s="70"/>
      <c r="AO316" s="70"/>
      <c r="AP316" s="70"/>
      <c r="AQ316" s="70"/>
    </row>
    <row r="317" spans="1:43" ht="15.75" thickBot="1" x14ac:dyDescent="0.3">
      <c r="A317" t="s">
        <v>229</v>
      </c>
      <c r="B317" t="s">
        <v>1292</v>
      </c>
      <c r="C317" t="s">
        <v>1063</v>
      </c>
      <c r="D317" t="s">
        <v>990</v>
      </c>
      <c r="E317" s="30" t="s">
        <v>73</v>
      </c>
      <c r="F317" s="30" t="s">
        <v>28</v>
      </c>
      <c r="G317" s="30"/>
      <c r="H317" s="30" t="s">
        <v>759</v>
      </c>
      <c r="I317" s="31">
        <f t="shared" si="16"/>
        <v>27</v>
      </c>
      <c r="J317" s="147" t="s">
        <v>1926</v>
      </c>
      <c r="K317" s="31">
        <f t="shared" si="17"/>
        <v>1</v>
      </c>
      <c r="L317" s="32">
        <f t="shared" si="18"/>
        <v>0.9642857142857143</v>
      </c>
      <c r="M317" s="70" t="s">
        <v>2213</v>
      </c>
      <c r="N317" s="70"/>
      <c r="O317" s="70"/>
      <c r="P317" s="70"/>
      <c r="Q317" s="70"/>
      <c r="R317" s="70"/>
      <c r="S317" s="70"/>
      <c r="T317" s="70"/>
      <c r="U317" s="70"/>
      <c r="V317" s="70"/>
      <c r="W317" s="70"/>
      <c r="X317" s="70"/>
      <c r="Y317" s="70"/>
      <c r="Z317" s="70"/>
      <c r="AA317" s="70"/>
      <c r="AB317" s="70"/>
      <c r="AC317" s="70"/>
      <c r="AD317" s="70"/>
      <c r="AE317" s="70"/>
      <c r="AF317" s="70"/>
      <c r="AG317" s="70"/>
      <c r="AH317" s="70"/>
      <c r="AI317" s="70"/>
      <c r="AJ317" s="70"/>
      <c r="AK317" s="70"/>
      <c r="AL317" s="70"/>
      <c r="AM317" s="70"/>
      <c r="AN317" s="70"/>
      <c r="AO317" s="70"/>
      <c r="AP317" s="70"/>
      <c r="AQ317" s="70"/>
    </row>
    <row r="318" spans="1:43" ht="15.75" thickBot="1" x14ac:dyDescent="0.3">
      <c r="A318" t="s">
        <v>229</v>
      </c>
      <c r="B318" t="s">
        <v>989</v>
      </c>
      <c r="C318" t="s">
        <v>1063</v>
      </c>
      <c r="D318" t="s">
        <v>990</v>
      </c>
      <c r="E318" s="30" t="s">
        <v>73</v>
      </c>
      <c r="F318" s="30" t="s">
        <v>28</v>
      </c>
      <c r="G318" s="30"/>
      <c r="H318" s="30" t="s">
        <v>1293</v>
      </c>
      <c r="I318" s="31">
        <f t="shared" si="16"/>
        <v>27</v>
      </c>
      <c r="J318" s="147" t="s">
        <v>1927</v>
      </c>
      <c r="K318" s="31">
        <f t="shared" si="17"/>
        <v>1</v>
      </c>
      <c r="L318" s="32">
        <f t="shared" si="18"/>
        <v>0.9642857142857143</v>
      </c>
      <c r="M318" s="70" t="s">
        <v>2213</v>
      </c>
      <c r="N318" s="70"/>
      <c r="O318" s="70"/>
      <c r="P318" s="70"/>
      <c r="Q318" s="70"/>
      <c r="R318" s="70"/>
      <c r="S318" s="70"/>
      <c r="T318" s="70"/>
      <c r="U318" s="70"/>
      <c r="V318" s="70"/>
      <c r="W318" s="70"/>
      <c r="X318" s="70"/>
      <c r="Y318" s="70"/>
      <c r="Z318" s="70"/>
      <c r="AA318" s="70"/>
      <c r="AB318" s="70"/>
      <c r="AC318" s="70"/>
      <c r="AD318" s="70"/>
      <c r="AE318" s="70"/>
      <c r="AF318" s="70"/>
      <c r="AG318" s="70"/>
      <c r="AH318" s="70"/>
      <c r="AI318" s="70"/>
      <c r="AJ318" s="70"/>
      <c r="AK318" s="70"/>
      <c r="AL318" s="70"/>
      <c r="AM318" s="70"/>
      <c r="AN318" s="70"/>
      <c r="AO318" s="70"/>
      <c r="AP318" s="70"/>
      <c r="AQ318" s="70"/>
    </row>
    <row r="319" spans="1:43" ht="15.75" thickBot="1" x14ac:dyDescent="0.3">
      <c r="A319" t="s">
        <v>365</v>
      </c>
      <c r="B319" t="s">
        <v>366</v>
      </c>
      <c r="C319" t="s">
        <v>1063</v>
      </c>
      <c r="D319" t="s">
        <v>367</v>
      </c>
      <c r="E319" s="30" t="s">
        <v>15</v>
      </c>
      <c r="F319" s="30" t="s">
        <v>28</v>
      </c>
      <c r="G319" s="30"/>
      <c r="H319" s="30" t="s">
        <v>771</v>
      </c>
      <c r="I319" s="31">
        <f t="shared" si="16"/>
        <v>28</v>
      </c>
      <c r="J319" s="147" t="s">
        <v>1928</v>
      </c>
      <c r="K319" s="31">
        <f t="shared" si="17"/>
        <v>0</v>
      </c>
      <c r="L319" s="32">
        <f t="shared" si="18"/>
        <v>1</v>
      </c>
      <c r="M319" s="70"/>
      <c r="N319" s="70"/>
      <c r="O319" s="70"/>
      <c r="P319" s="70"/>
      <c r="Q319" s="70"/>
      <c r="R319" s="70"/>
      <c r="S319" s="70"/>
      <c r="T319" s="70"/>
      <c r="U319" s="70"/>
      <c r="V319" s="70"/>
      <c r="W319" s="70"/>
      <c r="X319" s="70"/>
      <c r="Y319" s="70"/>
      <c r="Z319" s="70"/>
      <c r="AA319" s="70"/>
      <c r="AB319" s="70"/>
      <c r="AC319" s="70"/>
      <c r="AD319" s="70"/>
      <c r="AE319" s="70"/>
      <c r="AF319" s="70"/>
      <c r="AG319" s="70"/>
      <c r="AH319" s="70"/>
      <c r="AI319" s="70"/>
      <c r="AJ319" s="70"/>
      <c r="AK319" s="70"/>
      <c r="AL319" s="70"/>
      <c r="AM319" s="70"/>
      <c r="AN319" s="70"/>
      <c r="AO319" s="70"/>
      <c r="AP319" s="70"/>
      <c r="AQ319" s="70"/>
    </row>
    <row r="320" spans="1:43" ht="15.75" thickBot="1" x14ac:dyDescent="0.3">
      <c r="A320" t="s">
        <v>365</v>
      </c>
      <c r="B320" t="s">
        <v>991</v>
      </c>
      <c r="C320" t="s">
        <v>1063</v>
      </c>
      <c r="D320" t="s">
        <v>368</v>
      </c>
      <c r="E320" s="30" t="s">
        <v>15</v>
      </c>
      <c r="F320" s="30" t="s">
        <v>28</v>
      </c>
      <c r="G320" s="30"/>
      <c r="H320" s="30" t="s">
        <v>772</v>
      </c>
      <c r="I320" s="31">
        <f t="shared" si="16"/>
        <v>28</v>
      </c>
      <c r="J320" s="147" t="s">
        <v>1929</v>
      </c>
      <c r="K320" s="31">
        <f t="shared" si="17"/>
        <v>0</v>
      </c>
      <c r="L320" s="32">
        <f t="shared" si="18"/>
        <v>1</v>
      </c>
      <c r="M320" s="70"/>
      <c r="N320" s="70"/>
      <c r="O320" s="70"/>
      <c r="P320" s="70"/>
      <c r="Q320" s="70"/>
      <c r="R320" s="70"/>
      <c r="S320" s="70"/>
      <c r="T320" s="70"/>
      <c r="U320" s="70"/>
      <c r="V320" s="70"/>
      <c r="W320" s="70"/>
      <c r="X320" s="70"/>
      <c r="Y320" s="70"/>
      <c r="Z320" s="70"/>
      <c r="AA320" s="70"/>
      <c r="AB320" s="70"/>
      <c r="AC320" s="70"/>
      <c r="AD320" s="70"/>
      <c r="AE320" s="70"/>
      <c r="AF320" s="70"/>
      <c r="AG320" s="70"/>
      <c r="AH320" s="70"/>
      <c r="AI320" s="70"/>
      <c r="AJ320" s="70"/>
      <c r="AK320" s="70"/>
      <c r="AL320" s="70"/>
      <c r="AM320" s="70"/>
      <c r="AN320" s="70"/>
      <c r="AO320" s="70"/>
      <c r="AP320" s="70"/>
      <c r="AQ320" s="70"/>
    </row>
    <row r="321" spans="1:43" ht="15.75" thickBot="1" x14ac:dyDescent="0.3">
      <c r="A321" t="s">
        <v>365</v>
      </c>
      <c r="B321" t="s">
        <v>369</v>
      </c>
      <c r="C321" t="s">
        <v>1063</v>
      </c>
      <c r="D321" t="s">
        <v>370</v>
      </c>
      <c r="E321" s="30" t="s">
        <v>73</v>
      </c>
      <c r="F321" s="30" t="s">
        <v>28</v>
      </c>
      <c r="G321" s="30"/>
      <c r="H321" s="30" t="s">
        <v>773</v>
      </c>
      <c r="I321" s="31">
        <f t="shared" si="16"/>
        <v>28</v>
      </c>
      <c r="J321" s="147" t="s">
        <v>1930</v>
      </c>
      <c r="K321" s="31">
        <f t="shared" si="17"/>
        <v>0</v>
      </c>
      <c r="L321" s="32">
        <f t="shared" si="18"/>
        <v>1</v>
      </c>
      <c r="M321" s="70"/>
      <c r="N321" s="70"/>
      <c r="O321" s="70"/>
      <c r="P321" s="70"/>
      <c r="Q321" s="70"/>
      <c r="R321" s="70"/>
      <c r="S321" s="70"/>
      <c r="T321" s="70"/>
      <c r="U321" s="70"/>
      <c r="V321" s="70"/>
      <c r="W321" s="70"/>
      <c r="X321" s="70"/>
      <c r="Y321" s="70"/>
      <c r="Z321" s="70"/>
      <c r="AA321" s="70"/>
      <c r="AB321" s="70"/>
      <c r="AC321" s="70"/>
      <c r="AD321" s="70"/>
      <c r="AE321" s="70"/>
      <c r="AF321" s="70"/>
      <c r="AG321" s="70"/>
      <c r="AH321" s="70"/>
      <c r="AI321" s="70"/>
      <c r="AJ321" s="70"/>
      <c r="AK321" s="70"/>
      <c r="AL321" s="70"/>
      <c r="AM321" s="70"/>
      <c r="AN321" s="70"/>
      <c r="AO321" s="70"/>
      <c r="AP321" s="70"/>
      <c r="AQ321" s="70"/>
    </row>
    <row r="322" spans="1:43" ht="15.75" thickBot="1" x14ac:dyDescent="0.3">
      <c r="A322" t="s">
        <v>365</v>
      </c>
      <c r="B322" t="s">
        <v>371</v>
      </c>
      <c r="C322" t="s">
        <v>1063</v>
      </c>
      <c r="D322" t="s">
        <v>370</v>
      </c>
      <c r="E322" s="30" t="s">
        <v>73</v>
      </c>
      <c r="F322" s="30" t="s">
        <v>28</v>
      </c>
      <c r="G322" s="30"/>
      <c r="H322" s="30" t="s">
        <v>774</v>
      </c>
      <c r="I322" s="31">
        <f t="shared" si="16"/>
        <v>28</v>
      </c>
      <c r="J322" s="147" t="s">
        <v>1931</v>
      </c>
      <c r="K322" s="31">
        <f t="shared" si="17"/>
        <v>0</v>
      </c>
      <c r="L322" s="32">
        <f t="shared" si="18"/>
        <v>1</v>
      </c>
      <c r="M322" s="70"/>
      <c r="N322" s="70"/>
      <c r="O322" s="70"/>
      <c r="P322" s="70"/>
      <c r="Q322" s="70"/>
      <c r="R322" s="70"/>
      <c r="S322" s="70"/>
      <c r="T322" s="70"/>
      <c r="U322" s="70"/>
      <c r="V322" s="70"/>
      <c r="W322" s="70"/>
      <c r="X322" s="70"/>
      <c r="Y322" s="70"/>
      <c r="Z322" s="70"/>
      <c r="AA322" s="70"/>
      <c r="AB322" s="70"/>
      <c r="AC322" s="70"/>
      <c r="AD322" s="70"/>
      <c r="AE322" s="70"/>
      <c r="AF322" s="70"/>
      <c r="AG322" s="70"/>
      <c r="AH322" s="70"/>
      <c r="AI322" s="70"/>
      <c r="AJ322" s="70"/>
      <c r="AK322" s="70"/>
      <c r="AL322" s="70"/>
      <c r="AM322" s="70"/>
      <c r="AN322" s="70"/>
      <c r="AO322" s="70"/>
      <c r="AP322" s="70"/>
      <c r="AQ322" s="70"/>
    </row>
    <row r="323" spans="1:43" ht="15.75" thickBot="1" x14ac:dyDescent="0.3">
      <c r="A323" t="s">
        <v>365</v>
      </c>
      <c r="B323" t="s">
        <v>372</v>
      </c>
      <c r="C323" t="s">
        <v>1063</v>
      </c>
      <c r="D323" t="s">
        <v>373</v>
      </c>
      <c r="E323" s="30" t="s">
        <v>73</v>
      </c>
      <c r="F323" s="30" t="s">
        <v>28</v>
      </c>
      <c r="G323" s="30"/>
      <c r="H323" s="30" t="s">
        <v>775</v>
      </c>
      <c r="I323" s="31">
        <f t="shared" si="16"/>
        <v>28</v>
      </c>
      <c r="J323" s="147" t="s">
        <v>1932</v>
      </c>
      <c r="K323" s="31">
        <f t="shared" si="17"/>
        <v>0</v>
      </c>
      <c r="L323" s="32">
        <f t="shared" si="18"/>
        <v>1</v>
      </c>
      <c r="M323" s="70"/>
      <c r="N323" s="70"/>
      <c r="O323" s="70"/>
      <c r="P323" s="70"/>
      <c r="Q323" s="70"/>
      <c r="R323" s="70"/>
      <c r="S323" s="70"/>
      <c r="T323" s="70"/>
      <c r="U323" s="70"/>
      <c r="V323" s="70"/>
      <c r="W323" s="70"/>
      <c r="X323" s="70"/>
      <c r="Y323" s="70"/>
      <c r="Z323" s="70"/>
      <c r="AA323" s="70"/>
      <c r="AB323" s="70"/>
      <c r="AC323" s="70"/>
      <c r="AD323" s="70"/>
      <c r="AE323" s="70"/>
      <c r="AF323" s="70"/>
      <c r="AG323" s="70"/>
      <c r="AH323" s="70"/>
      <c r="AI323" s="70"/>
      <c r="AJ323" s="70"/>
      <c r="AK323" s="70"/>
      <c r="AL323" s="70"/>
      <c r="AM323" s="70"/>
      <c r="AN323" s="70"/>
      <c r="AO323" s="70"/>
      <c r="AP323" s="70"/>
      <c r="AQ323" s="70"/>
    </row>
    <row r="324" spans="1:43" ht="15.75" thickBot="1" x14ac:dyDescent="0.3">
      <c r="A324" t="s">
        <v>365</v>
      </c>
      <c r="B324" t="s">
        <v>374</v>
      </c>
      <c r="C324" t="s">
        <v>1063</v>
      </c>
      <c r="D324" t="s">
        <v>373</v>
      </c>
      <c r="E324" s="30" t="s">
        <v>46</v>
      </c>
      <c r="F324" s="30" t="s">
        <v>28</v>
      </c>
      <c r="G324" s="30"/>
      <c r="H324" s="30" t="s">
        <v>776</v>
      </c>
      <c r="I324" s="31">
        <f t="shared" si="16"/>
        <v>28</v>
      </c>
      <c r="J324" s="147" t="s">
        <v>1933</v>
      </c>
      <c r="K324" s="31">
        <f t="shared" si="17"/>
        <v>0</v>
      </c>
      <c r="L324" s="32">
        <f t="shared" si="18"/>
        <v>1</v>
      </c>
      <c r="M324" s="70"/>
      <c r="N324" s="70"/>
      <c r="O324" s="70"/>
      <c r="P324" s="70"/>
      <c r="Q324" s="70"/>
      <c r="R324" s="70"/>
      <c r="S324" s="70"/>
      <c r="T324" s="70"/>
      <c r="U324" s="70"/>
      <c r="V324" s="70"/>
      <c r="W324" s="70"/>
      <c r="X324" s="70"/>
      <c r="Y324" s="70"/>
      <c r="Z324" s="70"/>
      <c r="AA324" s="70"/>
      <c r="AB324" s="70"/>
      <c r="AC324" s="70"/>
      <c r="AD324" s="70"/>
      <c r="AE324" s="70"/>
      <c r="AF324" s="70"/>
      <c r="AG324" s="70"/>
      <c r="AH324" s="70"/>
      <c r="AI324" s="70"/>
      <c r="AJ324" s="70"/>
      <c r="AK324" s="70"/>
      <c r="AL324" s="70"/>
      <c r="AM324" s="70"/>
      <c r="AN324" s="70"/>
      <c r="AO324" s="70"/>
      <c r="AP324" s="70"/>
      <c r="AQ324" s="70"/>
    </row>
    <row r="325" spans="1:43" ht="15.75" thickBot="1" x14ac:dyDescent="0.3">
      <c r="A325" t="s">
        <v>365</v>
      </c>
      <c r="B325" t="s">
        <v>1335</v>
      </c>
      <c r="C325" t="s">
        <v>1062</v>
      </c>
      <c r="D325" t="s">
        <v>1336</v>
      </c>
      <c r="E325" s="30"/>
      <c r="F325" s="30" t="s">
        <v>28</v>
      </c>
      <c r="G325" s="30"/>
      <c r="H325" s="30" t="s">
        <v>1346</v>
      </c>
      <c r="I325" s="31">
        <f t="shared" si="16"/>
        <v>28</v>
      </c>
      <c r="J325" s="147" t="s">
        <v>1934</v>
      </c>
      <c r="K325" s="31">
        <f t="shared" si="17"/>
        <v>0</v>
      </c>
      <c r="L325" s="32">
        <f t="shared" si="18"/>
        <v>1</v>
      </c>
      <c r="M325" s="70"/>
      <c r="N325" s="70"/>
      <c r="O325" s="70"/>
      <c r="P325" s="70"/>
      <c r="Q325" s="70"/>
      <c r="R325" s="70"/>
      <c r="S325" s="70"/>
      <c r="T325" s="70"/>
      <c r="U325" s="70"/>
      <c r="V325" s="70"/>
      <c r="W325" s="70"/>
      <c r="X325" s="70"/>
      <c r="Y325" s="70"/>
      <c r="Z325" s="70"/>
      <c r="AA325" s="70"/>
      <c r="AB325" s="70"/>
      <c r="AC325" s="70"/>
      <c r="AD325" s="70"/>
      <c r="AE325" s="70"/>
      <c r="AF325" s="70"/>
      <c r="AG325" s="70"/>
      <c r="AH325" s="70"/>
      <c r="AI325" s="70"/>
      <c r="AJ325" s="70"/>
      <c r="AK325" s="70"/>
      <c r="AL325" s="70"/>
      <c r="AM325" s="70"/>
      <c r="AN325" s="70"/>
      <c r="AO325" s="70"/>
      <c r="AP325" s="70"/>
      <c r="AQ325" s="70"/>
    </row>
    <row r="326" spans="1:43" ht="15.75" thickBot="1" x14ac:dyDescent="0.3">
      <c r="A326" t="s">
        <v>365</v>
      </c>
      <c r="B326" t="s">
        <v>1380</v>
      </c>
      <c r="C326" t="s">
        <v>1063</v>
      </c>
      <c r="D326" s="68" t="s">
        <v>1383</v>
      </c>
      <c r="E326" s="30" t="s">
        <v>19</v>
      </c>
      <c r="F326" s="30" t="s">
        <v>28</v>
      </c>
      <c r="G326" s="30"/>
      <c r="H326" s="30" t="s">
        <v>1395</v>
      </c>
      <c r="I326" s="31">
        <f t="shared" si="16"/>
        <v>28</v>
      </c>
      <c r="J326" s="147" t="s">
        <v>1935</v>
      </c>
      <c r="K326" s="31">
        <f t="shared" si="17"/>
        <v>0</v>
      </c>
      <c r="L326" s="32">
        <f t="shared" si="18"/>
        <v>1</v>
      </c>
      <c r="M326" s="70"/>
      <c r="N326" s="70"/>
      <c r="O326" s="70"/>
      <c r="P326" s="70"/>
      <c r="Q326" s="70"/>
      <c r="R326" s="70"/>
      <c r="S326" s="70"/>
      <c r="T326" s="70"/>
      <c r="U326" s="70"/>
      <c r="V326" s="70"/>
      <c r="W326" s="70"/>
      <c r="X326" s="70"/>
      <c r="Y326" s="70"/>
      <c r="Z326" s="70"/>
      <c r="AA326" s="70"/>
      <c r="AB326" s="70"/>
      <c r="AC326" s="70"/>
      <c r="AD326" s="70"/>
      <c r="AE326" s="70"/>
      <c r="AF326" s="70"/>
      <c r="AG326" s="70"/>
      <c r="AH326" s="70"/>
      <c r="AI326" s="70"/>
      <c r="AJ326" s="70"/>
      <c r="AK326" s="70"/>
      <c r="AL326" s="70"/>
      <c r="AM326" s="70"/>
      <c r="AN326" s="70"/>
      <c r="AO326" s="70"/>
      <c r="AP326" s="70"/>
      <c r="AQ326" s="70"/>
    </row>
    <row r="327" spans="1:43" ht="15.75" thickBot="1" x14ac:dyDescent="0.3">
      <c r="A327" t="s">
        <v>365</v>
      </c>
      <c r="B327" t="s">
        <v>1381</v>
      </c>
      <c r="C327" t="s">
        <v>1063</v>
      </c>
      <c r="D327" s="68" t="s">
        <v>1384</v>
      </c>
      <c r="E327" s="30" t="s">
        <v>73</v>
      </c>
      <c r="F327" s="30" t="s">
        <v>28</v>
      </c>
      <c r="G327" s="30"/>
      <c r="H327" s="30" t="s">
        <v>1396</v>
      </c>
      <c r="I327" s="31">
        <f t="shared" si="16"/>
        <v>28</v>
      </c>
      <c r="J327" s="147" t="s">
        <v>1936</v>
      </c>
      <c r="K327" s="31">
        <f t="shared" si="17"/>
        <v>0</v>
      </c>
      <c r="L327" s="32">
        <f t="shared" si="18"/>
        <v>1</v>
      </c>
      <c r="M327" s="70"/>
      <c r="N327" s="70"/>
      <c r="O327" s="70"/>
      <c r="P327" s="70"/>
      <c r="Q327" s="70"/>
      <c r="R327" s="70"/>
      <c r="S327" s="70"/>
      <c r="T327" s="70"/>
      <c r="U327" s="70"/>
      <c r="V327" s="70"/>
      <c r="W327" s="70"/>
      <c r="X327" s="70"/>
      <c r="Y327" s="70"/>
      <c r="Z327" s="70"/>
      <c r="AA327" s="70"/>
      <c r="AB327" s="70"/>
      <c r="AC327" s="70"/>
      <c r="AD327" s="70"/>
      <c r="AE327" s="70"/>
      <c r="AF327" s="70"/>
      <c r="AG327" s="70"/>
      <c r="AH327" s="70"/>
      <c r="AI327" s="70"/>
      <c r="AJ327" s="70"/>
      <c r="AK327" s="70"/>
      <c r="AL327" s="70"/>
      <c r="AM327" s="70"/>
      <c r="AN327" s="70"/>
      <c r="AO327" s="70"/>
      <c r="AP327" s="70"/>
      <c r="AQ327" s="70"/>
    </row>
    <row r="328" spans="1:43" ht="15.75" thickBot="1" x14ac:dyDescent="0.3">
      <c r="A328" t="s">
        <v>365</v>
      </c>
      <c r="B328" t="s">
        <v>1382</v>
      </c>
      <c r="C328" t="s">
        <v>1063</v>
      </c>
      <c r="D328" s="68" t="s">
        <v>1385</v>
      </c>
      <c r="E328" s="30" t="s">
        <v>73</v>
      </c>
      <c r="F328" s="30" t="s">
        <v>28</v>
      </c>
      <c r="G328" s="30"/>
      <c r="H328" s="30" t="s">
        <v>1397</v>
      </c>
      <c r="I328" s="31">
        <f t="shared" si="16"/>
        <v>28</v>
      </c>
      <c r="J328" s="147" t="s">
        <v>1937</v>
      </c>
      <c r="K328" s="31">
        <f t="shared" si="17"/>
        <v>0</v>
      </c>
      <c r="L328" s="32">
        <f t="shared" si="18"/>
        <v>1</v>
      </c>
      <c r="M328" s="70"/>
      <c r="N328" s="70"/>
      <c r="O328" s="70"/>
      <c r="P328" s="70"/>
      <c r="Q328" s="70"/>
      <c r="R328" s="70"/>
      <c r="S328" s="70"/>
      <c r="T328" s="70"/>
      <c r="U328" s="70"/>
      <c r="V328" s="70"/>
      <c r="W328" s="70"/>
      <c r="X328" s="70"/>
      <c r="Y328" s="70"/>
      <c r="Z328" s="70"/>
      <c r="AA328" s="70"/>
      <c r="AB328" s="70"/>
      <c r="AC328" s="70"/>
      <c r="AD328" s="70"/>
      <c r="AE328" s="70"/>
      <c r="AF328" s="70"/>
      <c r="AG328" s="70"/>
      <c r="AH328" s="70"/>
      <c r="AI328" s="70"/>
      <c r="AJ328" s="70"/>
      <c r="AK328" s="70"/>
      <c r="AL328" s="70"/>
      <c r="AM328" s="70"/>
      <c r="AN328" s="70"/>
      <c r="AO328" s="70"/>
      <c r="AP328" s="70"/>
      <c r="AQ328" s="70"/>
    </row>
    <row r="329" spans="1:43" ht="15.75" thickBot="1" x14ac:dyDescent="0.3">
      <c r="A329" t="s">
        <v>365</v>
      </c>
      <c r="B329" t="s">
        <v>2258</v>
      </c>
      <c r="C329" t="s">
        <v>1063</v>
      </c>
      <c r="D329" s="68" t="s">
        <v>2240</v>
      </c>
      <c r="E329" s="85" t="s">
        <v>15</v>
      </c>
      <c r="F329" s="30" t="s">
        <v>28</v>
      </c>
      <c r="G329" s="30"/>
      <c r="H329" s="30" t="s">
        <v>2259</v>
      </c>
      <c r="I329" s="31">
        <f t="shared" si="16"/>
        <v>28</v>
      </c>
      <c r="J329" s="153" t="s">
        <v>2241</v>
      </c>
      <c r="K329" s="31">
        <f t="shared" si="17"/>
        <v>0</v>
      </c>
      <c r="L329" s="32">
        <f t="shared" si="18"/>
        <v>1</v>
      </c>
      <c r="M329" s="70"/>
      <c r="N329" s="70"/>
      <c r="O329" s="70"/>
      <c r="P329" s="70"/>
      <c r="Q329" s="70"/>
      <c r="R329" s="70"/>
      <c r="S329" s="70"/>
      <c r="T329" s="70"/>
      <c r="U329" s="70"/>
      <c r="V329" s="70"/>
      <c r="W329" s="70"/>
      <c r="X329" s="70"/>
      <c r="Y329" s="70"/>
      <c r="Z329" s="70"/>
      <c r="AA329" s="70"/>
      <c r="AB329" s="70"/>
      <c r="AC329" s="70"/>
      <c r="AD329" s="70"/>
      <c r="AE329" s="70"/>
      <c r="AF329" s="70"/>
      <c r="AG329" s="70"/>
      <c r="AH329" s="70"/>
      <c r="AI329" s="70"/>
      <c r="AJ329" s="70"/>
      <c r="AK329" s="70"/>
      <c r="AL329" s="70"/>
      <c r="AM329" s="70"/>
      <c r="AN329" s="70"/>
      <c r="AO329" s="70"/>
      <c r="AP329" s="70"/>
      <c r="AQ329" s="70"/>
    </row>
    <row r="330" spans="1:43" ht="15.75" thickBot="1" x14ac:dyDescent="0.3">
      <c r="A330" t="s">
        <v>365</v>
      </c>
      <c r="B330" t="s">
        <v>2242</v>
      </c>
      <c r="C330" t="s">
        <v>1063</v>
      </c>
      <c r="D330" s="68" t="s">
        <v>2243</v>
      </c>
      <c r="E330" s="85" t="s">
        <v>15</v>
      </c>
      <c r="F330" s="30" t="s">
        <v>28</v>
      </c>
      <c r="G330" s="30"/>
      <c r="H330" s="30" t="s">
        <v>2244</v>
      </c>
      <c r="I330" s="31">
        <f t="shared" si="16"/>
        <v>28</v>
      </c>
      <c r="J330" s="147" t="s">
        <v>2245</v>
      </c>
      <c r="K330" s="31">
        <f t="shared" si="17"/>
        <v>0</v>
      </c>
      <c r="L330" s="32">
        <f t="shared" si="18"/>
        <v>1</v>
      </c>
      <c r="M330" s="70"/>
      <c r="N330" s="70"/>
      <c r="O330" s="70"/>
      <c r="P330" s="70"/>
      <c r="Q330" s="70"/>
      <c r="R330" s="70"/>
      <c r="S330" s="70"/>
      <c r="T330" s="70"/>
      <c r="U330" s="70"/>
      <c r="V330" s="70"/>
      <c r="W330" s="70"/>
      <c r="X330" s="70"/>
      <c r="Y330" s="70"/>
      <c r="Z330" s="70"/>
      <c r="AA330" s="70"/>
      <c r="AB330" s="70"/>
      <c r="AC330" s="70"/>
      <c r="AD330" s="70"/>
      <c r="AE330" s="70"/>
      <c r="AF330" s="70"/>
      <c r="AG330" s="70"/>
      <c r="AH330" s="70"/>
      <c r="AI330" s="70"/>
      <c r="AJ330" s="70"/>
      <c r="AK330" s="70"/>
      <c r="AL330" s="70"/>
      <c r="AM330" s="70"/>
      <c r="AN330" s="70"/>
      <c r="AO330" s="70"/>
      <c r="AP330" s="70"/>
      <c r="AQ330" s="70"/>
    </row>
    <row r="331" spans="1:43" s="73" customFormat="1" ht="15.75" thickBot="1" x14ac:dyDescent="0.3">
      <c r="A331" s="73" t="s">
        <v>375</v>
      </c>
      <c r="B331" s="73" t="s">
        <v>1001</v>
      </c>
      <c r="C331" s="73" t="s">
        <v>1063</v>
      </c>
      <c r="D331" s="73" t="s">
        <v>376</v>
      </c>
      <c r="E331" s="85" t="s">
        <v>15</v>
      </c>
      <c r="F331" s="85" t="s">
        <v>28</v>
      </c>
      <c r="G331" s="85"/>
      <c r="H331" s="85" t="s">
        <v>777</v>
      </c>
      <c r="I331" s="87">
        <f t="shared" si="16"/>
        <v>28</v>
      </c>
      <c r="J331" s="147" t="s">
        <v>1938</v>
      </c>
      <c r="K331" s="87">
        <f t="shared" si="17"/>
        <v>0</v>
      </c>
      <c r="L331" s="88">
        <f t="shared" si="18"/>
        <v>1</v>
      </c>
      <c r="M331" s="70"/>
      <c r="N331" s="70"/>
      <c r="O331" s="70"/>
      <c r="P331" s="70"/>
      <c r="Q331" s="70"/>
      <c r="R331" s="70"/>
      <c r="S331" s="70"/>
      <c r="T331" s="70"/>
      <c r="U331" s="70"/>
      <c r="V331" s="70"/>
      <c r="W331" s="70"/>
      <c r="X331" s="70"/>
      <c r="Y331" s="70"/>
      <c r="Z331" s="70"/>
      <c r="AA331" s="70"/>
      <c r="AB331" s="70"/>
      <c r="AC331" s="70"/>
      <c r="AD331" s="70"/>
      <c r="AE331" s="70"/>
      <c r="AF331" s="70"/>
      <c r="AG331" s="70"/>
      <c r="AH331" s="70"/>
      <c r="AI331" s="70"/>
      <c r="AJ331" s="70"/>
      <c r="AK331" s="70"/>
      <c r="AL331" s="70"/>
      <c r="AM331" s="70"/>
      <c r="AN331" s="70"/>
      <c r="AO331" s="70"/>
      <c r="AP331" s="70"/>
      <c r="AQ331" s="70"/>
    </row>
    <row r="332" spans="1:43" ht="15.75" thickBot="1" x14ac:dyDescent="0.3">
      <c r="A332" t="s">
        <v>375</v>
      </c>
      <c r="B332" t="s">
        <v>1002</v>
      </c>
      <c r="C332" t="s">
        <v>1063</v>
      </c>
      <c r="D332" t="s">
        <v>377</v>
      </c>
      <c r="E332" s="30" t="s">
        <v>15</v>
      </c>
      <c r="F332" s="30" t="s">
        <v>28</v>
      </c>
      <c r="G332" s="30"/>
      <c r="H332" s="30" t="s">
        <v>780</v>
      </c>
      <c r="I332" s="31">
        <f t="shared" si="16"/>
        <v>27</v>
      </c>
      <c r="J332" s="147" t="s">
        <v>1939</v>
      </c>
      <c r="K332" s="31">
        <f t="shared" si="17"/>
        <v>1</v>
      </c>
      <c r="L332" s="32">
        <f t="shared" si="18"/>
        <v>0.9642857142857143</v>
      </c>
      <c r="M332" s="70" t="s">
        <v>2213</v>
      </c>
      <c r="N332" s="70"/>
      <c r="O332" s="70"/>
      <c r="P332" s="70"/>
      <c r="Q332" s="70"/>
      <c r="R332" s="70"/>
      <c r="S332" s="70"/>
      <c r="T332" s="70"/>
      <c r="U332" s="70"/>
      <c r="V332" s="70"/>
      <c r="W332" s="70"/>
      <c r="X332" s="70"/>
      <c r="Y332" s="70"/>
      <c r="Z332" s="70"/>
      <c r="AA332" s="70"/>
      <c r="AB332" s="70"/>
      <c r="AC332" s="70"/>
      <c r="AD332" s="70"/>
      <c r="AE332" s="70"/>
      <c r="AF332" s="70"/>
      <c r="AG332" s="70"/>
      <c r="AH332" s="70"/>
      <c r="AI332" s="70"/>
      <c r="AJ332" s="70"/>
      <c r="AK332" s="70"/>
      <c r="AL332" s="70"/>
      <c r="AM332" s="70"/>
      <c r="AN332" s="70"/>
      <c r="AO332" s="70"/>
      <c r="AP332" s="70"/>
      <c r="AQ332" s="70"/>
    </row>
    <row r="333" spans="1:43" ht="15.75" thickBot="1" x14ac:dyDescent="0.3">
      <c r="A333" t="s">
        <v>375</v>
      </c>
      <c r="B333" t="s">
        <v>378</v>
      </c>
      <c r="C333" t="s">
        <v>1063</v>
      </c>
      <c r="D333" t="s">
        <v>379</v>
      </c>
      <c r="E333" s="30" t="s">
        <v>73</v>
      </c>
      <c r="F333" s="30" t="s">
        <v>28</v>
      </c>
      <c r="G333" s="30"/>
      <c r="H333" s="30" t="s">
        <v>778</v>
      </c>
      <c r="I333" s="31">
        <f t="shared" si="16"/>
        <v>28</v>
      </c>
      <c r="J333" s="147" t="s">
        <v>1940</v>
      </c>
      <c r="K333" s="31">
        <f t="shared" si="17"/>
        <v>0</v>
      </c>
      <c r="L333" s="32">
        <f t="shared" si="18"/>
        <v>1</v>
      </c>
      <c r="M333" s="70"/>
      <c r="N333" s="70"/>
      <c r="O333" s="70"/>
      <c r="P333" s="70"/>
      <c r="Q333" s="70"/>
      <c r="R333" s="70"/>
      <c r="S333" s="70"/>
      <c r="T333" s="70"/>
      <c r="U333" s="70"/>
      <c r="V333" s="70"/>
      <c r="W333" s="70"/>
      <c r="X333" s="70"/>
      <c r="Y333" s="70"/>
      <c r="Z333" s="70"/>
      <c r="AA333" s="70"/>
      <c r="AB333" s="70"/>
      <c r="AC333" s="70"/>
      <c r="AD333" s="70"/>
      <c r="AE333" s="70"/>
      <c r="AF333" s="70"/>
      <c r="AG333" s="70"/>
      <c r="AH333" s="70"/>
      <c r="AI333" s="70"/>
      <c r="AJ333" s="70"/>
      <c r="AK333" s="70"/>
      <c r="AL333" s="70"/>
      <c r="AM333" s="70"/>
      <c r="AN333" s="70"/>
      <c r="AO333" s="70"/>
      <c r="AP333" s="70"/>
      <c r="AQ333" s="70"/>
    </row>
    <row r="334" spans="1:43" ht="15.75" thickBot="1" x14ac:dyDescent="0.3">
      <c r="A334" t="s">
        <v>375</v>
      </c>
      <c r="B334" t="s">
        <v>380</v>
      </c>
      <c r="C334" t="s">
        <v>1063</v>
      </c>
      <c r="D334" t="s">
        <v>379</v>
      </c>
      <c r="E334" s="30" t="s">
        <v>73</v>
      </c>
      <c r="F334" s="30" t="s">
        <v>28</v>
      </c>
      <c r="G334" s="30"/>
      <c r="H334" s="30" t="s">
        <v>779</v>
      </c>
      <c r="I334" s="31">
        <f t="shared" si="16"/>
        <v>28</v>
      </c>
      <c r="J334" s="147" t="s">
        <v>1941</v>
      </c>
      <c r="K334" s="31">
        <f t="shared" si="17"/>
        <v>0</v>
      </c>
      <c r="L334" s="32">
        <f t="shared" si="18"/>
        <v>1</v>
      </c>
      <c r="M334" s="70"/>
      <c r="N334" s="70"/>
      <c r="O334" s="70"/>
      <c r="P334" s="70"/>
      <c r="Q334" s="70"/>
      <c r="R334" s="70"/>
      <c r="S334" s="70"/>
      <c r="T334" s="70"/>
      <c r="U334" s="70"/>
      <c r="V334" s="70"/>
      <c r="W334" s="70"/>
      <c r="X334" s="70"/>
      <c r="Y334" s="70"/>
      <c r="Z334" s="70"/>
      <c r="AA334" s="70"/>
      <c r="AB334" s="70"/>
      <c r="AC334" s="70"/>
      <c r="AD334" s="70"/>
      <c r="AE334" s="70"/>
      <c r="AF334" s="70"/>
      <c r="AG334" s="70"/>
      <c r="AH334" s="70"/>
      <c r="AI334" s="70"/>
      <c r="AJ334" s="70"/>
      <c r="AK334" s="70"/>
      <c r="AL334" s="70"/>
      <c r="AM334" s="70"/>
      <c r="AN334" s="70"/>
      <c r="AO334" s="70"/>
      <c r="AP334" s="70"/>
      <c r="AQ334" s="70"/>
    </row>
    <row r="335" spans="1:43" ht="15.75" thickBot="1" x14ac:dyDescent="0.3">
      <c r="A335" t="s">
        <v>375</v>
      </c>
      <c r="B335" t="s">
        <v>992</v>
      </c>
      <c r="C335" t="s">
        <v>1063</v>
      </c>
      <c r="D335" t="s">
        <v>381</v>
      </c>
      <c r="E335" s="30" t="s">
        <v>15</v>
      </c>
      <c r="F335" s="30" t="s">
        <v>28</v>
      </c>
      <c r="G335" s="30"/>
      <c r="H335" s="30" t="s">
        <v>781</v>
      </c>
      <c r="I335" s="31">
        <f t="shared" si="16"/>
        <v>28</v>
      </c>
      <c r="J335" s="147" t="s">
        <v>1942</v>
      </c>
      <c r="K335" s="31">
        <f t="shared" si="17"/>
        <v>0</v>
      </c>
      <c r="L335" s="32">
        <f t="shared" si="18"/>
        <v>1</v>
      </c>
      <c r="M335" s="70"/>
      <c r="N335" s="70"/>
      <c r="O335" s="70"/>
      <c r="P335" s="70"/>
      <c r="Q335" s="70"/>
      <c r="R335" s="70"/>
      <c r="S335" s="70"/>
      <c r="T335" s="70"/>
      <c r="U335" s="70"/>
      <c r="V335" s="70"/>
      <c r="W335" s="70"/>
      <c r="X335" s="70"/>
      <c r="Y335" s="70"/>
      <c r="Z335" s="70"/>
      <c r="AA335" s="70"/>
      <c r="AB335" s="70"/>
      <c r="AC335" s="70"/>
      <c r="AD335" s="70"/>
      <c r="AE335" s="70"/>
      <c r="AF335" s="70"/>
      <c r="AG335" s="70"/>
      <c r="AH335" s="70"/>
      <c r="AI335" s="70"/>
      <c r="AJ335" s="70"/>
      <c r="AK335" s="70"/>
      <c r="AL335" s="70"/>
      <c r="AM335" s="70"/>
      <c r="AN335" s="70"/>
      <c r="AO335" s="70"/>
      <c r="AP335" s="70"/>
      <c r="AQ335" s="70"/>
    </row>
    <row r="336" spans="1:43" ht="15.75" thickBot="1" x14ac:dyDescent="0.3">
      <c r="A336" t="s">
        <v>375</v>
      </c>
      <c r="B336" t="s">
        <v>993</v>
      </c>
      <c r="C336" t="s">
        <v>1063</v>
      </c>
      <c r="D336" t="s">
        <v>994</v>
      </c>
      <c r="E336" s="30" t="s">
        <v>19</v>
      </c>
      <c r="F336" s="30" t="s">
        <v>28</v>
      </c>
      <c r="G336" s="30"/>
      <c r="H336" s="30" t="s">
        <v>906</v>
      </c>
      <c r="I336" s="31">
        <f t="shared" si="16"/>
        <v>28</v>
      </c>
      <c r="J336" s="147" t="s">
        <v>1943</v>
      </c>
      <c r="K336" s="31">
        <f t="shared" si="17"/>
        <v>0</v>
      </c>
      <c r="L336" s="32">
        <f t="shared" si="18"/>
        <v>1</v>
      </c>
      <c r="M336" s="70"/>
      <c r="N336" s="70"/>
      <c r="O336" s="70"/>
      <c r="P336" s="70"/>
      <c r="Q336" s="70"/>
      <c r="R336" s="70"/>
      <c r="S336" s="70"/>
      <c r="T336" s="70"/>
      <c r="U336" s="70"/>
      <c r="V336" s="70"/>
      <c r="W336" s="70"/>
      <c r="X336" s="70"/>
      <c r="Y336" s="70"/>
      <c r="Z336" s="70"/>
      <c r="AA336" s="70"/>
      <c r="AB336" s="70"/>
      <c r="AC336" s="70"/>
      <c r="AD336" s="70"/>
      <c r="AE336" s="70"/>
      <c r="AF336" s="70"/>
      <c r="AG336" s="70"/>
      <c r="AH336" s="70"/>
      <c r="AI336" s="70"/>
      <c r="AJ336" s="70"/>
      <c r="AK336" s="70"/>
      <c r="AL336" s="70"/>
      <c r="AM336" s="70"/>
      <c r="AN336" s="70"/>
      <c r="AO336" s="70"/>
      <c r="AP336" s="70"/>
      <c r="AQ336" s="70"/>
    </row>
    <row r="337" spans="1:43" ht="15.75" thickBot="1" x14ac:dyDescent="0.3">
      <c r="A337" t="s">
        <v>375</v>
      </c>
      <c r="B337" t="s">
        <v>995</v>
      </c>
      <c r="C337" t="s">
        <v>1063</v>
      </c>
      <c r="D337" t="s">
        <v>996</v>
      </c>
      <c r="E337" s="30" t="s">
        <v>19</v>
      </c>
      <c r="F337" s="30" t="s">
        <v>28</v>
      </c>
      <c r="G337" s="30"/>
      <c r="H337" s="30" t="s">
        <v>907</v>
      </c>
      <c r="I337" s="31">
        <f t="shared" si="16"/>
        <v>28</v>
      </c>
      <c r="J337" s="147" t="s">
        <v>1944</v>
      </c>
      <c r="K337" s="31">
        <f t="shared" si="17"/>
        <v>0</v>
      </c>
      <c r="L337" s="32">
        <f t="shared" si="18"/>
        <v>1</v>
      </c>
      <c r="M337" s="70"/>
      <c r="N337" s="70"/>
      <c r="O337" s="70"/>
      <c r="P337" s="70"/>
      <c r="Q337" s="70"/>
      <c r="R337" s="70"/>
      <c r="S337" s="70"/>
      <c r="T337" s="70"/>
      <c r="U337" s="70"/>
      <c r="V337" s="70"/>
      <c r="W337" s="70"/>
      <c r="X337" s="70"/>
      <c r="Y337" s="70"/>
      <c r="Z337" s="70"/>
      <c r="AA337" s="70"/>
      <c r="AB337" s="70"/>
      <c r="AC337" s="70"/>
      <c r="AD337" s="70"/>
      <c r="AE337" s="70"/>
      <c r="AF337" s="70"/>
      <c r="AG337" s="70"/>
      <c r="AH337" s="70"/>
      <c r="AI337" s="70"/>
      <c r="AJ337" s="70"/>
      <c r="AK337" s="70"/>
      <c r="AL337" s="70"/>
      <c r="AM337" s="70"/>
      <c r="AN337" s="70"/>
      <c r="AO337" s="70"/>
      <c r="AP337" s="70"/>
      <c r="AQ337" s="70"/>
    </row>
    <row r="338" spans="1:43" ht="15.75" thickBot="1" x14ac:dyDescent="0.3">
      <c r="A338" t="s">
        <v>375</v>
      </c>
      <c r="B338" t="s">
        <v>997</v>
      </c>
      <c r="C338" t="s">
        <v>1063</v>
      </c>
      <c r="D338" t="s">
        <v>998</v>
      </c>
      <c r="E338" s="30" t="s">
        <v>19</v>
      </c>
      <c r="F338" s="30" t="s">
        <v>28</v>
      </c>
      <c r="G338" s="30"/>
      <c r="H338" s="30" t="s">
        <v>908</v>
      </c>
      <c r="I338" s="31">
        <f t="shared" si="16"/>
        <v>28</v>
      </c>
      <c r="J338" s="147" t="s">
        <v>1945</v>
      </c>
      <c r="K338" s="31">
        <f t="shared" si="17"/>
        <v>0</v>
      </c>
      <c r="L338" s="32">
        <f t="shared" si="18"/>
        <v>1</v>
      </c>
      <c r="M338" s="70"/>
      <c r="N338" s="70"/>
      <c r="O338" s="70"/>
      <c r="P338" s="70"/>
      <c r="Q338" s="70"/>
      <c r="R338" s="70"/>
      <c r="S338" s="70"/>
      <c r="T338" s="70"/>
      <c r="U338" s="70"/>
      <c r="V338" s="70"/>
      <c r="W338" s="70"/>
      <c r="X338" s="70"/>
      <c r="Y338" s="70"/>
      <c r="Z338" s="70"/>
      <c r="AA338" s="70"/>
      <c r="AB338" s="70"/>
      <c r="AD338" s="70"/>
      <c r="AE338" s="70"/>
      <c r="AF338" s="70"/>
      <c r="AG338" s="70"/>
      <c r="AH338" s="70"/>
      <c r="AI338" s="70"/>
      <c r="AJ338" s="70"/>
      <c r="AK338" s="70"/>
      <c r="AL338" s="70"/>
      <c r="AM338" s="70"/>
      <c r="AN338" s="70"/>
      <c r="AO338" s="70"/>
      <c r="AP338" s="70"/>
      <c r="AQ338" s="70"/>
    </row>
    <row r="339" spans="1:43" ht="15.75" thickBot="1" x14ac:dyDescent="0.3">
      <c r="A339" t="s">
        <v>375</v>
      </c>
      <c r="B339" t="s">
        <v>999</v>
      </c>
      <c r="C339" t="s">
        <v>1063</v>
      </c>
      <c r="D339" t="s">
        <v>1000</v>
      </c>
      <c r="E339" s="30" t="s">
        <v>19</v>
      </c>
      <c r="F339" s="30" t="s">
        <v>28</v>
      </c>
      <c r="G339" s="30"/>
      <c r="H339" s="30" t="s">
        <v>909</v>
      </c>
      <c r="I339" s="31">
        <f t="shared" si="16"/>
        <v>28</v>
      </c>
      <c r="J339" s="147" t="s">
        <v>1946</v>
      </c>
      <c r="K339" s="31">
        <f t="shared" si="17"/>
        <v>0</v>
      </c>
      <c r="L339" s="32">
        <f t="shared" si="18"/>
        <v>1</v>
      </c>
      <c r="M339" s="70"/>
      <c r="N339" s="70"/>
      <c r="O339" s="70"/>
      <c r="P339" s="70"/>
      <c r="Q339" s="70"/>
      <c r="R339" s="70"/>
      <c r="S339" s="70"/>
      <c r="T339" s="70"/>
      <c r="U339" s="70"/>
      <c r="V339" s="70"/>
      <c r="W339" s="70"/>
      <c r="X339" s="70"/>
      <c r="Y339" s="70"/>
      <c r="Z339" s="70"/>
      <c r="AA339" s="70"/>
      <c r="AB339" s="70"/>
      <c r="AC339" s="70"/>
      <c r="AD339" s="70"/>
      <c r="AE339" s="70"/>
      <c r="AF339" s="70"/>
      <c r="AG339" s="70"/>
      <c r="AH339" s="70"/>
      <c r="AI339" s="70"/>
      <c r="AJ339" s="70"/>
      <c r="AK339" s="70"/>
      <c r="AL339" s="70"/>
      <c r="AM339" s="70"/>
      <c r="AN339" s="70"/>
      <c r="AO339" s="70"/>
      <c r="AP339" s="70"/>
      <c r="AQ339" s="70"/>
    </row>
    <row r="340" spans="1:43" ht="15.75" thickBot="1" x14ac:dyDescent="0.3">
      <c r="A340" t="s">
        <v>375</v>
      </c>
      <c r="B340" t="s">
        <v>1174</v>
      </c>
      <c r="C340" t="s">
        <v>1063</v>
      </c>
      <c r="D340" t="s">
        <v>1157</v>
      </c>
      <c r="E340" s="30" t="s">
        <v>19</v>
      </c>
      <c r="F340" s="30" t="s">
        <v>28</v>
      </c>
      <c r="G340" s="30"/>
      <c r="H340" s="30" t="s">
        <v>1159</v>
      </c>
      <c r="I340" s="31">
        <f t="shared" si="16"/>
        <v>28</v>
      </c>
      <c r="J340" s="147" t="s">
        <v>1947</v>
      </c>
      <c r="K340" s="31">
        <f t="shared" si="17"/>
        <v>0</v>
      </c>
      <c r="L340" s="32">
        <f t="shared" si="18"/>
        <v>1</v>
      </c>
      <c r="M340" s="70"/>
      <c r="N340" s="70"/>
      <c r="O340" s="70"/>
      <c r="P340" s="70"/>
      <c r="Q340" s="70"/>
      <c r="R340" s="70"/>
      <c r="S340" s="70"/>
      <c r="T340" s="70"/>
      <c r="U340" s="70"/>
      <c r="V340" s="70"/>
      <c r="W340" s="70"/>
      <c r="X340" s="70"/>
      <c r="Y340" s="70"/>
      <c r="Z340" s="70"/>
      <c r="AA340" s="70"/>
      <c r="AB340" s="70"/>
      <c r="AC340" s="70"/>
      <c r="AD340" s="70"/>
      <c r="AE340" s="70"/>
      <c r="AF340" s="70"/>
      <c r="AG340" s="70"/>
      <c r="AH340" s="70"/>
      <c r="AI340" s="70"/>
      <c r="AJ340" s="70"/>
      <c r="AK340" s="70"/>
      <c r="AL340" s="70"/>
      <c r="AM340" s="70"/>
      <c r="AN340" s="70"/>
      <c r="AO340" s="70"/>
      <c r="AP340" s="70"/>
      <c r="AQ340" s="70"/>
    </row>
    <row r="341" spans="1:43" ht="15.75" thickBot="1" x14ac:dyDescent="0.3">
      <c r="A341" t="s">
        <v>375</v>
      </c>
      <c r="B341" t="s">
        <v>1175</v>
      </c>
      <c r="C341" t="s">
        <v>1063</v>
      </c>
      <c r="D341" t="s">
        <v>1157</v>
      </c>
      <c r="E341" s="30" t="s">
        <v>19</v>
      </c>
      <c r="F341" s="30" t="s">
        <v>28</v>
      </c>
      <c r="G341" s="30"/>
      <c r="H341" s="30" t="s">
        <v>1160</v>
      </c>
      <c r="I341" s="31">
        <f t="shared" si="16"/>
        <v>28</v>
      </c>
      <c r="J341" s="147" t="s">
        <v>1948</v>
      </c>
      <c r="K341" s="31">
        <f t="shared" si="17"/>
        <v>0</v>
      </c>
      <c r="L341" s="32">
        <f t="shared" si="18"/>
        <v>1</v>
      </c>
      <c r="M341" s="70"/>
      <c r="N341" s="70"/>
      <c r="O341" s="70"/>
      <c r="P341" s="70"/>
      <c r="Q341" s="70"/>
      <c r="R341" s="70"/>
      <c r="S341" s="70"/>
      <c r="T341" s="70"/>
      <c r="U341" s="70"/>
      <c r="V341" s="70"/>
      <c r="W341" s="70"/>
      <c r="X341" s="70"/>
      <c r="Y341" s="70"/>
      <c r="Z341" s="70"/>
      <c r="AA341" s="70"/>
      <c r="AB341" s="70"/>
      <c r="AC341" s="70"/>
      <c r="AD341" s="70"/>
      <c r="AE341" s="70"/>
      <c r="AF341" s="70"/>
      <c r="AG341" s="70"/>
      <c r="AH341" s="70"/>
      <c r="AI341" s="70"/>
      <c r="AJ341" s="70"/>
      <c r="AK341" s="83"/>
      <c r="AL341" s="70"/>
      <c r="AM341" s="70"/>
      <c r="AN341" s="70"/>
      <c r="AO341" s="70"/>
      <c r="AP341" s="70"/>
      <c r="AQ341" s="70"/>
    </row>
    <row r="342" spans="1:43" ht="15.75" thickBot="1" x14ac:dyDescent="0.3">
      <c r="A342" t="s">
        <v>375</v>
      </c>
      <c r="B342" t="s">
        <v>1193</v>
      </c>
      <c r="C342" t="s">
        <v>1063</v>
      </c>
      <c r="D342" t="s">
        <v>1156</v>
      </c>
      <c r="E342" s="30" t="s">
        <v>15</v>
      </c>
      <c r="F342" s="30" t="s">
        <v>28</v>
      </c>
      <c r="G342" s="30"/>
      <c r="H342" s="30" t="s">
        <v>1158</v>
      </c>
      <c r="I342" s="31">
        <f t="shared" si="16"/>
        <v>28</v>
      </c>
      <c r="J342" s="147" t="s">
        <v>1949</v>
      </c>
      <c r="K342" s="31">
        <f t="shared" si="17"/>
        <v>0</v>
      </c>
      <c r="L342" s="32">
        <f t="shared" si="18"/>
        <v>1</v>
      </c>
      <c r="M342" s="70"/>
      <c r="N342" s="70"/>
      <c r="O342" s="70"/>
      <c r="P342" s="70"/>
      <c r="Q342" s="70"/>
      <c r="R342" s="70"/>
      <c r="S342" s="70"/>
      <c r="T342" s="70"/>
      <c r="U342" s="70"/>
      <c r="V342" s="70"/>
      <c r="W342" s="70"/>
      <c r="X342" s="70"/>
      <c r="Y342" s="70"/>
      <c r="Z342" s="70"/>
      <c r="AA342" s="70"/>
      <c r="AB342" s="70"/>
      <c r="AC342" s="70"/>
      <c r="AD342" s="70"/>
      <c r="AE342" s="70"/>
      <c r="AF342" s="70"/>
      <c r="AG342" s="70"/>
      <c r="AH342" s="70"/>
      <c r="AI342" s="70"/>
      <c r="AJ342" s="70"/>
      <c r="AK342" s="70"/>
      <c r="AL342" s="70"/>
      <c r="AM342" s="70"/>
      <c r="AN342" s="70"/>
      <c r="AO342" s="70"/>
      <c r="AP342" s="70"/>
      <c r="AQ342" s="70"/>
    </row>
    <row r="343" spans="1:43" ht="15.75" thickBot="1" x14ac:dyDescent="0.3">
      <c r="A343" t="s">
        <v>375</v>
      </c>
      <c r="B343" t="s">
        <v>1296</v>
      </c>
      <c r="C343" t="s">
        <v>1063</v>
      </c>
      <c r="D343" t="s">
        <v>1297</v>
      </c>
      <c r="E343" s="30" t="s">
        <v>73</v>
      </c>
      <c r="F343" s="30" t="s">
        <v>28</v>
      </c>
      <c r="G343" s="30"/>
      <c r="H343" s="30" t="s">
        <v>1485</v>
      </c>
      <c r="I343" s="31">
        <f t="shared" si="16"/>
        <v>28</v>
      </c>
      <c r="J343" s="147" t="s">
        <v>1950</v>
      </c>
      <c r="K343" s="31">
        <f t="shared" si="17"/>
        <v>0</v>
      </c>
      <c r="L343" s="32">
        <f t="shared" si="18"/>
        <v>1</v>
      </c>
      <c r="M343" s="70"/>
      <c r="N343" s="70"/>
      <c r="O343" s="70"/>
      <c r="P343" s="70"/>
      <c r="Q343" s="70"/>
      <c r="R343" s="70"/>
      <c r="S343" s="70"/>
      <c r="T343" s="70"/>
      <c r="U343" s="70"/>
      <c r="V343" s="70"/>
      <c r="W343" s="70"/>
      <c r="X343" s="70"/>
      <c r="Y343" s="70"/>
      <c r="Z343" s="70"/>
      <c r="AA343" s="70"/>
      <c r="AB343" s="70"/>
      <c r="AC343" s="70"/>
      <c r="AD343" s="70"/>
      <c r="AE343" s="70"/>
      <c r="AF343" s="70"/>
      <c r="AG343" s="70"/>
      <c r="AH343" s="70"/>
      <c r="AI343" s="70"/>
      <c r="AJ343" s="70"/>
      <c r="AK343" s="70"/>
      <c r="AL343" s="70"/>
      <c r="AM343" s="70"/>
      <c r="AN343" s="70"/>
      <c r="AO343" s="70"/>
      <c r="AP343" s="70"/>
      <c r="AQ343" s="70"/>
    </row>
    <row r="344" spans="1:43" ht="15.75" thickBot="1" x14ac:dyDescent="0.3">
      <c r="A344" t="s">
        <v>375</v>
      </c>
      <c r="B344" t="s">
        <v>1386</v>
      </c>
      <c r="C344" t="s">
        <v>1063</v>
      </c>
      <c r="D344" s="68" t="s">
        <v>1389</v>
      </c>
      <c r="E344" s="30" t="s">
        <v>15</v>
      </c>
      <c r="F344" s="30" t="s">
        <v>1056</v>
      </c>
      <c r="G344" s="30"/>
      <c r="H344" s="30" t="s">
        <v>1393</v>
      </c>
      <c r="I344" s="31">
        <f t="shared" si="16"/>
        <v>28</v>
      </c>
      <c r="J344" s="87"/>
      <c r="K344" s="31">
        <f t="shared" si="17"/>
        <v>0</v>
      </c>
      <c r="L344" s="32">
        <f t="shared" si="18"/>
        <v>1</v>
      </c>
      <c r="M344" s="70"/>
      <c r="N344" s="70"/>
      <c r="O344" s="70"/>
      <c r="P344" s="70"/>
      <c r="Q344" s="70"/>
      <c r="R344" s="70"/>
      <c r="S344" s="70"/>
      <c r="T344" s="70"/>
      <c r="U344" s="70"/>
      <c r="V344" s="70"/>
      <c r="W344" s="70"/>
      <c r="X344" s="70"/>
      <c r="Y344" s="70"/>
      <c r="Z344" s="70"/>
      <c r="AA344" s="70"/>
      <c r="AB344" s="70"/>
      <c r="AC344" s="70"/>
      <c r="AD344" s="70"/>
      <c r="AE344" s="70"/>
      <c r="AF344" s="70"/>
      <c r="AG344" s="70"/>
      <c r="AH344" s="70"/>
      <c r="AI344" s="70"/>
      <c r="AJ344" s="70"/>
      <c r="AK344" s="70"/>
      <c r="AL344" s="70"/>
      <c r="AM344" s="70"/>
      <c r="AN344" s="70"/>
      <c r="AO344" s="70"/>
      <c r="AP344" s="70"/>
      <c r="AQ344" s="70"/>
    </row>
    <row r="345" spans="1:43" ht="15.75" thickBot="1" x14ac:dyDescent="0.3">
      <c r="A345" t="s">
        <v>375</v>
      </c>
      <c r="B345" t="s">
        <v>1387</v>
      </c>
      <c r="C345" t="s">
        <v>1063</v>
      </c>
      <c r="D345" s="68" t="s">
        <v>1390</v>
      </c>
      <c r="E345" s="30" t="s">
        <v>73</v>
      </c>
      <c r="F345" s="30" t="s">
        <v>1056</v>
      </c>
      <c r="G345" s="30"/>
      <c r="H345" s="30" t="s">
        <v>1394</v>
      </c>
      <c r="I345" s="31">
        <f t="shared" si="16"/>
        <v>28</v>
      </c>
      <c r="J345" s="87"/>
      <c r="K345" s="31">
        <f t="shared" si="17"/>
        <v>0</v>
      </c>
      <c r="L345" s="32">
        <f t="shared" si="18"/>
        <v>1</v>
      </c>
      <c r="M345" s="70"/>
      <c r="N345" s="70"/>
      <c r="O345" s="70"/>
      <c r="P345" s="70"/>
      <c r="Q345" s="70"/>
      <c r="R345" s="70"/>
      <c r="S345" s="70"/>
      <c r="T345" s="70"/>
      <c r="U345" s="70"/>
      <c r="V345" s="70"/>
      <c r="W345" s="70"/>
      <c r="X345" s="70"/>
      <c r="Y345" s="70"/>
      <c r="Z345" s="70"/>
      <c r="AA345" s="70"/>
      <c r="AB345" s="70"/>
      <c r="AC345" s="70"/>
      <c r="AD345" s="70"/>
      <c r="AE345" s="70"/>
      <c r="AF345" s="70"/>
      <c r="AG345" s="70"/>
      <c r="AH345" s="70"/>
      <c r="AI345" s="70"/>
      <c r="AJ345" s="70"/>
      <c r="AK345" s="70"/>
      <c r="AL345" s="70"/>
      <c r="AM345" s="70"/>
      <c r="AN345" s="70"/>
      <c r="AO345" s="70"/>
      <c r="AP345" s="70"/>
      <c r="AQ345" s="70"/>
    </row>
    <row r="346" spans="1:43" ht="15.75" thickBot="1" x14ac:dyDescent="0.3">
      <c r="A346" t="s">
        <v>375</v>
      </c>
      <c r="B346" t="s">
        <v>1388</v>
      </c>
      <c r="C346" t="s">
        <v>1063</v>
      </c>
      <c r="D346" s="68" t="s">
        <v>1391</v>
      </c>
      <c r="E346" s="30" t="s">
        <v>15</v>
      </c>
      <c r="F346" s="30" t="s">
        <v>28</v>
      </c>
      <c r="G346" s="30"/>
      <c r="H346" s="30" t="s">
        <v>1502</v>
      </c>
      <c r="I346" s="31">
        <f t="shared" si="16"/>
        <v>28</v>
      </c>
      <c r="J346" s="147" t="s">
        <v>1951</v>
      </c>
      <c r="K346" s="31">
        <f t="shared" si="17"/>
        <v>0</v>
      </c>
      <c r="L346" s="32">
        <f t="shared" si="18"/>
        <v>1</v>
      </c>
      <c r="M346" s="70"/>
      <c r="N346" s="70"/>
      <c r="O346" s="70"/>
      <c r="P346" s="70"/>
      <c r="Q346" s="70"/>
      <c r="R346" s="70"/>
      <c r="S346" s="70"/>
      <c r="T346" s="70"/>
      <c r="U346" s="70"/>
      <c r="V346" s="70"/>
      <c r="W346" s="70"/>
      <c r="X346" s="70"/>
      <c r="Y346" s="70"/>
      <c r="Z346" s="70"/>
      <c r="AA346" s="70"/>
      <c r="AB346" s="70"/>
      <c r="AC346" s="70"/>
      <c r="AD346" s="70"/>
      <c r="AE346" s="70"/>
      <c r="AF346" s="70"/>
      <c r="AG346" s="70"/>
      <c r="AH346" s="70"/>
      <c r="AI346" s="70"/>
      <c r="AJ346" s="70"/>
      <c r="AK346" s="70"/>
      <c r="AL346" s="70"/>
      <c r="AM346" s="70"/>
      <c r="AN346" s="70"/>
      <c r="AO346" s="70"/>
      <c r="AP346" s="70"/>
      <c r="AQ346" s="70"/>
    </row>
    <row r="347" spans="1:43" s="73" customFormat="1" ht="15.75" thickBot="1" x14ac:dyDescent="0.3">
      <c r="A347" s="73" t="s">
        <v>899</v>
      </c>
      <c r="B347" s="73" t="s">
        <v>1003</v>
      </c>
      <c r="C347" s="73" t="s">
        <v>1063</v>
      </c>
      <c r="D347" s="73" t="s">
        <v>1004</v>
      </c>
      <c r="E347" s="85" t="s">
        <v>1057</v>
      </c>
      <c r="F347" s="85" t="s">
        <v>1301</v>
      </c>
      <c r="G347" s="85"/>
      <c r="H347" s="85" t="s">
        <v>901</v>
      </c>
      <c r="I347" s="142">
        <f t="shared" si="16"/>
        <v>23</v>
      </c>
      <c r="J347" s="87"/>
      <c r="K347" s="142">
        <f t="shared" si="17"/>
        <v>5</v>
      </c>
      <c r="L347" s="143">
        <f t="shared" si="18"/>
        <v>0.8214285714285714</v>
      </c>
      <c r="M347" s="70"/>
      <c r="N347" s="70"/>
      <c r="O347" s="70"/>
      <c r="P347" s="70" t="s">
        <v>2213</v>
      </c>
      <c r="Q347" s="70" t="s">
        <v>2213</v>
      </c>
      <c r="R347" s="70" t="s">
        <v>2213</v>
      </c>
      <c r="S347" s="70" t="s">
        <v>2213</v>
      </c>
      <c r="T347" s="70" t="s">
        <v>2213</v>
      </c>
      <c r="U347" s="70"/>
      <c r="V347" s="70"/>
      <c r="W347" s="70"/>
      <c r="X347" s="70"/>
      <c r="Y347" s="70"/>
      <c r="Z347" s="70"/>
      <c r="AA347" s="70"/>
      <c r="AB347" s="70"/>
      <c r="AC347" s="70"/>
      <c r="AD347" s="70"/>
      <c r="AE347" s="70"/>
      <c r="AF347" s="70"/>
      <c r="AG347" s="70"/>
      <c r="AH347" s="70"/>
      <c r="AI347" s="70"/>
      <c r="AJ347" s="70"/>
      <c r="AK347" s="70"/>
      <c r="AL347" s="70"/>
      <c r="AM347" s="70"/>
      <c r="AN347" s="70"/>
      <c r="AO347" s="70"/>
      <c r="AP347" s="89"/>
      <c r="AQ347" s="89"/>
    </row>
    <row r="348" spans="1:43" s="73" customFormat="1" ht="15.75" thickBot="1" x14ac:dyDescent="0.3">
      <c r="A348" s="73" t="s">
        <v>899</v>
      </c>
      <c r="B348" s="73" t="s">
        <v>898</v>
      </c>
      <c r="C348" s="73" t="s">
        <v>1063</v>
      </c>
      <c r="D348" s="73" t="s">
        <v>1004</v>
      </c>
      <c r="E348" s="85" t="s">
        <v>1058</v>
      </c>
      <c r="F348" s="85" t="s">
        <v>1301</v>
      </c>
      <c r="G348" s="85"/>
      <c r="H348" s="85" t="s">
        <v>900</v>
      </c>
      <c r="I348" s="142">
        <f t="shared" si="16"/>
        <v>23</v>
      </c>
      <c r="J348" s="87"/>
      <c r="K348" s="142">
        <f t="shared" si="17"/>
        <v>5</v>
      </c>
      <c r="L348" s="143">
        <f t="shared" si="18"/>
        <v>0.8214285714285714</v>
      </c>
      <c r="M348" s="70"/>
      <c r="N348" s="70"/>
      <c r="O348" s="70"/>
      <c r="P348" s="70" t="s">
        <v>2213</v>
      </c>
      <c r="Q348" s="70" t="s">
        <v>2213</v>
      </c>
      <c r="R348" s="70" t="s">
        <v>2213</v>
      </c>
      <c r="S348" s="70" t="s">
        <v>2213</v>
      </c>
      <c r="T348" s="70" t="s">
        <v>2213</v>
      </c>
      <c r="U348" s="70"/>
      <c r="V348" s="70"/>
      <c r="W348" s="70"/>
      <c r="X348" s="70"/>
      <c r="Y348" s="70"/>
      <c r="Z348" s="70"/>
      <c r="AA348" s="70"/>
      <c r="AB348" s="70"/>
      <c r="AC348" s="70"/>
      <c r="AD348" s="70"/>
      <c r="AE348" s="70"/>
      <c r="AF348" s="70"/>
      <c r="AG348" s="70"/>
      <c r="AH348" s="70"/>
      <c r="AI348" s="70"/>
      <c r="AJ348" s="70"/>
      <c r="AK348" s="70"/>
      <c r="AL348" s="70"/>
      <c r="AM348" s="70"/>
      <c r="AN348" s="70"/>
      <c r="AO348" s="70"/>
      <c r="AP348" s="89"/>
      <c r="AQ348" s="89"/>
    </row>
    <row r="349" spans="1:43" ht="15.75" thickBot="1" x14ac:dyDescent="0.3">
      <c r="A349" t="s">
        <v>264</v>
      </c>
      <c r="B349" t="s">
        <v>382</v>
      </c>
      <c r="C349" t="s">
        <v>1062</v>
      </c>
      <c r="D349" t="s">
        <v>383</v>
      </c>
      <c r="E349" s="30" t="s">
        <v>19</v>
      </c>
      <c r="F349" s="30" t="s">
        <v>28</v>
      </c>
      <c r="G349" s="30"/>
      <c r="H349" s="30" t="s">
        <v>782</v>
      </c>
      <c r="I349" s="31">
        <f t="shared" si="16"/>
        <v>28</v>
      </c>
      <c r="J349" s="147" t="s">
        <v>1952</v>
      </c>
      <c r="K349" s="31">
        <f t="shared" si="17"/>
        <v>0</v>
      </c>
      <c r="L349" s="32">
        <f t="shared" si="18"/>
        <v>1</v>
      </c>
      <c r="M349" s="70"/>
      <c r="N349" s="70"/>
      <c r="O349" s="70"/>
      <c r="P349" s="70"/>
      <c r="Q349" s="70"/>
      <c r="R349" s="70"/>
      <c r="S349" s="70"/>
      <c r="T349" s="70"/>
      <c r="U349" s="70"/>
      <c r="V349" s="70"/>
      <c r="W349" s="70"/>
      <c r="X349" s="70"/>
      <c r="Y349" s="70"/>
      <c r="Z349" s="70"/>
      <c r="AA349" s="70"/>
      <c r="AB349" s="70"/>
      <c r="AC349" s="70"/>
      <c r="AD349" s="70"/>
      <c r="AE349" s="70"/>
      <c r="AF349" s="70"/>
      <c r="AG349" s="70"/>
      <c r="AH349" s="70"/>
      <c r="AI349" s="70"/>
      <c r="AJ349" s="70"/>
      <c r="AK349" s="70"/>
      <c r="AL349" s="70"/>
      <c r="AM349" s="70"/>
      <c r="AN349" s="70"/>
      <c r="AO349" s="70"/>
      <c r="AP349" s="70"/>
      <c r="AQ349" s="70"/>
    </row>
    <row r="350" spans="1:43" s="73" customFormat="1" ht="15.75" thickBot="1" x14ac:dyDescent="0.3">
      <c r="A350" s="73" t="s">
        <v>264</v>
      </c>
      <c r="B350" s="73" t="s">
        <v>1005</v>
      </c>
      <c r="C350" s="73" t="s">
        <v>1062</v>
      </c>
      <c r="D350" s="73" t="s">
        <v>338</v>
      </c>
      <c r="E350" s="85" t="s">
        <v>73</v>
      </c>
      <c r="F350" s="85" t="s">
        <v>1301</v>
      </c>
      <c r="G350" s="85"/>
      <c r="H350" s="85" t="s">
        <v>751</v>
      </c>
      <c r="I350" s="142">
        <f t="shared" si="16"/>
        <v>20</v>
      </c>
      <c r="J350" s="147" t="s">
        <v>1953</v>
      </c>
      <c r="K350" s="142">
        <f t="shared" si="17"/>
        <v>8</v>
      </c>
      <c r="L350" s="143">
        <f t="shared" si="18"/>
        <v>0.7142857142857143</v>
      </c>
      <c r="M350" s="70" t="s">
        <v>2213</v>
      </c>
      <c r="N350" s="70" t="s">
        <v>2213</v>
      </c>
      <c r="O350" s="70" t="s">
        <v>2213</v>
      </c>
      <c r="P350" s="70" t="s">
        <v>2213</v>
      </c>
      <c r="Q350" s="70" t="s">
        <v>2213</v>
      </c>
      <c r="R350" s="70" t="s">
        <v>2213</v>
      </c>
      <c r="S350" s="70" t="s">
        <v>2213</v>
      </c>
      <c r="T350" s="70" t="s">
        <v>2213</v>
      </c>
      <c r="U350" s="70"/>
      <c r="V350" s="70"/>
      <c r="W350" s="70"/>
      <c r="X350" s="70"/>
      <c r="Y350" s="70"/>
      <c r="Z350" s="70"/>
      <c r="AA350" s="70"/>
      <c r="AB350" s="70"/>
      <c r="AC350" s="70"/>
      <c r="AD350" s="70"/>
      <c r="AE350" s="70"/>
      <c r="AF350" s="70"/>
      <c r="AG350" s="70"/>
      <c r="AH350" s="70"/>
      <c r="AI350" s="70"/>
      <c r="AJ350" s="70"/>
      <c r="AK350" s="70"/>
      <c r="AL350" s="70"/>
      <c r="AM350" s="70"/>
      <c r="AN350" s="70"/>
      <c r="AO350" s="70"/>
      <c r="AP350" s="89"/>
      <c r="AQ350" s="89"/>
    </row>
    <row r="351" spans="1:43" s="73" customFormat="1" ht="15.75" thickBot="1" x14ac:dyDescent="0.3">
      <c r="A351" s="73" t="s">
        <v>264</v>
      </c>
      <c r="B351" s="73" t="s">
        <v>1006</v>
      </c>
      <c r="C351" s="73" t="s">
        <v>1062</v>
      </c>
      <c r="D351" s="73" t="s">
        <v>338</v>
      </c>
      <c r="E351" s="85" t="s">
        <v>73</v>
      </c>
      <c r="F351" s="85" t="s">
        <v>1301</v>
      </c>
      <c r="G351" s="85"/>
      <c r="H351" s="85" t="s">
        <v>752</v>
      </c>
      <c r="I351" s="142">
        <f t="shared" si="16"/>
        <v>20</v>
      </c>
      <c r="J351" s="147" t="s">
        <v>1954</v>
      </c>
      <c r="K351" s="142">
        <f t="shared" si="17"/>
        <v>8</v>
      </c>
      <c r="L351" s="143">
        <f t="shared" si="18"/>
        <v>0.7142857142857143</v>
      </c>
      <c r="M351" s="70" t="s">
        <v>2213</v>
      </c>
      <c r="N351" s="70" t="s">
        <v>2213</v>
      </c>
      <c r="O351" s="70" t="s">
        <v>2213</v>
      </c>
      <c r="P351" s="70" t="s">
        <v>2213</v>
      </c>
      <c r="Q351" s="70" t="s">
        <v>2213</v>
      </c>
      <c r="R351" s="70" t="s">
        <v>2213</v>
      </c>
      <c r="S351" s="70" t="s">
        <v>2213</v>
      </c>
      <c r="T351" s="70" t="s">
        <v>2213</v>
      </c>
      <c r="U351" s="70"/>
      <c r="V351" s="70"/>
      <c r="W351" s="70"/>
      <c r="X351" s="70"/>
      <c r="Y351" s="70"/>
      <c r="Z351" s="70"/>
      <c r="AA351" s="70"/>
      <c r="AB351" s="70"/>
      <c r="AC351" s="70"/>
      <c r="AD351" s="70"/>
      <c r="AE351" s="70"/>
      <c r="AF351" s="70"/>
      <c r="AG351" s="70"/>
      <c r="AH351" s="70"/>
      <c r="AI351" s="70"/>
      <c r="AJ351" s="70"/>
      <c r="AK351" s="70"/>
      <c r="AL351" s="70"/>
      <c r="AM351" s="70"/>
      <c r="AN351" s="70"/>
      <c r="AO351" s="70"/>
      <c r="AP351" s="89"/>
      <c r="AQ351" s="89"/>
    </row>
    <row r="352" spans="1:43" ht="15.75" thickBot="1" x14ac:dyDescent="0.3">
      <c r="A352" t="s">
        <v>264</v>
      </c>
      <c r="B352" t="s">
        <v>1007</v>
      </c>
      <c r="C352" t="s">
        <v>1062</v>
      </c>
      <c r="D352" t="s">
        <v>1008</v>
      </c>
      <c r="E352" s="30" t="s">
        <v>19</v>
      </c>
      <c r="F352" s="30" t="s">
        <v>28</v>
      </c>
      <c r="G352" s="30"/>
      <c r="H352" s="30" t="s">
        <v>2235</v>
      </c>
      <c r="I352" s="31">
        <f t="shared" si="16"/>
        <v>28</v>
      </c>
      <c r="J352" s="147" t="s">
        <v>1955</v>
      </c>
      <c r="K352" s="31">
        <f t="shared" si="17"/>
        <v>0</v>
      </c>
      <c r="L352" s="32">
        <f t="shared" si="18"/>
        <v>1</v>
      </c>
      <c r="M352" s="70"/>
      <c r="N352" s="70"/>
      <c r="O352" s="70"/>
      <c r="P352" s="70"/>
      <c r="Q352" s="70"/>
      <c r="R352" s="70"/>
      <c r="S352" s="70"/>
      <c r="T352" s="70"/>
      <c r="U352" s="70"/>
      <c r="V352" s="70"/>
      <c r="W352" s="70"/>
      <c r="X352" s="70"/>
      <c r="Y352" s="70"/>
      <c r="Z352" s="70"/>
      <c r="AA352" s="70"/>
      <c r="AB352" s="70"/>
      <c r="AC352" s="70"/>
      <c r="AD352" s="70"/>
      <c r="AE352" s="70"/>
      <c r="AF352" s="70"/>
      <c r="AG352" s="70"/>
      <c r="AH352" s="70"/>
      <c r="AI352" s="70"/>
      <c r="AJ352" s="70"/>
      <c r="AK352" s="70"/>
      <c r="AL352" s="70"/>
      <c r="AM352" s="70"/>
      <c r="AN352" s="70"/>
      <c r="AO352" s="70"/>
      <c r="AP352" s="70"/>
      <c r="AQ352" s="70"/>
    </row>
    <row r="353" spans="1:43" ht="15.75" thickBot="1" x14ac:dyDescent="0.3">
      <c r="A353" t="s">
        <v>264</v>
      </c>
      <c r="B353" t="s">
        <v>1009</v>
      </c>
      <c r="C353" t="s">
        <v>1062</v>
      </c>
      <c r="D353" t="s">
        <v>1010</v>
      </c>
      <c r="E353" s="30" t="s">
        <v>19</v>
      </c>
      <c r="F353" s="30" t="s">
        <v>28</v>
      </c>
      <c r="G353" s="30"/>
      <c r="H353" s="30" t="s">
        <v>2236</v>
      </c>
      <c r="I353" s="31">
        <f t="shared" si="16"/>
        <v>28</v>
      </c>
      <c r="J353" s="147" t="s">
        <v>1956</v>
      </c>
      <c r="K353" s="31">
        <f t="shared" si="17"/>
        <v>0</v>
      </c>
      <c r="L353" s="32">
        <f t="shared" si="18"/>
        <v>1</v>
      </c>
      <c r="M353" s="70"/>
      <c r="N353" s="70"/>
      <c r="O353" s="70"/>
      <c r="P353" s="70"/>
      <c r="Q353" s="70"/>
      <c r="R353" s="70"/>
      <c r="S353" s="70"/>
      <c r="T353" s="70"/>
      <c r="U353" s="70"/>
      <c r="V353" s="70"/>
      <c r="W353" s="70"/>
      <c r="X353" s="70"/>
      <c r="Y353" s="70"/>
      <c r="Z353" s="70"/>
      <c r="AA353" s="70"/>
      <c r="AB353" s="70"/>
      <c r="AC353" s="70"/>
      <c r="AD353" s="70"/>
      <c r="AE353" s="70"/>
      <c r="AF353" s="70"/>
      <c r="AG353" s="70"/>
      <c r="AH353" s="70"/>
      <c r="AI353" s="70"/>
      <c r="AJ353" s="70"/>
      <c r="AK353" s="70"/>
      <c r="AL353" s="70"/>
      <c r="AM353" s="70"/>
      <c r="AN353" s="70"/>
      <c r="AO353" s="70"/>
      <c r="AP353" s="70"/>
      <c r="AQ353" s="70"/>
    </row>
    <row r="354" spans="1:43" ht="15.75" thickBot="1" x14ac:dyDescent="0.3">
      <c r="A354" t="s">
        <v>264</v>
      </c>
      <c r="B354" t="s">
        <v>1130</v>
      </c>
      <c r="C354" t="s">
        <v>1062</v>
      </c>
      <c r="D354" t="s">
        <v>1127</v>
      </c>
      <c r="E354" s="30" t="s">
        <v>73</v>
      </c>
      <c r="F354" s="30" t="s">
        <v>28</v>
      </c>
      <c r="G354" s="30"/>
      <c r="H354" s="30" t="s">
        <v>1136</v>
      </c>
      <c r="I354" s="31">
        <f t="shared" si="16"/>
        <v>28</v>
      </c>
      <c r="J354" s="147" t="s">
        <v>1957</v>
      </c>
      <c r="K354" s="31">
        <f t="shared" si="17"/>
        <v>0</v>
      </c>
      <c r="L354" s="32">
        <f t="shared" si="18"/>
        <v>1</v>
      </c>
      <c r="M354" s="70"/>
      <c r="N354" s="70"/>
      <c r="O354" s="70"/>
      <c r="P354" s="70"/>
      <c r="Q354" s="70"/>
      <c r="R354" s="70"/>
      <c r="S354" s="70"/>
      <c r="T354" s="70"/>
      <c r="U354" s="70"/>
      <c r="V354" s="70"/>
      <c r="W354" s="70"/>
      <c r="X354" s="70"/>
      <c r="Y354" s="70"/>
      <c r="Z354" s="70"/>
      <c r="AA354" s="70"/>
      <c r="AB354" s="70"/>
      <c r="AC354" s="70"/>
      <c r="AD354" s="70"/>
      <c r="AE354" s="70"/>
      <c r="AF354" s="70"/>
      <c r="AG354" s="70"/>
      <c r="AH354" s="70"/>
      <c r="AI354" s="70"/>
      <c r="AJ354" s="70"/>
      <c r="AK354" s="70"/>
      <c r="AL354" s="70"/>
      <c r="AM354" s="70"/>
      <c r="AN354" s="70"/>
      <c r="AO354" s="70"/>
      <c r="AP354" s="70"/>
      <c r="AQ354" s="70"/>
    </row>
    <row r="355" spans="1:43" ht="15.75" thickBot="1" x14ac:dyDescent="0.3">
      <c r="A355" t="s">
        <v>264</v>
      </c>
      <c r="B355" t="s">
        <v>1131</v>
      </c>
      <c r="C355" t="s">
        <v>1062</v>
      </c>
      <c r="D355" t="s">
        <v>1127</v>
      </c>
      <c r="E355" s="30" t="s">
        <v>73</v>
      </c>
      <c r="F355" s="30" t="s">
        <v>28</v>
      </c>
      <c r="G355" s="30"/>
      <c r="H355" s="30" t="s">
        <v>1137</v>
      </c>
      <c r="I355" s="31">
        <f t="shared" si="16"/>
        <v>28</v>
      </c>
      <c r="J355" s="147" t="s">
        <v>1958</v>
      </c>
      <c r="K355" s="31">
        <f t="shared" si="17"/>
        <v>0</v>
      </c>
      <c r="L355" s="32">
        <f t="shared" si="18"/>
        <v>1</v>
      </c>
      <c r="M355" s="70"/>
      <c r="N355" s="70"/>
      <c r="O355" s="70"/>
      <c r="P355" s="70"/>
      <c r="Q355" s="70"/>
      <c r="R355" s="70"/>
      <c r="S355" s="70"/>
      <c r="T355" s="70"/>
      <c r="U355" s="70"/>
      <c r="V355" s="70"/>
      <c r="W355" s="70"/>
      <c r="X355" s="70"/>
      <c r="Y355" s="70"/>
      <c r="Z355" s="70"/>
      <c r="AA355" s="70"/>
      <c r="AB355" s="70"/>
      <c r="AC355" s="70"/>
      <c r="AD355" s="70"/>
      <c r="AE355" s="70"/>
      <c r="AF355" s="70"/>
      <c r="AG355" s="70"/>
      <c r="AH355" s="70"/>
      <c r="AI355" s="70"/>
      <c r="AJ355" s="70"/>
      <c r="AK355" s="70"/>
      <c r="AL355" s="70"/>
      <c r="AM355" s="70"/>
      <c r="AN355" s="70"/>
      <c r="AO355" s="70"/>
      <c r="AP355" s="70"/>
      <c r="AQ355" s="70"/>
    </row>
    <row r="356" spans="1:43" ht="15.75" thickBot="1" x14ac:dyDescent="0.3">
      <c r="A356" t="s">
        <v>264</v>
      </c>
      <c r="B356" t="s">
        <v>1132</v>
      </c>
      <c r="C356" t="s">
        <v>1062</v>
      </c>
      <c r="D356" t="s">
        <v>1128</v>
      </c>
      <c r="E356" s="30" t="s">
        <v>73</v>
      </c>
      <c r="F356" s="30" t="s">
        <v>28</v>
      </c>
      <c r="G356" s="30"/>
      <c r="H356" s="30" t="s">
        <v>1138</v>
      </c>
      <c r="I356" s="31">
        <f t="shared" si="16"/>
        <v>28</v>
      </c>
      <c r="J356" s="147" t="s">
        <v>1959</v>
      </c>
      <c r="K356" s="31">
        <f t="shared" si="17"/>
        <v>0</v>
      </c>
      <c r="L356" s="32">
        <f t="shared" si="18"/>
        <v>1</v>
      </c>
      <c r="M356" s="70"/>
      <c r="N356" s="70"/>
      <c r="O356" s="70"/>
      <c r="P356" s="70"/>
      <c r="Q356" s="70"/>
      <c r="R356" s="70"/>
      <c r="S356" s="70"/>
      <c r="T356" s="70"/>
      <c r="U356" s="70"/>
      <c r="V356" s="70"/>
      <c r="W356" s="70"/>
      <c r="X356" s="70"/>
      <c r="Y356" s="70"/>
      <c r="Z356" s="70"/>
      <c r="AA356" s="70"/>
      <c r="AB356" s="70"/>
      <c r="AC356" s="70"/>
      <c r="AD356" s="70"/>
      <c r="AE356" s="70"/>
      <c r="AF356" s="70"/>
      <c r="AG356" s="70"/>
      <c r="AH356" s="70"/>
      <c r="AI356" s="70"/>
      <c r="AJ356" s="70"/>
      <c r="AK356" s="70"/>
      <c r="AL356" s="70"/>
      <c r="AM356" s="70"/>
      <c r="AN356" s="70"/>
      <c r="AO356" s="70"/>
      <c r="AP356" s="70"/>
      <c r="AQ356" s="70"/>
    </row>
    <row r="357" spans="1:43" ht="15.75" thickBot="1" x14ac:dyDescent="0.3">
      <c r="A357" t="s">
        <v>264</v>
      </c>
      <c r="B357" t="s">
        <v>1133</v>
      </c>
      <c r="C357" t="s">
        <v>1062</v>
      </c>
      <c r="D357" t="s">
        <v>1128</v>
      </c>
      <c r="E357" s="30" t="s">
        <v>73</v>
      </c>
      <c r="F357" s="30" t="s">
        <v>28</v>
      </c>
      <c r="G357" s="30"/>
      <c r="H357" s="30" t="s">
        <v>1139</v>
      </c>
      <c r="I357" s="31">
        <f t="shared" si="16"/>
        <v>28</v>
      </c>
      <c r="J357" s="147" t="s">
        <v>1960</v>
      </c>
      <c r="K357" s="31">
        <f t="shared" si="17"/>
        <v>0</v>
      </c>
      <c r="L357" s="32">
        <f t="shared" si="18"/>
        <v>1</v>
      </c>
      <c r="M357" s="70"/>
      <c r="N357" s="70"/>
      <c r="O357" s="70"/>
      <c r="P357" s="70"/>
      <c r="Q357" s="70"/>
      <c r="R357" s="70"/>
      <c r="S357" s="70"/>
      <c r="T357" s="70"/>
      <c r="U357" s="70"/>
      <c r="V357" s="70"/>
      <c r="W357" s="70"/>
      <c r="X357" s="70"/>
      <c r="Y357" s="70"/>
      <c r="Z357" s="70"/>
      <c r="AA357" s="70"/>
      <c r="AB357" s="70"/>
      <c r="AC357" s="70"/>
      <c r="AD357" s="70"/>
      <c r="AE357" s="70"/>
      <c r="AF357" s="70"/>
      <c r="AG357" s="70"/>
      <c r="AH357" s="70"/>
      <c r="AI357" s="70"/>
      <c r="AJ357" s="70"/>
      <c r="AK357" s="70"/>
      <c r="AL357" s="70"/>
      <c r="AM357" s="70"/>
      <c r="AN357" s="70"/>
      <c r="AO357" s="70"/>
      <c r="AP357" s="70"/>
      <c r="AQ357" s="70"/>
    </row>
    <row r="358" spans="1:43" ht="15.75" thickBot="1" x14ac:dyDescent="0.3">
      <c r="A358" s="73" t="s">
        <v>1320</v>
      </c>
      <c r="B358" t="s">
        <v>1233</v>
      </c>
      <c r="C358" t="s">
        <v>1062</v>
      </c>
      <c r="D358" t="s">
        <v>1234</v>
      </c>
      <c r="E358" t="s">
        <v>19</v>
      </c>
      <c r="F358" t="s">
        <v>28</v>
      </c>
      <c r="G358"/>
      <c r="H358" s="30" t="s">
        <v>1240</v>
      </c>
      <c r="I358" s="31">
        <f t="shared" si="16"/>
        <v>28</v>
      </c>
      <c r="J358" s="147" t="s">
        <v>1961</v>
      </c>
      <c r="K358" s="31">
        <f t="shared" si="17"/>
        <v>0</v>
      </c>
      <c r="L358" s="32">
        <f t="shared" si="18"/>
        <v>1</v>
      </c>
      <c r="M358" s="70"/>
      <c r="N358" s="70"/>
      <c r="O358" s="70"/>
      <c r="P358" s="70"/>
      <c r="Q358" s="70"/>
      <c r="R358" s="70"/>
      <c r="S358" s="70"/>
      <c r="T358" s="70"/>
      <c r="U358" s="70"/>
      <c r="V358" s="70"/>
      <c r="W358" s="70"/>
      <c r="X358" s="70"/>
      <c r="Y358" s="70"/>
      <c r="Z358" s="70"/>
      <c r="AA358" s="70"/>
      <c r="AB358" s="70"/>
      <c r="AC358" s="70"/>
      <c r="AD358" s="70"/>
      <c r="AE358" s="70"/>
      <c r="AF358" s="70"/>
      <c r="AG358" s="70"/>
      <c r="AH358" s="70"/>
      <c r="AI358" s="70"/>
      <c r="AJ358" s="70"/>
      <c r="AK358" s="70"/>
      <c r="AL358" s="70"/>
      <c r="AM358" s="70"/>
      <c r="AN358" s="70"/>
      <c r="AO358" s="70"/>
      <c r="AP358" s="70"/>
      <c r="AQ358" s="70"/>
    </row>
    <row r="359" spans="1:43" ht="15.75" thickBot="1" x14ac:dyDescent="0.3">
      <c r="A359" s="73" t="s">
        <v>1320</v>
      </c>
      <c r="B359" t="s">
        <v>1235</v>
      </c>
      <c r="C359" t="s">
        <v>1062</v>
      </c>
      <c r="D359" t="s">
        <v>1236</v>
      </c>
      <c r="E359" t="s">
        <v>19</v>
      </c>
      <c r="F359" t="s">
        <v>28</v>
      </c>
      <c r="G359"/>
      <c r="H359" s="30" t="s">
        <v>1241</v>
      </c>
      <c r="I359" s="31">
        <f t="shared" si="16"/>
        <v>28</v>
      </c>
      <c r="J359" s="147" t="s">
        <v>1962</v>
      </c>
      <c r="K359" s="31">
        <f t="shared" si="17"/>
        <v>0</v>
      </c>
      <c r="L359" s="32">
        <f t="shared" si="18"/>
        <v>1</v>
      </c>
      <c r="M359" s="70"/>
      <c r="N359" s="70"/>
      <c r="O359" s="70"/>
      <c r="P359" s="70"/>
      <c r="Q359" s="70"/>
      <c r="R359" s="70"/>
      <c r="S359" s="70"/>
      <c r="T359" s="70"/>
      <c r="U359" s="70"/>
      <c r="V359" s="70"/>
      <c r="W359" s="70"/>
      <c r="X359" s="70"/>
      <c r="Y359" s="70"/>
      <c r="Z359" s="70"/>
      <c r="AA359" s="70"/>
      <c r="AB359" s="70"/>
      <c r="AC359" s="70"/>
      <c r="AD359" s="70"/>
      <c r="AE359" s="70"/>
      <c r="AF359" s="70"/>
      <c r="AG359" s="70"/>
      <c r="AH359" s="70"/>
      <c r="AI359" s="70"/>
      <c r="AJ359" s="70"/>
      <c r="AK359" s="70"/>
      <c r="AL359" s="70"/>
      <c r="AM359" s="70"/>
      <c r="AN359" s="70"/>
      <c r="AO359" s="70"/>
      <c r="AP359" s="70"/>
      <c r="AQ359" s="70"/>
    </row>
    <row r="360" spans="1:43" s="73" customFormat="1" ht="15.75" thickBot="1" x14ac:dyDescent="0.3">
      <c r="A360" s="73" t="s">
        <v>1320</v>
      </c>
      <c r="B360" s="73" t="s">
        <v>1575</v>
      </c>
      <c r="C360" s="73" t="s">
        <v>1062</v>
      </c>
      <c r="D360" s="73" t="s">
        <v>1578</v>
      </c>
      <c r="E360" s="85" t="s">
        <v>73</v>
      </c>
      <c r="F360" s="85" t="s">
        <v>1301</v>
      </c>
      <c r="H360" s="85" t="s">
        <v>1579</v>
      </c>
      <c r="I360" s="31">
        <f t="shared" si="16"/>
        <v>28</v>
      </c>
      <c r="J360" s="147" t="s">
        <v>1963</v>
      </c>
      <c r="K360" s="31">
        <f t="shared" si="17"/>
        <v>0</v>
      </c>
      <c r="L360" s="32">
        <f t="shared" si="18"/>
        <v>1</v>
      </c>
      <c r="M360" s="70"/>
      <c r="N360" s="70"/>
      <c r="O360" s="70"/>
      <c r="P360" s="70"/>
      <c r="Q360" s="70"/>
      <c r="R360" s="70"/>
      <c r="S360" s="70"/>
      <c r="T360" s="70"/>
      <c r="U360" s="70"/>
      <c r="V360" s="70"/>
      <c r="W360" s="70"/>
      <c r="X360" s="70"/>
      <c r="Y360" s="70"/>
      <c r="Z360" s="70"/>
      <c r="AA360" s="70"/>
      <c r="AB360" s="70"/>
      <c r="AC360" s="70"/>
      <c r="AD360" s="70"/>
      <c r="AE360" s="70"/>
      <c r="AF360" s="70"/>
      <c r="AG360" s="70"/>
      <c r="AH360" s="70"/>
      <c r="AI360" s="70"/>
      <c r="AJ360" s="70"/>
      <c r="AK360" s="70"/>
      <c r="AL360" s="70"/>
      <c r="AM360" s="70"/>
      <c r="AN360" s="70"/>
      <c r="AO360" s="70"/>
      <c r="AP360" s="89"/>
      <c r="AQ360" s="89"/>
    </row>
    <row r="361" spans="1:43" s="73" customFormat="1" ht="15.75" thickBot="1" x14ac:dyDescent="0.3">
      <c r="A361" s="73" t="s">
        <v>1320</v>
      </c>
      <c r="B361" s="73" t="s">
        <v>1576</v>
      </c>
      <c r="C361" s="73" t="s">
        <v>1062</v>
      </c>
      <c r="D361" s="73" t="s">
        <v>1580</v>
      </c>
      <c r="E361" s="73" t="s">
        <v>73</v>
      </c>
      <c r="F361" s="85" t="s">
        <v>1301</v>
      </c>
      <c r="H361" s="85" t="s">
        <v>1581</v>
      </c>
      <c r="I361" s="31">
        <f t="shared" si="16"/>
        <v>28</v>
      </c>
      <c r="J361" s="147" t="s">
        <v>1964</v>
      </c>
      <c r="K361" s="31">
        <f t="shared" si="17"/>
        <v>0</v>
      </c>
      <c r="L361" s="32">
        <f t="shared" si="18"/>
        <v>1</v>
      </c>
      <c r="M361" s="70"/>
      <c r="N361" s="70"/>
      <c r="O361" s="70"/>
      <c r="P361" s="70"/>
      <c r="Q361" s="70"/>
      <c r="R361" s="70"/>
      <c r="S361" s="70"/>
      <c r="T361" s="70"/>
      <c r="U361" s="70"/>
      <c r="V361" s="70"/>
      <c r="W361" s="70"/>
      <c r="X361" s="70"/>
      <c r="Y361" s="70"/>
      <c r="Z361" s="70"/>
      <c r="AA361" s="70"/>
      <c r="AB361" s="70"/>
      <c r="AC361" s="70"/>
      <c r="AD361" s="70"/>
      <c r="AE361" s="70"/>
      <c r="AF361" s="70"/>
      <c r="AG361" s="70"/>
      <c r="AH361" s="70"/>
      <c r="AI361" s="70"/>
      <c r="AJ361" s="70"/>
      <c r="AK361" s="70"/>
      <c r="AL361" s="70"/>
      <c r="AM361" s="70"/>
      <c r="AN361" s="70"/>
      <c r="AO361" s="70"/>
      <c r="AP361" s="89"/>
      <c r="AQ361" s="89"/>
    </row>
    <row r="362" spans="1:43" s="73" customFormat="1" ht="15.75" thickBot="1" x14ac:dyDescent="0.3">
      <c r="A362" s="73" t="s">
        <v>1320</v>
      </c>
      <c r="B362" s="73" t="s">
        <v>1577</v>
      </c>
      <c r="C362" s="73" t="s">
        <v>1062</v>
      </c>
      <c r="D362" s="73" t="s">
        <v>1582</v>
      </c>
      <c r="E362" s="73" t="s">
        <v>73</v>
      </c>
      <c r="F362" s="85" t="s">
        <v>1301</v>
      </c>
      <c r="H362" s="85" t="s">
        <v>1583</v>
      </c>
      <c r="I362" s="31">
        <f t="shared" si="16"/>
        <v>28</v>
      </c>
      <c r="J362" s="147" t="s">
        <v>1965</v>
      </c>
      <c r="K362" s="31">
        <f t="shared" si="17"/>
        <v>0</v>
      </c>
      <c r="L362" s="32">
        <f t="shared" si="18"/>
        <v>1</v>
      </c>
      <c r="M362" s="70"/>
      <c r="N362" s="70"/>
      <c r="O362" s="70"/>
      <c r="P362" s="70"/>
      <c r="Q362" s="70"/>
      <c r="R362" s="70"/>
      <c r="S362" s="70"/>
      <c r="T362" s="70"/>
      <c r="U362" s="70"/>
      <c r="V362" s="70"/>
      <c r="W362" s="70"/>
      <c r="X362" s="70"/>
      <c r="Y362" s="70"/>
      <c r="Z362" s="70"/>
      <c r="AA362" s="70"/>
      <c r="AB362" s="70"/>
      <c r="AC362" s="70"/>
      <c r="AD362" s="70"/>
      <c r="AE362" s="70"/>
      <c r="AF362" s="70"/>
      <c r="AG362" s="70"/>
      <c r="AH362" s="70"/>
      <c r="AI362" s="70"/>
      <c r="AJ362" s="70"/>
      <c r="AK362" s="70"/>
      <c r="AL362" s="70"/>
      <c r="AM362" s="70"/>
      <c r="AN362" s="70"/>
      <c r="AO362" s="70"/>
      <c r="AP362" s="89"/>
      <c r="AQ362" s="89"/>
    </row>
    <row r="363" spans="1:43" s="73" customFormat="1" ht="15.75" thickBot="1" x14ac:dyDescent="0.3">
      <c r="A363" s="73" t="s">
        <v>1320</v>
      </c>
      <c r="B363" s="73" t="s">
        <v>1636</v>
      </c>
      <c r="C363" s="73" t="s">
        <v>1062</v>
      </c>
      <c r="D363" s="73" t="s">
        <v>1637</v>
      </c>
      <c r="E363" s="73" t="s">
        <v>19</v>
      </c>
      <c r="F363" s="85" t="s">
        <v>1301</v>
      </c>
      <c r="H363" s="85" t="s">
        <v>1638</v>
      </c>
      <c r="I363" s="31">
        <f t="shared" si="16"/>
        <v>28</v>
      </c>
      <c r="J363" s="147" t="s">
        <v>2147</v>
      </c>
      <c r="K363" s="31">
        <f t="shared" si="17"/>
        <v>0</v>
      </c>
      <c r="L363" s="32">
        <f t="shared" si="18"/>
        <v>1</v>
      </c>
      <c r="M363" s="70"/>
      <c r="N363" s="70"/>
      <c r="O363" s="70"/>
      <c r="P363" s="70"/>
      <c r="Q363" s="70"/>
      <c r="R363" s="70"/>
      <c r="S363" s="70"/>
      <c r="T363" s="70"/>
      <c r="U363" s="70"/>
      <c r="V363" s="70"/>
      <c r="W363" s="70"/>
      <c r="X363" s="70"/>
      <c r="Y363" s="70"/>
      <c r="Z363" s="70"/>
      <c r="AA363" s="70"/>
      <c r="AB363" s="70"/>
      <c r="AC363" s="70"/>
      <c r="AD363" s="70"/>
      <c r="AE363" s="70"/>
      <c r="AF363" s="70"/>
      <c r="AG363" s="70"/>
      <c r="AH363" s="70"/>
      <c r="AI363" s="70"/>
      <c r="AJ363" s="70"/>
      <c r="AK363" s="70"/>
      <c r="AL363" s="70"/>
      <c r="AM363" s="70"/>
      <c r="AN363" s="70"/>
      <c r="AO363" s="70"/>
      <c r="AP363" s="89"/>
      <c r="AQ363" s="89"/>
    </row>
    <row r="364" spans="1:43" ht="15.75" thickBot="1" x14ac:dyDescent="0.3">
      <c r="A364" t="s">
        <v>384</v>
      </c>
      <c r="B364" t="s">
        <v>385</v>
      </c>
      <c r="C364" t="s">
        <v>1062</v>
      </c>
      <c r="D364" t="s">
        <v>386</v>
      </c>
      <c r="E364" s="30" t="s">
        <v>19</v>
      </c>
      <c r="F364" s="30" t="s">
        <v>28</v>
      </c>
      <c r="G364" s="30"/>
      <c r="H364" s="30" t="s">
        <v>783</v>
      </c>
      <c r="I364" s="31">
        <f t="shared" si="16"/>
        <v>28</v>
      </c>
      <c r="J364" s="147" t="s">
        <v>1966</v>
      </c>
      <c r="K364" s="31">
        <f t="shared" si="17"/>
        <v>0</v>
      </c>
      <c r="L364" s="32">
        <f t="shared" si="18"/>
        <v>1</v>
      </c>
      <c r="M364" s="70"/>
      <c r="N364" s="70"/>
      <c r="O364" s="70"/>
      <c r="P364" s="70"/>
      <c r="Q364" s="70"/>
      <c r="R364" s="70"/>
      <c r="S364" s="70"/>
      <c r="T364" s="70"/>
      <c r="U364" s="70"/>
      <c r="V364" s="70"/>
      <c r="W364" s="70"/>
      <c r="X364" s="70"/>
      <c r="Y364" s="70"/>
      <c r="Z364" s="70"/>
      <c r="AA364" s="70"/>
      <c r="AB364" s="70"/>
      <c r="AC364" s="70"/>
      <c r="AD364" s="70"/>
      <c r="AE364" s="70"/>
      <c r="AF364" s="70"/>
      <c r="AG364" s="70"/>
      <c r="AH364" s="70"/>
      <c r="AI364" s="70"/>
      <c r="AJ364" s="70"/>
      <c r="AK364" s="70"/>
      <c r="AL364" s="70"/>
      <c r="AM364" s="70"/>
      <c r="AN364" s="70"/>
      <c r="AO364" s="70"/>
      <c r="AP364" s="70"/>
      <c r="AQ364" s="70"/>
    </row>
    <row r="365" spans="1:43" ht="15.75" thickBot="1" x14ac:dyDescent="0.3">
      <c r="A365" t="s">
        <v>384</v>
      </c>
      <c r="B365" t="s">
        <v>387</v>
      </c>
      <c r="C365" t="s">
        <v>1062</v>
      </c>
      <c r="D365" t="s">
        <v>388</v>
      </c>
      <c r="E365" s="30" t="s">
        <v>19</v>
      </c>
      <c r="F365" s="30" t="s">
        <v>28</v>
      </c>
      <c r="G365" s="30"/>
      <c r="H365" s="30" t="s">
        <v>784</v>
      </c>
      <c r="I365" s="31">
        <f t="shared" si="16"/>
        <v>28</v>
      </c>
      <c r="J365" s="147" t="s">
        <v>1967</v>
      </c>
      <c r="K365" s="31">
        <f t="shared" si="17"/>
        <v>0</v>
      </c>
      <c r="L365" s="32">
        <f t="shared" si="18"/>
        <v>1</v>
      </c>
      <c r="M365" s="70"/>
      <c r="N365" s="70"/>
      <c r="O365" s="70"/>
      <c r="P365" s="70"/>
      <c r="Q365" s="70"/>
      <c r="R365" s="70"/>
      <c r="S365" s="70"/>
      <c r="T365" s="70"/>
      <c r="U365" s="70"/>
      <c r="V365" s="70"/>
      <c r="W365" s="70"/>
      <c r="X365" s="70"/>
      <c r="Y365" s="70"/>
      <c r="Z365" s="70"/>
      <c r="AA365" s="70"/>
      <c r="AB365" s="70"/>
      <c r="AC365" s="70"/>
      <c r="AD365" s="70"/>
      <c r="AE365" s="70"/>
      <c r="AF365" s="70"/>
      <c r="AG365" s="70"/>
      <c r="AH365" s="70"/>
      <c r="AI365" s="70"/>
      <c r="AJ365" s="70"/>
      <c r="AK365" s="70"/>
      <c r="AL365" s="70"/>
      <c r="AM365" s="70"/>
      <c r="AN365" s="70"/>
      <c r="AO365" s="70"/>
      <c r="AP365" s="70"/>
      <c r="AQ365" s="70"/>
    </row>
    <row r="366" spans="1:43" s="73" customFormat="1" ht="15.75" thickBot="1" x14ac:dyDescent="0.3">
      <c r="A366" s="73" t="s">
        <v>389</v>
      </c>
      <c r="B366" s="73" t="s">
        <v>390</v>
      </c>
      <c r="C366" s="73" t="s">
        <v>1062</v>
      </c>
      <c r="D366" s="73" t="s">
        <v>391</v>
      </c>
      <c r="E366" s="85" t="s">
        <v>19</v>
      </c>
      <c r="F366" s="85" t="s">
        <v>1301</v>
      </c>
      <c r="G366" s="85"/>
      <c r="H366" s="85" t="s">
        <v>1484</v>
      </c>
      <c r="I366" s="142">
        <f t="shared" si="16"/>
        <v>28</v>
      </c>
      <c r="J366" s="87"/>
      <c r="K366" s="142">
        <f t="shared" si="17"/>
        <v>0</v>
      </c>
      <c r="L366" s="143">
        <f t="shared" si="18"/>
        <v>1</v>
      </c>
      <c r="M366" s="70"/>
      <c r="N366" s="70"/>
      <c r="O366" s="70"/>
      <c r="P366" s="70"/>
      <c r="Q366" s="70"/>
      <c r="R366" s="70"/>
      <c r="S366" s="70"/>
      <c r="T366" s="70"/>
      <c r="U366" s="70"/>
      <c r="V366" s="70"/>
      <c r="W366" s="70"/>
      <c r="X366" s="70"/>
      <c r="Y366" s="70"/>
      <c r="Z366" s="70"/>
      <c r="AA366" s="70"/>
      <c r="AB366" s="70"/>
      <c r="AC366" s="70"/>
      <c r="AD366" s="70"/>
      <c r="AE366" s="70"/>
      <c r="AF366" s="70"/>
      <c r="AG366" s="70"/>
      <c r="AH366" s="70"/>
      <c r="AI366" s="70"/>
      <c r="AJ366" s="70"/>
      <c r="AK366" s="70"/>
      <c r="AL366" s="70"/>
      <c r="AM366" s="70"/>
      <c r="AN366" s="70"/>
      <c r="AO366" s="70"/>
      <c r="AP366" s="89"/>
      <c r="AQ366" s="89"/>
    </row>
    <row r="367" spans="1:43" s="73" customFormat="1" ht="15.75" thickBot="1" x14ac:dyDescent="0.3">
      <c r="A367" s="73" t="s">
        <v>384</v>
      </c>
      <c r="B367" s="73" t="s">
        <v>2177</v>
      </c>
      <c r="C367" s="73" t="s">
        <v>1062</v>
      </c>
      <c r="D367" s="73" t="s">
        <v>2178</v>
      </c>
      <c r="E367" s="85" t="s">
        <v>73</v>
      </c>
      <c r="F367" s="30" t="s">
        <v>28</v>
      </c>
      <c r="G367" s="85"/>
      <c r="H367" s="85" t="s">
        <v>2179</v>
      </c>
      <c r="I367" s="142">
        <f t="shared" si="16"/>
        <v>28</v>
      </c>
      <c r="J367" s="153" t="s">
        <v>2180</v>
      </c>
      <c r="K367" s="142">
        <f t="shared" si="17"/>
        <v>0</v>
      </c>
      <c r="L367" s="143">
        <f t="shared" si="18"/>
        <v>1</v>
      </c>
      <c r="M367" s="70"/>
      <c r="N367" s="70"/>
      <c r="O367" s="70"/>
      <c r="P367" s="70"/>
      <c r="Q367" s="70"/>
      <c r="R367" s="70"/>
      <c r="S367" s="70"/>
      <c r="T367" s="70"/>
      <c r="U367" s="70"/>
      <c r="V367" s="70"/>
      <c r="W367" s="70"/>
      <c r="X367" s="70"/>
      <c r="Y367" s="70"/>
      <c r="Z367" s="70"/>
      <c r="AA367" s="70"/>
      <c r="AB367" s="70"/>
      <c r="AC367" s="70"/>
      <c r="AD367" s="70"/>
      <c r="AE367" s="70"/>
      <c r="AF367" s="70"/>
      <c r="AG367" s="70"/>
      <c r="AH367" s="70"/>
      <c r="AI367" s="70"/>
      <c r="AJ367" s="70"/>
      <c r="AK367" s="70"/>
      <c r="AL367" s="70"/>
      <c r="AM367" s="70"/>
      <c r="AN367" s="70"/>
      <c r="AO367" s="70"/>
      <c r="AP367" s="89"/>
      <c r="AQ367" s="89"/>
    </row>
    <row r="368" spans="1:43" ht="15.75" thickBot="1" x14ac:dyDescent="0.3">
      <c r="A368" t="s">
        <v>294</v>
      </c>
      <c r="B368" t="s">
        <v>392</v>
      </c>
      <c r="C368" t="s">
        <v>1062</v>
      </c>
      <c r="D368" t="s">
        <v>393</v>
      </c>
      <c r="E368" s="30" t="s">
        <v>19</v>
      </c>
      <c r="F368" s="30" t="s">
        <v>28</v>
      </c>
      <c r="G368" s="30"/>
      <c r="H368" s="30" t="s">
        <v>787</v>
      </c>
      <c r="I368" s="31">
        <f t="shared" si="16"/>
        <v>27</v>
      </c>
      <c r="J368" s="147" t="s">
        <v>1968</v>
      </c>
      <c r="K368" s="31">
        <f t="shared" si="17"/>
        <v>1</v>
      </c>
      <c r="L368" s="32">
        <f t="shared" si="18"/>
        <v>0.9642857142857143</v>
      </c>
      <c r="M368" s="70" t="s">
        <v>2213</v>
      </c>
      <c r="N368" s="70"/>
      <c r="O368" s="70"/>
      <c r="P368" s="70"/>
      <c r="Q368" s="70"/>
      <c r="R368" s="70"/>
      <c r="S368" s="70"/>
      <c r="T368" s="70"/>
      <c r="U368" s="70"/>
      <c r="V368" s="70"/>
      <c r="W368" s="70"/>
      <c r="X368" s="70"/>
      <c r="Y368" s="70"/>
      <c r="Z368" s="70"/>
      <c r="AA368" s="70"/>
      <c r="AB368" s="70"/>
      <c r="AC368" s="70"/>
      <c r="AD368" s="70"/>
      <c r="AE368" s="70"/>
      <c r="AF368" s="70"/>
      <c r="AG368" s="70"/>
      <c r="AH368" s="70"/>
      <c r="AI368" s="70"/>
      <c r="AJ368" s="70"/>
      <c r="AK368" s="70"/>
      <c r="AL368" s="70"/>
      <c r="AM368" s="70"/>
      <c r="AN368" s="70"/>
      <c r="AO368" s="70"/>
      <c r="AP368" s="70"/>
      <c r="AQ368" s="70"/>
    </row>
    <row r="369" spans="1:43" ht="15.75" thickBot="1" x14ac:dyDescent="0.3">
      <c r="A369" t="s">
        <v>294</v>
      </c>
      <c r="B369" t="s">
        <v>1011</v>
      </c>
      <c r="C369" t="s">
        <v>1062</v>
      </c>
      <c r="D369" t="s">
        <v>394</v>
      </c>
      <c r="E369" s="30" t="s">
        <v>19</v>
      </c>
      <c r="F369" s="30" t="s">
        <v>28</v>
      </c>
      <c r="G369" s="30"/>
      <c r="H369" s="30" t="s">
        <v>788</v>
      </c>
      <c r="I369" s="31">
        <f t="shared" si="16"/>
        <v>28</v>
      </c>
      <c r="J369" s="87"/>
      <c r="K369" s="31">
        <f t="shared" si="17"/>
        <v>0</v>
      </c>
      <c r="L369" s="32">
        <f t="shared" si="18"/>
        <v>1</v>
      </c>
      <c r="M369" s="70"/>
      <c r="N369" s="70"/>
      <c r="O369" s="70"/>
      <c r="P369" s="70"/>
      <c r="Q369" s="70"/>
      <c r="R369" s="70"/>
      <c r="S369" s="70"/>
      <c r="T369" s="70"/>
      <c r="U369" s="70"/>
      <c r="V369" s="70"/>
      <c r="W369" s="70"/>
      <c r="X369" s="70"/>
      <c r="Y369" s="70"/>
      <c r="Z369" s="70"/>
      <c r="AA369" s="70"/>
      <c r="AB369" s="70"/>
      <c r="AC369" s="70"/>
      <c r="AD369" s="70"/>
      <c r="AE369" s="70"/>
      <c r="AF369" s="70"/>
      <c r="AG369" s="70"/>
      <c r="AH369" s="70"/>
      <c r="AI369" s="70"/>
      <c r="AJ369" s="70"/>
      <c r="AK369" s="70"/>
      <c r="AL369" s="70"/>
      <c r="AM369" s="70"/>
      <c r="AN369" s="70"/>
      <c r="AO369" s="70"/>
      <c r="AP369" s="70"/>
      <c r="AQ369" s="70"/>
    </row>
    <row r="370" spans="1:43" ht="15.75" thickBot="1" x14ac:dyDescent="0.3">
      <c r="A370" t="s">
        <v>294</v>
      </c>
      <c r="B370" t="s">
        <v>395</v>
      </c>
      <c r="C370" t="s">
        <v>1062</v>
      </c>
      <c r="D370" t="s">
        <v>396</v>
      </c>
      <c r="E370" s="30" t="s">
        <v>73</v>
      </c>
      <c r="F370" s="30" t="s">
        <v>28</v>
      </c>
      <c r="G370" s="30"/>
      <c r="H370" s="30" t="s">
        <v>785</v>
      </c>
      <c r="I370" s="31">
        <f t="shared" si="16"/>
        <v>25</v>
      </c>
      <c r="J370" s="147" t="s">
        <v>1969</v>
      </c>
      <c r="K370" s="31">
        <f t="shared" si="17"/>
        <v>3</v>
      </c>
      <c r="L370" s="32">
        <f t="shared" si="18"/>
        <v>0.8928571428571429</v>
      </c>
      <c r="M370" s="70"/>
      <c r="N370" s="70"/>
      <c r="O370" s="70" t="s">
        <v>2213</v>
      </c>
      <c r="P370" s="70" t="s">
        <v>2213</v>
      </c>
      <c r="Q370" s="70" t="s">
        <v>2213</v>
      </c>
      <c r="R370" s="70"/>
      <c r="S370" s="70"/>
      <c r="T370" s="70"/>
      <c r="U370" s="70"/>
      <c r="V370" s="70"/>
      <c r="W370" s="70"/>
      <c r="X370" s="70"/>
      <c r="Y370" s="70"/>
      <c r="Z370" s="70"/>
      <c r="AA370" s="70"/>
      <c r="AB370" s="70"/>
      <c r="AC370" s="70"/>
      <c r="AD370" s="70"/>
      <c r="AE370" s="70"/>
      <c r="AF370" s="70"/>
      <c r="AG370" s="70"/>
      <c r="AH370" s="70"/>
      <c r="AI370" s="70"/>
      <c r="AJ370" s="70"/>
      <c r="AK370" s="70"/>
      <c r="AL370" s="70"/>
      <c r="AM370" s="70"/>
      <c r="AN370" s="70"/>
      <c r="AO370" s="70"/>
      <c r="AP370" s="70"/>
      <c r="AQ370" s="70"/>
    </row>
    <row r="371" spans="1:43" ht="15.75" thickBot="1" x14ac:dyDescent="0.3">
      <c r="A371" t="s">
        <v>294</v>
      </c>
      <c r="B371" t="s">
        <v>397</v>
      </c>
      <c r="C371" t="s">
        <v>1062</v>
      </c>
      <c r="D371" t="s">
        <v>396</v>
      </c>
      <c r="E371" s="30" t="s">
        <v>73</v>
      </c>
      <c r="F371" s="30" t="s">
        <v>28</v>
      </c>
      <c r="G371" s="30"/>
      <c r="H371" s="30" t="s">
        <v>786</v>
      </c>
      <c r="I371" s="31">
        <f t="shared" si="16"/>
        <v>25</v>
      </c>
      <c r="J371" s="147" t="s">
        <v>1970</v>
      </c>
      <c r="K371" s="31">
        <f t="shared" si="17"/>
        <v>3</v>
      </c>
      <c r="L371" s="32">
        <f t="shared" si="18"/>
        <v>0.8928571428571429</v>
      </c>
      <c r="M371" s="70"/>
      <c r="N371" s="70"/>
      <c r="O371" s="70" t="s">
        <v>2213</v>
      </c>
      <c r="P371" s="70" t="s">
        <v>2213</v>
      </c>
      <c r="Q371" s="70" t="s">
        <v>2213</v>
      </c>
      <c r="R371" s="70"/>
      <c r="S371" s="70"/>
      <c r="T371" s="70"/>
      <c r="U371" s="70"/>
      <c r="V371" s="70"/>
      <c r="W371" s="70"/>
      <c r="X371" s="70"/>
      <c r="Y371" s="70"/>
      <c r="Z371" s="70"/>
      <c r="AA371" s="70"/>
      <c r="AB371" s="70"/>
      <c r="AC371" s="70"/>
      <c r="AD371" s="70"/>
      <c r="AE371" s="70"/>
      <c r="AF371" s="70"/>
      <c r="AG371" s="70"/>
      <c r="AH371" s="70"/>
      <c r="AI371" s="70"/>
      <c r="AJ371" s="70"/>
      <c r="AK371" s="70"/>
      <c r="AL371" s="70"/>
      <c r="AM371" s="70"/>
      <c r="AN371" s="70"/>
      <c r="AO371" s="70"/>
      <c r="AP371" s="70"/>
      <c r="AQ371" s="70"/>
    </row>
    <row r="372" spans="1:43" ht="15.75" thickBot="1" x14ac:dyDescent="0.3">
      <c r="A372" t="s">
        <v>294</v>
      </c>
      <c r="B372" t="s">
        <v>1264</v>
      </c>
      <c r="C372" t="s">
        <v>1062</v>
      </c>
      <c r="D372" t="s">
        <v>1265</v>
      </c>
      <c r="E372" s="30" t="s">
        <v>15</v>
      </c>
      <c r="F372" s="30" t="s">
        <v>1056</v>
      </c>
      <c r="G372" s="30" t="s">
        <v>1267</v>
      </c>
      <c r="H372" s="30" t="s">
        <v>1266</v>
      </c>
      <c r="I372" s="31">
        <f t="shared" si="16"/>
        <v>27</v>
      </c>
      <c r="J372" s="147" t="s">
        <v>1971</v>
      </c>
      <c r="K372" s="31">
        <f t="shared" si="17"/>
        <v>1</v>
      </c>
      <c r="L372" s="32">
        <f t="shared" si="18"/>
        <v>0.9642857142857143</v>
      </c>
      <c r="M372" s="70" t="s">
        <v>2213</v>
      </c>
      <c r="N372" s="70"/>
      <c r="O372" s="70"/>
      <c r="P372" s="70"/>
      <c r="Q372" s="70"/>
      <c r="R372" s="70"/>
      <c r="S372" s="70"/>
      <c r="T372" s="70"/>
      <c r="U372" s="70"/>
      <c r="V372" s="70"/>
      <c r="W372" s="70"/>
      <c r="X372" s="70"/>
      <c r="Y372" s="70"/>
      <c r="Z372" s="70"/>
      <c r="AA372" s="70"/>
      <c r="AB372" s="70"/>
      <c r="AC372" s="70"/>
      <c r="AD372" s="70"/>
      <c r="AE372" s="70"/>
      <c r="AF372" s="70"/>
      <c r="AG372" s="70"/>
      <c r="AH372" s="70"/>
      <c r="AI372" s="70"/>
      <c r="AJ372" s="70"/>
      <c r="AK372" s="70"/>
      <c r="AL372" s="70"/>
      <c r="AM372" s="70"/>
      <c r="AN372" s="70"/>
      <c r="AO372" s="70"/>
      <c r="AP372" s="70"/>
      <c r="AQ372" s="70"/>
    </row>
    <row r="373" spans="1:43" s="73" customFormat="1" ht="15.75" thickBot="1" x14ac:dyDescent="0.3">
      <c r="A373" s="73" t="s">
        <v>294</v>
      </c>
      <c r="B373" s="73" t="s">
        <v>1313</v>
      </c>
      <c r="C373" s="73" t="s">
        <v>1063</v>
      </c>
      <c r="D373" s="73" t="s">
        <v>1314</v>
      </c>
      <c r="E373" s="85" t="s">
        <v>15</v>
      </c>
      <c r="F373" s="85" t="s">
        <v>1301</v>
      </c>
      <c r="G373" s="85"/>
      <c r="H373" s="85" t="s">
        <v>1315</v>
      </c>
      <c r="I373" s="31">
        <f t="shared" si="16"/>
        <v>27</v>
      </c>
      <c r="J373" s="147" t="s">
        <v>1972</v>
      </c>
      <c r="K373" s="31">
        <f t="shared" si="17"/>
        <v>1</v>
      </c>
      <c r="L373" s="32">
        <f t="shared" si="18"/>
        <v>0.9642857142857143</v>
      </c>
      <c r="M373" s="70" t="s">
        <v>2213</v>
      </c>
      <c r="N373" s="70"/>
      <c r="O373" s="70"/>
      <c r="P373" s="70"/>
      <c r="Q373" s="70"/>
      <c r="R373" s="70"/>
      <c r="S373" s="70"/>
      <c r="T373" s="70"/>
      <c r="U373" s="70"/>
      <c r="V373" s="70"/>
      <c r="W373" s="70"/>
      <c r="X373" s="70"/>
      <c r="Y373" s="70"/>
      <c r="Z373" s="70"/>
      <c r="AA373" s="70"/>
      <c r="AB373" s="70"/>
      <c r="AC373" s="70"/>
      <c r="AD373" s="70"/>
      <c r="AE373" s="70"/>
      <c r="AF373" s="70"/>
      <c r="AG373" s="70"/>
      <c r="AH373" s="70"/>
      <c r="AI373" s="70"/>
      <c r="AJ373" s="70"/>
      <c r="AK373" s="70"/>
      <c r="AL373" s="70"/>
      <c r="AM373" s="70"/>
      <c r="AN373" s="70"/>
      <c r="AO373" s="70"/>
      <c r="AP373" s="89"/>
      <c r="AQ373" s="89"/>
    </row>
    <row r="374" spans="1:43" s="91" customFormat="1" ht="15.75" thickBot="1" x14ac:dyDescent="0.3">
      <c r="A374" s="91" t="s">
        <v>402</v>
      </c>
      <c r="B374" s="91" t="s">
        <v>407</v>
      </c>
      <c r="C374" s="91" t="s">
        <v>1062</v>
      </c>
      <c r="D374" s="91" t="s">
        <v>408</v>
      </c>
      <c r="E374" s="92" t="s">
        <v>15</v>
      </c>
      <c r="F374" s="92" t="s">
        <v>20</v>
      </c>
      <c r="G374" s="92"/>
      <c r="H374" s="92" t="s">
        <v>789</v>
      </c>
      <c r="I374" s="31">
        <f t="shared" si="16"/>
        <v>21</v>
      </c>
      <c r="J374" s="73"/>
      <c r="K374" s="31">
        <f t="shared" si="17"/>
        <v>7</v>
      </c>
      <c r="L374" s="32">
        <f t="shared" si="18"/>
        <v>0.75</v>
      </c>
      <c r="M374" s="70"/>
      <c r="N374" s="70" t="s">
        <v>2213</v>
      </c>
      <c r="O374" s="70" t="s">
        <v>2213</v>
      </c>
      <c r="P374" s="70" t="s">
        <v>2213</v>
      </c>
      <c r="Q374" s="70" t="s">
        <v>2213</v>
      </c>
      <c r="R374" s="70" t="s">
        <v>2213</v>
      </c>
      <c r="S374" s="70" t="s">
        <v>2213</v>
      </c>
      <c r="T374" s="70" t="s">
        <v>2213</v>
      </c>
      <c r="U374" s="70"/>
      <c r="V374" s="70"/>
      <c r="W374" s="70"/>
      <c r="X374" s="70"/>
      <c r="Y374" s="70"/>
      <c r="Z374" s="70"/>
      <c r="AA374" s="70"/>
      <c r="AB374" s="70"/>
      <c r="AC374" s="70"/>
      <c r="AD374" s="70"/>
      <c r="AE374" s="93"/>
      <c r="AF374" s="93"/>
      <c r="AG374" s="70"/>
      <c r="AH374" s="93"/>
      <c r="AI374" s="93"/>
      <c r="AJ374" s="93"/>
      <c r="AK374" s="93"/>
      <c r="AL374" s="93"/>
      <c r="AM374" s="93"/>
      <c r="AN374" s="93"/>
      <c r="AO374" s="93"/>
      <c r="AP374" s="93"/>
      <c r="AQ374" s="93"/>
    </row>
    <row r="375" spans="1:43" s="73" customFormat="1" ht="15.75" thickBot="1" x14ac:dyDescent="0.3">
      <c r="A375" s="73" t="s">
        <v>384</v>
      </c>
      <c r="B375" s="73" t="s">
        <v>398</v>
      </c>
      <c r="C375" s="73" t="s">
        <v>1062</v>
      </c>
      <c r="D375" s="73" t="s">
        <v>399</v>
      </c>
      <c r="E375" s="85" t="s">
        <v>19</v>
      </c>
      <c r="F375" s="85" t="s">
        <v>1301</v>
      </c>
      <c r="G375" s="85"/>
      <c r="H375" s="85" t="s">
        <v>2124</v>
      </c>
      <c r="I375" s="142">
        <f t="shared" si="16"/>
        <v>28</v>
      </c>
      <c r="J375" s="147" t="s">
        <v>1973</v>
      </c>
      <c r="K375" s="142">
        <f t="shared" si="17"/>
        <v>0</v>
      </c>
      <c r="L375" s="143">
        <f t="shared" si="18"/>
        <v>1</v>
      </c>
      <c r="M375" s="70"/>
      <c r="N375" s="70"/>
      <c r="O375" s="70"/>
      <c r="P375" s="70"/>
      <c r="Q375" s="70"/>
      <c r="R375" s="70"/>
      <c r="S375" s="70"/>
      <c r="T375" s="70"/>
      <c r="U375" s="70"/>
      <c r="V375" s="70"/>
      <c r="W375" s="70"/>
      <c r="X375" s="70"/>
      <c r="Y375" s="70"/>
      <c r="Z375" s="70"/>
      <c r="AA375" s="70"/>
      <c r="AB375" s="70"/>
      <c r="AC375" s="70"/>
      <c r="AD375" s="70"/>
      <c r="AE375" s="70"/>
      <c r="AF375" s="70"/>
      <c r="AG375" s="70"/>
      <c r="AH375" s="70"/>
      <c r="AI375" s="70"/>
      <c r="AJ375" s="70"/>
      <c r="AK375" s="70"/>
      <c r="AL375" s="70"/>
      <c r="AM375" s="70"/>
      <c r="AN375" s="70"/>
      <c r="AO375" s="70"/>
      <c r="AP375" s="89"/>
      <c r="AQ375" s="89"/>
    </row>
    <row r="376" spans="1:43" s="73" customFormat="1" ht="15.75" thickBot="1" x14ac:dyDescent="0.3">
      <c r="A376" s="73" t="s">
        <v>384</v>
      </c>
      <c r="B376" s="73" t="s">
        <v>400</v>
      </c>
      <c r="C376" s="73" t="s">
        <v>1062</v>
      </c>
      <c r="D376" s="73" t="s">
        <v>401</v>
      </c>
      <c r="E376" s="85" t="s">
        <v>15</v>
      </c>
      <c r="F376" s="85" t="s">
        <v>28</v>
      </c>
      <c r="G376" s="85"/>
      <c r="H376" s="85" t="s">
        <v>1517</v>
      </c>
      <c r="I376" s="87">
        <f t="shared" si="16"/>
        <v>28</v>
      </c>
      <c r="J376" s="147" t="s">
        <v>1974</v>
      </c>
      <c r="K376" s="87">
        <f t="shared" si="17"/>
        <v>0</v>
      </c>
      <c r="L376" s="88">
        <f t="shared" si="18"/>
        <v>1</v>
      </c>
      <c r="M376" s="89"/>
      <c r="N376" s="89"/>
      <c r="O376" s="89"/>
      <c r="P376" s="89"/>
      <c r="Q376" s="89"/>
      <c r="R376" s="89"/>
      <c r="S376" s="89"/>
      <c r="T376" s="89"/>
      <c r="U376" s="89"/>
      <c r="V376" s="89"/>
      <c r="W376" s="89"/>
      <c r="X376" s="89"/>
      <c r="Y376" s="89"/>
      <c r="Z376" s="89"/>
      <c r="AA376" s="89"/>
      <c r="AB376" s="89"/>
      <c r="AC376" s="89"/>
      <c r="AD376" s="89"/>
      <c r="AE376" s="89"/>
      <c r="AF376" s="89"/>
      <c r="AG376" s="89"/>
      <c r="AH376" s="89"/>
      <c r="AI376" s="89"/>
      <c r="AJ376" s="89"/>
      <c r="AK376" s="89"/>
      <c r="AL376" s="89"/>
      <c r="AM376" s="89"/>
      <c r="AN376" s="89"/>
      <c r="AO376" s="89"/>
      <c r="AP376" s="89"/>
      <c r="AQ376" s="89"/>
    </row>
    <row r="377" spans="1:43" ht="15.75" thickBot="1" x14ac:dyDescent="0.3">
      <c r="A377" t="s">
        <v>402</v>
      </c>
      <c r="B377" t="s">
        <v>403</v>
      </c>
      <c r="C377" t="s">
        <v>1062</v>
      </c>
      <c r="D377" t="s">
        <v>404</v>
      </c>
      <c r="E377" s="30" t="s">
        <v>19</v>
      </c>
      <c r="F377" s="30" t="s">
        <v>28</v>
      </c>
      <c r="G377" s="30"/>
      <c r="H377" s="30" t="s">
        <v>790</v>
      </c>
      <c r="I377" s="31">
        <f t="shared" si="16"/>
        <v>25</v>
      </c>
      <c r="J377" s="147" t="s">
        <v>1975</v>
      </c>
      <c r="K377" s="31">
        <f t="shared" si="17"/>
        <v>3</v>
      </c>
      <c r="L377" s="32">
        <f t="shared" si="18"/>
        <v>0.8928571428571429</v>
      </c>
      <c r="M377" s="70"/>
      <c r="N377" s="70"/>
      <c r="O377" s="70" t="s">
        <v>2213</v>
      </c>
      <c r="P377" s="70" t="s">
        <v>2213</v>
      </c>
      <c r="Q377" s="70" t="s">
        <v>2213</v>
      </c>
      <c r="R377" s="70"/>
      <c r="S377" s="70"/>
      <c r="T377" s="70"/>
      <c r="U377" s="70"/>
      <c r="V377" s="70"/>
      <c r="W377" s="70"/>
      <c r="X377" s="70"/>
      <c r="Y377" s="70"/>
      <c r="Z377" s="70"/>
      <c r="AA377" s="70"/>
      <c r="AB377" s="70"/>
      <c r="AC377" s="70"/>
      <c r="AD377" s="70"/>
      <c r="AE377" s="70"/>
      <c r="AF377" s="70"/>
      <c r="AG377" s="70"/>
      <c r="AH377" s="70"/>
      <c r="AI377" s="70"/>
      <c r="AJ377" s="70"/>
      <c r="AK377" s="70"/>
      <c r="AL377" s="70"/>
      <c r="AM377" s="70"/>
      <c r="AN377" s="70"/>
      <c r="AO377" s="70"/>
      <c r="AP377" s="70"/>
      <c r="AQ377" s="70"/>
    </row>
    <row r="378" spans="1:43" ht="15.75" thickBot="1" x14ac:dyDescent="0.3">
      <c r="A378" t="s">
        <v>402</v>
      </c>
      <c r="B378" t="s">
        <v>405</v>
      </c>
      <c r="C378" t="s">
        <v>1062</v>
      </c>
      <c r="D378" t="s">
        <v>404</v>
      </c>
      <c r="E378" s="30" t="s">
        <v>73</v>
      </c>
      <c r="F378" s="30" t="s">
        <v>28</v>
      </c>
      <c r="G378" s="30"/>
      <c r="H378" s="30" t="s">
        <v>791</v>
      </c>
      <c r="I378" s="31">
        <f t="shared" si="16"/>
        <v>25</v>
      </c>
      <c r="J378" s="147" t="s">
        <v>1976</v>
      </c>
      <c r="K378" s="31">
        <f t="shared" si="17"/>
        <v>3</v>
      </c>
      <c r="L378" s="32">
        <f t="shared" si="18"/>
        <v>0.8928571428571429</v>
      </c>
      <c r="M378" s="70"/>
      <c r="N378" s="70"/>
      <c r="O378" s="70" t="s">
        <v>2213</v>
      </c>
      <c r="P378" s="70" t="s">
        <v>2213</v>
      </c>
      <c r="Q378" s="70" t="s">
        <v>2213</v>
      </c>
      <c r="R378" s="70"/>
      <c r="S378" s="70"/>
      <c r="T378" s="70"/>
      <c r="U378" s="70"/>
      <c r="V378" s="70"/>
      <c r="W378" s="70"/>
      <c r="X378" s="70"/>
      <c r="Y378" s="70"/>
      <c r="Z378" s="70"/>
      <c r="AA378" s="70"/>
      <c r="AB378" s="70"/>
      <c r="AC378" s="70"/>
      <c r="AD378" s="70"/>
      <c r="AE378" s="70"/>
      <c r="AF378" s="70"/>
      <c r="AG378" s="70"/>
      <c r="AH378" s="70"/>
      <c r="AI378" s="70"/>
      <c r="AJ378" s="70"/>
      <c r="AK378" s="70"/>
      <c r="AL378" s="70"/>
      <c r="AM378" s="70"/>
      <c r="AN378" s="70"/>
      <c r="AO378" s="70"/>
      <c r="AP378" s="70"/>
      <c r="AQ378" s="70"/>
    </row>
    <row r="379" spans="1:43" ht="15.75" thickBot="1" x14ac:dyDescent="0.3">
      <c r="A379" t="s">
        <v>402</v>
      </c>
      <c r="B379" t="s">
        <v>406</v>
      </c>
      <c r="C379" t="s">
        <v>1062</v>
      </c>
      <c r="D379" t="s">
        <v>404</v>
      </c>
      <c r="E379" s="30" t="s">
        <v>73</v>
      </c>
      <c r="F379" s="30" t="s">
        <v>28</v>
      </c>
      <c r="G379" s="30"/>
      <c r="H379" s="30" t="s">
        <v>792</v>
      </c>
      <c r="I379" s="31">
        <f t="shared" si="16"/>
        <v>25</v>
      </c>
      <c r="J379" s="147" t="s">
        <v>1977</v>
      </c>
      <c r="K379" s="31">
        <f t="shared" si="17"/>
        <v>3</v>
      </c>
      <c r="L379" s="32">
        <f t="shared" si="18"/>
        <v>0.8928571428571429</v>
      </c>
      <c r="M379" s="70"/>
      <c r="N379" s="70"/>
      <c r="O379" s="70" t="s">
        <v>2213</v>
      </c>
      <c r="P379" s="70" t="s">
        <v>2213</v>
      </c>
      <c r="Q379" s="70" t="s">
        <v>2213</v>
      </c>
      <c r="R379" s="70"/>
      <c r="S379" s="70"/>
      <c r="T379" s="70"/>
      <c r="U379" s="70"/>
      <c r="V379" s="70"/>
      <c r="W379" s="70"/>
      <c r="X379" s="70"/>
      <c r="Y379" s="70"/>
      <c r="Z379" s="70"/>
      <c r="AA379" s="70"/>
      <c r="AB379" s="70"/>
      <c r="AC379" s="70"/>
      <c r="AD379" s="70"/>
      <c r="AE379" s="70"/>
      <c r="AF379" s="70"/>
      <c r="AG379" s="70"/>
      <c r="AH379" s="70"/>
      <c r="AI379" s="70"/>
      <c r="AJ379" s="70"/>
      <c r="AK379" s="70"/>
      <c r="AL379" s="70"/>
      <c r="AM379" s="70"/>
      <c r="AN379" s="70"/>
      <c r="AO379" s="70"/>
      <c r="AP379" s="70"/>
      <c r="AQ379" s="70"/>
    </row>
    <row r="380" spans="1:43" ht="15.75" thickBot="1" x14ac:dyDescent="0.3">
      <c r="A380" t="s">
        <v>409</v>
      </c>
      <c r="B380" t="s">
        <v>410</v>
      </c>
      <c r="C380" t="s">
        <v>1062</v>
      </c>
      <c r="D380" t="s">
        <v>411</v>
      </c>
      <c r="E380" s="30" t="s">
        <v>73</v>
      </c>
      <c r="F380" s="30" t="s">
        <v>28</v>
      </c>
      <c r="G380" s="30"/>
      <c r="H380" s="30" t="s">
        <v>793</v>
      </c>
      <c r="I380" s="31">
        <f t="shared" ref="I380:I459" si="19">COUNTIF(M380:AN380,"")</f>
        <v>25</v>
      </c>
      <c r="J380" s="147" t="s">
        <v>1978</v>
      </c>
      <c r="K380" s="31">
        <f t="shared" ref="K380:K459" si="20">COUNTIF(M380:AN380,"APAGADO")</f>
        <v>3</v>
      </c>
      <c r="L380" s="32">
        <f t="shared" ref="L380:L459" si="21">(I380)/(K380+I380)</f>
        <v>0.8928571428571429</v>
      </c>
      <c r="M380" s="70"/>
      <c r="N380" s="70"/>
      <c r="O380" s="70" t="s">
        <v>2213</v>
      </c>
      <c r="P380" s="70" t="s">
        <v>2213</v>
      </c>
      <c r="Q380" s="70" t="s">
        <v>2213</v>
      </c>
      <c r="R380" s="70"/>
      <c r="S380" s="70"/>
      <c r="T380" s="70"/>
      <c r="U380" s="70"/>
      <c r="V380" s="70"/>
      <c r="W380" s="70"/>
      <c r="X380" s="70"/>
      <c r="Y380" s="70"/>
      <c r="Z380" s="70"/>
      <c r="AA380" s="70"/>
      <c r="AB380" s="70"/>
      <c r="AC380" s="70"/>
      <c r="AD380" s="70"/>
      <c r="AE380" s="70"/>
      <c r="AF380" s="70"/>
      <c r="AG380" s="70"/>
      <c r="AH380" s="70"/>
      <c r="AI380" s="70"/>
      <c r="AJ380" s="70"/>
      <c r="AK380" s="70"/>
      <c r="AL380" s="70"/>
      <c r="AM380" s="70"/>
      <c r="AN380" s="70"/>
      <c r="AO380" s="70"/>
      <c r="AP380" s="70"/>
      <c r="AQ380" s="70"/>
    </row>
    <row r="381" spans="1:43" ht="15.75" thickBot="1" x14ac:dyDescent="0.3">
      <c r="A381" t="s">
        <v>409</v>
      </c>
      <c r="B381" t="s">
        <v>412</v>
      </c>
      <c r="C381" t="s">
        <v>1062</v>
      </c>
      <c r="D381" t="s">
        <v>411</v>
      </c>
      <c r="E381" s="30" t="s">
        <v>73</v>
      </c>
      <c r="F381" s="30" t="s">
        <v>28</v>
      </c>
      <c r="G381" s="30"/>
      <c r="H381" s="30" t="s">
        <v>794</v>
      </c>
      <c r="I381" s="31">
        <f t="shared" si="19"/>
        <v>25</v>
      </c>
      <c r="J381" s="147" t="s">
        <v>1979</v>
      </c>
      <c r="K381" s="31">
        <f t="shared" si="20"/>
        <v>3</v>
      </c>
      <c r="L381" s="32">
        <f t="shared" si="21"/>
        <v>0.8928571428571429</v>
      </c>
      <c r="M381" s="70"/>
      <c r="N381" s="70"/>
      <c r="O381" s="70" t="s">
        <v>2213</v>
      </c>
      <c r="P381" s="70" t="s">
        <v>2213</v>
      </c>
      <c r="Q381" s="70" t="s">
        <v>2213</v>
      </c>
      <c r="R381" s="70"/>
      <c r="S381" s="70"/>
      <c r="T381" s="70"/>
      <c r="U381" s="70"/>
      <c r="V381" s="70"/>
      <c r="W381" s="70"/>
      <c r="X381" s="70"/>
      <c r="Y381" s="70"/>
      <c r="Z381" s="70"/>
      <c r="AA381" s="70"/>
      <c r="AB381" s="70"/>
      <c r="AC381" s="70"/>
      <c r="AD381" s="70"/>
      <c r="AE381" s="70"/>
      <c r="AF381" s="70"/>
      <c r="AG381" s="70"/>
      <c r="AH381" s="70"/>
      <c r="AI381" s="70"/>
      <c r="AJ381" s="70"/>
      <c r="AK381" s="70"/>
      <c r="AL381" s="70"/>
      <c r="AM381" s="70"/>
      <c r="AN381" s="70"/>
      <c r="AO381" s="70"/>
      <c r="AP381" s="70"/>
      <c r="AQ381" s="70"/>
    </row>
    <row r="382" spans="1:43" ht="15.75" thickBot="1" x14ac:dyDescent="0.3">
      <c r="A382" t="s">
        <v>402</v>
      </c>
      <c r="B382" t="s">
        <v>413</v>
      </c>
      <c r="C382" t="s">
        <v>1062</v>
      </c>
      <c r="D382" t="s">
        <v>414</v>
      </c>
      <c r="E382" s="30" t="s">
        <v>73</v>
      </c>
      <c r="F382" s="30" t="s">
        <v>28</v>
      </c>
      <c r="G382" s="30"/>
      <c r="H382" s="30" t="s">
        <v>795</v>
      </c>
      <c r="I382" s="31">
        <f t="shared" si="19"/>
        <v>24</v>
      </c>
      <c r="J382" s="147" t="s">
        <v>1980</v>
      </c>
      <c r="K382" s="31">
        <f t="shared" si="20"/>
        <v>4</v>
      </c>
      <c r="L382" s="32">
        <f t="shared" si="21"/>
        <v>0.8571428571428571</v>
      </c>
      <c r="M382" s="70"/>
      <c r="N382" s="70"/>
      <c r="O382" s="70" t="s">
        <v>2213</v>
      </c>
      <c r="P382" s="70" t="s">
        <v>2213</v>
      </c>
      <c r="Q382" s="70" t="s">
        <v>2213</v>
      </c>
      <c r="R382" s="70"/>
      <c r="S382" s="70"/>
      <c r="T382" s="70" t="s">
        <v>2213</v>
      </c>
      <c r="U382" s="70"/>
      <c r="V382" s="70"/>
      <c r="W382" s="70"/>
      <c r="X382" s="70"/>
      <c r="Y382" s="70"/>
      <c r="Z382" s="70"/>
      <c r="AA382" s="70"/>
      <c r="AB382" s="70"/>
      <c r="AC382" s="70"/>
      <c r="AD382" s="70"/>
      <c r="AE382" s="70"/>
      <c r="AF382" s="70"/>
      <c r="AG382" s="70"/>
      <c r="AH382" s="70"/>
      <c r="AI382" s="70"/>
      <c r="AJ382" s="70"/>
      <c r="AK382" s="70"/>
      <c r="AL382" s="70"/>
      <c r="AM382" s="70"/>
      <c r="AN382" s="70"/>
      <c r="AO382" s="70"/>
      <c r="AP382" s="70"/>
      <c r="AQ382" s="70"/>
    </row>
    <row r="383" spans="1:43" ht="15.75" thickBot="1" x14ac:dyDescent="0.3">
      <c r="A383" t="s">
        <v>402</v>
      </c>
      <c r="B383" t="s">
        <v>415</v>
      </c>
      <c r="C383" t="s">
        <v>1062</v>
      </c>
      <c r="D383" t="s">
        <v>414</v>
      </c>
      <c r="E383" s="30" t="s">
        <v>73</v>
      </c>
      <c r="F383" s="30" t="s">
        <v>28</v>
      </c>
      <c r="G383" s="30"/>
      <c r="H383" s="30" t="s">
        <v>796</v>
      </c>
      <c r="I383" s="31">
        <f t="shared" si="19"/>
        <v>24</v>
      </c>
      <c r="J383" s="147" t="s">
        <v>1981</v>
      </c>
      <c r="K383" s="31">
        <f t="shared" si="20"/>
        <v>4</v>
      </c>
      <c r="L383" s="32">
        <f t="shared" si="21"/>
        <v>0.8571428571428571</v>
      </c>
      <c r="M383" s="70"/>
      <c r="N383" s="70"/>
      <c r="O383" s="70" t="s">
        <v>2213</v>
      </c>
      <c r="P383" s="70" t="s">
        <v>2213</v>
      </c>
      <c r="Q383" s="70" t="s">
        <v>2213</v>
      </c>
      <c r="R383" s="70"/>
      <c r="S383" s="70"/>
      <c r="T383" s="70" t="s">
        <v>2213</v>
      </c>
      <c r="U383" s="70"/>
      <c r="V383" s="70"/>
      <c r="W383" s="70"/>
      <c r="X383" s="70"/>
      <c r="Y383" s="70"/>
      <c r="Z383" s="70"/>
      <c r="AA383" s="70"/>
      <c r="AB383" s="70"/>
      <c r="AC383" s="70"/>
      <c r="AD383" s="70"/>
      <c r="AE383" s="70"/>
      <c r="AF383" s="70"/>
      <c r="AG383" s="70"/>
      <c r="AH383" s="70"/>
      <c r="AI383" s="70"/>
      <c r="AJ383" s="70"/>
      <c r="AK383" s="70"/>
      <c r="AL383" s="70"/>
      <c r="AM383" s="70"/>
      <c r="AN383" s="70"/>
      <c r="AO383" s="70"/>
      <c r="AP383" s="70"/>
      <c r="AQ383" s="70"/>
    </row>
    <row r="384" spans="1:43" ht="15.75" thickBot="1" x14ac:dyDescent="0.3">
      <c r="A384" t="s">
        <v>402</v>
      </c>
      <c r="B384" t="s">
        <v>416</v>
      </c>
      <c r="C384" t="s">
        <v>1062</v>
      </c>
      <c r="D384" t="s">
        <v>417</v>
      </c>
      <c r="E384" s="30" t="s">
        <v>73</v>
      </c>
      <c r="F384" s="30" t="s">
        <v>28</v>
      </c>
      <c r="G384" s="30"/>
      <c r="H384" s="30" t="s">
        <v>797</v>
      </c>
      <c r="I384" s="31">
        <f t="shared" si="19"/>
        <v>25</v>
      </c>
      <c r="J384" s="147" t="s">
        <v>1982</v>
      </c>
      <c r="K384" s="31">
        <f t="shared" si="20"/>
        <v>3</v>
      </c>
      <c r="L384" s="32">
        <f t="shared" si="21"/>
        <v>0.8928571428571429</v>
      </c>
      <c r="M384" s="70"/>
      <c r="N384" s="70"/>
      <c r="O384" s="70" t="s">
        <v>2213</v>
      </c>
      <c r="P384" s="70" t="s">
        <v>2213</v>
      </c>
      <c r="Q384" s="70" t="s">
        <v>2213</v>
      </c>
      <c r="R384" s="70"/>
      <c r="S384" s="70"/>
      <c r="T384" s="70"/>
      <c r="U384" s="70"/>
      <c r="V384" s="70"/>
      <c r="W384" s="70"/>
      <c r="X384" s="70"/>
      <c r="Y384" s="70"/>
      <c r="Z384" s="70"/>
      <c r="AA384" s="70"/>
      <c r="AB384" s="70"/>
      <c r="AC384" s="70"/>
      <c r="AD384" s="70"/>
      <c r="AE384" s="70"/>
      <c r="AF384" s="70"/>
      <c r="AG384" s="70"/>
      <c r="AH384" s="70"/>
      <c r="AI384" s="70"/>
      <c r="AJ384" s="70"/>
      <c r="AK384" s="70"/>
      <c r="AL384" s="70"/>
      <c r="AM384" s="70"/>
      <c r="AN384" s="70"/>
      <c r="AO384" s="70"/>
      <c r="AP384" s="70"/>
      <c r="AQ384" s="70"/>
    </row>
    <row r="385" spans="1:43" ht="15.75" thickBot="1" x14ac:dyDescent="0.3">
      <c r="A385" t="s">
        <v>402</v>
      </c>
      <c r="B385" t="s">
        <v>418</v>
      </c>
      <c r="C385" t="s">
        <v>1062</v>
      </c>
      <c r="D385" t="s">
        <v>417</v>
      </c>
      <c r="E385" s="30" t="s">
        <v>73</v>
      </c>
      <c r="F385" s="30" t="s">
        <v>28</v>
      </c>
      <c r="G385" s="30"/>
      <c r="H385" s="30" t="s">
        <v>798</v>
      </c>
      <c r="I385" s="31">
        <f t="shared" si="19"/>
        <v>25</v>
      </c>
      <c r="J385" s="147" t="s">
        <v>1983</v>
      </c>
      <c r="K385" s="31">
        <f t="shared" si="20"/>
        <v>3</v>
      </c>
      <c r="L385" s="32">
        <f t="shared" si="21"/>
        <v>0.8928571428571429</v>
      </c>
      <c r="M385" s="70"/>
      <c r="N385" s="70"/>
      <c r="O385" s="70" t="s">
        <v>2213</v>
      </c>
      <c r="P385" s="70" t="s">
        <v>2213</v>
      </c>
      <c r="Q385" s="70" t="s">
        <v>2213</v>
      </c>
      <c r="R385" s="70"/>
      <c r="S385" s="70"/>
      <c r="T385" s="70"/>
      <c r="U385" s="70"/>
      <c r="V385" s="70"/>
      <c r="W385" s="70"/>
      <c r="X385" s="70"/>
      <c r="Y385" s="70"/>
      <c r="Z385" s="70"/>
      <c r="AA385" s="70"/>
      <c r="AB385" s="70"/>
      <c r="AC385" s="70"/>
      <c r="AD385" s="70"/>
      <c r="AE385" s="70"/>
      <c r="AF385" s="70"/>
      <c r="AG385" s="70"/>
      <c r="AH385" s="70"/>
      <c r="AI385" s="70"/>
      <c r="AJ385" s="70"/>
      <c r="AK385" s="70"/>
      <c r="AL385" s="70"/>
      <c r="AM385" s="70"/>
      <c r="AN385" s="70"/>
      <c r="AO385" s="70"/>
      <c r="AP385" s="70"/>
      <c r="AQ385" s="70"/>
    </row>
    <row r="386" spans="1:43" ht="15.75" thickBot="1" x14ac:dyDescent="0.3">
      <c r="A386" t="s">
        <v>409</v>
      </c>
      <c r="B386" t="s">
        <v>902</v>
      </c>
      <c r="C386" t="s">
        <v>1062</v>
      </c>
      <c r="D386" t="s">
        <v>903</v>
      </c>
      <c r="E386" s="30" t="s">
        <v>19</v>
      </c>
      <c r="F386" s="30" t="s">
        <v>28</v>
      </c>
      <c r="G386" s="30"/>
      <c r="H386" s="30" t="s">
        <v>910</v>
      </c>
      <c r="I386" s="31">
        <f t="shared" si="19"/>
        <v>25</v>
      </c>
      <c r="J386" s="147" t="s">
        <v>1984</v>
      </c>
      <c r="K386" s="31">
        <f t="shared" si="20"/>
        <v>3</v>
      </c>
      <c r="L386" s="32">
        <f t="shared" si="21"/>
        <v>0.8928571428571429</v>
      </c>
      <c r="M386" s="70"/>
      <c r="N386" s="70"/>
      <c r="O386" s="70" t="s">
        <v>2213</v>
      </c>
      <c r="P386" s="70" t="s">
        <v>2213</v>
      </c>
      <c r="Q386" s="70" t="s">
        <v>2213</v>
      </c>
      <c r="R386" s="70"/>
      <c r="S386" s="70"/>
      <c r="T386" s="70"/>
      <c r="U386" s="70"/>
      <c r="V386" s="70"/>
      <c r="W386" s="70"/>
      <c r="X386" s="70"/>
      <c r="Y386" s="70"/>
      <c r="Z386" s="70"/>
      <c r="AA386" s="70"/>
      <c r="AB386" s="70"/>
      <c r="AC386" s="70"/>
      <c r="AD386" s="70"/>
      <c r="AE386" s="70"/>
      <c r="AF386" s="70"/>
      <c r="AG386" s="70"/>
      <c r="AH386" s="70"/>
      <c r="AI386" s="70"/>
      <c r="AJ386" s="70"/>
      <c r="AK386" s="70"/>
      <c r="AL386" s="70"/>
      <c r="AM386" s="70"/>
      <c r="AN386" s="70"/>
      <c r="AO386" s="70"/>
      <c r="AP386" s="70"/>
      <c r="AQ386" s="70"/>
    </row>
    <row r="387" spans="1:43" ht="15.75" thickBot="1" x14ac:dyDescent="0.3">
      <c r="A387" t="s">
        <v>402</v>
      </c>
      <c r="B387" t="s">
        <v>904</v>
      </c>
      <c r="C387" t="s">
        <v>1062</v>
      </c>
      <c r="D387" t="s">
        <v>905</v>
      </c>
      <c r="E387" s="30" t="s">
        <v>19</v>
      </c>
      <c r="F387" s="30" t="s">
        <v>28</v>
      </c>
      <c r="G387" s="30"/>
      <c r="H387" s="30" t="s">
        <v>911</v>
      </c>
      <c r="I387" s="31">
        <f t="shared" si="19"/>
        <v>20</v>
      </c>
      <c r="J387" s="147" t="s">
        <v>1985</v>
      </c>
      <c r="K387" s="31">
        <f t="shared" si="20"/>
        <v>8</v>
      </c>
      <c r="L387" s="32">
        <f t="shared" si="21"/>
        <v>0.7142857142857143</v>
      </c>
      <c r="M387" s="70" t="s">
        <v>2213</v>
      </c>
      <c r="N387" s="70" t="s">
        <v>2213</v>
      </c>
      <c r="O387" s="70" t="s">
        <v>2213</v>
      </c>
      <c r="P387" s="70" t="s">
        <v>2213</v>
      </c>
      <c r="Q387" s="70" t="s">
        <v>2213</v>
      </c>
      <c r="R387" s="70" t="s">
        <v>2213</v>
      </c>
      <c r="S387" s="70" t="s">
        <v>2213</v>
      </c>
      <c r="T387" s="70" t="s">
        <v>2213</v>
      </c>
      <c r="U387" s="70"/>
      <c r="V387" s="70"/>
      <c r="W387" s="70"/>
      <c r="X387" s="70"/>
      <c r="Y387" s="70"/>
      <c r="Z387" s="70"/>
      <c r="AA387" s="70"/>
      <c r="AB387" s="70"/>
      <c r="AC387" s="70"/>
      <c r="AD387" s="70"/>
      <c r="AE387" s="70"/>
      <c r="AF387" s="70"/>
      <c r="AG387" s="70"/>
      <c r="AH387" s="70"/>
      <c r="AI387" s="70"/>
      <c r="AJ387" s="70"/>
      <c r="AK387" s="70"/>
      <c r="AL387" s="70"/>
      <c r="AM387" s="70"/>
      <c r="AN387" s="70"/>
      <c r="AO387" s="70"/>
      <c r="AP387" s="70"/>
      <c r="AQ387" s="70"/>
    </row>
    <row r="388" spans="1:43" ht="15.75" thickBot="1" x14ac:dyDescent="0.3">
      <c r="A388" t="s">
        <v>402</v>
      </c>
      <c r="B388" t="s">
        <v>1012</v>
      </c>
      <c r="C388" t="s">
        <v>1062</v>
      </c>
      <c r="D388" t="s">
        <v>1013</v>
      </c>
      <c r="E388" s="30" t="s">
        <v>19</v>
      </c>
      <c r="F388" s="30" t="s">
        <v>28</v>
      </c>
      <c r="G388" s="30"/>
      <c r="H388" s="30" t="s">
        <v>1219</v>
      </c>
      <c r="I388" s="31">
        <f t="shared" si="19"/>
        <v>20</v>
      </c>
      <c r="J388" s="147" t="s">
        <v>1986</v>
      </c>
      <c r="K388" s="31">
        <f t="shared" si="20"/>
        <v>8</v>
      </c>
      <c r="L388" s="32">
        <f t="shared" si="21"/>
        <v>0.7142857142857143</v>
      </c>
      <c r="M388" s="70" t="s">
        <v>2213</v>
      </c>
      <c r="N388" s="70" t="s">
        <v>2213</v>
      </c>
      <c r="O388" s="70" t="s">
        <v>2213</v>
      </c>
      <c r="P388" s="70" t="s">
        <v>2213</v>
      </c>
      <c r="Q388" s="70" t="s">
        <v>2213</v>
      </c>
      <c r="R388" s="70" t="s">
        <v>2213</v>
      </c>
      <c r="S388" s="70" t="s">
        <v>2213</v>
      </c>
      <c r="T388" s="70" t="s">
        <v>2213</v>
      </c>
      <c r="U388" s="70"/>
      <c r="V388" s="70"/>
      <c r="W388" s="70"/>
      <c r="X388" s="70"/>
      <c r="Y388" s="70"/>
      <c r="Z388" s="70"/>
      <c r="AA388" s="70"/>
      <c r="AB388" s="70"/>
      <c r="AC388" s="70"/>
      <c r="AD388" s="70"/>
      <c r="AE388" s="70"/>
      <c r="AF388" s="70"/>
      <c r="AG388" s="70"/>
      <c r="AH388" s="70"/>
      <c r="AI388" s="70"/>
      <c r="AJ388" s="70"/>
      <c r="AK388" s="70"/>
      <c r="AL388" s="70"/>
      <c r="AM388" s="70"/>
      <c r="AN388" s="70"/>
      <c r="AO388" s="70"/>
      <c r="AP388" s="70"/>
      <c r="AQ388" s="70"/>
    </row>
    <row r="389" spans="1:43" s="73" customFormat="1" ht="15.75" thickBot="1" x14ac:dyDescent="0.3">
      <c r="A389" s="73" t="s">
        <v>402</v>
      </c>
      <c r="B389" s="73" t="s">
        <v>1437</v>
      </c>
      <c r="C389" s="73" t="s">
        <v>1062</v>
      </c>
      <c r="D389" s="73" t="s">
        <v>1440</v>
      </c>
      <c r="E389" s="30" t="s">
        <v>19</v>
      </c>
      <c r="F389" s="85" t="s">
        <v>1301</v>
      </c>
      <c r="G389" s="85"/>
      <c r="H389" s="85" t="s">
        <v>1441</v>
      </c>
      <c r="I389" s="142">
        <f t="shared" si="19"/>
        <v>28</v>
      </c>
      <c r="J389" s="147" t="s">
        <v>1987</v>
      </c>
      <c r="K389" s="142">
        <f t="shared" si="20"/>
        <v>0</v>
      </c>
      <c r="L389" s="143">
        <f t="shared" si="21"/>
        <v>1</v>
      </c>
      <c r="M389" s="70"/>
      <c r="N389" s="70"/>
      <c r="O389" s="70"/>
      <c r="P389" s="71"/>
      <c r="Q389" s="71"/>
      <c r="R389" s="71"/>
      <c r="S389" s="71"/>
      <c r="T389" s="71"/>
      <c r="U389" s="71"/>
      <c r="V389" s="71"/>
      <c r="W389" s="71"/>
      <c r="X389" s="71"/>
      <c r="Y389" s="71"/>
      <c r="Z389" s="71"/>
      <c r="AA389" s="71"/>
      <c r="AB389" s="71"/>
      <c r="AC389" s="71"/>
      <c r="AD389" s="71"/>
      <c r="AE389" s="71"/>
      <c r="AF389" s="71"/>
      <c r="AG389" s="71"/>
      <c r="AH389" s="71"/>
      <c r="AI389" s="71"/>
      <c r="AJ389" s="71"/>
      <c r="AK389" s="71"/>
      <c r="AL389" s="71"/>
      <c r="AM389" s="71"/>
      <c r="AN389" s="71"/>
      <c r="AO389" s="71"/>
    </row>
    <row r="390" spans="1:43" ht="15.75" thickBot="1" x14ac:dyDescent="0.3">
      <c r="A390" t="s">
        <v>402</v>
      </c>
      <c r="B390" t="s">
        <v>1438</v>
      </c>
      <c r="C390" t="s">
        <v>1062</v>
      </c>
      <c r="D390" t="s">
        <v>1440</v>
      </c>
      <c r="E390" s="30" t="s">
        <v>73</v>
      </c>
      <c r="F390" s="30" t="s">
        <v>28</v>
      </c>
      <c r="G390" s="30"/>
      <c r="H390" s="85" t="s">
        <v>1503</v>
      </c>
      <c r="I390" s="31">
        <f t="shared" si="19"/>
        <v>28</v>
      </c>
      <c r="J390" s="147" t="s">
        <v>1988</v>
      </c>
      <c r="K390" s="31">
        <f t="shared" si="20"/>
        <v>0</v>
      </c>
      <c r="L390" s="32">
        <f t="shared" si="21"/>
        <v>1</v>
      </c>
      <c r="M390" s="70"/>
      <c r="N390" s="70"/>
      <c r="O390" s="70"/>
      <c r="P390" s="84"/>
      <c r="Q390" s="84"/>
      <c r="R390" s="84"/>
      <c r="S390" s="84"/>
      <c r="T390" s="84"/>
      <c r="U390" s="84"/>
      <c r="V390" s="84"/>
      <c r="W390" s="84"/>
      <c r="X390" s="84"/>
      <c r="Y390" s="84"/>
      <c r="Z390" s="84"/>
      <c r="AA390" s="84"/>
      <c r="AB390" s="84"/>
      <c r="AC390" s="84"/>
      <c r="AD390" s="84"/>
      <c r="AE390" s="84"/>
      <c r="AF390" s="84"/>
      <c r="AG390" s="84"/>
      <c r="AH390" s="84"/>
      <c r="AI390" s="84"/>
      <c r="AJ390" s="84"/>
      <c r="AK390" s="84"/>
      <c r="AL390" s="84"/>
      <c r="AM390" s="84"/>
      <c r="AN390" s="84"/>
      <c r="AO390" s="84"/>
      <c r="AP390" s="90"/>
      <c r="AQ390" s="90"/>
    </row>
    <row r="391" spans="1:43" ht="15.75" thickBot="1" x14ac:dyDescent="0.3">
      <c r="A391" t="s">
        <v>402</v>
      </c>
      <c r="B391" t="s">
        <v>1439</v>
      </c>
      <c r="C391" t="s">
        <v>1062</v>
      </c>
      <c r="D391" t="s">
        <v>1440</v>
      </c>
      <c r="E391" s="30" t="s">
        <v>73</v>
      </c>
      <c r="F391" s="30" t="s">
        <v>28</v>
      </c>
      <c r="G391" s="30"/>
      <c r="H391" s="85" t="s">
        <v>1501</v>
      </c>
      <c r="I391" s="31">
        <f t="shared" si="19"/>
        <v>28</v>
      </c>
      <c r="J391" s="147" t="s">
        <v>1989</v>
      </c>
      <c r="K391" s="31">
        <f t="shared" si="20"/>
        <v>0</v>
      </c>
      <c r="L391" s="32">
        <f t="shared" si="21"/>
        <v>1</v>
      </c>
      <c r="M391" s="70"/>
      <c r="N391" s="70"/>
      <c r="O391" s="70"/>
      <c r="P391" s="84"/>
      <c r="Q391" s="84"/>
      <c r="R391" s="84"/>
      <c r="S391" s="84"/>
      <c r="T391" s="84"/>
      <c r="U391" s="84"/>
      <c r="V391" s="84"/>
      <c r="W391" s="84"/>
      <c r="X391" s="84"/>
      <c r="Y391" s="84"/>
      <c r="Z391" s="84"/>
      <c r="AA391" s="84"/>
      <c r="AB391" s="84"/>
      <c r="AC391" s="84"/>
      <c r="AD391" s="84"/>
      <c r="AE391" s="84"/>
      <c r="AF391" s="84"/>
      <c r="AG391" s="84"/>
      <c r="AH391" s="84"/>
      <c r="AI391" s="84"/>
      <c r="AJ391" s="84"/>
      <c r="AK391" s="84"/>
      <c r="AL391" s="84"/>
      <c r="AM391" s="84"/>
      <c r="AN391" s="84"/>
      <c r="AO391" s="84"/>
      <c r="AP391" s="90"/>
      <c r="AQ391" s="90"/>
    </row>
    <row r="392" spans="1:43" ht="15.75" thickBot="1" x14ac:dyDescent="0.3">
      <c r="A392" t="s">
        <v>402</v>
      </c>
      <c r="B392" t="s">
        <v>1633</v>
      </c>
      <c r="C392" t="s">
        <v>1062</v>
      </c>
      <c r="D392" t="s">
        <v>1634</v>
      </c>
      <c r="E392" s="30" t="s">
        <v>19</v>
      </c>
      <c r="F392" s="30" t="s">
        <v>28</v>
      </c>
      <c r="G392" s="30"/>
      <c r="H392" s="85" t="s">
        <v>1635</v>
      </c>
      <c r="I392" s="31">
        <f t="shared" si="19"/>
        <v>20</v>
      </c>
      <c r="J392" s="87"/>
      <c r="K392" s="31">
        <f t="shared" si="20"/>
        <v>8</v>
      </c>
      <c r="L392" s="32">
        <f t="shared" si="21"/>
        <v>0.7142857142857143</v>
      </c>
      <c r="M392" s="70" t="s">
        <v>2213</v>
      </c>
      <c r="N392" s="70" t="s">
        <v>2213</v>
      </c>
      <c r="O392" s="70" t="s">
        <v>2213</v>
      </c>
      <c r="P392" s="84" t="s">
        <v>2213</v>
      </c>
      <c r="Q392" s="84" t="s">
        <v>2213</v>
      </c>
      <c r="R392" s="84" t="s">
        <v>2213</v>
      </c>
      <c r="S392" s="84" t="s">
        <v>2213</v>
      </c>
      <c r="T392" s="84" t="s">
        <v>2213</v>
      </c>
      <c r="U392" s="84"/>
      <c r="V392" s="84"/>
      <c r="W392" s="84"/>
      <c r="X392" s="84"/>
      <c r="Y392" s="84"/>
      <c r="Z392" s="84"/>
      <c r="AA392" s="84"/>
      <c r="AB392" s="84"/>
      <c r="AC392" s="84"/>
      <c r="AD392" s="84"/>
      <c r="AE392" s="84"/>
      <c r="AF392" s="84"/>
      <c r="AG392" s="84"/>
      <c r="AH392" s="84"/>
      <c r="AI392" s="84"/>
      <c r="AJ392" s="84"/>
      <c r="AK392" s="84"/>
      <c r="AL392" s="84"/>
      <c r="AM392" s="84"/>
      <c r="AN392" s="84"/>
      <c r="AO392" s="84"/>
      <c r="AP392" s="90"/>
      <c r="AQ392" s="90"/>
    </row>
    <row r="393" spans="1:43" ht="15.75" thickBot="1" x14ac:dyDescent="0.3">
      <c r="A393" t="s">
        <v>196</v>
      </c>
      <c r="B393" t="s">
        <v>419</v>
      </c>
      <c r="C393" t="s">
        <v>1063</v>
      </c>
      <c r="D393" t="s">
        <v>420</v>
      </c>
      <c r="E393" s="30" t="s">
        <v>15</v>
      </c>
      <c r="F393" s="30" t="s">
        <v>20</v>
      </c>
      <c r="G393" s="30"/>
      <c r="H393" s="30" t="s">
        <v>800</v>
      </c>
      <c r="I393" s="31">
        <f t="shared" si="19"/>
        <v>22</v>
      </c>
      <c r="J393" s="87"/>
      <c r="K393" s="31">
        <f t="shared" si="20"/>
        <v>6</v>
      </c>
      <c r="L393" s="32">
        <f t="shared" si="21"/>
        <v>0.7857142857142857</v>
      </c>
      <c r="M393" s="70" t="s">
        <v>2213</v>
      </c>
      <c r="N393" s="70"/>
      <c r="O393" s="70"/>
      <c r="P393" s="70" t="s">
        <v>2213</v>
      </c>
      <c r="Q393" s="70" t="s">
        <v>2213</v>
      </c>
      <c r="R393" s="70" t="s">
        <v>2213</v>
      </c>
      <c r="S393" s="70" t="s">
        <v>2213</v>
      </c>
      <c r="T393" s="70" t="s">
        <v>2213</v>
      </c>
      <c r="U393" s="70"/>
      <c r="V393" s="70"/>
      <c r="W393" s="70"/>
      <c r="X393" s="70"/>
      <c r="Y393" s="70"/>
      <c r="Z393" s="70"/>
      <c r="AA393" s="70"/>
      <c r="AB393" s="70"/>
      <c r="AC393" s="70"/>
      <c r="AD393" s="70"/>
      <c r="AE393" s="70"/>
      <c r="AF393" s="70"/>
      <c r="AG393" s="70"/>
      <c r="AH393" s="70"/>
      <c r="AI393" s="70"/>
      <c r="AJ393" s="70"/>
      <c r="AK393" s="70"/>
      <c r="AL393" s="70"/>
      <c r="AM393" s="70"/>
      <c r="AN393" s="70"/>
      <c r="AO393" s="70"/>
      <c r="AP393" s="70"/>
      <c r="AQ393" s="70"/>
    </row>
    <row r="394" spans="1:43" s="73" customFormat="1" ht="15.75" thickBot="1" x14ac:dyDescent="0.3">
      <c r="A394" s="73" t="s">
        <v>196</v>
      </c>
      <c r="B394" s="73" t="s">
        <v>421</v>
      </c>
      <c r="C394" s="73" t="s">
        <v>1063</v>
      </c>
      <c r="D394" s="73" t="s">
        <v>422</v>
      </c>
      <c r="E394" s="85" t="s">
        <v>15</v>
      </c>
      <c r="F394" s="85" t="s">
        <v>1301</v>
      </c>
      <c r="G394" s="85"/>
      <c r="H394" s="85" t="s">
        <v>1431</v>
      </c>
      <c r="I394" s="142">
        <f t="shared" si="19"/>
        <v>28</v>
      </c>
      <c r="J394" s="147" t="s">
        <v>1990</v>
      </c>
      <c r="K394" s="142">
        <f t="shared" si="20"/>
        <v>0</v>
      </c>
      <c r="L394" s="143">
        <f t="shared" si="21"/>
        <v>1</v>
      </c>
      <c r="M394" s="70"/>
      <c r="N394" s="70"/>
      <c r="O394" s="70"/>
      <c r="P394" s="70"/>
      <c r="Q394" s="70"/>
      <c r="R394" s="70"/>
      <c r="S394" s="70"/>
      <c r="T394" s="70"/>
      <c r="U394" s="70"/>
      <c r="V394" s="70"/>
      <c r="W394" s="70"/>
      <c r="X394" s="70"/>
      <c r="Y394" s="70"/>
      <c r="Z394" s="70"/>
      <c r="AA394" s="70"/>
      <c r="AB394" s="70"/>
      <c r="AC394" s="70"/>
      <c r="AD394" s="70"/>
      <c r="AE394" s="70"/>
      <c r="AF394" s="70"/>
      <c r="AG394" s="70"/>
      <c r="AH394" s="70"/>
      <c r="AI394" s="70"/>
      <c r="AJ394" s="70"/>
      <c r="AK394" s="70"/>
      <c r="AL394" s="70"/>
      <c r="AM394" s="70"/>
      <c r="AN394" s="70"/>
      <c r="AO394" s="70"/>
      <c r="AP394" s="89"/>
      <c r="AQ394" s="89"/>
    </row>
    <row r="395" spans="1:43" ht="15.75" thickBot="1" x14ac:dyDescent="0.3">
      <c r="A395" t="s">
        <v>196</v>
      </c>
      <c r="B395" t="s">
        <v>1014</v>
      </c>
      <c r="C395" t="s">
        <v>1063</v>
      </c>
      <c r="D395" t="s">
        <v>1015</v>
      </c>
      <c r="E395" s="30" t="s">
        <v>73</v>
      </c>
      <c r="F395" s="30" t="s">
        <v>20</v>
      </c>
      <c r="G395" s="30"/>
      <c r="H395" s="30" t="s">
        <v>1281</v>
      </c>
      <c r="I395" s="31">
        <f t="shared" si="19"/>
        <v>23</v>
      </c>
      <c r="J395" s="87"/>
      <c r="K395" s="31">
        <f t="shared" si="20"/>
        <v>5</v>
      </c>
      <c r="L395" s="32">
        <f t="shared" si="21"/>
        <v>0.8214285714285714</v>
      </c>
      <c r="M395" s="70"/>
      <c r="N395" s="70"/>
      <c r="O395" s="70"/>
      <c r="P395" s="70" t="s">
        <v>2213</v>
      </c>
      <c r="Q395" s="70" t="s">
        <v>2213</v>
      </c>
      <c r="R395" s="70" t="s">
        <v>2213</v>
      </c>
      <c r="S395" s="70" t="s">
        <v>2213</v>
      </c>
      <c r="T395" s="70" t="s">
        <v>2213</v>
      </c>
      <c r="U395" s="70"/>
      <c r="V395" s="70"/>
      <c r="W395" s="70"/>
      <c r="X395" s="70"/>
      <c r="Y395" s="70"/>
      <c r="Z395" s="70"/>
      <c r="AA395" s="70"/>
      <c r="AB395" s="70"/>
      <c r="AC395" s="70"/>
      <c r="AD395" s="70"/>
      <c r="AE395" s="70"/>
      <c r="AF395" s="70"/>
      <c r="AG395" s="70"/>
      <c r="AH395" s="70"/>
      <c r="AI395" s="70"/>
      <c r="AJ395" s="70"/>
      <c r="AK395" s="70"/>
      <c r="AL395" s="70"/>
      <c r="AM395" s="70"/>
      <c r="AN395" s="70"/>
      <c r="AO395" s="70"/>
      <c r="AP395" s="70"/>
      <c r="AQ395" s="70"/>
    </row>
    <row r="396" spans="1:43" ht="15.75" thickBot="1" x14ac:dyDescent="0.3">
      <c r="A396" t="s">
        <v>196</v>
      </c>
      <c r="B396" t="s">
        <v>1016</v>
      </c>
      <c r="C396" t="s">
        <v>1063</v>
      </c>
      <c r="D396" t="s">
        <v>1015</v>
      </c>
      <c r="E396" s="30" t="s">
        <v>73</v>
      </c>
      <c r="F396" s="30" t="s">
        <v>20</v>
      </c>
      <c r="G396" s="30"/>
      <c r="H396" s="30" t="s">
        <v>1399</v>
      </c>
      <c r="I396" s="31">
        <f t="shared" si="19"/>
        <v>24</v>
      </c>
      <c r="J396" s="87"/>
      <c r="K396" s="31">
        <f t="shared" si="20"/>
        <v>4</v>
      </c>
      <c r="L396" s="32">
        <f t="shared" si="21"/>
        <v>0.8571428571428571</v>
      </c>
      <c r="M396" s="70"/>
      <c r="N396" s="70"/>
      <c r="O396" s="70"/>
      <c r="P396" s="70"/>
      <c r="Q396" s="70" t="s">
        <v>2213</v>
      </c>
      <c r="R396" s="70" t="s">
        <v>2213</v>
      </c>
      <c r="S396" s="70" t="s">
        <v>2213</v>
      </c>
      <c r="T396" s="70" t="s">
        <v>2213</v>
      </c>
      <c r="U396" s="70"/>
      <c r="V396" s="70"/>
      <c r="W396" s="70"/>
      <c r="X396" s="70"/>
      <c r="Y396" s="70"/>
      <c r="Z396" s="70"/>
      <c r="AA396" s="70"/>
      <c r="AB396" s="70"/>
      <c r="AC396" s="70"/>
      <c r="AD396" s="70"/>
      <c r="AE396" s="70"/>
      <c r="AF396" s="70"/>
      <c r="AG396" s="70"/>
      <c r="AH396" s="70"/>
      <c r="AI396" s="70"/>
      <c r="AJ396" s="70"/>
      <c r="AK396" s="70"/>
      <c r="AL396" s="70"/>
      <c r="AM396" s="70"/>
      <c r="AN396" s="70"/>
      <c r="AO396" s="70"/>
      <c r="AP396" s="70"/>
      <c r="AQ396" s="70"/>
    </row>
    <row r="397" spans="1:43" s="73" customFormat="1" ht="15.75" thickBot="1" x14ac:dyDescent="0.3">
      <c r="A397" s="73" t="s">
        <v>196</v>
      </c>
      <c r="B397" s="73" t="s">
        <v>423</v>
      </c>
      <c r="C397" s="73" t="s">
        <v>1063</v>
      </c>
      <c r="D397" s="73" t="s">
        <v>424</v>
      </c>
      <c r="E397" s="85" t="s">
        <v>19</v>
      </c>
      <c r="F397" s="30" t="s">
        <v>1056</v>
      </c>
      <c r="G397" s="85"/>
      <c r="H397" s="85" t="s">
        <v>1432</v>
      </c>
      <c r="I397" s="87">
        <f t="shared" si="19"/>
        <v>20</v>
      </c>
      <c r="J397" s="147" t="s">
        <v>1991</v>
      </c>
      <c r="K397" s="87">
        <f t="shared" si="20"/>
        <v>8</v>
      </c>
      <c r="L397" s="88">
        <f t="shared" si="21"/>
        <v>0.7142857142857143</v>
      </c>
      <c r="M397" s="89" t="s">
        <v>2213</v>
      </c>
      <c r="N397" s="89" t="s">
        <v>2213</v>
      </c>
      <c r="O397" s="89" t="s">
        <v>2213</v>
      </c>
      <c r="P397" s="89" t="s">
        <v>2213</v>
      </c>
      <c r="Q397" s="89" t="s">
        <v>2213</v>
      </c>
      <c r="R397" s="89" t="s">
        <v>2213</v>
      </c>
      <c r="S397" s="89" t="s">
        <v>2213</v>
      </c>
      <c r="T397" s="89" t="s">
        <v>2213</v>
      </c>
      <c r="U397" s="89"/>
      <c r="V397" s="89"/>
      <c r="W397" s="89"/>
      <c r="X397" s="89"/>
      <c r="Y397" s="89"/>
      <c r="Z397" s="89"/>
      <c r="AA397" s="89"/>
      <c r="AB397" s="89"/>
      <c r="AC397" s="89"/>
      <c r="AD397" s="89"/>
      <c r="AE397" s="89"/>
      <c r="AF397" s="89"/>
      <c r="AG397" s="89"/>
      <c r="AH397" s="89"/>
      <c r="AI397" s="89"/>
      <c r="AJ397" s="89"/>
      <c r="AK397" s="89"/>
      <c r="AL397" s="89"/>
      <c r="AM397" s="89"/>
      <c r="AN397" s="89"/>
      <c r="AO397" s="89"/>
      <c r="AP397" s="89"/>
      <c r="AQ397" s="89"/>
    </row>
    <row r="398" spans="1:43" ht="15.75" thickBot="1" x14ac:dyDescent="0.3">
      <c r="A398" t="s">
        <v>196</v>
      </c>
      <c r="B398" t="s">
        <v>425</v>
      </c>
      <c r="C398" t="s">
        <v>1063</v>
      </c>
      <c r="D398" t="s">
        <v>426</v>
      </c>
      <c r="E398" s="30" t="s">
        <v>19</v>
      </c>
      <c r="F398" s="30" t="s">
        <v>20</v>
      </c>
      <c r="G398" s="30"/>
      <c r="H398" s="30" t="s">
        <v>799</v>
      </c>
      <c r="I398" s="31">
        <f t="shared" si="19"/>
        <v>20</v>
      </c>
      <c r="J398" s="87"/>
      <c r="K398" s="31">
        <f t="shared" si="20"/>
        <v>8</v>
      </c>
      <c r="L398" s="32">
        <f t="shared" si="21"/>
        <v>0.7142857142857143</v>
      </c>
      <c r="M398" s="70" t="s">
        <v>2213</v>
      </c>
      <c r="N398" s="70" t="s">
        <v>2213</v>
      </c>
      <c r="O398" s="70" t="s">
        <v>2213</v>
      </c>
      <c r="P398" s="70" t="s">
        <v>2213</v>
      </c>
      <c r="Q398" s="70" t="s">
        <v>2213</v>
      </c>
      <c r="R398" s="70" t="s">
        <v>2213</v>
      </c>
      <c r="S398" s="70" t="s">
        <v>2213</v>
      </c>
      <c r="T398" s="70" t="s">
        <v>2213</v>
      </c>
      <c r="U398" s="70"/>
      <c r="V398" s="70"/>
      <c r="W398" s="70"/>
      <c r="X398" s="70"/>
      <c r="Y398" s="70"/>
      <c r="Z398" s="70"/>
      <c r="AA398" s="70"/>
      <c r="AB398" s="70"/>
      <c r="AC398" s="70"/>
      <c r="AD398" s="70"/>
      <c r="AE398" s="70"/>
      <c r="AF398" s="70"/>
      <c r="AG398" s="70"/>
      <c r="AH398" s="70"/>
      <c r="AI398" s="70"/>
      <c r="AJ398" s="70"/>
      <c r="AK398" s="70"/>
      <c r="AL398" s="70"/>
      <c r="AM398" s="70"/>
      <c r="AN398" s="70"/>
      <c r="AO398" s="70"/>
      <c r="AP398" s="70"/>
      <c r="AQ398" s="70"/>
    </row>
    <row r="399" spans="1:43" ht="15.75" thickBot="1" x14ac:dyDescent="0.3">
      <c r="A399" t="s">
        <v>196</v>
      </c>
      <c r="B399" t="s">
        <v>427</v>
      </c>
      <c r="C399" t="s">
        <v>1063</v>
      </c>
      <c r="D399" t="s">
        <v>428</v>
      </c>
      <c r="E399" s="30" t="s">
        <v>73</v>
      </c>
      <c r="F399" s="30" t="s">
        <v>28</v>
      </c>
      <c r="G399" s="30"/>
      <c r="H399" s="30" t="s">
        <v>802</v>
      </c>
      <c r="I399" s="31">
        <f t="shared" si="19"/>
        <v>20</v>
      </c>
      <c r="J399" s="147" t="s">
        <v>1992</v>
      </c>
      <c r="K399" s="31">
        <f t="shared" si="20"/>
        <v>8</v>
      </c>
      <c r="L399" s="32">
        <f t="shared" si="21"/>
        <v>0.7142857142857143</v>
      </c>
      <c r="M399" s="70" t="s">
        <v>2213</v>
      </c>
      <c r="N399" s="70" t="s">
        <v>2213</v>
      </c>
      <c r="O399" s="70" t="s">
        <v>2213</v>
      </c>
      <c r="P399" s="70" t="s">
        <v>2213</v>
      </c>
      <c r="Q399" s="70" t="s">
        <v>2213</v>
      </c>
      <c r="R399" s="70" t="s">
        <v>2213</v>
      </c>
      <c r="S399" s="70" t="s">
        <v>2213</v>
      </c>
      <c r="T399" s="70" t="s">
        <v>2213</v>
      </c>
      <c r="U399" s="70"/>
      <c r="V399" s="70"/>
      <c r="W399" s="70"/>
      <c r="X399" s="70"/>
      <c r="Y399" s="70"/>
      <c r="Z399" s="70"/>
      <c r="AA399" s="70"/>
      <c r="AB399" s="70"/>
      <c r="AC399" s="70"/>
      <c r="AD399" s="70"/>
      <c r="AE399" s="70"/>
      <c r="AF399" s="70"/>
      <c r="AG399" s="70"/>
      <c r="AH399" s="70"/>
      <c r="AI399" s="70"/>
      <c r="AJ399" s="70"/>
      <c r="AK399" s="70"/>
      <c r="AL399" s="70"/>
      <c r="AM399" s="70"/>
      <c r="AN399" s="70"/>
      <c r="AO399" s="70"/>
      <c r="AP399" s="70"/>
      <c r="AQ399" s="70"/>
    </row>
    <row r="400" spans="1:43" ht="15.75" thickBot="1" x14ac:dyDescent="0.3">
      <c r="A400" t="s">
        <v>196</v>
      </c>
      <c r="B400" t="s">
        <v>429</v>
      </c>
      <c r="C400" t="s">
        <v>1063</v>
      </c>
      <c r="D400" t="s">
        <v>428</v>
      </c>
      <c r="E400" s="30" t="s">
        <v>73</v>
      </c>
      <c r="F400" s="30" t="s">
        <v>28</v>
      </c>
      <c r="G400" s="30"/>
      <c r="H400" s="30" t="s">
        <v>803</v>
      </c>
      <c r="I400" s="31">
        <f t="shared" si="19"/>
        <v>20</v>
      </c>
      <c r="J400" s="147" t="s">
        <v>1993</v>
      </c>
      <c r="K400" s="31">
        <f t="shared" si="20"/>
        <v>8</v>
      </c>
      <c r="L400" s="32">
        <f t="shared" si="21"/>
        <v>0.7142857142857143</v>
      </c>
      <c r="M400" s="70" t="s">
        <v>2213</v>
      </c>
      <c r="N400" s="70" t="s">
        <v>2213</v>
      </c>
      <c r="O400" s="70" t="s">
        <v>2213</v>
      </c>
      <c r="P400" s="70" t="s">
        <v>2213</v>
      </c>
      <c r="Q400" s="70" t="s">
        <v>2213</v>
      </c>
      <c r="R400" s="70" t="s">
        <v>2213</v>
      </c>
      <c r="S400" s="70" t="s">
        <v>2213</v>
      </c>
      <c r="T400" s="70" t="s">
        <v>2213</v>
      </c>
      <c r="U400" s="70"/>
      <c r="V400" s="70"/>
      <c r="W400" s="70"/>
      <c r="X400" s="70"/>
      <c r="Y400" s="70"/>
      <c r="Z400" s="70"/>
      <c r="AA400" s="70"/>
      <c r="AB400" s="70"/>
      <c r="AC400" s="70"/>
      <c r="AD400" s="70"/>
      <c r="AE400" s="70"/>
      <c r="AF400" s="70"/>
      <c r="AG400" s="70"/>
      <c r="AH400" s="70"/>
      <c r="AI400" s="70"/>
      <c r="AJ400" s="70"/>
      <c r="AK400" s="70"/>
      <c r="AL400" s="70"/>
      <c r="AM400" s="70"/>
      <c r="AN400" s="70"/>
      <c r="AO400" s="70"/>
      <c r="AP400" s="70"/>
      <c r="AQ400" s="70"/>
    </row>
    <row r="401" spans="1:43" s="73" customFormat="1" ht="15.75" thickBot="1" x14ac:dyDescent="0.3">
      <c r="A401" s="73" t="s">
        <v>196</v>
      </c>
      <c r="B401" s="73" t="s">
        <v>430</v>
      </c>
      <c r="C401" s="73" t="s">
        <v>1063</v>
      </c>
      <c r="D401" s="73" t="s">
        <v>431</v>
      </c>
      <c r="E401" s="85" t="s">
        <v>73</v>
      </c>
      <c r="F401" s="85" t="s">
        <v>1301</v>
      </c>
      <c r="G401" s="85"/>
      <c r="H401" s="85" t="s">
        <v>804</v>
      </c>
      <c r="I401" s="142">
        <f t="shared" si="19"/>
        <v>28</v>
      </c>
      <c r="J401" s="147" t="s">
        <v>1994</v>
      </c>
      <c r="K401" s="142">
        <f t="shared" si="20"/>
        <v>0</v>
      </c>
      <c r="L401" s="143">
        <f t="shared" si="21"/>
        <v>1</v>
      </c>
      <c r="M401" s="70"/>
      <c r="N401" s="70"/>
      <c r="O401" s="70"/>
      <c r="P401" s="70"/>
      <c r="Q401" s="70"/>
      <c r="R401" s="70"/>
      <c r="S401" s="70"/>
      <c r="T401" s="70"/>
      <c r="U401" s="70"/>
      <c r="V401" s="70"/>
      <c r="W401" s="70"/>
      <c r="X401" s="70"/>
      <c r="Y401" s="70"/>
      <c r="Z401" s="70"/>
      <c r="AA401" s="70"/>
      <c r="AB401" s="70"/>
      <c r="AC401" s="70"/>
      <c r="AD401" s="70"/>
      <c r="AE401" s="70"/>
      <c r="AF401" s="70"/>
      <c r="AG401" s="70"/>
      <c r="AH401" s="70"/>
      <c r="AI401" s="70"/>
      <c r="AJ401" s="70"/>
      <c r="AK401" s="70"/>
      <c r="AL401" s="70"/>
      <c r="AM401" s="70"/>
      <c r="AN401" s="70"/>
      <c r="AO401" s="70"/>
      <c r="AP401" s="89"/>
      <c r="AQ401" s="89"/>
    </row>
    <row r="402" spans="1:43" s="73" customFormat="1" ht="17.25" customHeight="1" thickBot="1" x14ac:dyDescent="0.3">
      <c r="A402" s="73" t="s">
        <v>196</v>
      </c>
      <c r="B402" s="73" t="s">
        <v>432</v>
      </c>
      <c r="C402" s="73" t="s">
        <v>1063</v>
      </c>
      <c r="D402" s="73" t="s">
        <v>431</v>
      </c>
      <c r="E402" s="85" t="s">
        <v>73</v>
      </c>
      <c r="F402" s="85" t="s">
        <v>1301</v>
      </c>
      <c r="G402" s="85"/>
      <c r="H402" s="85" t="s">
        <v>805</v>
      </c>
      <c r="I402" s="142">
        <f t="shared" si="19"/>
        <v>28</v>
      </c>
      <c r="J402" s="147" t="s">
        <v>1995</v>
      </c>
      <c r="K402" s="142">
        <f t="shared" si="20"/>
        <v>0</v>
      </c>
      <c r="L402" s="143">
        <f t="shared" si="21"/>
        <v>1</v>
      </c>
      <c r="M402" s="70"/>
      <c r="N402" s="70"/>
      <c r="O402" s="70"/>
      <c r="P402" s="70"/>
      <c r="Q402" s="70"/>
      <c r="R402" s="70"/>
      <c r="S402" s="70"/>
      <c r="T402" s="70"/>
      <c r="U402" s="70"/>
      <c r="V402" s="70"/>
      <c r="W402" s="70"/>
      <c r="X402" s="70"/>
      <c r="Y402" s="70"/>
      <c r="Z402" s="70"/>
      <c r="AA402" s="70"/>
      <c r="AB402" s="70"/>
      <c r="AC402" s="70"/>
      <c r="AD402" s="70"/>
      <c r="AE402" s="70"/>
      <c r="AF402" s="70"/>
      <c r="AG402" s="70"/>
      <c r="AH402" s="70"/>
      <c r="AI402" s="70"/>
      <c r="AJ402" s="70"/>
      <c r="AK402" s="70"/>
      <c r="AL402" s="70"/>
      <c r="AM402" s="70"/>
      <c r="AN402" s="70"/>
      <c r="AO402" s="70"/>
      <c r="AP402" s="89"/>
      <c r="AQ402" s="89"/>
    </row>
    <row r="403" spans="1:43" s="73" customFormat="1" ht="15.75" thickBot="1" x14ac:dyDescent="0.3">
      <c r="A403" s="73" t="s">
        <v>196</v>
      </c>
      <c r="B403" s="73" t="s">
        <v>1546</v>
      </c>
      <c r="C403" s="73" t="s">
        <v>1063</v>
      </c>
      <c r="D403" s="73" t="s">
        <v>1547</v>
      </c>
      <c r="E403" s="85" t="s">
        <v>73</v>
      </c>
      <c r="F403" s="85" t="s">
        <v>1301</v>
      </c>
      <c r="G403" s="85"/>
      <c r="H403" s="85"/>
      <c r="I403" s="142">
        <f t="shared" si="19"/>
        <v>28</v>
      </c>
      <c r="J403" s="87"/>
      <c r="K403" s="142">
        <f t="shared" si="20"/>
        <v>0</v>
      </c>
      <c r="L403" s="143">
        <f t="shared" si="21"/>
        <v>1</v>
      </c>
      <c r="M403" s="70"/>
      <c r="N403" s="70"/>
      <c r="O403" s="70"/>
      <c r="P403" s="70"/>
      <c r="Q403" s="70"/>
      <c r="R403" s="70"/>
      <c r="S403" s="70"/>
      <c r="T403" s="70"/>
      <c r="U403" s="70"/>
      <c r="V403" s="70"/>
      <c r="W403" s="70"/>
      <c r="X403" s="70"/>
      <c r="Y403" s="70"/>
      <c r="Z403" s="70"/>
      <c r="AA403" s="70"/>
      <c r="AB403" s="70"/>
      <c r="AC403" s="70"/>
      <c r="AD403" s="70"/>
      <c r="AE403" s="70"/>
      <c r="AF403" s="70"/>
      <c r="AG403" s="70"/>
      <c r="AH403" s="70"/>
      <c r="AI403" s="70"/>
      <c r="AJ403" s="70"/>
      <c r="AK403" s="70"/>
      <c r="AL403" s="70"/>
      <c r="AM403" s="70"/>
      <c r="AN403" s="70"/>
      <c r="AO403" s="70"/>
      <c r="AP403" s="89"/>
      <c r="AQ403" s="89"/>
    </row>
    <row r="404" spans="1:43" s="73" customFormat="1" ht="15.75" thickBot="1" x14ac:dyDescent="0.3">
      <c r="A404" s="73" t="s">
        <v>196</v>
      </c>
      <c r="B404" s="73" t="s">
        <v>1548</v>
      </c>
      <c r="C404" s="73" t="s">
        <v>1063</v>
      </c>
      <c r="D404" s="73" t="s">
        <v>1547</v>
      </c>
      <c r="E404" s="85" t="s">
        <v>73</v>
      </c>
      <c r="F404" s="85" t="s">
        <v>1301</v>
      </c>
      <c r="G404" s="85"/>
      <c r="H404" s="85"/>
      <c r="I404" s="142">
        <f t="shared" si="19"/>
        <v>28</v>
      </c>
      <c r="J404" s="87"/>
      <c r="K404" s="142">
        <f t="shared" si="20"/>
        <v>0</v>
      </c>
      <c r="L404" s="143">
        <f t="shared" si="21"/>
        <v>1</v>
      </c>
      <c r="M404" s="70"/>
      <c r="N404" s="70"/>
      <c r="O404" s="70"/>
      <c r="P404" s="70"/>
      <c r="Q404" s="70"/>
      <c r="R404" s="70"/>
      <c r="S404" s="70"/>
      <c r="T404" s="70"/>
      <c r="U404" s="70"/>
      <c r="V404" s="70"/>
      <c r="W404" s="70"/>
      <c r="X404" s="70"/>
      <c r="Y404" s="70"/>
      <c r="Z404" s="70"/>
      <c r="AA404" s="70"/>
      <c r="AB404" s="70"/>
      <c r="AC404" s="70"/>
      <c r="AD404" s="70"/>
      <c r="AE404" s="70"/>
      <c r="AF404" s="70"/>
      <c r="AG404" s="70"/>
      <c r="AH404" s="70"/>
      <c r="AI404" s="70"/>
      <c r="AJ404" s="70"/>
      <c r="AK404" s="70"/>
      <c r="AL404" s="70"/>
      <c r="AM404" s="70"/>
      <c r="AN404" s="70"/>
      <c r="AO404" s="70"/>
      <c r="AP404" s="89"/>
      <c r="AQ404" s="89"/>
    </row>
    <row r="405" spans="1:43" s="73" customFormat="1" ht="15.75" thickBot="1" x14ac:dyDescent="0.3">
      <c r="A405" s="73" t="s">
        <v>196</v>
      </c>
      <c r="B405" s="73" t="s">
        <v>1629</v>
      </c>
      <c r="C405" s="73" t="s">
        <v>1063</v>
      </c>
      <c r="D405" s="73" t="s">
        <v>1630</v>
      </c>
      <c r="E405" s="85" t="s">
        <v>73</v>
      </c>
      <c r="F405" s="85" t="s">
        <v>1301</v>
      </c>
      <c r="G405" s="85"/>
      <c r="H405" s="85" t="s">
        <v>1631</v>
      </c>
      <c r="I405" s="142">
        <f t="shared" si="19"/>
        <v>27</v>
      </c>
      <c r="J405" s="87" t="s">
        <v>2152</v>
      </c>
      <c r="K405" s="142">
        <f t="shared" si="20"/>
        <v>1</v>
      </c>
      <c r="L405" s="143">
        <f t="shared" si="21"/>
        <v>0.9642857142857143</v>
      </c>
      <c r="M405" s="70"/>
      <c r="N405" s="70"/>
      <c r="O405" s="70"/>
      <c r="P405" s="70"/>
      <c r="Q405" s="70"/>
      <c r="R405" s="70"/>
      <c r="S405" s="70"/>
      <c r="T405" s="70" t="s">
        <v>2213</v>
      </c>
      <c r="U405" s="70"/>
      <c r="V405" s="70"/>
      <c r="W405" s="70"/>
      <c r="X405" s="70"/>
      <c r="Y405" s="70"/>
      <c r="Z405" s="70"/>
      <c r="AA405" s="70"/>
      <c r="AB405" s="70"/>
      <c r="AC405" s="70"/>
      <c r="AD405" s="70"/>
      <c r="AE405" s="70"/>
      <c r="AF405" s="70"/>
      <c r="AG405" s="70"/>
      <c r="AH405" s="70"/>
      <c r="AI405" s="70"/>
      <c r="AJ405" s="70"/>
      <c r="AK405" s="70"/>
      <c r="AL405" s="70"/>
      <c r="AM405" s="70"/>
      <c r="AN405" s="70"/>
      <c r="AO405" s="70"/>
      <c r="AP405" s="89"/>
      <c r="AQ405" s="89"/>
    </row>
    <row r="406" spans="1:43" s="73" customFormat="1" ht="15.75" thickBot="1" x14ac:dyDescent="0.3">
      <c r="A406" s="73" t="s">
        <v>196</v>
      </c>
      <c r="B406" s="73" t="s">
        <v>2148</v>
      </c>
      <c r="C406" s="73" t="s">
        <v>1063</v>
      </c>
      <c r="D406" s="73" t="s">
        <v>2149</v>
      </c>
      <c r="E406" s="92" t="s">
        <v>19</v>
      </c>
      <c r="F406" s="85" t="s">
        <v>1301</v>
      </c>
      <c r="G406" s="85"/>
      <c r="H406" s="85" t="s">
        <v>2150</v>
      </c>
      <c r="I406" s="142">
        <f t="shared" si="19"/>
        <v>28</v>
      </c>
      <c r="J406" s="87" t="s">
        <v>2151</v>
      </c>
      <c r="K406" s="142">
        <f t="shared" si="20"/>
        <v>0</v>
      </c>
      <c r="L406" s="143">
        <f t="shared" si="21"/>
        <v>1</v>
      </c>
      <c r="M406" s="70"/>
      <c r="N406" s="70"/>
      <c r="O406" s="70"/>
      <c r="P406" s="70"/>
      <c r="Q406" s="70"/>
      <c r="R406" s="70"/>
      <c r="S406" s="70"/>
      <c r="T406" s="70"/>
      <c r="U406" s="70"/>
      <c r="V406" s="70"/>
      <c r="W406" s="70"/>
      <c r="X406" s="70"/>
      <c r="Y406" s="70"/>
      <c r="Z406" s="70"/>
      <c r="AA406" s="70"/>
      <c r="AB406" s="70"/>
      <c r="AC406" s="70"/>
      <c r="AD406" s="70"/>
      <c r="AE406" s="70"/>
      <c r="AF406" s="70"/>
      <c r="AG406" s="70"/>
      <c r="AH406" s="70"/>
      <c r="AI406" s="70"/>
      <c r="AJ406" s="70"/>
      <c r="AK406" s="70"/>
      <c r="AL406" s="70"/>
      <c r="AM406" s="70"/>
      <c r="AN406" s="70"/>
      <c r="AO406" s="70"/>
      <c r="AP406" s="89"/>
      <c r="AQ406" s="89"/>
    </row>
    <row r="407" spans="1:43" s="91" customFormat="1" ht="15.75" thickBot="1" x14ac:dyDescent="0.3">
      <c r="A407" s="73" t="s">
        <v>2273</v>
      </c>
      <c r="B407" s="73" t="s">
        <v>434</v>
      </c>
      <c r="C407" s="91" t="s">
        <v>1063</v>
      </c>
      <c r="D407" s="73" t="s">
        <v>435</v>
      </c>
      <c r="E407" s="92" t="s">
        <v>19</v>
      </c>
      <c r="F407" s="85" t="s">
        <v>1301</v>
      </c>
      <c r="G407" s="85"/>
      <c r="H407" s="85" t="s">
        <v>2201</v>
      </c>
      <c r="I407" s="31">
        <f t="shared" si="19"/>
        <v>28</v>
      </c>
      <c r="J407" s="87" t="s">
        <v>2202</v>
      </c>
      <c r="K407" s="31">
        <f t="shared" si="20"/>
        <v>0</v>
      </c>
      <c r="L407" s="32">
        <f t="shared" si="21"/>
        <v>1</v>
      </c>
      <c r="M407" s="70"/>
      <c r="N407" s="70"/>
      <c r="O407" s="70"/>
      <c r="P407" s="70"/>
      <c r="Q407" s="70"/>
      <c r="R407" s="70"/>
      <c r="S407" s="70"/>
      <c r="T407" s="70"/>
      <c r="U407" s="70"/>
      <c r="V407" s="70"/>
      <c r="W407" s="70"/>
      <c r="X407" s="70"/>
      <c r="Y407" s="70"/>
      <c r="Z407" s="70"/>
      <c r="AA407" s="70"/>
      <c r="AB407" s="70"/>
      <c r="AC407" s="70"/>
      <c r="AD407" s="70"/>
      <c r="AE407" s="93"/>
      <c r="AF407" s="93"/>
      <c r="AG407" s="70"/>
      <c r="AH407" s="93"/>
      <c r="AI407" s="93"/>
      <c r="AJ407" s="93"/>
      <c r="AK407" s="93"/>
      <c r="AL407" s="93"/>
      <c r="AM407" s="93"/>
      <c r="AN407" s="93"/>
      <c r="AO407" s="93"/>
      <c r="AP407" s="93"/>
      <c r="AQ407" s="93"/>
    </row>
    <row r="408" spans="1:43" s="73" customFormat="1" ht="15.75" thickBot="1" x14ac:dyDescent="0.3">
      <c r="A408" s="73" t="s">
        <v>2273</v>
      </c>
      <c r="B408" s="73" t="s">
        <v>1353</v>
      </c>
      <c r="C408" s="73" t="s">
        <v>1063</v>
      </c>
      <c r="D408" s="73" t="s">
        <v>1354</v>
      </c>
      <c r="E408" s="92" t="s">
        <v>19</v>
      </c>
      <c r="F408" s="85" t="s">
        <v>1301</v>
      </c>
      <c r="G408" s="85"/>
      <c r="H408" s="85" t="s">
        <v>1415</v>
      </c>
      <c r="I408" s="142">
        <f t="shared" si="19"/>
        <v>28</v>
      </c>
      <c r="J408" s="147" t="s">
        <v>1996</v>
      </c>
      <c r="K408" s="142">
        <f t="shared" si="20"/>
        <v>0</v>
      </c>
      <c r="L408" s="143">
        <f t="shared" si="21"/>
        <v>1</v>
      </c>
      <c r="M408" s="70"/>
      <c r="N408" s="70"/>
      <c r="O408" s="70"/>
      <c r="P408" s="70"/>
      <c r="Q408" s="70"/>
      <c r="R408" s="70"/>
      <c r="S408" s="70"/>
      <c r="T408" s="70"/>
      <c r="U408" s="70"/>
      <c r="V408" s="70"/>
      <c r="W408" s="70"/>
      <c r="X408" s="70"/>
      <c r="Y408" s="70"/>
      <c r="Z408" s="70"/>
      <c r="AA408" s="70"/>
      <c r="AB408" s="70"/>
      <c r="AC408" s="70"/>
      <c r="AD408" s="70"/>
      <c r="AE408" s="70"/>
      <c r="AF408" s="70"/>
      <c r="AG408" s="70"/>
      <c r="AH408" s="70"/>
      <c r="AI408" s="70"/>
      <c r="AJ408" s="70"/>
      <c r="AK408" s="70"/>
      <c r="AL408" s="70"/>
      <c r="AM408" s="70"/>
      <c r="AN408" s="70"/>
      <c r="AO408" s="70"/>
      <c r="AP408" s="89"/>
      <c r="AQ408" s="89"/>
    </row>
    <row r="409" spans="1:43" s="73" customFormat="1" ht="15.75" thickBot="1" x14ac:dyDescent="0.3">
      <c r="A409" s="73" t="s">
        <v>2273</v>
      </c>
      <c r="B409" s="73" t="s">
        <v>1403</v>
      </c>
      <c r="C409" s="73" t="s">
        <v>1063</v>
      </c>
      <c r="D409" s="73" t="s">
        <v>1404</v>
      </c>
      <c r="E409" s="92" t="s">
        <v>19</v>
      </c>
      <c r="F409" s="85" t="s">
        <v>1301</v>
      </c>
      <c r="G409" s="85"/>
      <c r="H409" s="85" t="s">
        <v>1405</v>
      </c>
      <c r="I409" s="142">
        <f t="shared" si="19"/>
        <v>28</v>
      </c>
      <c r="J409" s="147" t="s">
        <v>1997</v>
      </c>
      <c r="K409" s="142">
        <f t="shared" si="20"/>
        <v>0</v>
      </c>
      <c r="L409" s="143">
        <f t="shared" si="21"/>
        <v>1</v>
      </c>
      <c r="M409" s="70"/>
      <c r="N409" s="70"/>
      <c r="O409" s="71"/>
      <c r="P409" s="71"/>
      <c r="Q409" s="71"/>
      <c r="R409" s="71"/>
      <c r="S409" s="71"/>
      <c r="T409" s="71"/>
      <c r="U409" s="71"/>
      <c r="V409" s="71"/>
      <c r="W409" s="71"/>
      <c r="X409" s="71"/>
      <c r="Y409" s="71"/>
      <c r="Z409" s="71"/>
      <c r="AA409" s="71"/>
      <c r="AB409" s="71"/>
      <c r="AC409" s="71"/>
      <c r="AD409" s="71"/>
      <c r="AE409" s="71"/>
      <c r="AF409" s="71"/>
      <c r="AG409" s="71"/>
      <c r="AH409" s="71"/>
      <c r="AI409" s="71"/>
      <c r="AJ409" s="71"/>
      <c r="AK409" s="71"/>
      <c r="AL409" s="71"/>
      <c r="AM409" s="71"/>
      <c r="AN409" s="71"/>
      <c r="AO409" s="71"/>
    </row>
    <row r="410" spans="1:43" s="73" customFormat="1" ht="15.75" thickBot="1" x14ac:dyDescent="0.3">
      <c r="A410" s="73" t="s">
        <v>2273</v>
      </c>
      <c r="B410" s="73" t="s">
        <v>2269</v>
      </c>
      <c r="C410" s="73" t="s">
        <v>1063</v>
      </c>
      <c r="D410" s="73" t="s">
        <v>2270</v>
      </c>
      <c r="E410" s="92" t="s">
        <v>19</v>
      </c>
      <c r="F410" s="85" t="s">
        <v>1301</v>
      </c>
      <c r="G410" s="85"/>
      <c r="H410" s="85" t="s">
        <v>2271</v>
      </c>
      <c r="I410" s="142">
        <f t="shared" si="19"/>
        <v>28</v>
      </c>
      <c r="J410" s="147" t="s">
        <v>2272</v>
      </c>
      <c r="K410" s="142">
        <f t="shared" si="20"/>
        <v>0</v>
      </c>
      <c r="L410" s="143">
        <f t="shared" si="21"/>
        <v>1</v>
      </c>
      <c r="M410" s="70"/>
      <c r="N410" s="70"/>
      <c r="O410" s="71"/>
      <c r="P410" s="71"/>
      <c r="Q410" s="71"/>
      <c r="R410" s="71"/>
      <c r="S410" s="71"/>
      <c r="T410" s="71"/>
      <c r="U410" s="71"/>
      <c r="V410" s="71"/>
      <c r="W410" s="71"/>
      <c r="X410" s="71"/>
      <c r="Y410" s="71"/>
      <c r="Z410" s="71"/>
      <c r="AA410" s="71"/>
      <c r="AB410" s="71"/>
      <c r="AC410" s="71"/>
      <c r="AD410" s="71"/>
      <c r="AE410" s="71"/>
      <c r="AF410" s="71"/>
      <c r="AG410" s="71"/>
      <c r="AH410" s="71"/>
      <c r="AI410" s="71"/>
      <c r="AJ410" s="71"/>
      <c r="AK410" s="71"/>
      <c r="AL410" s="71"/>
      <c r="AM410" s="71"/>
      <c r="AN410" s="71"/>
      <c r="AO410" s="71"/>
    </row>
    <row r="411" spans="1:43" s="73" customFormat="1" ht="15.75" thickBot="1" x14ac:dyDescent="0.3">
      <c r="A411" s="73" t="s">
        <v>438</v>
      </c>
      <c r="B411" s="73" t="s">
        <v>445</v>
      </c>
      <c r="C411" s="73" t="s">
        <v>1063</v>
      </c>
      <c r="D411" s="73" t="s">
        <v>446</v>
      </c>
      <c r="E411" s="85" t="s">
        <v>15</v>
      </c>
      <c r="F411" s="85" t="s">
        <v>1301</v>
      </c>
      <c r="G411" s="85"/>
      <c r="H411" s="85" t="s">
        <v>1374</v>
      </c>
      <c r="I411" s="142">
        <f t="shared" si="19"/>
        <v>23</v>
      </c>
      <c r="J411" s="147" t="s">
        <v>1998</v>
      </c>
      <c r="K411" s="142">
        <f t="shared" si="20"/>
        <v>5</v>
      </c>
      <c r="L411" s="143">
        <f t="shared" si="21"/>
        <v>0.8214285714285714</v>
      </c>
      <c r="M411" s="70"/>
      <c r="N411" s="70"/>
      <c r="O411" s="70"/>
      <c r="P411" s="70" t="s">
        <v>2213</v>
      </c>
      <c r="Q411" s="70" t="s">
        <v>2213</v>
      </c>
      <c r="R411" s="70" t="s">
        <v>2213</v>
      </c>
      <c r="S411" s="70" t="s">
        <v>2213</v>
      </c>
      <c r="T411" s="70" t="s">
        <v>2213</v>
      </c>
      <c r="U411" s="70"/>
      <c r="V411" s="70"/>
      <c r="W411" s="70"/>
      <c r="X411" s="70"/>
      <c r="Y411" s="70"/>
      <c r="Z411" s="70"/>
      <c r="AA411" s="70"/>
      <c r="AB411" s="70"/>
      <c r="AC411" s="70"/>
      <c r="AD411" s="70"/>
      <c r="AE411" s="70"/>
      <c r="AF411" s="70"/>
      <c r="AG411" s="70"/>
      <c r="AH411" s="70"/>
      <c r="AI411" s="70"/>
      <c r="AJ411" s="70"/>
      <c r="AK411" s="70"/>
      <c r="AL411" s="70"/>
      <c r="AM411" s="70"/>
      <c r="AN411" s="70"/>
      <c r="AO411" s="70"/>
      <c r="AP411" s="89"/>
      <c r="AQ411" s="89"/>
    </row>
    <row r="412" spans="1:43" s="73" customFormat="1" ht="15.75" thickBot="1" x14ac:dyDescent="0.3">
      <c r="A412" s="73" t="s">
        <v>438</v>
      </c>
      <c r="B412" s="73" t="s">
        <v>447</v>
      </c>
      <c r="C412" s="73" t="s">
        <v>1063</v>
      </c>
      <c r="D412" s="73" t="s">
        <v>448</v>
      </c>
      <c r="E412" s="85" t="s">
        <v>19</v>
      </c>
      <c r="F412" s="85" t="s">
        <v>1301</v>
      </c>
      <c r="G412" s="85"/>
      <c r="H412" s="85" t="s">
        <v>1424</v>
      </c>
      <c r="I412" s="142">
        <f t="shared" si="19"/>
        <v>23</v>
      </c>
      <c r="J412" s="147" t="s">
        <v>1999</v>
      </c>
      <c r="K412" s="142">
        <f t="shared" si="20"/>
        <v>5</v>
      </c>
      <c r="L412" s="143">
        <f t="shared" si="21"/>
        <v>0.8214285714285714</v>
      </c>
      <c r="M412" s="70"/>
      <c r="N412" s="70"/>
      <c r="O412" s="70"/>
      <c r="P412" s="70" t="s">
        <v>2213</v>
      </c>
      <c r="Q412" s="70" t="s">
        <v>2213</v>
      </c>
      <c r="R412" s="70" t="s">
        <v>2213</v>
      </c>
      <c r="S412" s="70" t="s">
        <v>2213</v>
      </c>
      <c r="T412" s="70" t="s">
        <v>2213</v>
      </c>
      <c r="U412" s="70"/>
      <c r="V412" s="70"/>
      <c r="W412" s="70"/>
      <c r="X412" s="70"/>
      <c r="Y412" s="70"/>
      <c r="Z412" s="70"/>
      <c r="AA412" s="70"/>
      <c r="AB412" s="70"/>
      <c r="AC412" s="70"/>
      <c r="AD412" s="70"/>
      <c r="AE412" s="70"/>
      <c r="AF412" s="70"/>
      <c r="AG412" s="70"/>
      <c r="AH412" s="70"/>
      <c r="AI412" s="70"/>
      <c r="AJ412" s="70"/>
      <c r="AK412" s="70"/>
      <c r="AL412" s="70"/>
      <c r="AM412" s="70"/>
      <c r="AN412" s="70"/>
      <c r="AO412" s="70"/>
      <c r="AP412" s="89"/>
      <c r="AQ412" s="89"/>
    </row>
    <row r="413" spans="1:43" s="91" customFormat="1" ht="15.75" thickBot="1" x14ac:dyDescent="0.3">
      <c r="A413" s="91" t="s">
        <v>438</v>
      </c>
      <c r="B413" s="91" t="s">
        <v>436</v>
      </c>
      <c r="C413" s="91" t="s">
        <v>1063</v>
      </c>
      <c r="D413" s="91" t="s">
        <v>437</v>
      </c>
      <c r="E413" s="92" t="s">
        <v>19</v>
      </c>
      <c r="F413" s="92" t="s">
        <v>20</v>
      </c>
      <c r="G413" s="92"/>
      <c r="H413" s="92" t="s">
        <v>806</v>
      </c>
      <c r="I413" s="31">
        <f t="shared" si="19"/>
        <v>20</v>
      </c>
      <c r="J413" s="87"/>
      <c r="K413" s="31">
        <f t="shared" si="20"/>
        <v>8</v>
      </c>
      <c r="L413" s="32">
        <f t="shared" si="21"/>
        <v>0.7142857142857143</v>
      </c>
      <c r="M413" s="70" t="s">
        <v>2213</v>
      </c>
      <c r="N413" s="70" t="s">
        <v>2213</v>
      </c>
      <c r="O413" s="70" t="s">
        <v>2213</v>
      </c>
      <c r="P413" s="70" t="s">
        <v>2213</v>
      </c>
      <c r="Q413" s="70" t="s">
        <v>2213</v>
      </c>
      <c r="R413" s="70" t="s">
        <v>2213</v>
      </c>
      <c r="S413" s="70" t="s">
        <v>2213</v>
      </c>
      <c r="T413" s="70" t="s">
        <v>2213</v>
      </c>
      <c r="U413" s="70"/>
      <c r="V413" s="70"/>
      <c r="W413" s="70"/>
      <c r="X413" s="70"/>
      <c r="Y413" s="70"/>
      <c r="Z413" s="70"/>
      <c r="AA413" s="70"/>
      <c r="AB413" s="70"/>
      <c r="AC413" s="70"/>
      <c r="AD413" s="70"/>
      <c r="AE413" s="93"/>
      <c r="AF413" s="93"/>
      <c r="AG413" s="70"/>
      <c r="AH413" s="93"/>
      <c r="AI413" s="93"/>
      <c r="AJ413" s="93"/>
      <c r="AK413" s="93"/>
      <c r="AL413" s="93"/>
      <c r="AM413" s="93"/>
      <c r="AN413" s="93"/>
      <c r="AO413" s="93"/>
      <c r="AP413" s="93"/>
      <c r="AQ413" s="93"/>
    </row>
    <row r="414" spans="1:43" s="73" customFormat="1" ht="15.75" thickBot="1" x14ac:dyDescent="0.3">
      <c r="A414" s="73" t="s">
        <v>438</v>
      </c>
      <c r="B414" s="73" t="s">
        <v>439</v>
      </c>
      <c r="C414" s="73" t="s">
        <v>1063</v>
      </c>
      <c r="D414" s="73" t="s">
        <v>440</v>
      </c>
      <c r="E414" s="85" t="s">
        <v>46</v>
      </c>
      <c r="F414" s="85" t="s">
        <v>1301</v>
      </c>
      <c r="G414" s="85"/>
      <c r="H414" s="85" t="s">
        <v>1375</v>
      </c>
      <c r="I414" s="142">
        <f t="shared" si="19"/>
        <v>24</v>
      </c>
      <c r="J414" s="147" t="s">
        <v>2000</v>
      </c>
      <c r="K414" s="142">
        <f t="shared" si="20"/>
        <v>4</v>
      </c>
      <c r="L414" s="143">
        <f t="shared" si="21"/>
        <v>0.8571428571428571</v>
      </c>
      <c r="M414" s="70"/>
      <c r="N414" s="70"/>
      <c r="O414" s="70"/>
      <c r="P414" s="70"/>
      <c r="Q414" s="70" t="s">
        <v>2213</v>
      </c>
      <c r="R414" s="70" t="s">
        <v>2213</v>
      </c>
      <c r="S414" s="70" t="s">
        <v>2213</v>
      </c>
      <c r="T414" s="70" t="s">
        <v>2213</v>
      </c>
      <c r="U414" s="70"/>
      <c r="V414" s="70"/>
      <c r="W414" s="70"/>
      <c r="X414" s="70"/>
      <c r="Y414" s="70"/>
      <c r="Z414" s="70"/>
      <c r="AA414" s="70"/>
      <c r="AB414" s="70"/>
      <c r="AC414" s="70"/>
      <c r="AD414" s="70"/>
      <c r="AE414" s="70"/>
      <c r="AF414" s="70"/>
      <c r="AG414" s="70"/>
      <c r="AH414" s="70"/>
      <c r="AI414" s="70"/>
      <c r="AJ414" s="70"/>
      <c r="AK414" s="70"/>
      <c r="AL414" s="70"/>
      <c r="AM414" s="70"/>
      <c r="AN414" s="70"/>
      <c r="AO414" s="70"/>
      <c r="AP414" s="89"/>
      <c r="AQ414" s="89"/>
    </row>
    <row r="415" spans="1:43" ht="15.75" thickBot="1" x14ac:dyDescent="0.3">
      <c r="A415" t="s">
        <v>438</v>
      </c>
      <c r="B415" t="s">
        <v>449</v>
      </c>
      <c r="C415" t="s">
        <v>1063</v>
      </c>
      <c r="D415" t="s">
        <v>450</v>
      </c>
      <c r="E415" s="30" t="s">
        <v>15</v>
      </c>
      <c r="F415" s="30" t="s">
        <v>1056</v>
      </c>
      <c r="G415" s="30" t="s">
        <v>1256</v>
      </c>
      <c r="H415" s="30" t="s">
        <v>807</v>
      </c>
      <c r="I415" s="31">
        <f t="shared" si="19"/>
        <v>28</v>
      </c>
      <c r="J415" s="147" t="s">
        <v>2001</v>
      </c>
      <c r="K415" s="31">
        <f t="shared" si="20"/>
        <v>0</v>
      </c>
      <c r="L415" s="32">
        <f t="shared" si="21"/>
        <v>1</v>
      </c>
      <c r="M415" s="70"/>
      <c r="N415" s="70"/>
      <c r="O415" s="70"/>
      <c r="P415" s="70"/>
      <c r="Q415" s="70"/>
      <c r="R415" s="70"/>
      <c r="S415" s="70"/>
      <c r="T415" s="70"/>
      <c r="U415" s="70"/>
      <c r="V415" s="70"/>
      <c r="W415" s="70"/>
      <c r="X415" s="70"/>
      <c r="Y415" s="70"/>
      <c r="Z415" s="70"/>
      <c r="AA415" s="70"/>
      <c r="AB415" s="70"/>
      <c r="AC415" s="70"/>
      <c r="AD415" s="70"/>
      <c r="AE415" s="70"/>
      <c r="AF415" s="70"/>
      <c r="AG415" s="70"/>
      <c r="AH415" s="70"/>
      <c r="AI415" s="70"/>
      <c r="AJ415" s="70"/>
      <c r="AK415" s="70"/>
      <c r="AL415" s="70"/>
      <c r="AM415" s="70"/>
      <c r="AN415" s="70"/>
      <c r="AO415" s="70"/>
      <c r="AP415" s="70"/>
      <c r="AQ415" s="70"/>
    </row>
    <row r="416" spans="1:43" ht="15.75" thickBot="1" x14ac:dyDescent="0.3">
      <c r="A416" t="s">
        <v>438</v>
      </c>
      <c r="B416" t="s">
        <v>441</v>
      </c>
      <c r="C416" t="s">
        <v>1063</v>
      </c>
      <c r="D416" t="s">
        <v>442</v>
      </c>
      <c r="E416" s="30" t="s">
        <v>15</v>
      </c>
      <c r="F416" s="30" t="s">
        <v>28</v>
      </c>
      <c r="G416" s="30"/>
      <c r="H416" s="30" t="s">
        <v>808</v>
      </c>
      <c r="I416" s="31">
        <f t="shared" si="19"/>
        <v>23</v>
      </c>
      <c r="J416" s="87"/>
      <c r="K416" s="31">
        <f t="shared" si="20"/>
        <v>5</v>
      </c>
      <c r="L416" s="32">
        <f t="shared" si="21"/>
        <v>0.8214285714285714</v>
      </c>
      <c r="M416" s="70"/>
      <c r="N416" s="70"/>
      <c r="O416" s="70"/>
      <c r="P416" s="70" t="s">
        <v>2213</v>
      </c>
      <c r="Q416" s="70" t="s">
        <v>2213</v>
      </c>
      <c r="R416" s="70" t="s">
        <v>2213</v>
      </c>
      <c r="S416" s="70" t="s">
        <v>2213</v>
      </c>
      <c r="T416" s="70" t="s">
        <v>2213</v>
      </c>
      <c r="U416" s="70"/>
      <c r="V416" s="70"/>
      <c r="W416" s="70"/>
      <c r="X416" s="70"/>
      <c r="Y416" s="70"/>
      <c r="Z416" s="70"/>
      <c r="AA416" s="70"/>
      <c r="AB416" s="70"/>
      <c r="AC416" s="70"/>
      <c r="AD416" s="70"/>
      <c r="AE416" s="70"/>
      <c r="AF416" s="70"/>
      <c r="AG416" s="70"/>
      <c r="AH416" s="70"/>
      <c r="AI416" s="70"/>
      <c r="AJ416" s="70"/>
      <c r="AK416" s="70"/>
      <c r="AL416" s="70"/>
      <c r="AM416" s="70"/>
      <c r="AN416" s="70"/>
      <c r="AO416" s="70"/>
      <c r="AP416" s="70"/>
      <c r="AQ416" s="70"/>
    </row>
    <row r="417" spans="1:43" s="73" customFormat="1" ht="15.75" thickBot="1" x14ac:dyDescent="0.3">
      <c r="A417" s="73" t="s">
        <v>438</v>
      </c>
      <c r="B417" s="73" t="s">
        <v>443</v>
      </c>
      <c r="C417" s="73" t="s">
        <v>1063</v>
      </c>
      <c r="D417" s="73" t="s">
        <v>444</v>
      </c>
      <c r="E417" s="85" t="s">
        <v>15</v>
      </c>
      <c r="F417" s="85" t="s">
        <v>1301</v>
      </c>
      <c r="G417" s="85"/>
      <c r="H417" s="85" t="s">
        <v>809</v>
      </c>
      <c r="I417" s="142">
        <f t="shared" si="19"/>
        <v>23</v>
      </c>
      <c r="J417" s="73" t="s">
        <v>2002</v>
      </c>
      <c r="K417" s="142">
        <f t="shared" si="20"/>
        <v>5</v>
      </c>
      <c r="L417" s="143">
        <f t="shared" si="21"/>
        <v>0.8214285714285714</v>
      </c>
      <c r="M417" s="70"/>
      <c r="N417" s="70"/>
      <c r="O417" s="70"/>
      <c r="P417" s="70" t="s">
        <v>2213</v>
      </c>
      <c r="Q417" s="70" t="s">
        <v>2213</v>
      </c>
      <c r="R417" s="70" t="s">
        <v>2213</v>
      </c>
      <c r="S417" s="70" t="s">
        <v>2213</v>
      </c>
      <c r="T417" s="70" t="s">
        <v>2213</v>
      </c>
      <c r="U417" s="70"/>
      <c r="V417" s="70"/>
      <c r="W417" s="70"/>
      <c r="X417" s="70"/>
      <c r="Y417" s="70"/>
      <c r="Z417" s="70"/>
      <c r="AA417" s="70"/>
      <c r="AB417" s="70"/>
      <c r="AC417" s="70"/>
      <c r="AD417" s="70"/>
      <c r="AE417" s="70"/>
      <c r="AF417" s="70"/>
      <c r="AG417" s="70"/>
      <c r="AH417" s="70"/>
      <c r="AI417" s="70"/>
      <c r="AJ417" s="70"/>
      <c r="AK417" s="70"/>
      <c r="AL417" s="70"/>
      <c r="AM417" s="70"/>
      <c r="AN417" s="70"/>
      <c r="AO417" s="70"/>
      <c r="AP417" s="89"/>
      <c r="AQ417" s="89"/>
    </row>
    <row r="418" spans="1:43" ht="15.75" thickBot="1" x14ac:dyDescent="0.3">
      <c r="A418" t="s">
        <v>1124</v>
      </c>
      <c r="B418" t="s">
        <v>1125</v>
      </c>
      <c r="C418" t="s">
        <v>1063</v>
      </c>
      <c r="D418" t="s">
        <v>1126</v>
      </c>
      <c r="E418" s="30" t="s">
        <v>1114</v>
      </c>
      <c r="F418" s="30" t="s">
        <v>28</v>
      </c>
      <c r="G418" s="30"/>
      <c r="H418" s="30" t="s">
        <v>1140</v>
      </c>
      <c r="I418" s="31">
        <f t="shared" si="19"/>
        <v>22</v>
      </c>
      <c r="J418" s="147" t="s">
        <v>2003</v>
      </c>
      <c r="K418" s="31">
        <f t="shared" si="20"/>
        <v>6</v>
      </c>
      <c r="L418" s="32">
        <f t="shared" si="21"/>
        <v>0.7857142857142857</v>
      </c>
      <c r="M418" s="70" t="s">
        <v>2213</v>
      </c>
      <c r="N418" s="70"/>
      <c r="O418" s="70"/>
      <c r="P418" s="70" t="s">
        <v>2213</v>
      </c>
      <c r="Q418" s="70" t="s">
        <v>2213</v>
      </c>
      <c r="R418" s="70" t="s">
        <v>2213</v>
      </c>
      <c r="S418" s="70" t="s">
        <v>2213</v>
      </c>
      <c r="T418" s="70" t="s">
        <v>2213</v>
      </c>
      <c r="U418" s="70"/>
      <c r="V418" s="70"/>
      <c r="W418" s="70"/>
      <c r="X418" s="70"/>
      <c r="Y418" s="70"/>
      <c r="Z418" s="70"/>
      <c r="AA418" s="70"/>
      <c r="AB418" s="70"/>
      <c r="AC418" s="70"/>
      <c r="AD418" s="70"/>
      <c r="AE418" s="70"/>
      <c r="AF418" s="70"/>
      <c r="AG418" s="70"/>
      <c r="AH418" s="70"/>
      <c r="AI418" s="70"/>
      <c r="AJ418" s="70"/>
      <c r="AK418" s="70"/>
      <c r="AL418" s="70"/>
      <c r="AM418" s="70"/>
      <c r="AN418" s="70"/>
      <c r="AO418" s="70"/>
      <c r="AP418" s="70"/>
      <c r="AQ418" s="70"/>
    </row>
    <row r="419" spans="1:43" ht="16.899999999999999" customHeight="1" thickBot="1" x14ac:dyDescent="0.3">
      <c r="A419" t="s">
        <v>1124</v>
      </c>
      <c r="B419" t="s">
        <v>1144</v>
      </c>
      <c r="C419" t="s">
        <v>1063</v>
      </c>
      <c r="D419" t="s">
        <v>1126</v>
      </c>
      <c r="E419" s="30" t="s">
        <v>1114</v>
      </c>
      <c r="F419" s="30" t="s">
        <v>28</v>
      </c>
      <c r="G419" s="30"/>
      <c r="H419" s="30" t="s">
        <v>1141</v>
      </c>
      <c r="I419" s="31">
        <f t="shared" si="19"/>
        <v>22</v>
      </c>
      <c r="J419" s="147" t="s">
        <v>2004</v>
      </c>
      <c r="K419" s="31">
        <f t="shared" si="20"/>
        <v>6</v>
      </c>
      <c r="L419" s="32">
        <f t="shared" si="21"/>
        <v>0.7857142857142857</v>
      </c>
      <c r="M419" s="70" t="s">
        <v>2213</v>
      </c>
      <c r="N419" s="70"/>
      <c r="O419" s="70"/>
      <c r="P419" s="70" t="s">
        <v>2213</v>
      </c>
      <c r="Q419" s="70" t="s">
        <v>2213</v>
      </c>
      <c r="R419" s="70" t="s">
        <v>2213</v>
      </c>
      <c r="S419" s="70" t="s">
        <v>2213</v>
      </c>
      <c r="T419" s="70" t="s">
        <v>2213</v>
      </c>
      <c r="U419" s="70"/>
      <c r="V419" s="70"/>
      <c r="W419" s="70"/>
      <c r="X419" s="70"/>
      <c r="Y419" s="70"/>
      <c r="Z419" s="70"/>
      <c r="AA419" s="70"/>
      <c r="AB419" s="70"/>
      <c r="AC419" s="70"/>
      <c r="AD419" s="70"/>
      <c r="AE419" s="70"/>
      <c r="AF419" s="70"/>
      <c r="AG419" s="70"/>
      <c r="AH419" s="70"/>
      <c r="AI419" s="70"/>
      <c r="AJ419" s="70"/>
      <c r="AK419" s="70"/>
      <c r="AL419" s="70"/>
      <c r="AM419" s="70"/>
      <c r="AN419" s="70"/>
      <c r="AO419" s="70"/>
      <c r="AP419" s="70"/>
      <c r="AQ419" s="70"/>
    </row>
    <row r="420" spans="1:43" s="73" customFormat="1" ht="16.899999999999999" customHeight="1" thickBot="1" x14ac:dyDescent="0.3">
      <c r="A420" t="s">
        <v>1124</v>
      </c>
      <c r="B420" s="73" t="s">
        <v>1561</v>
      </c>
      <c r="C420" s="73" t="s">
        <v>1063</v>
      </c>
      <c r="D420" s="73" t="s">
        <v>1562</v>
      </c>
      <c r="E420" s="85" t="s">
        <v>1114</v>
      </c>
      <c r="F420" s="85" t="s">
        <v>1301</v>
      </c>
      <c r="G420" s="85"/>
      <c r="H420" s="85" t="s">
        <v>1564</v>
      </c>
      <c r="I420" s="31">
        <f t="shared" si="19"/>
        <v>24</v>
      </c>
      <c r="J420" s="147" t="s">
        <v>2005</v>
      </c>
      <c r="K420" s="31">
        <f t="shared" si="20"/>
        <v>4</v>
      </c>
      <c r="L420" s="32">
        <f t="shared" si="21"/>
        <v>0.8571428571428571</v>
      </c>
      <c r="M420" s="70"/>
      <c r="N420" s="70"/>
      <c r="O420" s="70"/>
      <c r="P420" s="70"/>
      <c r="Q420" s="70" t="s">
        <v>2213</v>
      </c>
      <c r="R420" s="70" t="s">
        <v>2213</v>
      </c>
      <c r="S420" s="70" t="s">
        <v>2213</v>
      </c>
      <c r="T420" s="70" t="s">
        <v>2213</v>
      </c>
      <c r="U420" s="70"/>
      <c r="V420" s="70"/>
      <c r="W420" s="70"/>
      <c r="X420" s="70"/>
      <c r="Y420" s="70"/>
      <c r="Z420" s="70"/>
      <c r="AA420" s="70"/>
      <c r="AB420" s="70"/>
      <c r="AC420" s="70"/>
      <c r="AD420" s="70"/>
      <c r="AE420" s="70"/>
      <c r="AF420" s="70"/>
      <c r="AG420" s="70"/>
      <c r="AH420" s="70"/>
      <c r="AI420" s="70"/>
      <c r="AJ420" s="70"/>
      <c r="AK420" s="70"/>
      <c r="AL420" s="70"/>
      <c r="AM420" s="70"/>
      <c r="AN420" s="70"/>
      <c r="AO420" s="70"/>
      <c r="AP420" s="89"/>
      <c r="AQ420" s="89"/>
    </row>
    <row r="421" spans="1:43" s="73" customFormat="1" ht="16.899999999999999" customHeight="1" thickBot="1" x14ac:dyDescent="0.3">
      <c r="A421" t="s">
        <v>1124</v>
      </c>
      <c r="B421" s="73" t="s">
        <v>1560</v>
      </c>
      <c r="C421" s="73" t="s">
        <v>1063</v>
      </c>
      <c r="D421" s="73" t="s">
        <v>1563</v>
      </c>
      <c r="E421" s="85" t="s">
        <v>1114</v>
      </c>
      <c r="F421" s="85" t="s">
        <v>1301</v>
      </c>
      <c r="G421" s="85"/>
      <c r="H421" s="85" t="s">
        <v>1565</v>
      </c>
      <c r="I421" s="31">
        <f t="shared" si="19"/>
        <v>24</v>
      </c>
      <c r="J421" s="147" t="s">
        <v>2006</v>
      </c>
      <c r="K421" s="31">
        <f t="shared" si="20"/>
        <v>4</v>
      </c>
      <c r="L421" s="32">
        <f t="shared" si="21"/>
        <v>0.8571428571428571</v>
      </c>
      <c r="M421" s="70"/>
      <c r="N421" s="70"/>
      <c r="O421" s="70"/>
      <c r="P421" s="70"/>
      <c r="Q421" s="70" t="s">
        <v>2213</v>
      </c>
      <c r="R421" s="70" t="s">
        <v>2213</v>
      </c>
      <c r="S421" s="70" t="s">
        <v>2213</v>
      </c>
      <c r="T421" s="70" t="s">
        <v>2213</v>
      </c>
      <c r="U421" s="70"/>
      <c r="V421" s="70"/>
      <c r="W421" s="70"/>
      <c r="X421" s="70"/>
      <c r="Y421" s="70"/>
      <c r="Z421" s="70"/>
      <c r="AA421" s="70"/>
      <c r="AB421" s="70"/>
      <c r="AC421" s="70"/>
      <c r="AD421" s="70"/>
      <c r="AE421" s="70"/>
      <c r="AF421" s="70"/>
      <c r="AG421" s="70"/>
      <c r="AH421" s="70"/>
      <c r="AI421" s="70"/>
      <c r="AJ421" s="70"/>
      <c r="AK421" s="70"/>
      <c r="AL421" s="70"/>
      <c r="AM421" s="70"/>
      <c r="AN421" s="70"/>
      <c r="AO421" s="70"/>
      <c r="AP421" s="89"/>
      <c r="AQ421" s="89"/>
    </row>
    <row r="422" spans="1:43" s="73" customFormat="1" ht="16.899999999999999" customHeight="1" thickBot="1" x14ac:dyDescent="0.3">
      <c r="A422" t="s">
        <v>1124</v>
      </c>
      <c r="B422" s="73" t="s">
        <v>2254</v>
      </c>
      <c r="C422" s="73" t="s">
        <v>1063</v>
      </c>
      <c r="D422" s="73" t="s">
        <v>2255</v>
      </c>
      <c r="E422" s="85" t="s">
        <v>1114</v>
      </c>
      <c r="F422" s="85"/>
      <c r="G422" s="85"/>
      <c r="H422" s="85" t="s">
        <v>2256</v>
      </c>
      <c r="I422" s="31">
        <f t="shared" si="19"/>
        <v>23</v>
      </c>
      <c r="J422" s="147"/>
      <c r="K422" s="31">
        <f t="shared" si="20"/>
        <v>5</v>
      </c>
      <c r="L422" s="32">
        <f t="shared" si="21"/>
        <v>0.8214285714285714</v>
      </c>
      <c r="M422" s="70"/>
      <c r="N422" s="70"/>
      <c r="O422" s="70"/>
      <c r="P422" s="70" t="s">
        <v>2213</v>
      </c>
      <c r="Q422" s="70" t="s">
        <v>2213</v>
      </c>
      <c r="R422" s="70" t="s">
        <v>2213</v>
      </c>
      <c r="S422" s="70" t="s">
        <v>2213</v>
      </c>
      <c r="T422" s="70" t="s">
        <v>2213</v>
      </c>
      <c r="U422" s="70"/>
      <c r="V422" s="70"/>
      <c r="W422" s="70"/>
      <c r="X422" s="70"/>
      <c r="Y422" s="70"/>
      <c r="Z422" s="70"/>
      <c r="AA422" s="70"/>
      <c r="AB422" s="70"/>
      <c r="AC422" s="70"/>
      <c r="AD422" s="70"/>
      <c r="AE422" s="70"/>
      <c r="AF422" s="70"/>
      <c r="AG422" s="70"/>
      <c r="AH422" s="70"/>
      <c r="AI422" s="70"/>
      <c r="AJ422" s="70"/>
      <c r="AK422" s="70"/>
      <c r="AL422" s="70"/>
      <c r="AM422" s="70"/>
      <c r="AN422" s="70"/>
      <c r="AO422" s="70"/>
      <c r="AP422" s="89"/>
      <c r="AQ422" s="89"/>
    </row>
    <row r="423" spans="1:43" ht="15.75" thickBot="1" x14ac:dyDescent="0.3">
      <c r="A423" t="s">
        <v>165</v>
      </c>
      <c r="B423" t="s">
        <v>451</v>
      </c>
      <c r="C423" t="s">
        <v>1062</v>
      </c>
      <c r="D423" t="s">
        <v>452</v>
      </c>
      <c r="E423" s="30" t="s">
        <v>73</v>
      </c>
      <c r="F423" s="30" t="s">
        <v>28</v>
      </c>
      <c r="G423" s="30"/>
      <c r="H423" s="30" t="s">
        <v>810</v>
      </c>
      <c r="I423" s="31">
        <f t="shared" si="19"/>
        <v>28</v>
      </c>
      <c r="J423" s="147" t="s">
        <v>2007</v>
      </c>
      <c r="K423" s="31">
        <f t="shared" si="20"/>
        <v>0</v>
      </c>
      <c r="L423" s="32">
        <f t="shared" si="21"/>
        <v>1</v>
      </c>
      <c r="M423" s="70"/>
      <c r="N423" s="70"/>
      <c r="O423" s="70"/>
      <c r="P423" s="70"/>
      <c r="Q423" s="70"/>
      <c r="R423" s="70"/>
      <c r="S423" s="70"/>
      <c r="T423" s="70"/>
      <c r="U423" s="70"/>
      <c r="V423" s="70"/>
      <c r="W423" s="70"/>
      <c r="X423" s="70"/>
      <c r="Y423" s="70"/>
      <c r="Z423" s="70"/>
      <c r="AA423" s="70"/>
      <c r="AB423" s="70"/>
      <c r="AC423" s="70"/>
      <c r="AD423" s="70"/>
      <c r="AE423" s="70"/>
      <c r="AF423" s="70"/>
      <c r="AG423" s="70"/>
      <c r="AH423" s="70"/>
      <c r="AI423" s="70"/>
      <c r="AJ423" s="70"/>
      <c r="AK423" s="70"/>
      <c r="AL423" s="70"/>
      <c r="AM423" s="70"/>
      <c r="AN423" s="70"/>
      <c r="AO423" s="70"/>
      <c r="AP423" s="70"/>
      <c r="AQ423" s="70"/>
    </row>
    <row r="424" spans="1:43" ht="15.75" thickBot="1" x14ac:dyDescent="0.3">
      <c r="A424" t="s">
        <v>165</v>
      </c>
      <c r="B424" t="s">
        <v>453</v>
      </c>
      <c r="C424" t="s">
        <v>1062</v>
      </c>
      <c r="D424" t="s">
        <v>452</v>
      </c>
      <c r="E424" s="30" t="s">
        <v>73</v>
      </c>
      <c r="F424" s="30" t="s">
        <v>28</v>
      </c>
      <c r="G424" s="30"/>
      <c r="H424" s="30" t="s">
        <v>811</v>
      </c>
      <c r="I424" s="31">
        <f t="shared" si="19"/>
        <v>28</v>
      </c>
      <c r="J424" s="147" t="s">
        <v>2008</v>
      </c>
      <c r="K424" s="31">
        <f t="shared" si="20"/>
        <v>0</v>
      </c>
      <c r="L424" s="32">
        <f t="shared" si="21"/>
        <v>1</v>
      </c>
      <c r="M424" s="70"/>
      <c r="N424" s="70"/>
      <c r="O424" s="70"/>
      <c r="P424" s="70"/>
      <c r="Q424" s="70"/>
      <c r="R424" s="70"/>
      <c r="S424" s="70"/>
      <c r="T424" s="70"/>
      <c r="U424" s="70"/>
      <c r="V424" s="70"/>
      <c r="W424" s="70"/>
      <c r="X424" s="70"/>
      <c r="Y424" s="70"/>
      <c r="Z424" s="70"/>
      <c r="AA424" s="70"/>
      <c r="AB424" s="70"/>
      <c r="AC424" s="70"/>
      <c r="AD424" s="70"/>
      <c r="AE424" s="70"/>
      <c r="AF424" s="70"/>
      <c r="AG424" s="70"/>
      <c r="AH424" s="70"/>
      <c r="AI424" s="70"/>
      <c r="AJ424" s="70"/>
      <c r="AK424" s="70"/>
      <c r="AL424" s="70"/>
      <c r="AM424" s="70"/>
      <c r="AN424" s="70"/>
      <c r="AO424" s="70"/>
      <c r="AP424" s="70"/>
      <c r="AQ424" s="70"/>
    </row>
    <row r="425" spans="1:43" ht="15.75" thickBot="1" x14ac:dyDescent="0.3">
      <c r="A425" t="s">
        <v>165</v>
      </c>
      <c r="B425" t="s">
        <v>1017</v>
      </c>
      <c r="C425" t="s">
        <v>1062</v>
      </c>
      <c r="D425" t="s">
        <v>454</v>
      </c>
      <c r="E425" s="30" t="s">
        <v>73</v>
      </c>
      <c r="F425" s="30" t="s">
        <v>28</v>
      </c>
      <c r="G425" s="30"/>
      <c r="H425" s="30" t="s">
        <v>812</v>
      </c>
      <c r="I425" s="31">
        <f t="shared" si="19"/>
        <v>27</v>
      </c>
      <c r="J425" s="147" t="s">
        <v>2009</v>
      </c>
      <c r="K425" s="31">
        <f t="shared" si="20"/>
        <v>1</v>
      </c>
      <c r="L425" s="32">
        <f t="shared" si="21"/>
        <v>0.9642857142857143</v>
      </c>
      <c r="M425" s="70"/>
      <c r="N425" s="70"/>
      <c r="O425" s="70"/>
      <c r="P425" s="70" t="s">
        <v>2213</v>
      </c>
      <c r="Q425" s="70"/>
      <c r="R425" s="70"/>
      <c r="S425" s="70"/>
      <c r="T425" s="70"/>
      <c r="U425" s="70"/>
      <c r="V425" s="70"/>
      <c r="W425" s="70"/>
      <c r="X425" s="70"/>
      <c r="Y425" s="70"/>
      <c r="Z425" s="70"/>
      <c r="AA425" s="70"/>
      <c r="AB425" s="70"/>
      <c r="AC425" s="70"/>
      <c r="AD425" s="70"/>
      <c r="AE425" s="70"/>
      <c r="AF425" s="70"/>
      <c r="AG425" s="70"/>
      <c r="AH425" s="70"/>
      <c r="AI425" s="70"/>
      <c r="AJ425" s="70"/>
      <c r="AK425" s="70"/>
      <c r="AL425" s="70"/>
      <c r="AM425" s="70"/>
      <c r="AN425" s="70"/>
      <c r="AO425" s="70"/>
      <c r="AP425" s="70"/>
      <c r="AQ425" s="70"/>
    </row>
    <row r="426" spans="1:43" ht="15.75" thickBot="1" x14ac:dyDescent="0.3">
      <c r="A426" t="s">
        <v>165</v>
      </c>
      <c r="B426" t="s">
        <v>1018</v>
      </c>
      <c r="C426" t="s">
        <v>1062</v>
      </c>
      <c r="D426" t="s">
        <v>454</v>
      </c>
      <c r="E426" s="30" t="s">
        <v>73</v>
      </c>
      <c r="F426" s="30" t="s">
        <v>28</v>
      </c>
      <c r="G426" s="30"/>
      <c r="H426" s="30" t="s">
        <v>813</v>
      </c>
      <c r="I426" s="31">
        <f t="shared" si="19"/>
        <v>27</v>
      </c>
      <c r="J426" s="147" t="s">
        <v>2010</v>
      </c>
      <c r="K426" s="31">
        <f t="shared" si="20"/>
        <v>1</v>
      </c>
      <c r="L426" s="32">
        <f t="shared" si="21"/>
        <v>0.9642857142857143</v>
      </c>
      <c r="M426" s="70"/>
      <c r="N426" s="70"/>
      <c r="O426" s="70"/>
      <c r="P426" s="70" t="s">
        <v>2213</v>
      </c>
      <c r="Q426" s="70"/>
      <c r="R426" s="70"/>
      <c r="S426" s="70"/>
      <c r="T426" s="70"/>
      <c r="U426" s="70"/>
      <c r="V426" s="70"/>
      <c r="W426" s="70"/>
      <c r="X426" s="70"/>
      <c r="Y426" s="70"/>
      <c r="Z426" s="70"/>
      <c r="AA426" s="70"/>
      <c r="AB426" s="70"/>
      <c r="AC426" s="70"/>
      <c r="AD426" s="70"/>
      <c r="AE426" s="70"/>
      <c r="AF426" s="70"/>
      <c r="AG426" s="70"/>
      <c r="AH426" s="70"/>
      <c r="AI426" s="70"/>
      <c r="AJ426" s="70"/>
      <c r="AK426" s="70"/>
      <c r="AL426" s="70"/>
      <c r="AM426" s="70"/>
      <c r="AN426" s="70"/>
      <c r="AO426" s="70"/>
      <c r="AP426" s="70"/>
      <c r="AQ426" s="70"/>
    </row>
    <row r="427" spans="1:43" ht="15.75" thickBot="1" x14ac:dyDescent="0.3">
      <c r="A427" t="s">
        <v>455</v>
      </c>
      <c r="B427" t="s">
        <v>464</v>
      </c>
      <c r="C427" t="s">
        <v>1063</v>
      </c>
      <c r="D427" t="s">
        <v>1025</v>
      </c>
      <c r="E427" s="30" t="s">
        <v>19</v>
      </c>
      <c r="F427" s="30" t="s">
        <v>1056</v>
      </c>
      <c r="G427" s="30"/>
      <c r="H427" s="30" t="s">
        <v>1411</v>
      </c>
      <c r="I427" s="31">
        <f t="shared" si="19"/>
        <v>26</v>
      </c>
      <c r="J427" s="147" t="s">
        <v>2011</v>
      </c>
      <c r="K427" s="31">
        <f t="shared" si="20"/>
        <v>2</v>
      </c>
      <c r="L427" s="32">
        <f t="shared" si="21"/>
        <v>0.9285714285714286</v>
      </c>
      <c r="M427" s="70"/>
      <c r="N427" s="70"/>
      <c r="O427" s="70"/>
      <c r="P427" s="70" t="s">
        <v>2213</v>
      </c>
      <c r="Q427" s="70"/>
      <c r="R427" s="70"/>
      <c r="S427" s="70"/>
      <c r="T427" s="70" t="s">
        <v>2213</v>
      </c>
      <c r="U427" s="70"/>
      <c r="V427" s="70"/>
      <c r="W427" s="70"/>
      <c r="X427" s="70"/>
      <c r="Y427" s="70"/>
      <c r="Z427" s="70"/>
      <c r="AA427" s="70"/>
      <c r="AB427" s="70"/>
      <c r="AC427" s="70"/>
      <c r="AD427" s="70"/>
      <c r="AE427" s="70"/>
      <c r="AF427" s="70"/>
      <c r="AG427" s="70"/>
      <c r="AH427" s="70"/>
      <c r="AI427" s="70"/>
      <c r="AJ427" s="70"/>
      <c r="AK427" s="70"/>
      <c r="AL427" s="70"/>
      <c r="AM427" s="70"/>
      <c r="AN427" s="70"/>
      <c r="AO427" s="70"/>
      <c r="AP427" s="70"/>
      <c r="AQ427" s="70"/>
    </row>
    <row r="428" spans="1:43" ht="15.75" thickBot="1" x14ac:dyDescent="0.3">
      <c r="A428" t="s">
        <v>350</v>
      </c>
      <c r="B428" t="s">
        <v>465</v>
      </c>
      <c r="C428" t="s">
        <v>1063</v>
      </c>
      <c r="D428" t="s">
        <v>1321</v>
      </c>
      <c r="E428" s="30" t="s">
        <v>19</v>
      </c>
      <c r="F428" s="30" t="s">
        <v>1056</v>
      </c>
      <c r="G428" s="30"/>
      <c r="H428" s="30" t="s">
        <v>1412</v>
      </c>
      <c r="I428" s="31">
        <f t="shared" si="19"/>
        <v>25</v>
      </c>
      <c r="J428" s="147" t="s">
        <v>2012</v>
      </c>
      <c r="K428" s="31">
        <f t="shared" si="20"/>
        <v>3</v>
      </c>
      <c r="L428" s="32">
        <f t="shared" si="21"/>
        <v>0.8928571428571429</v>
      </c>
      <c r="M428" s="70"/>
      <c r="N428" s="70"/>
      <c r="O428" s="70"/>
      <c r="P428" s="70" t="s">
        <v>2213</v>
      </c>
      <c r="Q428" s="70" t="s">
        <v>2213</v>
      </c>
      <c r="R428" s="70"/>
      <c r="S428" s="70"/>
      <c r="T428" s="70" t="s">
        <v>2213</v>
      </c>
      <c r="U428" s="70"/>
      <c r="V428" s="70"/>
      <c r="W428" s="70"/>
      <c r="X428" s="70"/>
      <c r="Y428" s="70"/>
      <c r="Z428" s="70"/>
      <c r="AA428" s="70"/>
      <c r="AB428" s="70"/>
      <c r="AC428" s="70"/>
      <c r="AD428" s="70"/>
      <c r="AE428" s="70"/>
      <c r="AF428" s="70"/>
      <c r="AG428" s="70"/>
      <c r="AH428" s="70"/>
      <c r="AI428" s="70"/>
      <c r="AJ428" s="70"/>
      <c r="AK428" s="70"/>
      <c r="AL428" s="70"/>
      <c r="AM428" s="70"/>
      <c r="AN428" s="70"/>
      <c r="AO428" s="70"/>
      <c r="AP428" s="70"/>
      <c r="AQ428" s="70"/>
    </row>
    <row r="429" spans="1:43" s="73" customFormat="1" ht="15.75" thickBot="1" x14ac:dyDescent="0.3">
      <c r="A429" s="73" t="s">
        <v>455</v>
      </c>
      <c r="B429" s="73" t="s">
        <v>466</v>
      </c>
      <c r="C429" s="73" t="s">
        <v>1063</v>
      </c>
      <c r="D429" s="73" t="s">
        <v>467</v>
      </c>
      <c r="E429" s="85" t="s">
        <v>19</v>
      </c>
      <c r="F429" s="85" t="s">
        <v>1301</v>
      </c>
      <c r="G429" s="85"/>
      <c r="H429" s="85" t="s">
        <v>1423</v>
      </c>
      <c r="I429" s="142">
        <f t="shared" si="19"/>
        <v>28</v>
      </c>
      <c r="J429" s="147" t="s">
        <v>2013</v>
      </c>
      <c r="K429" s="142">
        <f t="shared" si="20"/>
        <v>0</v>
      </c>
      <c r="L429" s="143">
        <f t="shared" si="21"/>
        <v>1</v>
      </c>
      <c r="M429" s="70"/>
      <c r="N429" s="70"/>
      <c r="O429" s="70"/>
      <c r="P429" s="70"/>
      <c r="Q429" s="70"/>
      <c r="R429" s="70"/>
      <c r="S429" s="70"/>
      <c r="T429" s="70"/>
      <c r="U429" s="70"/>
      <c r="V429" s="70"/>
      <c r="W429" s="70"/>
      <c r="X429" s="70"/>
      <c r="Y429" s="70"/>
      <c r="Z429" s="70"/>
      <c r="AA429" s="70"/>
      <c r="AB429" s="70"/>
      <c r="AC429" s="70"/>
      <c r="AD429" s="70"/>
      <c r="AE429" s="70"/>
      <c r="AF429" s="70"/>
      <c r="AG429" s="70"/>
      <c r="AH429" s="70"/>
      <c r="AI429" s="70"/>
      <c r="AJ429" s="70"/>
      <c r="AK429" s="70"/>
      <c r="AL429" s="70"/>
      <c r="AM429" s="70"/>
      <c r="AN429" s="70"/>
      <c r="AO429" s="70"/>
      <c r="AP429" s="89"/>
      <c r="AQ429" s="89"/>
    </row>
    <row r="430" spans="1:43" s="73" customFormat="1" ht="15.75" thickBot="1" x14ac:dyDescent="0.3">
      <c r="A430" s="73" t="s">
        <v>455</v>
      </c>
      <c r="B430" s="73" t="s">
        <v>1019</v>
      </c>
      <c r="C430" s="73" t="s">
        <v>1063</v>
      </c>
      <c r="D430" s="73" t="s">
        <v>468</v>
      </c>
      <c r="E430" s="85" t="s">
        <v>19</v>
      </c>
      <c r="F430" s="85" t="s">
        <v>1301</v>
      </c>
      <c r="G430" s="85"/>
      <c r="H430" s="85" t="s">
        <v>1328</v>
      </c>
      <c r="I430" s="142">
        <f t="shared" si="19"/>
        <v>28</v>
      </c>
      <c r="J430" s="147" t="s">
        <v>2014</v>
      </c>
      <c r="K430" s="142">
        <f t="shared" si="20"/>
        <v>0</v>
      </c>
      <c r="L430" s="143">
        <f t="shared" si="21"/>
        <v>1</v>
      </c>
      <c r="M430" s="70"/>
      <c r="N430" s="70"/>
      <c r="O430" s="70"/>
      <c r="P430" s="70"/>
      <c r="Q430" s="70"/>
      <c r="R430" s="70"/>
      <c r="S430" s="70"/>
      <c r="T430" s="70"/>
      <c r="U430" s="70"/>
      <c r="V430" s="70"/>
      <c r="W430" s="70"/>
      <c r="X430" s="70"/>
      <c r="Y430" s="70"/>
      <c r="Z430" s="70"/>
      <c r="AA430" s="70"/>
      <c r="AB430" s="70"/>
      <c r="AC430" s="70"/>
      <c r="AD430" s="70"/>
      <c r="AE430" s="70"/>
      <c r="AF430" s="70"/>
      <c r="AG430" s="70"/>
      <c r="AH430" s="70"/>
      <c r="AI430" s="70"/>
      <c r="AJ430" s="70"/>
      <c r="AK430" s="70"/>
      <c r="AL430" s="70"/>
      <c r="AM430" s="70"/>
      <c r="AN430" s="70"/>
      <c r="AO430" s="70"/>
      <c r="AP430" s="89"/>
      <c r="AQ430" s="89"/>
    </row>
    <row r="431" spans="1:43" ht="15.75" thickBot="1" x14ac:dyDescent="0.3">
      <c r="A431" t="s">
        <v>455</v>
      </c>
      <c r="B431" t="s">
        <v>1026</v>
      </c>
      <c r="C431" t="s">
        <v>1063</v>
      </c>
      <c r="D431" t="s">
        <v>456</v>
      </c>
      <c r="E431" s="30" t="s">
        <v>15</v>
      </c>
      <c r="F431" s="30" t="s">
        <v>20</v>
      </c>
      <c r="G431" s="30"/>
      <c r="H431" s="30" t="s">
        <v>816</v>
      </c>
      <c r="I431" s="31">
        <f t="shared" si="19"/>
        <v>28</v>
      </c>
      <c r="J431" s="87"/>
      <c r="K431" s="31">
        <f t="shared" si="20"/>
        <v>0</v>
      </c>
      <c r="L431" s="32">
        <f t="shared" si="21"/>
        <v>1</v>
      </c>
      <c r="M431" s="70"/>
      <c r="N431" s="70"/>
      <c r="O431" s="70"/>
      <c r="P431" s="70"/>
      <c r="Q431" s="70"/>
      <c r="R431" s="70"/>
      <c r="S431" s="70"/>
      <c r="T431" s="70"/>
      <c r="U431" s="70"/>
      <c r="V431" s="70"/>
      <c r="W431" s="70"/>
      <c r="X431" s="70"/>
      <c r="Y431" s="70"/>
      <c r="Z431" s="70"/>
      <c r="AA431" s="70"/>
      <c r="AB431" s="70"/>
      <c r="AC431" s="70"/>
      <c r="AD431" s="70"/>
      <c r="AE431" s="70"/>
      <c r="AF431" s="70"/>
      <c r="AG431" s="70"/>
      <c r="AH431" s="70"/>
      <c r="AI431" s="70"/>
      <c r="AJ431" s="70"/>
      <c r="AK431" s="70"/>
      <c r="AL431" s="70"/>
      <c r="AM431" s="70"/>
      <c r="AN431" s="70"/>
      <c r="AO431" s="70"/>
      <c r="AP431" s="70"/>
      <c r="AQ431" s="70"/>
    </row>
    <row r="432" spans="1:43" ht="15.75" thickBot="1" x14ac:dyDescent="0.3">
      <c r="A432" t="s">
        <v>455</v>
      </c>
      <c r="B432" t="s">
        <v>1027</v>
      </c>
      <c r="C432" t="s">
        <v>1063</v>
      </c>
      <c r="D432" t="s">
        <v>457</v>
      </c>
      <c r="E432" s="30" t="s">
        <v>19</v>
      </c>
      <c r="F432" s="30" t="s">
        <v>28</v>
      </c>
      <c r="G432" s="30"/>
      <c r="H432" s="30" t="s">
        <v>817</v>
      </c>
      <c r="I432" s="31">
        <f t="shared" si="19"/>
        <v>20</v>
      </c>
      <c r="J432" s="147" t="s">
        <v>2015</v>
      </c>
      <c r="K432" s="31">
        <f t="shared" si="20"/>
        <v>8</v>
      </c>
      <c r="L432" s="32">
        <f t="shared" si="21"/>
        <v>0.7142857142857143</v>
      </c>
      <c r="M432" s="70" t="s">
        <v>2213</v>
      </c>
      <c r="N432" s="70" t="s">
        <v>2213</v>
      </c>
      <c r="O432" s="70" t="s">
        <v>2213</v>
      </c>
      <c r="P432" s="70" t="s">
        <v>2213</v>
      </c>
      <c r="Q432" s="70" t="s">
        <v>2213</v>
      </c>
      <c r="R432" s="70" t="s">
        <v>2213</v>
      </c>
      <c r="S432" s="70" t="s">
        <v>2213</v>
      </c>
      <c r="T432" s="70" t="s">
        <v>2213</v>
      </c>
      <c r="U432" s="70"/>
      <c r="V432" s="70"/>
      <c r="W432" s="70"/>
      <c r="X432" s="70"/>
      <c r="Y432" s="70"/>
      <c r="Z432" s="70"/>
      <c r="AA432" s="70"/>
      <c r="AB432" s="70"/>
      <c r="AC432" s="70"/>
      <c r="AD432" s="70"/>
      <c r="AE432" s="70"/>
      <c r="AF432" s="70"/>
      <c r="AG432" s="70"/>
      <c r="AH432" s="70"/>
      <c r="AI432" s="70"/>
      <c r="AJ432" s="70"/>
      <c r="AK432" s="70"/>
      <c r="AL432" s="70"/>
      <c r="AM432" s="70"/>
      <c r="AN432" s="70"/>
      <c r="AO432" s="70"/>
      <c r="AP432" s="70"/>
      <c r="AQ432" s="70"/>
    </row>
    <row r="433" spans="1:43" ht="15.75" thickBot="1" x14ac:dyDescent="0.3">
      <c r="A433" t="s">
        <v>455</v>
      </c>
      <c r="B433" t="s">
        <v>1028</v>
      </c>
      <c r="C433" t="s">
        <v>1063</v>
      </c>
      <c r="D433" t="s">
        <v>458</v>
      </c>
      <c r="E433" s="30" t="s">
        <v>19</v>
      </c>
      <c r="F433" s="30" t="s">
        <v>28</v>
      </c>
      <c r="G433" s="30"/>
      <c r="H433" s="30" t="s">
        <v>818</v>
      </c>
      <c r="I433" s="31">
        <f t="shared" si="19"/>
        <v>28</v>
      </c>
      <c r="J433" s="147" t="s">
        <v>2016</v>
      </c>
      <c r="K433" s="31">
        <f t="shared" si="20"/>
        <v>0</v>
      </c>
      <c r="L433" s="32">
        <f t="shared" si="21"/>
        <v>1</v>
      </c>
      <c r="M433" s="70"/>
      <c r="N433" s="70"/>
      <c r="O433" s="70"/>
      <c r="P433" s="70"/>
      <c r="Q433" s="70"/>
      <c r="R433" s="70"/>
      <c r="S433" s="70"/>
      <c r="T433" s="70"/>
      <c r="U433" s="70"/>
      <c r="V433" s="70"/>
      <c r="W433" s="70"/>
      <c r="X433" s="70"/>
      <c r="Y433" s="70"/>
      <c r="Z433" s="70"/>
      <c r="AA433" s="70"/>
      <c r="AB433" s="70"/>
      <c r="AC433" s="70"/>
      <c r="AD433" s="70"/>
      <c r="AE433" s="70"/>
      <c r="AF433" s="70"/>
      <c r="AG433" s="70"/>
      <c r="AH433" s="70"/>
      <c r="AI433" s="70"/>
      <c r="AJ433" s="70"/>
      <c r="AK433" s="70"/>
      <c r="AL433" s="70"/>
      <c r="AM433" s="70"/>
      <c r="AN433" s="70"/>
      <c r="AO433" s="70"/>
      <c r="AP433" s="70"/>
      <c r="AQ433" s="70"/>
    </row>
    <row r="434" spans="1:43" ht="15.75" thickBot="1" x14ac:dyDescent="0.3">
      <c r="A434" t="s">
        <v>455</v>
      </c>
      <c r="B434" t="s">
        <v>459</v>
      </c>
      <c r="C434" t="s">
        <v>1063</v>
      </c>
      <c r="D434" t="s">
        <v>460</v>
      </c>
      <c r="E434" s="30" t="s">
        <v>19</v>
      </c>
      <c r="F434" s="30" t="s">
        <v>28</v>
      </c>
      <c r="G434" s="30"/>
      <c r="H434" s="30" t="s">
        <v>819</v>
      </c>
      <c r="I434" s="31">
        <f t="shared" si="19"/>
        <v>20</v>
      </c>
      <c r="J434" s="147" t="s">
        <v>2017</v>
      </c>
      <c r="K434" s="31">
        <f t="shared" si="20"/>
        <v>8</v>
      </c>
      <c r="L434" s="32">
        <f t="shared" si="21"/>
        <v>0.7142857142857143</v>
      </c>
      <c r="M434" s="70" t="s">
        <v>2213</v>
      </c>
      <c r="N434" s="70" t="s">
        <v>2213</v>
      </c>
      <c r="O434" s="70" t="s">
        <v>2213</v>
      </c>
      <c r="P434" s="70" t="s">
        <v>2213</v>
      </c>
      <c r="Q434" s="70" t="s">
        <v>2213</v>
      </c>
      <c r="R434" s="70" t="s">
        <v>2213</v>
      </c>
      <c r="S434" s="70" t="s">
        <v>2213</v>
      </c>
      <c r="T434" s="70" t="s">
        <v>2213</v>
      </c>
      <c r="U434" s="70"/>
      <c r="V434" s="70"/>
      <c r="W434" s="70"/>
      <c r="X434" s="70"/>
      <c r="Y434" s="70"/>
      <c r="Z434" s="70"/>
      <c r="AA434" s="70"/>
      <c r="AB434" s="70"/>
      <c r="AC434" s="70"/>
      <c r="AD434" s="70"/>
      <c r="AE434" s="70"/>
      <c r="AF434" s="70"/>
      <c r="AG434" s="70"/>
      <c r="AH434" s="70"/>
      <c r="AI434" s="70"/>
      <c r="AJ434" s="70"/>
      <c r="AK434" s="70"/>
      <c r="AL434" s="70"/>
      <c r="AM434" s="70"/>
      <c r="AN434" s="70"/>
      <c r="AO434" s="70"/>
      <c r="AP434" s="70"/>
      <c r="AQ434" s="70"/>
    </row>
    <row r="435" spans="1:43" ht="15.75" thickBot="1" x14ac:dyDescent="0.3">
      <c r="A435" t="s">
        <v>455</v>
      </c>
      <c r="B435" t="s">
        <v>1029</v>
      </c>
      <c r="C435" t="s">
        <v>1063</v>
      </c>
      <c r="D435" t="s">
        <v>461</v>
      </c>
      <c r="E435" s="30" t="s">
        <v>15</v>
      </c>
      <c r="F435" s="30" t="s">
        <v>20</v>
      </c>
      <c r="G435" s="30"/>
      <c r="H435" s="30" t="s">
        <v>801</v>
      </c>
      <c r="I435" s="31">
        <f t="shared" si="19"/>
        <v>24</v>
      </c>
      <c r="J435" s="87"/>
      <c r="K435" s="31">
        <f t="shared" si="20"/>
        <v>4</v>
      </c>
      <c r="L435" s="32">
        <f t="shared" si="21"/>
        <v>0.8571428571428571</v>
      </c>
      <c r="M435" s="70" t="s">
        <v>2213</v>
      </c>
      <c r="N435" s="70" t="s">
        <v>2213</v>
      </c>
      <c r="O435" s="70" t="s">
        <v>2213</v>
      </c>
      <c r="P435" s="70" t="s">
        <v>2213</v>
      </c>
      <c r="Q435" s="70"/>
      <c r="R435" s="70"/>
      <c r="S435" s="70"/>
      <c r="T435" s="70"/>
      <c r="U435" s="70"/>
      <c r="V435" s="70"/>
      <c r="W435" s="70"/>
      <c r="X435" s="70"/>
      <c r="Y435" s="70"/>
      <c r="Z435" s="70"/>
      <c r="AA435" s="70"/>
      <c r="AB435" s="70"/>
      <c r="AC435" s="70"/>
      <c r="AD435" s="70"/>
      <c r="AE435" s="70"/>
      <c r="AF435" s="70"/>
      <c r="AG435" s="70"/>
      <c r="AH435" s="70"/>
      <c r="AI435" s="70"/>
      <c r="AJ435" s="70"/>
      <c r="AK435" s="70"/>
      <c r="AL435" s="70"/>
      <c r="AM435" s="70"/>
      <c r="AN435" s="70"/>
      <c r="AO435" s="70"/>
      <c r="AP435" s="70"/>
      <c r="AQ435" s="70"/>
    </row>
    <row r="436" spans="1:43" ht="15.75" thickBot="1" x14ac:dyDescent="0.3">
      <c r="A436" t="s">
        <v>455</v>
      </c>
      <c r="B436" t="s">
        <v>1030</v>
      </c>
      <c r="C436" t="s">
        <v>1063</v>
      </c>
      <c r="D436" t="s">
        <v>462</v>
      </c>
      <c r="E436" s="30" t="s">
        <v>15</v>
      </c>
      <c r="F436" s="30" t="s">
        <v>20</v>
      </c>
      <c r="G436" s="30"/>
      <c r="H436" s="30" t="s">
        <v>820</v>
      </c>
      <c r="I436" s="31">
        <f t="shared" si="19"/>
        <v>27</v>
      </c>
      <c r="J436" s="87"/>
      <c r="K436" s="31">
        <f t="shared" si="20"/>
        <v>1</v>
      </c>
      <c r="L436" s="32">
        <f t="shared" si="21"/>
        <v>0.9642857142857143</v>
      </c>
      <c r="M436" s="70"/>
      <c r="N436" s="70"/>
      <c r="O436" s="70"/>
      <c r="P436" s="70" t="s">
        <v>2213</v>
      </c>
      <c r="Q436" s="70"/>
      <c r="R436" s="70"/>
      <c r="S436" s="70"/>
      <c r="T436" s="70"/>
      <c r="U436" s="70"/>
      <c r="V436" s="70"/>
      <c r="W436" s="70"/>
      <c r="X436" s="70"/>
      <c r="Y436" s="70"/>
      <c r="Z436" s="70"/>
      <c r="AA436" s="70"/>
      <c r="AB436" s="70"/>
      <c r="AC436" s="70"/>
      <c r="AD436" s="70"/>
      <c r="AE436" s="70"/>
      <c r="AF436" s="70"/>
      <c r="AG436" s="70"/>
      <c r="AH436" s="70"/>
      <c r="AI436" s="70"/>
      <c r="AJ436" s="70"/>
      <c r="AK436" s="70"/>
      <c r="AL436" s="70"/>
      <c r="AM436" s="70"/>
      <c r="AN436" s="70"/>
      <c r="AO436" s="70"/>
      <c r="AP436" s="70"/>
      <c r="AQ436" s="70"/>
    </row>
    <row r="437" spans="1:43" ht="15.75" thickBot="1" x14ac:dyDescent="0.3">
      <c r="A437" t="s">
        <v>455</v>
      </c>
      <c r="B437" t="s">
        <v>1020</v>
      </c>
      <c r="C437" t="s">
        <v>1063</v>
      </c>
      <c r="D437" t="s">
        <v>469</v>
      </c>
      <c r="E437" s="30" t="s">
        <v>15</v>
      </c>
      <c r="F437" s="30" t="s">
        <v>20</v>
      </c>
      <c r="G437" s="30"/>
      <c r="H437" s="30" t="s">
        <v>814</v>
      </c>
      <c r="I437" s="31">
        <f t="shared" si="19"/>
        <v>28</v>
      </c>
      <c r="J437" s="87"/>
      <c r="K437" s="31">
        <f t="shared" si="20"/>
        <v>0</v>
      </c>
      <c r="L437" s="32">
        <f t="shared" si="21"/>
        <v>1</v>
      </c>
      <c r="M437" s="70"/>
      <c r="N437" s="70"/>
      <c r="O437" s="70"/>
      <c r="P437" s="70"/>
      <c r="Q437" s="70"/>
      <c r="R437" s="70"/>
      <c r="S437" s="70"/>
      <c r="T437" s="70"/>
      <c r="U437" s="70"/>
      <c r="V437" s="70"/>
      <c r="W437" s="70"/>
      <c r="X437" s="70"/>
      <c r="Y437" s="70"/>
      <c r="Z437" s="70"/>
      <c r="AA437" s="70"/>
      <c r="AB437" s="70"/>
      <c r="AC437" s="70"/>
      <c r="AD437" s="70"/>
      <c r="AE437" s="70"/>
      <c r="AF437" s="70"/>
      <c r="AG437" s="70"/>
      <c r="AH437" s="70"/>
      <c r="AI437" s="70"/>
      <c r="AJ437" s="70"/>
      <c r="AK437" s="70"/>
      <c r="AL437" s="70"/>
      <c r="AM437" s="70"/>
      <c r="AN437" s="70"/>
      <c r="AO437" s="70"/>
      <c r="AP437" s="70"/>
      <c r="AQ437" s="70"/>
    </row>
    <row r="438" spans="1:43" ht="15.75" thickBot="1" x14ac:dyDescent="0.3">
      <c r="A438" t="s">
        <v>455</v>
      </c>
      <c r="B438" t="s">
        <v>470</v>
      </c>
      <c r="C438" t="s">
        <v>1063</v>
      </c>
      <c r="D438" t="s">
        <v>471</v>
      </c>
      <c r="E438" s="30" t="s">
        <v>15</v>
      </c>
      <c r="F438" s="30" t="s">
        <v>20</v>
      </c>
      <c r="G438" s="30"/>
      <c r="H438" s="30" t="s">
        <v>815</v>
      </c>
      <c r="I438" s="31">
        <f t="shared" si="19"/>
        <v>20</v>
      </c>
      <c r="J438" s="87"/>
      <c r="K438" s="31">
        <f t="shared" si="20"/>
        <v>8</v>
      </c>
      <c r="L438" s="32">
        <f t="shared" si="21"/>
        <v>0.7142857142857143</v>
      </c>
      <c r="M438" s="70" t="s">
        <v>2213</v>
      </c>
      <c r="N438" s="70" t="s">
        <v>2213</v>
      </c>
      <c r="O438" s="70" t="s">
        <v>2213</v>
      </c>
      <c r="P438" s="70" t="s">
        <v>2213</v>
      </c>
      <c r="Q438" s="70" t="s">
        <v>2213</v>
      </c>
      <c r="R438" s="70" t="s">
        <v>2213</v>
      </c>
      <c r="S438" s="70" t="s">
        <v>2213</v>
      </c>
      <c r="T438" s="70" t="s">
        <v>2213</v>
      </c>
      <c r="U438" s="70"/>
      <c r="V438" s="70"/>
      <c r="W438" s="70"/>
      <c r="X438" s="70"/>
      <c r="Y438" s="70"/>
      <c r="Z438" s="70"/>
      <c r="AA438" s="70"/>
      <c r="AB438" s="70"/>
      <c r="AC438" s="70"/>
      <c r="AD438" s="70"/>
      <c r="AE438" s="70"/>
      <c r="AF438" s="70"/>
      <c r="AG438" s="70"/>
      <c r="AH438" s="70"/>
      <c r="AI438" s="70"/>
      <c r="AJ438" s="70"/>
      <c r="AK438" s="70"/>
      <c r="AL438" s="70"/>
      <c r="AM438" s="70"/>
      <c r="AN438" s="70"/>
      <c r="AO438" s="70"/>
      <c r="AP438" s="70"/>
      <c r="AQ438" s="70"/>
    </row>
    <row r="439" spans="1:43" ht="15.75" thickBot="1" x14ac:dyDescent="0.3">
      <c r="A439" t="s">
        <v>350</v>
      </c>
      <c r="B439" t="s">
        <v>1021</v>
      </c>
      <c r="C439" t="s">
        <v>1063</v>
      </c>
      <c r="D439" t="s">
        <v>472</v>
      </c>
      <c r="E439" s="30" t="s">
        <v>73</v>
      </c>
      <c r="F439" s="30" t="s">
        <v>1056</v>
      </c>
      <c r="G439" s="30"/>
      <c r="H439" s="30" t="s">
        <v>1413</v>
      </c>
      <c r="I439" s="31">
        <f t="shared" si="19"/>
        <v>23</v>
      </c>
      <c r="J439" s="147" t="s">
        <v>2018</v>
      </c>
      <c r="K439" s="31">
        <f t="shared" si="20"/>
        <v>5</v>
      </c>
      <c r="L439" s="32">
        <f t="shared" si="21"/>
        <v>0.8214285714285714</v>
      </c>
      <c r="M439" s="70"/>
      <c r="N439" s="70"/>
      <c r="O439" s="70"/>
      <c r="P439" s="70" t="s">
        <v>2213</v>
      </c>
      <c r="Q439" s="70" t="s">
        <v>2213</v>
      </c>
      <c r="R439" s="70" t="s">
        <v>2213</v>
      </c>
      <c r="S439" s="70" t="s">
        <v>2213</v>
      </c>
      <c r="T439" s="70" t="s">
        <v>2213</v>
      </c>
      <c r="U439" s="70"/>
      <c r="V439" s="70"/>
      <c r="W439" s="70"/>
      <c r="X439" s="70"/>
      <c r="Y439" s="70"/>
      <c r="Z439" s="70"/>
      <c r="AA439" s="70"/>
      <c r="AB439" s="70"/>
      <c r="AC439" s="70"/>
      <c r="AD439" s="70"/>
      <c r="AE439" s="70"/>
      <c r="AF439" s="70"/>
      <c r="AG439" s="70"/>
      <c r="AH439" s="70"/>
      <c r="AI439" s="70"/>
      <c r="AJ439" s="70"/>
      <c r="AK439" s="70"/>
      <c r="AL439" s="70"/>
      <c r="AM439" s="70"/>
      <c r="AN439" s="70"/>
      <c r="AO439" s="70"/>
      <c r="AP439" s="70"/>
      <c r="AQ439" s="70"/>
    </row>
    <row r="440" spans="1:43" ht="15.75" thickBot="1" x14ac:dyDescent="0.3">
      <c r="A440" t="s">
        <v>350</v>
      </c>
      <c r="B440" t="s">
        <v>1022</v>
      </c>
      <c r="C440" t="s">
        <v>1063</v>
      </c>
      <c r="D440" t="s">
        <v>472</v>
      </c>
      <c r="E440" s="30" t="s">
        <v>73</v>
      </c>
      <c r="F440" s="30" t="s">
        <v>1056</v>
      </c>
      <c r="G440" s="30"/>
      <c r="H440" s="30" t="s">
        <v>1414</v>
      </c>
      <c r="I440" s="31">
        <f t="shared" si="19"/>
        <v>20</v>
      </c>
      <c r="J440" s="147" t="s">
        <v>2019</v>
      </c>
      <c r="K440" s="31">
        <f t="shared" si="20"/>
        <v>8</v>
      </c>
      <c r="L440" s="32">
        <f t="shared" si="21"/>
        <v>0.7142857142857143</v>
      </c>
      <c r="M440" s="70" t="s">
        <v>2213</v>
      </c>
      <c r="N440" s="70" t="s">
        <v>2213</v>
      </c>
      <c r="O440" s="70" t="s">
        <v>2213</v>
      </c>
      <c r="P440" s="70" t="s">
        <v>2213</v>
      </c>
      <c r="Q440" s="70" t="s">
        <v>2213</v>
      </c>
      <c r="R440" s="70" t="s">
        <v>2213</v>
      </c>
      <c r="S440" s="70" t="s">
        <v>2213</v>
      </c>
      <c r="T440" s="70" t="s">
        <v>2213</v>
      </c>
      <c r="U440" s="70"/>
      <c r="V440" s="70"/>
      <c r="W440" s="70"/>
      <c r="X440" s="70"/>
      <c r="Y440" s="70"/>
      <c r="Z440" s="70"/>
      <c r="AA440" s="70"/>
      <c r="AB440" s="70"/>
      <c r="AC440" s="70"/>
      <c r="AD440" s="70"/>
      <c r="AE440" s="70"/>
      <c r="AF440" s="70"/>
      <c r="AG440" s="70"/>
      <c r="AH440" s="70"/>
      <c r="AI440" s="70"/>
      <c r="AJ440" s="70"/>
      <c r="AK440" s="70"/>
      <c r="AL440" s="70"/>
      <c r="AM440" s="70"/>
      <c r="AN440" s="70"/>
      <c r="AO440" s="70"/>
      <c r="AP440" s="70"/>
      <c r="AQ440" s="70"/>
    </row>
    <row r="441" spans="1:43" s="73" customFormat="1" ht="15.75" thickBot="1" x14ac:dyDescent="0.3">
      <c r="A441" s="73" t="s">
        <v>455</v>
      </c>
      <c r="B441" s="73" t="s">
        <v>473</v>
      </c>
      <c r="C441" s="73" t="s">
        <v>1063</v>
      </c>
      <c r="D441" s="73" t="s">
        <v>474</v>
      </c>
      <c r="E441" s="85" t="s">
        <v>15</v>
      </c>
      <c r="F441" s="85" t="s">
        <v>1301</v>
      </c>
      <c r="G441" s="85"/>
      <c r="H441" s="85" t="s">
        <v>821</v>
      </c>
      <c r="I441" s="142">
        <f t="shared" si="19"/>
        <v>28</v>
      </c>
      <c r="J441" s="147" t="s">
        <v>2020</v>
      </c>
      <c r="K441" s="142">
        <f t="shared" si="20"/>
        <v>0</v>
      </c>
      <c r="L441" s="143">
        <f t="shared" si="21"/>
        <v>1</v>
      </c>
      <c r="M441" s="70"/>
      <c r="N441" s="70"/>
      <c r="O441" s="70"/>
      <c r="P441" s="70"/>
      <c r="Q441" s="70"/>
      <c r="R441" s="70"/>
      <c r="S441" s="70"/>
      <c r="T441" s="70"/>
      <c r="U441" s="70"/>
      <c r="V441" s="70"/>
      <c r="W441" s="70"/>
      <c r="X441" s="70"/>
      <c r="Y441" s="70"/>
      <c r="Z441" s="70"/>
      <c r="AA441" s="70"/>
      <c r="AB441" s="70"/>
      <c r="AC441" s="70"/>
      <c r="AD441" s="70"/>
      <c r="AE441" s="70"/>
      <c r="AF441" s="70"/>
      <c r="AG441" s="70"/>
      <c r="AH441" s="70"/>
      <c r="AI441" s="70"/>
      <c r="AJ441" s="70"/>
      <c r="AK441" s="70"/>
      <c r="AL441" s="70"/>
      <c r="AM441" s="70"/>
      <c r="AN441" s="70"/>
      <c r="AO441" s="70"/>
      <c r="AP441" s="89"/>
      <c r="AQ441" s="89"/>
    </row>
    <row r="442" spans="1:43" s="73" customFormat="1" ht="15.75" thickBot="1" x14ac:dyDescent="0.3">
      <c r="A442" s="73" t="s">
        <v>455</v>
      </c>
      <c r="B442" s="73" t="s">
        <v>1031</v>
      </c>
      <c r="C442" s="73" t="s">
        <v>1063</v>
      </c>
      <c r="D442" s="73" t="s">
        <v>463</v>
      </c>
      <c r="E442" s="85" t="s">
        <v>73</v>
      </c>
      <c r="F442" s="85" t="s">
        <v>1301</v>
      </c>
      <c r="G442" s="85"/>
      <c r="H442" s="85" t="s">
        <v>822</v>
      </c>
      <c r="I442" s="142">
        <f t="shared" si="19"/>
        <v>28</v>
      </c>
      <c r="J442" s="147" t="s">
        <v>2021</v>
      </c>
      <c r="K442" s="142">
        <f t="shared" si="20"/>
        <v>0</v>
      </c>
      <c r="L442" s="143">
        <f t="shared" si="21"/>
        <v>1</v>
      </c>
      <c r="M442" s="70"/>
      <c r="N442" s="70"/>
      <c r="O442" s="70"/>
      <c r="P442" s="70"/>
      <c r="Q442" s="70"/>
      <c r="R442" s="70"/>
      <c r="S442" s="70"/>
      <c r="T442" s="70"/>
      <c r="U442" s="70"/>
      <c r="V442" s="70"/>
      <c r="W442" s="70"/>
      <c r="X442" s="70"/>
      <c r="Y442" s="70"/>
      <c r="Z442" s="70"/>
      <c r="AA442" s="70"/>
      <c r="AB442" s="70"/>
      <c r="AC442" s="70"/>
      <c r="AD442" s="70"/>
      <c r="AE442" s="70"/>
      <c r="AF442" s="70"/>
      <c r="AG442" s="70"/>
      <c r="AH442" s="70"/>
      <c r="AI442" s="70"/>
      <c r="AJ442" s="70"/>
      <c r="AK442" s="70"/>
      <c r="AL442" s="70"/>
      <c r="AM442" s="70"/>
      <c r="AN442" s="70"/>
      <c r="AO442" s="70"/>
      <c r="AP442" s="89"/>
      <c r="AQ442" s="89"/>
    </row>
    <row r="443" spans="1:43" s="73" customFormat="1" ht="15.75" thickBot="1" x14ac:dyDescent="0.3">
      <c r="A443" s="73" t="s">
        <v>455</v>
      </c>
      <c r="B443" s="73" t="s">
        <v>1032</v>
      </c>
      <c r="C443" s="73" t="s">
        <v>1063</v>
      </c>
      <c r="D443" s="73" t="s">
        <v>463</v>
      </c>
      <c r="E443" s="85" t="s">
        <v>73</v>
      </c>
      <c r="F443" s="85" t="s">
        <v>1301</v>
      </c>
      <c r="G443" s="85"/>
      <c r="H443" s="85" t="s">
        <v>823</v>
      </c>
      <c r="I443" s="142">
        <f t="shared" si="19"/>
        <v>28</v>
      </c>
      <c r="J443" s="147" t="s">
        <v>2022</v>
      </c>
      <c r="K443" s="142">
        <f t="shared" si="20"/>
        <v>0</v>
      </c>
      <c r="L443" s="143">
        <f t="shared" si="21"/>
        <v>1</v>
      </c>
      <c r="M443" s="70"/>
      <c r="N443" s="70"/>
      <c r="O443" s="70"/>
      <c r="P443" s="70"/>
      <c r="Q443" s="70"/>
      <c r="R443" s="70"/>
      <c r="S443" s="70"/>
      <c r="T443" s="70"/>
      <c r="U443" s="70"/>
      <c r="V443" s="70"/>
      <c r="W443" s="70"/>
      <c r="X443" s="70"/>
      <c r="Y443" s="70"/>
      <c r="Z443" s="70"/>
      <c r="AA443" s="70"/>
      <c r="AB443" s="70"/>
      <c r="AC443" s="70"/>
      <c r="AD443" s="70"/>
      <c r="AE443" s="70"/>
      <c r="AF443" s="70"/>
      <c r="AG443" s="70"/>
      <c r="AH443" s="70"/>
      <c r="AI443" s="70"/>
      <c r="AJ443" s="70"/>
      <c r="AK443" s="70"/>
      <c r="AL443" s="70"/>
      <c r="AM443" s="70"/>
      <c r="AN443" s="70"/>
      <c r="AO443" s="70"/>
      <c r="AP443" s="89"/>
      <c r="AQ443" s="89"/>
    </row>
    <row r="444" spans="1:43" ht="15.75" thickBot="1" x14ac:dyDescent="0.3">
      <c r="A444" t="s">
        <v>455</v>
      </c>
      <c r="B444" t="s">
        <v>1023</v>
      </c>
      <c r="C444" t="s">
        <v>1063</v>
      </c>
      <c r="D444" t="s">
        <v>475</v>
      </c>
      <c r="E444" s="30" t="s">
        <v>73</v>
      </c>
      <c r="F444" s="30" t="s">
        <v>28</v>
      </c>
      <c r="G444" s="30"/>
      <c r="H444" s="30" t="s">
        <v>824</v>
      </c>
      <c r="I444" s="31">
        <f t="shared" si="19"/>
        <v>26</v>
      </c>
      <c r="J444" s="147" t="s">
        <v>2023</v>
      </c>
      <c r="K444" s="31">
        <f t="shared" si="20"/>
        <v>2</v>
      </c>
      <c r="L444" s="32">
        <f t="shared" si="21"/>
        <v>0.9285714285714286</v>
      </c>
      <c r="M444" s="70"/>
      <c r="N444" s="70"/>
      <c r="O444" s="70"/>
      <c r="P444" s="70" t="s">
        <v>2213</v>
      </c>
      <c r="Q444" s="70"/>
      <c r="R444" s="70"/>
      <c r="S444" s="70"/>
      <c r="T444" s="70" t="s">
        <v>2213</v>
      </c>
      <c r="U444" s="70"/>
      <c r="V444" s="70"/>
      <c r="W444" s="70"/>
      <c r="X444" s="70"/>
      <c r="Y444" s="70"/>
      <c r="Z444" s="70"/>
      <c r="AA444" s="70"/>
      <c r="AB444" s="70"/>
      <c r="AC444" s="70"/>
      <c r="AD444" s="70"/>
      <c r="AE444" s="70"/>
      <c r="AF444" s="70"/>
      <c r="AG444" s="70"/>
      <c r="AH444" s="70"/>
      <c r="AI444" s="70"/>
      <c r="AJ444" s="70"/>
      <c r="AK444" s="70"/>
      <c r="AL444" s="70"/>
      <c r="AM444" s="70"/>
      <c r="AN444" s="70"/>
      <c r="AO444" s="70"/>
      <c r="AP444" s="70"/>
      <c r="AQ444" s="70"/>
    </row>
    <row r="445" spans="1:43" ht="15.75" thickBot="1" x14ac:dyDescent="0.3">
      <c r="A445" t="s">
        <v>455</v>
      </c>
      <c r="B445" t="s">
        <v>1024</v>
      </c>
      <c r="C445" t="s">
        <v>1063</v>
      </c>
      <c r="D445" t="s">
        <v>475</v>
      </c>
      <c r="E445" s="30" t="s">
        <v>73</v>
      </c>
      <c r="F445" s="30" t="s">
        <v>28</v>
      </c>
      <c r="G445" s="30"/>
      <c r="H445" s="30" t="s">
        <v>825</v>
      </c>
      <c r="I445" s="31">
        <f t="shared" si="19"/>
        <v>26</v>
      </c>
      <c r="J445" s="147" t="s">
        <v>2024</v>
      </c>
      <c r="K445" s="31">
        <f t="shared" si="20"/>
        <v>2</v>
      </c>
      <c r="L445" s="32">
        <f t="shared" si="21"/>
        <v>0.9285714285714286</v>
      </c>
      <c r="M445" s="70"/>
      <c r="N445" s="70"/>
      <c r="O445" s="70"/>
      <c r="P445" s="70" t="s">
        <v>2213</v>
      </c>
      <c r="Q445" s="70"/>
      <c r="R445" s="70"/>
      <c r="S445" s="70"/>
      <c r="T445" s="70" t="s">
        <v>2213</v>
      </c>
      <c r="U445" s="70"/>
      <c r="V445" s="70"/>
      <c r="W445" s="70"/>
      <c r="X445" s="70"/>
      <c r="Y445" s="70"/>
      <c r="Z445" s="70"/>
      <c r="AA445" s="70"/>
      <c r="AB445" s="70"/>
      <c r="AC445" s="70"/>
      <c r="AD445" s="70"/>
      <c r="AE445" s="70"/>
      <c r="AF445" s="70"/>
      <c r="AG445" s="70"/>
      <c r="AH445" s="70"/>
      <c r="AI445" s="70"/>
      <c r="AJ445" s="70"/>
      <c r="AK445" s="70"/>
      <c r="AL445" s="70"/>
      <c r="AM445" s="70"/>
      <c r="AN445" s="70"/>
      <c r="AO445" s="70"/>
      <c r="AP445" s="70"/>
      <c r="AQ445" s="70"/>
    </row>
    <row r="446" spans="1:43" ht="15.75" thickBot="1" x14ac:dyDescent="0.3">
      <c r="A446" t="s">
        <v>455</v>
      </c>
      <c r="B446" s="30" t="s">
        <v>1288</v>
      </c>
      <c r="C446" t="s">
        <v>1063</v>
      </c>
      <c r="D446" s="68" t="s">
        <v>1287</v>
      </c>
      <c r="E446" s="30" t="s">
        <v>73</v>
      </c>
      <c r="F446" s="30" t="s">
        <v>28</v>
      </c>
      <c r="G446" s="30"/>
      <c r="H446" s="30" t="s">
        <v>1289</v>
      </c>
      <c r="I446" s="31">
        <f t="shared" si="19"/>
        <v>20</v>
      </c>
      <c r="J446" s="147" t="s">
        <v>2025</v>
      </c>
      <c r="K446" s="31">
        <f t="shared" si="20"/>
        <v>8</v>
      </c>
      <c r="L446" s="32">
        <f t="shared" si="21"/>
        <v>0.7142857142857143</v>
      </c>
      <c r="M446" s="70" t="s">
        <v>2213</v>
      </c>
      <c r="N446" s="70" t="s">
        <v>2213</v>
      </c>
      <c r="O446" s="70" t="s">
        <v>2213</v>
      </c>
      <c r="P446" s="70" t="s">
        <v>2213</v>
      </c>
      <c r="Q446" s="70" t="s">
        <v>2213</v>
      </c>
      <c r="R446" s="70" t="s">
        <v>2213</v>
      </c>
      <c r="S446" s="70" t="s">
        <v>2213</v>
      </c>
      <c r="T446" s="70" t="s">
        <v>2213</v>
      </c>
      <c r="U446" s="70"/>
      <c r="V446" s="70"/>
      <c r="W446" s="70"/>
      <c r="X446" s="70"/>
      <c r="Y446" s="70"/>
      <c r="Z446" s="70"/>
      <c r="AA446" s="70"/>
      <c r="AB446" s="70"/>
      <c r="AC446" s="70"/>
      <c r="AD446" s="70"/>
      <c r="AE446" s="70"/>
      <c r="AF446" s="70"/>
      <c r="AG446" s="70"/>
      <c r="AH446" s="70"/>
      <c r="AI446" s="70"/>
      <c r="AJ446" s="70"/>
      <c r="AK446" s="70"/>
      <c r="AL446" s="70"/>
      <c r="AM446" s="70"/>
      <c r="AN446" s="70"/>
      <c r="AO446" s="70"/>
      <c r="AP446" s="70"/>
      <c r="AQ446" s="70"/>
    </row>
    <row r="447" spans="1:43" ht="15.75" thickBot="1" x14ac:dyDescent="0.3">
      <c r="A447" t="s">
        <v>455</v>
      </c>
      <c r="B447" t="s">
        <v>1286</v>
      </c>
      <c r="C447" t="s">
        <v>1063</v>
      </c>
      <c r="D447" s="68" t="s">
        <v>1287</v>
      </c>
      <c r="E447" s="30" t="s">
        <v>73</v>
      </c>
      <c r="F447" s="30" t="s">
        <v>28</v>
      </c>
      <c r="G447" s="30"/>
      <c r="H447" s="30" t="s">
        <v>1290</v>
      </c>
      <c r="I447" s="31">
        <f t="shared" si="19"/>
        <v>20</v>
      </c>
      <c r="J447" s="147" t="s">
        <v>2026</v>
      </c>
      <c r="K447" s="31">
        <f t="shared" si="20"/>
        <v>8</v>
      </c>
      <c r="L447" s="32">
        <f t="shared" si="21"/>
        <v>0.7142857142857143</v>
      </c>
      <c r="M447" s="70" t="s">
        <v>2213</v>
      </c>
      <c r="N447" s="70" t="s">
        <v>2213</v>
      </c>
      <c r="O447" s="70" t="s">
        <v>2213</v>
      </c>
      <c r="P447" s="70" t="s">
        <v>2213</v>
      </c>
      <c r="Q447" s="70" t="s">
        <v>2213</v>
      </c>
      <c r="R447" s="70" t="s">
        <v>2213</v>
      </c>
      <c r="S447" s="70" t="s">
        <v>2213</v>
      </c>
      <c r="T447" s="70" t="s">
        <v>2213</v>
      </c>
      <c r="U447" s="70"/>
      <c r="V447" s="70"/>
      <c r="W447" s="70"/>
      <c r="X447" s="70"/>
      <c r="Y447" s="70"/>
      <c r="Z447" s="70"/>
      <c r="AA447" s="70"/>
      <c r="AB447" s="70"/>
      <c r="AC447" s="70"/>
      <c r="AD447" s="70"/>
      <c r="AE447" s="70"/>
      <c r="AF447" s="70"/>
      <c r="AG447" s="70"/>
      <c r="AH447" s="70"/>
      <c r="AI447" s="70"/>
      <c r="AJ447" s="70"/>
      <c r="AK447" s="70"/>
      <c r="AL447" s="70"/>
      <c r="AM447" s="70"/>
      <c r="AN447" s="70"/>
      <c r="AO447" s="70"/>
      <c r="AP447" s="70"/>
      <c r="AQ447" s="70"/>
    </row>
    <row r="448" spans="1:43" s="73" customFormat="1" ht="15.75" thickBot="1" x14ac:dyDescent="0.3">
      <c r="A448" s="73" t="s">
        <v>1605</v>
      </c>
      <c r="B448" s="73" t="s">
        <v>1606</v>
      </c>
      <c r="C448" s="73" t="s">
        <v>1063</v>
      </c>
      <c r="D448" s="146" t="s">
        <v>1607</v>
      </c>
      <c r="E448" s="85" t="s">
        <v>15</v>
      </c>
      <c r="F448" s="85" t="s">
        <v>1301</v>
      </c>
      <c r="G448" s="85"/>
      <c r="H448" s="85" t="s">
        <v>1608</v>
      </c>
      <c r="I448" s="31">
        <f t="shared" si="19"/>
        <v>28</v>
      </c>
      <c r="J448" s="87"/>
      <c r="K448" s="31">
        <f t="shared" si="20"/>
        <v>0</v>
      </c>
      <c r="L448" s="32">
        <f t="shared" si="21"/>
        <v>1</v>
      </c>
      <c r="M448" s="70"/>
      <c r="N448" s="70"/>
      <c r="O448" s="70"/>
      <c r="P448" s="70"/>
      <c r="Q448" s="70"/>
      <c r="R448" s="70"/>
      <c r="S448" s="70"/>
      <c r="T448" s="70"/>
      <c r="U448" s="70"/>
      <c r="V448" s="70"/>
      <c r="W448" s="70"/>
      <c r="X448" s="70"/>
      <c r="Y448" s="70"/>
      <c r="Z448" s="70"/>
      <c r="AA448" s="70"/>
      <c r="AB448" s="70"/>
      <c r="AC448" s="70"/>
      <c r="AD448" s="70"/>
      <c r="AE448" s="70"/>
      <c r="AF448" s="70"/>
      <c r="AG448" s="70"/>
      <c r="AH448" s="70"/>
      <c r="AI448" s="70"/>
      <c r="AJ448" s="70"/>
      <c r="AK448" s="70"/>
      <c r="AL448" s="70"/>
      <c r="AM448" s="70"/>
      <c r="AN448" s="70"/>
      <c r="AO448" s="70"/>
      <c r="AP448" s="89"/>
      <c r="AQ448" s="89"/>
    </row>
    <row r="449" spans="1:43" s="73" customFormat="1" ht="15.75" thickBot="1" x14ac:dyDescent="0.3">
      <c r="A449" s="73" t="s">
        <v>1605</v>
      </c>
      <c r="B449" s="73" t="s">
        <v>1617</v>
      </c>
      <c r="C449" s="73" t="s">
        <v>1063</v>
      </c>
      <c r="D449" s="146" t="s">
        <v>1618</v>
      </c>
      <c r="E449" s="85" t="s">
        <v>19</v>
      </c>
      <c r="F449" s="85" t="s">
        <v>1301</v>
      </c>
      <c r="G449" s="85"/>
      <c r="H449" s="85" t="s">
        <v>1619</v>
      </c>
      <c r="I449" s="31">
        <f t="shared" si="19"/>
        <v>28</v>
      </c>
      <c r="J449" s="87"/>
      <c r="K449" s="31">
        <f t="shared" si="20"/>
        <v>0</v>
      </c>
      <c r="L449" s="32">
        <f t="shared" si="21"/>
        <v>1</v>
      </c>
      <c r="M449" s="70"/>
      <c r="N449" s="70"/>
      <c r="O449" s="70"/>
      <c r="P449" s="70"/>
      <c r="Q449" s="70"/>
      <c r="R449" s="70"/>
      <c r="S449" s="70"/>
      <c r="T449" s="70"/>
      <c r="U449" s="70"/>
      <c r="V449" s="70"/>
      <c r="W449" s="70"/>
      <c r="X449" s="70"/>
      <c r="Y449" s="70"/>
      <c r="Z449" s="70"/>
      <c r="AA449" s="70"/>
      <c r="AB449" s="70"/>
      <c r="AC449" s="70"/>
      <c r="AD449" s="70"/>
      <c r="AE449" s="70"/>
      <c r="AF449" s="70"/>
      <c r="AG449" s="70"/>
      <c r="AH449" s="70"/>
      <c r="AI449" s="70"/>
      <c r="AJ449" s="70"/>
      <c r="AK449" s="70"/>
      <c r="AL449" s="70"/>
      <c r="AM449" s="70"/>
      <c r="AN449" s="70"/>
      <c r="AO449" s="70"/>
      <c r="AP449" s="89"/>
      <c r="AQ449" s="89"/>
    </row>
    <row r="450" spans="1:43" s="73" customFormat="1" ht="15.75" thickBot="1" x14ac:dyDescent="0.3">
      <c r="A450" s="73" t="s">
        <v>1611</v>
      </c>
      <c r="B450" s="73" t="s">
        <v>1610</v>
      </c>
      <c r="C450" s="73" t="s">
        <v>1063</v>
      </c>
      <c r="D450" s="146" t="s">
        <v>1612</v>
      </c>
      <c r="E450" s="85" t="s">
        <v>73</v>
      </c>
      <c r="F450" s="85" t="s">
        <v>1301</v>
      </c>
      <c r="G450" s="85"/>
      <c r="H450" s="85" t="s">
        <v>1613</v>
      </c>
      <c r="I450" s="31">
        <f t="shared" si="19"/>
        <v>28</v>
      </c>
      <c r="J450" s="87"/>
      <c r="K450" s="31">
        <f t="shared" si="20"/>
        <v>0</v>
      </c>
      <c r="L450" s="32">
        <f t="shared" si="21"/>
        <v>1</v>
      </c>
      <c r="M450" s="70"/>
      <c r="N450" s="70"/>
      <c r="O450" s="70"/>
      <c r="P450" s="70"/>
      <c r="Q450" s="70"/>
      <c r="R450" s="70"/>
      <c r="S450" s="70"/>
      <c r="T450" s="70"/>
      <c r="U450" s="70"/>
      <c r="V450" s="70"/>
      <c r="W450" s="70"/>
      <c r="X450" s="70"/>
      <c r="Y450" s="70"/>
      <c r="Z450" s="70"/>
      <c r="AA450" s="70"/>
      <c r="AB450" s="70"/>
      <c r="AC450" s="70"/>
      <c r="AD450" s="70"/>
      <c r="AE450" s="70"/>
      <c r="AF450" s="70"/>
      <c r="AG450" s="70"/>
      <c r="AH450" s="70"/>
      <c r="AI450" s="70"/>
      <c r="AJ450" s="70"/>
      <c r="AK450" s="70"/>
      <c r="AL450" s="70"/>
      <c r="AM450" s="70"/>
      <c r="AN450" s="70"/>
      <c r="AO450" s="70"/>
      <c r="AP450" s="89"/>
      <c r="AQ450" s="89"/>
    </row>
    <row r="451" spans="1:43" s="73" customFormat="1" ht="15.75" thickBot="1" x14ac:dyDescent="0.3">
      <c r="A451" s="73" t="s">
        <v>1605</v>
      </c>
      <c r="B451" s="73" t="s">
        <v>1662</v>
      </c>
      <c r="C451" s="73" t="s">
        <v>1063</v>
      </c>
      <c r="D451" s="146" t="s">
        <v>1660</v>
      </c>
      <c r="E451" s="85" t="s">
        <v>73</v>
      </c>
      <c r="F451" s="85" t="s">
        <v>1301</v>
      </c>
      <c r="G451" s="85"/>
      <c r="H451" s="85" t="s">
        <v>1664</v>
      </c>
      <c r="I451" s="31">
        <f t="shared" si="19"/>
        <v>28</v>
      </c>
      <c r="J451" s="87"/>
      <c r="K451" s="31">
        <f t="shared" si="20"/>
        <v>0</v>
      </c>
      <c r="L451" s="32">
        <f t="shared" si="21"/>
        <v>1</v>
      </c>
      <c r="M451" s="70"/>
      <c r="N451" s="70"/>
      <c r="O451" s="70"/>
      <c r="P451" s="70"/>
      <c r="Q451" s="70"/>
      <c r="R451" s="70"/>
      <c r="S451" s="70"/>
      <c r="T451" s="70"/>
      <c r="U451" s="70"/>
      <c r="V451" s="70"/>
      <c r="W451" s="70"/>
      <c r="X451" s="70"/>
      <c r="Y451" s="70"/>
      <c r="Z451" s="70"/>
      <c r="AA451" s="70"/>
      <c r="AB451" s="70"/>
      <c r="AC451" s="70"/>
      <c r="AD451" s="70"/>
      <c r="AE451" s="70"/>
      <c r="AF451" s="70"/>
      <c r="AG451" s="70"/>
      <c r="AH451" s="70"/>
      <c r="AI451" s="70"/>
      <c r="AJ451" s="70"/>
      <c r="AK451" s="70"/>
      <c r="AL451" s="70"/>
      <c r="AM451" s="70"/>
      <c r="AN451" s="70"/>
      <c r="AO451" s="70"/>
      <c r="AP451" s="89"/>
      <c r="AQ451" s="89"/>
    </row>
    <row r="452" spans="1:43" s="73" customFormat="1" ht="15.75" thickBot="1" x14ac:dyDescent="0.3">
      <c r="A452" s="73" t="s">
        <v>1605</v>
      </c>
      <c r="B452" s="73" t="s">
        <v>1663</v>
      </c>
      <c r="C452" s="73" t="s">
        <v>1063</v>
      </c>
      <c r="D452" s="146" t="s">
        <v>1661</v>
      </c>
      <c r="E452" s="85" t="s">
        <v>73</v>
      </c>
      <c r="F452" s="85" t="s">
        <v>1301</v>
      </c>
      <c r="G452" s="85"/>
      <c r="H452" s="85" t="s">
        <v>1665</v>
      </c>
      <c r="I452" s="31">
        <f t="shared" si="19"/>
        <v>28</v>
      </c>
      <c r="J452" s="87"/>
      <c r="K452" s="31">
        <f t="shared" si="20"/>
        <v>0</v>
      </c>
      <c r="L452" s="32">
        <f t="shared" si="21"/>
        <v>1</v>
      </c>
      <c r="M452" s="70"/>
      <c r="N452" s="70"/>
      <c r="O452" s="70"/>
      <c r="P452" s="70"/>
      <c r="Q452" s="70"/>
      <c r="R452" s="70"/>
      <c r="S452" s="70"/>
      <c r="T452" s="70"/>
      <c r="U452" s="70"/>
      <c r="V452" s="70"/>
      <c r="W452" s="70"/>
      <c r="X452" s="70"/>
      <c r="Y452" s="70"/>
      <c r="Z452" s="70"/>
      <c r="AA452" s="70"/>
      <c r="AB452" s="70"/>
      <c r="AC452" s="70"/>
      <c r="AD452" s="70"/>
      <c r="AE452" s="70"/>
      <c r="AF452" s="70"/>
      <c r="AG452" s="70"/>
      <c r="AH452" s="70"/>
      <c r="AI452" s="70"/>
      <c r="AJ452" s="70"/>
      <c r="AK452" s="70"/>
      <c r="AL452" s="70"/>
      <c r="AM452" s="70"/>
      <c r="AN452" s="70"/>
      <c r="AO452" s="70"/>
      <c r="AP452" s="89"/>
      <c r="AQ452" s="89"/>
    </row>
    <row r="453" spans="1:43" s="73" customFormat="1" ht="15.75" thickBot="1" x14ac:dyDescent="0.3">
      <c r="A453" s="73" t="s">
        <v>1605</v>
      </c>
      <c r="B453" s="73" t="s">
        <v>2174</v>
      </c>
      <c r="C453" s="73" t="s">
        <v>1063</v>
      </c>
      <c r="D453" s="146" t="s">
        <v>2175</v>
      </c>
      <c r="E453" s="85"/>
      <c r="F453" s="85" t="s">
        <v>1301</v>
      </c>
      <c r="G453" s="85"/>
      <c r="H453" s="85" t="s">
        <v>2176</v>
      </c>
      <c r="I453" s="31">
        <f t="shared" si="19"/>
        <v>28</v>
      </c>
      <c r="J453" s="153"/>
      <c r="K453" s="31">
        <f t="shared" si="20"/>
        <v>0</v>
      </c>
      <c r="L453" s="32">
        <f t="shared" si="21"/>
        <v>1</v>
      </c>
      <c r="M453" s="70"/>
      <c r="N453" s="70"/>
      <c r="O453" s="70"/>
      <c r="P453" s="70"/>
      <c r="Q453" s="70"/>
      <c r="R453" s="70"/>
      <c r="S453" s="70"/>
      <c r="T453" s="70"/>
      <c r="U453" s="70"/>
      <c r="V453" s="70"/>
      <c r="W453" s="70"/>
      <c r="X453" s="70"/>
      <c r="Y453" s="70"/>
      <c r="Z453" s="70"/>
      <c r="AA453" s="70"/>
      <c r="AB453" s="70"/>
      <c r="AC453" s="70"/>
      <c r="AD453" s="70"/>
      <c r="AE453" s="70"/>
      <c r="AF453" s="70"/>
      <c r="AG453" s="70"/>
      <c r="AH453" s="70"/>
      <c r="AI453" s="70"/>
      <c r="AJ453" s="70"/>
      <c r="AK453" s="70"/>
      <c r="AL453" s="70"/>
      <c r="AM453" s="70"/>
      <c r="AN453" s="70"/>
      <c r="AO453" s="70"/>
      <c r="AP453" s="89"/>
      <c r="AQ453" s="89"/>
    </row>
    <row r="454" spans="1:43" s="73" customFormat="1" ht="15.75" thickBot="1" x14ac:dyDescent="0.3">
      <c r="A454" s="73" t="s">
        <v>359</v>
      </c>
      <c r="B454" s="73" t="s">
        <v>476</v>
      </c>
      <c r="C454" s="73" t="s">
        <v>1063</v>
      </c>
      <c r="D454" s="73" t="s">
        <v>477</v>
      </c>
      <c r="E454" s="85" t="s">
        <v>73</v>
      </c>
      <c r="F454" s="85" t="s">
        <v>1301</v>
      </c>
      <c r="G454" s="85"/>
      <c r="H454" s="85" t="s">
        <v>826</v>
      </c>
      <c r="I454" s="142">
        <f t="shared" si="19"/>
        <v>20</v>
      </c>
      <c r="J454" s="147" t="s">
        <v>2027</v>
      </c>
      <c r="K454" s="142">
        <f t="shared" si="20"/>
        <v>8</v>
      </c>
      <c r="L454" s="143">
        <f t="shared" si="21"/>
        <v>0.7142857142857143</v>
      </c>
      <c r="M454" s="70" t="s">
        <v>2213</v>
      </c>
      <c r="N454" s="70" t="s">
        <v>2213</v>
      </c>
      <c r="O454" s="70" t="s">
        <v>2213</v>
      </c>
      <c r="P454" s="70" t="s">
        <v>2213</v>
      </c>
      <c r="Q454" s="70" t="s">
        <v>2213</v>
      </c>
      <c r="R454" s="70" t="s">
        <v>2213</v>
      </c>
      <c r="S454" s="70" t="s">
        <v>2213</v>
      </c>
      <c r="T454" s="70" t="s">
        <v>2213</v>
      </c>
      <c r="U454" s="70"/>
      <c r="V454" s="70"/>
      <c r="W454" s="70"/>
      <c r="X454" s="70"/>
      <c r="Y454" s="70"/>
      <c r="Z454" s="70"/>
      <c r="AA454" s="70"/>
      <c r="AB454" s="70"/>
      <c r="AC454" s="70"/>
      <c r="AD454" s="70"/>
      <c r="AE454" s="70"/>
      <c r="AF454" s="70"/>
      <c r="AG454" s="70"/>
      <c r="AH454" s="70"/>
      <c r="AI454" s="70"/>
      <c r="AJ454" s="70"/>
      <c r="AK454" s="70"/>
      <c r="AL454" s="70"/>
      <c r="AM454" s="70"/>
      <c r="AN454" s="70"/>
      <c r="AO454" s="70"/>
      <c r="AP454" s="89"/>
      <c r="AQ454" s="89"/>
    </row>
    <row r="455" spans="1:43" s="73" customFormat="1" ht="15.75" thickBot="1" x14ac:dyDescent="0.3">
      <c r="A455" s="73" t="s">
        <v>359</v>
      </c>
      <c r="B455" s="73" t="s">
        <v>478</v>
      </c>
      <c r="C455" s="73" t="s">
        <v>1063</v>
      </c>
      <c r="D455" s="73" t="s">
        <v>477</v>
      </c>
      <c r="E455" s="85" t="s">
        <v>73</v>
      </c>
      <c r="F455" s="85" t="s">
        <v>1301</v>
      </c>
      <c r="G455" s="85"/>
      <c r="H455" s="85" t="s">
        <v>827</v>
      </c>
      <c r="I455" s="142">
        <f t="shared" si="19"/>
        <v>20</v>
      </c>
      <c r="J455" s="147" t="s">
        <v>2028</v>
      </c>
      <c r="K455" s="142">
        <f t="shared" si="20"/>
        <v>8</v>
      </c>
      <c r="L455" s="143">
        <f t="shared" si="21"/>
        <v>0.7142857142857143</v>
      </c>
      <c r="M455" s="70" t="s">
        <v>2213</v>
      </c>
      <c r="N455" s="70" t="s">
        <v>2213</v>
      </c>
      <c r="O455" s="70" t="s">
        <v>2213</v>
      </c>
      <c r="P455" s="70" t="s">
        <v>2213</v>
      </c>
      <c r="Q455" s="70" t="s">
        <v>2213</v>
      </c>
      <c r="R455" s="70" t="s">
        <v>2213</v>
      </c>
      <c r="S455" s="70" t="s">
        <v>2213</v>
      </c>
      <c r="T455" s="70" t="s">
        <v>2213</v>
      </c>
      <c r="U455" s="70"/>
      <c r="V455" s="70"/>
      <c r="W455" s="70"/>
      <c r="X455" s="70"/>
      <c r="Y455" s="70"/>
      <c r="Z455" s="70"/>
      <c r="AA455" s="70"/>
      <c r="AB455" s="70"/>
      <c r="AC455" s="70"/>
      <c r="AD455" s="70"/>
      <c r="AE455" s="70"/>
      <c r="AF455" s="70"/>
      <c r="AG455" s="70"/>
      <c r="AH455" s="70"/>
      <c r="AI455" s="70"/>
      <c r="AJ455" s="70"/>
      <c r="AK455" s="70"/>
      <c r="AL455" s="70"/>
      <c r="AM455" s="70"/>
      <c r="AN455" s="70"/>
      <c r="AO455" s="70"/>
      <c r="AP455" s="89"/>
      <c r="AQ455" s="89"/>
    </row>
    <row r="456" spans="1:43" s="73" customFormat="1" ht="15.75" thickBot="1" x14ac:dyDescent="0.3">
      <c r="A456" s="73" t="s">
        <v>359</v>
      </c>
      <c r="B456" s="85" t="s">
        <v>1105</v>
      </c>
      <c r="C456" s="85" t="s">
        <v>1063</v>
      </c>
      <c r="D456" s="73" t="s">
        <v>1104</v>
      </c>
      <c r="E456" s="85" t="s">
        <v>15</v>
      </c>
      <c r="F456" s="85" t="s">
        <v>1301</v>
      </c>
      <c r="G456" s="85"/>
      <c r="H456" s="85" t="s">
        <v>1106</v>
      </c>
      <c r="I456" s="142">
        <f t="shared" si="19"/>
        <v>20</v>
      </c>
      <c r="J456" s="87"/>
      <c r="K456" s="142">
        <f t="shared" si="20"/>
        <v>8</v>
      </c>
      <c r="L456" s="143">
        <f t="shared" si="21"/>
        <v>0.7142857142857143</v>
      </c>
      <c r="M456" s="70" t="s">
        <v>2213</v>
      </c>
      <c r="N456" s="70" t="s">
        <v>2213</v>
      </c>
      <c r="O456" s="70" t="s">
        <v>2213</v>
      </c>
      <c r="P456" s="70" t="s">
        <v>2213</v>
      </c>
      <c r="Q456" s="70" t="s">
        <v>2213</v>
      </c>
      <c r="R456" s="70" t="s">
        <v>2213</v>
      </c>
      <c r="S456" s="70" t="s">
        <v>2213</v>
      </c>
      <c r="T456" s="70" t="s">
        <v>2213</v>
      </c>
      <c r="U456" s="70"/>
      <c r="V456" s="70"/>
      <c r="W456" s="70"/>
      <c r="X456" s="70"/>
      <c r="Y456" s="70"/>
      <c r="Z456" s="70"/>
      <c r="AA456" s="70"/>
      <c r="AB456" s="70"/>
      <c r="AC456" s="70"/>
      <c r="AD456" s="70"/>
      <c r="AE456" s="70"/>
      <c r="AF456" s="70"/>
      <c r="AG456" s="70"/>
      <c r="AH456" s="70"/>
      <c r="AI456" s="70"/>
      <c r="AJ456" s="70"/>
      <c r="AK456" s="70"/>
      <c r="AL456" s="70"/>
      <c r="AM456" s="70"/>
      <c r="AN456" s="70"/>
      <c r="AO456" s="70"/>
      <c r="AP456" s="89"/>
      <c r="AQ456" s="89"/>
    </row>
    <row r="457" spans="1:43" s="73" customFormat="1" ht="15.75" thickBot="1" x14ac:dyDescent="0.3">
      <c r="A457" s="73" t="s">
        <v>433</v>
      </c>
      <c r="B457" s="85" t="s">
        <v>2143</v>
      </c>
      <c r="C457" t="s">
        <v>1062</v>
      </c>
      <c r="D457" s="73" t="s">
        <v>2144</v>
      </c>
      <c r="E457" s="85" t="s">
        <v>15</v>
      </c>
      <c r="F457" s="85" t="s">
        <v>1301</v>
      </c>
      <c r="G457" s="85"/>
      <c r="H457" s="85" t="s">
        <v>2145</v>
      </c>
      <c r="I457" s="142">
        <f t="shared" si="19"/>
        <v>28</v>
      </c>
      <c r="J457" s="153" t="s">
        <v>2146</v>
      </c>
      <c r="K457" s="142">
        <f t="shared" si="20"/>
        <v>0</v>
      </c>
      <c r="L457" s="143">
        <f t="shared" si="21"/>
        <v>1</v>
      </c>
      <c r="M457" s="70"/>
      <c r="N457" s="70"/>
      <c r="O457" s="70"/>
      <c r="P457" s="70"/>
      <c r="Q457" s="70"/>
      <c r="R457" s="70"/>
      <c r="S457" s="70"/>
      <c r="T457" s="70"/>
      <c r="U457" s="70"/>
      <c r="V457" s="70"/>
      <c r="W457" s="70"/>
      <c r="X457" s="70"/>
      <c r="Y457" s="70"/>
      <c r="Z457" s="70"/>
      <c r="AA457" s="70"/>
      <c r="AB457" s="70"/>
      <c r="AC457" s="70"/>
      <c r="AD457" s="70"/>
      <c r="AE457" s="70"/>
      <c r="AF457" s="70"/>
      <c r="AG457" s="70"/>
      <c r="AH457" s="70"/>
      <c r="AI457" s="70"/>
      <c r="AJ457" s="70"/>
      <c r="AK457" s="70"/>
      <c r="AL457" s="70"/>
      <c r="AM457" s="70"/>
      <c r="AN457" s="70"/>
      <c r="AO457" s="70"/>
      <c r="AP457" s="89"/>
      <c r="AQ457" s="89"/>
    </row>
    <row r="458" spans="1:43" ht="15.75" thickBot="1" x14ac:dyDescent="0.3">
      <c r="A458" t="s">
        <v>264</v>
      </c>
      <c r="B458" t="s">
        <v>1033</v>
      </c>
      <c r="C458" t="s">
        <v>1062</v>
      </c>
      <c r="D458" t="s">
        <v>496</v>
      </c>
      <c r="E458" s="30" t="s">
        <v>19</v>
      </c>
      <c r="F458" s="30" t="s">
        <v>1056</v>
      </c>
      <c r="G458" s="30" t="s">
        <v>1257</v>
      </c>
      <c r="H458" s="30" t="s">
        <v>836</v>
      </c>
      <c r="I458" s="31">
        <f t="shared" si="19"/>
        <v>27</v>
      </c>
      <c r="J458" s="147" t="s">
        <v>2029</v>
      </c>
      <c r="K458" s="31">
        <f t="shared" si="20"/>
        <v>1</v>
      </c>
      <c r="L458" s="32">
        <f t="shared" si="21"/>
        <v>0.9642857142857143</v>
      </c>
      <c r="M458" s="70" t="s">
        <v>2213</v>
      </c>
      <c r="N458" s="70"/>
      <c r="O458" s="70"/>
      <c r="P458" s="70"/>
      <c r="Q458" s="70"/>
      <c r="R458" s="70"/>
      <c r="S458" s="70"/>
      <c r="T458" s="70"/>
      <c r="U458" s="70"/>
      <c r="V458" s="70"/>
      <c r="W458" s="70"/>
      <c r="X458" s="70"/>
      <c r="Y458" s="70"/>
      <c r="Z458" s="70"/>
      <c r="AA458" s="70"/>
      <c r="AB458" s="70"/>
      <c r="AC458" s="70"/>
      <c r="AD458" s="70"/>
      <c r="AE458" s="70"/>
      <c r="AF458" s="70"/>
      <c r="AG458" s="70"/>
      <c r="AH458" s="70"/>
      <c r="AI458" s="70"/>
      <c r="AJ458" s="70"/>
      <c r="AK458" s="70"/>
      <c r="AL458" s="70"/>
      <c r="AM458" s="70"/>
      <c r="AN458" s="70"/>
      <c r="AO458" s="70"/>
      <c r="AP458" s="70"/>
      <c r="AQ458" s="70"/>
    </row>
    <row r="459" spans="1:43" ht="15.75" thickBot="1" x14ac:dyDescent="0.3">
      <c r="A459" t="s">
        <v>479</v>
      </c>
      <c r="B459" t="s">
        <v>480</v>
      </c>
      <c r="C459" t="s">
        <v>1062</v>
      </c>
      <c r="D459" t="s">
        <v>1615</v>
      </c>
      <c r="E459" s="30" t="s">
        <v>19</v>
      </c>
      <c r="F459" s="30" t="s">
        <v>1056</v>
      </c>
      <c r="G459" s="30" t="s">
        <v>1257</v>
      </c>
      <c r="H459" s="30" t="s">
        <v>828</v>
      </c>
      <c r="I459" s="31">
        <f t="shared" si="19"/>
        <v>27</v>
      </c>
      <c r="J459" s="147" t="s">
        <v>2030</v>
      </c>
      <c r="K459" s="31">
        <f t="shared" si="20"/>
        <v>1</v>
      </c>
      <c r="L459" s="32">
        <f t="shared" si="21"/>
        <v>0.9642857142857143</v>
      </c>
      <c r="M459" s="70" t="s">
        <v>2213</v>
      </c>
      <c r="N459" s="70"/>
      <c r="O459" s="70"/>
      <c r="P459" s="70"/>
      <c r="Q459" s="70"/>
      <c r="R459" s="70"/>
      <c r="S459" s="70"/>
      <c r="T459" s="70"/>
      <c r="U459" s="70"/>
      <c r="V459" s="70"/>
      <c r="W459" s="70"/>
      <c r="X459" s="70"/>
      <c r="Y459" s="70"/>
      <c r="Z459" s="70"/>
      <c r="AA459" s="70"/>
      <c r="AB459" s="70"/>
      <c r="AC459" s="70"/>
      <c r="AD459" s="70"/>
      <c r="AE459" s="70"/>
      <c r="AF459" s="70"/>
      <c r="AG459" s="70"/>
      <c r="AH459" s="70"/>
      <c r="AI459" s="70"/>
      <c r="AJ459" s="70"/>
      <c r="AK459" s="70"/>
      <c r="AL459" s="70"/>
      <c r="AM459" s="70"/>
      <c r="AN459" s="70"/>
      <c r="AO459" s="70"/>
      <c r="AP459" s="70"/>
      <c r="AQ459" s="70"/>
    </row>
    <row r="460" spans="1:43" ht="15.75" thickBot="1" x14ac:dyDescent="0.3">
      <c r="A460" t="s">
        <v>479</v>
      </c>
      <c r="B460" t="s">
        <v>481</v>
      </c>
      <c r="C460" t="s">
        <v>1062</v>
      </c>
      <c r="D460" t="s">
        <v>482</v>
      </c>
      <c r="E460" s="30" t="s">
        <v>19</v>
      </c>
      <c r="F460" s="30" t="s">
        <v>28</v>
      </c>
      <c r="G460" s="30"/>
      <c r="H460" s="30" t="s">
        <v>829</v>
      </c>
      <c r="I460" s="31">
        <f t="shared" ref="I460:I532" si="22">COUNTIF(M460:AN460,"")</f>
        <v>28</v>
      </c>
      <c r="J460" s="147" t="s">
        <v>2031</v>
      </c>
      <c r="K460" s="31">
        <f t="shared" ref="K460:K532" si="23">COUNTIF(M460:AN460,"APAGADO")</f>
        <v>0</v>
      </c>
      <c r="L460" s="32">
        <f t="shared" ref="L460:L532" si="24">(I460)/(K460+I460)</f>
        <v>1</v>
      </c>
      <c r="M460" s="70"/>
      <c r="N460" s="70"/>
      <c r="O460" s="70"/>
      <c r="P460" s="70"/>
      <c r="Q460" s="70"/>
      <c r="R460" s="70"/>
      <c r="S460" s="70"/>
      <c r="T460" s="70"/>
      <c r="U460" s="70"/>
      <c r="V460" s="70"/>
      <c r="W460" s="70"/>
      <c r="X460" s="70"/>
      <c r="Y460" s="70"/>
      <c r="Z460" s="70"/>
      <c r="AA460" s="70"/>
      <c r="AB460" s="70"/>
      <c r="AC460" s="70"/>
      <c r="AD460" s="70"/>
      <c r="AE460" s="70"/>
      <c r="AF460" s="70"/>
      <c r="AG460" s="70"/>
      <c r="AH460" s="70"/>
      <c r="AI460" s="70"/>
      <c r="AJ460" s="70"/>
      <c r="AK460" s="70"/>
      <c r="AL460" s="70"/>
      <c r="AM460" s="70"/>
      <c r="AN460" s="70"/>
      <c r="AO460" s="70"/>
      <c r="AP460" s="70"/>
      <c r="AQ460" s="70"/>
    </row>
    <row r="461" spans="1:43" ht="15.75" thickBot="1" x14ac:dyDescent="0.3">
      <c r="A461" t="s">
        <v>483</v>
      </c>
      <c r="B461" t="s">
        <v>484</v>
      </c>
      <c r="C461" t="s">
        <v>1062</v>
      </c>
      <c r="D461" t="s">
        <v>485</v>
      </c>
      <c r="E461" s="30" t="s">
        <v>19</v>
      </c>
      <c r="F461" s="30" t="s">
        <v>28</v>
      </c>
      <c r="G461" s="30"/>
      <c r="H461" s="30" t="s">
        <v>830</v>
      </c>
      <c r="I461" s="31">
        <f t="shared" si="22"/>
        <v>28</v>
      </c>
      <c r="J461" s="147" t="s">
        <v>2032</v>
      </c>
      <c r="K461" s="31">
        <f t="shared" si="23"/>
        <v>0</v>
      </c>
      <c r="L461" s="32">
        <f t="shared" si="24"/>
        <v>1</v>
      </c>
      <c r="M461" s="70"/>
      <c r="N461" s="70"/>
      <c r="O461" s="70"/>
      <c r="P461" s="70"/>
      <c r="Q461" s="70"/>
      <c r="R461" s="70"/>
      <c r="S461" s="70"/>
      <c r="T461" s="70"/>
      <c r="U461" s="70"/>
      <c r="V461" s="70"/>
      <c r="W461" s="70"/>
      <c r="X461" s="70"/>
      <c r="Y461" s="70"/>
      <c r="Z461" s="70"/>
      <c r="AA461" s="70"/>
      <c r="AB461" s="70"/>
      <c r="AC461" s="70"/>
      <c r="AD461" s="70"/>
      <c r="AE461" s="70"/>
      <c r="AF461" s="70"/>
      <c r="AG461" s="70"/>
      <c r="AH461" s="70"/>
      <c r="AI461" s="70"/>
      <c r="AJ461" s="70"/>
      <c r="AK461" s="70"/>
      <c r="AL461" s="70"/>
      <c r="AM461" s="70"/>
      <c r="AN461" s="70"/>
      <c r="AO461" s="70"/>
      <c r="AP461" s="70"/>
      <c r="AQ461" s="70"/>
    </row>
    <row r="462" spans="1:43" ht="15.75" thickBot="1" x14ac:dyDescent="0.3">
      <c r="A462" t="s">
        <v>479</v>
      </c>
      <c r="B462" t="s">
        <v>486</v>
      </c>
      <c r="C462" t="s">
        <v>1062</v>
      </c>
      <c r="D462" t="s">
        <v>487</v>
      </c>
      <c r="E462" s="30" t="s">
        <v>15</v>
      </c>
      <c r="F462" s="30" t="s">
        <v>28</v>
      </c>
      <c r="G462" s="30"/>
      <c r="H462" s="30" t="s">
        <v>831</v>
      </c>
      <c r="I462" s="31">
        <f t="shared" si="22"/>
        <v>28</v>
      </c>
      <c r="J462" s="147" t="s">
        <v>2033</v>
      </c>
      <c r="K462" s="31">
        <f t="shared" si="23"/>
        <v>0</v>
      </c>
      <c r="L462" s="32">
        <f t="shared" si="24"/>
        <v>1</v>
      </c>
      <c r="M462" s="70"/>
      <c r="N462" s="70"/>
      <c r="O462" s="70"/>
      <c r="P462" s="70"/>
      <c r="Q462" s="70"/>
      <c r="R462" s="70"/>
      <c r="S462" s="70"/>
      <c r="T462" s="70"/>
      <c r="U462" s="70"/>
      <c r="V462" s="70"/>
      <c r="W462" s="70"/>
      <c r="X462" s="70"/>
      <c r="Y462" s="70"/>
      <c r="Z462" s="70"/>
      <c r="AA462" s="70"/>
      <c r="AB462" s="70"/>
      <c r="AC462" s="70"/>
      <c r="AD462" s="70"/>
      <c r="AE462" s="70"/>
      <c r="AF462" s="70"/>
      <c r="AG462" s="70"/>
      <c r="AH462" s="70"/>
      <c r="AI462" s="70"/>
      <c r="AJ462" s="70"/>
      <c r="AK462" s="70"/>
      <c r="AL462" s="70"/>
      <c r="AM462" s="70"/>
      <c r="AN462" s="70"/>
      <c r="AO462" s="70"/>
      <c r="AP462" s="70"/>
      <c r="AQ462" s="70"/>
    </row>
    <row r="463" spans="1:43" ht="15.75" thickBot="1" x14ac:dyDescent="0.3">
      <c r="A463" t="s">
        <v>479</v>
      </c>
      <c r="B463" t="s">
        <v>488</v>
      </c>
      <c r="C463" t="s">
        <v>1062</v>
      </c>
      <c r="D463" t="s">
        <v>489</v>
      </c>
      <c r="E463" s="30" t="s">
        <v>19</v>
      </c>
      <c r="F463" s="30" t="s">
        <v>28</v>
      </c>
      <c r="G463" s="30"/>
      <c r="H463" s="30" t="s">
        <v>832</v>
      </c>
      <c r="I463" s="31">
        <f t="shared" si="22"/>
        <v>28</v>
      </c>
      <c r="J463" s="147" t="s">
        <v>2034</v>
      </c>
      <c r="K463" s="31">
        <f t="shared" si="23"/>
        <v>0</v>
      </c>
      <c r="L463" s="32">
        <f t="shared" si="24"/>
        <v>1</v>
      </c>
      <c r="M463" s="70"/>
      <c r="N463" s="70"/>
      <c r="O463" s="70"/>
      <c r="P463" s="70"/>
      <c r="Q463" s="70"/>
      <c r="R463" s="70"/>
      <c r="S463" s="70"/>
      <c r="T463" s="70"/>
      <c r="U463" s="70"/>
      <c r="V463" s="70"/>
      <c r="W463" s="70"/>
      <c r="X463" s="70"/>
      <c r="Y463" s="70"/>
      <c r="Z463" s="70"/>
      <c r="AA463" s="70"/>
      <c r="AB463" s="70"/>
      <c r="AC463" s="70"/>
      <c r="AD463" s="70"/>
      <c r="AE463" s="70"/>
      <c r="AF463" s="70"/>
      <c r="AG463" s="70"/>
      <c r="AH463" s="70"/>
      <c r="AI463" s="70"/>
      <c r="AJ463" s="70"/>
      <c r="AK463" s="70"/>
      <c r="AL463" s="70"/>
      <c r="AM463" s="70"/>
      <c r="AN463" s="70"/>
      <c r="AO463" s="70"/>
      <c r="AP463" s="70"/>
      <c r="AQ463" s="70"/>
    </row>
    <row r="464" spans="1:43" s="73" customFormat="1" ht="15.75" thickBot="1" x14ac:dyDescent="0.3">
      <c r="A464" s="73" t="s">
        <v>479</v>
      </c>
      <c r="B464" s="73" t="s">
        <v>490</v>
      </c>
      <c r="C464" s="73" t="s">
        <v>1062</v>
      </c>
      <c r="D464" s="73" t="s">
        <v>491</v>
      </c>
      <c r="E464" s="85" t="s">
        <v>15</v>
      </c>
      <c r="F464" s="85" t="s">
        <v>1301</v>
      </c>
      <c r="G464" s="85"/>
      <c r="H464" s="85" t="s">
        <v>833</v>
      </c>
      <c r="I464" s="142">
        <f t="shared" si="22"/>
        <v>28</v>
      </c>
      <c r="J464" s="147" t="s">
        <v>2035</v>
      </c>
      <c r="K464" s="142">
        <f t="shared" si="23"/>
        <v>0</v>
      </c>
      <c r="L464" s="143">
        <f t="shared" si="24"/>
        <v>1</v>
      </c>
      <c r="M464" s="70"/>
      <c r="N464" s="70"/>
      <c r="O464" s="70"/>
      <c r="P464" s="70"/>
      <c r="Q464" s="70"/>
      <c r="R464" s="70"/>
      <c r="S464" s="70"/>
      <c r="T464" s="70"/>
      <c r="U464" s="70"/>
      <c r="V464" s="70"/>
      <c r="W464" s="70"/>
      <c r="X464" s="70"/>
      <c r="Y464" s="70"/>
      <c r="Z464" s="70"/>
      <c r="AA464" s="70"/>
      <c r="AB464" s="70"/>
      <c r="AC464" s="70"/>
      <c r="AD464" s="70"/>
      <c r="AE464" s="70"/>
      <c r="AF464" s="70"/>
      <c r="AG464" s="70"/>
      <c r="AH464" s="70"/>
      <c r="AI464" s="70"/>
      <c r="AJ464" s="70"/>
      <c r="AK464" s="70"/>
      <c r="AL464" s="70"/>
      <c r="AM464" s="70"/>
      <c r="AN464" s="70"/>
      <c r="AO464" s="70"/>
      <c r="AP464" s="89"/>
      <c r="AQ464" s="89"/>
    </row>
    <row r="465" spans="1:43" s="73" customFormat="1" ht="15.75" thickBot="1" x14ac:dyDescent="0.3">
      <c r="A465" s="73" t="s">
        <v>479</v>
      </c>
      <c r="B465" s="73" t="s">
        <v>492</v>
      </c>
      <c r="C465" s="73" t="s">
        <v>1062</v>
      </c>
      <c r="D465" s="73" t="s">
        <v>493</v>
      </c>
      <c r="E465" s="85" t="s">
        <v>19</v>
      </c>
      <c r="F465" s="85" t="s">
        <v>1301</v>
      </c>
      <c r="G465" s="85"/>
      <c r="H465" s="85" t="s">
        <v>834</v>
      </c>
      <c r="I465" s="31">
        <f t="shared" si="22"/>
        <v>28</v>
      </c>
      <c r="J465" s="147" t="s">
        <v>2036</v>
      </c>
      <c r="K465" s="31">
        <f t="shared" si="23"/>
        <v>0</v>
      </c>
      <c r="L465" s="32">
        <f t="shared" si="24"/>
        <v>1</v>
      </c>
      <c r="M465" s="70"/>
      <c r="N465" s="70"/>
      <c r="O465" s="70"/>
      <c r="P465" s="70"/>
      <c r="Q465" s="70"/>
      <c r="R465" s="70"/>
      <c r="S465" s="70"/>
      <c r="T465" s="70"/>
      <c r="U465" s="70"/>
      <c r="V465" s="70"/>
      <c r="W465" s="70"/>
      <c r="X465" s="70"/>
      <c r="Y465" s="70"/>
      <c r="Z465" s="70"/>
      <c r="AA465" s="70"/>
      <c r="AB465" s="70"/>
      <c r="AC465" s="70"/>
      <c r="AD465" s="70"/>
      <c r="AE465" s="70"/>
      <c r="AF465" s="70"/>
      <c r="AG465" s="70"/>
      <c r="AH465" s="70"/>
      <c r="AI465" s="70"/>
      <c r="AJ465" s="70"/>
      <c r="AK465" s="70"/>
      <c r="AL465" s="70"/>
      <c r="AM465" s="70"/>
      <c r="AN465" s="70"/>
      <c r="AO465" s="70"/>
      <c r="AP465" s="89"/>
      <c r="AQ465" s="89"/>
    </row>
    <row r="466" spans="1:43" ht="15.75" thickBot="1" x14ac:dyDescent="0.3">
      <c r="A466" t="s">
        <v>479</v>
      </c>
      <c r="B466" t="s">
        <v>494</v>
      </c>
      <c r="C466" t="s">
        <v>1062</v>
      </c>
      <c r="D466" t="s">
        <v>495</v>
      </c>
      <c r="E466" s="30" t="s">
        <v>19</v>
      </c>
      <c r="F466" s="30" t="s">
        <v>1056</v>
      </c>
      <c r="G466" s="30" t="s">
        <v>1258</v>
      </c>
      <c r="H466" s="30" t="s">
        <v>835</v>
      </c>
      <c r="I466" s="31">
        <f t="shared" si="22"/>
        <v>28</v>
      </c>
      <c r="J466" s="147" t="s">
        <v>2037</v>
      </c>
      <c r="K466" s="31">
        <f t="shared" si="23"/>
        <v>0</v>
      </c>
      <c r="L466" s="32">
        <f t="shared" si="24"/>
        <v>1</v>
      </c>
      <c r="M466" s="70"/>
      <c r="N466" s="70"/>
      <c r="O466" s="70"/>
      <c r="P466" s="70"/>
      <c r="Q466" s="70"/>
      <c r="R466" s="70"/>
      <c r="S466" s="70"/>
      <c r="T466" s="70"/>
      <c r="U466" s="70"/>
      <c r="V466" s="70"/>
      <c r="W466" s="70"/>
      <c r="X466" s="70"/>
      <c r="Y466" s="70"/>
      <c r="Z466" s="70"/>
      <c r="AA466" s="70"/>
      <c r="AB466" s="70"/>
      <c r="AC466" s="70"/>
      <c r="AD466" s="70"/>
      <c r="AE466" s="70"/>
      <c r="AF466" s="70"/>
      <c r="AG466" s="70"/>
      <c r="AH466" s="70"/>
      <c r="AI466" s="70"/>
      <c r="AJ466" s="70"/>
      <c r="AK466" s="70"/>
      <c r="AL466" s="70"/>
      <c r="AM466" s="70"/>
      <c r="AN466" s="70"/>
      <c r="AO466" s="70"/>
      <c r="AP466" s="70"/>
      <c r="AQ466" s="70"/>
    </row>
    <row r="467" spans="1:43" s="73" customFormat="1" ht="15.75" thickBot="1" x14ac:dyDescent="0.3">
      <c r="A467" s="73" t="s">
        <v>479</v>
      </c>
      <c r="B467" s="73" t="s">
        <v>1188</v>
      </c>
      <c r="C467" s="73" t="s">
        <v>1062</v>
      </c>
      <c r="D467" s="73" t="s">
        <v>1189</v>
      </c>
      <c r="E467" s="85" t="s">
        <v>1114</v>
      </c>
      <c r="F467" s="85" t="s">
        <v>1301</v>
      </c>
      <c r="G467" s="85"/>
      <c r="H467" s="85" t="s">
        <v>1190</v>
      </c>
      <c r="I467" s="142">
        <f t="shared" si="22"/>
        <v>28</v>
      </c>
      <c r="J467" s="147" t="s">
        <v>2038</v>
      </c>
      <c r="K467" s="142">
        <f t="shared" si="23"/>
        <v>0</v>
      </c>
      <c r="L467" s="143">
        <f t="shared" si="24"/>
        <v>1</v>
      </c>
      <c r="M467" s="70"/>
      <c r="N467" s="70"/>
      <c r="O467" s="70"/>
      <c r="P467" s="70"/>
      <c r="Q467" s="70"/>
      <c r="R467" s="70"/>
      <c r="S467" s="70"/>
      <c r="T467" s="70"/>
      <c r="U467" s="70"/>
      <c r="V467" s="70"/>
      <c r="W467" s="70"/>
      <c r="X467" s="70"/>
      <c r="Y467" s="70"/>
      <c r="Z467" s="70"/>
      <c r="AA467" s="70"/>
      <c r="AB467" s="70"/>
      <c r="AC467" s="70"/>
      <c r="AD467" s="70"/>
      <c r="AE467" s="70"/>
      <c r="AF467" s="70"/>
      <c r="AG467" s="70"/>
      <c r="AH467" s="70"/>
      <c r="AI467" s="70"/>
      <c r="AJ467" s="70"/>
      <c r="AK467" s="70"/>
      <c r="AL467" s="70"/>
      <c r="AM467" s="70"/>
      <c r="AN467" s="70"/>
      <c r="AO467" s="70"/>
      <c r="AP467" s="89"/>
      <c r="AQ467" s="89"/>
    </row>
    <row r="468" spans="1:43" s="73" customFormat="1" ht="15.75" thickBot="1" x14ac:dyDescent="0.3">
      <c r="A468" s="73" t="s">
        <v>479</v>
      </c>
      <c r="B468" s="73" t="s">
        <v>1191</v>
      </c>
      <c r="C468" s="73" t="s">
        <v>1062</v>
      </c>
      <c r="D468" s="73" t="s">
        <v>1189</v>
      </c>
      <c r="E468" s="85" t="s">
        <v>1114</v>
      </c>
      <c r="F468" s="85" t="s">
        <v>28</v>
      </c>
      <c r="G468" s="85"/>
      <c r="H468" s="85" t="s">
        <v>1192</v>
      </c>
      <c r="I468" s="87">
        <f t="shared" si="22"/>
        <v>28</v>
      </c>
      <c r="J468" s="147" t="s">
        <v>2039</v>
      </c>
      <c r="K468" s="87">
        <f t="shared" si="23"/>
        <v>0</v>
      </c>
      <c r="L468" s="88">
        <f t="shared" si="24"/>
        <v>1</v>
      </c>
      <c r="M468" s="89"/>
      <c r="N468" s="89"/>
      <c r="O468" s="89"/>
      <c r="P468" s="89"/>
      <c r="Q468" s="89"/>
      <c r="R468" s="89"/>
      <c r="S468" s="89"/>
      <c r="T468" s="89"/>
      <c r="U468" s="89"/>
      <c r="V468" s="89"/>
      <c r="W468" s="89"/>
      <c r="X468" s="89"/>
      <c r="Y468" s="89"/>
      <c r="Z468" s="89"/>
      <c r="AA468" s="89"/>
      <c r="AB468" s="89"/>
      <c r="AC468" s="89"/>
      <c r="AD468" s="89"/>
      <c r="AE468" s="89"/>
      <c r="AF468" s="89"/>
      <c r="AG468" s="89"/>
      <c r="AH468" s="89"/>
      <c r="AI468" s="89"/>
      <c r="AJ468" s="89"/>
      <c r="AK468" s="89"/>
      <c r="AL468" s="89"/>
      <c r="AM468" s="89"/>
      <c r="AN468" s="89"/>
      <c r="AO468" s="89"/>
      <c r="AP468" s="89"/>
      <c r="AQ468" s="89"/>
    </row>
    <row r="469" spans="1:43" ht="15.75" thickBot="1" x14ac:dyDescent="0.3">
      <c r="A469" t="s">
        <v>479</v>
      </c>
      <c r="B469" t="s">
        <v>1221</v>
      </c>
      <c r="C469" t="s">
        <v>1062</v>
      </c>
      <c r="D469" t="s">
        <v>1237</v>
      </c>
      <c r="E469" t="s">
        <v>73</v>
      </c>
      <c r="F469" t="s">
        <v>28</v>
      </c>
      <c r="G469"/>
      <c r="H469" s="30" t="s">
        <v>1282</v>
      </c>
      <c r="I469" s="31">
        <f t="shared" si="22"/>
        <v>28</v>
      </c>
      <c r="J469" s="147" t="s">
        <v>2040</v>
      </c>
      <c r="K469" s="31">
        <f t="shared" si="23"/>
        <v>0</v>
      </c>
      <c r="L469" s="32">
        <f t="shared" si="24"/>
        <v>1</v>
      </c>
      <c r="M469" s="70"/>
      <c r="N469" s="70"/>
      <c r="O469" s="70"/>
      <c r="P469" s="70"/>
      <c r="Q469" s="70"/>
      <c r="R469" s="70"/>
      <c r="S469" s="70"/>
      <c r="T469" s="70"/>
      <c r="U469" s="70"/>
      <c r="V469" s="70"/>
      <c r="W469" s="70"/>
      <c r="X469" s="70"/>
      <c r="Y469" s="70"/>
      <c r="Z469" s="70"/>
      <c r="AA469" s="70"/>
      <c r="AB469" s="70"/>
      <c r="AC469" s="70"/>
      <c r="AD469" s="70"/>
      <c r="AE469" s="70"/>
      <c r="AF469" s="70"/>
      <c r="AG469" s="70"/>
      <c r="AH469" s="70"/>
      <c r="AI469" s="70"/>
      <c r="AJ469" s="70"/>
      <c r="AK469" s="70"/>
      <c r="AL469" s="70"/>
      <c r="AM469" s="70"/>
      <c r="AN469" s="70"/>
      <c r="AO469" s="70"/>
      <c r="AP469" s="70"/>
      <c r="AQ469" s="70"/>
    </row>
    <row r="470" spans="1:43" ht="15.75" thickBot="1" x14ac:dyDescent="0.3">
      <c r="A470" t="s">
        <v>479</v>
      </c>
      <c r="B470" t="s">
        <v>1222</v>
      </c>
      <c r="C470" t="s">
        <v>1062</v>
      </c>
      <c r="D470" t="s">
        <v>1237</v>
      </c>
      <c r="E470" t="s">
        <v>73</v>
      </c>
      <c r="F470" t="s">
        <v>28</v>
      </c>
      <c r="G470"/>
      <c r="H470" s="30" t="s">
        <v>1283</v>
      </c>
      <c r="I470" s="31">
        <f t="shared" si="22"/>
        <v>28</v>
      </c>
      <c r="J470" s="147" t="s">
        <v>2041</v>
      </c>
      <c r="K470" s="31">
        <f t="shared" si="23"/>
        <v>0</v>
      </c>
      <c r="L470" s="32">
        <f t="shared" si="24"/>
        <v>1</v>
      </c>
      <c r="M470" s="70"/>
      <c r="N470" s="70"/>
      <c r="O470" s="70"/>
      <c r="P470" s="70"/>
      <c r="Q470" s="70"/>
      <c r="R470" s="70"/>
      <c r="S470" s="70"/>
      <c r="T470" s="70"/>
      <c r="U470" s="70"/>
      <c r="V470" s="70"/>
      <c r="W470" s="70"/>
      <c r="X470" s="70"/>
      <c r="Y470" s="70"/>
      <c r="Z470" s="70"/>
      <c r="AA470" s="70"/>
      <c r="AB470" s="70"/>
      <c r="AC470" s="70"/>
      <c r="AD470" s="70"/>
      <c r="AE470" s="70"/>
      <c r="AF470" s="70"/>
      <c r="AG470" s="70"/>
      <c r="AH470" s="70"/>
      <c r="AI470" s="70"/>
      <c r="AJ470" s="70"/>
      <c r="AK470" s="70"/>
      <c r="AL470" s="70"/>
      <c r="AM470" s="70"/>
      <c r="AN470" s="70"/>
      <c r="AO470" s="70"/>
      <c r="AP470" s="70"/>
      <c r="AQ470" s="70"/>
    </row>
    <row r="471" spans="1:43" ht="15.75" thickBot="1" x14ac:dyDescent="0.3">
      <c r="A471" t="s">
        <v>479</v>
      </c>
      <c r="B471" t="s">
        <v>1340</v>
      </c>
      <c r="C471" t="s">
        <v>1062</v>
      </c>
      <c r="D471" s="68" t="s">
        <v>1341</v>
      </c>
      <c r="E471" t="s">
        <v>73</v>
      </c>
      <c r="F471"/>
      <c r="G471"/>
      <c r="H471" s="30" t="s">
        <v>1330</v>
      </c>
      <c r="I471" s="31">
        <f t="shared" si="22"/>
        <v>28</v>
      </c>
      <c r="J471" s="147" t="s">
        <v>2042</v>
      </c>
      <c r="K471" s="31">
        <f t="shared" si="23"/>
        <v>0</v>
      </c>
      <c r="L471" s="32">
        <f t="shared" si="24"/>
        <v>1</v>
      </c>
      <c r="M471" s="70"/>
      <c r="N471" s="70"/>
      <c r="O471" s="70"/>
      <c r="P471" s="70"/>
      <c r="Q471" s="70"/>
      <c r="R471" s="70"/>
      <c r="S471" s="70"/>
      <c r="T471" s="70"/>
      <c r="U471" s="70"/>
      <c r="V471" s="70"/>
      <c r="W471" s="70"/>
      <c r="X471" s="70"/>
      <c r="Y471" s="70"/>
      <c r="Z471" s="70"/>
      <c r="AA471" s="70"/>
      <c r="AB471" s="70"/>
      <c r="AC471" s="70"/>
      <c r="AD471" s="70"/>
      <c r="AE471" s="70"/>
      <c r="AF471" s="70"/>
      <c r="AG471" s="70"/>
      <c r="AH471" s="70"/>
      <c r="AI471" s="70"/>
      <c r="AJ471" s="70"/>
      <c r="AK471" s="70"/>
      <c r="AL471" s="70"/>
      <c r="AM471" s="70"/>
      <c r="AN471" s="70"/>
      <c r="AO471" s="70"/>
      <c r="AP471" s="70"/>
      <c r="AQ471" s="70"/>
    </row>
    <row r="472" spans="1:43" s="73" customFormat="1" ht="15.75" thickBot="1" x14ac:dyDescent="0.3">
      <c r="A472" s="73" t="s">
        <v>479</v>
      </c>
      <c r="B472" s="73" t="s">
        <v>1352</v>
      </c>
      <c r="C472" s="73" t="s">
        <v>1062</v>
      </c>
      <c r="D472" s="146" t="s">
        <v>1359</v>
      </c>
      <c r="E472" s="73" t="s">
        <v>15</v>
      </c>
      <c r="F472" s="73" t="s">
        <v>1301</v>
      </c>
      <c r="H472" s="85" t="s">
        <v>1422</v>
      </c>
      <c r="I472" s="87">
        <f t="shared" si="22"/>
        <v>28</v>
      </c>
      <c r="J472" s="147" t="s">
        <v>2043</v>
      </c>
      <c r="K472" s="87">
        <f t="shared" si="23"/>
        <v>0</v>
      </c>
      <c r="L472" s="88">
        <f t="shared" si="24"/>
        <v>1</v>
      </c>
      <c r="M472" s="89"/>
      <c r="N472" s="89"/>
      <c r="O472" s="89"/>
      <c r="P472" s="89"/>
      <c r="Q472" s="89"/>
      <c r="R472" s="89"/>
      <c r="S472" s="89"/>
      <c r="T472" s="89"/>
      <c r="U472" s="89"/>
      <c r="V472" s="89"/>
      <c r="W472" s="89"/>
      <c r="X472" s="89"/>
      <c r="Y472" s="89"/>
      <c r="Z472" s="89"/>
      <c r="AA472" s="89"/>
      <c r="AB472" s="89"/>
      <c r="AC472" s="89"/>
      <c r="AD472" s="89"/>
      <c r="AE472" s="89"/>
      <c r="AF472" s="89"/>
      <c r="AG472" s="89"/>
      <c r="AH472" s="89"/>
      <c r="AI472" s="89"/>
      <c r="AJ472" s="89"/>
      <c r="AK472" s="89"/>
      <c r="AL472" s="89"/>
      <c r="AM472" s="89"/>
      <c r="AN472" s="89"/>
      <c r="AO472" s="89"/>
      <c r="AP472" s="89"/>
      <c r="AQ472" s="89"/>
    </row>
    <row r="473" spans="1:43" s="73" customFormat="1" ht="15.75" thickBot="1" x14ac:dyDescent="0.3">
      <c r="A473" s="73" t="s">
        <v>479</v>
      </c>
      <c r="B473" s="73" t="s">
        <v>1609</v>
      </c>
      <c r="C473" s="73" t="s">
        <v>1062</v>
      </c>
      <c r="D473" s="146" t="s">
        <v>1614</v>
      </c>
      <c r="E473" s="73" t="s">
        <v>15</v>
      </c>
      <c r="F473" s="73" t="s">
        <v>1301</v>
      </c>
      <c r="H473" s="85" t="s">
        <v>1616</v>
      </c>
      <c r="I473" s="87">
        <f t="shared" si="22"/>
        <v>28</v>
      </c>
      <c r="J473" s="87" t="s">
        <v>2166</v>
      </c>
      <c r="K473" s="87">
        <f t="shared" si="23"/>
        <v>0</v>
      </c>
      <c r="L473" s="88">
        <f t="shared" si="24"/>
        <v>1</v>
      </c>
      <c r="M473" s="89"/>
      <c r="N473" s="89"/>
      <c r="O473" s="89"/>
      <c r="P473" s="89"/>
      <c r="Q473" s="89"/>
      <c r="R473" s="89"/>
      <c r="S473" s="89"/>
      <c r="T473" s="89"/>
      <c r="U473" s="89"/>
      <c r="V473" s="89"/>
      <c r="W473" s="89"/>
      <c r="X473" s="89"/>
      <c r="Y473" s="89"/>
      <c r="Z473" s="89"/>
      <c r="AA473" s="89"/>
      <c r="AB473" s="89"/>
      <c r="AC473" s="89"/>
      <c r="AD473" s="89"/>
      <c r="AE473" s="89"/>
      <c r="AF473" s="89"/>
      <c r="AG473" s="89"/>
      <c r="AH473" s="89"/>
      <c r="AI473" s="89"/>
      <c r="AJ473" s="89"/>
      <c r="AK473" s="89"/>
      <c r="AL473" s="89"/>
      <c r="AM473" s="89"/>
      <c r="AN473" s="89"/>
      <c r="AO473" s="89"/>
      <c r="AP473" s="89"/>
      <c r="AQ473" s="89"/>
    </row>
    <row r="474" spans="1:43" s="73" customFormat="1" ht="15.75" thickBot="1" x14ac:dyDescent="0.3">
      <c r="A474" s="73" t="s">
        <v>479</v>
      </c>
      <c r="B474" s="73" t="s">
        <v>1627</v>
      </c>
      <c r="C474" s="73" t="s">
        <v>1062</v>
      </c>
      <c r="D474" s="146" t="s">
        <v>1620</v>
      </c>
      <c r="E474" s="73" t="s">
        <v>19</v>
      </c>
      <c r="F474" s="73" t="s">
        <v>1301</v>
      </c>
      <c r="H474" s="85" t="s">
        <v>1628</v>
      </c>
      <c r="I474" s="87">
        <f t="shared" si="22"/>
        <v>28</v>
      </c>
      <c r="J474" s="87" t="s">
        <v>2167</v>
      </c>
      <c r="K474" s="87">
        <f t="shared" si="23"/>
        <v>0</v>
      </c>
      <c r="L474" s="88">
        <f t="shared" si="24"/>
        <v>1</v>
      </c>
      <c r="M474" s="89"/>
      <c r="N474" s="89"/>
      <c r="O474" s="89"/>
      <c r="P474" s="89"/>
      <c r="Q474" s="89"/>
      <c r="R474" s="89"/>
      <c r="S474" s="89"/>
      <c r="T474" s="89"/>
      <c r="U474" s="89"/>
      <c r="V474" s="89"/>
      <c r="W474" s="89"/>
      <c r="X474" s="89"/>
      <c r="Y474" s="89"/>
      <c r="Z474" s="89"/>
      <c r="AA474" s="89"/>
      <c r="AB474" s="89"/>
      <c r="AC474" s="89"/>
      <c r="AD474" s="89"/>
      <c r="AE474" s="89"/>
      <c r="AF474" s="89"/>
      <c r="AG474" s="89"/>
      <c r="AH474" s="89"/>
      <c r="AI474" s="89"/>
      <c r="AJ474" s="89"/>
      <c r="AK474" s="89"/>
      <c r="AL474" s="89"/>
      <c r="AM474" s="89"/>
      <c r="AN474" s="89"/>
      <c r="AO474" s="89"/>
      <c r="AP474" s="89"/>
      <c r="AQ474" s="89"/>
    </row>
    <row r="475" spans="1:43" s="73" customFormat="1" ht="15.75" thickBot="1" x14ac:dyDescent="0.3">
      <c r="A475" s="73" t="s">
        <v>479</v>
      </c>
      <c r="B475" s="73" t="s">
        <v>1622</v>
      </c>
      <c r="C475" s="73" t="s">
        <v>1062</v>
      </c>
      <c r="D475" s="146" t="s">
        <v>1621</v>
      </c>
      <c r="E475" s="73" t="s">
        <v>1114</v>
      </c>
      <c r="F475" s="73" t="s">
        <v>1301</v>
      </c>
      <c r="H475" s="85" t="s">
        <v>1626</v>
      </c>
      <c r="I475" s="87">
        <f t="shared" si="22"/>
        <v>28</v>
      </c>
      <c r="J475" s="87" t="s">
        <v>2168</v>
      </c>
      <c r="K475" s="87">
        <f t="shared" si="23"/>
        <v>0</v>
      </c>
      <c r="L475" s="88">
        <f t="shared" si="24"/>
        <v>1</v>
      </c>
      <c r="M475" s="89"/>
      <c r="N475" s="89"/>
      <c r="O475" s="89"/>
      <c r="P475" s="89"/>
      <c r="Q475" s="89"/>
      <c r="R475" s="89"/>
      <c r="S475" s="89"/>
      <c r="T475" s="89"/>
      <c r="U475" s="89"/>
      <c r="V475" s="89"/>
      <c r="W475" s="89"/>
      <c r="X475" s="89"/>
      <c r="Y475" s="89"/>
      <c r="Z475" s="89"/>
      <c r="AA475" s="89"/>
      <c r="AB475" s="89"/>
      <c r="AC475" s="89"/>
      <c r="AD475" s="89"/>
      <c r="AE475" s="89"/>
      <c r="AF475" s="89"/>
      <c r="AG475" s="89"/>
      <c r="AH475" s="89"/>
      <c r="AI475" s="89"/>
      <c r="AJ475" s="89"/>
      <c r="AK475" s="89"/>
      <c r="AL475" s="89"/>
      <c r="AM475" s="89"/>
      <c r="AN475" s="89"/>
      <c r="AO475" s="89"/>
      <c r="AP475" s="89"/>
      <c r="AQ475" s="89"/>
    </row>
    <row r="476" spans="1:43" s="73" customFormat="1" ht="15.75" thickBot="1" x14ac:dyDescent="0.3">
      <c r="A476" s="73" t="s">
        <v>479</v>
      </c>
      <c r="B476" s="73" t="s">
        <v>1623</v>
      </c>
      <c r="C476" s="73" t="s">
        <v>1062</v>
      </c>
      <c r="D476" s="146" t="s">
        <v>1624</v>
      </c>
      <c r="E476" s="73" t="s">
        <v>1114</v>
      </c>
      <c r="F476" s="73" t="s">
        <v>1301</v>
      </c>
      <c r="H476" s="85" t="s">
        <v>1625</v>
      </c>
      <c r="I476" s="87">
        <f t="shared" si="22"/>
        <v>28</v>
      </c>
      <c r="J476" s="87" t="s">
        <v>2169</v>
      </c>
      <c r="K476" s="87">
        <f t="shared" si="23"/>
        <v>0</v>
      </c>
      <c r="L476" s="88">
        <f t="shared" si="24"/>
        <v>1</v>
      </c>
      <c r="M476" s="89"/>
      <c r="N476" s="89"/>
      <c r="O476" s="89"/>
      <c r="P476" s="89"/>
      <c r="Q476" s="89"/>
      <c r="R476" s="89"/>
      <c r="S476" s="89"/>
      <c r="T476" s="89"/>
      <c r="U476" s="89"/>
      <c r="V476" s="89"/>
      <c r="W476" s="89"/>
      <c r="X476" s="89"/>
      <c r="Y476" s="89"/>
      <c r="Z476" s="89"/>
      <c r="AA476" s="89"/>
      <c r="AB476" s="89"/>
      <c r="AC476" s="89"/>
      <c r="AD476" s="89"/>
      <c r="AE476" s="89"/>
      <c r="AF476" s="89"/>
      <c r="AG476" s="89"/>
      <c r="AH476" s="89"/>
      <c r="AI476" s="89"/>
      <c r="AJ476" s="89"/>
      <c r="AK476" s="89"/>
      <c r="AL476" s="89"/>
      <c r="AM476" s="89"/>
      <c r="AN476" s="89"/>
      <c r="AO476" s="89"/>
      <c r="AP476" s="89"/>
      <c r="AQ476" s="89"/>
    </row>
    <row r="477" spans="1:43" s="73" customFormat="1" ht="15.75" thickBot="1" x14ac:dyDescent="0.3">
      <c r="A477" s="73" t="s">
        <v>229</v>
      </c>
      <c r="B477" s="73" t="s">
        <v>497</v>
      </c>
      <c r="C477" s="73" t="s">
        <v>1063</v>
      </c>
      <c r="D477" s="73" t="s">
        <v>498</v>
      </c>
      <c r="E477" s="85" t="s">
        <v>19</v>
      </c>
      <c r="F477" s="85" t="s">
        <v>1301</v>
      </c>
      <c r="G477" s="85"/>
      <c r="H477" s="85" t="s">
        <v>837</v>
      </c>
      <c r="I477" s="142">
        <f t="shared" si="22"/>
        <v>28</v>
      </c>
      <c r="J477" s="147" t="s">
        <v>2044</v>
      </c>
      <c r="K477" s="142">
        <f t="shared" si="23"/>
        <v>0</v>
      </c>
      <c r="L477" s="143">
        <f t="shared" si="24"/>
        <v>1</v>
      </c>
      <c r="M477" s="70"/>
      <c r="N477" s="70"/>
      <c r="O477" s="70"/>
      <c r="P477" s="70"/>
      <c r="Q477" s="70"/>
      <c r="R477" s="70"/>
      <c r="S477" s="70"/>
      <c r="T477" s="70"/>
      <c r="U477" s="70"/>
      <c r="V477" s="70"/>
      <c r="W477" s="70"/>
      <c r="X477" s="70"/>
      <c r="Y477" s="70"/>
      <c r="Z477" s="70"/>
      <c r="AA477" s="70"/>
      <c r="AB477" s="70"/>
      <c r="AC477" s="70"/>
      <c r="AD477" s="70"/>
      <c r="AE477" s="70"/>
      <c r="AF477" s="70"/>
      <c r="AG477" s="70"/>
      <c r="AH477" s="70"/>
      <c r="AI477" s="70"/>
      <c r="AJ477" s="70"/>
      <c r="AK477" s="70"/>
      <c r="AL477" s="70"/>
      <c r="AM477" s="70"/>
      <c r="AN477" s="70"/>
      <c r="AO477" s="70"/>
      <c r="AP477" s="89"/>
      <c r="AQ477" s="89"/>
    </row>
    <row r="478" spans="1:43" ht="15.75" thickBot="1" x14ac:dyDescent="0.3">
      <c r="A478" t="s">
        <v>229</v>
      </c>
      <c r="B478" t="s">
        <v>499</v>
      </c>
      <c r="C478" t="s">
        <v>1063</v>
      </c>
      <c r="D478" t="s">
        <v>500</v>
      </c>
      <c r="E478" s="30" t="s">
        <v>15</v>
      </c>
      <c r="F478" s="30" t="s">
        <v>20</v>
      </c>
      <c r="G478" s="30"/>
      <c r="H478" s="30" t="s">
        <v>838</v>
      </c>
      <c r="I478" s="31">
        <f t="shared" si="22"/>
        <v>20</v>
      </c>
      <c r="J478" s="87"/>
      <c r="K478" s="31">
        <f t="shared" si="23"/>
        <v>8</v>
      </c>
      <c r="L478" s="32">
        <f t="shared" si="24"/>
        <v>0.7142857142857143</v>
      </c>
      <c r="M478" s="70" t="s">
        <v>2213</v>
      </c>
      <c r="N478" s="70" t="s">
        <v>2213</v>
      </c>
      <c r="O478" s="70" t="s">
        <v>2213</v>
      </c>
      <c r="P478" s="70" t="s">
        <v>2213</v>
      </c>
      <c r="Q478" s="70" t="s">
        <v>2213</v>
      </c>
      <c r="R478" s="70" t="s">
        <v>2213</v>
      </c>
      <c r="S478" s="70" t="s">
        <v>2213</v>
      </c>
      <c r="T478" s="70" t="s">
        <v>2213</v>
      </c>
      <c r="U478" s="70"/>
      <c r="V478" s="70"/>
      <c r="W478" s="70"/>
      <c r="X478" s="70"/>
      <c r="Y478" s="70"/>
      <c r="Z478" s="70"/>
      <c r="AA478" s="70"/>
      <c r="AB478" s="70"/>
      <c r="AC478" s="70"/>
      <c r="AD478" s="70"/>
      <c r="AE478" s="70"/>
      <c r="AF478" s="70"/>
      <c r="AG478" s="70"/>
      <c r="AH478" s="70"/>
      <c r="AI478" s="70"/>
      <c r="AJ478" s="70"/>
      <c r="AK478" s="70"/>
      <c r="AL478" s="70"/>
      <c r="AM478" s="70"/>
      <c r="AN478" s="70"/>
      <c r="AO478" s="70"/>
      <c r="AP478" s="70"/>
      <c r="AQ478" s="70"/>
    </row>
    <row r="479" spans="1:43" ht="15.75" thickBot="1" x14ac:dyDescent="0.3">
      <c r="A479" t="s">
        <v>229</v>
      </c>
      <c r="B479" t="s">
        <v>501</v>
      </c>
      <c r="C479" t="s">
        <v>1063</v>
      </c>
      <c r="D479" t="s">
        <v>502</v>
      </c>
      <c r="E479" s="30" t="s">
        <v>73</v>
      </c>
      <c r="F479" s="30" t="s">
        <v>20</v>
      </c>
      <c r="G479" s="30"/>
      <c r="H479" s="30" t="s">
        <v>839</v>
      </c>
      <c r="I479" s="31">
        <f t="shared" si="22"/>
        <v>23</v>
      </c>
      <c r="J479" s="87"/>
      <c r="K479" s="31">
        <f t="shared" si="23"/>
        <v>5</v>
      </c>
      <c r="L479" s="32">
        <f t="shared" si="24"/>
        <v>0.8214285714285714</v>
      </c>
      <c r="M479" s="70"/>
      <c r="N479" s="70"/>
      <c r="O479" s="70"/>
      <c r="P479" s="70" t="s">
        <v>2213</v>
      </c>
      <c r="Q479" s="70" t="s">
        <v>2213</v>
      </c>
      <c r="R479" s="70" t="s">
        <v>2213</v>
      </c>
      <c r="S479" s="70" t="s">
        <v>2213</v>
      </c>
      <c r="T479" s="70" t="s">
        <v>2213</v>
      </c>
      <c r="U479" s="70"/>
      <c r="V479" s="70"/>
      <c r="W479" s="70"/>
      <c r="X479" s="70"/>
      <c r="Y479" s="70"/>
      <c r="Z479" s="70"/>
      <c r="AA479" s="70"/>
      <c r="AB479" s="70"/>
      <c r="AC479" s="70"/>
      <c r="AD479" s="70"/>
      <c r="AE479" s="70"/>
      <c r="AF479" s="70"/>
      <c r="AG479" s="70"/>
      <c r="AH479" s="70"/>
      <c r="AI479" s="70"/>
      <c r="AJ479" s="70"/>
      <c r="AK479" s="70"/>
      <c r="AL479" s="70"/>
      <c r="AM479" s="70"/>
      <c r="AN479" s="70"/>
      <c r="AO479" s="70"/>
      <c r="AP479" s="70"/>
      <c r="AQ479" s="70"/>
    </row>
    <row r="480" spans="1:43" ht="15.75" thickBot="1" x14ac:dyDescent="0.3">
      <c r="A480" t="s">
        <v>229</v>
      </c>
      <c r="B480" t="s">
        <v>503</v>
      </c>
      <c r="C480" t="s">
        <v>1063</v>
      </c>
      <c r="D480" t="s">
        <v>502</v>
      </c>
      <c r="E480" s="30" t="s">
        <v>73</v>
      </c>
      <c r="F480" s="30" t="s">
        <v>20</v>
      </c>
      <c r="G480" s="30"/>
      <c r="H480" s="30" t="s">
        <v>840</v>
      </c>
      <c r="I480" s="31">
        <f t="shared" si="22"/>
        <v>23</v>
      </c>
      <c r="J480" s="87"/>
      <c r="K480" s="31">
        <f t="shared" si="23"/>
        <v>5</v>
      </c>
      <c r="L480" s="32">
        <f t="shared" si="24"/>
        <v>0.8214285714285714</v>
      </c>
      <c r="M480" s="70"/>
      <c r="N480" s="70"/>
      <c r="O480" s="70"/>
      <c r="P480" s="70" t="s">
        <v>2213</v>
      </c>
      <c r="Q480" s="70" t="s">
        <v>2213</v>
      </c>
      <c r="R480" s="70" t="s">
        <v>2213</v>
      </c>
      <c r="S480" s="70" t="s">
        <v>2213</v>
      </c>
      <c r="T480" s="70" t="s">
        <v>2213</v>
      </c>
      <c r="U480" s="70"/>
      <c r="V480" s="70"/>
      <c r="W480" s="70"/>
      <c r="X480" s="70"/>
      <c r="Y480" s="70"/>
      <c r="Z480" s="70"/>
      <c r="AA480" s="70"/>
      <c r="AB480" s="70"/>
      <c r="AC480" s="70"/>
      <c r="AD480" s="70"/>
      <c r="AE480" s="70"/>
      <c r="AF480" s="70"/>
      <c r="AG480" s="70"/>
      <c r="AH480" s="70"/>
      <c r="AI480" s="70"/>
      <c r="AJ480" s="70"/>
      <c r="AK480" s="70"/>
      <c r="AL480" s="70"/>
      <c r="AM480" s="70"/>
      <c r="AN480" s="70"/>
      <c r="AO480" s="70"/>
      <c r="AP480" s="70"/>
      <c r="AQ480" s="70"/>
    </row>
    <row r="481" spans="1:43" ht="15.75" thickBot="1" x14ac:dyDescent="0.3">
      <c r="A481" t="s">
        <v>229</v>
      </c>
      <c r="B481" t="s">
        <v>504</v>
      </c>
      <c r="C481" t="s">
        <v>1063</v>
      </c>
      <c r="D481" t="s">
        <v>505</v>
      </c>
      <c r="E481" s="30" t="s">
        <v>73</v>
      </c>
      <c r="F481" s="30" t="s">
        <v>20</v>
      </c>
      <c r="G481" s="30"/>
      <c r="H481" s="30" t="s">
        <v>841</v>
      </c>
      <c r="I481" s="31">
        <f t="shared" si="22"/>
        <v>23</v>
      </c>
      <c r="J481" s="87"/>
      <c r="K481" s="31">
        <f t="shared" si="23"/>
        <v>5</v>
      </c>
      <c r="L481" s="32">
        <f t="shared" si="24"/>
        <v>0.8214285714285714</v>
      </c>
      <c r="M481" s="70"/>
      <c r="N481" s="70"/>
      <c r="O481" s="70"/>
      <c r="P481" s="70" t="s">
        <v>2213</v>
      </c>
      <c r="Q481" s="70" t="s">
        <v>2213</v>
      </c>
      <c r="R481" s="70" t="s">
        <v>2213</v>
      </c>
      <c r="S481" s="70" t="s">
        <v>2213</v>
      </c>
      <c r="T481" s="70" t="s">
        <v>2213</v>
      </c>
      <c r="U481" s="70"/>
      <c r="V481" s="70"/>
      <c r="W481" s="70"/>
      <c r="X481" s="70"/>
      <c r="Y481" s="70"/>
      <c r="Z481" s="70"/>
      <c r="AA481" s="70"/>
      <c r="AB481" s="70"/>
      <c r="AC481" s="70"/>
      <c r="AD481" s="70"/>
      <c r="AE481" s="70"/>
      <c r="AF481" s="70"/>
      <c r="AG481" s="70"/>
      <c r="AH481" s="70"/>
      <c r="AI481" s="70"/>
      <c r="AJ481" s="70"/>
      <c r="AK481" s="70"/>
      <c r="AL481" s="70"/>
      <c r="AM481" s="70"/>
      <c r="AN481" s="70"/>
      <c r="AO481" s="70"/>
      <c r="AP481" s="70"/>
      <c r="AQ481" s="70"/>
    </row>
    <row r="482" spans="1:43" ht="15.75" thickBot="1" x14ac:dyDescent="0.3">
      <c r="A482" t="s">
        <v>229</v>
      </c>
      <c r="B482" t="s">
        <v>506</v>
      </c>
      <c r="C482" t="s">
        <v>1063</v>
      </c>
      <c r="D482" t="s">
        <v>505</v>
      </c>
      <c r="E482" s="30" t="s">
        <v>73</v>
      </c>
      <c r="F482" s="30" t="s">
        <v>20</v>
      </c>
      <c r="G482" s="30"/>
      <c r="H482" s="30" t="s">
        <v>842</v>
      </c>
      <c r="I482" s="31">
        <f t="shared" si="22"/>
        <v>23</v>
      </c>
      <c r="J482" s="87"/>
      <c r="K482" s="31">
        <f t="shared" si="23"/>
        <v>5</v>
      </c>
      <c r="L482" s="32">
        <f t="shared" si="24"/>
        <v>0.8214285714285714</v>
      </c>
      <c r="M482" s="70"/>
      <c r="N482" s="70"/>
      <c r="O482" s="70"/>
      <c r="P482" s="70" t="s">
        <v>2213</v>
      </c>
      <c r="Q482" s="70" t="s">
        <v>2213</v>
      </c>
      <c r="R482" s="70" t="s">
        <v>2213</v>
      </c>
      <c r="S482" s="70" t="s">
        <v>2213</v>
      </c>
      <c r="T482" s="70" t="s">
        <v>2213</v>
      </c>
      <c r="U482" s="70"/>
      <c r="V482" s="70"/>
      <c r="W482" s="70"/>
      <c r="X482" s="70"/>
      <c r="Y482" s="70"/>
      <c r="Z482" s="70"/>
      <c r="AA482" s="70"/>
      <c r="AB482" s="70"/>
      <c r="AC482" s="70"/>
      <c r="AD482" s="70"/>
      <c r="AE482" s="70"/>
      <c r="AF482" s="70"/>
      <c r="AG482" s="70"/>
      <c r="AH482" s="70"/>
      <c r="AI482" s="70"/>
      <c r="AJ482" s="70"/>
      <c r="AK482" s="70"/>
      <c r="AL482" s="70"/>
      <c r="AM482" s="70"/>
      <c r="AN482" s="70"/>
      <c r="AO482" s="70"/>
      <c r="AP482" s="70"/>
      <c r="AQ482" s="70"/>
    </row>
    <row r="483" spans="1:43" ht="15.75" thickBot="1" x14ac:dyDescent="0.3">
      <c r="A483" t="s">
        <v>229</v>
      </c>
      <c r="B483" t="s">
        <v>507</v>
      </c>
      <c r="C483" t="s">
        <v>1063</v>
      </c>
      <c r="D483" t="s">
        <v>508</v>
      </c>
      <c r="E483" s="30" t="s">
        <v>15</v>
      </c>
      <c r="F483" s="30" t="s">
        <v>28</v>
      </c>
      <c r="G483" s="30"/>
      <c r="H483" s="30" t="s">
        <v>843</v>
      </c>
      <c r="I483" s="31">
        <f t="shared" si="22"/>
        <v>27</v>
      </c>
      <c r="J483" s="147" t="s">
        <v>2045</v>
      </c>
      <c r="K483" s="31">
        <f t="shared" si="23"/>
        <v>1</v>
      </c>
      <c r="L483" s="32">
        <f t="shared" si="24"/>
        <v>0.9642857142857143</v>
      </c>
      <c r="M483" s="70" t="s">
        <v>2213</v>
      </c>
      <c r="N483" s="70"/>
      <c r="O483" s="70"/>
      <c r="P483" s="70"/>
      <c r="Q483" s="70"/>
      <c r="R483" s="70"/>
      <c r="S483" s="70"/>
      <c r="T483" s="70"/>
      <c r="U483" s="70"/>
      <c r="V483" s="70"/>
      <c r="W483" s="70"/>
      <c r="X483" s="70"/>
      <c r="Y483" s="70"/>
      <c r="Z483" s="70"/>
      <c r="AA483" s="70"/>
      <c r="AB483" s="70"/>
      <c r="AC483" s="70"/>
      <c r="AD483" s="70"/>
      <c r="AE483" s="70"/>
      <c r="AF483" s="70"/>
      <c r="AG483" s="70"/>
      <c r="AH483" s="70"/>
      <c r="AI483" s="70"/>
      <c r="AJ483" s="70"/>
      <c r="AK483" s="70"/>
      <c r="AL483" s="70"/>
      <c r="AM483" s="70"/>
      <c r="AN483" s="70"/>
      <c r="AO483" s="70"/>
      <c r="AP483" s="70"/>
      <c r="AQ483" s="70"/>
    </row>
    <row r="484" spans="1:43" ht="15.75" thickBot="1" x14ac:dyDescent="0.3">
      <c r="A484" t="s">
        <v>229</v>
      </c>
      <c r="B484" t="s">
        <v>1034</v>
      </c>
      <c r="C484" t="s">
        <v>1063</v>
      </c>
      <c r="D484" t="s">
        <v>509</v>
      </c>
      <c r="E484" s="30" t="s">
        <v>73</v>
      </c>
      <c r="F484" s="30" t="s">
        <v>28</v>
      </c>
      <c r="G484" s="30"/>
      <c r="H484" s="30" t="s">
        <v>844</v>
      </c>
      <c r="I484" s="31">
        <f t="shared" si="22"/>
        <v>28</v>
      </c>
      <c r="J484" s="147" t="s">
        <v>2046</v>
      </c>
      <c r="K484" s="31">
        <f t="shared" si="23"/>
        <v>0</v>
      </c>
      <c r="L484" s="32">
        <f t="shared" si="24"/>
        <v>1</v>
      </c>
      <c r="M484" s="70"/>
      <c r="N484" s="70"/>
      <c r="O484" s="70"/>
      <c r="P484" s="70"/>
      <c r="Q484" s="70"/>
      <c r="R484" s="70"/>
      <c r="S484" s="70"/>
      <c r="T484" s="70"/>
      <c r="U484" s="70"/>
      <c r="V484" s="70"/>
      <c r="W484" s="70"/>
      <c r="X484" s="70"/>
      <c r="Y484" s="70"/>
      <c r="Z484" s="70"/>
      <c r="AA484" s="70"/>
      <c r="AB484" s="70"/>
      <c r="AC484" s="70"/>
      <c r="AD484" s="70"/>
      <c r="AE484" s="70"/>
      <c r="AF484" s="70"/>
      <c r="AG484" s="70"/>
      <c r="AH484" s="70"/>
      <c r="AI484" s="70"/>
      <c r="AJ484" s="70"/>
      <c r="AK484" s="70"/>
      <c r="AL484" s="70"/>
      <c r="AM484" s="70"/>
      <c r="AN484" s="70"/>
      <c r="AO484" s="70"/>
      <c r="AP484" s="70"/>
      <c r="AQ484" s="70"/>
    </row>
    <row r="485" spans="1:43" ht="15.75" thickBot="1" x14ac:dyDescent="0.3">
      <c r="A485" t="s">
        <v>229</v>
      </c>
      <c r="B485" t="s">
        <v>1035</v>
      </c>
      <c r="C485" t="s">
        <v>1063</v>
      </c>
      <c r="D485" t="s">
        <v>509</v>
      </c>
      <c r="E485" s="30" t="s">
        <v>73</v>
      </c>
      <c r="F485" s="30" t="s">
        <v>28</v>
      </c>
      <c r="G485" s="30"/>
      <c r="H485" s="30" t="s">
        <v>845</v>
      </c>
      <c r="I485" s="31">
        <f t="shared" si="22"/>
        <v>28</v>
      </c>
      <c r="J485" s="147" t="s">
        <v>2047</v>
      </c>
      <c r="K485" s="31">
        <f t="shared" si="23"/>
        <v>0</v>
      </c>
      <c r="L485" s="32">
        <f t="shared" si="24"/>
        <v>1</v>
      </c>
      <c r="M485" s="70"/>
      <c r="N485" s="70"/>
      <c r="O485" s="70"/>
      <c r="P485" s="70"/>
      <c r="Q485" s="70"/>
      <c r="R485" s="70"/>
      <c r="S485" s="70"/>
      <c r="T485" s="70"/>
      <c r="U485" s="70"/>
      <c r="V485" s="70"/>
      <c r="W485" s="70"/>
      <c r="X485" s="70"/>
      <c r="Y485" s="70"/>
      <c r="Z485" s="70"/>
      <c r="AA485" s="70"/>
      <c r="AB485" s="70"/>
      <c r="AC485" s="70"/>
      <c r="AD485" s="70"/>
      <c r="AE485" s="70"/>
      <c r="AF485" s="70"/>
      <c r="AG485" s="70"/>
      <c r="AH485" s="70"/>
      <c r="AI485" s="70"/>
      <c r="AJ485" s="70"/>
      <c r="AK485" s="70"/>
      <c r="AL485" s="70"/>
      <c r="AM485" s="70"/>
      <c r="AN485" s="70"/>
      <c r="AO485" s="70"/>
      <c r="AP485" s="70"/>
      <c r="AQ485" s="70"/>
    </row>
    <row r="486" spans="1:43" ht="15.75" thickBot="1" x14ac:dyDescent="0.3">
      <c r="A486" t="s">
        <v>229</v>
      </c>
      <c r="B486" t="s">
        <v>510</v>
      </c>
      <c r="C486" t="s">
        <v>1063</v>
      </c>
      <c r="D486" t="s">
        <v>511</v>
      </c>
      <c r="E486" s="30" t="s">
        <v>73</v>
      </c>
      <c r="F486" s="30" t="s">
        <v>28</v>
      </c>
      <c r="G486" s="30"/>
      <c r="H486" s="30" t="s">
        <v>846</v>
      </c>
      <c r="I486" s="31">
        <f t="shared" si="22"/>
        <v>28</v>
      </c>
      <c r="J486" s="147" t="s">
        <v>2048</v>
      </c>
      <c r="K486" s="31">
        <f t="shared" si="23"/>
        <v>0</v>
      </c>
      <c r="L486" s="32">
        <f t="shared" si="24"/>
        <v>1</v>
      </c>
      <c r="M486" s="70"/>
      <c r="N486" s="70"/>
      <c r="O486" s="70"/>
      <c r="P486" s="70"/>
      <c r="Q486" s="70"/>
      <c r="R486" s="70"/>
      <c r="S486" s="70"/>
      <c r="T486" s="70"/>
      <c r="U486" s="70"/>
      <c r="V486" s="70"/>
      <c r="W486" s="70"/>
      <c r="X486" s="70"/>
      <c r="Y486" s="70"/>
      <c r="Z486" s="70"/>
      <c r="AA486" s="70"/>
      <c r="AB486" s="70"/>
      <c r="AC486" s="70"/>
      <c r="AD486" s="70"/>
      <c r="AE486" s="70"/>
      <c r="AF486" s="70"/>
      <c r="AG486" s="70"/>
      <c r="AH486" s="70"/>
      <c r="AI486" s="70"/>
      <c r="AJ486" s="70"/>
      <c r="AK486" s="70"/>
      <c r="AL486" s="70"/>
      <c r="AM486" s="70"/>
      <c r="AN486" s="70"/>
      <c r="AO486" s="70"/>
      <c r="AP486" s="70"/>
      <c r="AQ486" s="70"/>
    </row>
    <row r="487" spans="1:43" ht="15.75" thickBot="1" x14ac:dyDescent="0.3">
      <c r="A487" t="s">
        <v>229</v>
      </c>
      <c r="B487" t="s">
        <v>512</v>
      </c>
      <c r="C487" t="s">
        <v>1063</v>
      </c>
      <c r="D487" t="s">
        <v>511</v>
      </c>
      <c r="E487" s="30" t="s">
        <v>73</v>
      </c>
      <c r="F487" s="30" t="s">
        <v>28</v>
      </c>
      <c r="G487" s="30"/>
      <c r="H487" s="30" t="s">
        <v>847</v>
      </c>
      <c r="I487" s="31">
        <f t="shared" si="22"/>
        <v>28</v>
      </c>
      <c r="J487" s="147" t="s">
        <v>2049</v>
      </c>
      <c r="K487" s="31">
        <f t="shared" si="23"/>
        <v>0</v>
      </c>
      <c r="L487" s="32">
        <f t="shared" si="24"/>
        <v>1</v>
      </c>
      <c r="M487" s="70"/>
      <c r="N487" s="70"/>
      <c r="O487" s="70"/>
      <c r="P487" s="70"/>
      <c r="Q487" s="70"/>
      <c r="R487" s="70"/>
      <c r="S487" s="70"/>
      <c r="T487" s="70"/>
      <c r="U487" s="70"/>
      <c r="V487" s="70"/>
      <c r="W487" s="70"/>
      <c r="X487" s="70"/>
      <c r="Y487" s="70"/>
      <c r="Z487" s="70"/>
      <c r="AA487" s="70"/>
      <c r="AB487" s="70"/>
      <c r="AC487" s="70"/>
      <c r="AD487" s="70"/>
      <c r="AE487" s="70"/>
      <c r="AF487" s="70"/>
      <c r="AG487" s="70"/>
      <c r="AH487" s="70"/>
      <c r="AI487" s="70"/>
      <c r="AJ487" s="70"/>
      <c r="AK487" s="70"/>
      <c r="AL487" s="70"/>
      <c r="AM487" s="70"/>
      <c r="AN487" s="70"/>
      <c r="AO487" s="70"/>
      <c r="AP487" s="70"/>
      <c r="AQ487" s="70"/>
    </row>
    <row r="488" spans="1:43" ht="15.75" thickBot="1" x14ac:dyDescent="0.3">
      <c r="A488" t="s">
        <v>229</v>
      </c>
      <c r="B488" s="30" t="s">
        <v>1095</v>
      </c>
      <c r="C488" s="30" t="s">
        <v>1063</v>
      </c>
      <c r="D488" t="s">
        <v>1096</v>
      </c>
      <c r="E488" s="30" t="s">
        <v>19</v>
      </c>
      <c r="F488" s="30" t="s">
        <v>28</v>
      </c>
      <c r="G488" s="30"/>
      <c r="H488" s="30" t="s">
        <v>1097</v>
      </c>
      <c r="I488" s="31">
        <f t="shared" si="22"/>
        <v>26</v>
      </c>
      <c r="J488" s="147" t="s">
        <v>2050</v>
      </c>
      <c r="K488" s="31">
        <f t="shared" si="23"/>
        <v>2</v>
      </c>
      <c r="L488" s="32">
        <f t="shared" si="24"/>
        <v>0.9285714285714286</v>
      </c>
      <c r="M488" s="70" t="s">
        <v>2213</v>
      </c>
      <c r="N488" s="70" t="s">
        <v>2213</v>
      </c>
      <c r="O488" s="70"/>
      <c r="P488" s="70"/>
      <c r="Q488" s="70"/>
      <c r="R488" s="70"/>
      <c r="S488" s="70"/>
      <c r="T488" s="70"/>
      <c r="U488" s="70"/>
      <c r="V488" s="70"/>
      <c r="W488" s="70"/>
      <c r="X488" s="70"/>
      <c r="Y488" s="70"/>
      <c r="Z488" s="70"/>
      <c r="AA488" s="70"/>
      <c r="AB488" s="70"/>
      <c r="AC488" s="70"/>
      <c r="AD488" s="70"/>
      <c r="AE488" s="70"/>
      <c r="AF488" s="70"/>
      <c r="AG488" s="70"/>
      <c r="AH488" s="70"/>
      <c r="AI488" s="70"/>
      <c r="AJ488" s="70"/>
      <c r="AK488" s="70"/>
      <c r="AL488" s="70"/>
      <c r="AM488" s="70"/>
      <c r="AN488" s="70"/>
      <c r="AO488" s="70"/>
      <c r="AP488" s="70"/>
      <c r="AQ488" s="70"/>
    </row>
    <row r="489" spans="1:43" ht="15.75" thickBot="1" x14ac:dyDescent="0.3">
      <c r="A489" t="s">
        <v>229</v>
      </c>
      <c r="B489" s="30" t="s">
        <v>1100</v>
      </c>
      <c r="C489" s="30" t="s">
        <v>1063</v>
      </c>
      <c r="D489" t="s">
        <v>1098</v>
      </c>
      <c r="E489" s="30" t="s">
        <v>19</v>
      </c>
      <c r="F489" s="30" t="s">
        <v>28</v>
      </c>
      <c r="G489" s="30"/>
      <c r="H489" s="30" t="s">
        <v>1099</v>
      </c>
      <c r="I489" s="31">
        <f t="shared" si="22"/>
        <v>28</v>
      </c>
      <c r="J489" s="147" t="s">
        <v>2051</v>
      </c>
      <c r="K489" s="31">
        <f t="shared" si="23"/>
        <v>0</v>
      </c>
      <c r="L489" s="32">
        <f t="shared" si="24"/>
        <v>1</v>
      </c>
      <c r="M489" s="70"/>
      <c r="N489" s="70"/>
      <c r="O489" s="70"/>
      <c r="P489" s="70"/>
      <c r="Q489" s="70"/>
      <c r="R489" s="70"/>
      <c r="S489" s="70"/>
      <c r="T489" s="70"/>
      <c r="U489" s="70"/>
      <c r="V489" s="70"/>
      <c r="W489" s="70"/>
      <c r="X489" s="70"/>
      <c r="Y489" s="70"/>
      <c r="Z489" s="70"/>
      <c r="AA489" s="70"/>
      <c r="AB489" s="70"/>
      <c r="AC489" s="70"/>
      <c r="AD489" s="70"/>
      <c r="AE489" s="70"/>
      <c r="AF489" s="70"/>
      <c r="AG489" s="70"/>
      <c r="AH489" s="70"/>
      <c r="AI489" s="70"/>
      <c r="AJ489" s="70"/>
      <c r="AK489" s="70"/>
      <c r="AL489" s="70"/>
      <c r="AM489" s="70"/>
      <c r="AN489" s="70"/>
      <c r="AO489" s="70"/>
      <c r="AP489" s="70"/>
      <c r="AQ489" s="70"/>
    </row>
    <row r="490" spans="1:43" ht="15.75" thickBot="1" x14ac:dyDescent="0.3">
      <c r="A490" t="s">
        <v>229</v>
      </c>
      <c r="B490" s="30" t="s">
        <v>1101</v>
      </c>
      <c r="C490" s="30" t="s">
        <v>1063</v>
      </c>
      <c r="D490" t="s">
        <v>1102</v>
      </c>
      <c r="E490" s="30" t="s">
        <v>19</v>
      </c>
      <c r="F490" s="30" t="s">
        <v>28</v>
      </c>
      <c r="G490" s="30"/>
      <c r="H490" s="30" t="s">
        <v>1103</v>
      </c>
      <c r="I490" s="31">
        <f t="shared" si="22"/>
        <v>27</v>
      </c>
      <c r="J490" s="147" t="s">
        <v>2052</v>
      </c>
      <c r="K490" s="31">
        <f t="shared" si="23"/>
        <v>1</v>
      </c>
      <c r="L490" s="32">
        <f t="shared" si="24"/>
        <v>0.9642857142857143</v>
      </c>
      <c r="M490" s="70" t="s">
        <v>2213</v>
      </c>
      <c r="N490" s="70"/>
      <c r="O490" s="70"/>
      <c r="P490" s="70"/>
      <c r="Q490" s="70"/>
      <c r="R490" s="70"/>
      <c r="S490" s="70"/>
      <c r="T490" s="70"/>
      <c r="U490" s="70"/>
      <c r="V490" s="70"/>
      <c r="W490" s="70"/>
      <c r="X490" s="70"/>
      <c r="Y490" s="70"/>
      <c r="Z490" s="70"/>
      <c r="AA490" s="70"/>
      <c r="AB490" s="70"/>
      <c r="AC490" s="70"/>
      <c r="AD490" s="70"/>
      <c r="AE490" s="70"/>
      <c r="AF490" s="70"/>
      <c r="AG490" s="70"/>
      <c r="AH490" s="70"/>
      <c r="AI490" s="70"/>
      <c r="AJ490" s="70"/>
      <c r="AK490" s="70"/>
      <c r="AL490" s="70"/>
      <c r="AM490" s="70"/>
      <c r="AN490" s="70"/>
      <c r="AO490" s="70"/>
      <c r="AP490" s="70"/>
      <c r="AQ490" s="70"/>
    </row>
    <row r="491" spans="1:43" ht="15.75" thickBot="1" x14ac:dyDescent="0.3">
      <c r="A491" t="s">
        <v>518</v>
      </c>
      <c r="B491" t="s">
        <v>526</v>
      </c>
      <c r="C491" t="s">
        <v>1063</v>
      </c>
      <c r="D491" t="s">
        <v>2257</v>
      </c>
      <c r="E491" s="30" t="s">
        <v>19</v>
      </c>
      <c r="F491" s="30" t="s">
        <v>28</v>
      </c>
      <c r="G491" s="30"/>
      <c r="H491" s="30" t="s">
        <v>848</v>
      </c>
      <c r="I491" s="31">
        <f t="shared" si="22"/>
        <v>28</v>
      </c>
      <c r="J491" s="147" t="s">
        <v>2053</v>
      </c>
      <c r="K491" s="31">
        <f t="shared" si="23"/>
        <v>0</v>
      </c>
      <c r="L491" s="32">
        <f t="shared" si="24"/>
        <v>1</v>
      </c>
      <c r="M491" s="70"/>
      <c r="N491" s="70"/>
      <c r="O491" s="70"/>
      <c r="P491" s="70"/>
      <c r="Q491" s="70"/>
      <c r="R491" s="70"/>
      <c r="S491" s="70"/>
      <c r="T491" s="70"/>
      <c r="U491" s="70"/>
      <c r="V491" s="70"/>
      <c r="W491" s="70"/>
      <c r="X491" s="70"/>
      <c r="Y491" s="70"/>
      <c r="Z491" s="70"/>
      <c r="AA491" s="70"/>
      <c r="AB491" s="70"/>
      <c r="AC491" s="70"/>
      <c r="AD491" s="70"/>
      <c r="AE491" s="70"/>
      <c r="AF491" s="70"/>
      <c r="AG491" s="70"/>
      <c r="AH491" s="70"/>
      <c r="AI491" s="70"/>
      <c r="AJ491" s="70"/>
      <c r="AK491" s="70"/>
      <c r="AL491" s="70"/>
      <c r="AM491" s="70"/>
      <c r="AN491" s="70"/>
      <c r="AO491" s="70"/>
      <c r="AP491" s="70"/>
      <c r="AQ491" s="70"/>
    </row>
    <row r="492" spans="1:43" ht="15.75" thickBot="1" x14ac:dyDescent="0.3">
      <c r="A492" t="s">
        <v>514</v>
      </c>
      <c r="B492" t="s">
        <v>527</v>
      </c>
      <c r="C492" t="s">
        <v>1063</v>
      </c>
      <c r="D492" t="s">
        <v>1091</v>
      </c>
      <c r="E492" s="30" t="s">
        <v>19</v>
      </c>
      <c r="F492" s="30" t="s">
        <v>28</v>
      </c>
      <c r="G492" s="30"/>
      <c r="H492" s="30" t="s">
        <v>849</v>
      </c>
      <c r="I492" s="31">
        <f t="shared" si="22"/>
        <v>28</v>
      </c>
      <c r="J492" s="147" t="s">
        <v>2054</v>
      </c>
      <c r="K492" s="31">
        <f t="shared" si="23"/>
        <v>0</v>
      </c>
      <c r="L492" s="32">
        <f t="shared" si="24"/>
        <v>1</v>
      </c>
      <c r="M492" s="70"/>
      <c r="N492" s="70"/>
      <c r="O492" s="70"/>
      <c r="P492" s="70"/>
      <c r="Q492" s="70"/>
      <c r="R492" s="70"/>
      <c r="S492" s="70"/>
      <c r="T492" s="70"/>
      <c r="U492" s="70"/>
      <c r="V492" s="70"/>
      <c r="W492" s="70"/>
      <c r="X492" s="70"/>
      <c r="Y492" s="70"/>
      <c r="Z492" s="70"/>
      <c r="AA492" s="70"/>
      <c r="AB492" s="70"/>
      <c r="AC492" s="70"/>
      <c r="AD492" s="70"/>
      <c r="AE492" s="70"/>
      <c r="AF492" s="70"/>
      <c r="AG492" s="70"/>
      <c r="AH492" s="70"/>
      <c r="AI492" s="70"/>
      <c r="AJ492" s="70"/>
      <c r="AK492" s="70"/>
      <c r="AL492" s="70"/>
      <c r="AM492" s="70"/>
      <c r="AN492" s="70"/>
      <c r="AO492" s="70"/>
      <c r="AP492" s="70"/>
      <c r="AQ492" s="70"/>
    </row>
    <row r="493" spans="1:43" ht="15.75" thickBot="1" x14ac:dyDescent="0.3">
      <c r="A493" t="s">
        <v>514</v>
      </c>
      <c r="B493" t="s">
        <v>528</v>
      </c>
      <c r="C493" t="s">
        <v>1063</v>
      </c>
      <c r="D493" t="s">
        <v>529</v>
      </c>
      <c r="E493" s="30" t="s">
        <v>19</v>
      </c>
      <c r="F493" s="30" t="s">
        <v>28</v>
      </c>
      <c r="G493" s="30"/>
      <c r="H493" s="30" t="s">
        <v>850</v>
      </c>
      <c r="I493" s="31">
        <f t="shared" si="22"/>
        <v>28</v>
      </c>
      <c r="J493" s="147" t="s">
        <v>2055</v>
      </c>
      <c r="K493" s="31">
        <f t="shared" si="23"/>
        <v>0</v>
      </c>
      <c r="L493" s="32">
        <f t="shared" si="24"/>
        <v>1</v>
      </c>
      <c r="M493" s="70"/>
      <c r="N493" s="70"/>
      <c r="O493" s="70"/>
      <c r="P493" s="70"/>
      <c r="Q493" s="70"/>
      <c r="R493" s="70"/>
      <c r="S493" s="70"/>
      <c r="T493" s="70"/>
      <c r="U493" s="70"/>
      <c r="V493" s="70"/>
      <c r="W493" s="70"/>
      <c r="X493" s="70"/>
      <c r="Y493" s="70"/>
      <c r="Z493" s="70"/>
      <c r="AA493" s="70"/>
      <c r="AB493" s="70"/>
      <c r="AC493" s="70"/>
      <c r="AD493" s="70"/>
      <c r="AE493" s="70"/>
      <c r="AF493" s="70"/>
      <c r="AG493" s="70"/>
      <c r="AH493" s="70"/>
      <c r="AI493" s="70"/>
      <c r="AJ493" s="70"/>
      <c r="AK493" s="70"/>
      <c r="AL493" s="70"/>
      <c r="AM493" s="70"/>
      <c r="AN493" s="70"/>
      <c r="AO493" s="70"/>
      <c r="AP493" s="70"/>
      <c r="AQ493" s="70"/>
    </row>
    <row r="494" spans="1:43" ht="15.75" thickBot="1" x14ac:dyDescent="0.3">
      <c r="A494" s="73" t="s">
        <v>514</v>
      </c>
      <c r="B494" s="73" t="s">
        <v>530</v>
      </c>
      <c r="C494" s="73" t="s">
        <v>1063</v>
      </c>
      <c r="D494" s="73" t="s">
        <v>531</v>
      </c>
      <c r="E494" s="85" t="s">
        <v>19</v>
      </c>
      <c r="F494" s="85" t="s">
        <v>28</v>
      </c>
      <c r="G494" s="85"/>
      <c r="H494" s="85" t="s">
        <v>851</v>
      </c>
      <c r="I494" s="31">
        <f t="shared" si="22"/>
        <v>28</v>
      </c>
      <c r="J494" s="147" t="s">
        <v>2056</v>
      </c>
      <c r="K494" s="31">
        <f t="shared" si="23"/>
        <v>0</v>
      </c>
      <c r="L494" s="32">
        <f t="shared" si="24"/>
        <v>1</v>
      </c>
      <c r="M494" s="70"/>
      <c r="N494" s="70"/>
      <c r="O494" s="70"/>
      <c r="P494" s="70"/>
      <c r="Q494" s="70"/>
      <c r="R494" s="70"/>
      <c r="S494" s="70"/>
      <c r="T494" s="70"/>
      <c r="U494" s="70"/>
      <c r="V494" s="70"/>
      <c r="W494" s="70"/>
      <c r="X494" s="70"/>
      <c r="Y494" s="70"/>
      <c r="Z494" s="70"/>
      <c r="AA494" s="70"/>
      <c r="AB494" s="70"/>
      <c r="AC494" s="70"/>
      <c r="AD494" s="70"/>
      <c r="AE494" s="70"/>
      <c r="AF494" s="70"/>
      <c r="AG494" s="70"/>
      <c r="AH494" s="70"/>
      <c r="AI494" s="70"/>
      <c r="AJ494" s="70"/>
      <c r="AK494" s="70"/>
      <c r="AL494" s="70"/>
      <c r="AM494" s="70"/>
      <c r="AN494" s="70"/>
      <c r="AO494" s="70"/>
      <c r="AP494" s="70"/>
      <c r="AQ494" s="70"/>
    </row>
    <row r="495" spans="1:43" s="73" customFormat="1" ht="15.75" thickBot="1" x14ac:dyDescent="0.3">
      <c r="A495" s="73" t="s">
        <v>514</v>
      </c>
      <c r="B495" s="73" t="s">
        <v>532</v>
      </c>
      <c r="C495" s="73" t="s">
        <v>1063</v>
      </c>
      <c r="D495" s="73" t="s">
        <v>533</v>
      </c>
      <c r="E495" s="85" t="s">
        <v>19</v>
      </c>
      <c r="F495" s="85" t="s">
        <v>1301</v>
      </c>
      <c r="G495" s="85"/>
      <c r="H495" s="85" t="s">
        <v>1504</v>
      </c>
      <c r="I495" s="142">
        <f t="shared" si="22"/>
        <v>28</v>
      </c>
      <c r="J495" s="147" t="s">
        <v>2057</v>
      </c>
      <c r="K495" s="142">
        <f t="shared" si="23"/>
        <v>0</v>
      </c>
      <c r="L495" s="143">
        <f t="shared" si="24"/>
        <v>1</v>
      </c>
      <c r="M495" s="70"/>
      <c r="N495" s="70"/>
      <c r="O495" s="70"/>
      <c r="P495" s="70"/>
      <c r="Q495" s="70"/>
      <c r="R495" s="70"/>
      <c r="S495" s="70"/>
      <c r="T495" s="70"/>
      <c r="U495" s="70"/>
      <c r="V495" s="70"/>
      <c r="W495" s="70"/>
      <c r="X495" s="70"/>
      <c r="Y495" s="70"/>
      <c r="Z495" s="70"/>
      <c r="AA495" s="70"/>
      <c r="AB495" s="70"/>
      <c r="AC495" s="70"/>
      <c r="AD495" s="70"/>
      <c r="AE495" s="70"/>
      <c r="AF495" s="70"/>
      <c r="AG495" s="70"/>
      <c r="AH495" s="70"/>
      <c r="AI495" s="70"/>
      <c r="AJ495" s="70"/>
      <c r="AK495" s="70"/>
      <c r="AL495" s="70"/>
      <c r="AM495" s="70"/>
      <c r="AN495" s="70"/>
      <c r="AO495" s="70"/>
      <c r="AP495" s="89"/>
      <c r="AQ495" s="89"/>
    </row>
    <row r="496" spans="1:43" ht="15.75" thickBot="1" x14ac:dyDescent="0.3">
      <c r="A496" t="s">
        <v>514</v>
      </c>
      <c r="B496" t="s">
        <v>534</v>
      </c>
      <c r="C496" t="s">
        <v>1063</v>
      </c>
      <c r="D496" t="s">
        <v>1069</v>
      </c>
      <c r="E496" s="30" t="s">
        <v>19</v>
      </c>
      <c r="F496" s="30" t="s">
        <v>28</v>
      </c>
      <c r="G496" s="30"/>
      <c r="H496" s="30" t="s">
        <v>852</v>
      </c>
      <c r="I496" s="31">
        <f t="shared" si="22"/>
        <v>28</v>
      </c>
      <c r="J496" s="147" t="s">
        <v>2058</v>
      </c>
      <c r="K496" s="31">
        <f t="shared" si="23"/>
        <v>0</v>
      </c>
      <c r="L496" s="32">
        <f t="shared" si="24"/>
        <v>1</v>
      </c>
      <c r="M496" s="70"/>
      <c r="N496" s="70"/>
      <c r="O496" s="70"/>
      <c r="P496" s="70"/>
      <c r="Q496" s="70"/>
      <c r="R496" s="70"/>
      <c r="S496" s="70"/>
      <c r="T496" s="70"/>
      <c r="U496" s="70"/>
      <c r="V496" s="70"/>
      <c r="W496" s="70"/>
      <c r="X496" s="70"/>
      <c r="Y496" s="70"/>
      <c r="Z496" s="70"/>
      <c r="AA496" s="70"/>
      <c r="AB496" s="70"/>
      <c r="AC496" s="70"/>
      <c r="AD496" s="70"/>
      <c r="AE496" s="70"/>
      <c r="AF496" s="70"/>
      <c r="AG496" s="70"/>
      <c r="AH496" s="70"/>
      <c r="AI496" s="70"/>
      <c r="AJ496" s="70"/>
      <c r="AK496" s="70"/>
      <c r="AL496" s="70"/>
      <c r="AM496" s="70"/>
      <c r="AN496" s="70"/>
      <c r="AO496" s="70"/>
      <c r="AP496" s="70"/>
      <c r="AQ496" s="70"/>
    </row>
    <row r="497" spans="1:43" ht="15.75" thickBot="1" x14ac:dyDescent="0.3">
      <c r="A497" t="s">
        <v>514</v>
      </c>
      <c r="B497" t="s">
        <v>535</v>
      </c>
      <c r="C497" t="s">
        <v>1062</v>
      </c>
      <c r="D497" t="s">
        <v>1068</v>
      </c>
      <c r="E497" s="30" t="s">
        <v>19</v>
      </c>
      <c r="F497" s="30" t="s">
        <v>28</v>
      </c>
      <c r="G497" s="30"/>
      <c r="H497" s="30" t="s">
        <v>853</v>
      </c>
      <c r="I497" s="31">
        <f t="shared" si="22"/>
        <v>28</v>
      </c>
      <c r="J497" s="147" t="s">
        <v>2059</v>
      </c>
      <c r="K497" s="31">
        <f t="shared" si="23"/>
        <v>0</v>
      </c>
      <c r="L497" s="32">
        <f t="shared" si="24"/>
        <v>1</v>
      </c>
      <c r="M497" s="70"/>
      <c r="N497" s="70"/>
      <c r="O497" s="70"/>
      <c r="P497" s="70"/>
      <c r="Q497" s="70"/>
      <c r="R497" s="70"/>
      <c r="S497" s="70"/>
      <c r="T497" s="70"/>
      <c r="U497" s="70"/>
      <c r="V497" s="70"/>
      <c r="W497" s="70"/>
      <c r="X497" s="70"/>
      <c r="Y497" s="70"/>
      <c r="Z497" s="70"/>
      <c r="AA497" s="70"/>
      <c r="AB497" s="70"/>
      <c r="AC497" s="70"/>
      <c r="AD497" s="70"/>
      <c r="AE497" s="70"/>
      <c r="AF497" s="70"/>
      <c r="AG497" s="70"/>
      <c r="AH497" s="70"/>
      <c r="AI497" s="70"/>
      <c r="AJ497" s="70"/>
      <c r="AK497" s="70"/>
      <c r="AL497" s="70"/>
      <c r="AM497" s="70"/>
      <c r="AN497" s="70"/>
      <c r="AO497" s="70"/>
      <c r="AP497" s="70"/>
      <c r="AQ497" s="70"/>
    </row>
    <row r="498" spans="1:43" s="73" customFormat="1" ht="15.75" thickBot="1" x14ac:dyDescent="0.3">
      <c r="A498" s="73" t="s">
        <v>518</v>
      </c>
      <c r="B498" s="73" t="s">
        <v>536</v>
      </c>
      <c r="C498" s="73" t="s">
        <v>1063</v>
      </c>
      <c r="D498" s="73" t="s">
        <v>537</v>
      </c>
      <c r="E498" s="85" t="s">
        <v>19</v>
      </c>
      <c r="F498" s="85" t="s">
        <v>1301</v>
      </c>
      <c r="G498" s="85"/>
      <c r="H498" s="85" t="s">
        <v>854</v>
      </c>
      <c r="I498" s="142">
        <f t="shared" si="22"/>
        <v>28</v>
      </c>
      <c r="J498" s="147" t="s">
        <v>2060</v>
      </c>
      <c r="K498" s="142">
        <f t="shared" si="23"/>
        <v>0</v>
      </c>
      <c r="L498" s="143">
        <f t="shared" si="24"/>
        <v>1</v>
      </c>
      <c r="M498" s="70"/>
      <c r="N498" s="70"/>
      <c r="O498" s="70"/>
      <c r="P498" s="70"/>
      <c r="Q498" s="70"/>
      <c r="R498" s="70"/>
      <c r="S498" s="70"/>
      <c r="T498" s="70"/>
      <c r="U498" s="70"/>
      <c r="V498" s="70"/>
      <c r="W498" s="70"/>
      <c r="X498" s="70"/>
      <c r="Y498" s="70"/>
      <c r="Z498" s="70"/>
      <c r="AA498" s="70"/>
      <c r="AB498" s="70"/>
      <c r="AC498" s="70"/>
      <c r="AD498" s="70"/>
      <c r="AE498" s="70"/>
      <c r="AF498" s="70"/>
      <c r="AG498" s="70"/>
      <c r="AH498" s="70"/>
      <c r="AI498" s="70"/>
      <c r="AJ498" s="70"/>
      <c r="AK498" s="70"/>
      <c r="AL498" s="70"/>
      <c r="AM498" s="70"/>
      <c r="AN498" s="70"/>
      <c r="AO498" s="70"/>
      <c r="AP498" s="89"/>
      <c r="AQ498" s="89"/>
    </row>
    <row r="499" spans="1:43" ht="15.75" thickBot="1" x14ac:dyDescent="0.3">
      <c r="A499" t="s">
        <v>518</v>
      </c>
      <c r="B499" t="s">
        <v>538</v>
      </c>
      <c r="C499" t="s">
        <v>1063</v>
      </c>
      <c r="D499" t="s">
        <v>539</v>
      </c>
      <c r="E499" s="30" t="s">
        <v>19</v>
      </c>
      <c r="F499" s="30" t="s">
        <v>28</v>
      </c>
      <c r="G499" s="30"/>
      <c r="H499" s="30" t="s">
        <v>855</v>
      </c>
      <c r="I499" s="31">
        <f t="shared" si="22"/>
        <v>28</v>
      </c>
      <c r="J499" s="147" t="s">
        <v>2061</v>
      </c>
      <c r="K499" s="31">
        <f t="shared" si="23"/>
        <v>0</v>
      </c>
      <c r="L499" s="32">
        <f t="shared" si="24"/>
        <v>1</v>
      </c>
      <c r="M499" s="70"/>
      <c r="N499" s="70"/>
      <c r="O499" s="70"/>
      <c r="P499" s="70"/>
      <c r="Q499" s="70"/>
      <c r="R499" s="70"/>
      <c r="S499" s="70"/>
      <c r="T499" s="70"/>
      <c r="U499" s="70"/>
      <c r="V499" s="70"/>
      <c r="W499" s="70"/>
      <c r="X499" s="70"/>
      <c r="Y499" s="70"/>
      <c r="Z499" s="70"/>
      <c r="AA499" s="70"/>
      <c r="AB499" s="70"/>
      <c r="AC499" s="70"/>
      <c r="AD499" s="70"/>
      <c r="AE499" s="70"/>
      <c r="AF499" s="70"/>
      <c r="AG499" s="70"/>
      <c r="AH499" s="70"/>
      <c r="AI499" s="70"/>
      <c r="AJ499" s="70"/>
      <c r="AK499" s="70"/>
      <c r="AL499" s="70"/>
      <c r="AM499" s="70"/>
      <c r="AN499" s="70"/>
      <c r="AO499" s="70"/>
      <c r="AP499" s="70"/>
      <c r="AQ499" s="70"/>
    </row>
    <row r="500" spans="1:43" ht="15.75" thickBot="1" x14ac:dyDescent="0.3">
      <c r="A500" t="s">
        <v>514</v>
      </c>
      <c r="B500" t="s">
        <v>1036</v>
      </c>
      <c r="C500" t="s">
        <v>1063</v>
      </c>
      <c r="D500" t="s">
        <v>540</v>
      </c>
      <c r="E500" s="30" t="s">
        <v>19</v>
      </c>
      <c r="F500" s="30" t="s">
        <v>28</v>
      </c>
      <c r="G500" s="30"/>
      <c r="H500" s="30" t="s">
        <v>856</v>
      </c>
      <c r="I500" s="31">
        <f t="shared" si="22"/>
        <v>28</v>
      </c>
      <c r="J500" s="147" t="s">
        <v>2062</v>
      </c>
      <c r="K500" s="31">
        <f t="shared" si="23"/>
        <v>0</v>
      </c>
      <c r="L500" s="32">
        <f t="shared" si="24"/>
        <v>1</v>
      </c>
      <c r="M500" s="70"/>
      <c r="N500" s="70"/>
      <c r="O500" s="70"/>
      <c r="P500" s="70"/>
      <c r="Q500" s="70"/>
      <c r="R500" s="70"/>
      <c r="S500" s="70"/>
      <c r="T500" s="70"/>
      <c r="U500" s="70"/>
      <c r="V500" s="70"/>
      <c r="W500" s="70"/>
      <c r="X500" s="70"/>
      <c r="Y500" s="70"/>
      <c r="Z500" s="70"/>
      <c r="AA500" s="70"/>
      <c r="AB500" s="70"/>
      <c r="AC500" s="70"/>
      <c r="AD500" s="70"/>
      <c r="AE500" s="70"/>
      <c r="AF500" s="70"/>
      <c r="AG500" s="70"/>
      <c r="AH500" s="70"/>
      <c r="AI500" s="70"/>
      <c r="AJ500" s="70"/>
      <c r="AK500" s="70"/>
      <c r="AL500" s="70"/>
      <c r="AM500" s="70"/>
      <c r="AN500" s="70"/>
      <c r="AO500" s="70"/>
      <c r="AP500" s="70"/>
      <c r="AQ500" s="70"/>
    </row>
    <row r="501" spans="1:43" ht="15.75" thickBot="1" x14ac:dyDescent="0.3">
      <c r="A501" t="s">
        <v>518</v>
      </c>
      <c r="B501" t="s">
        <v>541</v>
      </c>
      <c r="C501" t="s">
        <v>1063</v>
      </c>
      <c r="D501" t="s">
        <v>542</v>
      </c>
      <c r="E501" s="30" t="s">
        <v>19</v>
      </c>
      <c r="F501" s="85" t="s">
        <v>1301</v>
      </c>
      <c r="G501" s="30"/>
      <c r="H501" s="30" t="s">
        <v>857</v>
      </c>
      <c r="I501" s="31">
        <f t="shared" si="22"/>
        <v>28</v>
      </c>
      <c r="J501" s="147" t="s">
        <v>2063</v>
      </c>
      <c r="K501" s="31">
        <f t="shared" si="23"/>
        <v>0</v>
      </c>
      <c r="L501" s="32">
        <f t="shared" si="24"/>
        <v>1</v>
      </c>
      <c r="M501" s="70"/>
      <c r="N501" s="70"/>
      <c r="O501" s="70"/>
      <c r="P501" s="70"/>
      <c r="Q501" s="70"/>
      <c r="R501" s="70"/>
      <c r="S501" s="70"/>
      <c r="T501" s="70"/>
      <c r="U501" s="70"/>
      <c r="V501" s="70"/>
      <c r="W501" s="70"/>
      <c r="X501" s="70"/>
      <c r="Y501" s="70"/>
      <c r="Z501" s="70"/>
      <c r="AA501" s="70"/>
      <c r="AB501" s="70"/>
      <c r="AC501" s="70"/>
      <c r="AD501" s="70"/>
      <c r="AE501" s="70"/>
      <c r="AF501" s="70"/>
      <c r="AG501" s="70"/>
      <c r="AH501" s="70"/>
      <c r="AI501" s="70"/>
      <c r="AJ501" s="70"/>
      <c r="AK501" s="70"/>
      <c r="AL501" s="70"/>
      <c r="AM501" s="70"/>
      <c r="AN501" s="70"/>
      <c r="AO501" s="70"/>
      <c r="AP501" s="70"/>
      <c r="AQ501" s="70"/>
    </row>
    <row r="502" spans="1:43" ht="15.75" thickBot="1" x14ac:dyDescent="0.3">
      <c r="A502" t="s">
        <v>518</v>
      </c>
      <c r="B502" t="s">
        <v>1040</v>
      </c>
      <c r="C502" t="s">
        <v>1063</v>
      </c>
      <c r="D502" t="s">
        <v>513</v>
      </c>
      <c r="E502" s="30" t="s">
        <v>15</v>
      </c>
      <c r="F502" s="30" t="s">
        <v>1056</v>
      </c>
      <c r="G502" s="30" t="s">
        <v>1259</v>
      </c>
      <c r="H502" s="30" t="s">
        <v>858</v>
      </c>
      <c r="I502" s="31">
        <f t="shared" si="22"/>
        <v>20</v>
      </c>
      <c r="J502" s="147" t="s">
        <v>2064</v>
      </c>
      <c r="K502" s="31">
        <f t="shared" si="23"/>
        <v>8</v>
      </c>
      <c r="L502" s="32">
        <f t="shared" si="24"/>
        <v>0.7142857142857143</v>
      </c>
      <c r="M502" s="70" t="s">
        <v>2213</v>
      </c>
      <c r="N502" s="70" t="s">
        <v>2213</v>
      </c>
      <c r="O502" s="70" t="s">
        <v>2213</v>
      </c>
      <c r="P502" s="70" t="s">
        <v>2213</v>
      </c>
      <c r="Q502" s="70" t="s">
        <v>2213</v>
      </c>
      <c r="R502" s="70" t="s">
        <v>2213</v>
      </c>
      <c r="S502" s="70" t="s">
        <v>2213</v>
      </c>
      <c r="T502" s="70" t="s">
        <v>2213</v>
      </c>
      <c r="U502" s="70"/>
      <c r="V502" s="70"/>
      <c r="W502" s="70"/>
      <c r="X502" s="70"/>
      <c r="Y502" s="70"/>
      <c r="Z502" s="70"/>
      <c r="AA502" s="70"/>
      <c r="AB502" s="70"/>
      <c r="AC502" s="70"/>
      <c r="AD502" s="70"/>
      <c r="AE502" s="70"/>
      <c r="AF502" s="70"/>
      <c r="AG502" s="70"/>
      <c r="AH502" s="70"/>
      <c r="AI502" s="70"/>
      <c r="AJ502" s="70"/>
      <c r="AK502" s="70"/>
      <c r="AL502" s="70"/>
      <c r="AM502" s="70"/>
      <c r="AN502" s="70"/>
      <c r="AO502" s="70"/>
      <c r="AP502" s="70"/>
      <c r="AQ502" s="70"/>
    </row>
    <row r="503" spans="1:43" ht="15.75" thickBot="1" x14ac:dyDescent="0.3">
      <c r="A503" t="s">
        <v>514</v>
      </c>
      <c r="B503" t="s">
        <v>1041</v>
      </c>
      <c r="C503" t="s">
        <v>1063</v>
      </c>
      <c r="D503" t="s">
        <v>515</v>
      </c>
      <c r="E503" s="30" t="s">
        <v>19</v>
      </c>
      <c r="F503" s="30" t="s">
        <v>28</v>
      </c>
      <c r="G503" s="30"/>
      <c r="H503" s="30" t="s">
        <v>859</v>
      </c>
      <c r="I503" s="31">
        <f t="shared" si="22"/>
        <v>28</v>
      </c>
      <c r="J503" s="147" t="s">
        <v>2065</v>
      </c>
      <c r="K503" s="31">
        <f t="shared" si="23"/>
        <v>0</v>
      </c>
      <c r="L503" s="32">
        <f t="shared" si="24"/>
        <v>1</v>
      </c>
      <c r="M503" s="70"/>
      <c r="N503" s="70"/>
      <c r="O503" s="70"/>
      <c r="P503" s="70"/>
      <c r="Q503" s="70"/>
      <c r="R503" s="70"/>
      <c r="S503" s="70"/>
      <c r="T503" s="70"/>
      <c r="U503" s="70"/>
      <c r="V503" s="70"/>
      <c r="W503" s="70"/>
      <c r="X503" s="70"/>
      <c r="Y503" s="70"/>
      <c r="Z503" s="70"/>
      <c r="AA503" s="70"/>
      <c r="AB503" s="70"/>
      <c r="AC503" s="70"/>
      <c r="AD503" s="70"/>
      <c r="AE503" s="70"/>
      <c r="AF503" s="70"/>
      <c r="AG503" s="70"/>
      <c r="AH503" s="70"/>
      <c r="AI503" s="70"/>
      <c r="AJ503" s="70"/>
      <c r="AK503" s="70"/>
      <c r="AL503" s="70"/>
      <c r="AM503" s="70"/>
      <c r="AN503" s="70"/>
      <c r="AO503" s="70"/>
      <c r="AP503" s="70"/>
      <c r="AQ503" s="70"/>
    </row>
    <row r="504" spans="1:43" ht="15.75" thickBot="1" x14ac:dyDescent="0.3">
      <c r="A504" t="s">
        <v>518</v>
      </c>
      <c r="B504" t="s">
        <v>1037</v>
      </c>
      <c r="C504" t="s">
        <v>1063</v>
      </c>
      <c r="D504" t="s">
        <v>543</v>
      </c>
      <c r="E504" s="30" t="s">
        <v>15</v>
      </c>
      <c r="F504" s="30" t="s">
        <v>28</v>
      </c>
      <c r="G504" s="30"/>
      <c r="H504" s="30" t="s">
        <v>860</v>
      </c>
      <c r="I504" s="31">
        <f t="shared" si="22"/>
        <v>28</v>
      </c>
      <c r="J504" s="147" t="s">
        <v>2066</v>
      </c>
      <c r="K504" s="31">
        <f t="shared" si="23"/>
        <v>0</v>
      </c>
      <c r="L504" s="32">
        <f t="shared" si="24"/>
        <v>1</v>
      </c>
      <c r="M504" s="70"/>
      <c r="N504" s="70"/>
      <c r="O504" s="70"/>
      <c r="P504" s="70"/>
      <c r="Q504" s="70"/>
      <c r="R504" s="70"/>
      <c r="S504" s="70"/>
      <c r="T504" s="70"/>
      <c r="U504" s="70"/>
      <c r="V504" s="70"/>
      <c r="W504" s="70"/>
      <c r="X504" s="70"/>
      <c r="Y504" s="70"/>
      <c r="Z504" s="70"/>
      <c r="AA504" s="70"/>
      <c r="AB504" s="70"/>
      <c r="AC504" s="70"/>
      <c r="AD504" s="70"/>
      <c r="AE504" s="70"/>
      <c r="AF504" s="70"/>
      <c r="AG504" s="70"/>
      <c r="AH504" s="70"/>
      <c r="AI504" s="70"/>
      <c r="AJ504" s="70"/>
      <c r="AK504" s="70"/>
      <c r="AL504" s="70"/>
      <c r="AM504" s="70"/>
      <c r="AN504" s="70"/>
      <c r="AO504" s="70"/>
      <c r="AP504" s="70"/>
      <c r="AQ504" s="70"/>
    </row>
    <row r="505" spans="1:43" ht="15.75" thickBot="1" x14ac:dyDescent="0.3">
      <c r="A505" t="s">
        <v>518</v>
      </c>
      <c r="B505" t="s">
        <v>516</v>
      </c>
      <c r="C505" t="s">
        <v>1063</v>
      </c>
      <c r="D505" t="s">
        <v>517</v>
      </c>
      <c r="E505" s="30" t="s">
        <v>15</v>
      </c>
      <c r="F505" s="30" t="s">
        <v>1056</v>
      </c>
      <c r="G505" s="30" t="s">
        <v>1260</v>
      </c>
      <c r="H505" s="30" t="s">
        <v>861</v>
      </c>
      <c r="I505" s="31">
        <f t="shared" si="22"/>
        <v>28</v>
      </c>
      <c r="J505" s="147" t="s">
        <v>2067</v>
      </c>
      <c r="K505" s="31">
        <f t="shared" si="23"/>
        <v>0</v>
      </c>
      <c r="L505" s="32">
        <f t="shared" si="24"/>
        <v>1</v>
      </c>
      <c r="M505" s="70"/>
      <c r="N505" s="70"/>
      <c r="O505" s="70"/>
      <c r="P505" s="70"/>
      <c r="Q505" s="70"/>
      <c r="R505" s="70"/>
      <c r="S505" s="70"/>
      <c r="T505" s="70"/>
      <c r="U505" s="70"/>
      <c r="V505" s="70"/>
      <c r="W505" s="70"/>
      <c r="X505" s="70"/>
      <c r="Y505" s="70"/>
      <c r="Z505" s="70"/>
      <c r="AA505" s="70"/>
      <c r="AB505" s="70"/>
      <c r="AC505" s="70"/>
      <c r="AD505" s="70"/>
      <c r="AE505" s="70"/>
      <c r="AF505" s="70"/>
      <c r="AG505" s="70"/>
      <c r="AH505" s="70"/>
      <c r="AI505" s="70"/>
      <c r="AJ505" s="70"/>
      <c r="AK505" s="70"/>
      <c r="AL505" s="70"/>
      <c r="AM505" s="70"/>
      <c r="AN505" s="70"/>
      <c r="AO505" s="70"/>
      <c r="AP505" s="70"/>
      <c r="AQ505" s="70"/>
    </row>
    <row r="506" spans="1:43" ht="15.75" thickBot="1" x14ac:dyDescent="0.3">
      <c r="A506" t="s">
        <v>518</v>
      </c>
      <c r="B506" t="s">
        <v>519</v>
      </c>
      <c r="C506" t="s">
        <v>1063</v>
      </c>
      <c r="D506" t="s">
        <v>520</v>
      </c>
      <c r="E506" s="30" t="s">
        <v>15</v>
      </c>
      <c r="F506" s="30" t="s">
        <v>1056</v>
      </c>
      <c r="G506" s="30" t="s">
        <v>1256</v>
      </c>
      <c r="H506" s="30" t="s">
        <v>862</v>
      </c>
      <c r="I506" s="31">
        <f t="shared" si="22"/>
        <v>28</v>
      </c>
      <c r="J506" s="147" t="s">
        <v>2068</v>
      </c>
      <c r="K506" s="31">
        <f t="shared" si="23"/>
        <v>0</v>
      </c>
      <c r="L506" s="32">
        <f t="shared" si="24"/>
        <v>1</v>
      </c>
      <c r="M506" s="70"/>
      <c r="N506" s="70"/>
      <c r="O506" s="70"/>
      <c r="P506" s="70"/>
      <c r="Q506" s="70"/>
      <c r="R506" s="70"/>
      <c r="S506" s="70"/>
      <c r="T506" s="70"/>
      <c r="U506" s="70"/>
      <c r="V506" s="70"/>
      <c r="W506" s="70"/>
      <c r="X506" s="70"/>
      <c r="Y506" s="70"/>
      <c r="Z506" s="70"/>
      <c r="AA506" s="70"/>
      <c r="AB506" s="70"/>
      <c r="AC506" s="70"/>
      <c r="AD506" s="70"/>
      <c r="AE506" s="70"/>
      <c r="AF506" s="70"/>
      <c r="AG506" s="70"/>
      <c r="AH506" s="70"/>
      <c r="AI506" s="70"/>
      <c r="AJ506" s="70"/>
      <c r="AK506" s="70"/>
      <c r="AL506" s="70"/>
      <c r="AM506" s="70"/>
      <c r="AN506" s="70"/>
      <c r="AO506" s="70"/>
      <c r="AP506" s="70"/>
      <c r="AQ506" s="70"/>
    </row>
    <row r="507" spans="1:43" ht="15.75" thickBot="1" x14ac:dyDescent="0.3">
      <c r="A507" t="s">
        <v>518</v>
      </c>
      <c r="B507" t="s">
        <v>521</v>
      </c>
      <c r="C507" t="s">
        <v>1063</v>
      </c>
      <c r="D507" t="s">
        <v>1090</v>
      </c>
      <c r="E507" s="30" t="s">
        <v>15</v>
      </c>
      <c r="F507" s="30" t="s">
        <v>1056</v>
      </c>
      <c r="G507" s="30" t="s">
        <v>1261</v>
      </c>
      <c r="H507" s="30" t="s">
        <v>863</v>
      </c>
      <c r="I507" s="31">
        <f t="shared" si="22"/>
        <v>20</v>
      </c>
      <c r="J507" s="147" t="s">
        <v>2069</v>
      </c>
      <c r="K507" s="31">
        <f t="shared" si="23"/>
        <v>8</v>
      </c>
      <c r="L507" s="32">
        <f t="shared" si="24"/>
        <v>0.7142857142857143</v>
      </c>
      <c r="M507" s="70" t="s">
        <v>2213</v>
      </c>
      <c r="N507" s="70" t="s">
        <v>2213</v>
      </c>
      <c r="O507" s="70" t="s">
        <v>2213</v>
      </c>
      <c r="P507" s="70" t="s">
        <v>2213</v>
      </c>
      <c r="Q507" s="70" t="s">
        <v>2213</v>
      </c>
      <c r="R507" s="70" t="s">
        <v>2213</v>
      </c>
      <c r="S507" s="70" t="s">
        <v>2213</v>
      </c>
      <c r="T507" s="70" t="s">
        <v>2213</v>
      </c>
      <c r="U507" s="70"/>
      <c r="V507" s="70"/>
      <c r="W507" s="70"/>
      <c r="X507" s="70"/>
      <c r="Y507" s="70"/>
      <c r="Z507" s="70"/>
      <c r="AA507" s="70"/>
      <c r="AB507" s="70"/>
      <c r="AC507" s="70"/>
      <c r="AD507" s="70"/>
      <c r="AE507" s="70"/>
      <c r="AF507" s="70"/>
      <c r="AG507" s="70"/>
      <c r="AH507" s="70"/>
      <c r="AI507" s="70"/>
      <c r="AJ507" s="70"/>
      <c r="AK507" s="70"/>
      <c r="AL507" s="70"/>
      <c r="AM507" s="70"/>
      <c r="AN507" s="70"/>
      <c r="AO507" s="70"/>
      <c r="AP507" s="70"/>
      <c r="AQ507" s="70"/>
    </row>
    <row r="508" spans="1:43" ht="15.75" thickBot="1" x14ac:dyDescent="0.3">
      <c r="A508" t="s">
        <v>514</v>
      </c>
      <c r="B508" t="s">
        <v>1042</v>
      </c>
      <c r="C508" t="s">
        <v>1063</v>
      </c>
      <c r="D508" t="s">
        <v>522</v>
      </c>
      <c r="E508" s="30" t="s">
        <v>15</v>
      </c>
      <c r="F508" s="30" t="s">
        <v>1056</v>
      </c>
      <c r="G508" s="30" t="s">
        <v>1262</v>
      </c>
      <c r="H508" s="30" t="s">
        <v>864</v>
      </c>
      <c r="I508" s="31">
        <f t="shared" si="22"/>
        <v>28</v>
      </c>
      <c r="J508" s="147" t="s">
        <v>2070</v>
      </c>
      <c r="K508" s="31">
        <f t="shared" si="23"/>
        <v>0</v>
      </c>
      <c r="L508" s="32">
        <f t="shared" si="24"/>
        <v>1</v>
      </c>
      <c r="M508" s="70"/>
      <c r="N508" s="70"/>
      <c r="O508" s="70"/>
      <c r="P508" s="70"/>
      <c r="Q508" s="70"/>
      <c r="R508" s="70"/>
      <c r="S508" s="70"/>
      <c r="T508" s="70"/>
      <c r="U508" s="70"/>
      <c r="V508" s="70"/>
      <c r="W508" s="70"/>
      <c r="X508" s="70"/>
      <c r="Y508" s="70"/>
      <c r="Z508" s="70"/>
      <c r="AA508" s="70"/>
      <c r="AB508" s="70"/>
      <c r="AC508" s="70"/>
      <c r="AD508" s="70"/>
      <c r="AE508" s="70"/>
      <c r="AF508" s="70"/>
      <c r="AG508" s="70"/>
      <c r="AH508" s="70"/>
      <c r="AI508" s="70"/>
      <c r="AJ508" s="70"/>
      <c r="AK508" s="70"/>
      <c r="AL508" s="70"/>
      <c r="AM508" s="70"/>
      <c r="AN508" s="70"/>
      <c r="AO508" s="70"/>
      <c r="AP508" s="70"/>
      <c r="AQ508" s="70"/>
    </row>
    <row r="509" spans="1:43" ht="15.75" thickBot="1" x14ac:dyDescent="0.3">
      <c r="A509" t="s">
        <v>514</v>
      </c>
      <c r="B509" t="s">
        <v>1043</v>
      </c>
      <c r="C509" t="s">
        <v>1063</v>
      </c>
      <c r="D509" t="s">
        <v>523</v>
      </c>
      <c r="E509" s="30" t="s">
        <v>15</v>
      </c>
      <c r="F509" s="30" t="s">
        <v>20</v>
      </c>
      <c r="G509" s="30"/>
      <c r="H509" s="30" t="s">
        <v>865</v>
      </c>
      <c r="I509" s="31">
        <f t="shared" si="22"/>
        <v>28</v>
      </c>
      <c r="J509" s="73"/>
      <c r="K509" s="31">
        <f t="shared" si="23"/>
        <v>0</v>
      </c>
      <c r="L509" s="32">
        <f t="shared" si="24"/>
        <v>1</v>
      </c>
      <c r="M509" s="70"/>
      <c r="N509" s="70"/>
      <c r="O509" s="70"/>
      <c r="P509" s="70"/>
      <c r="Q509" s="70"/>
      <c r="R509" s="70"/>
      <c r="S509" s="70"/>
      <c r="T509" s="70"/>
      <c r="U509" s="70"/>
      <c r="V509" s="70"/>
      <c r="W509" s="70"/>
      <c r="X509" s="70"/>
      <c r="Y509" s="70"/>
      <c r="Z509" s="70"/>
      <c r="AA509" s="70"/>
      <c r="AB509" s="70"/>
      <c r="AC509" s="70"/>
      <c r="AD509" s="70"/>
      <c r="AE509" s="70"/>
      <c r="AF509" s="70"/>
      <c r="AG509" s="70"/>
      <c r="AH509" s="70"/>
      <c r="AI509" s="70"/>
      <c r="AJ509" s="70"/>
      <c r="AK509" s="70"/>
      <c r="AL509" s="70"/>
      <c r="AM509" s="70"/>
      <c r="AN509" s="70"/>
      <c r="AO509" s="70"/>
      <c r="AP509" s="70"/>
      <c r="AQ509" s="70"/>
    </row>
    <row r="510" spans="1:43" s="73" customFormat="1" ht="15.75" thickBot="1" x14ac:dyDescent="0.3">
      <c r="A510" s="73" t="s">
        <v>518</v>
      </c>
      <c r="B510" s="73" t="s">
        <v>524</v>
      </c>
      <c r="C510" s="73" t="s">
        <v>1063</v>
      </c>
      <c r="D510" s="73" t="s">
        <v>525</v>
      </c>
      <c r="E510" s="85" t="s">
        <v>46</v>
      </c>
      <c r="F510" s="85" t="s">
        <v>1301</v>
      </c>
      <c r="G510" s="85"/>
      <c r="H510" s="85" t="s">
        <v>1367</v>
      </c>
      <c r="I510" s="142">
        <f t="shared" si="22"/>
        <v>28</v>
      </c>
      <c r="J510" s="147" t="s">
        <v>2071</v>
      </c>
      <c r="K510" s="142">
        <f t="shared" si="23"/>
        <v>0</v>
      </c>
      <c r="L510" s="143">
        <f t="shared" si="24"/>
        <v>1</v>
      </c>
      <c r="M510" s="70"/>
      <c r="N510" s="70"/>
      <c r="O510" s="70"/>
      <c r="P510" s="70"/>
      <c r="Q510" s="70"/>
      <c r="R510" s="70"/>
      <c r="S510" s="70"/>
      <c r="T510" s="70"/>
      <c r="U510" s="70"/>
      <c r="V510" s="70"/>
      <c r="W510" s="70"/>
      <c r="X510" s="70"/>
      <c r="Y510" s="70"/>
      <c r="Z510" s="70"/>
      <c r="AA510" s="70"/>
      <c r="AB510" s="70"/>
      <c r="AC510" s="70"/>
      <c r="AD510" s="70"/>
      <c r="AE510" s="70"/>
      <c r="AF510" s="70"/>
      <c r="AG510" s="70"/>
      <c r="AH510" s="70"/>
      <c r="AI510" s="70"/>
      <c r="AJ510" s="70"/>
      <c r="AK510" s="70"/>
      <c r="AL510" s="70"/>
      <c r="AM510" s="70"/>
      <c r="AN510" s="70"/>
      <c r="AO510" s="70"/>
      <c r="AP510" s="89"/>
      <c r="AQ510" s="89"/>
    </row>
    <row r="511" spans="1:43" ht="15.75" thickBot="1" x14ac:dyDescent="0.3">
      <c r="A511" t="s">
        <v>514</v>
      </c>
      <c r="B511" t="s">
        <v>1038</v>
      </c>
      <c r="C511" t="s">
        <v>1063</v>
      </c>
      <c r="D511" t="s">
        <v>544</v>
      </c>
      <c r="E511" s="30" t="s">
        <v>73</v>
      </c>
      <c r="F511" s="30" t="s">
        <v>28</v>
      </c>
      <c r="G511" s="30"/>
      <c r="H511" s="30" t="s">
        <v>866</v>
      </c>
      <c r="I511" s="31">
        <f t="shared" si="22"/>
        <v>28</v>
      </c>
      <c r="J511" s="147" t="s">
        <v>2072</v>
      </c>
      <c r="K511" s="31">
        <f t="shared" si="23"/>
        <v>0</v>
      </c>
      <c r="L511" s="32">
        <f t="shared" si="24"/>
        <v>1</v>
      </c>
      <c r="M511" s="70"/>
      <c r="N511" s="70"/>
      <c r="O511" s="70"/>
      <c r="P511" s="70"/>
      <c r="Q511" s="70"/>
      <c r="R511" s="70"/>
      <c r="S511" s="70"/>
      <c r="T511" s="70"/>
      <c r="U511" s="70"/>
      <c r="V511" s="70"/>
      <c r="W511" s="70"/>
      <c r="X511" s="70"/>
      <c r="Y511" s="70"/>
      <c r="Z511" s="70"/>
      <c r="AA511" s="70"/>
      <c r="AB511" s="70"/>
      <c r="AC511" s="70"/>
      <c r="AD511" s="70"/>
      <c r="AE511" s="70"/>
      <c r="AF511" s="70"/>
      <c r="AG511" s="70"/>
      <c r="AH511" s="70"/>
      <c r="AI511" s="70"/>
      <c r="AJ511" s="70"/>
      <c r="AK511" s="70"/>
      <c r="AL511" s="70"/>
      <c r="AM511" s="70"/>
      <c r="AN511" s="70"/>
      <c r="AO511" s="70"/>
      <c r="AP511" s="70"/>
      <c r="AQ511" s="70"/>
    </row>
    <row r="512" spans="1:43" ht="15.75" thickBot="1" x14ac:dyDescent="0.3">
      <c r="A512" t="s">
        <v>514</v>
      </c>
      <c r="B512" t="s">
        <v>1039</v>
      </c>
      <c r="C512" t="s">
        <v>1063</v>
      </c>
      <c r="D512" t="s">
        <v>544</v>
      </c>
      <c r="E512" s="30" t="s">
        <v>73</v>
      </c>
      <c r="F512" s="30" t="s">
        <v>28</v>
      </c>
      <c r="G512" s="30"/>
      <c r="H512" s="30" t="s">
        <v>867</v>
      </c>
      <c r="I512" s="31">
        <f t="shared" si="22"/>
        <v>28</v>
      </c>
      <c r="J512" s="147" t="s">
        <v>2073</v>
      </c>
      <c r="K512" s="31">
        <f t="shared" si="23"/>
        <v>0</v>
      </c>
      <c r="L512" s="32">
        <f t="shared" si="24"/>
        <v>1</v>
      </c>
      <c r="M512" s="70"/>
      <c r="N512" s="70"/>
      <c r="O512" s="70"/>
      <c r="P512" s="70"/>
      <c r="Q512" s="70"/>
      <c r="R512" s="70"/>
      <c r="S512" s="70"/>
      <c r="T512" s="70"/>
      <c r="U512" s="70"/>
      <c r="V512" s="70"/>
      <c r="W512" s="70"/>
      <c r="X512" s="70"/>
      <c r="Y512" s="70"/>
      <c r="Z512" s="70"/>
      <c r="AA512" s="70"/>
      <c r="AB512" s="70"/>
      <c r="AC512" s="70"/>
      <c r="AD512" s="70"/>
      <c r="AE512" s="70"/>
      <c r="AF512" s="70"/>
      <c r="AG512" s="70"/>
      <c r="AH512" s="70"/>
      <c r="AI512" s="70"/>
      <c r="AJ512" s="70"/>
      <c r="AK512" s="70"/>
      <c r="AL512" s="70"/>
      <c r="AM512" s="70"/>
      <c r="AN512" s="70"/>
      <c r="AO512" s="70"/>
      <c r="AP512" s="70"/>
      <c r="AQ512" s="70"/>
    </row>
    <row r="513" spans="1:43" ht="15.75" thickBot="1" x14ac:dyDescent="0.3">
      <c r="A513" t="s">
        <v>514</v>
      </c>
      <c r="B513" t="s">
        <v>545</v>
      </c>
      <c r="C513" t="s">
        <v>1062</v>
      </c>
      <c r="D513" t="s">
        <v>546</v>
      </c>
      <c r="E513" s="30" t="s">
        <v>73</v>
      </c>
      <c r="F513" s="30" t="s">
        <v>28</v>
      </c>
      <c r="G513" s="30"/>
      <c r="H513" s="30" t="s">
        <v>671</v>
      </c>
      <c r="I513" s="31">
        <f t="shared" si="22"/>
        <v>28</v>
      </c>
      <c r="J513" s="147" t="s">
        <v>2074</v>
      </c>
      <c r="K513" s="31">
        <f t="shared" si="23"/>
        <v>0</v>
      </c>
      <c r="L513" s="32">
        <f t="shared" si="24"/>
        <v>1</v>
      </c>
      <c r="M513" s="70"/>
      <c r="N513" s="70"/>
      <c r="O513" s="70"/>
      <c r="P513" s="70"/>
      <c r="Q513" s="70"/>
      <c r="R513" s="70"/>
      <c r="S513" s="70"/>
      <c r="T513" s="70"/>
      <c r="U513" s="70"/>
      <c r="V513" s="70"/>
      <c r="W513" s="70"/>
      <c r="X513" s="70"/>
      <c r="Y513" s="70"/>
      <c r="Z513" s="70"/>
      <c r="AA513" s="70"/>
      <c r="AB513" s="70"/>
      <c r="AC513" s="70"/>
      <c r="AD513" s="70"/>
      <c r="AE513" s="70"/>
      <c r="AF513" s="70"/>
      <c r="AG513" s="70"/>
      <c r="AH513" s="70"/>
      <c r="AI513" s="70"/>
      <c r="AJ513" s="70"/>
      <c r="AK513" s="70"/>
      <c r="AL513" s="70"/>
      <c r="AM513" s="70"/>
      <c r="AN513" s="70"/>
      <c r="AO513" s="70"/>
      <c r="AP513" s="70"/>
      <c r="AQ513" s="70"/>
    </row>
    <row r="514" spans="1:43" ht="15.75" thickBot="1" x14ac:dyDescent="0.3">
      <c r="A514" t="s">
        <v>514</v>
      </c>
      <c r="B514" t="s">
        <v>547</v>
      </c>
      <c r="C514" t="s">
        <v>1062</v>
      </c>
      <c r="D514" t="s">
        <v>546</v>
      </c>
      <c r="E514" s="30" t="s">
        <v>73</v>
      </c>
      <c r="F514" s="30" t="s">
        <v>28</v>
      </c>
      <c r="G514" s="30"/>
      <c r="H514" s="30" t="s">
        <v>868</v>
      </c>
      <c r="I514" s="31">
        <f t="shared" si="22"/>
        <v>28</v>
      </c>
      <c r="J514" s="147" t="s">
        <v>2075</v>
      </c>
      <c r="K514" s="31">
        <f t="shared" si="23"/>
        <v>0</v>
      </c>
      <c r="L514" s="32">
        <f t="shared" si="24"/>
        <v>1</v>
      </c>
      <c r="M514" s="70"/>
      <c r="N514" s="70"/>
      <c r="O514" s="70"/>
      <c r="P514" s="70"/>
      <c r="Q514" s="70"/>
      <c r="R514" s="70"/>
      <c r="S514" s="70"/>
      <c r="T514" s="70"/>
      <c r="U514" s="70"/>
      <c r="V514" s="72"/>
      <c r="W514" s="70"/>
      <c r="X514" s="70"/>
      <c r="Y514" s="70"/>
      <c r="Z514" s="70"/>
      <c r="AA514" s="70"/>
      <c r="AB514" s="70"/>
      <c r="AC514" s="70"/>
      <c r="AD514" s="70"/>
      <c r="AE514" s="70"/>
      <c r="AF514" s="70"/>
      <c r="AG514" s="70"/>
      <c r="AH514" s="70"/>
      <c r="AI514" s="70"/>
      <c r="AJ514" s="70"/>
      <c r="AK514" s="70"/>
      <c r="AL514" s="70"/>
      <c r="AM514" s="70"/>
      <c r="AN514" s="70"/>
      <c r="AO514" s="70"/>
      <c r="AP514" s="70"/>
      <c r="AQ514" s="70"/>
    </row>
    <row r="515" spans="1:43" ht="15.75" thickBot="1" x14ac:dyDescent="0.3">
      <c r="A515" t="s">
        <v>514</v>
      </c>
      <c r="B515" t="s">
        <v>1145</v>
      </c>
      <c r="C515" t="s">
        <v>1063</v>
      </c>
      <c r="D515" t="s">
        <v>1147</v>
      </c>
      <c r="E515" s="30" t="s">
        <v>73</v>
      </c>
      <c r="F515" s="30" t="s">
        <v>28</v>
      </c>
      <c r="G515" s="30"/>
      <c r="H515" s="30" t="s">
        <v>1148</v>
      </c>
      <c r="I515" s="31">
        <f t="shared" si="22"/>
        <v>28</v>
      </c>
      <c r="J515" s="147" t="s">
        <v>2076</v>
      </c>
      <c r="K515" s="31">
        <f t="shared" si="23"/>
        <v>0</v>
      </c>
      <c r="L515" s="32">
        <f t="shared" si="24"/>
        <v>1</v>
      </c>
      <c r="M515" s="70"/>
      <c r="N515" s="70"/>
      <c r="O515" s="70"/>
      <c r="P515" s="70"/>
      <c r="Q515" s="70"/>
      <c r="R515" s="70"/>
      <c r="S515" s="70"/>
      <c r="T515" s="70"/>
      <c r="U515" s="70"/>
      <c r="V515" s="70"/>
      <c r="W515" s="70"/>
      <c r="X515" s="70"/>
      <c r="Y515" s="70"/>
      <c r="Z515" s="70"/>
      <c r="AA515" s="70"/>
      <c r="AB515" s="70"/>
      <c r="AC515" s="70"/>
      <c r="AD515" s="70"/>
      <c r="AE515" s="70"/>
      <c r="AF515" s="70"/>
      <c r="AG515" s="70"/>
      <c r="AH515" s="70"/>
      <c r="AI515" s="70"/>
      <c r="AJ515" s="70"/>
      <c r="AK515" s="70"/>
      <c r="AL515" s="70"/>
      <c r="AM515" s="70"/>
      <c r="AN515" s="70"/>
      <c r="AO515" s="70"/>
      <c r="AP515" s="70"/>
      <c r="AQ515" s="70"/>
    </row>
    <row r="516" spans="1:43" ht="15.75" thickBot="1" x14ac:dyDescent="0.3">
      <c r="A516" t="s">
        <v>514</v>
      </c>
      <c r="B516" t="s">
        <v>1146</v>
      </c>
      <c r="C516" t="s">
        <v>1063</v>
      </c>
      <c r="D516" t="s">
        <v>1147</v>
      </c>
      <c r="E516" s="30" t="s">
        <v>1114</v>
      </c>
      <c r="F516" s="30" t="s">
        <v>28</v>
      </c>
      <c r="G516" s="30"/>
      <c r="H516" s="30" t="s">
        <v>1149</v>
      </c>
      <c r="I516" s="31">
        <f t="shared" si="22"/>
        <v>28</v>
      </c>
      <c r="J516" s="147" t="s">
        <v>2077</v>
      </c>
      <c r="K516" s="31">
        <f t="shared" si="23"/>
        <v>0</v>
      </c>
      <c r="L516" s="32">
        <f t="shared" si="24"/>
        <v>1</v>
      </c>
      <c r="M516" s="70"/>
      <c r="N516" s="70"/>
      <c r="O516" s="70"/>
      <c r="P516" s="70"/>
      <c r="Q516" s="70"/>
      <c r="R516" s="70"/>
      <c r="S516" s="70"/>
      <c r="T516" s="70"/>
      <c r="U516" s="70"/>
      <c r="V516" s="70"/>
      <c r="W516" s="70"/>
      <c r="X516" s="70"/>
      <c r="Y516" s="70"/>
      <c r="Z516" s="70"/>
      <c r="AA516" s="70"/>
      <c r="AB516" s="70"/>
      <c r="AC516" s="70"/>
      <c r="AD516" s="70"/>
      <c r="AE516" s="70"/>
      <c r="AF516" s="70"/>
      <c r="AG516" s="70"/>
      <c r="AH516" s="70"/>
      <c r="AI516" s="70"/>
      <c r="AJ516" s="70"/>
      <c r="AK516" s="70"/>
      <c r="AL516" s="70"/>
      <c r="AM516" s="70"/>
      <c r="AN516" s="70"/>
      <c r="AO516" s="70"/>
      <c r="AP516" s="70"/>
      <c r="AQ516" s="70"/>
    </row>
    <row r="517" spans="1:43" s="73" customFormat="1" ht="15.75" thickBot="1" x14ac:dyDescent="0.3">
      <c r="A517" s="73" t="s">
        <v>518</v>
      </c>
      <c r="B517" s="85" t="s">
        <v>1208</v>
      </c>
      <c r="C517" s="85" t="s">
        <v>1063</v>
      </c>
      <c r="D517" s="73" t="s">
        <v>1204</v>
      </c>
      <c r="E517" s="85" t="s">
        <v>15</v>
      </c>
      <c r="F517" s="85" t="s">
        <v>1301</v>
      </c>
      <c r="G517" s="85"/>
      <c r="H517" s="85" t="s">
        <v>1205</v>
      </c>
      <c r="I517" s="142">
        <f t="shared" si="22"/>
        <v>20</v>
      </c>
      <c r="J517" s="147" t="s">
        <v>2078</v>
      </c>
      <c r="K517" s="142">
        <f t="shared" si="23"/>
        <v>8</v>
      </c>
      <c r="L517" s="143">
        <f t="shared" si="24"/>
        <v>0.7142857142857143</v>
      </c>
      <c r="M517" s="70" t="s">
        <v>2213</v>
      </c>
      <c r="N517" s="70" t="s">
        <v>2213</v>
      </c>
      <c r="O517" s="70" t="s">
        <v>2213</v>
      </c>
      <c r="P517" s="70" t="s">
        <v>2213</v>
      </c>
      <c r="Q517" s="70" t="s">
        <v>2213</v>
      </c>
      <c r="R517" s="70" t="s">
        <v>2213</v>
      </c>
      <c r="S517" s="70" t="s">
        <v>2213</v>
      </c>
      <c r="T517" s="70" t="s">
        <v>2213</v>
      </c>
      <c r="U517" s="70"/>
      <c r="V517" s="70"/>
      <c r="W517" s="70"/>
      <c r="X517" s="70"/>
      <c r="Y517" s="70"/>
      <c r="Z517" s="70"/>
      <c r="AA517" s="70"/>
      <c r="AB517" s="70"/>
      <c r="AC517" s="70"/>
      <c r="AD517" s="70"/>
      <c r="AE517" s="70"/>
      <c r="AF517" s="70"/>
      <c r="AG517" s="70"/>
      <c r="AH517" s="70"/>
      <c r="AI517" s="70"/>
      <c r="AJ517" s="70"/>
      <c r="AK517" s="70"/>
      <c r="AL517" s="70"/>
      <c r="AM517" s="70"/>
      <c r="AN517" s="70"/>
      <c r="AO517" s="70"/>
      <c r="AP517" s="89"/>
      <c r="AQ517" s="89"/>
    </row>
    <row r="518" spans="1:43" ht="15.75" thickBot="1" x14ac:dyDescent="0.3">
      <c r="A518" t="s">
        <v>518</v>
      </c>
      <c r="B518" s="30" t="s">
        <v>1532</v>
      </c>
      <c r="C518" s="30" t="s">
        <v>1063</v>
      </c>
      <c r="D518" t="s">
        <v>1533</v>
      </c>
      <c r="E518" s="30" t="s">
        <v>1114</v>
      </c>
      <c r="F518" s="30" t="s">
        <v>28</v>
      </c>
      <c r="G518" s="30"/>
      <c r="H518" s="30" t="s">
        <v>1534</v>
      </c>
      <c r="I518" s="142">
        <f t="shared" si="22"/>
        <v>28</v>
      </c>
      <c r="J518" s="147" t="s">
        <v>2079</v>
      </c>
      <c r="K518" s="142">
        <f t="shared" si="23"/>
        <v>0</v>
      </c>
      <c r="L518" s="143">
        <f t="shared" si="24"/>
        <v>1</v>
      </c>
      <c r="M518" s="70"/>
      <c r="N518" s="70"/>
      <c r="O518" s="70"/>
      <c r="P518" s="70"/>
      <c r="Q518" s="70"/>
      <c r="R518" s="70"/>
      <c r="S518" s="70"/>
      <c r="T518" s="70"/>
      <c r="U518" s="70"/>
      <c r="V518" s="70"/>
      <c r="W518" s="70"/>
      <c r="X518" s="70"/>
      <c r="Y518" s="70"/>
      <c r="Z518" s="70"/>
      <c r="AA518" s="70"/>
      <c r="AB518" s="70"/>
      <c r="AC518" s="70"/>
      <c r="AD518" s="70"/>
      <c r="AE518" s="70"/>
      <c r="AF518" s="70"/>
      <c r="AG518" s="70"/>
      <c r="AH518" s="70"/>
      <c r="AI518" s="70"/>
      <c r="AJ518" s="70"/>
      <c r="AK518" s="70"/>
      <c r="AL518" s="70"/>
      <c r="AM518" s="70"/>
      <c r="AN518" s="70"/>
      <c r="AO518" s="70"/>
      <c r="AP518" s="70"/>
      <c r="AQ518" s="70"/>
    </row>
    <row r="519" spans="1:43" s="73" customFormat="1" ht="15.75" thickBot="1" x14ac:dyDescent="0.3">
      <c r="A519" s="73" t="s">
        <v>518</v>
      </c>
      <c r="B519" s="85" t="s">
        <v>1584</v>
      </c>
      <c r="C519" s="85" t="s">
        <v>1063</v>
      </c>
      <c r="D519" s="73" t="s">
        <v>1585</v>
      </c>
      <c r="E519" s="85" t="s">
        <v>15</v>
      </c>
      <c r="F519" s="85" t="s">
        <v>1301</v>
      </c>
      <c r="G519" s="85"/>
      <c r="H519" s="85" t="s">
        <v>1586</v>
      </c>
      <c r="I519" s="142">
        <f t="shared" si="22"/>
        <v>28</v>
      </c>
      <c r="J519" s="147" t="s">
        <v>2080</v>
      </c>
      <c r="K519" s="142">
        <f t="shared" si="23"/>
        <v>0</v>
      </c>
      <c r="L519" s="143">
        <f t="shared" si="24"/>
        <v>1</v>
      </c>
      <c r="M519" s="70"/>
      <c r="N519" s="70"/>
      <c r="O519" s="70"/>
      <c r="P519" s="70"/>
      <c r="Q519" s="70"/>
      <c r="R519" s="70"/>
      <c r="S519" s="70"/>
      <c r="T519" s="70"/>
      <c r="U519" s="70"/>
      <c r="V519" s="70"/>
      <c r="W519" s="70"/>
      <c r="X519" s="70"/>
      <c r="Y519" s="70"/>
      <c r="Z519" s="70"/>
      <c r="AA519" s="70"/>
      <c r="AB519" s="70"/>
      <c r="AC519" s="70"/>
      <c r="AD519" s="70"/>
      <c r="AE519" s="70"/>
      <c r="AF519" s="70"/>
      <c r="AG519" s="70"/>
      <c r="AH519" s="70"/>
      <c r="AI519" s="70"/>
      <c r="AJ519" s="70"/>
      <c r="AK519" s="70"/>
      <c r="AL519" s="70"/>
      <c r="AM519" s="70"/>
      <c r="AN519" s="70"/>
      <c r="AO519" s="70"/>
      <c r="AP519" s="89"/>
      <c r="AQ519" s="89"/>
    </row>
    <row r="520" spans="1:43" s="73" customFormat="1" ht="15.75" thickBot="1" x14ac:dyDescent="0.3">
      <c r="A520" s="73" t="s">
        <v>518</v>
      </c>
      <c r="B520" s="85" t="s">
        <v>1587</v>
      </c>
      <c r="C520" s="85" t="s">
        <v>1063</v>
      </c>
      <c r="D520" s="73" t="s">
        <v>1588</v>
      </c>
      <c r="E520" s="85" t="s">
        <v>15</v>
      </c>
      <c r="F520" s="85" t="s">
        <v>1301</v>
      </c>
      <c r="G520" s="85"/>
      <c r="H520" s="85" t="s">
        <v>1589</v>
      </c>
      <c r="I520" s="142">
        <f t="shared" si="22"/>
        <v>26</v>
      </c>
      <c r="J520" s="147" t="s">
        <v>2081</v>
      </c>
      <c r="K520" s="142">
        <f t="shared" si="23"/>
        <v>2</v>
      </c>
      <c r="L520" s="143">
        <f t="shared" si="24"/>
        <v>0.9285714285714286</v>
      </c>
      <c r="M520" s="70"/>
      <c r="N520" s="70"/>
      <c r="O520" s="70"/>
      <c r="P520" s="70" t="s">
        <v>2213</v>
      </c>
      <c r="Q520" s="70" t="s">
        <v>2213</v>
      </c>
      <c r="R520" s="70"/>
      <c r="S520" s="70"/>
      <c r="T520" s="70"/>
      <c r="U520" s="70"/>
      <c r="V520" s="70"/>
      <c r="W520" s="70"/>
      <c r="X520" s="70"/>
      <c r="Y520" s="70"/>
      <c r="Z520" s="70"/>
      <c r="AA520" s="70"/>
      <c r="AB520" s="70"/>
      <c r="AC520" s="70"/>
      <c r="AD520" s="70"/>
      <c r="AE520" s="70"/>
      <c r="AF520" s="70"/>
      <c r="AG520" s="70"/>
      <c r="AH520" s="70"/>
      <c r="AI520" s="70"/>
      <c r="AJ520" s="70"/>
      <c r="AK520" s="70"/>
      <c r="AL520" s="70"/>
      <c r="AM520" s="70"/>
      <c r="AN520" s="70"/>
      <c r="AO520" s="70"/>
      <c r="AP520" s="89"/>
      <c r="AQ520" s="89"/>
    </row>
    <row r="521" spans="1:43" s="73" customFormat="1" ht="15.75" thickBot="1" x14ac:dyDescent="0.3">
      <c r="A521" s="73" t="s">
        <v>518</v>
      </c>
      <c r="B521" s="85" t="s">
        <v>2227</v>
      </c>
      <c r="C521" s="85" t="s">
        <v>1063</v>
      </c>
      <c r="D521" s="73" t="s">
        <v>2228</v>
      </c>
      <c r="E521" s="30" t="s">
        <v>73</v>
      </c>
      <c r="F521" s="85" t="s">
        <v>1301</v>
      </c>
      <c r="G521" s="85"/>
      <c r="H521" s="85" t="s">
        <v>2229</v>
      </c>
      <c r="I521" s="142">
        <f t="shared" si="22"/>
        <v>28</v>
      </c>
      <c r="J521" s="147" t="s">
        <v>2230</v>
      </c>
      <c r="K521" s="142">
        <f t="shared" si="23"/>
        <v>0</v>
      </c>
      <c r="L521" s="143">
        <f t="shared" si="24"/>
        <v>1</v>
      </c>
      <c r="M521" s="70"/>
      <c r="N521" s="70"/>
      <c r="O521" s="70"/>
      <c r="P521" s="70"/>
      <c r="Q521" s="70"/>
      <c r="R521" s="70"/>
      <c r="S521" s="70"/>
      <c r="T521" s="70"/>
      <c r="U521" s="70"/>
      <c r="V521" s="70"/>
      <c r="W521" s="70"/>
      <c r="X521" s="70"/>
      <c r="Y521" s="70"/>
      <c r="Z521" s="70"/>
      <c r="AA521" s="70"/>
      <c r="AB521" s="70"/>
      <c r="AC521" s="70"/>
      <c r="AD521" s="70"/>
      <c r="AE521" s="70"/>
      <c r="AF521" s="70"/>
      <c r="AG521" s="70"/>
      <c r="AH521" s="70"/>
      <c r="AI521" s="70"/>
      <c r="AJ521" s="70"/>
      <c r="AK521" s="70"/>
      <c r="AL521" s="70"/>
      <c r="AM521" s="70"/>
      <c r="AN521" s="70"/>
      <c r="AO521" s="70"/>
      <c r="AP521" s="89"/>
      <c r="AQ521" s="89"/>
    </row>
    <row r="522" spans="1:43" s="73" customFormat="1" ht="15.75" thickBot="1" x14ac:dyDescent="0.3">
      <c r="A522" s="73" t="s">
        <v>518</v>
      </c>
      <c r="B522" s="85" t="s">
        <v>2231</v>
      </c>
      <c r="C522" s="85" t="s">
        <v>1063</v>
      </c>
      <c r="D522" s="73" t="s">
        <v>2232</v>
      </c>
      <c r="E522" s="85" t="s">
        <v>15</v>
      </c>
      <c r="F522" s="85" t="s">
        <v>1301</v>
      </c>
      <c r="G522" s="85"/>
      <c r="H522" s="85" t="s">
        <v>2233</v>
      </c>
      <c r="I522" s="142">
        <f t="shared" si="22"/>
        <v>28</v>
      </c>
      <c r="J522" s="147" t="s">
        <v>2234</v>
      </c>
      <c r="K522" s="142">
        <f t="shared" si="23"/>
        <v>0</v>
      </c>
      <c r="L522" s="143">
        <f t="shared" si="24"/>
        <v>1</v>
      </c>
      <c r="M522" s="70"/>
      <c r="N522" s="70"/>
      <c r="O522" s="70"/>
      <c r="P522" s="70"/>
      <c r="Q522" s="70"/>
      <c r="R522" s="70"/>
      <c r="S522" s="70"/>
      <c r="T522" s="70"/>
      <c r="U522" s="70"/>
      <c r="V522" s="70"/>
      <c r="W522" s="70"/>
      <c r="X522" s="70"/>
      <c r="Y522" s="70"/>
      <c r="Z522" s="70"/>
      <c r="AA522" s="70"/>
      <c r="AB522" s="70"/>
      <c r="AC522" s="70"/>
      <c r="AD522" s="70"/>
      <c r="AE522" s="70"/>
      <c r="AF522" s="70"/>
      <c r="AG522" s="70"/>
      <c r="AH522" s="70"/>
      <c r="AI522" s="70"/>
      <c r="AJ522" s="70"/>
      <c r="AK522" s="70"/>
      <c r="AL522" s="70"/>
      <c r="AM522" s="70"/>
      <c r="AN522" s="70"/>
      <c r="AO522" s="70"/>
      <c r="AP522" s="89"/>
      <c r="AQ522" s="89"/>
    </row>
    <row r="523" spans="1:43" ht="15.75" thickBot="1" x14ac:dyDescent="0.3">
      <c r="A523" t="s">
        <v>409</v>
      </c>
      <c r="B523" t="s">
        <v>1044</v>
      </c>
      <c r="C523" t="s">
        <v>1062</v>
      </c>
      <c r="D523" t="s">
        <v>550</v>
      </c>
      <c r="E523" s="30" t="s">
        <v>19</v>
      </c>
      <c r="F523" s="30" t="s">
        <v>28</v>
      </c>
      <c r="G523" s="30"/>
      <c r="H523" s="30" t="s">
        <v>871</v>
      </c>
      <c r="I523" s="31">
        <f t="shared" si="22"/>
        <v>25</v>
      </c>
      <c r="J523" s="147" t="s">
        <v>2082</v>
      </c>
      <c r="K523" s="31">
        <f t="shared" si="23"/>
        <v>3</v>
      </c>
      <c r="L523" s="32">
        <f t="shared" si="24"/>
        <v>0.8928571428571429</v>
      </c>
      <c r="M523" s="70"/>
      <c r="N523" s="70"/>
      <c r="O523" s="70" t="s">
        <v>2213</v>
      </c>
      <c r="P523" s="70" t="s">
        <v>2213</v>
      </c>
      <c r="Q523" s="70" t="s">
        <v>2213</v>
      </c>
      <c r="R523" s="70"/>
      <c r="S523" s="70"/>
      <c r="T523" s="70"/>
      <c r="U523" s="70"/>
      <c r="V523" s="70"/>
      <c r="W523" s="70"/>
      <c r="X523" s="70"/>
      <c r="Y523" s="70"/>
      <c r="Z523" s="70"/>
      <c r="AA523" s="70"/>
      <c r="AB523" s="70"/>
      <c r="AC523" s="70"/>
      <c r="AD523" s="70"/>
      <c r="AE523" s="70"/>
      <c r="AF523" s="70"/>
      <c r="AG523" s="70"/>
      <c r="AH523" s="70"/>
      <c r="AI523" s="70"/>
      <c r="AJ523" s="70"/>
      <c r="AK523" s="70"/>
      <c r="AL523" s="70"/>
      <c r="AM523" s="70"/>
      <c r="AN523" s="70"/>
      <c r="AO523" s="70"/>
      <c r="AP523" s="70"/>
      <c r="AQ523" s="70"/>
    </row>
    <row r="524" spans="1:43" ht="15.75" thickBot="1" x14ac:dyDescent="0.3">
      <c r="A524" t="s">
        <v>294</v>
      </c>
      <c r="B524" t="s">
        <v>1045</v>
      </c>
      <c r="C524" t="s">
        <v>1062</v>
      </c>
      <c r="D524" t="s">
        <v>551</v>
      </c>
      <c r="E524" s="30" t="s">
        <v>19</v>
      </c>
      <c r="F524" s="30" t="s">
        <v>28</v>
      </c>
      <c r="G524" s="30"/>
      <c r="H524" s="30" t="s">
        <v>872</v>
      </c>
      <c r="I524" s="31">
        <f t="shared" si="22"/>
        <v>25</v>
      </c>
      <c r="J524" s="147" t="s">
        <v>2083</v>
      </c>
      <c r="K524" s="31">
        <f t="shared" si="23"/>
        <v>3</v>
      </c>
      <c r="L524" s="32">
        <f t="shared" si="24"/>
        <v>0.8928571428571429</v>
      </c>
      <c r="M524" s="70"/>
      <c r="N524" s="70"/>
      <c r="O524" s="70" t="s">
        <v>2213</v>
      </c>
      <c r="P524" s="70" t="s">
        <v>2213</v>
      </c>
      <c r="Q524" s="70" t="s">
        <v>2213</v>
      </c>
      <c r="R524" s="70"/>
      <c r="S524" s="70"/>
      <c r="T524" s="70"/>
      <c r="U524" s="70"/>
      <c r="V524" s="70"/>
      <c r="W524" s="70"/>
      <c r="X524" s="70"/>
      <c r="Y524" s="70"/>
      <c r="Z524" s="70"/>
      <c r="AA524" s="70"/>
      <c r="AB524" s="70"/>
      <c r="AC524" s="70"/>
      <c r="AD524" s="70"/>
      <c r="AE524" s="70"/>
      <c r="AF524" s="70"/>
      <c r="AG524" s="70"/>
      <c r="AH524" s="70"/>
      <c r="AI524" s="70"/>
      <c r="AJ524" s="70"/>
      <c r="AK524" s="70"/>
      <c r="AL524" s="70"/>
      <c r="AM524" s="70"/>
      <c r="AN524" s="70"/>
      <c r="AO524" s="70"/>
      <c r="AP524" s="70"/>
      <c r="AQ524" s="70"/>
    </row>
    <row r="525" spans="1:43" ht="15.75" thickBot="1" x14ac:dyDescent="0.3">
      <c r="A525" t="s">
        <v>409</v>
      </c>
      <c r="B525" t="s">
        <v>552</v>
      </c>
      <c r="C525" t="s">
        <v>1062</v>
      </c>
      <c r="D525" t="s">
        <v>553</v>
      </c>
      <c r="E525" s="30" t="s">
        <v>73</v>
      </c>
      <c r="F525" s="30" t="s">
        <v>28</v>
      </c>
      <c r="G525" s="30"/>
      <c r="H525" s="30" t="s">
        <v>869</v>
      </c>
      <c r="I525" s="31">
        <f t="shared" si="22"/>
        <v>28</v>
      </c>
      <c r="J525" s="147" t="s">
        <v>2084</v>
      </c>
      <c r="K525" s="31">
        <f t="shared" si="23"/>
        <v>0</v>
      </c>
      <c r="L525" s="32">
        <f t="shared" si="24"/>
        <v>1</v>
      </c>
      <c r="M525" s="70"/>
      <c r="N525" s="70"/>
      <c r="O525" s="70"/>
      <c r="P525" s="70"/>
      <c r="Q525" s="70"/>
      <c r="R525" s="70"/>
      <c r="S525" s="70"/>
      <c r="T525" s="70"/>
      <c r="U525" s="70"/>
      <c r="V525" s="70"/>
      <c r="W525" s="70"/>
      <c r="X525" s="70"/>
      <c r="Y525" s="70"/>
      <c r="Z525" s="70"/>
      <c r="AA525" s="70"/>
      <c r="AB525" s="70"/>
      <c r="AC525" s="70"/>
      <c r="AD525" s="70"/>
      <c r="AE525" s="70"/>
      <c r="AF525" s="70"/>
      <c r="AG525" s="70"/>
      <c r="AH525" s="70"/>
      <c r="AI525" s="70"/>
      <c r="AJ525" s="70"/>
      <c r="AK525" s="70"/>
      <c r="AL525" s="70"/>
      <c r="AM525" s="70"/>
      <c r="AN525" s="70"/>
      <c r="AO525" s="70"/>
      <c r="AP525" s="70"/>
      <c r="AQ525" s="70"/>
    </row>
    <row r="526" spans="1:43" ht="15.75" thickBot="1" x14ac:dyDescent="0.3">
      <c r="A526" t="s">
        <v>409</v>
      </c>
      <c r="B526" t="s">
        <v>554</v>
      </c>
      <c r="C526" t="s">
        <v>1062</v>
      </c>
      <c r="D526" t="s">
        <v>553</v>
      </c>
      <c r="E526" s="30" t="s">
        <v>73</v>
      </c>
      <c r="F526" s="30" t="s">
        <v>28</v>
      </c>
      <c r="G526" s="30"/>
      <c r="H526" s="30" t="s">
        <v>870</v>
      </c>
      <c r="I526" s="31">
        <f t="shared" si="22"/>
        <v>28</v>
      </c>
      <c r="J526" s="147" t="s">
        <v>2085</v>
      </c>
      <c r="K526" s="31">
        <f t="shared" si="23"/>
        <v>0</v>
      </c>
      <c r="L526" s="32">
        <f t="shared" si="24"/>
        <v>1</v>
      </c>
      <c r="M526" s="70"/>
      <c r="N526" s="70"/>
      <c r="O526" s="70"/>
      <c r="P526" s="70"/>
      <c r="Q526" s="70"/>
      <c r="R526" s="70"/>
      <c r="S526" s="70"/>
      <c r="T526" s="70"/>
      <c r="U526" s="70"/>
      <c r="V526" s="70"/>
      <c r="W526" s="70"/>
      <c r="X526" s="70"/>
      <c r="Y526" s="70"/>
      <c r="Z526" s="70"/>
      <c r="AA526" s="70"/>
      <c r="AB526" s="70"/>
      <c r="AC526" s="70"/>
      <c r="AD526" s="70"/>
      <c r="AE526" s="70"/>
      <c r="AF526" s="70"/>
      <c r="AG526" s="70"/>
      <c r="AH526" s="70"/>
      <c r="AI526" s="70"/>
      <c r="AJ526" s="70"/>
      <c r="AK526" s="70"/>
      <c r="AL526" s="70"/>
      <c r="AM526" s="70"/>
      <c r="AN526" s="70"/>
      <c r="AO526" s="70"/>
      <c r="AP526" s="70"/>
      <c r="AQ526" s="70"/>
    </row>
    <row r="527" spans="1:43" ht="15.75" thickBot="1" x14ac:dyDescent="0.3">
      <c r="A527" t="s">
        <v>409</v>
      </c>
      <c r="B527" t="s">
        <v>555</v>
      </c>
      <c r="C527" t="s">
        <v>1062</v>
      </c>
      <c r="D527" t="s">
        <v>556</v>
      </c>
      <c r="E527" s="30" t="s">
        <v>73</v>
      </c>
      <c r="F527" s="30" t="s">
        <v>28</v>
      </c>
      <c r="G527" s="30"/>
      <c r="H527" s="30" t="s">
        <v>873</v>
      </c>
      <c r="I527" s="31">
        <f t="shared" si="22"/>
        <v>24</v>
      </c>
      <c r="J527" s="147" t="s">
        <v>2086</v>
      </c>
      <c r="K527" s="31">
        <f t="shared" si="23"/>
        <v>4</v>
      </c>
      <c r="L527" s="32">
        <f t="shared" si="24"/>
        <v>0.8571428571428571</v>
      </c>
      <c r="M527" s="70"/>
      <c r="N527" s="70" t="s">
        <v>2213</v>
      </c>
      <c r="O527" s="70" t="s">
        <v>2213</v>
      </c>
      <c r="P527" s="70" t="s">
        <v>2213</v>
      </c>
      <c r="Q527" s="70" t="s">
        <v>2213</v>
      </c>
      <c r="R527" s="70"/>
      <c r="S527" s="70"/>
      <c r="T527" s="70"/>
      <c r="U527" s="70"/>
      <c r="V527" s="70"/>
      <c r="W527" s="70"/>
      <c r="X527" s="70"/>
      <c r="Y527" s="70"/>
      <c r="Z527" s="70"/>
      <c r="AA527" s="70"/>
      <c r="AB527" s="70"/>
      <c r="AC527" s="70"/>
      <c r="AD527" s="70"/>
      <c r="AE527" s="70"/>
      <c r="AF527" s="70"/>
      <c r="AG527" s="70"/>
      <c r="AH527" s="70"/>
      <c r="AI527" s="70"/>
      <c r="AJ527" s="70"/>
      <c r="AK527" s="70"/>
      <c r="AL527" s="70"/>
      <c r="AM527" s="70"/>
      <c r="AN527" s="70"/>
      <c r="AO527" s="70"/>
      <c r="AP527" s="70"/>
      <c r="AQ527" s="70"/>
    </row>
    <row r="528" spans="1:43" ht="15.75" thickBot="1" x14ac:dyDescent="0.3">
      <c r="A528" t="s">
        <v>409</v>
      </c>
      <c r="B528" t="s">
        <v>557</v>
      </c>
      <c r="C528" t="s">
        <v>1062</v>
      </c>
      <c r="D528" t="s">
        <v>556</v>
      </c>
      <c r="E528" s="30" t="s">
        <v>73</v>
      </c>
      <c r="F528" s="30" t="s">
        <v>28</v>
      </c>
      <c r="G528" s="30"/>
      <c r="H528" s="30" t="s">
        <v>874</v>
      </c>
      <c r="I528" s="31">
        <f t="shared" si="22"/>
        <v>24</v>
      </c>
      <c r="J528" s="147" t="s">
        <v>2087</v>
      </c>
      <c r="K528" s="31">
        <f t="shared" si="23"/>
        <v>4</v>
      </c>
      <c r="L528" s="32">
        <f t="shared" si="24"/>
        <v>0.8571428571428571</v>
      </c>
      <c r="M528" s="70"/>
      <c r="N528" s="70" t="s">
        <v>2213</v>
      </c>
      <c r="O528" s="70" t="s">
        <v>2213</v>
      </c>
      <c r="P528" s="70" t="s">
        <v>2213</v>
      </c>
      <c r="Q528" s="70" t="s">
        <v>2213</v>
      </c>
      <c r="R528" s="70"/>
      <c r="S528" s="70"/>
      <c r="T528" s="70"/>
      <c r="U528" s="70"/>
      <c r="V528" s="70"/>
      <c r="W528" s="70"/>
      <c r="X528" s="70"/>
      <c r="Y528" s="70"/>
      <c r="Z528" s="70"/>
      <c r="AA528" s="70"/>
      <c r="AB528" s="70"/>
      <c r="AC528" s="70"/>
      <c r="AD528" s="70"/>
      <c r="AE528" s="70"/>
      <c r="AF528" s="70"/>
      <c r="AG528" s="70"/>
      <c r="AH528" s="70"/>
      <c r="AI528" s="70"/>
      <c r="AJ528" s="70"/>
      <c r="AK528" s="70"/>
      <c r="AL528" s="70"/>
      <c r="AM528" s="70"/>
      <c r="AN528" s="70"/>
      <c r="AO528" s="70"/>
      <c r="AP528" s="70"/>
      <c r="AQ528" s="70"/>
    </row>
    <row r="529" spans="1:43" s="91" customFormat="1" ht="15.75" thickBot="1" x14ac:dyDescent="0.3">
      <c r="A529" s="73" t="s">
        <v>409</v>
      </c>
      <c r="B529" s="73" t="s">
        <v>548</v>
      </c>
      <c r="C529" s="91" t="s">
        <v>1062</v>
      </c>
      <c r="D529" s="73" t="s">
        <v>549</v>
      </c>
      <c r="E529" s="92" t="s">
        <v>19</v>
      </c>
      <c r="F529" s="85" t="s">
        <v>28</v>
      </c>
      <c r="G529" s="85"/>
      <c r="H529" s="85" t="s">
        <v>875</v>
      </c>
      <c r="I529" s="31">
        <f t="shared" si="22"/>
        <v>25</v>
      </c>
      <c r="J529" s="73"/>
      <c r="K529" s="31">
        <f t="shared" si="23"/>
        <v>3</v>
      </c>
      <c r="L529" s="32">
        <f t="shared" si="24"/>
        <v>0.8928571428571429</v>
      </c>
      <c r="M529" s="70"/>
      <c r="N529" s="70"/>
      <c r="O529" s="70" t="s">
        <v>2213</v>
      </c>
      <c r="P529" s="70" t="s">
        <v>2213</v>
      </c>
      <c r="Q529" s="70" t="s">
        <v>2213</v>
      </c>
      <c r="R529" s="70"/>
      <c r="S529" s="70"/>
      <c r="T529" s="70"/>
      <c r="U529" s="70"/>
      <c r="V529" s="70"/>
      <c r="W529" s="70"/>
      <c r="X529" s="70"/>
      <c r="Y529" s="70"/>
      <c r="Z529" s="70"/>
      <c r="AA529" s="70"/>
      <c r="AB529" s="70"/>
      <c r="AC529" s="70"/>
      <c r="AD529" s="70"/>
      <c r="AE529" s="70"/>
      <c r="AF529" s="70"/>
      <c r="AG529" s="70"/>
      <c r="AH529" s="70"/>
      <c r="AI529" s="70"/>
      <c r="AJ529" s="70"/>
      <c r="AK529" s="70"/>
      <c r="AL529" s="70"/>
      <c r="AM529" s="70"/>
      <c r="AN529" s="70"/>
      <c r="AO529" s="70"/>
      <c r="AP529" s="70"/>
      <c r="AQ529" s="70"/>
    </row>
    <row r="530" spans="1:43" s="91" customFormat="1" ht="15.75" thickBot="1" x14ac:dyDescent="0.3">
      <c r="A530" s="73" t="s">
        <v>409</v>
      </c>
      <c r="B530" s="73" t="s">
        <v>558</v>
      </c>
      <c r="C530" s="91" t="s">
        <v>1062</v>
      </c>
      <c r="D530" s="73" t="s">
        <v>559</v>
      </c>
      <c r="E530" s="92" t="s">
        <v>15</v>
      </c>
      <c r="F530" s="85" t="s">
        <v>28</v>
      </c>
      <c r="G530" s="85"/>
      <c r="H530" s="85" t="s">
        <v>1506</v>
      </c>
      <c r="I530" s="31">
        <f t="shared" si="22"/>
        <v>24</v>
      </c>
      <c r="J530" s="147" t="s">
        <v>2088</v>
      </c>
      <c r="K530" s="31">
        <f t="shared" si="23"/>
        <v>4</v>
      </c>
      <c r="L530" s="32">
        <f t="shared" si="24"/>
        <v>0.8571428571428571</v>
      </c>
      <c r="M530" s="70"/>
      <c r="N530" s="70" t="s">
        <v>2213</v>
      </c>
      <c r="O530" s="70" t="s">
        <v>2213</v>
      </c>
      <c r="P530" s="70" t="s">
        <v>2213</v>
      </c>
      <c r="Q530" s="70" t="s">
        <v>2213</v>
      </c>
      <c r="R530" s="70"/>
      <c r="S530" s="70"/>
      <c r="T530" s="70"/>
      <c r="U530" s="70"/>
      <c r="V530" s="70"/>
      <c r="W530" s="70"/>
      <c r="X530" s="70"/>
      <c r="Y530" s="70"/>
      <c r="Z530" s="70"/>
      <c r="AA530" s="70"/>
      <c r="AB530" s="70"/>
      <c r="AC530" s="70"/>
      <c r="AD530" s="70"/>
      <c r="AE530" s="70"/>
      <c r="AF530" s="70"/>
      <c r="AG530" s="70"/>
      <c r="AH530" s="70"/>
      <c r="AI530" s="70"/>
      <c r="AJ530" s="70"/>
      <c r="AK530" s="70"/>
      <c r="AL530" s="70"/>
      <c r="AM530" s="70"/>
      <c r="AN530" s="70"/>
      <c r="AO530" s="70"/>
      <c r="AP530" s="70"/>
      <c r="AQ530" s="70"/>
    </row>
    <row r="531" spans="1:43" s="73" customFormat="1" ht="15.75" thickBot="1" x14ac:dyDescent="0.3">
      <c r="A531" s="73" t="s">
        <v>483</v>
      </c>
      <c r="B531" s="73" t="s">
        <v>1344</v>
      </c>
      <c r="C531" s="85" t="s">
        <v>1062</v>
      </c>
      <c r="D531" s="73" t="s">
        <v>1345</v>
      </c>
      <c r="E531" s="92" t="s">
        <v>15</v>
      </c>
      <c r="F531" s="85" t="s">
        <v>1301</v>
      </c>
      <c r="G531" s="85"/>
      <c r="H531" s="85" t="s">
        <v>1351</v>
      </c>
      <c r="I531" s="142">
        <f t="shared" si="22"/>
        <v>28</v>
      </c>
      <c r="J531" s="147" t="s">
        <v>2089</v>
      </c>
      <c r="K531" s="142">
        <f t="shared" si="23"/>
        <v>0</v>
      </c>
      <c r="L531" s="143">
        <f t="shared" si="24"/>
        <v>1</v>
      </c>
      <c r="M531" s="70"/>
      <c r="N531" s="70"/>
      <c r="O531" s="70"/>
      <c r="P531" s="70"/>
      <c r="Q531" s="70"/>
      <c r="R531" s="70"/>
      <c r="S531" s="70"/>
      <c r="T531" s="70"/>
      <c r="U531" s="70"/>
      <c r="V531" s="70"/>
      <c r="W531" s="70"/>
      <c r="X531" s="70"/>
      <c r="Y531" s="70"/>
      <c r="Z531" s="70"/>
      <c r="AA531" s="70"/>
      <c r="AB531" s="70"/>
      <c r="AC531" s="70"/>
      <c r="AD531" s="70"/>
      <c r="AE531" s="70"/>
      <c r="AF531" s="70"/>
      <c r="AG531" s="70"/>
      <c r="AH531" s="70"/>
      <c r="AI531" s="70"/>
      <c r="AJ531" s="70"/>
      <c r="AK531" s="70"/>
      <c r="AL531" s="70"/>
      <c r="AM531" s="70"/>
      <c r="AN531" s="70"/>
      <c r="AO531" s="70"/>
      <c r="AP531" s="89"/>
      <c r="AQ531" s="89"/>
    </row>
    <row r="532" spans="1:43" ht="15.75" thickBot="1" x14ac:dyDescent="0.3">
      <c r="A532" t="s">
        <v>483</v>
      </c>
      <c r="B532" t="s">
        <v>560</v>
      </c>
      <c r="C532" t="s">
        <v>1062</v>
      </c>
      <c r="D532" t="s">
        <v>561</v>
      </c>
      <c r="E532" s="30" t="s">
        <v>19</v>
      </c>
      <c r="F532" s="30" t="s">
        <v>28</v>
      </c>
      <c r="G532" s="30"/>
      <c r="H532" s="30" t="s">
        <v>876</v>
      </c>
      <c r="I532" s="31">
        <f t="shared" si="22"/>
        <v>28</v>
      </c>
      <c r="J532" s="147" t="s">
        <v>2090</v>
      </c>
      <c r="K532" s="31">
        <f t="shared" si="23"/>
        <v>0</v>
      </c>
      <c r="L532" s="32">
        <f t="shared" si="24"/>
        <v>1</v>
      </c>
      <c r="M532" s="70"/>
      <c r="N532" s="70"/>
      <c r="O532" s="70"/>
      <c r="P532" s="70"/>
      <c r="Q532" s="70"/>
      <c r="R532" s="70"/>
      <c r="S532" s="70"/>
      <c r="T532" s="70"/>
      <c r="U532" s="70"/>
      <c r="V532" s="70"/>
      <c r="W532" s="70"/>
      <c r="X532" s="70"/>
      <c r="Y532" s="70"/>
      <c r="Z532" s="70"/>
      <c r="AA532" s="70"/>
      <c r="AB532" s="70"/>
      <c r="AC532" s="70"/>
      <c r="AD532" s="70"/>
      <c r="AE532" s="70"/>
      <c r="AF532" s="70"/>
      <c r="AG532" s="70"/>
      <c r="AH532" s="70"/>
      <c r="AI532" s="70"/>
      <c r="AJ532" s="70"/>
      <c r="AK532" s="70"/>
      <c r="AL532" s="70"/>
      <c r="AM532" s="70"/>
      <c r="AN532" s="70"/>
      <c r="AO532" s="70"/>
      <c r="AP532" s="70"/>
      <c r="AQ532" s="70"/>
    </row>
    <row r="533" spans="1:43" s="73" customFormat="1" ht="15.75" thickBot="1" x14ac:dyDescent="0.3">
      <c r="A533" s="73" t="s">
        <v>483</v>
      </c>
      <c r="B533" s="73" t="s">
        <v>562</v>
      </c>
      <c r="C533" s="73" t="s">
        <v>1062</v>
      </c>
      <c r="D533" s="73" t="s">
        <v>563</v>
      </c>
      <c r="E533" s="85" t="s">
        <v>19</v>
      </c>
      <c r="F533" s="85" t="s">
        <v>1301</v>
      </c>
      <c r="G533" s="85"/>
      <c r="H533" s="85" t="s">
        <v>1370</v>
      </c>
      <c r="I533" s="142">
        <f t="shared" ref="I533:I577" si="25">COUNTIF(M533:AN533,"")</f>
        <v>28</v>
      </c>
      <c r="J533" s="147" t="s">
        <v>2091</v>
      </c>
      <c r="K533" s="142">
        <f t="shared" ref="K533:K577" si="26">COUNTIF(M533:AN533,"APAGADO")</f>
        <v>0</v>
      </c>
      <c r="L533" s="143">
        <f t="shared" ref="L533:L577" si="27">(I533)/(K533+I533)</f>
        <v>1</v>
      </c>
      <c r="M533" s="70"/>
      <c r="N533" s="70"/>
      <c r="O533" s="70"/>
      <c r="P533" s="70"/>
      <c r="Q533" s="70"/>
      <c r="R533" s="70"/>
      <c r="S533" s="70"/>
      <c r="T533" s="70"/>
      <c r="U533" s="70"/>
      <c r="V533" s="70"/>
      <c r="W533" s="70"/>
      <c r="X533" s="70"/>
      <c r="Y533" s="70"/>
      <c r="Z533" s="70"/>
      <c r="AA533" s="70"/>
      <c r="AB533" s="70"/>
      <c r="AC533" s="70"/>
      <c r="AD533" s="70"/>
      <c r="AE533" s="70"/>
      <c r="AF533" s="70"/>
      <c r="AG533" s="70"/>
      <c r="AH533" s="70"/>
      <c r="AI533" s="70"/>
      <c r="AJ533" s="70"/>
      <c r="AK533" s="70"/>
      <c r="AL533" s="70"/>
      <c r="AM533" s="70"/>
      <c r="AN533" s="70"/>
      <c r="AO533" s="70"/>
      <c r="AP533" s="89"/>
      <c r="AQ533" s="89"/>
    </row>
    <row r="534" spans="1:43" s="73" customFormat="1" ht="15.75" thickBot="1" x14ac:dyDescent="0.3">
      <c r="A534" s="73" t="s">
        <v>483</v>
      </c>
      <c r="B534" s="73" t="s">
        <v>564</v>
      </c>
      <c r="C534" s="73" t="s">
        <v>1062</v>
      </c>
      <c r="D534" s="73" t="s">
        <v>565</v>
      </c>
      <c r="E534" s="85" t="s">
        <v>19</v>
      </c>
      <c r="F534" s="85" t="s">
        <v>1301</v>
      </c>
      <c r="G534" s="85"/>
      <c r="H534" s="85" t="s">
        <v>1428</v>
      </c>
      <c r="I534" s="142">
        <f t="shared" si="25"/>
        <v>28</v>
      </c>
      <c r="J534" s="147" t="s">
        <v>2092</v>
      </c>
      <c r="K534" s="142">
        <f t="shared" si="26"/>
        <v>0</v>
      </c>
      <c r="L534" s="143">
        <f t="shared" si="27"/>
        <v>1</v>
      </c>
      <c r="M534" s="70"/>
      <c r="N534" s="70"/>
      <c r="O534" s="70"/>
      <c r="P534" s="70"/>
      <c r="Q534" s="70"/>
      <c r="R534" s="70"/>
      <c r="S534" s="70"/>
      <c r="T534" s="70"/>
      <c r="U534" s="70"/>
      <c r="V534" s="70"/>
      <c r="W534" s="70"/>
      <c r="X534" s="70"/>
      <c r="Y534" s="70"/>
      <c r="Z534" s="70"/>
      <c r="AA534" s="70"/>
      <c r="AB534" s="70"/>
      <c r="AC534" s="70"/>
      <c r="AD534" s="70"/>
      <c r="AE534" s="70"/>
      <c r="AF534" s="70"/>
      <c r="AG534" s="70"/>
      <c r="AH534" s="70"/>
      <c r="AI534" s="70"/>
      <c r="AJ534" s="70"/>
      <c r="AK534" s="70"/>
      <c r="AL534" s="70"/>
      <c r="AM534" s="70"/>
      <c r="AN534" s="70"/>
      <c r="AO534" s="70"/>
      <c r="AP534" s="89"/>
      <c r="AQ534" s="89"/>
    </row>
    <row r="535" spans="1:43" ht="15.75" thickBot="1" x14ac:dyDescent="0.3">
      <c r="A535" t="s">
        <v>483</v>
      </c>
      <c r="B535" t="s">
        <v>566</v>
      </c>
      <c r="C535" t="s">
        <v>1062</v>
      </c>
      <c r="D535" t="s">
        <v>567</v>
      </c>
      <c r="E535" s="30" t="s">
        <v>19</v>
      </c>
      <c r="F535" s="30" t="s">
        <v>1056</v>
      </c>
      <c r="G535" s="30" t="s">
        <v>1263</v>
      </c>
      <c r="H535" s="30" t="s">
        <v>877</v>
      </c>
      <c r="I535" s="31">
        <f t="shared" si="25"/>
        <v>27</v>
      </c>
      <c r="J535" s="147" t="s">
        <v>2093</v>
      </c>
      <c r="K535" s="31">
        <f t="shared" si="26"/>
        <v>0</v>
      </c>
      <c r="L535" s="32">
        <f t="shared" si="27"/>
        <v>1</v>
      </c>
      <c r="M535" s="70"/>
      <c r="N535" s="70"/>
      <c r="O535" s="70"/>
      <c r="P535" s="70"/>
      <c r="Q535" s="70"/>
      <c r="R535" s="70"/>
      <c r="S535" s="70"/>
      <c r="T535" s="70"/>
      <c r="U535" s="70"/>
      <c r="V535" s="70"/>
      <c r="W535" s="70"/>
      <c r="X535" s="70"/>
      <c r="Y535" s="70"/>
      <c r="Z535" s="70"/>
      <c r="AA535" s="70"/>
      <c r="AB535" s="70"/>
      <c r="AC535" s="70" t="s">
        <v>1361</v>
      </c>
      <c r="AD535" s="70"/>
      <c r="AE535" s="70"/>
      <c r="AF535" s="70"/>
      <c r="AG535" s="70"/>
      <c r="AH535" s="70"/>
      <c r="AI535" s="70"/>
      <c r="AJ535" s="70"/>
      <c r="AK535" s="70"/>
      <c r="AL535" s="70"/>
      <c r="AM535" s="70"/>
      <c r="AN535" s="70"/>
      <c r="AO535" s="70"/>
      <c r="AP535" s="70"/>
      <c r="AQ535" s="70"/>
    </row>
    <row r="536" spans="1:43" s="73" customFormat="1" ht="15.75" thickBot="1" x14ac:dyDescent="0.3">
      <c r="A536" s="73" t="s">
        <v>479</v>
      </c>
      <c r="B536" s="73" t="s">
        <v>568</v>
      </c>
      <c r="C536" s="73" t="s">
        <v>1062</v>
      </c>
      <c r="D536" s="73" t="s">
        <v>569</v>
      </c>
      <c r="E536" s="85" t="s">
        <v>19</v>
      </c>
      <c r="F536" s="85" t="s">
        <v>1301</v>
      </c>
      <c r="G536" s="85"/>
      <c r="H536" s="85" t="s">
        <v>1505</v>
      </c>
      <c r="I536" s="142">
        <f t="shared" si="25"/>
        <v>20</v>
      </c>
      <c r="J536" s="147" t="s">
        <v>2094</v>
      </c>
      <c r="K536" s="142">
        <f t="shared" si="26"/>
        <v>8</v>
      </c>
      <c r="L536" s="143">
        <f t="shared" si="27"/>
        <v>0.7142857142857143</v>
      </c>
      <c r="M536" s="70" t="s">
        <v>2213</v>
      </c>
      <c r="N536" s="70" t="s">
        <v>2213</v>
      </c>
      <c r="O536" s="70" t="s">
        <v>2213</v>
      </c>
      <c r="P536" s="70" t="s">
        <v>2213</v>
      </c>
      <c r="Q536" s="70" t="s">
        <v>2213</v>
      </c>
      <c r="R536" s="70" t="s">
        <v>2213</v>
      </c>
      <c r="S536" s="70" t="s">
        <v>2213</v>
      </c>
      <c r="T536" s="70" t="s">
        <v>2213</v>
      </c>
      <c r="U536" s="70"/>
      <c r="V536" s="70"/>
      <c r="W536" s="70"/>
      <c r="X536" s="70"/>
      <c r="Y536" s="70"/>
      <c r="Z536" s="70"/>
      <c r="AA536" s="70"/>
      <c r="AB536" s="70"/>
      <c r="AC536" s="70"/>
      <c r="AD536" s="70"/>
      <c r="AE536" s="70"/>
      <c r="AF536" s="70"/>
      <c r="AG536" s="70"/>
      <c r="AH536" s="70"/>
      <c r="AI536" s="70"/>
      <c r="AJ536" s="70"/>
      <c r="AK536" s="70"/>
      <c r="AL536" s="70"/>
      <c r="AM536" s="70"/>
      <c r="AN536" s="70"/>
      <c r="AO536" s="70"/>
      <c r="AP536" s="89"/>
      <c r="AQ536" s="89"/>
    </row>
    <row r="537" spans="1:43" ht="15.75" thickBot="1" x14ac:dyDescent="0.3">
      <c r="A537" t="s">
        <v>479</v>
      </c>
      <c r="B537" t="s">
        <v>1312</v>
      </c>
      <c r="C537" t="s">
        <v>1062</v>
      </c>
      <c r="D537" t="s">
        <v>2198</v>
      </c>
      <c r="E537" s="85" t="s">
        <v>15</v>
      </c>
      <c r="F537" s="85" t="s">
        <v>1301</v>
      </c>
      <c r="G537" s="30"/>
      <c r="H537" s="30" t="s">
        <v>2199</v>
      </c>
      <c r="I537" s="31">
        <f t="shared" si="25"/>
        <v>28</v>
      </c>
      <c r="J537" s="147" t="s">
        <v>2200</v>
      </c>
      <c r="K537" s="31">
        <f t="shared" si="26"/>
        <v>0</v>
      </c>
      <c r="L537" s="32">
        <f t="shared" si="27"/>
        <v>1</v>
      </c>
      <c r="M537" s="70"/>
      <c r="N537" s="70"/>
      <c r="O537" s="70"/>
      <c r="P537" s="70"/>
      <c r="Q537" s="70"/>
      <c r="R537" s="70"/>
      <c r="S537" s="70"/>
      <c r="T537" s="70"/>
      <c r="U537" s="70"/>
      <c r="V537" s="70"/>
      <c r="W537" s="70"/>
      <c r="X537" s="70"/>
      <c r="Y537" s="70"/>
      <c r="Z537" s="70"/>
      <c r="AA537" s="70"/>
      <c r="AB537" s="70"/>
      <c r="AC537" s="70"/>
      <c r="AD537" s="70"/>
      <c r="AE537" s="70"/>
      <c r="AF537" s="70"/>
      <c r="AG537" s="70"/>
      <c r="AH537" s="70"/>
      <c r="AI537" s="70"/>
      <c r="AJ537" s="70"/>
      <c r="AK537" s="70"/>
      <c r="AL537" s="70"/>
      <c r="AM537" s="70"/>
      <c r="AN537" s="70"/>
      <c r="AO537" s="70"/>
      <c r="AP537" s="70"/>
      <c r="AQ537" s="70"/>
    </row>
    <row r="538" spans="1:43" ht="15.75" thickBot="1" x14ac:dyDescent="0.3">
      <c r="A538" t="s">
        <v>483</v>
      </c>
      <c r="B538" t="s">
        <v>2134</v>
      </c>
      <c r="C538" t="s">
        <v>1062</v>
      </c>
      <c r="D538" s="73" t="s">
        <v>2135</v>
      </c>
      <c r="E538" s="85" t="s">
        <v>15</v>
      </c>
      <c r="F538" s="85" t="s">
        <v>1301</v>
      </c>
      <c r="G538" s="30"/>
      <c r="H538" s="30" t="s">
        <v>2136</v>
      </c>
      <c r="I538" s="31">
        <f t="shared" si="25"/>
        <v>28</v>
      </c>
      <c r="J538" s="147" t="s">
        <v>2137</v>
      </c>
      <c r="K538" s="31">
        <f t="shared" si="26"/>
        <v>0</v>
      </c>
      <c r="L538" s="32">
        <f t="shared" si="27"/>
        <v>1</v>
      </c>
      <c r="M538" s="70"/>
      <c r="N538" s="70"/>
      <c r="O538" s="70"/>
      <c r="P538" s="70"/>
      <c r="Q538" s="70"/>
      <c r="R538" s="70"/>
      <c r="S538" s="70"/>
      <c r="T538" s="70"/>
      <c r="U538" s="70"/>
      <c r="V538" s="70"/>
      <c r="W538" s="70"/>
      <c r="X538" s="70"/>
      <c r="Y538" s="70"/>
      <c r="Z538" s="70"/>
      <c r="AA538" s="70"/>
      <c r="AB538" s="70"/>
      <c r="AC538" s="70"/>
      <c r="AD538" s="70"/>
      <c r="AE538" s="70"/>
      <c r="AF538" s="70"/>
      <c r="AG538" s="70"/>
      <c r="AH538" s="70"/>
      <c r="AI538" s="70"/>
      <c r="AJ538" s="70"/>
      <c r="AK538" s="70"/>
      <c r="AL538" s="70"/>
      <c r="AM538" s="70"/>
      <c r="AN538" s="70"/>
      <c r="AO538" s="70"/>
      <c r="AP538" s="70"/>
      <c r="AQ538" s="70"/>
    </row>
    <row r="539" spans="1:43" s="73" customFormat="1" ht="15.75" thickBot="1" x14ac:dyDescent="0.3">
      <c r="A539" s="73" t="s">
        <v>570</v>
      </c>
      <c r="B539" s="73" t="s">
        <v>571</v>
      </c>
      <c r="C539" s="73" t="s">
        <v>1063</v>
      </c>
      <c r="D539" s="73" t="s">
        <v>572</v>
      </c>
      <c r="E539" s="85" t="s">
        <v>15</v>
      </c>
      <c r="F539" s="85" t="s">
        <v>1301</v>
      </c>
      <c r="G539" s="85"/>
      <c r="H539" s="85" t="s">
        <v>878</v>
      </c>
      <c r="I539" s="142">
        <f t="shared" si="25"/>
        <v>23</v>
      </c>
      <c r="J539" s="147" t="s">
        <v>2095</v>
      </c>
      <c r="K539" s="142">
        <f t="shared" si="26"/>
        <v>5</v>
      </c>
      <c r="L539" s="143">
        <f t="shared" si="27"/>
        <v>0.8214285714285714</v>
      </c>
      <c r="M539" s="70"/>
      <c r="N539" s="70"/>
      <c r="O539" s="70"/>
      <c r="P539" s="70" t="s">
        <v>2213</v>
      </c>
      <c r="Q539" s="70" t="s">
        <v>2213</v>
      </c>
      <c r="R539" s="70" t="s">
        <v>2213</v>
      </c>
      <c r="S539" s="70" t="s">
        <v>2213</v>
      </c>
      <c r="T539" s="70" t="s">
        <v>2213</v>
      </c>
      <c r="U539" s="70"/>
      <c r="V539" s="70"/>
      <c r="W539" s="70"/>
      <c r="X539" s="70"/>
      <c r="Y539" s="70"/>
      <c r="Z539" s="70"/>
      <c r="AA539" s="70"/>
      <c r="AB539" s="70"/>
      <c r="AC539" s="70"/>
      <c r="AD539" s="70"/>
      <c r="AE539" s="70"/>
      <c r="AF539" s="70"/>
      <c r="AG539" s="70"/>
      <c r="AH539" s="70"/>
      <c r="AI539" s="70"/>
      <c r="AJ539" s="70"/>
      <c r="AK539" s="70"/>
      <c r="AL539" s="70"/>
      <c r="AM539" s="70"/>
      <c r="AN539" s="70"/>
      <c r="AO539" s="70"/>
      <c r="AP539" s="89"/>
      <c r="AQ539" s="89"/>
    </row>
    <row r="540" spans="1:43" s="73" customFormat="1" ht="15.75" thickBot="1" x14ac:dyDescent="0.3">
      <c r="A540" s="73" t="s">
        <v>570</v>
      </c>
      <c r="B540" s="73" t="s">
        <v>1463</v>
      </c>
      <c r="C540" s="73" t="s">
        <v>1063</v>
      </c>
      <c r="D540" s="73" t="s">
        <v>573</v>
      </c>
      <c r="E540" s="85" t="s">
        <v>15</v>
      </c>
      <c r="F540" s="85" t="s">
        <v>1301</v>
      </c>
      <c r="G540" s="85"/>
      <c r="H540" s="85" t="s">
        <v>879</v>
      </c>
      <c r="I540" s="142">
        <f t="shared" si="25"/>
        <v>23</v>
      </c>
      <c r="J540" s="147" t="s">
        <v>2096</v>
      </c>
      <c r="K540" s="142">
        <f t="shared" si="26"/>
        <v>5</v>
      </c>
      <c r="L540" s="143">
        <f t="shared" si="27"/>
        <v>0.8214285714285714</v>
      </c>
      <c r="M540" s="70"/>
      <c r="N540" s="70"/>
      <c r="O540" s="70"/>
      <c r="P540" s="70" t="s">
        <v>2213</v>
      </c>
      <c r="Q540" s="70" t="s">
        <v>2213</v>
      </c>
      <c r="R540" s="70" t="s">
        <v>2213</v>
      </c>
      <c r="S540" s="70" t="s">
        <v>2213</v>
      </c>
      <c r="T540" s="70" t="s">
        <v>2213</v>
      </c>
      <c r="U540" s="70"/>
      <c r="V540" s="70"/>
      <c r="W540" s="70"/>
      <c r="X540" s="70"/>
      <c r="Y540" s="70"/>
      <c r="Z540" s="70"/>
      <c r="AA540" s="70"/>
      <c r="AB540" s="70"/>
      <c r="AC540" s="70"/>
      <c r="AD540" s="70"/>
      <c r="AE540" s="70"/>
      <c r="AF540" s="70"/>
      <c r="AG540" s="70"/>
      <c r="AH540" s="70"/>
      <c r="AI540" s="70"/>
      <c r="AJ540" s="70"/>
      <c r="AK540" s="70"/>
      <c r="AL540" s="70"/>
      <c r="AM540" s="70"/>
      <c r="AN540" s="70"/>
      <c r="AO540" s="70"/>
      <c r="AP540" s="89"/>
      <c r="AQ540" s="89"/>
    </row>
    <row r="541" spans="1:43" s="73" customFormat="1" ht="15.75" thickBot="1" x14ac:dyDescent="0.3">
      <c r="A541" s="73" t="s">
        <v>570</v>
      </c>
      <c r="B541" s="73" t="s">
        <v>1046</v>
      </c>
      <c r="C541" s="73" t="s">
        <v>1063</v>
      </c>
      <c r="D541" s="73" t="s">
        <v>574</v>
      </c>
      <c r="E541" s="85" t="s">
        <v>73</v>
      </c>
      <c r="F541" s="85" t="s">
        <v>1301</v>
      </c>
      <c r="G541" s="85"/>
      <c r="H541" s="85" t="s">
        <v>880</v>
      </c>
      <c r="I541" s="142">
        <f t="shared" si="25"/>
        <v>23</v>
      </c>
      <c r="J541" s="147" t="s">
        <v>2097</v>
      </c>
      <c r="K541" s="142">
        <f t="shared" si="26"/>
        <v>5</v>
      </c>
      <c r="L541" s="143">
        <f t="shared" si="27"/>
        <v>0.8214285714285714</v>
      </c>
      <c r="M541" s="70"/>
      <c r="N541" s="70"/>
      <c r="O541" s="70"/>
      <c r="P541" s="70" t="s">
        <v>2213</v>
      </c>
      <c r="Q541" s="70" t="s">
        <v>2213</v>
      </c>
      <c r="R541" s="70" t="s">
        <v>2213</v>
      </c>
      <c r="S541" s="70" t="s">
        <v>2213</v>
      </c>
      <c r="T541" s="70" t="s">
        <v>2213</v>
      </c>
      <c r="U541" s="70"/>
      <c r="V541" s="70"/>
      <c r="W541" s="70"/>
      <c r="X541" s="70"/>
      <c r="Y541" s="70"/>
      <c r="Z541" s="70"/>
      <c r="AA541" s="70"/>
      <c r="AB541" s="70"/>
      <c r="AC541" s="70"/>
      <c r="AD541" s="70"/>
      <c r="AE541" s="70"/>
      <c r="AF541" s="70"/>
      <c r="AG541" s="70"/>
      <c r="AH541" s="70"/>
      <c r="AI541" s="70"/>
      <c r="AJ541" s="70"/>
      <c r="AK541" s="70"/>
      <c r="AL541" s="70"/>
      <c r="AM541" s="70"/>
      <c r="AN541" s="70"/>
      <c r="AO541" s="70"/>
      <c r="AP541" s="89"/>
      <c r="AQ541" s="89"/>
    </row>
    <row r="542" spans="1:43" s="73" customFormat="1" ht="15.75" thickBot="1" x14ac:dyDescent="0.3">
      <c r="A542" s="73" t="s">
        <v>570</v>
      </c>
      <c r="B542" s="73" t="s">
        <v>1047</v>
      </c>
      <c r="C542" s="73" t="s">
        <v>1063</v>
      </c>
      <c r="D542" s="73" t="s">
        <v>574</v>
      </c>
      <c r="E542" s="85" t="s">
        <v>73</v>
      </c>
      <c r="F542" s="85" t="s">
        <v>1301</v>
      </c>
      <c r="G542" s="85"/>
      <c r="H542" s="85" t="s">
        <v>881</v>
      </c>
      <c r="I542" s="142">
        <f t="shared" si="25"/>
        <v>23</v>
      </c>
      <c r="J542" s="147" t="s">
        <v>2098</v>
      </c>
      <c r="K542" s="142">
        <f t="shared" si="26"/>
        <v>5</v>
      </c>
      <c r="L542" s="143">
        <f t="shared" si="27"/>
        <v>0.8214285714285714</v>
      </c>
      <c r="M542" s="70"/>
      <c r="N542" s="70"/>
      <c r="O542" s="70"/>
      <c r="P542" s="70" t="s">
        <v>2213</v>
      </c>
      <c r="Q542" s="70" t="s">
        <v>2213</v>
      </c>
      <c r="R542" s="70" t="s">
        <v>2213</v>
      </c>
      <c r="S542" s="70" t="s">
        <v>2213</v>
      </c>
      <c r="T542" s="70" t="s">
        <v>2213</v>
      </c>
      <c r="U542" s="70"/>
      <c r="V542" s="70"/>
      <c r="W542" s="70"/>
      <c r="X542" s="70"/>
      <c r="Y542" s="70"/>
      <c r="Z542" s="70"/>
      <c r="AA542" s="70"/>
      <c r="AB542" s="70"/>
      <c r="AC542" s="70"/>
      <c r="AD542" s="70"/>
      <c r="AE542" s="70"/>
      <c r="AF542" s="70"/>
      <c r="AG542" s="70"/>
      <c r="AH542" s="70"/>
      <c r="AI542" s="70"/>
      <c r="AJ542" s="70"/>
      <c r="AK542" s="70"/>
      <c r="AL542" s="70"/>
      <c r="AM542" s="70"/>
      <c r="AN542" s="70"/>
      <c r="AO542" s="70"/>
      <c r="AP542" s="89"/>
      <c r="AQ542" s="89"/>
    </row>
    <row r="543" spans="1:43" s="73" customFormat="1" ht="15.75" thickBot="1" x14ac:dyDescent="0.3">
      <c r="A543" s="73" t="s">
        <v>570</v>
      </c>
      <c r="B543" s="73" t="s">
        <v>1644</v>
      </c>
      <c r="C543" s="73" t="s">
        <v>1063</v>
      </c>
      <c r="D543" s="73" t="s">
        <v>1651</v>
      </c>
      <c r="E543" s="85" t="s">
        <v>1114</v>
      </c>
      <c r="F543" s="85" t="s">
        <v>28</v>
      </c>
      <c r="G543" s="85"/>
      <c r="H543" s="85" t="s">
        <v>1646</v>
      </c>
      <c r="I543" s="142">
        <f t="shared" si="25"/>
        <v>28</v>
      </c>
      <c r="J543" s="87" t="s">
        <v>2188</v>
      </c>
      <c r="K543" s="142">
        <f t="shared" si="26"/>
        <v>0</v>
      </c>
      <c r="L543" s="143">
        <f t="shared" si="27"/>
        <v>1</v>
      </c>
      <c r="M543" s="70"/>
      <c r="N543" s="70"/>
      <c r="O543" s="70"/>
      <c r="P543" s="70"/>
      <c r="Q543" s="70"/>
      <c r="R543" s="70"/>
      <c r="S543" s="70"/>
      <c r="T543" s="70"/>
      <c r="U543" s="70"/>
      <c r="V543" s="70"/>
      <c r="W543" s="70"/>
      <c r="X543" s="70"/>
      <c r="Y543" s="70"/>
      <c r="Z543" s="70"/>
      <c r="AA543" s="70"/>
      <c r="AB543" s="70"/>
      <c r="AC543" s="70"/>
      <c r="AD543" s="70"/>
      <c r="AE543" s="70"/>
      <c r="AF543" s="70"/>
      <c r="AG543" s="70"/>
      <c r="AH543" s="70"/>
      <c r="AI543" s="70"/>
      <c r="AJ543" s="70"/>
      <c r="AK543" s="70"/>
      <c r="AL543" s="70"/>
      <c r="AM543" s="70"/>
      <c r="AN543" s="70"/>
      <c r="AO543" s="70"/>
      <c r="AP543" s="89"/>
      <c r="AQ543" s="89"/>
    </row>
    <row r="544" spans="1:43" s="73" customFormat="1" ht="15.75" thickBot="1" x14ac:dyDescent="0.3">
      <c r="A544" s="73" t="s">
        <v>570</v>
      </c>
      <c r="B544" s="73" t="s">
        <v>2128</v>
      </c>
      <c r="C544" s="73" t="s">
        <v>1063</v>
      </c>
      <c r="D544" s="73" t="s">
        <v>2129</v>
      </c>
      <c r="E544" s="30" t="s">
        <v>15</v>
      </c>
      <c r="F544" s="85" t="s">
        <v>1301</v>
      </c>
      <c r="G544" s="85"/>
      <c r="H544" s="85" t="s">
        <v>2131</v>
      </c>
      <c r="I544" s="142">
        <f t="shared" si="25"/>
        <v>28</v>
      </c>
      <c r="J544" s="87"/>
      <c r="K544" s="142">
        <f t="shared" si="26"/>
        <v>0</v>
      </c>
      <c r="L544" s="143">
        <f t="shared" si="27"/>
        <v>1</v>
      </c>
      <c r="M544" s="70"/>
      <c r="N544" s="70"/>
      <c r="O544" s="70"/>
      <c r="P544" s="70"/>
      <c r="Q544" s="70"/>
      <c r="R544" s="70"/>
      <c r="S544" s="70"/>
      <c r="T544" s="70"/>
      <c r="U544" s="70"/>
      <c r="V544" s="70"/>
      <c r="W544" s="70"/>
      <c r="X544" s="70"/>
      <c r="Y544" s="70"/>
      <c r="Z544" s="70"/>
      <c r="AA544" s="70"/>
      <c r="AB544" s="70"/>
      <c r="AC544" s="70"/>
      <c r="AD544" s="70"/>
      <c r="AE544" s="70"/>
      <c r="AF544" s="70"/>
      <c r="AG544" s="70"/>
      <c r="AH544" s="70"/>
      <c r="AI544" s="70"/>
      <c r="AJ544" s="70"/>
      <c r="AK544" s="70"/>
      <c r="AL544" s="70"/>
      <c r="AM544" s="70"/>
      <c r="AN544" s="70"/>
      <c r="AO544" s="70"/>
      <c r="AP544" s="89"/>
      <c r="AQ544" s="89"/>
    </row>
    <row r="545" spans="1:43" s="73" customFormat="1" ht="15.75" thickBot="1" x14ac:dyDescent="0.3">
      <c r="A545" s="73" t="s">
        <v>570</v>
      </c>
      <c r="B545" s="73" t="s">
        <v>1657</v>
      </c>
      <c r="C545" s="73" t="s">
        <v>1063</v>
      </c>
      <c r="D545" s="73" t="s">
        <v>1658</v>
      </c>
      <c r="E545" s="85" t="s">
        <v>15</v>
      </c>
      <c r="F545" s="85" t="s">
        <v>1301</v>
      </c>
      <c r="G545" s="85"/>
      <c r="H545" s="85" t="s">
        <v>1659</v>
      </c>
      <c r="I545" s="142">
        <f t="shared" si="25"/>
        <v>20</v>
      </c>
      <c r="J545" s="87" t="s">
        <v>2189</v>
      </c>
      <c r="K545" s="142">
        <f t="shared" si="26"/>
        <v>8</v>
      </c>
      <c r="L545" s="143">
        <f t="shared" si="27"/>
        <v>0.7142857142857143</v>
      </c>
      <c r="M545" s="70" t="s">
        <v>2213</v>
      </c>
      <c r="N545" s="70" t="s">
        <v>2213</v>
      </c>
      <c r="O545" s="70" t="s">
        <v>2213</v>
      </c>
      <c r="P545" s="70" t="s">
        <v>2213</v>
      </c>
      <c r="Q545" s="70" t="s">
        <v>2213</v>
      </c>
      <c r="R545" s="70" t="s">
        <v>2213</v>
      </c>
      <c r="S545" s="70" t="s">
        <v>2213</v>
      </c>
      <c r="T545" s="70" t="s">
        <v>2213</v>
      </c>
      <c r="U545" s="70"/>
      <c r="V545" s="70"/>
      <c r="W545" s="70"/>
      <c r="X545" s="70"/>
      <c r="Y545" s="70"/>
      <c r="Z545" s="70"/>
      <c r="AA545" s="70"/>
      <c r="AB545" s="70"/>
      <c r="AC545" s="70"/>
      <c r="AD545" s="70"/>
      <c r="AE545" s="70"/>
      <c r="AF545" s="70"/>
      <c r="AG545" s="70"/>
      <c r="AH545" s="70"/>
      <c r="AI545" s="70"/>
      <c r="AJ545" s="70"/>
      <c r="AK545" s="70"/>
      <c r="AL545" s="70"/>
      <c r="AM545" s="70"/>
      <c r="AN545" s="70"/>
      <c r="AO545" s="70"/>
      <c r="AP545" s="89"/>
      <c r="AQ545" s="89"/>
    </row>
    <row r="546" spans="1:43" ht="15.75" thickBot="1" x14ac:dyDescent="0.3">
      <c r="A546" t="s">
        <v>575</v>
      </c>
      <c r="B546" t="s">
        <v>1048</v>
      </c>
      <c r="C546" t="s">
        <v>1063</v>
      </c>
      <c r="D546" t="s">
        <v>576</v>
      </c>
      <c r="E546" s="30" t="s">
        <v>73</v>
      </c>
      <c r="F546" s="85" t="s">
        <v>1301</v>
      </c>
      <c r="G546" s="30"/>
      <c r="H546" s="30" t="s">
        <v>882</v>
      </c>
      <c r="I546" s="31">
        <f t="shared" si="25"/>
        <v>23</v>
      </c>
      <c r="J546" s="87" t="s">
        <v>2185</v>
      </c>
      <c r="K546" s="31">
        <f t="shared" si="26"/>
        <v>5</v>
      </c>
      <c r="L546" s="32">
        <f t="shared" si="27"/>
        <v>0.8214285714285714</v>
      </c>
      <c r="M546" s="70"/>
      <c r="N546" s="70"/>
      <c r="O546" s="70"/>
      <c r="P546" s="70" t="s">
        <v>2213</v>
      </c>
      <c r="Q546" s="70" t="s">
        <v>2213</v>
      </c>
      <c r="R546" s="70" t="s">
        <v>2213</v>
      </c>
      <c r="S546" s="70" t="s">
        <v>2213</v>
      </c>
      <c r="T546" s="70" t="s">
        <v>2213</v>
      </c>
      <c r="U546" s="70"/>
      <c r="V546" s="70"/>
      <c r="W546" s="70"/>
      <c r="X546" s="70"/>
      <c r="Y546" s="70"/>
      <c r="Z546" s="70"/>
      <c r="AA546" s="70"/>
      <c r="AB546" s="70"/>
      <c r="AC546" s="70"/>
      <c r="AD546" s="70"/>
      <c r="AE546" s="70"/>
      <c r="AF546" s="70"/>
      <c r="AG546" s="70"/>
      <c r="AH546" s="70"/>
      <c r="AI546" s="70"/>
      <c r="AJ546" s="70"/>
      <c r="AK546" s="70"/>
      <c r="AL546" s="70"/>
      <c r="AM546" s="70"/>
      <c r="AN546" s="70"/>
      <c r="AO546" s="70"/>
      <c r="AP546" s="70"/>
      <c r="AQ546" s="70"/>
    </row>
    <row r="547" spans="1:43" ht="15.75" thickBot="1" x14ac:dyDescent="0.3">
      <c r="A547" t="s">
        <v>575</v>
      </c>
      <c r="B547" t="s">
        <v>1049</v>
      </c>
      <c r="C547" t="s">
        <v>1063</v>
      </c>
      <c r="D547" t="s">
        <v>577</v>
      </c>
      <c r="E547" s="30" t="s">
        <v>15</v>
      </c>
      <c r="F547" s="30" t="s">
        <v>28</v>
      </c>
      <c r="G547" s="30"/>
      <c r="H547" s="30" t="s">
        <v>883</v>
      </c>
      <c r="I547" s="31">
        <f t="shared" si="25"/>
        <v>23</v>
      </c>
      <c r="J547" s="147" t="s">
        <v>2099</v>
      </c>
      <c r="K547" s="31">
        <f t="shared" si="26"/>
        <v>5</v>
      </c>
      <c r="L547" s="32">
        <f t="shared" si="27"/>
        <v>0.8214285714285714</v>
      </c>
      <c r="M547" s="70"/>
      <c r="N547" s="70"/>
      <c r="O547" s="70"/>
      <c r="P547" s="70" t="s">
        <v>2213</v>
      </c>
      <c r="Q547" s="70" t="s">
        <v>2213</v>
      </c>
      <c r="R547" s="70" t="s">
        <v>2213</v>
      </c>
      <c r="S547" s="70" t="s">
        <v>2213</v>
      </c>
      <c r="T547" s="70" t="s">
        <v>2213</v>
      </c>
      <c r="U547" s="70"/>
      <c r="V547" s="70"/>
      <c r="W547" s="70"/>
      <c r="X547" s="70"/>
      <c r="Y547" s="70"/>
      <c r="Z547" s="70"/>
      <c r="AA547" s="70"/>
      <c r="AB547" s="70"/>
      <c r="AC547" s="70"/>
      <c r="AD547" s="70"/>
      <c r="AE547" s="70"/>
      <c r="AF547" s="70"/>
      <c r="AG547" s="70"/>
      <c r="AH547" s="70"/>
      <c r="AI547" s="70"/>
      <c r="AJ547" s="70"/>
      <c r="AK547" s="70"/>
      <c r="AL547" s="70"/>
      <c r="AM547" s="70"/>
      <c r="AN547" s="70"/>
      <c r="AO547" s="70"/>
      <c r="AP547" s="70"/>
      <c r="AQ547" s="70"/>
    </row>
    <row r="548" spans="1:43" ht="15.75" thickBot="1" x14ac:dyDescent="0.3">
      <c r="A548" t="s">
        <v>575</v>
      </c>
      <c r="B548" t="s">
        <v>578</v>
      </c>
      <c r="C548" t="s">
        <v>1063</v>
      </c>
      <c r="D548" t="s">
        <v>579</v>
      </c>
      <c r="E548" s="30" t="s">
        <v>73</v>
      </c>
      <c r="F548" s="85" t="s">
        <v>1301</v>
      </c>
      <c r="G548" s="30"/>
      <c r="H548" s="30" t="s">
        <v>884</v>
      </c>
      <c r="I548" s="31">
        <f t="shared" si="25"/>
        <v>23</v>
      </c>
      <c r="J548" s="87" t="s">
        <v>2186</v>
      </c>
      <c r="K548" s="31">
        <f t="shared" si="26"/>
        <v>5</v>
      </c>
      <c r="L548" s="32">
        <f t="shared" si="27"/>
        <v>0.8214285714285714</v>
      </c>
      <c r="M548" s="70"/>
      <c r="N548" s="70"/>
      <c r="O548" s="70"/>
      <c r="P548" s="70" t="s">
        <v>2213</v>
      </c>
      <c r="Q548" s="70" t="s">
        <v>2213</v>
      </c>
      <c r="R548" s="70" t="s">
        <v>2213</v>
      </c>
      <c r="S548" s="70" t="s">
        <v>2213</v>
      </c>
      <c r="T548" s="70" t="s">
        <v>2213</v>
      </c>
      <c r="U548" s="70"/>
      <c r="V548" s="70"/>
      <c r="W548" s="70"/>
      <c r="X548" s="70"/>
      <c r="Y548" s="70"/>
      <c r="Z548" s="70"/>
      <c r="AA548" s="70"/>
      <c r="AB548" s="70"/>
      <c r="AC548" s="70"/>
      <c r="AD548" s="70"/>
      <c r="AE548" s="70"/>
      <c r="AF548" s="70"/>
      <c r="AG548" s="70"/>
      <c r="AH548" s="70"/>
      <c r="AI548" s="70"/>
      <c r="AJ548" s="70"/>
      <c r="AK548" s="70"/>
      <c r="AL548" s="70"/>
      <c r="AM548" s="70"/>
      <c r="AN548" s="70"/>
      <c r="AO548" s="70"/>
      <c r="AP548" s="70"/>
      <c r="AQ548" s="70"/>
    </row>
    <row r="549" spans="1:43" ht="15.75" thickBot="1" x14ac:dyDescent="0.3">
      <c r="A549" t="s">
        <v>575</v>
      </c>
      <c r="B549" t="s">
        <v>580</v>
      </c>
      <c r="C549" t="s">
        <v>1063</v>
      </c>
      <c r="D549" t="s">
        <v>581</v>
      </c>
      <c r="E549" s="30" t="s">
        <v>15</v>
      </c>
      <c r="F549" s="30" t="s">
        <v>28</v>
      </c>
      <c r="G549" s="30"/>
      <c r="H549" s="30" t="s">
        <v>885</v>
      </c>
      <c r="I549" s="31">
        <f t="shared" si="25"/>
        <v>23</v>
      </c>
      <c r="J549" s="147" t="s">
        <v>2100</v>
      </c>
      <c r="K549" s="31">
        <f t="shared" si="26"/>
        <v>5</v>
      </c>
      <c r="L549" s="32">
        <f t="shared" si="27"/>
        <v>0.8214285714285714</v>
      </c>
      <c r="M549" s="70"/>
      <c r="N549" s="70"/>
      <c r="O549" s="70"/>
      <c r="P549" s="70" t="s">
        <v>2213</v>
      </c>
      <c r="Q549" s="70" t="s">
        <v>2213</v>
      </c>
      <c r="R549" s="70" t="s">
        <v>2213</v>
      </c>
      <c r="S549" s="70" t="s">
        <v>2213</v>
      </c>
      <c r="T549" s="70" t="s">
        <v>2213</v>
      </c>
      <c r="U549" s="70"/>
      <c r="V549" s="70"/>
      <c r="W549" s="70"/>
      <c r="X549" s="70"/>
      <c r="Y549" s="70"/>
      <c r="Z549" s="70"/>
      <c r="AA549" s="70"/>
      <c r="AB549" s="70"/>
      <c r="AC549" s="70"/>
      <c r="AD549" s="70"/>
      <c r="AE549" s="70"/>
      <c r="AF549" s="70"/>
      <c r="AG549" s="70"/>
      <c r="AH549" s="70"/>
      <c r="AI549" s="70"/>
      <c r="AJ549" s="70"/>
      <c r="AK549" s="70"/>
      <c r="AL549" s="70"/>
      <c r="AM549" s="70"/>
      <c r="AN549" s="70"/>
      <c r="AO549" s="70"/>
      <c r="AP549" s="70"/>
      <c r="AQ549" s="70"/>
    </row>
    <row r="550" spans="1:43" s="73" customFormat="1" ht="15.75" thickBot="1" x14ac:dyDescent="0.3">
      <c r="A550" s="73" t="s">
        <v>575</v>
      </c>
      <c r="B550" s="73" t="s">
        <v>582</v>
      </c>
      <c r="C550" s="73" t="s">
        <v>1063</v>
      </c>
      <c r="D550" s="73" t="s">
        <v>583</v>
      </c>
      <c r="E550" s="85" t="s">
        <v>15</v>
      </c>
      <c r="F550" s="85" t="s">
        <v>1301</v>
      </c>
      <c r="G550" s="85"/>
      <c r="H550" s="85" t="s">
        <v>886</v>
      </c>
      <c r="I550" s="142">
        <f t="shared" si="25"/>
        <v>23</v>
      </c>
      <c r="J550" s="147" t="s">
        <v>2101</v>
      </c>
      <c r="K550" s="142">
        <f t="shared" si="26"/>
        <v>5</v>
      </c>
      <c r="L550" s="143">
        <f t="shared" si="27"/>
        <v>0.8214285714285714</v>
      </c>
      <c r="M550" s="70"/>
      <c r="N550" s="70"/>
      <c r="O550" s="70"/>
      <c r="P550" s="70" t="s">
        <v>2213</v>
      </c>
      <c r="Q550" s="70" t="s">
        <v>2213</v>
      </c>
      <c r="R550" s="70" t="s">
        <v>2213</v>
      </c>
      <c r="S550" s="70" t="s">
        <v>2213</v>
      </c>
      <c r="T550" s="70" t="s">
        <v>2213</v>
      </c>
      <c r="U550" s="70"/>
      <c r="V550" s="70"/>
      <c r="W550" s="70"/>
      <c r="X550" s="70"/>
      <c r="Y550" s="70"/>
      <c r="Z550" s="70"/>
      <c r="AA550" s="70"/>
      <c r="AB550" s="70"/>
      <c r="AC550" s="70"/>
      <c r="AD550" s="70"/>
      <c r="AE550" s="70"/>
      <c r="AF550" s="70"/>
      <c r="AG550" s="70"/>
      <c r="AH550" s="70"/>
      <c r="AI550" s="70"/>
      <c r="AJ550" s="70"/>
      <c r="AK550" s="70"/>
      <c r="AL550" s="70"/>
      <c r="AM550" s="70"/>
      <c r="AN550" s="70"/>
      <c r="AO550" s="70"/>
      <c r="AP550" s="89"/>
      <c r="AQ550" s="89"/>
    </row>
    <row r="551" spans="1:43" s="73" customFormat="1" ht="15.75" thickBot="1" x14ac:dyDescent="0.3">
      <c r="A551" s="73" t="s">
        <v>2140</v>
      </c>
      <c r="B551" s="73" t="s">
        <v>2138</v>
      </c>
      <c r="C551" t="s">
        <v>1062</v>
      </c>
      <c r="D551" s="73" t="s">
        <v>2139</v>
      </c>
      <c r="E551" s="85" t="s">
        <v>15</v>
      </c>
      <c r="F551" s="85" t="s">
        <v>1301</v>
      </c>
      <c r="G551" s="85"/>
      <c r="H551" s="85" t="s">
        <v>2141</v>
      </c>
      <c r="I551" s="142">
        <f t="shared" si="25"/>
        <v>28</v>
      </c>
      <c r="J551" s="151" t="s">
        <v>2142</v>
      </c>
      <c r="K551" s="142">
        <f t="shared" si="26"/>
        <v>0</v>
      </c>
      <c r="L551" s="143">
        <f t="shared" si="27"/>
        <v>1</v>
      </c>
      <c r="M551" s="70"/>
      <c r="N551" s="70"/>
      <c r="O551" s="70"/>
      <c r="P551" s="70"/>
      <c r="Q551" s="70"/>
      <c r="R551" s="70"/>
      <c r="S551" s="70"/>
      <c r="T551" s="70"/>
      <c r="U551" s="70"/>
      <c r="V551" s="70"/>
      <c r="W551" s="70"/>
      <c r="X551" s="70"/>
      <c r="Y551" s="70"/>
      <c r="Z551" s="70"/>
      <c r="AA551" s="70"/>
      <c r="AB551" s="70"/>
      <c r="AC551" s="70"/>
      <c r="AD551" s="70"/>
      <c r="AE551" s="70"/>
      <c r="AF551" s="70"/>
      <c r="AG551" s="70"/>
      <c r="AH551" s="70"/>
      <c r="AI551" s="70"/>
      <c r="AJ551" s="70"/>
      <c r="AK551" s="70"/>
      <c r="AL551" s="70"/>
      <c r="AM551" s="70"/>
      <c r="AN551" s="70"/>
      <c r="AO551" s="70"/>
      <c r="AP551" s="89"/>
      <c r="AQ551" s="89"/>
    </row>
    <row r="552" spans="1:43" ht="15.75" thickBot="1" x14ac:dyDescent="0.3">
      <c r="A552" t="s">
        <v>175</v>
      </c>
      <c r="B552" t="s">
        <v>584</v>
      </c>
      <c r="C552" t="s">
        <v>1063</v>
      </c>
      <c r="D552" t="s">
        <v>1092</v>
      </c>
      <c r="E552" s="30" t="s">
        <v>19</v>
      </c>
      <c r="F552" s="30" t="s">
        <v>20</v>
      </c>
      <c r="G552" s="30"/>
      <c r="H552" s="30" t="s">
        <v>1398</v>
      </c>
      <c r="I552" s="31">
        <f t="shared" si="25"/>
        <v>28</v>
      </c>
      <c r="J552" s="87" t="s">
        <v>2187</v>
      </c>
      <c r="K552" s="31">
        <f t="shared" si="26"/>
        <v>0</v>
      </c>
      <c r="L552" s="32">
        <f t="shared" si="27"/>
        <v>1</v>
      </c>
      <c r="M552" s="70"/>
      <c r="N552" s="70"/>
      <c r="O552" s="70"/>
      <c r="P552" s="70"/>
      <c r="Q552" s="70"/>
      <c r="R552" s="70"/>
      <c r="S552" s="70"/>
      <c r="T552" s="70"/>
      <c r="U552" s="70"/>
      <c r="V552" s="70"/>
      <c r="W552" s="70"/>
      <c r="X552" s="70"/>
      <c r="Y552" s="70"/>
      <c r="Z552" s="70"/>
      <c r="AA552" s="70"/>
      <c r="AB552" s="70"/>
      <c r="AC552" s="70"/>
      <c r="AD552" s="70"/>
      <c r="AE552" s="70"/>
      <c r="AF552" s="70"/>
      <c r="AG552" s="70"/>
      <c r="AH552" s="70"/>
      <c r="AI552" s="70"/>
      <c r="AJ552" s="70"/>
      <c r="AK552" s="70"/>
      <c r="AL552" s="70"/>
      <c r="AM552" s="70"/>
      <c r="AN552" s="70"/>
      <c r="AO552" s="70"/>
      <c r="AP552" s="70"/>
      <c r="AQ552" s="70"/>
    </row>
    <row r="553" spans="1:43" ht="15.75" thickBot="1" x14ac:dyDescent="0.3">
      <c r="A553" t="s">
        <v>175</v>
      </c>
      <c r="B553" t="s">
        <v>1050</v>
      </c>
      <c r="C553" t="s">
        <v>1063</v>
      </c>
      <c r="D553" t="s">
        <v>1093</v>
      </c>
      <c r="E553" s="30" t="s">
        <v>73</v>
      </c>
      <c r="F553" s="30" t="s">
        <v>28</v>
      </c>
      <c r="G553" s="30"/>
      <c r="H553" s="30" t="s">
        <v>887</v>
      </c>
      <c r="I553" s="31">
        <f t="shared" si="25"/>
        <v>28</v>
      </c>
      <c r="J553" s="147" t="s">
        <v>2102</v>
      </c>
      <c r="K553" s="31">
        <f t="shared" si="26"/>
        <v>0</v>
      </c>
      <c r="L553" s="32">
        <f t="shared" si="27"/>
        <v>1</v>
      </c>
      <c r="M553" s="70"/>
      <c r="N553" s="70"/>
      <c r="O553" s="70"/>
      <c r="P553" s="70"/>
      <c r="Q553" s="70"/>
      <c r="R553" s="70"/>
      <c r="S553" s="70"/>
      <c r="T553" s="70"/>
      <c r="U553" s="70"/>
      <c r="V553" s="70"/>
      <c r="W553" s="70"/>
      <c r="X553" s="70"/>
      <c r="Y553" s="70"/>
      <c r="Z553" s="70"/>
      <c r="AA553" s="70"/>
      <c r="AB553" s="70"/>
      <c r="AC553" s="70"/>
      <c r="AD553" s="70"/>
      <c r="AE553" s="70"/>
      <c r="AF553" s="70"/>
      <c r="AG553" s="70"/>
      <c r="AH553" s="70"/>
      <c r="AI553" s="70"/>
      <c r="AJ553" s="70"/>
      <c r="AK553" s="70"/>
      <c r="AL553" s="70"/>
      <c r="AM553" s="70"/>
      <c r="AN553" s="70"/>
      <c r="AO553" s="70"/>
      <c r="AP553" s="70"/>
      <c r="AQ553" s="70"/>
    </row>
    <row r="554" spans="1:43" ht="15.75" thickBot="1" x14ac:dyDescent="0.3">
      <c r="A554" t="s">
        <v>175</v>
      </c>
      <c r="B554" t="s">
        <v>1051</v>
      </c>
      <c r="C554" t="s">
        <v>1063</v>
      </c>
      <c r="D554" t="s">
        <v>1093</v>
      </c>
      <c r="E554" s="30" t="s">
        <v>73</v>
      </c>
      <c r="F554" s="30" t="s">
        <v>28</v>
      </c>
      <c r="G554" s="30"/>
      <c r="H554" s="30" t="s">
        <v>888</v>
      </c>
      <c r="I554" s="31">
        <f t="shared" si="25"/>
        <v>28</v>
      </c>
      <c r="J554" s="147" t="s">
        <v>2103</v>
      </c>
      <c r="K554" s="31">
        <f t="shared" si="26"/>
        <v>0</v>
      </c>
      <c r="L554" s="32">
        <f t="shared" si="27"/>
        <v>1</v>
      </c>
      <c r="M554" s="70"/>
      <c r="N554" s="70"/>
      <c r="O554" s="70"/>
      <c r="P554" s="70"/>
      <c r="Q554" s="70"/>
      <c r="R554" s="70"/>
      <c r="S554" s="70"/>
      <c r="T554" s="70"/>
      <c r="U554" s="70"/>
      <c r="V554" s="70"/>
      <c r="W554" s="70"/>
      <c r="X554" s="70"/>
      <c r="Y554" s="70"/>
      <c r="Z554" s="70"/>
      <c r="AA554" s="70"/>
      <c r="AB554" s="70"/>
      <c r="AC554" s="70"/>
      <c r="AD554" s="70"/>
      <c r="AE554" s="70"/>
      <c r="AF554" s="70"/>
      <c r="AG554" s="70"/>
      <c r="AH554" s="70"/>
      <c r="AI554" s="70"/>
      <c r="AJ554" s="70"/>
      <c r="AK554" s="70"/>
      <c r="AL554" s="70"/>
      <c r="AM554" s="70"/>
      <c r="AN554" s="70"/>
      <c r="AO554" s="70"/>
      <c r="AP554" s="70"/>
      <c r="AQ554" s="70"/>
    </row>
    <row r="555" spans="1:43" ht="15.75" thickBot="1" x14ac:dyDescent="0.3">
      <c r="A555" t="s">
        <v>175</v>
      </c>
      <c r="B555" t="s">
        <v>1052</v>
      </c>
      <c r="C555" t="s">
        <v>1063</v>
      </c>
      <c r="D555" t="s">
        <v>1107</v>
      </c>
      <c r="E555" s="30" t="s">
        <v>15</v>
      </c>
      <c r="F555" s="30" t="s">
        <v>28</v>
      </c>
      <c r="G555" s="30"/>
      <c r="H555" s="30" t="s">
        <v>889</v>
      </c>
      <c r="I555" s="31">
        <f t="shared" si="25"/>
        <v>28</v>
      </c>
      <c r="J555" s="147" t="s">
        <v>2104</v>
      </c>
      <c r="K555" s="31">
        <f t="shared" si="26"/>
        <v>0</v>
      </c>
      <c r="L555" s="32">
        <f t="shared" si="27"/>
        <v>1</v>
      </c>
      <c r="M555" s="70"/>
      <c r="N555" s="70"/>
      <c r="O555" s="70"/>
      <c r="P555" s="70"/>
      <c r="Q555" s="70"/>
      <c r="R555" s="70"/>
      <c r="S555" s="70"/>
      <c r="T555" s="70"/>
      <c r="U555" s="70"/>
      <c r="V555" s="70"/>
      <c r="W555" s="70"/>
      <c r="X555" s="70"/>
      <c r="Y555" s="70"/>
      <c r="Z555" s="70"/>
      <c r="AA555" s="70"/>
      <c r="AB555" s="70"/>
      <c r="AC555" s="70"/>
      <c r="AD555" s="70"/>
      <c r="AE555" s="70"/>
      <c r="AF555" s="70"/>
      <c r="AG555" s="70"/>
      <c r="AH555" s="70"/>
      <c r="AI555" s="70"/>
      <c r="AJ555" s="70"/>
      <c r="AK555" s="70"/>
      <c r="AL555" s="70"/>
      <c r="AM555" s="70"/>
      <c r="AN555" s="70"/>
      <c r="AO555" s="70"/>
      <c r="AP555" s="70"/>
      <c r="AQ555" s="70"/>
    </row>
    <row r="556" spans="1:43" ht="15.75" thickBot="1" x14ac:dyDescent="0.3">
      <c r="A556" t="s">
        <v>175</v>
      </c>
      <c r="B556" t="s">
        <v>585</v>
      </c>
      <c r="C556" t="s">
        <v>1063</v>
      </c>
      <c r="D556" t="s">
        <v>1094</v>
      </c>
      <c r="E556" s="30" t="s">
        <v>15</v>
      </c>
      <c r="F556" s="30" t="s">
        <v>28</v>
      </c>
      <c r="G556" s="30"/>
      <c r="H556" s="30" t="s">
        <v>1220</v>
      </c>
      <c r="I556" s="31">
        <f t="shared" si="25"/>
        <v>20</v>
      </c>
      <c r="J556" s="147" t="s">
        <v>2105</v>
      </c>
      <c r="K556" s="31">
        <f t="shared" si="26"/>
        <v>8</v>
      </c>
      <c r="L556" s="32">
        <f t="shared" si="27"/>
        <v>0.7142857142857143</v>
      </c>
      <c r="M556" s="70" t="s">
        <v>2213</v>
      </c>
      <c r="N556" s="70" t="s">
        <v>2213</v>
      </c>
      <c r="O556" s="70" t="s">
        <v>2213</v>
      </c>
      <c r="P556" s="70" t="s">
        <v>2213</v>
      </c>
      <c r="Q556" s="70" t="s">
        <v>2213</v>
      </c>
      <c r="R556" s="70" t="s">
        <v>2213</v>
      </c>
      <c r="S556" s="70" t="s">
        <v>2213</v>
      </c>
      <c r="T556" s="70" t="s">
        <v>2213</v>
      </c>
      <c r="U556" s="70"/>
      <c r="V556" s="70"/>
      <c r="W556" s="70"/>
      <c r="X556" s="70"/>
      <c r="Y556" s="70"/>
      <c r="Z556" s="70"/>
      <c r="AA556" s="70"/>
      <c r="AB556" s="70"/>
      <c r="AC556" s="70"/>
      <c r="AD556" s="70"/>
      <c r="AE556" s="70"/>
      <c r="AF556" s="70"/>
      <c r="AG556" s="70"/>
      <c r="AH556" s="70"/>
      <c r="AI556" s="70"/>
      <c r="AJ556" s="70"/>
      <c r="AK556" s="70"/>
      <c r="AL556" s="70"/>
      <c r="AM556" s="70"/>
      <c r="AN556" s="70"/>
      <c r="AO556" s="70"/>
      <c r="AP556" s="70"/>
      <c r="AQ556" s="70"/>
    </row>
    <row r="557" spans="1:43" ht="15.75" thickBot="1" x14ac:dyDescent="0.3">
      <c r="A557" t="s">
        <v>586</v>
      </c>
      <c r="B557" t="s">
        <v>587</v>
      </c>
      <c r="C557" t="s">
        <v>1063</v>
      </c>
      <c r="D557" t="s">
        <v>588</v>
      </c>
      <c r="E557" s="30" t="s">
        <v>73</v>
      </c>
      <c r="F557" s="30" t="s">
        <v>28</v>
      </c>
      <c r="G557" s="30"/>
      <c r="H557" s="30" t="s">
        <v>890</v>
      </c>
      <c r="I557" s="31">
        <f t="shared" si="25"/>
        <v>28</v>
      </c>
      <c r="J557" s="147" t="s">
        <v>2106</v>
      </c>
      <c r="K557" s="31">
        <f t="shared" si="26"/>
        <v>0</v>
      </c>
      <c r="L557" s="32">
        <f t="shared" si="27"/>
        <v>1</v>
      </c>
      <c r="M557" s="70"/>
      <c r="N557" s="70"/>
      <c r="O557" s="70"/>
      <c r="P557" s="70"/>
      <c r="Q557" s="70"/>
      <c r="R557" s="70"/>
      <c r="S557" s="70"/>
      <c r="T557" s="70"/>
      <c r="U557" s="70"/>
      <c r="V557" s="70"/>
      <c r="W557" s="70"/>
      <c r="X557" s="70"/>
      <c r="Y557" s="70"/>
      <c r="Z557" s="70"/>
      <c r="AA557" s="70"/>
      <c r="AB557" s="70"/>
      <c r="AC557" s="70"/>
      <c r="AD557" s="70"/>
      <c r="AE557" s="70"/>
      <c r="AF557" s="70"/>
      <c r="AG557" s="70"/>
      <c r="AH557" s="70"/>
      <c r="AI557" s="70"/>
      <c r="AJ557" s="70"/>
      <c r="AK557" s="70"/>
      <c r="AL557" s="70"/>
      <c r="AM557" s="70"/>
      <c r="AN557" s="70"/>
      <c r="AO557" s="70"/>
      <c r="AP557" s="70"/>
      <c r="AQ557" s="70"/>
    </row>
    <row r="558" spans="1:43" ht="15.75" thickBot="1" x14ac:dyDescent="0.3">
      <c r="A558" t="s">
        <v>586</v>
      </c>
      <c r="B558" t="s">
        <v>1053</v>
      </c>
      <c r="C558" t="s">
        <v>1063</v>
      </c>
      <c r="D558" t="s">
        <v>588</v>
      </c>
      <c r="E558" s="30" t="s">
        <v>73</v>
      </c>
      <c r="F558" s="30" t="s">
        <v>28</v>
      </c>
      <c r="G558" s="30"/>
      <c r="H558" s="30" t="s">
        <v>891</v>
      </c>
      <c r="I558" s="31">
        <f t="shared" si="25"/>
        <v>28</v>
      </c>
      <c r="J558" s="147" t="s">
        <v>2107</v>
      </c>
      <c r="K558" s="31">
        <f t="shared" si="26"/>
        <v>0</v>
      </c>
      <c r="L558" s="32">
        <f t="shared" si="27"/>
        <v>1</v>
      </c>
      <c r="M558" s="70"/>
      <c r="N558" s="70"/>
      <c r="O558" s="70"/>
      <c r="P558" s="70"/>
      <c r="Q558" s="70"/>
      <c r="R558" s="70"/>
      <c r="S558" s="70"/>
      <c r="T558" s="70"/>
      <c r="U558" s="70"/>
      <c r="V558" s="70"/>
      <c r="W558" s="70"/>
      <c r="X558" s="70"/>
      <c r="Y558" s="70"/>
      <c r="Z558" s="70"/>
      <c r="AA558" s="70"/>
      <c r="AB558" s="70"/>
      <c r="AC558" s="70"/>
      <c r="AD558" s="70"/>
      <c r="AE558" s="70"/>
      <c r="AF558" s="70"/>
      <c r="AG558" s="70"/>
      <c r="AH558" s="70"/>
      <c r="AI558" s="70"/>
      <c r="AJ558" s="70"/>
      <c r="AK558" s="70"/>
      <c r="AL558" s="70"/>
      <c r="AM558" s="70"/>
      <c r="AN558" s="70"/>
      <c r="AO558" s="70"/>
      <c r="AP558" s="70"/>
      <c r="AQ558" s="70"/>
    </row>
    <row r="559" spans="1:43" ht="15.75" thickBot="1" x14ac:dyDescent="0.3">
      <c r="A559" t="s">
        <v>586</v>
      </c>
      <c r="B559" t="s">
        <v>1054</v>
      </c>
      <c r="C559" t="s">
        <v>1063</v>
      </c>
      <c r="D559" t="s">
        <v>589</v>
      </c>
      <c r="E559" s="30" t="s">
        <v>73</v>
      </c>
      <c r="F559" s="30" t="s">
        <v>28</v>
      </c>
      <c r="G559" s="30"/>
      <c r="H559" s="30" t="s">
        <v>892</v>
      </c>
      <c r="I559" s="31">
        <f t="shared" si="25"/>
        <v>27</v>
      </c>
      <c r="J559" s="147" t="s">
        <v>2108</v>
      </c>
      <c r="K559" s="31">
        <f t="shared" si="26"/>
        <v>1</v>
      </c>
      <c r="L559" s="32">
        <f t="shared" si="27"/>
        <v>0.9642857142857143</v>
      </c>
      <c r="M559" s="70"/>
      <c r="N559" s="70" t="s">
        <v>2213</v>
      </c>
      <c r="O559" s="70"/>
      <c r="P559" s="70"/>
      <c r="Q559" s="70"/>
      <c r="R559" s="70"/>
      <c r="S559" s="70"/>
      <c r="T559" s="70"/>
      <c r="U559" s="70"/>
      <c r="V559" s="70"/>
      <c r="W559" s="70"/>
      <c r="X559" s="70"/>
      <c r="Y559" s="70"/>
      <c r="Z559" s="70"/>
      <c r="AA559" s="70"/>
      <c r="AB559" s="70"/>
      <c r="AC559" s="70"/>
      <c r="AD559" s="70"/>
      <c r="AE559" s="70"/>
      <c r="AF559" s="70"/>
      <c r="AG559" s="70"/>
      <c r="AH559" s="70"/>
      <c r="AI559" s="70"/>
      <c r="AJ559" s="70"/>
      <c r="AK559" s="70"/>
      <c r="AL559" s="70"/>
      <c r="AM559" s="70"/>
      <c r="AN559" s="70"/>
      <c r="AO559" s="70"/>
      <c r="AP559" s="70"/>
      <c r="AQ559" s="70"/>
    </row>
    <row r="560" spans="1:43" ht="15.75" thickBot="1" x14ac:dyDescent="0.3">
      <c r="A560" t="s">
        <v>586</v>
      </c>
      <c r="B560" t="s">
        <v>590</v>
      </c>
      <c r="C560" t="s">
        <v>1063</v>
      </c>
      <c r="D560" t="s">
        <v>589</v>
      </c>
      <c r="E560" s="30" t="s">
        <v>73</v>
      </c>
      <c r="F560" s="30" t="s">
        <v>28</v>
      </c>
      <c r="G560" s="30"/>
      <c r="H560" s="30" t="s">
        <v>893</v>
      </c>
      <c r="I560" s="31">
        <f t="shared" si="25"/>
        <v>27</v>
      </c>
      <c r="J560" s="147" t="s">
        <v>2109</v>
      </c>
      <c r="K560" s="31">
        <f t="shared" si="26"/>
        <v>1</v>
      </c>
      <c r="L560" s="32">
        <f t="shared" si="27"/>
        <v>0.9642857142857143</v>
      </c>
      <c r="M560" s="70"/>
      <c r="N560" s="70" t="s">
        <v>2213</v>
      </c>
      <c r="O560" s="70"/>
      <c r="P560" s="70"/>
      <c r="Q560" s="70"/>
      <c r="R560" s="70"/>
      <c r="S560" s="70"/>
      <c r="T560" s="70"/>
      <c r="U560" s="70"/>
      <c r="V560" s="70"/>
      <c r="W560" s="70"/>
      <c r="X560" s="70"/>
      <c r="Y560" s="70"/>
      <c r="Z560" s="70"/>
      <c r="AA560" s="70"/>
      <c r="AB560" s="70"/>
      <c r="AC560" s="70"/>
      <c r="AD560" s="70"/>
      <c r="AE560" s="70"/>
      <c r="AF560" s="70"/>
      <c r="AG560" s="70"/>
      <c r="AH560" s="70"/>
      <c r="AI560" s="70"/>
      <c r="AJ560" s="70"/>
      <c r="AK560" s="70"/>
      <c r="AL560" s="70"/>
      <c r="AM560" s="70"/>
      <c r="AN560" s="70"/>
      <c r="AO560" s="70"/>
      <c r="AP560" s="70"/>
      <c r="AQ560" s="70"/>
    </row>
    <row r="561" spans="1:43" s="73" customFormat="1" ht="15.75" thickBot="1" x14ac:dyDescent="0.3">
      <c r="A561" s="73" t="s">
        <v>591</v>
      </c>
      <c r="B561" s="73" t="s">
        <v>592</v>
      </c>
      <c r="C561" s="73" t="s">
        <v>1063</v>
      </c>
      <c r="D561" s="73" t="s">
        <v>593</v>
      </c>
      <c r="E561" s="85" t="s">
        <v>15</v>
      </c>
      <c r="F561" s="85" t="s">
        <v>1301</v>
      </c>
      <c r="G561" s="85"/>
      <c r="H561" s="85" t="s">
        <v>894</v>
      </c>
      <c r="I561" s="142">
        <f t="shared" si="25"/>
        <v>22</v>
      </c>
      <c r="J561" s="87" t="s">
        <v>2203</v>
      </c>
      <c r="K561" s="142">
        <f t="shared" si="26"/>
        <v>6</v>
      </c>
      <c r="L561" s="143">
        <f t="shared" si="27"/>
        <v>0.7857142857142857</v>
      </c>
      <c r="M561" s="70" t="s">
        <v>2213</v>
      </c>
      <c r="N561" s="70"/>
      <c r="O561" s="70"/>
      <c r="P561" s="70" t="s">
        <v>2213</v>
      </c>
      <c r="Q561" s="70" t="s">
        <v>2213</v>
      </c>
      <c r="R561" s="70" t="s">
        <v>2213</v>
      </c>
      <c r="S561" s="70" t="s">
        <v>2213</v>
      </c>
      <c r="T561" s="70" t="s">
        <v>2213</v>
      </c>
      <c r="U561" s="70"/>
      <c r="V561" s="70"/>
      <c r="W561" s="70"/>
      <c r="X561" s="70"/>
      <c r="Y561" s="70"/>
      <c r="Z561" s="70"/>
      <c r="AA561" s="70"/>
      <c r="AB561" s="70"/>
      <c r="AC561" s="70"/>
      <c r="AD561" s="70"/>
      <c r="AE561" s="70"/>
      <c r="AF561" s="70"/>
      <c r="AG561" s="70"/>
      <c r="AH561" s="70"/>
      <c r="AI561" s="70"/>
      <c r="AJ561" s="70"/>
      <c r="AK561" s="70"/>
      <c r="AL561" s="70"/>
      <c r="AM561" s="70"/>
      <c r="AN561" s="70"/>
      <c r="AO561" s="70"/>
      <c r="AP561" s="89"/>
      <c r="AQ561" s="89"/>
    </row>
    <row r="562" spans="1:43" s="73" customFormat="1" ht="15.75" thickBot="1" x14ac:dyDescent="0.3">
      <c r="A562" s="73" t="s">
        <v>591</v>
      </c>
      <c r="B562" s="73" t="s">
        <v>2265</v>
      </c>
      <c r="C562" s="73" t="s">
        <v>1063</v>
      </c>
      <c r="D562" s="73" t="s">
        <v>2266</v>
      </c>
      <c r="E562" s="85" t="s">
        <v>15</v>
      </c>
      <c r="F562" s="85" t="s">
        <v>1301</v>
      </c>
      <c r="G562" s="85"/>
      <c r="H562" s="85" t="s">
        <v>2267</v>
      </c>
      <c r="I562" s="142">
        <f t="shared" si="25"/>
        <v>28</v>
      </c>
      <c r="J562" s="87" t="s">
        <v>2268</v>
      </c>
      <c r="K562" s="142">
        <f t="shared" si="26"/>
        <v>0</v>
      </c>
      <c r="L562" s="143">
        <f t="shared" si="27"/>
        <v>1</v>
      </c>
      <c r="M562" s="70"/>
      <c r="N562" s="70"/>
      <c r="O562" s="70"/>
      <c r="P562" s="70"/>
      <c r="Q562" s="70"/>
      <c r="R562" s="70"/>
      <c r="S562" s="70"/>
      <c r="T562" s="70"/>
      <c r="U562" s="70"/>
      <c r="V562" s="70"/>
      <c r="W562" s="70"/>
      <c r="X562" s="70"/>
      <c r="Y562" s="70"/>
      <c r="Z562" s="70"/>
      <c r="AA562" s="70"/>
      <c r="AB562" s="70"/>
      <c r="AC562" s="70"/>
      <c r="AD562" s="70"/>
      <c r="AE562" s="70"/>
      <c r="AF562" s="70"/>
      <c r="AG562" s="70"/>
      <c r="AH562" s="70"/>
      <c r="AI562" s="70"/>
      <c r="AJ562" s="70"/>
      <c r="AK562" s="70"/>
      <c r="AL562" s="70"/>
      <c r="AM562" s="70"/>
      <c r="AN562" s="70"/>
      <c r="AO562" s="70"/>
      <c r="AP562" s="89"/>
      <c r="AQ562" s="89"/>
    </row>
    <row r="563" spans="1:43" ht="14.25" customHeight="1" thickBot="1" x14ac:dyDescent="0.3">
      <c r="A563" t="s">
        <v>594</v>
      </c>
      <c r="B563" t="s">
        <v>1055</v>
      </c>
      <c r="C563" t="s">
        <v>1063</v>
      </c>
      <c r="D563" t="s">
        <v>595</v>
      </c>
      <c r="E563" s="30" t="s">
        <v>15</v>
      </c>
      <c r="F563" s="30" t="s">
        <v>20</v>
      </c>
      <c r="G563" s="30"/>
      <c r="H563" s="30" t="s">
        <v>895</v>
      </c>
      <c r="I563" s="31">
        <f t="shared" si="25"/>
        <v>28</v>
      </c>
      <c r="J563" s="87" t="s">
        <v>2204</v>
      </c>
      <c r="K563" s="31">
        <f t="shared" si="26"/>
        <v>0</v>
      </c>
      <c r="L563" s="32">
        <f t="shared" si="27"/>
        <v>1</v>
      </c>
      <c r="M563" s="70"/>
      <c r="N563" s="70"/>
      <c r="O563" s="70"/>
      <c r="P563" s="70"/>
      <c r="Q563" s="70"/>
      <c r="R563" s="70"/>
      <c r="S563" s="70"/>
      <c r="T563" s="70"/>
      <c r="U563" s="70"/>
      <c r="V563" s="70"/>
      <c r="W563" s="70"/>
      <c r="X563" s="70"/>
      <c r="Y563" s="70"/>
      <c r="Z563" s="70"/>
      <c r="AA563" s="70"/>
      <c r="AB563" s="70"/>
      <c r="AC563" s="70"/>
      <c r="AD563" s="70"/>
      <c r="AE563" s="70"/>
      <c r="AF563" s="70"/>
      <c r="AG563" s="70"/>
      <c r="AH563" s="70"/>
      <c r="AI563" s="70"/>
      <c r="AJ563" s="70"/>
      <c r="AK563" s="70"/>
      <c r="AL563" s="70"/>
      <c r="AM563" s="70"/>
      <c r="AN563" s="70"/>
      <c r="AO563" s="70"/>
      <c r="AP563" s="70"/>
      <c r="AQ563" s="70"/>
    </row>
    <row r="564" spans="1:43" ht="15.75" thickBot="1" x14ac:dyDescent="0.3">
      <c r="A564" t="s">
        <v>594</v>
      </c>
      <c r="B564" t="s">
        <v>596</v>
      </c>
      <c r="C564" t="s">
        <v>1063</v>
      </c>
      <c r="D564" t="s">
        <v>597</v>
      </c>
      <c r="E564" s="30" t="s">
        <v>15</v>
      </c>
      <c r="F564" s="30" t="s">
        <v>20</v>
      </c>
      <c r="G564" s="30"/>
      <c r="H564" s="30" t="s">
        <v>896</v>
      </c>
      <c r="I564" s="31">
        <f t="shared" si="25"/>
        <v>28</v>
      </c>
      <c r="J564" s="87" t="s">
        <v>2205</v>
      </c>
      <c r="K564" s="31">
        <f t="shared" si="26"/>
        <v>0</v>
      </c>
      <c r="L564" s="32">
        <f t="shared" si="27"/>
        <v>1</v>
      </c>
      <c r="M564" s="70"/>
      <c r="N564" s="70"/>
      <c r="O564" s="70"/>
      <c r="P564" s="70"/>
      <c r="Q564" s="70"/>
      <c r="R564" s="70"/>
      <c r="S564" s="70"/>
      <c r="T564" s="70"/>
      <c r="U564" s="70"/>
      <c r="V564" s="70"/>
      <c r="W564" s="70"/>
      <c r="X564" s="70"/>
      <c r="Y564" s="70"/>
      <c r="Z564" s="70"/>
      <c r="AA564" s="70"/>
      <c r="AB564" s="70"/>
      <c r="AC564" s="70"/>
      <c r="AD564" s="70"/>
      <c r="AE564" s="70"/>
      <c r="AF564" s="70"/>
      <c r="AG564" s="70"/>
      <c r="AH564" s="70"/>
      <c r="AI564" s="70"/>
      <c r="AJ564" s="70"/>
      <c r="AK564" s="70"/>
      <c r="AL564" s="70"/>
      <c r="AM564" s="70"/>
      <c r="AN564" s="70"/>
      <c r="AO564" s="70"/>
      <c r="AP564" s="70"/>
      <c r="AQ564" s="70"/>
    </row>
    <row r="565" spans="1:43" ht="15.75" thickBot="1" x14ac:dyDescent="0.3">
      <c r="A565" t="s">
        <v>594</v>
      </c>
      <c r="B565" t="s">
        <v>598</v>
      </c>
      <c r="C565" t="s">
        <v>1063</v>
      </c>
      <c r="D565" t="s">
        <v>599</v>
      </c>
      <c r="E565" s="30" t="s">
        <v>15</v>
      </c>
      <c r="F565" s="30" t="s">
        <v>20</v>
      </c>
      <c r="G565" s="30"/>
      <c r="H565" s="30" t="s">
        <v>897</v>
      </c>
      <c r="I565" s="31">
        <f t="shared" si="25"/>
        <v>28</v>
      </c>
      <c r="J565" s="87" t="s">
        <v>2206</v>
      </c>
      <c r="K565" s="31">
        <f t="shared" si="26"/>
        <v>0</v>
      </c>
      <c r="L565" s="32">
        <f t="shared" si="27"/>
        <v>1</v>
      </c>
      <c r="M565" s="70"/>
      <c r="N565" s="70"/>
      <c r="O565" s="70"/>
      <c r="P565" s="70"/>
      <c r="Q565" s="70"/>
      <c r="R565" s="70"/>
      <c r="S565" s="70"/>
      <c r="T565" s="70"/>
      <c r="U565" s="70"/>
      <c r="V565" s="70"/>
      <c r="W565" s="70"/>
      <c r="X565" s="70"/>
      <c r="Y565" s="70"/>
      <c r="Z565" s="70"/>
      <c r="AA565" s="70"/>
      <c r="AB565" s="70"/>
      <c r="AC565" s="70"/>
      <c r="AD565" s="70"/>
      <c r="AE565" s="70"/>
      <c r="AF565" s="70"/>
      <c r="AG565" s="70"/>
      <c r="AH565" s="70"/>
      <c r="AI565" s="70"/>
      <c r="AJ565" s="70"/>
      <c r="AK565" s="70"/>
      <c r="AL565" s="70"/>
      <c r="AM565" s="70"/>
      <c r="AN565" s="70"/>
      <c r="AO565" s="70"/>
      <c r="AP565" s="70"/>
      <c r="AQ565" s="70"/>
    </row>
    <row r="566" spans="1:43" ht="15.75" thickBot="1" x14ac:dyDescent="0.3">
      <c r="A566" t="s">
        <v>594</v>
      </c>
      <c r="B566" s="30" t="s">
        <v>1115</v>
      </c>
      <c r="C566" s="30" t="s">
        <v>1063</v>
      </c>
      <c r="D566" t="s">
        <v>1117</v>
      </c>
      <c r="E566" s="30" t="s">
        <v>1114</v>
      </c>
      <c r="F566" s="30" t="s">
        <v>28</v>
      </c>
      <c r="G566" s="30"/>
      <c r="H566" s="30" t="s">
        <v>1122</v>
      </c>
      <c r="I566" s="31">
        <f t="shared" si="25"/>
        <v>28</v>
      </c>
      <c r="J566" s="147" t="s">
        <v>2111</v>
      </c>
      <c r="K566" s="31">
        <f t="shared" si="26"/>
        <v>0</v>
      </c>
      <c r="L566" s="32">
        <f t="shared" si="27"/>
        <v>1</v>
      </c>
      <c r="M566" s="70"/>
      <c r="N566" s="70"/>
      <c r="O566" s="70"/>
      <c r="P566" s="70"/>
      <c r="Q566" s="70"/>
      <c r="R566" s="70"/>
      <c r="S566" s="70"/>
      <c r="T566" s="70"/>
      <c r="U566" s="70"/>
      <c r="V566" s="70"/>
      <c r="W566" s="70"/>
      <c r="X566" s="70"/>
      <c r="Y566" s="70"/>
      <c r="Z566" s="70"/>
      <c r="AA566" s="70"/>
      <c r="AB566" s="70"/>
      <c r="AC566" s="70"/>
      <c r="AD566" s="70"/>
      <c r="AE566" s="70"/>
      <c r="AF566" s="70"/>
      <c r="AG566" s="70"/>
      <c r="AH566" s="70"/>
      <c r="AI566" s="70"/>
      <c r="AJ566" s="70"/>
      <c r="AK566" s="70"/>
      <c r="AL566" s="70"/>
      <c r="AM566" s="70"/>
      <c r="AN566" s="70"/>
      <c r="AO566" s="70"/>
      <c r="AP566" s="70"/>
      <c r="AQ566" s="70"/>
    </row>
    <row r="567" spans="1:43" ht="15.75" thickBot="1" x14ac:dyDescent="0.3">
      <c r="A567" t="s">
        <v>594</v>
      </c>
      <c r="B567" s="30" t="s">
        <v>1116</v>
      </c>
      <c r="C567" s="30" t="s">
        <v>1063</v>
      </c>
      <c r="D567" t="s">
        <v>1117</v>
      </c>
      <c r="E567" s="30" t="s">
        <v>1114</v>
      </c>
      <c r="F567" s="30" t="s">
        <v>28</v>
      </c>
      <c r="G567" s="30"/>
      <c r="H567" s="30" t="s">
        <v>1123</v>
      </c>
      <c r="I567" s="31">
        <f t="shared" si="25"/>
        <v>28</v>
      </c>
      <c r="J567" s="147" t="s">
        <v>2110</v>
      </c>
      <c r="K567" s="31">
        <f t="shared" si="26"/>
        <v>0</v>
      </c>
      <c r="L567" s="32">
        <f t="shared" si="27"/>
        <v>1</v>
      </c>
      <c r="M567" s="70"/>
      <c r="N567" s="70"/>
      <c r="O567" s="70"/>
      <c r="P567" s="70"/>
      <c r="Q567" s="70"/>
      <c r="R567" s="70"/>
      <c r="S567" s="70"/>
      <c r="T567" s="70"/>
      <c r="U567" s="70"/>
      <c r="V567" s="70"/>
      <c r="W567" s="70"/>
      <c r="X567" s="70"/>
      <c r="Y567" s="70"/>
      <c r="Z567" s="70"/>
      <c r="AA567" s="70"/>
      <c r="AB567" s="70"/>
      <c r="AC567" s="70"/>
      <c r="AD567" s="70"/>
      <c r="AE567" s="70"/>
      <c r="AF567" s="70"/>
      <c r="AG567" s="70"/>
      <c r="AH567" s="70"/>
      <c r="AI567" s="70"/>
      <c r="AJ567" s="70"/>
      <c r="AK567" s="70"/>
      <c r="AL567" s="70"/>
      <c r="AM567" s="70"/>
      <c r="AN567" s="70"/>
      <c r="AO567" s="70"/>
      <c r="AP567" s="70"/>
      <c r="AQ567" s="70"/>
    </row>
    <row r="568" spans="1:43" ht="15.75" thickBot="1" x14ac:dyDescent="0.3">
      <c r="A568" t="s">
        <v>594</v>
      </c>
      <c r="B568" s="30" t="s">
        <v>1201</v>
      </c>
      <c r="C568" s="30" t="s">
        <v>1063</v>
      </c>
      <c r="D568" t="s">
        <v>1202</v>
      </c>
      <c r="E568" s="30" t="s">
        <v>15</v>
      </c>
      <c r="F568" s="30" t="s">
        <v>28</v>
      </c>
      <c r="G568" s="30"/>
      <c r="H568" s="30" t="s">
        <v>1203</v>
      </c>
      <c r="I568" s="31">
        <f t="shared" si="25"/>
        <v>28</v>
      </c>
      <c r="J568" s="147" t="s">
        <v>2112</v>
      </c>
      <c r="K568" s="31">
        <f t="shared" si="26"/>
        <v>0</v>
      </c>
      <c r="L568" s="32">
        <f t="shared" si="27"/>
        <v>1</v>
      </c>
      <c r="M568" s="70"/>
      <c r="N568" s="70"/>
      <c r="O568" s="70"/>
      <c r="P568" s="70"/>
      <c r="Q568" s="70"/>
      <c r="R568" s="70"/>
      <c r="S568" s="70"/>
      <c r="T568" s="70"/>
      <c r="U568" s="70"/>
      <c r="V568" s="70"/>
      <c r="W568" s="70"/>
      <c r="X568" s="70"/>
      <c r="Y568" s="70"/>
      <c r="Z568" s="70"/>
      <c r="AA568" s="70"/>
      <c r="AB568" s="70"/>
      <c r="AC568" s="70"/>
      <c r="AD568" s="70"/>
      <c r="AE568" s="70"/>
      <c r="AF568" s="70"/>
      <c r="AG568" s="70"/>
      <c r="AH568" s="70"/>
      <c r="AI568" s="70"/>
      <c r="AJ568" s="70"/>
      <c r="AK568" s="70"/>
      <c r="AL568" s="70"/>
      <c r="AM568" s="70"/>
      <c r="AN568" s="70"/>
      <c r="AO568" s="70"/>
      <c r="AP568" s="70"/>
      <c r="AQ568" s="70"/>
    </row>
    <row r="569" spans="1:43" ht="15.75" thickBot="1" x14ac:dyDescent="0.3">
      <c r="A569" t="s">
        <v>389</v>
      </c>
      <c r="B569" s="30" t="s">
        <v>2181</v>
      </c>
      <c r="C569" s="73" t="s">
        <v>1062</v>
      </c>
      <c r="D569" t="s">
        <v>2182</v>
      </c>
      <c r="E569" s="85" t="s">
        <v>46</v>
      </c>
      <c r="F569" s="30" t="s">
        <v>28</v>
      </c>
      <c r="G569" s="30"/>
      <c r="H569" s="30" t="s">
        <v>2183</v>
      </c>
      <c r="I569" s="31">
        <f t="shared" si="25"/>
        <v>28</v>
      </c>
      <c r="J569" s="147" t="s">
        <v>2184</v>
      </c>
      <c r="K569" s="31">
        <f t="shared" si="26"/>
        <v>0</v>
      </c>
      <c r="L569" s="32">
        <f t="shared" si="27"/>
        <v>1</v>
      </c>
      <c r="M569" s="70"/>
      <c r="N569" s="70"/>
      <c r="O569" s="70"/>
      <c r="P569" s="70"/>
      <c r="Q569" s="70"/>
      <c r="R569" s="70"/>
      <c r="S569" s="70"/>
      <c r="T569" s="70"/>
      <c r="U569" s="70"/>
      <c r="V569" s="70"/>
      <c r="W569" s="70"/>
      <c r="X569" s="70"/>
      <c r="Y569" s="70"/>
      <c r="Z569" s="70"/>
      <c r="AA569" s="70"/>
      <c r="AB569" s="70"/>
      <c r="AC569" s="70"/>
      <c r="AD569" s="70"/>
      <c r="AE569" s="70"/>
      <c r="AF569" s="70"/>
      <c r="AG569" s="70"/>
      <c r="AH569" s="70"/>
      <c r="AI569" s="70"/>
      <c r="AJ569" s="70"/>
      <c r="AK569" s="70"/>
      <c r="AL569" s="70"/>
      <c r="AM569" s="70"/>
      <c r="AN569" s="70"/>
      <c r="AO569" s="70"/>
      <c r="AP569" s="70"/>
      <c r="AQ569" s="70"/>
    </row>
    <row r="570" spans="1:43" s="73" customFormat="1" ht="15.75" thickBot="1" x14ac:dyDescent="0.3">
      <c r="A570" s="73" t="s">
        <v>602</v>
      </c>
      <c r="B570" s="73" t="s">
        <v>603</v>
      </c>
      <c r="C570" s="73" t="s">
        <v>1063</v>
      </c>
      <c r="D570" s="73" t="s">
        <v>604</v>
      </c>
      <c r="E570" s="85" t="s">
        <v>19</v>
      </c>
      <c r="F570" s="85" t="s">
        <v>1301</v>
      </c>
      <c r="G570" s="85"/>
      <c r="H570" s="85" t="s">
        <v>1371</v>
      </c>
      <c r="I570" s="142">
        <f t="shared" si="25"/>
        <v>28</v>
      </c>
      <c r="J570" s="147" t="s">
        <v>2113</v>
      </c>
      <c r="K570" s="142">
        <f t="shared" si="26"/>
        <v>0</v>
      </c>
      <c r="L570" s="143">
        <f t="shared" si="27"/>
        <v>1</v>
      </c>
      <c r="M570" s="70"/>
      <c r="N570" s="70"/>
      <c r="O570" s="70"/>
      <c r="P570" s="70"/>
      <c r="Q570" s="70"/>
      <c r="R570" s="70"/>
      <c r="S570" s="70"/>
      <c r="T570" s="70"/>
      <c r="U570" s="70"/>
      <c r="V570" s="70"/>
      <c r="W570" s="70"/>
      <c r="X570" s="70"/>
      <c r="Y570" s="70"/>
      <c r="Z570" s="70"/>
      <c r="AA570" s="70"/>
      <c r="AB570" s="70"/>
      <c r="AC570" s="70"/>
      <c r="AD570" s="70"/>
      <c r="AE570" s="70"/>
      <c r="AF570" s="70"/>
      <c r="AG570" s="70"/>
      <c r="AH570" s="70"/>
      <c r="AI570" s="70"/>
      <c r="AJ570" s="70"/>
      <c r="AK570" s="70"/>
      <c r="AL570" s="70"/>
      <c r="AM570" s="70"/>
      <c r="AN570" s="70"/>
      <c r="AO570" s="70"/>
      <c r="AP570" s="89"/>
      <c r="AQ570" s="89"/>
    </row>
    <row r="571" spans="1:43" s="73" customFormat="1" ht="15.75" thickBot="1" x14ac:dyDescent="0.3">
      <c r="A571" s="73" t="s">
        <v>310</v>
      </c>
      <c r="B571" s="73" t="s">
        <v>605</v>
      </c>
      <c r="C571" s="73" t="s">
        <v>1063</v>
      </c>
      <c r="D571" s="73" t="s">
        <v>606</v>
      </c>
      <c r="E571" s="85" t="s">
        <v>19</v>
      </c>
      <c r="F571" s="85" t="s">
        <v>1301</v>
      </c>
      <c r="G571" s="85"/>
      <c r="H571" s="85" t="s">
        <v>1368</v>
      </c>
      <c r="I571" s="142">
        <f t="shared" si="25"/>
        <v>28</v>
      </c>
      <c r="J571" s="147" t="s">
        <v>2114</v>
      </c>
      <c r="K571" s="142">
        <f t="shared" si="26"/>
        <v>0</v>
      </c>
      <c r="L571" s="143">
        <f t="shared" si="27"/>
        <v>1</v>
      </c>
      <c r="M571" s="70"/>
      <c r="N571" s="70"/>
      <c r="O571" s="70"/>
      <c r="P571" s="70"/>
      <c r="Q571" s="70"/>
      <c r="R571" s="70"/>
      <c r="S571" s="70"/>
      <c r="T571" s="70"/>
      <c r="U571" s="70"/>
      <c r="V571" s="70"/>
      <c r="W571" s="70"/>
      <c r="X571" s="70"/>
      <c r="Y571" s="70"/>
      <c r="Z571" s="70"/>
      <c r="AA571" s="70"/>
      <c r="AB571" s="70"/>
      <c r="AC571" s="70"/>
      <c r="AD571" s="70"/>
      <c r="AE571" s="70"/>
      <c r="AF571" s="70"/>
      <c r="AG571" s="70"/>
      <c r="AH571" s="70"/>
      <c r="AI571" s="70"/>
      <c r="AJ571" s="70"/>
      <c r="AK571" s="70"/>
      <c r="AL571" s="70"/>
      <c r="AM571" s="70"/>
      <c r="AN571" s="70"/>
      <c r="AO571" s="70"/>
      <c r="AP571" s="89"/>
      <c r="AQ571" s="89"/>
    </row>
    <row r="572" spans="1:43" s="73" customFormat="1" ht="15.75" thickBot="1" x14ac:dyDescent="0.3">
      <c r="A572" s="73" t="s">
        <v>602</v>
      </c>
      <c r="B572" s="73" t="s">
        <v>607</v>
      </c>
      <c r="C572" s="73" t="s">
        <v>1062</v>
      </c>
      <c r="D572" s="73" t="s">
        <v>608</v>
      </c>
      <c r="E572" s="85" t="s">
        <v>15</v>
      </c>
      <c r="F572" s="85" t="s">
        <v>1301</v>
      </c>
      <c r="G572" s="85"/>
      <c r="H572" s="85" t="s">
        <v>1507</v>
      </c>
      <c r="I572" s="142">
        <f t="shared" si="25"/>
        <v>28</v>
      </c>
      <c r="J572" s="147" t="s">
        <v>2115</v>
      </c>
      <c r="K572" s="142">
        <f t="shared" si="26"/>
        <v>0</v>
      </c>
      <c r="L572" s="143">
        <f t="shared" si="27"/>
        <v>1</v>
      </c>
      <c r="M572" s="70"/>
      <c r="N572" s="70"/>
      <c r="O572" s="70"/>
      <c r="P572" s="70"/>
      <c r="Q572" s="70"/>
      <c r="R572" s="70"/>
      <c r="S572" s="70"/>
      <c r="T572" s="70"/>
      <c r="U572" s="70"/>
      <c r="V572" s="70"/>
      <c r="W572" s="70"/>
      <c r="X572" s="70"/>
      <c r="Y572" s="70"/>
      <c r="Z572" s="70"/>
      <c r="AA572" s="70"/>
      <c r="AB572" s="70"/>
      <c r="AC572" s="70"/>
      <c r="AD572" s="70"/>
      <c r="AE572" s="70"/>
      <c r="AF572" s="70"/>
      <c r="AG572" s="70"/>
      <c r="AH572" s="70"/>
      <c r="AI572" s="70"/>
      <c r="AJ572" s="70"/>
      <c r="AK572" s="70"/>
      <c r="AL572" s="70"/>
      <c r="AM572" s="70"/>
      <c r="AN572" s="70"/>
      <c r="AO572" s="70"/>
      <c r="AP572" s="89"/>
      <c r="AQ572" s="89"/>
    </row>
    <row r="573" spans="1:43" s="73" customFormat="1" ht="15.75" thickBot="1" x14ac:dyDescent="0.3">
      <c r="A573" s="73" t="s">
        <v>602</v>
      </c>
      <c r="B573" s="73" t="s">
        <v>600</v>
      </c>
      <c r="C573" s="73" t="s">
        <v>1062</v>
      </c>
      <c r="D573" s="73" t="s">
        <v>601</v>
      </c>
      <c r="E573" s="85" t="s">
        <v>19</v>
      </c>
      <c r="F573" s="85" t="s">
        <v>1301</v>
      </c>
      <c r="G573" s="85"/>
      <c r="H573" s="85" t="s">
        <v>1429</v>
      </c>
      <c r="I573" s="142">
        <f t="shared" si="25"/>
        <v>20</v>
      </c>
      <c r="J573" s="147" t="s">
        <v>2116</v>
      </c>
      <c r="K573" s="142">
        <f t="shared" si="26"/>
        <v>8</v>
      </c>
      <c r="L573" s="143">
        <f t="shared" si="27"/>
        <v>0.7142857142857143</v>
      </c>
      <c r="M573" s="70" t="s">
        <v>2213</v>
      </c>
      <c r="N573" s="70" t="s">
        <v>2213</v>
      </c>
      <c r="O573" s="70" t="s">
        <v>2213</v>
      </c>
      <c r="P573" s="70" t="s">
        <v>2213</v>
      </c>
      <c r="Q573" s="70" t="s">
        <v>2213</v>
      </c>
      <c r="R573" s="70" t="s">
        <v>2213</v>
      </c>
      <c r="S573" s="70" t="s">
        <v>2213</v>
      </c>
      <c r="T573" s="70" t="s">
        <v>2213</v>
      </c>
      <c r="U573" s="70"/>
      <c r="V573" s="70"/>
      <c r="W573" s="70"/>
      <c r="X573" s="70"/>
      <c r="Y573" s="70"/>
      <c r="Z573" s="70"/>
      <c r="AA573" s="70"/>
      <c r="AB573" s="70"/>
      <c r="AC573" s="70"/>
      <c r="AD573" s="70"/>
      <c r="AE573" s="70"/>
      <c r="AF573" s="70"/>
      <c r="AG573" s="70"/>
      <c r="AH573" s="70"/>
      <c r="AI573" s="70"/>
      <c r="AJ573" s="70"/>
      <c r="AK573" s="70"/>
      <c r="AL573" s="70"/>
      <c r="AM573" s="70"/>
      <c r="AN573" s="70"/>
      <c r="AO573" s="70"/>
      <c r="AP573" s="89"/>
      <c r="AQ573" s="89"/>
    </row>
    <row r="574" spans="1:43" s="73" customFormat="1" ht="15.75" thickBot="1" x14ac:dyDescent="0.3">
      <c r="A574" s="73" t="s">
        <v>602</v>
      </c>
      <c r="B574" s="73" t="s">
        <v>1447</v>
      </c>
      <c r="C574" s="73" t="s">
        <v>1062</v>
      </c>
      <c r="D574" s="73" t="s">
        <v>1448</v>
      </c>
      <c r="E574" s="85" t="s">
        <v>46</v>
      </c>
      <c r="F574" s="85" t="s">
        <v>1301</v>
      </c>
      <c r="G574" s="85"/>
      <c r="H574" s="85" t="s">
        <v>1453</v>
      </c>
      <c r="I574" s="142">
        <f t="shared" si="25"/>
        <v>28</v>
      </c>
      <c r="J574" s="147" t="s">
        <v>2117</v>
      </c>
      <c r="K574" s="142">
        <f t="shared" si="26"/>
        <v>0</v>
      </c>
      <c r="L574" s="143">
        <f t="shared" si="27"/>
        <v>1</v>
      </c>
      <c r="M574" s="70"/>
      <c r="N574" s="70"/>
      <c r="O574" s="70"/>
      <c r="P574" s="70"/>
      <c r="Q574" s="70"/>
      <c r="R574" s="70"/>
      <c r="S574" s="70"/>
      <c r="T574" s="70"/>
      <c r="U574" s="70"/>
      <c r="V574" s="70"/>
      <c r="W574" s="70"/>
      <c r="X574" s="70"/>
      <c r="Y574" s="70"/>
      <c r="Z574" s="70"/>
      <c r="AA574" s="70"/>
      <c r="AB574" s="70"/>
      <c r="AC574" s="70"/>
      <c r="AD574" s="70"/>
      <c r="AE574" s="70"/>
      <c r="AF574" s="70"/>
      <c r="AG574" s="70"/>
      <c r="AH574" s="70"/>
      <c r="AI574" s="70"/>
      <c r="AJ574" s="70"/>
      <c r="AK574" s="70"/>
      <c r="AL574" s="70"/>
      <c r="AM574" s="70"/>
      <c r="AN574" s="70"/>
      <c r="AO574" s="70"/>
      <c r="AP574" s="89"/>
      <c r="AQ574" s="89"/>
    </row>
    <row r="575" spans="1:43" s="73" customFormat="1" ht="15.75" thickBot="1" x14ac:dyDescent="0.3">
      <c r="A575" s="73" t="s">
        <v>602</v>
      </c>
      <c r="B575" s="73" t="s">
        <v>1450</v>
      </c>
      <c r="C575" s="73" t="s">
        <v>1062</v>
      </c>
      <c r="D575" s="73" t="s">
        <v>1449</v>
      </c>
      <c r="E575" s="85" t="s">
        <v>73</v>
      </c>
      <c r="F575" s="85" t="s">
        <v>1301</v>
      </c>
      <c r="G575" s="85"/>
      <c r="H575" s="85" t="s">
        <v>1454</v>
      </c>
      <c r="I575" s="142">
        <f t="shared" si="25"/>
        <v>28</v>
      </c>
      <c r="J575" s="147" t="s">
        <v>2118</v>
      </c>
      <c r="K575" s="142">
        <f t="shared" si="26"/>
        <v>0</v>
      </c>
      <c r="L575" s="143">
        <f t="shared" si="27"/>
        <v>1</v>
      </c>
      <c r="M575" s="70"/>
      <c r="N575" s="70"/>
      <c r="O575" s="70"/>
      <c r="P575" s="70"/>
      <c r="Q575" s="70"/>
      <c r="R575" s="70"/>
      <c r="S575" s="70"/>
      <c r="T575" s="70"/>
      <c r="U575" s="70"/>
      <c r="V575" s="70"/>
      <c r="W575" s="70"/>
      <c r="X575" s="70"/>
      <c r="Y575" s="70"/>
      <c r="Z575" s="70"/>
      <c r="AA575" s="70"/>
      <c r="AB575" s="70"/>
      <c r="AC575" s="70"/>
      <c r="AD575" s="70"/>
      <c r="AE575" s="70"/>
      <c r="AF575" s="70"/>
      <c r="AG575" s="70"/>
      <c r="AH575" s="70"/>
      <c r="AI575" s="70"/>
      <c r="AJ575" s="70"/>
      <c r="AK575" s="70"/>
      <c r="AL575" s="70"/>
      <c r="AM575" s="70"/>
      <c r="AN575" s="70"/>
      <c r="AO575" s="70"/>
      <c r="AP575" s="89"/>
      <c r="AQ575" s="89"/>
    </row>
    <row r="576" spans="1:43" s="73" customFormat="1" ht="15.75" thickBot="1" x14ac:dyDescent="0.3">
      <c r="A576" s="73" t="s">
        <v>602</v>
      </c>
      <c r="B576" s="73" t="s">
        <v>1451</v>
      </c>
      <c r="C576" s="73" t="s">
        <v>1062</v>
      </c>
      <c r="D576" s="73" t="s">
        <v>1452</v>
      </c>
      <c r="E576" s="85" t="s">
        <v>73</v>
      </c>
      <c r="F576" s="85" t="s">
        <v>1301</v>
      </c>
      <c r="G576" s="85"/>
      <c r="H576" s="85" t="s">
        <v>1455</v>
      </c>
      <c r="I576" s="142">
        <f t="shared" si="25"/>
        <v>28</v>
      </c>
      <c r="J576" s="147" t="s">
        <v>2119</v>
      </c>
      <c r="K576" s="142">
        <f t="shared" si="26"/>
        <v>0</v>
      </c>
      <c r="L576" s="143">
        <f t="shared" si="27"/>
        <v>1</v>
      </c>
      <c r="M576" s="70"/>
      <c r="N576" s="70"/>
      <c r="O576" s="70"/>
      <c r="P576" s="70"/>
      <c r="Q576" s="70"/>
      <c r="R576" s="70"/>
      <c r="S576" s="70"/>
      <c r="T576" s="70"/>
      <c r="U576" s="70"/>
      <c r="V576" s="70"/>
      <c r="W576" s="70"/>
      <c r="X576" s="70"/>
      <c r="Y576" s="70"/>
      <c r="Z576" s="70"/>
      <c r="AA576" s="70"/>
      <c r="AB576" s="70"/>
      <c r="AC576" s="70"/>
      <c r="AD576" s="70"/>
      <c r="AE576" s="70"/>
      <c r="AF576" s="70"/>
      <c r="AG576" s="70"/>
      <c r="AH576" s="70"/>
      <c r="AI576" s="70"/>
      <c r="AJ576" s="70"/>
      <c r="AK576" s="70"/>
      <c r="AL576" s="70"/>
      <c r="AM576" s="70"/>
      <c r="AN576" s="70"/>
      <c r="AO576" s="70"/>
      <c r="AP576" s="89"/>
      <c r="AQ576" s="89"/>
    </row>
    <row r="577" spans="1:43" s="73" customFormat="1" ht="15.75" thickBot="1" x14ac:dyDescent="0.3">
      <c r="A577" s="73" t="s">
        <v>602</v>
      </c>
      <c r="B577" s="73" t="s">
        <v>2120</v>
      </c>
      <c r="C577" s="73" t="s">
        <v>1062</v>
      </c>
      <c r="D577" s="73" t="s">
        <v>2121</v>
      </c>
      <c r="E577" s="85" t="s">
        <v>15</v>
      </c>
      <c r="F577" s="85" t="s">
        <v>1301</v>
      </c>
      <c r="G577" s="85"/>
      <c r="H577" s="85" t="s">
        <v>2122</v>
      </c>
      <c r="I577" s="142">
        <f t="shared" si="25"/>
        <v>28</v>
      </c>
      <c r="J577" s="151" t="s">
        <v>2123</v>
      </c>
      <c r="K577" s="142">
        <f t="shared" si="26"/>
        <v>0</v>
      </c>
      <c r="L577" s="143">
        <f t="shared" si="27"/>
        <v>1</v>
      </c>
      <c r="M577" s="71"/>
      <c r="N577" s="71"/>
      <c r="O577" s="71"/>
      <c r="P577" s="71"/>
      <c r="Q577" s="71"/>
      <c r="R577" s="71"/>
      <c r="S577" s="71"/>
      <c r="T577" s="71"/>
      <c r="U577" s="71"/>
      <c r="V577" s="71"/>
      <c r="W577" s="71"/>
      <c r="X577" s="71"/>
      <c r="Y577" s="71"/>
      <c r="Z577" s="71"/>
      <c r="AA577" s="71"/>
      <c r="AB577" s="71"/>
      <c r="AC577" s="71"/>
      <c r="AD577" s="71"/>
      <c r="AE577" s="71"/>
      <c r="AF577" s="71"/>
      <c r="AG577" s="71"/>
      <c r="AH577" s="71"/>
      <c r="AI577" s="71"/>
      <c r="AJ577" s="71"/>
      <c r="AK577" s="71"/>
      <c r="AL577" s="71"/>
      <c r="AM577" s="71"/>
      <c r="AN577" s="71"/>
      <c r="AO577" s="71"/>
      <c r="AP577" s="152"/>
      <c r="AQ577" s="152"/>
    </row>
    <row r="658" spans="5:41" x14ac:dyDescent="0.25">
      <c r="M658" s="71"/>
      <c r="N658" s="71"/>
      <c r="O658" s="71"/>
      <c r="P658" s="71"/>
      <c r="Q658" s="71"/>
      <c r="R658" s="71"/>
      <c r="S658" s="71"/>
      <c r="T658" s="71"/>
      <c r="U658" s="71"/>
      <c r="V658" s="71"/>
      <c r="W658" s="71"/>
      <c r="X658" s="71"/>
      <c r="Y658" s="71"/>
      <c r="Z658" s="71"/>
      <c r="AA658" s="71"/>
      <c r="AB658" s="71"/>
      <c r="AC658" s="71"/>
      <c r="AD658" s="71"/>
      <c r="AE658" s="71"/>
      <c r="AF658" s="71"/>
      <c r="AG658" s="71"/>
      <c r="AH658" s="71"/>
      <c r="AI658" s="71"/>
      <c r="AJ658" s="71"/>
      <c r="AK658" s="71"/>
      <c r="AL658" s="71"/>
      <c r="AM658" s="71"/>
      <c r="AN658" s="71"/>
      <c r="AO658" s="71"/>
    </row>
    <row r="659" spans="5:41" x14ac:dyDescent="0.25">
      <c r="M659" s="71"/>
      <c r="N659" s="71"/>
      <c r="O659" s="71"/>
      <c r="P659" s="71"/>
      <c r="Q659" s="71"/>
      <c r="R659" s="71"/>
      <c r="S659" s="71"/>
      <c r="T659" s="71"/>
      <c r="U659" s="71"/>
      <c r="V659" s="71"/>
      <c r="W659" s="71"/>
      <c r="X659" s="71"/>
      <c r="Y659" s="71"/>
      <c r="Z659" s="71"/>
      <c r="AA659" s="71"/>
      <c r="AB659" s="71"/>
      <c r="AC659" s="71"/>
      <c r="AD659" s="71"/>
      <c r="AE659" s="71"/>
      <c r="AF659" s="71"/>
      <c r="AG659" s="71"/>
      <c r="AH659" s="71"/>
      <c r="AI659" s="71"/>
      <c r="AJ659" s="71"/>
      <c r="AK659" s="71"/>
      <c r="AL659" s="71"/>
      <c r="AM659" s="71"/>
      <c r="AN659" s="71"/>
      <c r="AO659" s="71"/>
    </row>
    <row r="660" spans="5:41" x14ac:dyDescent="0.25">
      <c r="E660" s="30"/>
      <c r="F660" s="30"/>
      <c r="G660" s="30"/>
      <c r="H660" s="30"/>
      <c r="L660" s="13"/>
      <c r="M660" s="72"/>
      <c r="N660" s="72"/>
      <c r="O660" s="70"/>
      <c r="P660" s="72"/>
      <c r="Q660" s="72"/>
      <c r="R660" s="72"/>
      <c r="S660" s="72"/>
      <c r="T660" s="72"/>
      <c r="U660" s="72"/>
      <c r="V660" s="72"/>
      <c r="W660" s="72"/>
      <c r="X660" s="72"/>
      <c r="Y660" s="72"/>
      <c r="Z660" s="72"/>
      <c r="AA660" s="72"/>
      <c r="AB660" s="72"/>
      <c r="AC660" s="72"/>
      <c r="AD660" s="72"/>
      <c r="AE660" s="72"/>
      <c r="AF660" s="72"/>
      <c r="AG660" s="72"/>
      <c r="AH660" s="72"/>
      <c r="AI660" s="72"/>
      <c r="AJ660" s="72"/>
      <c r="AK660" s="72"/>
      <c r="AL660" s="72"/>
      <c r="AM660" s="72"/>
      <c r="AN660" s="72"/>
      <c r="AO660" s="72"/>
    </row>
    <row r="661" spans="5:41" x14ac:dyDescent="0.25">
      <c r="E661" s="30"/>
      <c r="F661" s="30"/>
      <c r="G661" s="30"/>
      <c r="H661" s="30"/>
      <c r="L661" s="13"/>
      <c r="M661" s="72"/>
      <c r="N661" s="72"/>
      <c r="O661" s="70"/>
      <c r="P661" s="72"/>
      <c r="Q661" s="72"/>
      <c r="R661" s="72"/>
      <c r="S661" s="72"/>
      <c r="T661" s="72"/>
      <c r="U661" s="72"/>
      <c r="V661" s="72"/>
      <c r="W661" s="72"/>
      <c r="X661" s="72"/>
      <c r="Y661" s="72"/>
      <c r="Z661" s="72"/>
      <c r="AA661" s="72"/>
      <c r="AB661" s="72"/>
      <c r="AC661" s="72"/>
      <c r="AD661" s="72"/>
      <c r="AE661" s="72"/>
      <c r="AF661" s="72"/>
      <c r="AG661" s="72"/>
      <c r="AH661" s="72"/>
      <c r="AI661" s="72"/>
      <c r="AJ661" s="72"/>
      <c r="AK661" s="72"/>
      <c r="AL661" s="72"/>
      <c r="AM661" s="72"/>
      <c r="AN661" s="72"/>
      <c r="AO661" s="72"/>
    </row>
    <row r="662" spans="5:41" x14ac:dyDescent="0.25">
      <c r="E662" s="30"/>
      <c r="F662" s="30"/>
      <c r="G662" s="30"/>
      <c r="H662" s="30"/>
      <c r="L662" s="13"/>
      <c r="M662" s="72"/>
      <c r="N662" s="72"/>
      <c r="O662" s="70"/>
      <c r="P662" s="72"/>
      <c r="Q662" s="72"/>
      <c r="R662" s="72"/>
      <c r="S662" s="72"/>
      <c r="T662" s="72"/>
      <c r="U662" s="72"/>
      <c r="V662" s="72"/>
      <c r="W662" s="72"/>
      <c r="X662" s="72"/>
      <c r="Y662" s="72"/>
      <c r="Z662" s="72"/>
      <c r="AA662" s="72"/>
      <c r="AB662" s="72"/>
      <c r="AC662" s="72"/>
      <c r="AD662" s="72"/>
      <c r="AE662" s="72"/>
      <c r="AF662" s="72"/>
      <c r="AG662" s="72"/>
      <c r="AH662" s="72"/>
      <c r="AI662" s="72"/>
      <c r="AJ662" s="72"/>
      <c r="AK662" s="72"/>
      <c r="AL662" s="72"/>
      <c r="AM662" s="72"/>
      <c r="AN662" s="72"/>
      <c r="AO662" s="72"/>
    </row>
    <row r="663" spans="5:41" x14ac:dyDescent="0.25">
      <c r="E663" s="30"/>
      <c r="F663" s="30"/>
      <c r="G663" s="30"/>
      <c r="H663" s="30"/>
      <c r="L663" s="13"/>
      <c r="M663" s="72"/>
      <c r="N663" s="72"/>
      <c r="O663" s="70"/>
      <c r="P663" s="72"/>
      <c r="Q663" s="72"/>
      <c r="R663" s="72"/>
      <c r="S663" s="72"/>
      <c r="T663" s="72"/>
      <c r="U663" s="72"/>
      <c r="V663" s="72"/>
      <c r="W663" s="72"/>
      <c r="X663" s="72"/>
      <c r="Y663" s="72"/>
      <c r="Z663" s="72"/>
      <c r="AA663" s="72"/>
      <c r="AB663" s="72"/>
      <c r="AC663" s="72"/>
      <c r="AD663" s="72"/>
      <c r="AE663" s="72"/>
      <c r="AF663" s="72"/>
      <c r="AG663" s="72"/>
      <c r="AH663" s="72"/>
      <c r="AI663" s="72"/>
      <c r="AJ663" s="72"/>
      <c r="AK663" s="72"/>
      <c r="AL663" s="72"/>
      <c r="AM663" s="72"/>
      <c r="AN663" s="72"/>
      <c r="AO663" s="72"/>
    </row>
    <row r="664" spans="5:41" x14ac:dyDescent="0.25">
      <c r="E664" s="30"/>
      <c r="F664" s="30"/>
      <c r="G664" s="30"/>
      <c r="H664" s="30"/>
      <c r="L664" s="13"/>
      <c r="M664" s="72"/>
      <c r="N664" s="72"/>
      <c r="O664" s="70"/>
      <c r="P664" s="72"/>
      <c r="Q664" s="72"/>
      <c r="R664" s="72"/>
      <c r="S664" s="72"/>
      <c r="T664" s="72"/>
      <c r="U664" s="72"/>
      <c r="V664" s="72"/>
      <c r="W664" s="72"/>
      <c r="X664" s="72"/>
      <c r="Y664" s="72"/>
      <c r="Z664" s="72"/>
      <c r="AA664" s="72"/>
      <c r="AB664" s="72"/>
      <c r="AC664" s="72"/>
      <c r="AD664" s="72"/>
      <c r="AE664" s="72"/>
      <c r="AF664" s="72"/>
      <c r="AG664" s="72"/>
      <c r="AH664" s="72"/>
      <c r="AI664" s="72"/>
      <c r="AJ664" s="72"/>
      <c r="AK664" s="72"/>
      <c r="AL664" s="72"/>
      <c r="AM664" s="72"/>
      <c r="AN664" s="72"/>
      <c r="AO664" s="72"/>
    </row>
    <row r="665" spans="5:41" x14ac:dyDescent="0.25">
      <c r="E665" s="30"/>
      <c r="F665" s="30"/>
      <c r="G665" s="30"/>
      <c r="H665" s="30"/>
      <c r="L665" s="13"/>
      <c r="M665" s="72"/>
      <c r="N665" s="72"/>
      <c r="O665" s="70"/>
      <c r="P665" s="72"/>
      <c r="Q665" s="72"/>
      <c r="R665" s="72"/>
      <c r="S665" s="72"/>
      <c r="T665" s="72"/>
      <c r="U665" s="72"/>
      <c r="V665" s="72"/>
      <c r="W665" s="72"/>
      <c r="X665" s="72"/>
      <c r="Y665" s="72"/>
      <c r="Z665" s="72"/>
      <c r="AA665" s="72"/>
      <c r="AB665" s="72"/>
      <c r="AC665" s="72"/>
      <c r="AD665" s="72"/>
      <c r="AE665" s="72"/>
      <c r="AF665" s="72"/>
      <c r="AG665" s="72"/>
      <c r="AH665" s="72"/>
      <c r="AI665" s="72"/>
      <c r="AJ665" s="72"/>
      <c r="AK665" s="72"/>
      <c r="AL665" s="72"/>
      <c r="AM665" s="72"/>
      <c r="AN665" s="72"/>
      <c r="AO665" s="72"/>
    </row>
    <row r="666" spans="5:41" x14ac:dyDescent="0.25">
      <c r="E666" s="30"/>
      <c r="F666" s="30"/>
      <c r="G666" s="30"/>
      <c r="H666" s="30"/>
      <c r="L666" s="13"/>
      <c r="M666" s="72"/>
      <c r="N666" s="72"/>
      <c r="O666" s="70"/>
      <c r="P666" s="72"/>
      <c r="Q666" s="72"/>
      <c r="R666" s="72"/>
      <c r="S666" s="72"/>
      <c r="T666" s="72"/>
      <c r="U666" s="72"/>
      <c r="V666" s="72"/>
      <c r="W666" s="72"/>
      <c r="X666" s="72"/>
      <c r="Y666" s="72"/>
      <c r="Z666" s="72"/>
      <c r="AA666" s="72"/>
      <c r="AB666" s="72"/>
      <c r="AC666" s="72"/>
      <c r="AD666" s="72"/>
      <c r="AE666" s="72"/>
      <c r="AF666" s="72"/>
      <c r="AG666" s="72"/>
      <c r="AH666" s="72"/>
      <c r="AI666" s="72"/>
      <c r="AJ666" s="72"/>
      <c r="AK666" s="72"/>
      <c r="AL666" s="72"/>
      <c r="AM666" s="72"/>
      <c r="AN666" s="72"/>
      <c r="AO666" s="72"/>
    </row>
    <row r="667" spans="5:41" x14ac:dyDescent="0.25">
      <c r="E667" s="30"/>
      <c r="F667" s="30"/>
      <c r="G667" s="30"/>
      <c r="H667" s="30"/>
      <c r="L667" s="13"/>
      <c r="M667" s="72"/>
      <c r="N667" s="72"/>
      <c r="O667" s="70"/>
      <c r="P667" s="72"/>
      <c r="Q667" s="72"/>
      <c r="R667" s="72"/>
      <c r="S667" s="72"/>
      <c r="T667" s="72"/>
      <c r="U667" s="72"/>
      <c r="V667" s="72"/>
      <c r="W667" s="72"/>
      <c r="X667" s="72"/>
      <c r="Y667" s="72"/>
      <c r="Z667" s="72"/>
      <c r="AA667" s="72"/>
      <c r="AB667" s="72"/>
      <c r="AC667" s="72"/>
      <c r="AD667" s="72"/>
      <c r="AE667" s="72"/>
      <c r="AF667" s="72"/>
      <c r="AG667" s="72"/>
      <c r="AH667" s="72"/>
      <c r="AI667" s="72"/>
      <c r="AJ667" s="72"/>
      <c r="AK667" s="72"/>
      <c r="AL667" s="72"/>
      <c r="AM667" s="72"/>
      <c r="AN667" s="72"/>
      <c r="AO667" s="72"/>
    </row>
    <row r="668" spans="5:41" x14ac:dyDescent="0.25">
      <c r="E668" s="30"/>
      <c r="F668" s="30"/>
      <c r="G668" s="30"/>
      <c r="H668" s="30"/>
      <c r="L668" s="13"/>
      <c r="M668" s="72"/>
      <c r="N668" s="72"/>
      <c r="O668" s="70"/>
      <c r="P668" s="72"/>
      <c r="Q668" s="72"/>
      <c r="R668" s="72"/>
      <c r="S668" s="72"/>
      <c r="T668" s="72"/>
      <c r="U668" s="72"/>
      <c r="V668" s="72"/>
      <c r="W668" s="72"/>
      <c r="X668" s="72"/>
      <c r="Y668" s="72"/>
      <c r="Z668" s="72"/>
      <c r="AA668" s="72"/>
      <c r="AB668" s="72"/>
      <c r="AC668" s="72"/>
      <c r="AD668" s="72"/>
      <c r="AE668" s="72"/>
      <c r="AF668" s="72"/>
      <c r="AG668" s="72"/>
      <c r="AH668" s="72"/>
      <c r="AI668" s="72"/>
      <c r="AJ668" s="72"/>
      <c r="AK668" s="72"/>
      <c r="AL668" s="72"/>
      <c r="AM668" s="72"/>
      <c r="AN668" s="72"/>
      <c r="AO668" s="72"/>
    </row>
    <row r="669" spans="5:41" x14ac:dyDescent="0.25">
      <c r="E669" s="30"/>
      <c r="F669" s="30"/>
      <c r="G669" s="30"/>
      <c r="H669" s="30"/>
      <c r="L669" s="13"/>
      <c r="M669" s="72"/>
      <c r="N669" s="72"/>
      <c r="O669" s="70"/>
      <c r="P669" s="72"/>
      <c r="Q669" s="72"/>
      <c r="R669" s="72"/>
      <c r="S669" s="72"/>
      <c r="T669" s="72"/>
      <c r="U669" s="72"/>
      <c r="V669" s="72"/>
      <c r="W669" s="72"/>
      <c r="X669" s="72"/>
      <c r="Y669" s="72"/>
      <c r="Z669" s="72"/>
      <c r="AA669" s="72"/>
      <c r="AB669" s="72"/>
      <c r="AC669" s="72"/>
      <c r="AD669" s="72"/>
      <c r="AE669" s="72"/>
      <c r="AF669" s="72"/>
      <c r="AG669" s="72"/>
      <c r="AH669" s="72"/>
      <c r="AI669" s="72"/>
      <c r="AJ669" s="72"/>
      <c r="AK669" s="72"/>
      <c r="AL669" s="72"/>
      <c r="AM669" s="72"/>
      <c r="AN669" s="72"/>
      <c r="AO669" s="72"/>
    </row>
    <row r="670" spans="5:41" x14ac:dyDescent="0.25">
      <c r="E670" s="30"/>
      <c r="F670" s="30"/>
      <c r="G670" s="30"/>
      <c r="H670" s="30"/>
      <c r="L670" s="13"/>
      <c r="M670" s="72"/>
      <c r="N670" s="72"/>
      <c r="O670" s="70"/>
      <c r="P670" s="72"/>
      <c r="Q670" s="72"/>
      <c r="R670" s="72"/>
      <c r="S670" s="72"/>
      <c r="T670" s="72"/>
      <c r="U670" s="72"/>
      <c r="V670" s="72"/>
      <c r="W670" s="72"/>
      <c r="X670" s="72"/>
      <c r="Y670" s="72"/>
      <c r="Z670" s="72"/>
      <c r="AA670" s="72"/>
      <c r="AB670" s="72"/>
      <c r="AC670" s="72"/>
      <c r="AD670" s="72"/>
      <c r="AE670" s="72"/>
      <c r="AF670" s="72"/>
      <c r="AG670" s="72"/>
      <c r="AH670" s="72"/>
      <c r="AI670" s="72"/>
      <c r="AJ670" s="72"/>
      <c r="AK670" s="72"/>
      <c r="AL670" s="72"/>
      <c r="AM670" s="72"/>
      <c r="AN670" s="72"/>
      <c r="AO670" s="72"/>
    </row>
    <row r="671" spans="5:41" x14ac:dyDescent="0.25">
      <c r="E671" s="30"/>
      <c r="F671" s="30"/>
      <c r="G671" s="30"/>
      <c r="H671" s="30"/>
      <c r="L671" s="13"/>
      <c r="M671" s="72"/>
      <c r="N671" s="72"/>
      <c r="O671" s="70"/>
      <c r="P671" s="72"/>
      <c r="Q671" s="72"/>
      <c r="R671" s="72"/>
      <c r="S671" s="72"/>
      <c r="T671" s="72"/>
      <c r="U671" s="72"/>
      <c r="V671" s="72"/>
      <c r="W671" s="72"/>
      <c r="X671" s="72"/>
      <c r="Y671" s="72"/>
      <c r="Z671" s="72"/>
      <c r="AA671" s="72"/>
      <c r="AB671" s="72"/>
      <c r="AC671" s="72"/>
      <c r="AD671" s="72"/>
      <c r="AE671" s="72"/>
      <c r="AF671" s="72"/>
      <c r="AG671" s="72"/>
      <c r="AH671" s="72"/>
      <c r="AI671" s="72"/>
      <c r="AJ671" s="72"/>
      <c r="AK671" s="72"/>
      <c r="AL671" s="72"/>
      <c r="AM671" s="72"/>
      <c r="AN671" s="72"/>
      <c r="AO671" s="72"/>
    </row>
    <row r="672" spans="5:41" x14ac:dyDescent="0.25">
      <c r="E672" s="30"/>
      <c r="F672" s="30"/>
      <c r="G672" s="30"/>
      <c r="H672" s="30"/>
      <c r="L672" s="13"/>
      <c r="M672" s="72"/>
      <c r="N672" s="72"/>
      <c r="O672" s="70"/>
      <c r="P672" s="72"/>
      <c r="Q672" s="72"/>
      <c r="R672" s="72"/>
      <c r="S672" s="72"/>
      <c r="T672" s="72"/>
      <c r="U672" s="72"/>
      <c r="V672" s="72"/>
      <c r="W672" s="72"/>
      <c r="X672" s="72"/>
      <c r="Y672" s="72"/>
      <c r="Z672" s="72"/>
      <c r="AA672" s="72"/>
      <c r="AB672" s="72"/>
      <c r="AC672" s="72"/>
      <c r="AD672" s="72"/>
      <c r="AE672" s="72"/>
      <c r="AF672" s="72"/>
      <c r="AG672" s="72"/>
      <c r="AH672" s="72"/>
      <c r="AI672" s="72"/>
      <c r="AJ672" s="72"/>
      <c r="AK672" s="72"/>
      <c r="AL672" s="72"/>
      <c r="AM672" s="72"/>
      <c r="AN672" s="72"/>
      <c r="AO672" s="72"/>
    </row>
    <row r="673" spans="5:41" x14ac:dyDescent="0.25">
      <c r="E673" s="30"/>
      <c r="F673" s="30"/>
      <c r="G673" s="30"/>
      <c r="H673" s="30"/>
      <c r="L673" s="13"/>
      <c r="M673" s="72"/>
      <c r="N673" s="72"/>
      <c r="O673" s="70"/>
      <c r="P673" s="72"/>
      <c r="Q673" s="72"/>
      <c r="R673" s="72"/>
      <c r="S673" s="72"/>
      <c r="T673" s="72"/>
      <c r="U673" s="72"/>
      <c r="V673" s="72"/>
      <c r="W673" s="72"/>
      <c r="X673" s="72"/>
      <c r="Y673" s="72"/>
      <c r="Z673" s="72"/>
      <c r="AA673" s="72"/>
      <c r="AB673" s="72"/>
      <c r="AC673" s="72"/>
      <c r="AD673" s="72"/>
      <c r="AE673" s="72"/>
      <c r="AF673" s="72"/>
      <c r="AG673" s="72"/>
      <c r="AH673" s="72"/>
      <c r="AI673" s="72"/>
      <c r="AJ673" s="72"/>
      <c r="AK673" s="72"/>
      <c r="AL673" s="72"/>
      <c r="AM673" s="72"/>
      <c r="AN673" s="72"/>
      <c r="AO673" s="72"/>
    </row>
    <row r="674" spans="5:41" x14ac:dyDescent="0.25">
      <c r="E674" s="30"/>
      <c r="F674" s="30"/>
      <c r="G674" s="30"/>
      <c r="H674" s="30"/>
      <c r="L674" s="13"/>
      <c r="M674" s="72"/>
      <c r="N674" s="72"/>
      <c r="O674" s="70"/>
      <c r="P674" s="72"/>
      <c r="Q674" s="72"/>
      <c r="R674" s="72"/>
      <c r="S674" s="72"/>
      <c r="T674" s="72"/>
      <c r="U674" s="72"/>
      <c r="V674" s="72"/>
      <c r="W674" s="72"/>
      <c r="X674" s="72"/>
      <c r="Y674" s="72"/>
      <c r="Z674" s="72"/>
      <c r="AA674" s="72"/>
      <c r="AB674" s="72"/>
      <c r="AC674" s="72"/>
      <c r="AD674" s="72"/>
      <c r="AE674" s="72"/>
      <c r="AF674" s="72"/>
      <c r="AG674" s="72"/>
      <c r="AH674" s="72"/>
      <c r="AI674" s="72"/>
      <c r="AJ674" s="72"/>
      <c r="AK674" s="72"/>
      <c r="AL674" s="72"/>
      <c r="AM674" s="72"/>
      <c r="AN674" s="72"/>
      <c r="AO674" s="72"/>
    </row>
    <row r="675" spans="5:41" x14ac:dyDescent="0.25">
      <c r="E675" s="30"/>
      <c r="F675" s="30"/>
      <c r="G675" s="30"/>
      <c r="H675" s="30"/>
      <c r="L675" s="13"/>
      <c r="M675" s="72"/>
      <c r="N675" s="72"/>
      <c r="O675" s="70"/>
      <c r="P675" s="72"/>
      <c r="Q675" s="72"/>
      <c r="R675" s="72"/>
      <c r="S675" s="72"/>
      <c r="T675" s="72"/>
      <c r="U675" s="72"/>
      <c r="V675" s="72"/>
      <c r="W675" s="72"/>
      <c r="X675" s="72"/>
      <c r="Y675" s="72"/>
      <c r="Z675" s="72"/>
      <c r="AA675" s="72"/>
      <c r="AB675" s="72"/>
      <c r="AC675" s="72"/>
      <c r="AD675" s="72"/>
      <c r="AE675" s="72"/>
      <c r="AF675" s="72"/>
      <c r="AG675" s="72"/>
      <c r="AH675" s="72"/>
      <c r="AI675" s="72"/>
      <c r="AJ675" s="72"/>
      <c r="AK675" s="72"/>
      <c r="AL675" s="72"/>
      <c r="AM675" s="72"/>
      <c r="AN675" s="72"/>
      <c r="AO675" s="72"/>
    </row>
    <row r="676" spans="5:41" x14ac:dyDescent="0.25">
      <c r="E676" s="30"/>
      <c r="F676" s="30"/>
      <c r="G676" s="30"/>
      <c r="H676" s="30"/>
      <c r="L676" s="13"/>
      <c r="M676" s="72"/>
      <c r="N676" s="72"/>
      <c r="O676" s="70"/>
      <c r="P676" s="72"/>
      <c r="Q676" s="72"/>
      <c r="R676" s="72"/>
      <c r="S676" s="72"/>
      <c r="T676" s="72"/>
      <c r="U676" s="72"/>
      <c r="V676" s="72"/>
      <c r="W676" s="72"/>
      <c r="X676" s="72"/>
      <c r="Y676" s="72"/>
      <c r="Z676" s="72"/>
      <c r="AA676" s="72"/>
      <c r="AB676" s="72"/>
      <c r="AC676" s="72"/>
      <c r="AD676" s="72"/>
      <c r="AE676" s="72"/>
      <c r="AF676" s="72"/>
      <c r="AG676" s="72"/>
      <c r="AH676" s="72"/>
      <c r="AI676" s="72"/>
      <c r="AJ676" s="72"/>
      <c r="AK676" s="72"/>
      <c r="AL676" s="72"/>
      <c r="AM676" s="72"/>
      <c r="AN676" s="72"/>
      <c r="AO676" s="72"/>
    </row>
    <row r="677" spans="5:41" x14ac:dyDescent="0.25">
      <c r="E677" s="30"/>
      <c r="F677" s="30"/>
      <c r="G677" s="30"/>
      <c r="H677" s="30"/>
      <c r="L677" s="13"/>
      <c r="M677" s="72"/>
      <c r="N677" s="72"/>
      <c r="O677" s="70"/>
      <c r="P677" s="72"/>
      <c r="Q677" s="72"/>
      <c r="R677" s="72"/>
      <c r="S677" s="72"/>
      <c r="T677" s="72"/>
      <c r="U677" s="72"/>
      <c r="V677" s="72"/>
      <c r="W677" s="72"/>
      <c r="X677" s="72"/>
      <c r="Y677" s="72"/>
      <c r="Z677" s="72"/>
      <c r="AA677" s="72"/>
      <c r="AB677" s="72"/>
      <c r="AC677" s="72"/>
      <c r="AD677" s="72"/>
      <c r="AE677" s="72"/>
      <c r="AF677" s="72"/>
      <c r="AG677" s="72"/>
      <c r="AH677" s="72"/>
      <c r="AI677" s="72"/>
      <c r="AJ677" s="72"/>
      <c r="AK677" s="72"/>
      <c r="AL677" s="72"/>
      <c r="AM677" s="72"/>
      <c r="AN677" s="72"/>
      <c r="AO677" s="72"/>
    </row>
    <row r="678" spans="5:41" x14ac:dyDescent="0.25">
      <c r="E678" s="30"/>
      <c r="F678" s="30"/>
      <c r="G678" s="30"/>
      <c r="H678" s="30"/>
      <c r="L678" s="13"/>
      <c r="M678" s="72"/>
      <c r="N678" s="72"/>
      <c r="O678" s="70"/>
      <c r="P678" s="72"/>
      <c r="Q678" s="72"/>
      <c r="R678" s="72"/>
      <c r="S678" s="72"/>
      <c r="T678" s="72"/>
      <c r="U678" s="72"/>
      <c r="V678" s="72"/>
      <c r="W678" s="72"/>
      <c r="X678" s="72"/>
      <c r="Y678" s="72"/>
      <c r="Z678" s="72"/>
      <c r="AA678" s="72"/>
      <c r="AB678" s="72"/>
      <c r="AC678" s="72"/>
      <c r="AD678" s="72"/>
      <c r="AE678" s="72"/>
      <c r="AF678" s="72"/>
      <c r="AG678" s="72"/>
      <c r="AH678" s="72"/>
      <c r="AI678" s="72"/>
      <c r="AJ678" s="72"/>
      <c r="AK678" s="72"/>
      <c r="AL678" s="72"/>
      <c r="AM678" s="72"/>
      <c r="AN678" s="72"/>
      <c r="AO678" s="72"/>
    </row>
    <row r="679" spans="5:41" x14ac:dyDescent="0.25">
      <c r="E679" s="30"/>
      <c r="F679" s="30"/>
      <c r="G679" s="30"/>
      <c r="H679" s="30"/>
      <c r="L679" s="13"/>
      <c r="M679" s="72"/>
      <c r="N679" s="72"/>
      <c r="O679" s="70"/>
      <c r="P679" s="72"/>
      <c r="Q679" s="72"/>
      <c r="R679" s="72"/>
      <c r="S679" s="72"/>
      <c r="T679" s="72"/>
      <c r="U679" s="72"/>
      <c r="V679" s="72"/>
      <c r="W679" s="72"/>
      <c r="X679" s="72"/>
      <c r="Y679" s="72"/>
      <c r="Z679" s="72"/>
      <c r="AA679" s="72"/>
      <c r="AB679" s="72"/>
      <c r="AC679" s="72"/>
      <c r="AD679" s="72"/>
      <c r="AE679" s="72"/>
      <c r="AF679" s="72"/>
      <c r="AG679" s="72"/>
      <c r="AH679" s="72"/>
      <c r="AI679" s="72"/>
      <c r="AJ679" s="72"/>
      <c r="AK679" s="72"/>
      <c r="AL679" s="72"/>
      <c r="AM679" s="72"/>
      <c r="AN679" s="72"/>
      <c r="AO679" s="72"/>
    </row>
    <row r="680" spans="5:41" x14ac:dyDescent="0.25">
      <c r="E680" s="30"/>
      <c r="F680" s="30"/>
      <c r="G680" s="30"/>
      <c r="H680" s="30"/>
      <c r="L680" s="13"/>
      <c r="M680" s="72"/>
      <c r="N680" s="72"/>
      <c r="O680" s="70"/>
      <c r="P680" s="72"/>
      <c r="Q680" s="72"/>
      <c r="R680" s="72"/>
      <c r="S680" s="72"/>
      <c r="T680" s="72"/>
      <c r="U680" s="72"/>
      <c r="V680" s="72"/>
      <c r="W680" s="72"/>
      <c r="X680" s="72"/>
      <c r="Y680" s="72"/>
      <c r="Z680" s="72"/>
      <c r="AA680" s="72"/>
      <c r="AB680" s="72"/>
      <c r="AC680" s="72"/>
      <c r="AD680" s="72"/>
      <c r="AE680" s="72"/>
      <c r="AF680" s="72"/>
      <c r="AG680" s="72"/>
      <c r="AH680" s="72"/>
      <c r="AI680" s="72"/>
      <c r="AJ680" s="72"/>
      <c r="AK680" s="72"/>
      <c r="AL680" s="72"/>
      <c r="AM680" s="72"/>
      <c r="AN680" s="72"/>
      <c r="AO680" s="72"/>
    </row>
    <row r="681" spans="5:41" x14ac:dyDescent="0.25">
      <c r="E681" s="30"/>
      <c r="F681" s="30"/>
      <c r="G681" s="30"/>
      <c r="H681" s="30"/>
      <c r="L681" s="13"/>
      <c r="M681" s="72"/>
      <c r="N681" s="72"/>
      <c r="O681" s="70"/>
      <c r="P681" s="72"/>
      <c r="Q681" s="72"/>
      <c r="R681" s="72"/>
      <c r="S681" s="72"/>
      <c r="T681" s="72"/>
      <c r="U681" s="72"/>
      <c r="V681" s="72"/>
      <c r="W681" s="72"/>
      <c r="X681" s="72"/>
      <c r="Y681" s="72"/>
      <c r="Z681" s="72"/>
      <c r="AA681" s="72"/>
      <c r="AB681" s="72"/>
      <c r="AC681" s="72"/>
      <c r="AD681" s="72"/>
      <c r="AE681" s="72"/>
      <c r="AF681" s="72"/>
      <c r="AG681" s="72"/>
      <c r="AH681" s="72"/>
      <c r="AI681" s="72"/>
      <c r="AJ681" s="72"/>
      <c r="AK681" s="72"/>
      <c r="AL681" s="72"/>
      <c r="AM681" s="72"/>
      <c r="AN681" s="72"/>
      <c r="AO681" s="72"/>
    </row>
    <row r="682" spans="5:41" x14ac:dyDescent="0.25">
      <c r="E682" s="30"/>
      <c r="F682" s="30"/>
      <c r="G682" s="30"/>
      <c r="H682" s="30"/>
      <c r="L682" s="13"/>
      <c r="M682" s="72"/>
      <c r="N682" s="72"/>
      <c r="O682" s="70"/>
      <c r="P682" s="72"/>
      <c r="Q682" s="72"/>
      <c r="R682" s="72"/>
      <c r="S682" s="72"/>
      <c r="T682" s="72"/>
      <c r="U682" s="72"/>
      <c r="V682" s="72"/>
      <c r="W682" s="72"/>
      <c r="X682" s="72"/>
      <c r="Y682" s="72"/>
      <c r="Z682" s="72"/>
      <c r="AA682" s="72"/>
      <c r="AB682" s="72"/>
      <c r="AC682" s="72"/>
      <c r="AD682" s="72"/>
      <c r="AE682" s="72"/>
      <c r="AF682" s="72"/>
      <c r="AG682" s="72"/>
      <c r="AH682" s="72"/>
      <c r="AI682" s="72"/>
      <c r="AJ682" s="72"/>
      <c r="AK682" s="72"/>
      <c r="AL682" s="72"/>
      <c r="AM682" s="72"/>
      <c r="AN682" s="72"/>
      <c r="AO682" s="72"/>
    </row>
    <row r="683" spans="5:41" x14ac:dyDescent="0.25">
      <c r="E683" s="30"/>
      <c r="F683" s="30"/>
      <c r="G683" s="30"/>
      <c r="H683" s="30"/>
      <c r="L683" s="13"/>
      <c r="M683" s="72"/>
      <c r="N683" s="72"/>
      <c r="O683" s="70"/>
      <c r="P683" s="72"/>
      <c r="Q683" s="72"/>
      <c r="R683" s="72"/>
      <c r="S683" s="72"/>
      <c r="T683" s="72"/>
      <c r="U683" s="72"/>
      <c r="V683" s="72"/>
      <c r="W683" s="72"/>
      <c r="X683" s="72"/>
      <c r="Y683" s="72"/>
      <c r="Z683" s="72"/>
      <c r="AA683" s="72"/>
      <c r="AB683" s="72"/>
      <c r="AC683" s="72"/>
      <c r="AD683" s="72"/>
      <c r="AE683" s="72"/>
      <c r="AF683" s="72"/>
      <c r="AG683" s="72"/>
      <c r="AH683" s="72"/>
      <c r="AI683" s="72"/>
      <c r="AJ683" s="72"/>
      <c r="AK683" s="72"/>
      <c r="AL683" s="72"/>
      <c r="AM683" s="72"/>
      <c r="AN683" s="72"/>
      <c r="AO683" s="72"/>
    </row>
    <row r="684" spans="5:41" x14ac:dyDescent="0.25">
      <c r="E684" s="30"/>
      <c r="F684" s="30"/>
      <c r="G684" s="30"/>
      <c r="H684" s="30"/>
      <c r="L684" s="13"/>
      <c r="M684" s="72"/>
      <c r="N684" s="72"/>
      <c r="O684" s="70"/>
      <c r="P684" s="72"/>
      <c r="Q684" s="72"/>
      <c r="R684" s="72"/>
      <c r="S684" s="72"/>
      <c r="T684" s="72"/>
      <c r="U684" s="72"/>
      <c r="V684" s="72"/>
      <c r="W684" s="72"/>
      <c r="X684" s="72"/>
      <c r="Y684" s="72"/>
      <c r="Z684" s="72"/>
      <c r="AA684" s="72"/>
      <c r="AB684" s="72"/>
      <c r="AC684" s="72"/>
      <c r="AD684" s="72"/>
      <c r="AE684" s="72"/>
      <c r="AF684" s="72"/>
      <c r="AG684" s="72"/>
      <c r="AH684" s="72"/>
      <c r="AI684" s="72"/>
      <c r="AJ684" s="72"/>
      <c r="AK684" s="72"/>
      <c r="AL684" s="72"/>
      <c r="AM684" s="72"/>
      <c r="AN684" s="72"/>
      <c r="AO684" s="72"/>
    </row>
    <row r="685" spans="5:41" x14ac:dyDescent="0.25">
      <c r="E685" s="30"/>
      <c r="F685" s="30"/>
      <c r="G685" s="30"/>
      <c r="H685" s="30"/>
      <c r="L685" s="13"/>
      <c r="M685" s="72"/>
      <c r="N685" s="72"/>
      <c r="O685" s="70"/>
      <c r="P685" s="72"/>
      <c r="Q685" s="72"/>
      <c r="R685" s="72"/>
      <c r="S685" s="72"/>
      <c r="T685" s="72"/>
      <c r="U685" s="72"/>
      <c r="V685" s="72"/>
      <c r="W685" s="72"/>
      <c r="X685" s="72"/>
      <c r="Y685" s="72"/>
      <c r="Z685" s="72"/>
      <c r="AA685" s="72"/>
      <c r="AB685" s="72"/>
      <c r="AC685" s="72"/>
      <c r="AD685" s="72"/>
      <c r="AE685" s="72"/>
      <c r="AF685" s="72"/>
      <c r="AG685" s="72"/>
      <c r="AH685" s="72"/>
      <c r="AI685" s="72"/>
      <c r="AJ685" s="72"/>
      <c r="AK685" s="72"/>
      <c r="AL685" s="72"/>
      <c r="AM685" s="72"/>
      <c r="AN685" s="72"/>
      <c r="AO685" s="72"/>
    </row>
    <row r="686" spans="5:41" x14ac:dyDescent="0.25">
      <c r="E686" s="30"/>
      <c r="F686" s="30"/>
      <c r="G686" s="30"/>
      <c r="H686" s="30"/>
      <c r="L686" s="13"/>
      <c r="M686" s="72"/>
      <c r="N686" s="72"/>
      <c r="O686" s="70"/>
      <c r="P686" s="72"/>
      <c r="Q686" s="72"/>
      <c r="R686" s="72"/>
      <c r="S686" s="72"/>
      <c r="T686" s="72"/>
      <c r="U686" s="72"/>
      <c r="V686" s="72"/>
      <c r="W686" s="72"/>
      <c r="X686" s="72"/>
      <c r="Y686" s="72"/>
      <c r="Z686" s="72"/>
      <c r="AA686" s="72"/>
      <c r="AB686" s="72"/>
      <c r="AC686" s="72"/>
      <c r="AD686" s="72"/>
      <c r="AE686" s="72"/>
      <c r="AF686" s="72"/>
      <c r="AG686" s="72"/>
      <c r="AH686" s="72"/>
      <c r="AI686" s="72"/>
      <c r="AJ686" s="72"/>
      <c r="AK686" s="72"/>
      <c r="AL686" s="72"/>
      <c r="AM686" s="72"/>
      <c r="AN686" s="72"/>
      <c r="AO686" s="72"/>
    </row>
    <row r="687" spans="5:41" x14ac:dyDescent="0.25">
      <c r="E687" s="30"/>
      <c r="F687" s="30"/>
      <c r="G687" s="30"/>
      <c r="H687" s="30"/>
      <c r="L687" s="13"/>
      <c r="M687" s="72"/>
      <c r="N687" s="72"/>
      <c r="O687" s="70"/>
      <c r="P687" s="72"/>
      <c r="Q687" s="72"/>
      <c r="R687" s="72"/>
      <c r="S687" s="72"/>
      <c r="T687" s="72"/>
      <c r="U687" s="72"/>
      <c r="V687" s="72"/>
      <c r="W687" s="72"/>
      <c r="X687" s="72"/>
      <c r="Y687" s="72"/>
      <c r="Z687" s="72"/>
      <c r="AA687" s="72"/>
      <c r="AB687" s="72"/>
      <c r="AC687" s="72"/>
      <c r="AD687" s="72"/>
      <c r="AE687" s="72"/>
      <c r="AF687" s="72"/>
      <c r="AG687" s="72"/>
      <c r="AH687" s="72"/>
      <c r="AI687" s="72"/>
      <c r="AJ687" s="72"/>
      <c r="AK687" s="72"/>
      <c r="AL687" s="72"/>
      <c r="AM687" s="72"/>
      <c r="AN687" s="72"/>
      <c r="AO687" s="72"/>
    </row>
    <row r="688" spans="5:41" x14ac:dyDescent="0.25">
      <c r="E688" s="30"/>
      <c r="F688" s="30"/>
      <c r="G688" s="30"/>
      <c r="H688" s="30"/>
      <c r="L688" s="13"/>
      <c r="M688" s="72"/>
      <c r="N688" s="72"/>
      <c r="O688" s="70"/>
      <c r="P688" s="72"/>
      <c r="Q688" s="72"/>
      <c r="R688" s="72"/>
      <c r="S688" s="72"/>
      <c r="T688" s="72"/>
      <c r="U688" s="72"/>
      <c r="V688" s="72"/>
      <c r="W688" s="72"/>
      <c r="X688" s="72"/>
      <c r="Y688" s="72"/>
      <c r="Z688" s="72"/>
      <c r="AA688" s="72"/>
      <c r="AB688" s="72"/>
      <c r="AC688" s="72"/>
      <c r="AD688" s="72"/>
      <c r="AE688" s="72"/>
      <c r="AF688" s="72"/>
      <c r="AG688" s="72"/>
      <c r="AH688" s="72"/>
      <c r="AI688" s="72"/>
      <c r="AJ688" s="72"/>
      <c r="AK688" s="72"/>
      <c r="AL688" s="72"/>
      <c r="AM688" s="72"/>
      <c r="AN688" s="72"/>
      <c r="AO688" s="72"/>
    </row>
    <row r="689" spans="5:41" x14ac:dyDescent="0.25">
      <c r="E689" s="30"/>
      <c r="F689" s="30"/>
      <c r="G689" s="30"/>
      <c r="H689" s="30"/>
      <c r="L689" s="13"/>
      <c r="M689" s="72"/>
      <c r="N689" s="72"/>
      <c r="O689" s="70"/>
      <c r="P689" s="72"/>
      <c r="Q689" s="72"/>
      <c r="R689" s="72"/>
      <c r="S689" s="72"/>
      <c r="T689" s="72"/>
      <c r="U689" s="72"/>
      <c r="V689" s="72"/>
      <c r="W689" s="72"/>
      <c r="X689" s="72"/>
      <c r="Y689" s="72"/>
      <c r="Z689" s="72"/>
      <c r="AA689" s="72"/>
      <c r="AB689" s="72"/>
      <c r="AC689" s="72"/>
      <c r="AD689" s="72"/>
      <c r="AE689" s="72"/>
      <c r="AF689" s="72"/>
      <c r="AG689" s="72"/>
      <c r="AH689" s="72"/>
      <c r="AI689" s="72"/>
      <c r="AJ689" s="72"/>
      <c r="AK689" s="72"/>
      <c r="AL689" s="72"/>
      <c r="AM689" s="72"/>
      <c r="AN689" s="72"/>
      <c r="AO689" s="72"/>
    </row>
    <row r="690" spans="5:41" x14ac:dyDescent="0.25">
      <c r="E690" s="30"/>
      <c r="F690" s="30"/>
      <c r="G690" s="30"/>
      <c r="H690" s="30"/>
      <c r="L690" s="13"/>
      <c r="M690" s="72"/>
      <c r="N690" s="72"/>
      <c r="O690" s="70"/>
      <c r="P690" s="72"/>
      <c r="Q690" s="72"/>
      <c r="R690" s="72"/>
      <c r="S690" s="72"/>
      <c r="T690" s="72"/>
      <c r="U690" s="72"/>
      <c r="V690" s="72"/>
      <c r="W690" s="72"/>
      <c r="X690" s="72"/>
      <c r="Y690" s="72"/>
      <c r="Z690" s="72"/>
      <c r="AA690" s="72"/>
      <c r="AB690" s="72"/>
      <c r="AC690" s="72"/>
      <c r="AD690" s="72"/>
      <c r="AE690" s="72"/>
      <c r="AF690" s="72"/>
      <c r="AG690" s="72"/>
      <c r="AH690" s="72"/>
      <c r="AI690" s="72"/>
      <c r="AJ690" s="72"/>
      <c r="AK690" s="72"/>
      <c r="AL690" s="72"/>
      <c r="AM690" s="72"/>
      <c r="AN690" s="72"/>
      <c r="AO690" s="72"/>
    </row>
    <row r="691" spans="5:41" x14ac:dyDescent="0.25">
      <c r="E691" s="30"/>
      <c r="F691" s="30"/>
      <c r="G691" s="30"/>
      <c r="H691" s="30"/>
      <c r="L691" s="13"/>
      <c r="M691" s="72"/>
      <c r="N691" s="72"/>
      <c r="O691" s="70"/>
      <c r="P691" s="72"/>
      <c r="Q691" s="72"/>
      <c r="R691" s="72"/>
      <c r="S691" s="72"/>
      <c r="T691" s="72"/>
      <c r="U691" s="72"/>
      <c r="V691" s="72"/>
      <c r="W691" s="72"/>
      <c r="X691" s="72"/>
      <c r="Y691" s="72"/>
      <c r="Z691" s="72"/>
      <c r="AA691" s="72"/>
      <c r="AB691" s="72"/>
      <c r="AC691" s="72"/>
      <c r="AD691" s="72"/>
      <c r="AE691" s="72"/>
      <c r="AF691" s="72"/>
      <c r="AG691" s="72"/>
      <c r="AH691" s="72"/>
      <c r="AI691" s="72"/>
      <c r="AJ691" s="72"/>
      <c r="AK691" s="72"/>
      <c r="AL691" s="72"/>
      <c r="AM691" s="72"/>
      <c r="AN691" s="72"/>
      <c r="AO691" s="72"/>
    </row>
    <row r="692" spans="5:41" x14ac:dyDescent="0.25">
      <c r="E692" s="30"/>
      <c r="F692" s="30"/>
      <c r="G692" s="30"/>
      <c r="H692" s="30"/>
      <c r="L692" s="13"/>
      <c r="M692" s="72"/>
      <c r="N692" s="72"/>
      <c r="O692" s="70"/>
      <c r="P692" s="72"/>
      <c r="Q692" s="72"/>
      <c r="R692" s="72"/>
      <c r="S692" s="72"/>
      <c r="T692" s="72"/>
      <c r="U692" s="72"/>
      <c r="V692" s="72"/>
      <c r="W692" s="72"/>
      <c r="X692" s="72"/>
      <c r="Y692" s="72"/>
      <c r="Z692" s="72"/>
      <c r="AA692" s="72"/>
      <c r="AB692" s="72"/>
      <c r="AC692" s="72"/>
      <c r="AD692" s="72"/>
      <c r="AE692" s="72"/>
      <c r="AF692" s="72"/>
      <c r="AG692" s="72"/>
      <c r="AH692" s="72"/>
      <c r="AI692" s="72"/>
      <c r="AJ692" s="72"/>
      <c r="AK692" s="72"/>
      <c r="AL692" s="72"/>
      <c r="AM692" s="72"/>
      <c r="AN692" s="72"/>
      <c r="AO692" s="72"/>
    </row>
    <row r="693" spans="5:41" x14ac:dyDescent="0.25">
      <c r="E693" s="30"/>
      <c r="F693" s="30"/>
      <c r="G693" s="30"/>
      <c r="H693" s="30"/>
      <c r="L693" s="13"/>
      <c r="M693" s="72"/>
      <c r="N693" s="72"/>
      <c r="O693" s="70"/>
      <c r="P693" s="72"/>
      <c r="Q693" s="72"/>
      <c r="R693" s="72"/>
      <c r="S693" s="72"/>
      <c r="T693" s="72"/>
      <c r="U693" s="72"/>
      <c r="V693" s="72"/>
      <c r="W693" s="72"/>
      <c r="X693" s="72"/>
      <c r="Y693" s="72"/>
      <c r="Z693" s="72"/>
      <c r="AA693" s="72"/>
      <c r="AB693" s="72"/>
      <c r="AC693" s="72"/>
      <c r="AD693" s="72"/>
      <c r="AE693" s="72"/>
      <c r="AF693" s="72"/>
      <c r="AG693" s="72"/>
      <c r="AH693" s="72"/>
      <c r="AI693" s="72"/>
      <c r="AJ693" s="72"/>
      <c r="AK693" s="72"/>
      <c r="AL693" s="72"/>
      <c r="AM693" s="72"/>
      <c r="AN693" s="72"/>
      <c r="AO693" s="72"/>
    </row>
    <row r="694" spans="5:41" x14ac:dyDescent="0.25">
      <c r="E694" s="30"/>
      <c r="F694" s="30"/>
      <c r="G694" s="30"/>
      <c r="H694" s="30"/>
      <c r="L694" s="13"/>
      <c r="M694" s="72"/>
      <c r="N694" s="72"/>
      <c r="O694" s="70"/>
      <c r="P694" s="72"/>
      <c r="Q694" s="72"/>
      <c r="R694" s="72"/>
      <c r="S694" s="72"/>
      <c r="T694" s="72"/>
      <c r="U694" s="72"/>
      <c r="V694" s="72"/>
      <c r="W694" s="72"/>
      <c r="X694" s="72"/>
      <c r="Y694" s="72"/>
      <c r="Z694" s="72"/>
      <c r="AA694" s="72"/>
      <c r="AB694" s="72"/>
      <c r="AC694" s="72"/>
      <c r="AD694" s="72"/>
      <c r="AE694" s="72"/>
      <c r="AF694" s="72"/>
      <c r="AG694" s="72"/>
      <c r="AH694" s="72"/>
      <c r="AI694" s="72"/>
      <c r="AJ694" s="72"/>
      <c r="AK694" s="72"/>
      <c r="AL694" s="72"/>
      <c r="AM694" s="72"/>
      <c r="AN694" s="72"/>
      <c r="AO694" s="72"/>
    </row>
    <row r="695" spans="5:41" x14ac:dyDescent="0.25">
      <c r="E695" s="30"/>
      <c r="F695" s="30"/>
      <c r="G695" s="30"/>
      <c r="H695" s="30"/>
      <c r="L695" s="13"/>
      <c r="M695" s="72"/>
      <c r="N695" s="72"/>
      <c r="O695" s="70"/>
      <c r="P695" s="72"/>
      <c r="Q695" s="72"/>
      <c r="R695" s="72"/>
      <c r="S695" s="72"/>
      <c r="T695" s="72"/>
      <c r="U695" s="72"/>
      <c r="V695" s="72"/>
      <c r="W695" s="72"/>
      <c r="X695" s="72"/>
      <c r="Y695" s="72"/>
      <c r="Z695" s="72"/>
      <c r="AA695" s="72"/>
      <c r="AB695" s="72"/>
      <c r="AC695" s="72"/>
      <c r="AD695" s="72"/>
      <c r="AE695" s="72"/>
      <c r="AF695" s="72"/>
      <c r="AG695" s="72"/>
      <c r="AH695" s="72"/>
      <c r="AI695" s="72"/>
      <c r="AJ695" s="72"/>
      <c r="AK695" s="72"/>
      <c r="AL695" s="72"/>
      <c r="AM695" s="72"/>
      <c r="AN695" s="72"/>
      <c r="AO695" s="72"/>
    </row>
    <row r="696" spans="5:41" x14ac:dyDescent="0.25">
      <c r="E696" s="30"/>
      <c r="F696" s="30"/>
      <c r="G696" s="30"/>
      <c r="H696" s="30"/>
      <c r="L696" s="13"/>
      <c r="M696" s="72"/>
      <c r="N696" s="72"/>
      <c r="O696" s="70"/>
      <c r="P696" s="72"/>
      <c r="Q696" s="72"/>
      <c r="R696" s="72"/>
      <c r="S696" s="72"/>
      <c r="T696" s="72"/>
      <c r="U696" s="72"/>
      <c r="V696" s="72"/>
      <c r="W696" s="72"/>
      <c r="X696" s="72"/>
      <c r="Y696" s="72"/>
      <c r="Z696" s="72"/>
      <c r="AA696" s="72"/>
      <c r="AB696" s="72"/>
      <c r="AC696" s="72"/>
      <c r="AD696" s="72"/>
      <c r="AE696" s="72"/>
      <c r="AF696" s="72"/>
      <c r="AG696" s="72"/>
      <c r="AH696" s="72"/>
      <c r="AI696" s="72"/>
      <c r="AJ696" s="72"/>
      <c r="AK696" s="72"/>
      <c r="AL696" s="72"/>
      <c r="AM696" s="72"/>
      <c r="AN696" s="72"/>
      <c r="AO696" s="72"/>
    </row>
    <row r="697" spans="5:41" x14ac:dyDescent="0.25">
      <c r="E697" s="30"/>
      <c r="F697" s="30"/>
      <c r="G697" s="30"/>
      <c r="H697" s="30"/>
      <c r="L697" s="13"/>
      <c r="M697" s="72"/>
      <c r="N697" s="72"/>
      <c r="O697" s="70"/>
      <c r="P697" s="72"/>
      <c r="Q697" s="72"/>
      <c r="R697" s="72"/>
      <c r="S697" s="72"/>
      <c r="T697" s="72"/>
      <c r="U697" s="72"/>
      <c r="V697" s="72"/>
      <c r="W697" s="72"/>
      <c r="X697" s="72"/>
      <c r="Y697" s="72"/>
      <c r="Z697" s="72"/>
      <c r="AA697" s="72"/>
      <c r="AB697" s="72"/>
      <c r="AC697" s="72"/>
      <c r="AD697" s="72"/>
      <c r="AE697" s="72"/>
      <c r="AF697" s="72"/>
      <c r="AG697" s="72"/>
      <c r="AH697" s="72"/>
      <c r="AI697" s="72"/>
      <c r="AJ697" s="72"/>
      <c r="AK697" s="72"/>
      <c r="AL697" s="72"/>
      <c r="AM697" s="72"/>
      <c r="AN697" s="72"/>
      <c r="AO697" s="72"/>
    </row>
    <row r="698" spans="5:41" x14ac:dyDescent="0.25">
      <c r="E698" s="30"/>
      <c r="F698" s="30"/>
      <c r="G698" s="30"/>
      <c r="H698" s="30"/>
      <c r="L698" s="13"/>
      <c r="M698" s="72"/>
      <c r="N698" s="72"/>
      <c r="O698" s="70"/>
      <c r="P698" s="72"/>
      <c r="Q698" s="72"/>
      <c r="R698" s="72"/>
      <c r="S698" s="72"/>
      <c r="T698" s="72"/>
      <c r="U698" s="72"/>
      <c r="V698" s="72"/>
      <c r="W698" s="72"/>
      <c r="X698" s="72"/>
      <c r="Y698" s="72"/>
      <c r="Z698" s="72"/>
      <c r="AA698" s="72"/>
      <c r="AB698" s="72"/>
      <c r="AC698" s="72"/>
      <c r="AD698" s="72"/>
      <c r="AE698" s="72"/>
      <c r="AF698" s="72"/>
      <c r="AG698" s="72"/>
      <c r="AH698" s="72"/>
      <c r="AI698" s="72"/>
      <c r="AJ698" s="72"/>
      <c r="AK698" s="72"/>
      <c r="AL698" s="72"/>
      <c r="AM698" s="72"/>
      <c r="AN698" s="72"/>
      <c r="AO698" s="72"/>
    </row>
    <row r="699" spans="5:41" x14ac:dyDescent="0.25">
      <c r="E699" s="30"/>
      <c r="F699" s="30"/>
      <c r="G699" s="30"/>
      <c r="H699" s="30"/>
      <c r="L699" s="13"/>
      <c r="M699" s="72"/>
      <c r="N699" s="72"/>
      <c r="O699" s="70"/>
      <c r="P699" s="72"/>
      <c r="Q699" s="72"/>
      <c r="R699" s="72"/>
      <c r="S699" s="72"/>
      <c r="T699" s="72"/>
      <c r="U699" s="72"/>
      <c r="V699" s="72"/>
      <c r="W699" s="72"/>
      <c r="X699" s="72"/>
      <c r="Y699" s="72"/>
      <c r="Z699" s="72"/>
      <c r="AA699" s="72"/>
      <c r="AB699" s="72"/>
      <c r="AC699" s="72"/>
      <c r="AD699" s="72"/>
      <c r="AE699" s="72"/>
      <c r="AF699" s="72"/>
      <c r="AG699" s="72"/>
      <c r="AH699" s="72"/>
      <c r="AI699" s="72"/>
      <c r="AJ699" s="72"/>
      <c r="AK699" s="72"/>
      <c r="AL699" s="72"/>
      <c r="AM699" s="72"/>
      <c r="AN699" s="72"/>
      <c r="AO699" s="72"/>
    </row>
    <row r="700" spans="5:41" x14ac:dyDescent="0.25">
      <c r="E700" s="30"/>
      <c r="F700" s="30"/>
      <c r="G700" s="30"/>
      <c r="H700" s="30"/>
      <c r="L700" s="13"/>
      <c r="M700" s="72"/>
      <c r="N700" s="72"/>
      <c r="O700" s="70"/>
      <c r="P700" s="72"/>
      <c r="Q700" s="72"/>
      <c r="R700" s="72"/>
      <c r="S700" s="72"/>
      <c r="T700" s="72"/>
      <c r="U700" s="72"/>
      <c r="V700" s="72"/>
      <c r="W700" s="72"/>
      <c r="X700" s="72"/>
      <c r="Y700" s="72"/>
      <c r="Z700" s="72"/>
      <c r="AA700" s="72"/>
      <c r="AB700" s="72"/>
      <c r="AC700" s="72"/>
      <c r="AD700" s="72"/>
      <c r="AE700" s="72"/>
      <c r="AF700" s="72"/>
      <c r="AG700" s="72"/>
      <c r="AH700" s="72"/>
      <c r="AI700" s="72"/>
      <c r="AJ700" s="72"/>
      <c r="AK700" s="72"/>
      <c r="AL700" s="72"/>
      <c r="AM700" s="72"/>
      <c r="AN700" s="72"/>
      <c r="AO700" s="72"/>
    </row>
    <row r="701" spans="5:41" x14ac:dyDescent="0.25">
      <c r="E701" s="30"/>
      <c r="F701" s="30"/>
      <c r="G701" s="30"/>
      <c r="H701" s="30"/>
      <c r="L701" s="13"/>
      <c r="M701" s="72"/>
      <c r="N701" s="72"/>
      <c r="O701" s="70"/>
      <c r="P701" s="72"/>
      <c r="Q701" s="72"/>
      <c r="R701" s="72"/>
      <c r="S701" s="72"/>
      <c r="T701" s="72"/>
      <c r="U701" s="72"/>
      <c r="V701" s="72"/>
      <c r="W701" s="72"/>
      <c r="X701" s="72"/>
      <c r="Y701" s="72"/>
      <c r="Z701" s="72"/>
      <c r="AA701" s="72"/>
      <c r="AB701" s="72"/>
      <c r="AC701" s="72"/>
      <c r="AD701" s="72"/>
      <c r="AE701" s="72"/>
      <c r="AF701" s="72"/>
      <c r="AG701" s="72"/>
      <c r="AH701" s="72"/>
      <c r="AI701" s="72"/>
      <c r="AJ701" s="72"/>
      <c r="AK701" s="72"/>
      <c r="AL701" s="72"/>
      <c r="AM701" s="72"/>
      <c r="AN701" s="72"/>
      <c r="AO701" s="72"/>
    </row>
    <row r="702" spans="5:41" x14ac:dyDescent="0.25">
      <c r="E702" s="30"/>
      <c r="F702" s="30"/>
      <c r="G702" s="30"/>
      <c r="H702" s="30"/>
      <c r="L702" s="13"/>
      <c r="M702" s="72"/>
      <c r="N702" s="72"/>
      <c r="O702" s="70"/>
      <c r="P702" s="72"/>
      <c r="Q702" s="72"/>
      <c r="R702" s="72"/>
      <c r="S702" s="72"/>
      <c r="T702" s="72"/>
      <c r="U702" s="72"/>
      <c r="V702" s="72"/>
      <c r="W702" s="72"/>
      <c r="X702" s="72"/>
      <c r="Y702" s="72"/>
      <c r="Z702" s="72"/>
      <c r="AA702" s="72"/>
      <c r="AB702" s="72"/>
      <c r="AC702" s="72"/>
      <c r="AD702" s="72"/>
      <c r="AE702" s="72"/>
      <c r="AF702" s="72"/>
      <c r="AG702" s="72"/>
      <c r="AH702" s="72"/>
      <c r="AI702" s="72"/>
      <c r="AJ702" s="72"/>
      <c r="AK702" s="72"/>
      <c r="AL702" s="72"/>
      <c r="AM702" s="72"/>
      <c r="AN702" s="72"/>
      <c r="AO702" s="72"/>
    </row>
    <row r="703" spans="5:41" x14ac:dyDescent="0.25">
      <c r="E703" s="30"/>
      <c r="F703" s="30"/>
      <c r="G703" s="30"/>
      <c r="H703" s="30"/>
      <c r="L703" s="13"/>
      <c r="M703" s="72"/>
      <c r="N703" s="72"/>
      <c r="O703" s="70"/>
      <c r="P703" s="72"/>
      <c r="Q703" s="72"/>
      <c r="R703" s="72"/>
      <c r="S703" s="72"/>
      <c r="T703" s="72"/>
      <c r="U703" s="72"/>
      <c r="V703" s="72"/>
      <c r="W703" s="72"/>
      <c r="X703" s="72"/>
      <c r="Y703" s="72"/>
      <c r="Z703" s="72"/>
      <c r="AA703" s="72"/>
      <c r="AB703" s="72"/>
      <c r="AC703" s="72"/>
      <c r="AD703" s="72"/>
      <c r="AE703" s="72"/>
      <c r="AF703" s="72"/>
      <c r="AG703" s="72"/>
      <c r="AH703" s="72"/>
      <c r="AI703" s="72"/>
      <c r="AJ703" s="72"/>
      <c r="AK703" s="72"/>
      <c r="AL703" s="72"/>
      <c r="AM703" s="72"/>
      <c r="AN703" s="72"/>
      <c r="AO703" s="72"/>
    </row>
    <row r="704" spans="5:41" x14ac:dyDescent="0.25">
      <c r="E704" s="30"/>
      <c r="F704" s="30"/>
      <c r="G704" s="30"/>
      <c r="H704" s="30"/>
      <c r="L704" s="13"/>
      <c r="M704" s="72"/>
      <c r="N704" s="72"/>
      <c r="O704" s="70"/>
      <c r="P704" s="72"/>
      <c r="Q704" s="72"/>
      <c r="R704" s="72"/>
      <c r="S704" s="72"/>
      <c r="T704" s="72"/>
      <c r="U704" s="72"/>
      <c r="V704" s="72"/>
      <c r="W704" s="72"/>
      <c r="X704" s="72"/>
      <c r="Y704" s="72"/>
      <c r="Z704" s="72"/>
      <c r="AA704" s="72"/>
      <c r="AB704" s="72"/>
      <c r="AC704" s="72"/>
      <c r="AD704" s="72"/>
      <c r="AE704" s="72"/>
      <c r="AF704" s="72"/>
      <c r="AG704" s="72"/>
      <c r="AH704" s="72"/>
      <c r="AI704" s="72"/>
      <c r="AJ704" s="72"/>
      <c r="AK704" s="72"/>
      <c r="AL704" s="72"/>
      <c r="AM704" s="72"/>
      <c r="AN704" s="72"/>
      <c r="AO704" s="72"/>
    </row>
    <row r="705" spans="5:41" x14ac:dyDescent="0.25">
      <c r="E705" s="30"/>
      <c r="F705" s="30"/>
      <c r="G705" s="30"/>
      <c r="H705" s="30"/>
      <c r="L705" s="13"/>
      <c r="M705" s="72"/>
      <c r="N705" s="72"/>
      <c r="O705" s="70"/>
      <c r="P705" s="72"/>
      <c r="Q705" s="72"/>
      <c r="R705" s="72"/>
      <c r="S705" s="72"/>
      <c r="T705" s="72"/>
      <c r="U705" s="72"/>
      <c r="V705" s="72"/>
      <c r="W705" s="72"/>
      <c r="X705" s="72"/>
      <c r="Y705" s="72"/>
      <c r="Z705" s="72"/>
      <c r="AA705" s="72"/>
      <c r="AB705" s="72"/>
      <c r="AC705" s="72"/>
      <c r="AD705" s="72"/>
      <c r="AE705" s="72"/>
      <c r="AF705" s="72"/>
      <c r="AG705" s="72"/>
      <c r="AH705" s="72"/>
      <c r="AI705" s="72"/>
      <c r="AJ705" s="72"/>
      <c r="AK705" s="72"/>
      <c r="AL705" s="72"/>
      <c r="AM705" s="72"/>
      <c r="AN705" s="72"/>
      <c r="AO705" s="72"/>
    </row>
    <row r="706" spans="5:41" x14ac:dyDescent="0.25">
      <c r="E706" s="30"/>
      <c r="F706" s="30"/>
      <c r="G706" s="30"/>
      <c r="H706" s="30"/>
      <c r="L706" s="13"/>
      <c r="M706" s="72"/>
      <c r="N706" s="72"/>
      <c r="O706" s="70"/>
      <c r="P706" s="72"/>
      <c r="Q706" s="72"/>
      <c r="R706" s="72"/>
      <c r="S706" s="72"/>
      <c r="T706" s="72"/>
      <c r="U706" s="72"/>
      <c r="V706" s="72"/>
      <c r="W706" s="72"/>
      <c r="X706" s="72"/>
      <c r="Y706" s="72"/>
      <c r="Z706" s="72"/>
      <c r="AA706" s="72"/>
      <c r="AB706" s="72"/>
      <c r="AC706" s="72"/>
      <c r="AD706" s="72"/>
      <c r="AE706" s="72"/>
      <c r="AF706" s="72"/>
      <c r="AG706" s="72"/>
      <c r="AH706" s="72"/>
      <c r="AI706" s="72"/>
      <c r="AJ706" s="72"/>
      <c r="AK706" s="72"/>
      <c r="AL706" s="72"/>
      <c r="AM706" s="72"/>
      <c r="AN706" s="72"/>
      <c r="AO706" s="72"/>
    </row>
    <row r="707" spans="5:41" x14ac:dyDescent="0.25">
      <c r="E707" s="30"/>
      <c r="F707" s="30"/>
      <c r="G707" s="30"/>
      <c r="H707" s="30"/>
      <c r="L707" s="13"/>
      <c r="M707" s="72"/>
      <c r="N707" s="72"/>
      <c r="O707" s="70"/>
      <c r="P707" s="72"/>
      <c r="Q707" s="72"/>
      <c r="R707" s="72"/>
      <c r="S707" s="72"/>
      <c r="T707" s="72"/>
      <c r="U707" s="72"/>
      <c r="V707" s="72"/>
      <c r="W707" s="72"/>
      <c r="X707" s="72"/>
      <c r="Y707" s="72"/>
      <c r="Z707" s="72"/>
      <c r="AA707" s="72"/>
      <c r="AB707" s="72"/>
      <c r="AC707" s="72"/>
      <c r="AD707" s="72"/>
      <c r="AE707" s="72"/>
      <c r="AF707" s="72"/>
      <c r="AG707" s="72"/>
      <c r="AH707" s="72"/>
      <c r="AI707" s="72"/>
      <c r="AJ707" s="72"/>
      <c r="AK707" s="72"/>
      <c r="AL707" s="72"/>
      <c r="AM707" s="72"/>
      <c r="AN707" s="72"/>
      <c r="AO707" s="72"/>
    </row>
    <row r="708" spans="5:41" x14ac:dyDescent="0.25">
      <c r="E708" s="30"/>
      <c r="F708" s="30"/>
      <c r="G708" s="30"/>
      <c r="H708" s="30"/>
      <c r="L708" s="13"/>
      <c r="M708" s="72"/>
      <c r="N708" s="72"/>
      <c r="O708" s="70"/>
      <c r="P708" s="72"/>
      <c r="Q708" s="72"/>
      <c r="R708" s="72"/>
      <c r="S708" s="72"/>
      <c r="T708" s="72"/>
      <c r="U708" s="72"/>
      <c r="V708" s="72"/>
      <c r="W708" s="72"/>
      <c r="X708" s="72"/>
      <c r="Y708" s="72"/>
      <c r="Z708" s="72"/>
      <c r="AA708" s="72"/>
      <c r="AB708" s="72"/>
      <c r="AC708" s="72"/>
      <c r="AD708" s="72"/>
      <c r="AE708" s="72"/>
      <c r="AF708" s="72"/>
      <c r="AG708" s="72"/>
      <c r="AH708" s="72"/>
      <c r="AI708" s="72"/>
      <c r="AJ708" s="72"/>
      <c r="AK708" s="72"/>
      <c r="AL708" s="72"/>
      <c r="AM708" s="72"/>
      <c r="AN708" s="72"/>
      <c r="AO708" s="72"/>
    </row>
    <row r="709" spans="5:41" x14ac:dyDescent="0.25">
      <c r="E709" s="30"/>
      <c r="F709" s="30"/>
      <c r="G709" s="30"/>
      <c r="H709" s="30"/>
      <c r="L709" s="13"/>
      <c r="M709" s="72"/>
      <c r="N709" s="72"/>
      <c r="O709" s="70"/>
      <c r="P709" s="72"/>
      <c r="Q709" s="72"/>
      <c r="R709" s="72"/>
      <c r="S709" s="72"/>
      <c r="T709" s="72"/>
      <c r="U709" s="72"/>
      <c r="V709" s="72"/>
      <c r="W709" s="72"/>
      <c r="X709" s="72"/>
      <c r="Y709" s="72"/>
      <c r="Z709" s="72"/>
      <c r="AA709" s="72"/>
      <c r="AB709" s="72"/>
      <c r="AC709" s="72"/>
      <c r="AD709" s="72"/>
      <c r="AE709" s="72"/>
      <c r="AF709" s="72"/>
      <c r="AG709" s="72"/>
      <c r="AH709" s="72"/>
      <c r="AI709" s="72"/>
      <c r="AJ709" s="72"/>
      <c r="AK709" s="72"/>
      <c r="AL709" s="72"/>
      <c r="AM709" s="72"/>
      <c r="AN709" s="72"/>
      <c r="AO709" s="72"/>
    </row>
    <row r="710" spans="5:41" x14ac:dyDescent="0.25">
      <c r="E710" s="30"/>
      <c r="F710" s="30"/>
      <c r="G710" s="30"/>
      <c r="H710" s="30"/>
      <c r="L710" s="13"/>
      <c r="M710" s="72"/>
      <c r="N710" s="72"/>
      <c r="O710" s="70"/>
      <c r="P710" s="72"/>
      <c r="Q710" s="72"/>
      <c r="R710" s="72"/>
      <c r="S710" s="72"/>
      <c r="T710" s="72"/>
      <c r="U710" s="72"/>
      <c r="V710" s="72"/>
      <c r="W710" s="72"/>
      <c r="X710" s="72"/>
      <c r="Y710" s="72"/>
      <c r="Z710" s="72"/>
      <c r="AA710" s="72"/>
      <c r="AB710" s="72"/>
      <c r="AC710" s="72"/>
      <c r="AD710" s="72"/>
      <c r="AE710" s="72"/>
      <c r="AF710" s="72"/>
      <c r="AG710" s="72"/>
      <c r="AH710" s="72"/>
      <c r="AI710" s="72"/>
      <c r="AJ710" s="72"/>
      <c r="AK710" s="72"/>
      <c r="AL710" s="72"/>
      <c r="AM710" s="72"/>
      <c r="AN710" s="72"/>
      <c r="AO710" s="72"/>
    </row>
    <row r="711" spans="5:41" x14ac:dyDescent="0.25">
      <c r="E711" s="30"/>
      <c r="F711" s="30"/>
      <c r="G711" s="30"/>
      <c r="H711" s="30"/>
      <c r="L711" s="13"/>
      <c r="M711" s="72"/>
      <c r="N711" s="72"/>
      <c r="O711" s="70"/>
      <c r="P711" s="72"/>
      <c r="Q711" s="72"/>
      <c r="R711" s="72"/>
      <c r="S711" s="72"/>
      <c r="T711" s="72"/>
      <c r="U711" s="72"/>
      <c r="V711" s="72"/>
      <c r="W711" s="72"/>
      <c r="X711" s="72"/>
      <c r="Y711" s="72"/>
      <c r="Z711" s="72"/>
      <c r="AA711" s="72"/>
      <c r="AB711" s="72"/>
      <c r="AC711" s="72"/>
      <c r="AD711" s="72"/>
      <c r="AE711" s="72"/>
      <c r="AF711" s="72"/>
      <c r="AG711" s="72"/>
      <c r="AH711" s="72"/>
      <c r="AI711" s="72"/>
      <c r="AJ711" s="72"/>
      <c r="AK711" s="72"/>
      <c r="AL711" s="72"/>
      <c r="AM711" s="72"/>
      <c r="AN711" s="72"/>
      <c r="AO711" s="72"/>
    </row>
    <row r="712" spans="5:41" x14ac:dyDescent="0.25">
      <c r="E712" s="30"/>
      <c r="F712" s="30"/>
      <c r="G712" s="30"/>
      <c r="H712" s="30"/>
      <c r="L712" s="13"/>
      <c r="M712" s="72"/>
      <c r="N712" s="72"/>
      <c r="O712" s="70"/>
      <c r="P712" s="72"/>
      <c r="Q712" s="72"/>
      <c r="R712" s="72"/>
      <c r="S712" s="72"/>
      <c r="T712" s="72"/>
      <c r="U712" s="72"/>
      <c r="V712" s="72"/>
      <c r="W712" s="72"/>
      <c r="X712" s="72"/>
      <c r="Y712" s="72"/>
      <c r="Z712" s="72"/>
      <c r="AA712" s="72"/>
      <c r="AB712" s="72"/>
      <c r="AC712" s="72"/>
      <c r="AD712" s="72"/>
      <c r="AE712" s="72"/>
      <c r="AF712" s="72"/>
      <c r="AG712" s="72"/>
      <c r="AH712" s="72"/>
      <c r="AI712" s="72"/>
      <c r="AJ712" s="72"/>
      <c r="AK712" s="72"/>
      <c r="AL712" s="72"/>
      <c r="AM712" s="72"/>
      <c r="AN712" s="72"/>
      <c r="AO712" s="72"/>
    </row>
    <row r="713" spans="5:41" x14ac:dyDescent="0.25">
      <c r="E713" s="30"/>
      <c r="F713" s="30"/>
      <c r="G713" s="30"/>
      <c r="H713" s="30"/>
      <c r="L713" s="13"/>
      <c r="M713" s="72"/>
      <c r="N713" s="72"/>
      <c r="O713" s="70"/>
      <c r="P713" s="72"/>
      <c r="Q713" s="72"/>
      <c r="R713" s="72"/>
      <c r="S713" s="72"/>
      <c r="T713" s="72"/>
      <c r="U713" s="72"/>
      <c r="V713" s="72"/>
      <c r="W713" s="72"/>
      <c r="X713" s="72"/>
      <c r="Y713" s="72"/>
      <c r="Z713" s="72"/>
      <c r="AA713" s="72"/>
      <c r="AB713" s="72"/>
      <c r="AC713" s="72"/>
      <c r="AD713" s="72"/>
      <c r="AE713" s="72"/>
      <c r="AF713" s="72"/>
      <c r="AG713" s="72"/>
      <c r="AH713" s="72"/>
      <c r="AI713" s="72"/>
      <c r="AJ713" s="72"/>
      <c r="AK713" s="72"/>
      <c r="AL713" s="72"/>
      <c r="AM713" s="72"/>
      <c r="AN713" s="72"/>
      <c r="AO713" s="72"/>
    </row>
    <row r="714" spans="5:41" x14ac:dyDescent="0.25">
      <c r="E714" s="30"/>
      <c r="F714" s="30"/>
      <c r="G714" s="30"/>
      <c r="H714" s="30"/>
      <c r="L714" s="13"/>
      <c r="M714" s="72"/>
      <c r="N714" s="72"/>
      <c r="O714" s="70"/>
      <c r="P714" s="72"/>
      <c r="Q714" s="72"/>
      <c r="R714" s="72"/>
      <c r="S714" s="72"/>
      <c r="T714" s="72"/>
      <c r="U714" s="72"/>
      <c r="V714" s="72"/>
      <c r="W714" s="72"/>
      <c r="X714" s="72"/>
      <c r="Y714" s="72"/>
      <c r="Z714" s="72"/>
      <c r="AA714" s="72"/>
      <c r="AB714" s="72"/>
      <c r="AC714" s="72"/>
      <c r="AD714" s="72"/>
      <c r="AE714" s="72"/>
      <c r="AF714" s="72"/>
      <c r="AG714" s="72"/>
      <c r="AH714" s="72"/>
      <c r="AI714" s="72"/>
      <c r="AJ714" s="72"/>
      <c r="AK714" s="72"/>
      <c r="AL714" s="72"/>
      <c r="AM714" s="72"/>
      <c r="AN714" s="72"/>
      <c r="AO714" s="72"/>
    </row>
    <row r="715" spans="5:41" x14ac:dyDescent="0.25">
      <c r="E715" s="30"/>
      <c r="F715" s="30"/>
      <c r="G715" s="30"/>
      <c r="H715" s="30"/>
      <c r="L715" s="13"/>
      <c r="M715" s="72"/>
      <c r="N715" s="72"/>
      <c r="O715" s="70"/>
      <c r="P715" s="72"/>
      <c r="Q715" s="72"/>
      <c r="R715" s="72"/>
      <c r="S715" s="72"/>
      <c r="T715" s="72"/>
      <c r="U715" s="72"/>
      <c r="V715" s="72"/>
      <c r="W715" s="72"/>
      <c r="X715" s="72"/>
      <c r="Y715" s="72"/>
      <c r="Z715" s="72"/>
      <c r="AA715" s="72"/>
      <c r="AB715" s="72"/>
      <c r="AC715" s="72"/>
      <c r="AD715" s="72"/>
      <c r="AE715" s="72"/>
      <c r="AF715" s="72"/>
      <c r="AG715" s="72"/>
      <c r="AH715" s="72"/>
      <c r="AI715" s="72"/>
      <c r="AJ715" s="72"/>
      <c r="AK715" s="72"/>
      <c r="AL715" s="72"/>
      <c r="AM715" s="72"/>
      <c r="AN715" s="72"/>
      <c r="AO715" s="72"/>
    </row>
    <row r="716" spans="5:41" x14ac:dyDescent="0.25">
      <c r="E716" s="30"/>
      <c r="F716" s="30"/>
      <c r="G716" s="30"/>
      <c r="H716" s="30"/>
      <c r="L716" s="13"/>
      <c r="M716" s="72"/>
      <c r="N716" s="72"/>
      <c r="O716" s="70"/>
      <c r="P716" s="72"/>
      <c r="Q716" s="72"/>
      <c r="R716" s="72"/>
      <c r="S716" s="72"/>
      <c r="T716" s="72"/>
      <c r="U716" s="72"/>
      <c r="V716" s="72"/>
      <c r="W716" s="72"/>
      <c r="X716" s="72"/>
      <c r="Y716" s="72"/>
      <c r="Z716" s="72"/>
      <c r="AA716" s="72"/>
      <c r="AB716" s="72"/>
      <c r="AC716" s="72"/>
      <c r="AD716" s="72"/>
      <c r="AE716" s="72"/>
      <c r="AF716" s="72"/>
      <c r="AG716" s="72"/>
      <c r="AH716" s="72"/>
      <c r="AI716" s="72"/>
      <c r="AJ716" s="72"/>
      <c r="AK716" s="72"/>
      <c r="AL716" s="72"/>
      <c r="AM716" s="72"/>
      <c r="AN716" s="72"/>
      <c r="AO716" s="72"/>
    </row>
    <row r="717" spans="5:41" x14ac:dyDescent="0.25">
      <c r="E717" s="30"/>
      <c r="F717" s="30"/>
      <c r="G717" s="30"/>
      <c r="H717" s="30"/>
      <c r="L717" s="13"/>
      <c r="M717" s="72"/>
      <c r="N717" s="72"/>
      <c r="O717" s="70"/>
      <c r="P717" s="72"/>
      <c r="Q717" s="72"/>
      <c r="R717" s="72"/>
      <c r="S717" s="72"/>
      <c r="T717" s="72"/>
      <c r="U717" s="72"/>
      <c r="V717" s="72"/>
      <c r="W717" s="72"/>
      <c r="X717" s="72"/>
      <c r="Y717" s="72"/>
      <c r="Z717" s="72"/>
      <c r="AA717" s="72"/>
      <c r="AB717" s="72"/>
      <c r="AC717" s="72"/>
      <c r="AD717" s="72"/>
      <c r="AE717" s="72"/>
      <c r="AF717" s="72"/>
      <c r="AG717" s="72"/>
      <c r="AH717" s="72"/>
      <c r="AI717" s="72"/>
      <c r="AJ717" s="72"/>
      <c r="AK717" s="72"/>
      <c r="AL717" s="72"/>
      <c r="AM717" s="72"/>
      <c r="AN717" s="72"/>
      <c r="AO717" s="72"/>
    </row>
    <row r="718" spans="5:41" x14ac:dyDescent="0.25">
      <c r="E718" s="30"/>
      <c r="F718" s="30"/>
      <c r="G718" s="30"/>
      <c r="H718" s="30"/>
      <c r="L718" s="13"/>
      <c r="M718" s="72"/>
      <c r="N718" s="72"/>
      <c r="O718" s="70"/>
      <c r="P718" s="72"/>
      <c r="Q718" s="72"/>
      <c r="R718" s="72"/>
      <c r="S718" s="72"/>
      <c r="T718" s="72"/>
      <c r="U718" s="72"/>
      <c r="V718" s="72"/>
      <c r="W718" s="72"/>
      <c r="X718" s="72"/>
      <c r="Y718" s="72"/>
      <c r="Z718" s="72"/>
      <c r="AA718" s="72"/>
      <c r="AB718" s="72"/>
      <c r="AC718" s="72"/>
      <c r="AD718" s="72"/>
      <c r="AE718" s="72"/>
      <c r="AF718" s="72"/>
      <c r="AG718" s="72"/>
      <c r="AH718" s="72"/>
      <c r="AI718" s="72"/>
      <c r="AJ718" s="72"/>
      <c r="AK718" s="72"/>
      <c r="AL718" s="72"/>
      <c r="AM718" s="72"/>
      <c r="AN718" s="72"/>
      <c r="AO718" s="72"/>
    </row>
    <row r="719" spans="5:41" x14ac:dyDescent="0.25">
      <c r="E719" s="30"/>
      <c r="F719" s="30"/>
      <c r="G719" s="30"/>
      <c r="H719" s="30"/>
      <c r="L719" s="13"/>
      <c r="M719" s="72"/>
      <c r="N719" s="72"/>
      <c r="O719" s="70"/>
      <c r="P719" s="72"/>
      <c r="Q719" s="72"/>
      <c r="R719" s="72"/>
      <c r="S719" s="72"/>
      <c r="T719" s="72"/>
      <c r="U719" s="72"/>
      <c r="V719" s="72"/>
      <c r="W719" s="72"/>
      <c r="X719" s="72"/>
      <c r="Y719" s="72"/>
      <c r="Z719" s="72"/>
      <c r="AA719" s="72"/>
      <c r="AB719" s="72"/>
      <c r="AC719" s="72"/>
      <c r="AD719" s="72"/>
      <c r="AE719" s="72"/>
      <c r="AF719" s="72"/>
      <c r="AG719" s="72"/>
      <c r="AH719" s="72"/>
      <c r="AI719" s="72"/>
      <c r="AJ719" s="72"/>
      <c r="AK719" s="72"/>
      <c r="AL719" s="72"/>
      <c r="AM719" s="72"/>
      <c r="AN719" s="72"/>
      <c r="AO719" s="72"/>
    </row>
    <row r="720" spans="5:41" x14ac:dyDescent="0.25">
      <c r="E720" s="30"/>
      <c r="F720" s="30"/>
      <c r="G720" s="30"/>
      <c r="H720" s="30"/>
      <c r="L720" s="13"/>
      <c r="M720" s="72"/>
      <c r="N720" s="72"/>
      <c r="O720" s="70"/>
      <c r="P720" s="72"/>
      <c r="Q720" s="72"/>
      <c r="R720" s="72"/>
      <c r="S720" s="72"/>
      <c r="T720" s="72"/>
      <c r="U720" s="72"/>
      <c r="V720" s="72"/>
      <c r="W720" s="72"/>
      <c r="X720" s="72"/>
      <c r="Y720" s="72"/>
      <c r="Z720" s="72"/>
      <c r="AA720" s="72"/>
      <c r="AB720" s="72"/>
      <c r="AC720" s="72"/>
      <c r="AD720" s="72"/>
      <c r="AE720" s="72"/>
      <c r="AF720" s="72"/>
      <c r="AG720" s="72"/>
      <c r="AH720" s="72"/>
      <c r="AI720" s="72"/>
      <c r="AJ720" s="72"/>
      <c r="AK720" s="72"/>
      <c r="AL720" s="72"/>
      <c r="AM720" s="72"/>
      <c r="AN720" s="72"/>
      <c r="AO720" s="72"/>
    </row>
    <row r="721" spans="5:41" x14ac:dyDescent="0.25">
      <c r="E721" s="30"/>
      <c r="F721" s="30"/>
      <c r="G721" s="30"/>
      <c r="H721" s="30"/>
      <c r="L721" s="13"/>
      <c r="M721" s="72"/>
      <c r="N721" s="72"/>
      <c r="O721" s="70"/>
      <c r="P721" s="72"/>
      <c r="Q721" s="72"/>
      <c r="R721" s="72"/>
      <c r="S721" s="72"/>
      <c r="T721" s="72"/>
      <c r="U721" s="72"/>
      <c r="V721" s="72"/>
      <c r="W721" s="72"/>
      <c r="X721" s="72"/>
      <c r="Y721" s="72"/>
      <c r="Z721" s="72"/>
      <c r="AA721" s="72"/>
      <c r="AB721" s="72"/>
      <c r="AC721" s="72"/>
      <c r="AD721" s="72"/>
      <c r="AE721" s="72"/>
      <c r="AF721" s="72"/>
      <c r="AG721" s="72"/>
      <c r="AH721" s="72"/>
      <c r="AI721" s="72"/>
      <c r="AJ721" s="72"/>
      <c r="AK721" s="72"/>
      <c r="AL721" s="72"/>
      <c r="AM721" s="72"/>
      <c r="AN721" s="72"/>
      <c r="AO721" s="72"/>
    </row>
    <row r="722" spans="5:41" x14ac:dyDescent="0.25">
      <c r="E722" s="30"/>
      <c r="F722" s="30"/>
      <c r="G722" s="30"/>
      <c r="H722" s="30"/>
      <c r="L722" s="13"/>
      <c r="M722" s="72"/>
      <c r="N722" s="72"/>
      <c r="O722" s="70"/>
      <c r="P722" s="72"/>
      <c r="Q722" s="72"/>
      <c r="R722" s="72"/>
      <c r="S722" s="72"/>
      <c r="T722" s="72"/>
      <c r="U722" s="72"/>
      <c r="V722" s="72"/>
      <c r="W722" s="72"/>
      <c r="X722" s="72"/>
      <c r="Y722" s="72"/>
      <c r="Z722" s="72"/>
      <c r="AA722" s="72"/>
      <c r="AB722" s="72"/>
      <c r="AC722" s="72"/>
      <c r="AD722" s="72"/>
      <c r="AE722" s="72"/>
      <c r="AF722" s="72"/>
      <c r="AG722" s="72"/>
      <c r="AH722" s="72"/>
      <c r="AI722" s="72"/>
      <c r="AJ722" s="72"/>
      <c r="AK722" s="72"/>
      <c r="AL722" s="72"/>
      <c r="AM722" s="72"/>
      <c r="AN722" s="72"/>
      <c r="AO722" s="72"/>
    </row>
    <row r="723" spans="5:41" x14ac:dyDescent="0.25">
      <c r="E723" s="30"/>
      <c r="F723" s="30"/>
      <c r="G723" s="30"/>
      <c r="H723" s="30"/>
      <c r="L723" s="13"/>
      <c r="M723" s="72"/>
      <c r="N723" s="72"/>
      <c r="O723" s="70"/>
      <c r="P723" s="72"/>
      <c r="Q723" s="72"/>
      <c r="R723" s="72"/>
      <c r="S723" s="72"/>
      <c r="T723" s="72"/>
      <c r="U723" s="72"/>
      <c r="V723" s="72"/>
      <c r="W723" s="72"/>
      <c r="X723" s="72"/>
      <c r="Y723" s="72"/>
      <c r="Z723" s="72"/>
      <c r="AA723" s="72"/>
      <c r="AB723" s="72"/>
      <c r="AC723" s="72"/>
      <c r="AD723" s="72"/>
      <c r="AE723" s="72"/>
      <c r="AF723" s="72"/>
      <c r="AG723" s="72"/>
      <c r="AH723" s="72"/>
      <c r="AI723" s="72"/>
      <c r="AJ723" s="72"/>
      <c r="AK723" s="72"/>
      <c r="AL723" s="72"/>
      <c r="AM723" s="72"/>
      <c r="AN723" s="72"/>
      <c r="AO723" s="72"/>
    </row>
    <row r="724" spans="5:41" x14ac:dyDescent="0.25">
      <c r="E724" s="30"/>
      <c r="F724" s="30"/>
      <c r="G724" s="30"/>
      <c r="H724" s="30"/>
      <c r="L724" s="13"/>
      <c r="M724" s="72"/>
      <c r="N724" s="72"/>
      <c r="O724" s="70"/>
      <c r="P724" s="72"/>
      <c r="Q724" s="72"/>
      <c r="R724" s="72"/>
      <c r="S724" s="72"/>
      <c r="T724" s="72"/>
      <c r="U724" s="72"/>
      <c r="V724" s="72"/>
      <c r="W724" s="72"/>
      <c r="X724" s="72"/>
      <c r="Y724" s="72"/>
      <c r="Z724" s="72"/>
      <c r="AA724" s="72"/>
      <c r="AB724" s="72"/>
      <c r="AC724" s="72"/>
      <c r="AD724" s="72"/>
      <c r="AE724" s="72"/>
      <c r="AF724" s="72"/>
      <c r="AG724" s="72"/>
      <c r="AH724" s="72"/>
      <c r="AI724" s="72"/>
      <c r="AJ724" s="72"/>
      <c r="AK724" s="72"/>
      <c r="AL724" s="72"/>
      <c r="AM724" s="72"/>
      <c r="AN724" s="72"/>
      <c r="AO724" s="72"/>
    </row>
    <row r="725" spans="5:41" x14ac:dyDescent="0.25">
      <c r="E725" s="30"/>
      <c r="F725" s="30"/>
      <c r="G725" s="30"/>
      <c r="H725" s="30"/>
      <c r="L725" s="13"/>
      <c r="M725" s="72"/>
      <c r="N725" s="72"/>
      <c r="O725" s="70"/>
      <c r="P725" s="72"/>
      <c r="Q725" s="72"/>
      <c r="R725" s="72"/>
      <c r="S725" s="72"/>
      <c r="T725" s="72"/>
      <c r="U725" s="72"/>
      <c r="V725" s="72"/>
      <c r="W725" s="72"/>
      <c r="X725" s="72"/>
      <c r="Y725" s="72"/>
      <c r="Z725" s="72"/>
      <c r="AA725" s="72"/>
      <c r="AB725" s="72"/>
      <c r="AC725" s="72"/>
      <c r="AD725" s="72"/>
      <c r="AE725" s="72"/>
      <c r="AF725" s="72"/>
      <c r="AG725" s="72"/>
      <c r="AH725" s="72"/>
      <c r="AI725" s="72"/>
      <c r="AJ725" s="72"/>
      <c r="AK725" s="72"/>
      <c r="AL725" s="72"/>
      <c r="AM725" s="72"/>
      <c r="AN725" s="72"/>
      <c r="AO725" s="72"/>
    </row>
    <row r="726" spans="5:41" x14ac:dyDescent="0.25">
      <c r="E726" s="30"/>
      <c r="F726" s="30"/>
      <c r="G726" s="30"/>
      <c r="H726" s="30"/>
      <c r="L726" s="13"/>
      <c r="M726" s="72"/>
      <c r="N726" s="72"/>
      <c r="O726" s="70"/>
      <c r="P726" s="72"/>
      <c r="Q726" s="72"/>
      <c r="R726" s="72"/>
      <c r="S726" s="72"/>
      <c r="T726" s="72"/>
      <c r="U726" s="72"/>
      <c r="V726" s="72"/>
      <c r="W726" s="72"/>
      <c r="X726" s="72"/>
      <c r="Y726" s="72"/>
      <c r="Z726" s="72"/>
      <c r="AA726" s="72"/>
      <c r="AB726" s="72"/>
      <c r="AC726" s="72"/>
      <c r="AD726" s="72"/>
      <c r="AE726" s="72"/>
      <c r="AF726" s="72"/>
      <c r="AG726" s="72"/>
      <c r="AH726" s="72"/>
      <c r="AI726" s="72"/>
      <c r="AJ726" s="72"/>
      <c r="AK726" s="72"/>
      <c r="AL726" s="72"/>
      <c r="AM726" s="72"/>
      <c r="AN726" s="72"/>
      <c r="AO726" s="72"/>
    </row>
    <row r="727" spans="5:41" x14ac:dyDescent="0.25">
      <c r="E727" s="30"/>
      <c r="F727" s="30"/>
      <c r="G727" s="30"/>
      <c r="H727" s="30"/>
      <c r="L727" s="13"/>
      <c r="M727" s="72"/>
      <c r="N727" s="72"/>
      <c r="O727" s="70"/>
      <c r="P727" s="72"/>
      <c r="Q727" s="72"/>
      <c r="R727" s="72"/>
      <c r="S727" s="72"/>
      <c r="T727" s="72"/>
      <c r="U727" s="72"/>
      <c r="V727" s="72"/>
      <c r="W727" s="72"/>
      <c r="X727" s="72"/>
      <c r="Y727" s="72"/>
      <c r="Z727" s="72"/>
      <c r="AA727" s="72"/>
      <c r="AB727" s="72"/>
      <c r="AC727" s="72"/>
      <c r="AD727" s="72"/>
      <c r="AE727" s="72"/>
      <c r="AF727" s="72"/>
      <c r="AG727" s="72"/>
      <c r="AH727" s="72"/>
      <c r="AI727" s="72"/>
      <c r="AJ727" s="72"/>
      <c r="AK727" s="72"/>
      <c r="AL727" s="72"/>
      <c r="AM727" s="72"/>
      <c r="AN727" s="72"/>
      <c r="AO727" s="72"/>
    </row>
    <row r="728" spans="5:41" x14ac:dyDescent="0.25">
      <c r="E728" s="30"/>
      <c r="F728" s="30"/>
      <c r="G728" s="30"/>
      <c r="H728" s="30"/>
      <c r="L728" s="13"/>
      <c r="M728" s="72"/>
      <c r="N728" s="72"/>
      <c r="O728" s="70"/>
      <c r="P728" s="72"/>
      <c r="Q728" s="72"/>
      <c r="R728" s="72"/>
      <c r="S728" s="72"/>
      <c r="T728" s="72"/>
      <c r="U728" s="72"/>
      <c r="V728" s="72"/>
      <c r="W728" s="72"/>
      <c r="X728" s="72"/>
      <c r="Y728" s="72"/>
      <c r="Z728" s="72"/>
      <c r="AA728" s="72"/>
      <c r="AB728" s="72"/>
      <c r="AC728" s="72"/>
      <c r="AD728" s="72"/>
      <c r="AE728" s="72"/>
      <c r="AF728" s="72"/>
      <c r="AG728" s="72"/>
      <c r="AH728" s="72"/>
      <c r="AI728" s="72"/>
      <c r="AJ728" s="72"/>
      <c r="AK728" s="72"/>
      <c r="AL728" s="72"/>
      <c r="AM728" s="72"/>
      <c r="AN728" s="72"/>
      <c r="AO728" s="72"/>
    </row>
    <row r="729" spans="5:41" x14ac:dyDescent="0.25">
      <c r="E729" s="30"/>
      <c r="F729" s="30"/>
      <c r="G729" s="30"/>
      <c r="H729" s="30"/>
      <c r="L729" s="13"/>
      <c r="M729" s="72"/>
      <c r="N729" s="72"/>
      <c r="O729" s="70"/>
      <c r="P729" s="72"/>
      <c r="Q729" s="72"/>
      <c r="R729" s="72"/>
      <c r="S729" s="72"/>
      <c r="T729" s="72"/>
      <c r="U729" s="72"/>
      <c r="V729" s="72"/>
      <c r="W729" s="72"/>
      <c r="X729" s="72"/>
      <c r="Y729" s="72"/>
      <c r="Z729" s="72"/>
      <c r="AA729" s="72"/>
      <c r="AB729" s="72"/>
      <c r="AC729" s="72"/>
      <c r="AD729" s="72"/>
      <c r="AE729" s="72"/>
      <c r="AF729" s="72"/>
      <c r="AG729" s="72"/>
      <c r="AH729" s="72"/>
      <c r="AI729" s="72"/>
      <c r="AJ729" s="72"/>
      <c r="AK729" s="72"/>
      <c r="AL729" s="72"/>
      <c r="AM729" s="72"/>
      <c r="AN729" s="72"/>
      <c r="AO729" s="72"/>
    </row>
    <row r="730" spans="5:41" x14ac:dyDescent="0.25">
      <c r="E730" s="30"/>
      <c r="F730" s="30"/>
      <c r="G730" s="30"/>
      <c r="H730" s="30"/>
      <c r="L730" s="13"/>
      <c r="M730" s="72"/>
      <c r="N730" s="72"/>
      <c r="O730" s="70"/>
      <c r="P730" s="72"/>
      <c r="Q730" s="72"/>
      <c r="R730" s="72"/>
      <c r="S730" s="72"/>
      <c r="T730" s="72"/>
      <c r="U730" s="72"/>
      <c r="V730" s="72"/>
      <c r="W730" s="72"/>
      <c r="X730" s="72"/>
      <c r="Y730" s="72"/>
      <c r="Z730" s="72"/>
      <c r="AA730" s="72"/>
      <c r="AB730" s="72"/>
      <c r="AC730" s="72"/>
      <c r="AD730" s="72"/>
      <c r="AE730" s="72"/>
      <c r="AF730" s="72"/>
      <c r="AG730" s="72"/>
      <c r="AH730" s="72"/>
      <c r="AI730" s="72"/>
      <c r="AJ730" s="72"/>
      <c r="AK730" s="72"/>
      <c r="AL730" s="72"/>
      <c r="AM730" s="72"/>
      <c r="AN730" s="72"/>
      <c r="AO730" s="72"/>
    </row>
    <row r="731" spans="5:41" x14ac:dyDescent="0.25">
      <c r="E731" s="30"/>
      <c r="F731" s="30"/>
      <c r="G731" s="30"/>
      <c r="H731" s="30"/>
      <c r="L731" s="13"/>
      <c r="M731" s="72"/>
      <c r="N731" s="72"/>
      <c r="O731" s="70"/>
      <c r="P731" s="72"/>
      <c r="Q731" s="72"/>
      <c r="R731" s="72"/>
      <c r="S731" s="72"/>
      <c r="T731" s="72"/>
      <c r="U731" s="72"/>
      <c r="V731" s="72"/>
      <c r="W731" s="72"/>
      <c r="X731" s="72"/>
      <c r="Y731" s="72"/>
      <c r="Z731" s="72"/>
      <c r="AA731" s="72"/>
      <c r="AB731" s="72"/>
      <c r="AC731" s="72"/>
      <c r="AD731" s="72"/>
      <c r="AE731" s="72"/>
      <c r="AF731" s="72"/>
      <c r="AG731" s="72"/>
      <c r="AH731" s="72"/>
      <c r="AI731" s="72"/>
      <c r="AJ731" s="72"/>
      <c r="AK731" s="72"/>
      <c r="AL731" s="72"/>
      <c r="AM731" s="72"/>
      <c r="AN731" s="72"/>
      <c r="AO731" s="72"/>
    </row>
    <row r="732" spans="5:41" x14ac:dyDescent="0.25">
      <c r="E732" s="30"/>
      <c r="F732" s="30"/>
      <c r="G732" s="30"/>
      <c r="H732" s="30"/>
      <c r="L732" s="13"/>
      <c r="M732" s="72"/>
      <c r="N732" s="72"/>
      <c r="O732" s="70"/>
      <c r="P732" s="72"/>
      <c r="Q732" s="72"/>
      <c r="R732" s="72"/>
      <c r="S732" s="72"/>
      <c r="T732" s="72"/>
      <c r="U732" s="72"/>
      <c r="V732" s="72"/>
      <c r="W732" s="72"/>
      <c r="X732" s="72"/>
      <c r="Y732" s="72"/>
      <c r="Z732" s="72"/>
      <c r="AA732" s="72"/>
      <c r="AB732" s="72"/>
      <c r="AC732" s="72"/>
      <c r="AD732" s="72"/>
      <c r="AE732" s="72"/>
      <c r="AF732" s="72"/>
      <c r="AG732" s="72"/>
      <c r="AH732" s="72"/>
      <c r="AI732" s="72"/>
      <c r="AJ732" s="72"/>
      <c r="AK732" s="72"/>
      <c r="AL732" s="72"/>
      <c r="AM732" s="72"/>
      <c r="AN732" s="72"/>
      <c r="AO732" s="72"/>
    </row>
    <row r="733" spans="5:41" x14ac:dyDescent="0.25">
      <c r="E733" s="30"/>
      <c r="F733" s="30"/>
      <c r="G733" s="30"/>
      <c r="H733" s="30"/>
      <c r="L733" s="13"/>
      <c r="M733" s="72"/>
      <c r="N733" s="72"/>
      <c r="O733" s="70"/>
      <c r="P733" s="72"/>
      <c r="Q733" s="72"/>
      <c r="R733" s="72"/>
      <c r="S733" s="72"/>
      <c r="T733" s="72"/>
      <c r="U733" s="72"/>
      <c r="V733" s="72"/>
      <c r="W733" s="72"/>
      <c r="X733" s="72"/>
      <c r="Y733" s="72"/>
      <c r="Z733" s="72"/>
      <c r="AA733" s="72"/>
      <c r="AB733" s="72"/>
      <c r="AC733" s="72"/>
      <c r="AD733" s="72"/>
      <c r="AE733" s="72"/>
      <c r="AF733" s="72"/>
      <c r="AG733" s="72"/>
      <c r="AH733" s="72"/>
      <c r="AI733" s="72"/>
      <c r="AJ733" s="72"/>
      <c r="AK733" s="72"/>
      <c r="AL733" s="72"/>
      <c r="AM733" s="72"/>
      <c r="AN733" s="72"/>
      <c r="AO733" s="72"/>
    </row>
    <row r="734" spans="5:41" x14ac:dyDescent="0.25">
      <c r="E734" s="30"/>
      <c r="F734" s="30"/>
      <c r="G734" s="30"/>
      <c r="H734" s="30"/>
      <c r="L734" s="13"/>
      <c r="M734" s="72"/>
      <c r="N734" s="72"/>
      <c r="O734" s="70"/>
      <c r="P734" s="72"/>
      <c r="Q734" s="72"/>
      <c r="R734" s="72"/>
      <c r="S734" s="72"/>
      <c r="T734" s="72"/>
      <c r="U734" s="72"/>
      <c r="V734" s="72"/>
      <c r="W734" s="72"/>
      <c r="X734" s="72"/>
      <c r="Y734" s="72"/>
      <c r="Z734" s="72"/>
      <c r="AA734" s="72"/>
      <c r="AB734" s="72"/>
      <c r="AC734" s="72"/>
      <c r="AD734" s="72"/>
      <c r="AE734" s="72"/>
      <c r="AF734" s="72"/>
      <c r="AG734" s="72"/>
      <c r="AH734" s="72"/>
      <c r="AI734" s="72"/>
      <c r="AJ734" s="72"/>
      <c r="AK734" s="72"/>
      <c r="AL734" s="72"/>
      <c r="AM734" s="72"/>
      <c r="AN734" s="72"/>
      <c r="AO734" s="72"/>
    </row>
    <row r="735" spans="5:41" x14ac:dyDescent="0.25">
      <c r="E735" s="30"/>
      <c r="F735" s="30"/>
      <c r="G735" s="30"/>
      <c r="H735" s="30"/>
      <c r="L735" s="13"/>
      <c r="M735" s="72"/>
      <c r="N735" s="72"/>
      <c r="O735" s="70"/>
      <c r="P735" s="72"/>
      <c r="Q735" s="72"/>
      <c r="R735" s="72"/>
      <c r="S735" s="72"/>
      <c r="T735" s="72"/>
      <c r="U735" s="72"/>
      <c r="V735" s="72"/>
      <c r="W735" s="72"/>
      <c r="X735" s="72"/>
      <c r="Y735" s="72"/>
      <c r="Z735" s="72"/>
      <c r="AA735" s="72"/>
      <c r="AB735" s="72"/>
      <c r="AC735" s="72"/>
      <c r="AD735" s="72"/>
      <c r="AE735" s="72"/>
      <c r="AF735" s="72"/>
      <c r="AG735" s="72"/>
      <c r="AH735" s="72"/>
      <c r="AI735" s="72"/>
      <c r="AJ735" s="72"/>
      <c r="AK735" s="72"/>
      <c r="AL735" s="72"/>
      <c r="AM735" s="72"/>
      <c r="AN735" s="72"/>
      <c r="AO735" s="72"/>
    </row>
    <row r="736" spans="5:41" x14ac:dyDescent="0.25">
      <c r="E736" s="30"/>
      <c r="F736" s="30"/>
      <c r="G736" s="30"/>
      <c r="H736" s="30"/>
      <c r="L736" s="13"/>
      <c r="M736" s="72"/>
      <c r="N736" s="72"/>
      <c r="O736" s="70"/>
      <c r="P736" s="72"/>
      <c r="Q736" s="72"/>
      <c r="R736" s="72"/>
      <c r="S736" s="72"/>
      <c r="T736" s="72"/>
      <c r="U736" s="72"/>
      <c r="V736" s="72"/>
      <c r="W736" s="72"/>
      <c r="X736" s="72"/>
      <c r="Y736" s="72"/>
      <c r="Z736" s="72"/>
      <c r="AA736" s="72"/>
      <c r="AB736" s="72"/>
      <c r="AC736" s="72"/>
      <c r="AD736" s="72"/>
      <c r="AE736" s="72"/>
      <c r="AF736" s="72"/>
      <c r="AG736" s="72"/>
      <c r="AH736" s="72"/>
      <c r="AI736" s="72"/>
      <c r="AJ736" s="72"/>
      <c r="AK736" s="72"/>
      <c r="AL736" s="72"/>
      <c r="AM736" s="72"/>
      <c r="AN736" s="72"/>
      <c r="AO736" s="72"/>
    </row>
    <row r="737" spans="5:41" x14ac:dyDescent="0.25">
      <c r="E737" s="30"/>
      <c r="F737" s="30"/>
      <c r="G737" s="30"/>
      <c r="H737" s="30"/>
      <c r="L737" s="13"/>
      <c r="M737" s="17"/>
      <c r="N737" s="17"/>
      <c r="O737" s="70"/>
      <c r="P737" s="17"/>
      <c r="Q737" s="17"/>
      <c r="R737" s="17"/>
      <c r="S737" s="17"/>
      <c r="T737" s="17"/>
      <c r="U737" s="17"/>
      <c r="V737" s="17"/>
      <c r="W737" s="17"/>
      <c r="X737" s="17"/>
      <c r="Y737" s="17"/>
      <c r="Z737" s="17"/>
      <c r="AA737" s="17"/>
      <c r="AB737" s="17"/>
      <c r="AC737" s="17"/>
      <c r="AD737" s="17"/>
      <c r="AE737" s="17"/>
      <c r="AF737" s="17"/>
      <c r="AG737" s="17"/>
      <c r="AH737" s="17"/>
      <c r="AI737" s="17"/>
      <c r="AJ737" s="17"/>
      <c r="AK737" s="17"/>
      <c r="AL737" s="17"/>
      <c r="AM737" s="17"/>
      <c r="AN737" s="17"/>
      <c r="AO737" s="17"/>
    </row>
    <row r="738" spans="5:41" x14ac:dyDescent="0.25">
      <c r="E738" s="30"/>
      <c r="F738" s="30"/>
      <c r="G738" s="30"/>
      <c r="H738" s="30"/>
      <c r="L738" s="13"/>
      <c r="M738" s="17"/>
      <c r="N738" s="17"/>
      <c r="O738" s="70"/>
      <c r="P738" s="17"/>
      <c r="Q738" s="17"/>
      <c r="R738" s="17"/>
      <c r="S738" s="17"/>
      <c r="T738" s="17"/>
      <c r="U738" s="17"/>
      <c r="V738" s="17"/>
      <c r="W738" s="17"/>
      <c r="X738" s="17"/>
      <c r="Y738" s="17"/>
      <c r="Z738" s="17"/>
      <c r="AA738" s="17"/>
      <c r="AB738" s="17"/>
      <c r="AC738" s="17"/>
      <c r="AD738" s="17"/>
      <c r="AE738" s="17"/>
      <c r="AF738" s="17"/>
      <c r="AG738" s="17"/>
      <c r="AH738" s="17"/>
      <c r="AI738" s="17"/>
      <c r="AJ738" s="17"/>
      <c r="AK738" s="17"/>
      <c r="AL738" s="17"/>
      <c r="AM738" s="17"/>
      <c r="AN738" s="17"/>
      <c r="AO738" s="17"/>
    </row>
    <row r="739" spans="5:41" x14ac:dyDescent="0.25">
      <c r="E739" s="30"/>
      <c r="F739" s="30"/>
      <c r="G739" s="30"/>
      <c r="H739" s="30"/>
      <c r="L739" s="13"/>
      <c r="M739" s="17"/>
      <c r="N739" s="17"/>
      <c r="O739" s="70"/>
      <c r="P739" s="17"/>
      <c r="Q739" s="17"/>
      <c r="R739" s="17"/>
      <c r="S739" s="17"/>
      <c r="T739" s="17"/>
      <c r="U739" s="17"/>
      <c r="V739" s="17"/>
      <c r="W739" s="17"/>
      <c r="X739" s="17"/>
      <c r="Y739" s="17"/>
      <c r="Z739" s="17"/>
      <c r="AA739" s="17"/>
      <c r="AB739" s="17"/>
      <c r="AC739" s="17"/>
      <c r="AD739" s="17"/>
      <c r="AE739" s="17"/>
      <c r="AF739" s="17"/>
      <c r="AG739" s="17"/>
      <c r="AH739" s="17"/>
      <c r="AI739" s="17"/>
      <c r="AJ739" s="17"/>
      <c r="AK739" s="17"/>
      <c r="AL739" s="17"/>
      <c r="AM739" s="17"/>
      <c r="AN739" s="17"/>
      <c r="AO739" s="17"/>
    </row>
    <row r="740" spans="5:41" x14ac:dyDescent="0.25">
      <c r="E740" s="30"/>
      <c r="F740" s="30"/>
      <c r="G740" s="30"/>
      <c r="H740" s="30"/>
      <c r="L740" s="13"/>
      <c r="M740" s="17"/>
      <c r="N740" s="17"/>
      <c r="O740" s="70"/>
      <c r="P740" s="17"/>
      <c r="Q740" s="17"/>
      <c r="R740" s="17"/>
      <c r="S740" s="17"/>
      <c r="T740" s="17"/>
      <c r="U740" s="17"/>
      <c r="V740" s="17"/>
      <c r="W740" s="17"/>
      <c r="X740" s="17"/>
      <c r="Y740" s="17"/>
      <c r="Z740" s="17"/>
      <c r="AA740" s="17"/>
      <c r="AB740" s="17"/>
      <c r="AC740" s="17"/>
      <c r="AD740" s="17"/>
      <c r="AE740" s="17"/>
      <c r="AF740" s="17"/>
      <c r="AG740" s="17"/>
      <c r="AH740" s="17"/>
      <c r="AI740" s="17"/>
      <c r="AJ740" s="17"/>
      <c r="AK740" s="17"/>
      <c r="AL740" s="17"/>
      <c r="AM740" s="17"/>
      <c r="AN740" s="17"/>
      <c r="AO740" s="17"/>
    </row>
    <row r="741" spans="5:41" x14ac:dyDescent="0.25">
      <c r="E741" s="30"/>
      <c r="F741" s="30"/>
      <c r="G741" s="30"/>
      <c r="H741" s="30"/>
      <c r="L741" s="13"/>
      <c r="M741" s="17"/>
      <c r="N741" s="17"/>
      <c r="O741" s="70"/>
      <c r="P741" s="17"/>
      <c r="Q741" s="17"/>
      <c r="R741" s="17"/>
      <c r="S741" s="17"/>
      <c r="T741" s="17"/>
      <c r="U741" s="17"/>
      <c r="V741" s="17"/>
      <c r="W741" s="17"/>
      <c r="X741" s="17"/>
      <c r="Y741" s="17"/>
      <c r="Z741" s="17"/>
      <c r="AA741" s="17"/>
      <c r="AB741" s="17"/>
      <c r="AC741" s="17"/>
      <c r="AD741" s="17"/>
      <c r="AE741" s="17"/>
      <c r="AF741" s="17"/>
      <c r="AG741" s="17"/>
      <c r="AH741" s="17"/>
      <c r="AI741" s="17"/>
      <c r="AJ741" s="17"/>
      <c r="AK741" s="17"/>
      <c r="AL741" s="17"/>
      <c r="AM741" s="17"/>
      <c r="AN741" s="17"/>
      <c r="AO741" s="17"/>
    </row>
    <row r="742" spans="5:41" x14ac:dyDescent="0.25">
      <c r="E742" s="30"/>
      <c r="F742" s="30"/>
      <c r="G742" s="30"/>
      <c r="H742" s="30"/>
      <c r="L742" s="13"/>
      <c r="M742" s="17"/>
      <c r="N742" s="17"/>
      <c r="O742" s="70"/>
      <c r="P742" s="17"/>
      <c r="Q742" s="17"/>
      <c r="R742" s="17"/>
      <c r="S742" s="17"/>
      <c r="T742" s="17"/>
      <c r="U742" s="17"/>
      <c r="V742" s="17"/>
      <c r="W742" s="17"/>
      <c r="X742" s="17"/>
      <c r="Y742" s="17"/>
      <c r="Z742" s="17"/>
      <c r="AA742" s="17"/>
      <c r="AB742" s="17"/>
      <c r="AC742" s="17"/>
      <c r="AD742" s="17"/>
      <c r="AE742" s="17"/>
      <c r="AF742" s="17"/>
      <c r="AG742" s="17"/>
      <c r="AH742" s="17"/>
      <c r="AI742" s="17"/>
      <c r="AJ742" s="17"/>
      <c r="AK742" s="17"/>
      <c r="AL742" s="17"/>
      <c r="AM742" s="17"/>
      <c r="AN742" s="17"/>
      <c r="AO742" s="17"/>
    </row>
    <row r="743" spans="5:41" x14ac:dyDescent="0.25">
      <c r="E743" s="30"/>
      <c r="F743" s="30"/>
      <c r="G743" s="30"/>
      <c r="H743" s="30"/>
      <c r="L743" s="13"/>
      <c r="M743" s="17"/>
      <c r="N743" s="17"/>
      <c r="O743" s="70"/>
      <c r="P743" s="17"/>
      <c r="Q743" s="17"/>
      <c r="R743" s="17"/>
      <c r="S743" s="17"/>
      <c r="T743" s="17"/>
      <c r="U743" s="17"/>
      <c r="V743" s="17"/>
      <c r="W743" s="17"/>
      <c r="X743" s="17"/>
      <c r="Y743" s="17"/>
      <c r="Z743" s="17"/>
      <c r="AA743" s="17"/>
      <c r="AB743" s="17"/>
      <c r="AC743" s="17"/>
      <c r="AD743" s="17"/>
      <c r="AE743" s="17"/>
      <c r="AF743" s="17"/>
      <c r="AG743" s="17"/>
      <c r="AH743" s="17"/>
      <c r="AI743" s="17"/>
      <c r="AJ743" s="17"/>
      <c r="AK743" s="17"/>
      <c r="AL743" s="17"/>
      <c r="AM743" s="17"/>
      <c r="AN743" s="17"/>
      <c r="AO743" s="17"/>
    </row>
    <row r="744" spans="5:41" x14ac:dyDescent="0.25">
      <c r="E744" s="30"/>
      <c r="F744" s="30"/>
      <c r="G744" s="30"/>
      <c r="H744" s="30"/>
      <c r="L744" s="13"/>
      <c r="M744" s="17"/>
      <c r="N744" s="17"/>
      <c r="O744" s="70"/>
      <c r="P744" s="17"/>
      <c r="Q744" s="17"/>
      <c r="R744" s="17"/>
      <c r="S744" s="17"/>
      <c r="T744" s="17"/>
      <c r="U744" s="17"/>
      <c r="V744" s="17"/>
      <c r="W744" s="17"/>
      <c r="X744" s="17"/>
      <c r="Y744" s="17"/>
      <c r="Z744" s="17"/>
      <c r="AA744" s="17"/>
      <c r="AB744" s="17"/>
      <c r="AC744" s="17"/>
      <c r="AD744" s="17"/>
      <c r="AE744" s="17"/>
      <c r="AF744" s="17"/>
      <c r="AG744" s="17"/>
      <c r="AH744" s="17"/>
      <c r="AI744" s="17"/>
      <c r="AJ744" s="17"/>
      <c r="AK744" s="17"/>
      <c r="AL744" s="17"/>
      <c r="AM744" s="17"/>
      <c r="AN744" s="17"/>
      <c r="AO744" s="17"/>
    </row>
    <row r="745" spans="5:41" x14ac:dyDescent="0.25">
      <c r="E745" s="30"/>
      <c r="F745" s="30"/>
      <c r="G745" s="30"/>
      <c r="H745" s="30"/>
      <c r="L745" s="13"/>
      <c r="M745" s="17"/>
      <c r="N745" s="17"/>
      <c r="O745" s="70"/>
      <c r="P745" s="17"/>
      <c r="Q745" s="17"/>
      <c r="R745" s="17"/>
      <c r="S745" s="17"/>
      <c r="T745" s="17"/>
      <c r="U745" s="17"/>
      <c r="V745" s="17"/>
      <c r="W745" s="17"/>
      <c r="X745" s="17"/>
      <c r="Y745" s="17"/>
      <c r="Z745" s="17"/>
      <c r="AA745" s="17"/>
      <c r="AB745" s="17"/>
      <c r="AC745" s="17"/>
      <c r="AD745" s="17"/>
      <c r="AE745" s="17"/>
      <c r="AF745" s="17"/>
      <c r="AG745" s="17"/>
      <c r="AH745" s="17"/>
      <c r="AI745" s="17"/>
      <c r="AJ745" s="17"/>
      <c r="AK745" s="17"/>
      <c r="AL745" s="17"/>
      <c r="AM745" s="17"/>
      <c r="AN745" s="17"/>
      <c r="AO745" s="17"/>
    </row>
    <row r="746" spans="5:41" x14ac:dyDescent="0.25">
      <c r="E746" s="30"/>
      <c r="F746" s="30"/>
      <c r="G746" s="30"/>
      <c r="H746" s="30"/>
      <c r="L746" s="13"/>
      <c r="M746" s="17"/>
      <c r="N746" s="17"/>
      <c r="O746" s="70"/>
      <c r="P746" s="17"/>
      <c r="Q746" s="17"/>
      <c r="R746" s="17"/>
      <c r="S746" s="17"/>
      <c r="T746" s="17"/>
      <c r="U746" s="17"/>
      <c r="V746" s="17"/>
      <c r="W746" s="17"/>
      <c r="X746" s="17"/>
      <c r="Y746" s="17"/>
      <c r="Z746" s="17"/>
      <c r="AA746" s="17"/>
      <c r="AB746" s="17"/>
      <c r="AC746" s="17"/>
      <c r="AD746" s="17"/>
      <c r="AE746" s="17"/>
      <c r="AF746" s="17"/>
      <c r="AG746" s="17"/>
      <c r="AH746" s="17"/>
      <c r="AI746" s="17"/>
      <c r="AJ746" s="17"/>
      <c r="AK746" s="17"/>
      <c r="AL746" s="17"/>
      <c r="AM746" s="17"/>
      <c r="AN746" s="17"/>
      <c r="AO746" s="17"/>
    </row>
    <row r="747" spans="5:41" x14ac:dyDescent="0.25">
      <c r="E747" s="30"/>
      <c r="F747" s="30"/>
      <c r="G747" s="30"/>
      <c r="H747" s="30"/>
      <c r="L747" s="13"/>
      <c r="M747" s="17"/>
      <c r="N747" s="17"/>
      <c r="O747" s="70"/>
      <c r="P747" s="17"/>
      <c r="Q747" s="17"/>
      <c r="R747" s="17"/>
      <c r="S747" s="17"/>
      <c r="T747" s="17"/>
      <c r="U747" s="17"/>
      <c r="V747" s="17"/>
      <c r="W747" s="17"/>
      <c r="X747" s="17"/>
      <c r="Y747" s="17"/>
      <c r="Z747" s="17"/>
      <c r="AA747" s="17"/>
      <c r="AB747" s="17"/>
      <c r="AC747" s="17"/>
      <c r="AD747" s="17"/>
      <c r="AE747" s="17"/>
      <c r="AF747" s="17"/>
      <c r="AG747" s="17"/>
      <c r="AH747" s="17"/>
      <c r="AI747" s="17"/>
      <c r="AJ747" s="17"/>
      <c r="AK747" s="17"/>
      <c r="AL747" s="17"/>
      <c r="AM747" s="17"/>
      <c r="AN747" s="17"/>
      <c r="AO747" s="17"/>
    </row>
    <row r="748" spans="5:41" x14ac:dyDescent="0.25">
      <c r="E748" s="30"/>
      <c r="F748" s="30"/>
      <c r="G748" s="30"/>
      <c r="H748" s="30"/>
      <c r="L748" s="13"/>
      <c r="M748" s="17"/>
      <c r="N748" s="17"/>
      <c r="O748" s="70"/>
      <c r="P748" s="17"/>
      <c r="Q748" s="17"/>
      <c r="R748" s="17"/>
      <c r="S748" s="17"/>
      <c r="T748" s="17"/>
      <c r="U748" s="17"/>
      <c r="V748" s="17"/>
      <c r="W748" s="17"/>
      <c r="X748" s="17"/>
      <c r="Y748" s="17"/>
      <c r="Z748" s="17"/>
      <c r="AA748" s="17"/>
      <c r="AB748" s="17"/>
      <c r="AC748" s="17"/>
      <c r="AD748" s="17"/>
      <c r="AE748" s="17"/>
      <c r="AF748" s="17"/>
      <c r="AG748" s="17"/>
      <c r="AH748" s="17"/>
      <c r="AI748" s="17"/>
      <c r="AJ748" s="17"/>
      <c r="AK748" s="17"/>
      <c r="AL748" s="17"/>
      <c r="AM748" s="17"/>
      <c r="AN748" s="17"/>
      <c r="AO748" s="17"/>
    </row>
    <row r="749" spans="5:41" x14ac:dyDescent="0.25">
      <c r="E749" s="30"/>
      <c r="F749" s="30"/>
      <c r="G749" s="30"/>
      <c r="H749" s="30"/>
      <c r="L749" s="13"/>
      <c r="M749" s="17"/>
      <c r="N749" s="17"/>
      <c r="O749" s="70"/>
      <c r="P749" s="17"/>
      <c r="Q749" s="17"/>
      <c r="R749" s="17"/>
      <c r="S749" s="17"/>
      <c r="T749" s="17"/>
      <c r="U749" s="17"/>
      <c r="V749" s="17"/>
      <c r="W749" s="17"/>
      <c r="X749" s="17"/>
      <c r="Y749" s="17"/>
      <c r="Z749" s="17"/>
      <c r="AA749" s="17"/>
      <c r="AB749" s="17"/>
      <c r="AC749" s="17"/>
      <c r="AD749" s="17"/>
      <c r="AE749" s="17"/>
      <c r="AF749" s="17"/>
      <c r="AG749" s="17"/>
      <c r="AH749" s="17"/>
      <c r="AI749" s="17"/>
      <c r="AJ749" s="17"/>
      <c r="AK749" s="17"/>
      <c r="AL749" s="17"/>
      <c r="AM749" s="17"/>
      <c r="AN749" s="17"/>
      <c r="AO749" s="17"/>
    </row>
    <row r="750" spans="5:41" x14ac:dyDescent="0.25">
      <c r="E750" s="30"/>
      <c r="F750" s="30"/>
      <c r="G750" s="30"/>
      <c r="H750" s="30"/>
      <c r="L750" s="13"/>
      <c r="M750" s="17"/>
      <c r="N750" s="17"/>
      <c r="O750" s="70"/>
      <c r="P750" s="17"/>
      <c r="Q750" s="17"/>
      <c r="R750" s="17"/>
      <c r="S750" s="17"/>
      <c r="T750" s="17"/>
      <c r="U750" s="17"/>
      <c r="V750" s="17"/>
      <c r="W750" s="17"/>
      <c r="X750" s="17"/>
      <c r="Y750" s="17"/>
      <c r="Z750" s="17"/>
      <c r="AA750" s="17"/>
      <c r="AB750" s="17"/>
      <c r="AC750" s="17"/>
      <c r="AD750" s="17"/>
      <c r="AE750" s="17"/>
      <c r="AF750" s="17"/>
      <c r="AG750" s="17"/>
      <c r="AH750" s="17"/>
      <c r="AI750" s="17"/>
      <c r="AJ750" s="17"/>
      <c r="AK750" s="17"/>
      <c r="AL750" s="17"/>
      <c r="AM750" s="17"/>
      <c r="AN750" s="17"/>
      <c r="AO750" s="17"/>
    </row>
    <row r="751" spans="5:41" x14ac:dyDescent="0.25">
      <c r="E751" s="30"/>
      <c r="F751" s="30"/>
      <c r="G751" s="30"/>
      <c r="H751" s="30"/>
      <c r="L751" s="13"/>
      <c r="M751" s="17"/>
      <c r="N751" s="17"/>
      <c r="O751" s="70"/>
      <c r="P751" s="17"/>
      <c r="Q751" s="17"/>
      <c r="R751" s="17"/>
      <c r="S751" s="17"/>
      <c r="T751" s="17"/>
      <c r="U751" s="17"/>
      <c r="V751" s="17"/>
      <c r="W751" s="17"/>
      <c r="X751" s="17"/>
      <c r="Y751" s="17"/>
      <c r="Z751" s="17"/>
      <c r="AA751" s="17"/>
      <c r="AB751" s="17"/>
      <c r="AC751" s="17"/>
      <c r="AD751" s="17"/>
      <c r="AE751" s="17"/>
      <c r="AF751" s="17"/>
      <c r="AG751" s="17"/>
      <c r="AH751" s="17"/>
      <c r="AI751" s="17"/>
      <c r="AJ751" s="17"/>
      <c r="AK751" s="17"/>
      <c r="AL751" s="17"/>
      <c r="AM751" s="17"/>
      <c r="AN751" s="17"/>
      <c r="AO751" s="17"/>
    </row>
    <row r="752" spans="5:41" x14ac:dyDescent="0.25">
      <c r="E752" s="30"/>
      <c r="F752" s="30"/>
      <c r="G752" s="30"/>
      <c r="H752" s="30"/>
      <c r="L752" s="13"/>
      <c r="M752" s="17"/>
      <c r="N752" s="17"/>
      <c r="O752" s="70"/>
      <c r="P752" s="17"/>
      <c r="Q752" s="17"/>
      <c r="R752" s="17"/>
      <c r="S752" s="17"/>
      <c r="T752" s="17"/>
      <c r="U752" s="17"/>
      <c r="V752" s="17"/>
      <c r="W752" s="17"/>
      <c r="X752" s="17"/>
      <c r="Y752" s="17"/>
      <c r="Z752" s="17"/>
      <c r="AA752" s="17"/>
      <c r="AB752" s="17"/>
      <c r="AC752" s="17"/>
      <c r="AD752" s="17"/>
      <c r="AE752" s="17"/>
      <c r="AF752" s="17"/>
      <c r="AG752" s="17"/>
      <c r="AH752" s="17"/>
      <c r="AI752" s="17"/>
      <c r="AJ752" s="17"/>
      <c r="AK752" s="17"/>
      <c r="AL752" s="17"/>
      <c r="AM752" s="17"/>
      <c r="AN752" s="17"/>
      <c r="AO752" s="17"/>
    </row>
    <row r="753" spans="5:41" x14ac:dyDescent="0.25">
      <c r="E753" s="30"/>
      <c r="F753" s="30"/>
      <c r="G753" s="30"/>
      <c r="H753" s="30"/>
      <c r="L753" s="13"/>
      <c r="M753" s="17"/>
      <c r="N753" s="17"/>
      <c r="O753" s="70"/>
      <c r="P753" s="17"/>
      <c r="Q753" s="17"/>
      <c r="R753" s="17"/>
      <c r="S753" s="17"/>
      <c r="T753" s="17"/>
      <c r="U753" s="17"/>
      <c r="V753" s="17"/>
      <c r="W753" s="17"/>
      <c r="X753" s="17"/>
      <c r="Y753" s="17"/>
      <c r="Z753" s="17"/>
      <c r="AA753" s="17"/>
      <c r="AB753" s="17"/>
      <c r="AC753" s="17"/>
      <c r="AD753" s="17"/>
      <c r="AE753" s="17"/>
      <c r="AF753" s="17"/>
      <c r="AG753" s="17"/>
      <c r="AH753" s="17"/>
      <c r="AI753" s="17"/>
      <c r="AJ753" s="17"/>
      <c r="AK753" s="17"/>
      <c r="AL753" s="17"/>
      <c r="AM753" s="17"/>
      <c r="AN753" s="17"/>
      <c r="AO753" s="17"/>
    </row>
    <row r="754" spans="5:41" x14ac:dyDescent="0.25">
      <c r="E754" s="30"/>
      <c r="F754" s="30"/>
      <c r="G754" s="30"/>
      <c r="H754" s="30"/>
      <c r="L754" s="13"/>
      <c r="M754" s="17"/>
      <c r="N754" s="17"/>
      <c r="O754" s="70"/>
      <c r="P754" s="17"/>
      <c r="Q754" s="17"/>
      <c r="R754" s="17"/>
      <c r="S754" s="17"/>
      <c r="T754" s="17"/>
      <c r="U754" s="17"/>
      <c r="V754" s="17"/>
      <c r="W754" s="17"/>
      <c r="X754" s="17"/>
      <c r="Y754" s="17"/>
      <c r="Z754" s="17"/>
      <c r="AA754" s="17"/>
      <c r="AB754" s="17"/>
      <c r="AC754" s="17"/>
      <c r="AD754" s="17"/>
      <c r="AE754" s="17"/>
      <c r="AF754" s="17"/>
      <c r="AG754" s="17"/>
      <c r="AH754" s="17"/>
      <c r="AI754" s="17"/>
      <c r="AJ754" s="17"/>
      <c r="AK754" s="17"/>
      <c r="AL754" s="17"/>
      <c r="AM754" s="17"/>
      <c r="AN754" s="17"/>
      <c r="AO754" s="17"/>
    </row>
    <row r="755" spans="5:41" x14ac:dyDescent="0.25">
      <c r="E755" s="30"/>
      <c r="F755" s="30"/>
      <c r="G755" s="30"/>
      <c r="H755" s="30"/>
      <c r="L755" s="13"/>
      <c r="M755" s="17"/>
      <c r="N755" s="17"/>
      <c r="O755" s="70"/>
      <c r="P755" s="17"/>
      <c r="Q755" s="17"/>
      <c r="R755" s="17"/>
      <c r="S755" s="17"/>
      <c r="T755" s="17"/>
      <c r="U755" s="17"/>
      <c r="V755" s="17"/>
      <c r="W755" s="17"/>
      <c r="X755" s="17"/>
      <c r="Y755" s="17"/>
      <c r="Z755" s="17"/>
      <c r="AA755" s="17"/>
      <c r="AB755" s="17"/>
      <c r="AC755" s="17"/>
      <c r="AD755" s="17"/>
      <c r="AE755" s="17"/>
      <c r="AF755" s="17"/>
      <c r="AG755" s="17"/>
      <c r="AH755" s="17"/>
      <c r="AI755" s="17"/>
      <c r="AJ755" s="17"/>
      <c r="AK755" s="17"/>
      <c r="AL755" s="17"/>
      <c r="AM755" s="17"/>
      <c r="AN755" s="17"/>
      <c r="AO755" s="17"/>
    </row>
    <row r="756" spans="5:41" x14ac:dyDescent="0.25">
      <c r="E756" s="30"/>
      <c r="F756" s="30"/>
      <c r="G756" s="30"/>
      <c r="H756" s="30"/>
      <c r="L756" s="13"/>
      <c r="M756" s="17"/>
      <c r="N756" s="17"/>
      <c r="O756" s="70"/>
      <c r="P756" s="17"/>
      <c r="Q756" s="17"/>
      <c r="R756" s="17"/>
      <c r="S756" s="17"/>
      <c r="T756" s="17"/>
      <c r="U756" s="17"/>
      <c r="V756" s="17"/>
      <c r="W756" s="17"/>
      <c r="X756" s="17"/>
      <c r="Y756" s="17"/>
      <c r="Z756" s="17"/>
      <c r="AA756" s="17"/>
      <c r="AB756" s="17"/>
      <c r="AC756" s="17"/>
      <c r="AD756" s="17"/>
      <c r="AE756" s="17"/>
      <c r="AF756" s="17"/>
      <c r="AG756" s="17"/>
      <c r="AH756" s="17"/>
      <c r="AI756" s="17"/>
      <c r="AJ756" s="17"/>
      <c r="AK756" s="17"/>
      <c r="AL756" s="17"/>
      <c r="AM756" s="17"/>
      <c r="AN756" s="17"/>
      <c r="AO756" s="17"/>
    </row>
    <row r="757" spans="5:41" x14ac:dyDescent="0.25">
      <c r="E757" s="30"/>
      <c r="F757" s="30"/>
      <c r="G757" s="30"/>
      <c r="H757" s="30"/>
      <c r="L757" s="13"/>
      <c r="M757" s="17"/>
      <c r="N757" s="17"/>
      <c r="O757" s="70"/>
      <c r="P757" s="17"/>
      <c r="Q757" s="17"/>
      <c r="R757" s="17"/>
      <c r="S757" s="17"/>
      <c r="T757" s="17"/>
      <c r="U757" s="17"/>
      <c r="V757" s="17"/>
      <c r="W757" s="17"/>
      <c r="X757" s="17"/>
      <c r="Y757" s="17"/>
      <c r="Z757" s="17"/>
      <c r="AA757" s="17"/>
      <c r="AB757" s="17"/>
      <c r="AC757" s="17"/>
      <c r="AD757" s="17"/>
      <c r="AE757" s="17"/>
      <c r="AF757" s="17"/>
      <c r="AG757" s="17"/>
      <c r="AH757" s="17"/>
      <c r="AI757" s="17"/>
      <c r="AJ757" s="17"/>
      <c r="AK757" s="17"/>
      <c r="AL757" s="17"/>
      <c r="AM757" s="17"/>
      <c r="AN757" s="17"/>
      <c r="AO757" s="17"/>
    </row>
    <row r="758" spans="5:41" x14ac:dyDescent="0.25">
      <c r="E758" s="30"/>
      <c r="F758" s="30"/>
      <c r="G758" s="30"/>
      <c r="H758" s="30"/>
      <c r="L758" s="13"/>
      <c r="M758" s="17"/>
      <c r="N758" s="17"/>
      <c r="O758" s="70"/>
      <c r="P758" s="17"/>
      <c r="Q758" s="17"/>
      <c r="R758" s="17"/>
      <c r="S758" s="17"/>
      <c r="T758" s="17"/>
      <c r="U758" s="17"/>
      <c r="V758" s="17"/>
      <c r="W758" s="17"/>
      <c r="X758" s="17"/>
      <c r="Y758" s="17"/>
      <c r="Z758" s="17"/>
      <c r="AA758" s="17"/>
      <c r="AB758" s="17"/>
      <c r="AC758" s="17"/>
      <c r="AD758" s="17"/>
      <c r="AE758" s="17"/>
      <c r="AF758" s="17"/>
      <c r="AG758" s="17"/>
      <c r="AH758" s="17"/>
      <c r="AI758" s="17"/>
      <c r="AJ758" s="17"/>
      <c r="AK758" s="17"/>
      <c r="AL758" s="17"/>
      <c r="AM758" s="17"/>
      <c r="AN758" s="17"/>
      <c r="AO758" s="17"/>
    </row>
    <row r="759" spans="5:41" x14ac:dyDescent="0.25">
      <c r="E759" s="30"/>
      <c r="F759" s="30"/>
      <c r="G759" s="30"/>
      <c r="H759" s="30"/>
      <c r="L759" s="13"/>
      <c r="M759" s="17"/>
      <c r="N759" s="17"/>
      <c r="O759" s="70"/>
      <c r="P759" s="17"/>
      <c r="Q759" s="17"/>
      <c r="R759" s="17"/>
      <c r="S759" s="17"/>
      <c r="T759" s="17"/>
      <c r="U759" s="17"/>
      <c r="V759" s="17"/>
      <c r="W759" s="17"/>
      <c r="X759" s="17"/>
      <c r="Y759" s="17"/>
      <c r="Z759" s="17"/>
      <c r="AA759" s="17"/>
      <c r="AB759" s="17"/>
      <c r="AC759" s="17"/>
      <c r="AD759" s="17"/>
      <c r="AE759" s="17"/>
      <c r="AF759" s="17"/>
      <c r="AG759" s="17"/>
      <c r="AH759" s="17"/>
      <c r="AI759" s="17"/>
      <c r="AJ759" s="17"/>
      <c r="AK759" s="17"/>
      <c r="AL759" s="17"/>
      <c r="AM759" s="17"/>
      <c r="AN759" s="17"/>
      <c r="AO759" s="17"/>
    </row>
    <row r="760" spans="5:41" x14ac:dyDescent="0.25">
      <c r="E760" s="30"/>
      <c r="F760" s="30"/>
      <c r="G760" s="30"/>
      <c r="H760" s="30"/>
      <c r="L760" s="13"/>
      <c r="M760" s="17"/>
      <c r="N760" s="17"/>
      <c r="O760" s="70"/>
      <c r="P760" s="17"/>
      <c r="Q760" s="17"/>
      <c r="R760" s="17"/>
      <c r="S760" s="17"/>
      <c r="T760" s="17"/>
      <c r="U760" s="17"/>
      <c r="V760" s="17"/>
      <c r="W760" s="17"/>
      <c r="X760" s="17"/>
      <c r="Y760" s="17"/>
      <c r="Z760" s="17"/>
      <c r="AA760" s="17"/>
      <c r="AB760" s="17"/>
      <c r="AC760" s="17"/>
      <c r="AD760" s="17"/>
      <c r="AE760" s="17"/>
      <c r="AF760" s="17"/>
      <c r="AG760" s="17"/>
      <c r="AH760" s="17"/>
      <c r="AI760" s="17"/>
      <c r="AJ760" s="17"/>
      <c r="AK760" s="17"/>
      <c r="AL760" s="17"/>
      <c r="AM760" s="17"/>
      <c r="AN760" s="17"/>
      <c r="AO760" s="17"/>
    </row>
    <row r="761" spans="5:41" x14ac:dyDescent="0.25">
      <c r="E761" s="30"/>
      <c r="F761" s="30"/>
      <c r="G761" s="30"/>
      <c r="H761" s="30"/>
      <c r="L761" s="13"/>
      <c r="M761" s="17"/>
      <c r="N761" s="17"/>
      <c r="O761" s="70"/>
      <c r="P761" s="17"/>
      <c r="Q761" s="17"/>
      <c r="R761" s="17"/>
      <c r="S761" s="17"/>
      <c r="T761" s="17"/>
      <c r="U761" s="17"/>
      <c r="V761" s="17"/>
      <c r="W761" s="17"/>
      <c r="X761" s="17"/>
      <c r="Y761" s="17"/>
      <c r="Z761" s="17"/>
      <c r="AA761" s="17"/>
      <c r="AB761" s="17"/>
      <c r="AC761" s="17"/>
      <c r="AD761" s="17"/>
      <c r="AE761" s="17"/>
      <c r="AF761" s="17"/>
      <c r="AG761" s="17"/>
      <c r="AH761" s="17"/>
      <c r="AI761" s="17"/>
      <c r="AJ761" s="17"/>
      <c r="AK761" s="17"/>
      <c r="AL761" s="17"/>
      <c r="AM761" s="17"/>
      <c r="AN761" s="17"/>
      <c r="AO761" s="17"/>
    </row>
    <row r="762" spans="5:41" x14ac:dyDescent="0.25">
      <c r="E762" s="30"/>
      <c r="F762" s="30"/>
      <c r="G762" s="30"/>
      <c r="H762" s="30"/>
      <c r="L762" s="13"/>
      <c r="M762" s="17"/>
      <c r="N762" s="17"/>
      <c r="O762" s="70"/>
      <c r="P762" s="17"/>
      <c r="Q762" s="17"/>
      <c r="R762" s="17"/>
      <c r="S762" s="17"/>
      <c r="T762" s="17"/>
      <c r="U762" s="17"/>
      <c r="V762" s="17"/>
      <c r="W762" s="17"/>
      <c r="X762" s="17"/>
      <c r="Y762" s="17"/>
      <c r="Z762" s="17"/>
      <c r="AA762" s="17"/>
      <c r="AB762" s="17"/>
      <c r="AC762" s="17"/>
      <c r="AD762" s="17"/>
      <c r="AE762" s="17"/>
      <c r="AF762" s="17"/>
      <c r="AG762" s="17"/>
      <c r="AH762" s="17"/>
      <c r="AI762" s="17"/>
      <c r="AJ762" s="17"/>
      <c r="AK762" s="17"/>
      <c r="AL762" s="17"/>
      <c r="AM762" s="17"/>
      <c r="AN762" s="17"/>
      <c r="AO762" s="17"/>
    </row>
    <row r="763" spans="5:41" x14ac:dyDescent="0.25">
      <c r="E763" s="30"/>
      <c r="F763" s="30"/>
      <c r="G763" s="30"/>
      <c r="H763" s="30"/>
      <c r="L763" s="13"/>
      <c r="M763" s="17"/>
      <c r="N763" s="17"/>
      <c r="O763" s="70"/>
      <c r="P763" s="17"/>
      <c r="Q763" s="17"/>
      <c r="R763" s="17"/>
      <c r="S763" s="17"/>
      <c r="T763" s="17"/>
      <c r="U763" s="17"/>
      <c r="V763" s="17"/>
      <c r="W763" s="17"/>
      <c r="X763" s="17"/>
      <c r="Y763" s="17"/>
      <c r="Z763" s="17"/>
      <c r="AA763" s="17"/>
      <c r="AB763" s="17"/>
      <c r="AC763" s="17"/>
      <c r="AD763" s="17"/>
      <c r="AE763" s="17"/>
      <c r="AF763" s="17"/>
      <c r="AG763" s="17"/>
      <c r="AH763" s="17"/>
      <c r="AI763" s="17"/>
      <c r="AJ763" s="17"/>
      <c r="AK763" s="17"/>
      <c r="AL763" s="17"/>
      <c r="AM763" s="17"/>
      <c r="AN763" s="17"/>
      <c r="AO763" s="17"/>
    </row>
    <row r="764" spans="5:41" x14ac:dyDescent="0.25">
      <c r="E764" s="30"/>
      <c r="F764" s="30"/>
      <c r="G764" s="30"/>
      <c r="H764" s="30"/>
      <c r="L764" s="13"/>
      <c r="M764" s="17"/>
      <c r="N764" s="17"/>
      <c r="O764" s="70"/>
      <c r="P764" s="17"/>
      <c r="Q764" s="17"/>
      <c r="R764" s="17"/>
      <c r="S764" s="17"/>
      <c r="T764" s="17"/>
      <c r="U764" s="17"/>
      <c r="V764" s="17"/>
      <c r="W764" s="17"/>
      <c r="X764" s="17"/>
      <c r="Y764" s="17"/>
      <c r="Z764" s="17"/>
      <c r="AA764" s="17"/>
      <c r="AB764" s="17"/>
      <c r="AC764" s="17"/>
      <c r="AD764" s="17"/>
      <c r="AE764" s="17"/>
      <c r="AF764" s="17"/>
      <c r="AG764" s="17"/>
      <c r="AH764" s="17"/>
      <c r="AI764" s="17"/>
      <c r="AJ764" s="17"/>
      <c r="AK764" s="17"/>
      <c r="AL764" s="17"/>
      <c r="AM764" s="17"/>
      <c r="AN764" s="17"/>
      <c r="AO764" s="17"/>
    </row>
    <row r="765" spans="5:41" x14ac:dyDescent="0.25">
      <c r="E765" s="30"/>
      <c r="F765" s="30"/>
      <c r="G765" s="30"/>
      <c r="H765" s="30"/>
      <c r="L765" s="13"/>
      <c r="M765" s="17"/>
      <c r="N765" s="17"/>
      <c r="O765" s="70"/>
      <c r="P765" s="17"/>
      <c r="Q765" s="17"/>
      <c r="R765" s="17"/>
      <c r="S765" s="17"/>
      <c r="T765" s="17"/>
      <c r="U765" s="17"/>
      <c r="V765" s="17"/>
      <c r="W765" s="17"/>
      <c r="X765" s="17"/>
      <c r="Y765" s="17"/>
      <c r="Z765" s="17"/>
      <c r="AA765" s="17"/>
      <c r="AB765" s="17"/>
      <c r="AC765" s="17"/>
      <c r="AD765" s="17"/>
      <c r="AE765" s="17"/>
      <c r="AF765" s="17"/>
      <c r="AG765" s="17"/>
      <c r="AH765" s="17"/>
      <c r="AI765" s="17"/>
      <c r="AJ765" s="17"/>
      <c r="AK765" s="17"/>
      <c r="AL765" s="17"/>
      <c r="AM765" s="17"/>
      <c r="AN765" s="17"/>
      <c r="AO765" s="17"/>
    </row>
    <row r="766" spans="5:41" x14ac:dyDescent="0.25">
      <c r="E766" s="30"/>
      <c r="F766" s="30"/>
      <c r="G766" s="30"/>
      <c r="H766" s="30"/>
      <c r="L766" s="13"/>
      <c r="M766" s="17"/>
      <c r="N766" s="17"/>
      <c r="O766" s="70"/>
      <c r="P766" s="17"/>
      <c r="Q766" s="17"/>
      <c r="R766" s="17"/>
      <c r="S766" s="17"/>
      <c r="T766" s="17"/>
      <c r="U766" s="17"/>
      <c r="V766" s="17"/>
      <c r="W766" s="17"/>
      <c r="X766" s="17"/>
      <c r="Y766" s="17"/>
      <c r="Z766" s="17"/>
      <c r="AA766" s="17"/>
      <c r="AB766" s="17"/>
      <c r="AC766" s="17"/>
      <c r="AD766" s="17"/>
      <c r="AE766" s="17"/>
      <c r="AF766" s="17"/>
      <c r="AG766" s="17"/>
      <c r="AH766" s="17"/>
      <c r="AI766" s="17"/>
      <c r="AJ766" s="17"/>
      <c r="AK766" s="17"/>
      <c r="AL766" s="17"/>
      <c r="AM766" s="17"/>
      <c r="AN766" s="17"/>
      <c r="AO766" s="17"/>
    </row>
    <row r="767" spans="5:41" x14ac:dyDescent="0.25">
      <c r="E767" s="30"/>
      <c r="F767" s="30"/>
      <c r="G767" s="30"/>
      <c r="H767" s="30"/>
      <c r="L767" s="13"/>
      <c r="M767" s="17"/>
      <c r="N767" s="17"/>
      <c r="O767" s="70"/>
      <c r="P767" s="17"/>
      <c r="Q767" s="17"/>
      <c r="R767" s="17"/>
      <c r="S767" s="17"/>
      <c r="T767" s="17"/>
      <c r="U767" s="17"/>
      <c r="V767" s="17"/>
      <c r="W767" s="17"/>
      <c r="X767" s="17"/>
      <c r="Y767" s="17"/>
      <c r="Z767" s="17"/>
      <c r="AA767" s="17"/>
      <c r="AB767" s="17"/>
      <c r="AC767" s="17"/>
      <c r="AD767" s="17"/>
      <c r="AE767" s="17"/>
      <c r="AF767" s="17"/>
      <c r="AG767" s="17"/>
      <c r="AH767" s="17"/>
      <c r="AI767" s="17"/>
      <c r="AJ767" s="17"/>
      <c r="AK767" s="17"/>
      <c r="AL767" s="17"/>
      <c r="AM767" s="17"/>
      <c r="AN767" s="17"/>
      <c r="AO767" s="17"/>
    </row>
    <row r="768" spans="5:41" x14ac:dyDescent="0.25">
      <c r="E768" s="30"/>
      <c r="F768" s="30"/>
      <c r="G768" s="30"/>
      <c r="H768" s="30"/>
      <c r="L768" s="13"/>
      <c r="M768" s="17"/>
      <c r="N768" s="17"/>
      <c r="O768" s="70"/>
      <c r="P768" s="17"/>
      <c r="Q768" s="17"/>
      <c r="R768" s="17"/>
      <c r="S768" s="17"/>
      <c r="T768" s="17"/>
      <c r="U768" s="17"/>
      <c r="V768" s="17"/>
      <c r="W768" s="17"/>
      <c r="X768" s="17"/>
      <c r="Y768" s="17"/>
      <c r="Z768" s="17"/>
      <c r="AA768" s="17"/>
      <c r="AB768" s="17"/>
      <c r="AC768" s="17"/>
      <c r="AD768" s="17"/>
      <c r="AE768" s="17"/>
      <c r="AF768" s="17"/>
      <c r="AG768" s="17"/>
      <c r="AH768" s="17"/>
      <c r="AI768" s="17"/>
      <c r="AJ768" s="17"/>
      <c r="AK768" s="17"/>
      <c r="AL768" s="17"/>
      <c r="AM768" s="17"/>
      <c r="AN768" s="17"/>
      <c r="AO768" s="17"/>
    </row>
    <row r="769" spans="5:41" x14ac:dyDescent="0.25">
      <c r="E769" s="30"/>
      <c r="F769" s="30"/>
      <c r="G769" s="30"/>
      <c r="H769" s="30"/>
      <c r="L769" s="13"/>
      <c r="M769" s="17"/>
      <c r="N769" s="17"/>
      <c r="O769" s="70"/>
      <c r="P769" s="17"/>
      <c r="Q769" s="17"/>
      <c r="R769" s="17"/>
      <c r="S769" s="17"/>
      <c r="T769" s="17"/>
      <c r="U769" s="17"/>
      <c r="V769" s="17"/>
      <c r="W769" s="17"/>
      <c r="X769" s="17"/>
      <c r="Y769" s="17"/>
      <c r="Z769" s="17"/>
      <c r="AA769" s="17"/>
      <c r="AB769" s="17"/>
      <c r="AC769" s="17"/>
      <c r="AD769" s="17"/>
      <c r="AE769" s="17"/>
      <c r="AF769" s="17"/>
      <c r="AG769" s="17"/>
      <c r="AH769" s="17"/>
      <c r="AI769" s="17"/>
      <c r="AJ769" s="17"/>
      <c r="AK769" s="17"/>
      <c r="AL769" s="17"/>
      <c r="AM769" s="17"/>
      <c r="AN769" s="17"/>
      <c r="AO769" s="17"/>
    </row>
    <row r="770" spans="5:41" x14ac:dyDescent="0.25">
      <c r="E770" s="30"/>
      <c r="F770" s="30"/>
      <c r="G770" s="30"/>
      <c r="H770" s="30"/>
      <c r="L770" s="13"/>
      <c r="M770" s="17"/>
      <c r="N770" s="17"/>
      <c r="O770" s="70"/>
      <c r="P770" s="17"/>
      <c r="Q770" s="17"/>
      <c r="R770" s="17"/>
      <c r="S770" s="17"/>
      <c r="T770" s="17"/>
      <c r="U770" s="17"/>
      <c r="V770" s="17"/>
      <c r="W770" s="17"/>
      <c r="X770" s="17"/>
      <c r="Y770" s="17"/>
      <c r="Z770" s="17"/>
      <c r="AA770" s="17"/>
      <c r="AB770" s="17"/>
      <c r="AC770" s="17"/>
      <c r="AD770" s="17"/>
      <c r="AE770" s="17"/>
      <c r="AF770" s="17"/>
      <c r="AG770" s="17"/>
      <c r="AH770" s="17"/>
      <c r="AI770" s="17"/>
      <c r="AJ770" s="17"/>
      <c r="AK770" s="17"/>
      <c r="AL770" s="17"/>
      <c r="AM770" s="17"/>
      <c r="AN770" s="17"/>
      <c r="AO770" s="17"/>
    </row>
    <row r="771" spans="5:41" x14ac:dyDescent="0.25">
      <c r="E771" s="30"/>
      <c r="F771" s="30"/>
      <c r="G771" s="30"/>
      <c r="H771" s="30"/>
      <c r="L771" s="13"/>
      <c r="M771" s="17"/>
      <c r="N771" s="17"/>
      <c r="O771" s="70"/>
      <c r="P771" s="17"/>
      <c r="Q771" s="17"/>
      <c r="R771" s="17"/>
      <c r="S771" s="17"/>
      <c r="T771" s="17"/>
      <c r="U771" s="17"/>
      <c r="V771" s="17"/>
      <c r="W771" s="17"/>
      <c r="X771" s="17"/>
      <c r="Y771" s="17"/>
      <c r="Z771" s="17"/>
      <c r="AA771" s="17"/>
      <c r="AB771" s="17"/>
      <c r="AC771" s="17"/>
      <c r="AD771" s="17"/>
      <c r="AE771" s="17"/>
      <c r="AF771" s="17"/>
      <c r="AG771" s="17"/>
      <c r="AH771" s="17"/>
      <c r="AI771" s="17"/>
      <c r="AJ771" s="17"/>
      <c r="AK771" s="17"/>
      <c r="AL771" s="17"/>
      <c r="AM771" s="17"/>
      <c r="AN771" s="17"/>
      <c r="AO771" s="17"/>
    </row>
    <row r="772" spans="5:41" x14ac:dyDescent="0.25">
      <c r="E772" s="30"/>
      <c r="F772" s="30"/>
      <c r="G772" s="30"/>
      <c r="H772" s="30"/>
      <c r="L772" s="13"/>
      <c r="M772" s="17"/>
      <c r="N772" s="17"/>
      <c r="O772" s="70"/>
      <c r="P772" s="17"/>
      <c r="Q772" s="17"/>
      <c r="R772" s="17"/>
      <c r="S772" s="17"/>
      <c r="T772" s="17"/>
      <c r="U772" s="17"/>
      <c r="V772" s="17"/>
      <c r="W772" s="17"/>
      <c r="X772" s="17"/>
      <c r="Y772" s="17"/>
      <c r="Z772" s="17"/>
      <c r="AA772" s="17"/>
      <c r="AB772" s="17"/>
      <c r="AC772" s="17"/>
      <c r="AD772" s="17"/>
      <c r="AE772" s="17"/>
      <c r="AF772" s="17"/>
      <c r="AG772" s="17"/>
      <c r="AH772" s="17"/>
      <c r="AI772" s="17"/>
      <c r="AJ772" s="17"/>
      <c r="AK772" s="17"/>
      <c r="AL772" s="17"/>
      <c r="AM772" s="17"/>
      <c r="AN772" s="17"/>
      <c r="AO772" s="17"/>
    </row>
    <row r="773" spans="5:41" x14ac:dyDescent="0.25">
      <c r="E773" s="30"/>
      <c r="F773" s="30"/>
      <c r="G773" s="30"/>
      <c r="H773" s="30"/>
      <c r="L773" s="13"/>
      <c r="M773" s="17"/>
      <c r="N773" s="17"/>
      <c r="O773" s="70"/>
      <c r="P773" s="17"/>
      <c r="Q773" s="17"/>
      <c r="R773" s="17"/>
      <c r="S773" s="17"/>
      <c r="T773" s="17"/>
      <c r="U773" s="17"/>
      <c r="V773" s="17"/>
      <c r="W773" s="17"/>
      <c r="X773" s="17"/>
      <c r="Y773" s="17"/>
      <c r="Z773" s="17"/>
      <c r="AA773" s="17"/>
      <c r="AB773" s="17"/>
      <c r="AC773" s="17"/>
      <c r="AD773" s="17"/>
      <c r="AE773" s="17"/>
      <c r="AF773" s="17"/>
      <c r="AG773" s="17"/>
      <c r="AH773" s="17"/>
      <c r="AI773" s="17"/>
      <c r="AJ773" s="17"/>
      <c r="AK773" s="17"/>
      <c r="AL773" s="17"/>
      <c r="AM773" s="17"/>
      <c r="AN773" s="17"/>
      <c r="AO773" s="17"/>
    </row>
    <row r="774" spans="5:41" x14ac:dyDescent="0.25">
      <c r="E774" s="30"/>
      <c r="F774" s="30"/>
      <c r="G774" s="30"/>
      <c r="H774" s="30"/>
      <c r="L774" s="13"/>
      <c r="M774" s="17"/>
      <c r="N774" s="17"/>
      <c r="O774" s="70"/>
      <c r="P774" s="17"/>
      <c r="Q774" s="17"/>
      <c r="R774" s="17"/>
      <c r="S774" s="17"/>
      <c r="T774" s="17"/>
      <c r="U774" s="17"/>
      <c r="V774" s="17"/>
      <c r="W774" s="17"/>
      <c r="X774" s="17"/>
      <c r="Y774" s="17"/>
      <c r="Z774" s="17"/>
      <c r="AA774" s="17"/>
      <c r="AB774" s="17"/>
      <c r="AC774" s="17"/>
      <c r="AD774" s="17"/>
      <c r="AE774" s="17"/>
      <c r="AF774" s="17"/>
      <c r="AG774" s="17"/>
      <c r="AH774" s="17"/>
      <c r="AI774" s="17"/>
      <c r="AJ774" s="17"/>
      <c r="AK774" s="17"/>
      <c r="AL774" s="17"/>
      <c r="AM774" s="17"/>
      <c r="AN774" s="17"/>
      <c r="AO774" s="17"/>
    </row>
    <row r="775" spans="5:41" x14ac:dyDescent="0.25">
      <c r="E775" s="30"/>
      <c r="F775" s="30"/>
      <c r="G775" s="30"/>
      <c r="H775" s="30"/>
      <c r="L775" s="13"/>
      <c r="M775" s="17"/>
      <c r="N775" s="17"/>
      <c r="O775" s="70"/>
      <c r="P775" s="17"/>
      <c r="Q775" s="17"/>
      <c r="R775" s="17"/>
      <c r="S775" s="17"/>
      <c r="T775" s="17"/>
      <c r="U775" s="17"/>
      <c r="V775" s="17"/>
      <c r="W775" s="17"/>
      <c r="X775" s="17"/>
      <c r="Y775" s="17"/>
      <c r="Z775" s="17"/>
      <c r="AA775" s="17"/>
      <c r="AB775" s="17"/>
      <c r="AC775" s="17"/>
      <c r="AD775" s="17"/>
      <c r="AE775" s="17"/>
      <c r="AF775" s="17"/>
      <c r="AG775" s="17"/>
      <c r="AH775" s="17"/>
      <c r="AI775" s="17"/>
      <c r="AJ775" s="17"/>
      <c r="AK775" s="17"/>
      <c r="AL775" s="17"/>
      <c r="AM775" s="17"/>
      <c r="AN775" s="17"/>
      <c r="AO775" s="17"/>
    </row>
    <row r="776" spans="5:41" x14ac:dyDescent="0.25">
      <c r="E776" s="30"/>
      <c r="F776" s="30"/>
      <c r="G776" s="30"/>
      <c r="H776" s="30"/>
      <c r="L776" s="13"/>
      <c r="M776" s="17"/>
      <c r="N776" s="17"/>
      <c r="O776" s="70"/>
      <c r="P776" s="17"/>
      <c r="Q776" s="17"/>
      <c r="R776" s="17"/>
      <c r="S776" s="17"/>
      <c r="T776" s="17"/>
      <c r="U776" s="17"/>
      <c r="V776" s="17"/>
      <c r="W776" s="17"/>
      <c r="X776" s="17"/>
      <c r="Y776" s="17"/>
      <c r="Z776" s="17"/>
      <c r="AA776" s="17"/>
      <c r="AB776" s="17"/>
      <c r="AC776" s="17"/>
      <c r="AD776" s="17"/>
      <c r="AE776" s="17"/>
      <c r="AF776" s="17"/>
      <c r="AG776" s="17"/>
      <c r="AH776" s="17"/>
      <c r="AI776" s="17"/>
      <c r="AJ776" s="17"/>
      <c r="AK776" s="17"/>
      <c r="AL776" s="17"/>
      <c r="AM776" s="17"/>
      <c r="AN776" s="17"/>
      <c r="AO776" s="17"/>
    </row>
    <row r="777" spans="5:41" x14ac:dyDescent="0.25">
      <c r="E777" s="30"/>
      <c r="F777" s="30"/>
      <c r="G777" s="30"/>
      <c r="H777" s="30"/>
      <c r="L777" s="13"/>
      <c r="M777" s="17"/>
      <c r="N777" s="17"/>
      <c r="O777" s="70"/>
      <c r="P777" s="17"/>
      <c r="Q777" s="17"/>
      <c r="R777" s="17"/>
      <c r="S777" s="17"/>
      <c r="T777" s="17"/>
      <c r="U777" s="17"/>
      <c r="V777" s="17"/>
      <c r="W777" s="17"/>
      <c r="X777" s="17"/>
      <c r="Y777" s="17"/>
      <c r="Z777" s="17"/>
      <c r="AA777" s="17"/>
      <c r="AB777" s="17"/>
      <c r="AC777" s="17"/>
      <c r="AD777" s="17"/>
      <c r="AE777" s="17"/>
      <c r="AF777" s="17"/>
      <c r="AG777" s="17"/>
      <c r="AH777" s="17"/>
      <c r="AI777" s="17"/>
      <c r="AJ777" s="17"/>
      <c r="AK777" s="17"/>
      <c r="AL777" s="17"/>
      <c r="AM777" s="17"/>
      <c r="AN777" s="17"/>
      <c r="AO777" s="17"/>
    </row>
    <row r="778" spans="5:41" x14ac:dyDescent="0.25">
      <c r="E778" s="30"/>
      <c r="F778" s="30"/>
      <c r="G778" s="30"/>
      <c r="H778" s="30"/>
      <c r="L778" s="13"/>
      <c r="M778" s="17"/>
      <c r="N778" s="17"/>
      <c r="O778" s="70"/>
      <c r="P778" s="17"/>
      <c r="Q778" s="17"/>
      <c r="R778" s="17"/>
      <c r="S778" s="17"/>
      <c r="T778" s="17"/>
      <c r="U778" s="17"/>
      <c r="V778" s="17"/>
      <c r="W778" s="17"/>
      <c r="X778" s="17"/>
      <c r="Y778" s="17"/>
      <c r="Z778" s="17"/>
      <c r="AA778" s="17"/>
      <c r="AB778" s="17"/>
      <c r="AC778" s="17"/>
      <c r="AD778" s="17"/>
      <c r="AE778" s="17"/>
      <c r="AF778" s="17"/>
      <c r="AG778" s="17"/>
      <c r="AH778" s="17"/>
      <c r="AI778" s="17"/>
      <c r="AJ778" s="17"/>
      <c r="AK778" s="17"/>
      <c r="AL778" s="17"/>
      <c r="AM778" s="17"/>
      <c r="AN778" s="17"/>
      <c r="AO778" s="17"/>
    </row>
    <row r="779" spans="5:41" x14ac:dyDescent="0.25">
      <c r="E779" s="30"/>
      <c r="F779" s="30"/>
      <c r="G779" s="30"/>
      <c r="H779" s="30"/>
      <c r="L779" s="13"/>
      <c r="M779" s="17"/>
      <c r="N779" s="17"/>
      <c r="O779" s="70"/>
      <c r="P779" s="17"/>
      <c r="Q779" s="17"/>
      <c r="R779" s="17"/>
      <c r="S779" s="17"/>
      <c r="T779" s="17"/>
      <c r="U779" s="17"/>
      <c r="V779" s="17"/>
      <c r="W779" s="17"/>
      <c r="X779" s="17"/>
      <c r="Y779" s="17"/>
      <c r="Z779" s="17"/>
      <c r="AA779" s="17"/>
      <c r="AB779" s="17"/>
      <c r="AC779" s="17"/>
      <c r="AD779" s="17"/>
      <c r="AE779" s="17"/>
      <c r="AF779" s="17"/>
      <c r="AG779" s="17"/>
      <c r="AH779" s="17"/>
      <c r="AI779" s="17"/>
      <c r="AJ779" s="17"/>
      <c r="AK779" s="17"/>
      <c r="AL779" s="17"/>
      <c r="AM779" s="17"/>
      <c r="AN779" s="17"/>
      <c r="AO779" s="17"/>
    </row>
    <row r="780" spans="5:41" x14ac:dyDescent="0.25">
      <c r="E780" s="30"/>
      <c r="F780" s="30"/>
      <c r="G780" s="30"/>
      <c r="H780" s="30"/>
      <c r="L780" s="13"/>
      <c r="M780" s="17"/>
      <c r="N780" s="17"/>
      <c r="O780" s="70"/>
      <c r="P780" s="17"/>
      <c r="Q780" s="17"/>
      <c r="R780" s="17"/>
      <c r="S780" s="17"/>
      <c r="T780" s="17"/>
      <c r="U780" s="17"/>
      <c r="V780" s="17"/>
      <c r="W780" s="17"/>
      <c r="X780" s="17"/>
      <c r="Y780" s="17"/>
      <c r="Z780" s="17"/>
      <c r="AA780" s="17"/>
      <c r="AB780" s="17"/>
      <c r="AC780" s="17"/>
      <c r="AD780" s="17"/>
      <c r="AE780" s="17"/>
      <c r="AF780" s="17"/>
      <c r="AG780" s="17"/>
      <c r="AH780" s="17"/>
      <c r="AI780" s="17"/>
      <c r="AJ780" s="17"/>
      <c r="AK780" s="17"/>
      <c r="AL780" s="17"/>
      <c r="AM780" s="17"/>
      <c r="AN780" s="17"/>
      <c r="AO780" s="17"/>
    </row>
    <row r="781" spans="5:41" x14ac:dyDescent="0.25">
      <c r="E781" s="30"/>
      <c r="F781" s="30"/>
      <c r="G781" s="30"/>
      <c r="H781" s="30"/>
      <c r="L781" s="13"/>
      <c r="M781" s="17"/>
      <c r="N781" s="17"/>
      <c r="O781" s="70"/>
      <c r="P781" s="17"/>
      <c r="Q781" s="17"/>
      <c r="R781" s="17"/>
      <c r="S781" s="17"/>
      <c r="T781" s="17"/>
      <c r="U781" s="17"/>
      <c r="V781" s="17"/>
      <c r="W781" s="17"/>
      <c r="X781" s="17"/>
      <c r="Y781" s="17"/>
      <c r="Z781" s="17"/>
      <c r="AA781" s="17"/>
      <c r="AB781" s="17"/>
      <c r="AC781" s="17"/>
      <c r="AD781" s="17"/>
      <c r="AE781" s="17"/>
      <c r="AF781" s="17"/>
      <c r="AG781" s="17"/>
      <c r="AH781" s="17"/>
      <c r="AI781" s="17"/>
      <c r="AJ781" s="17"/>
      <c r="AK781" s="17"/>
      <c r="AL781" s="17"/>
      <c r="AM781" s="17"/>
      <c r="AN781" s="17"/>
      <c r="AO781" s="17"/>
    </row>
    <row r="782" spans="5:41" x14ac:dyDescent="0.25">
      <c r="E782" s="30"/>
      <c r="F782" s="30"/>
      <c r="G782" s="30"/>
      <c r="H782" s="30"/>
      <c r="L782" s="13"/>
      <c r="M782" s="17"/>
      <c r="N782" s="17"/>
      <c r="O782" s="70"/>
      <c r="P782" s="17"/>
      <c r="Q782" s="17"/>
      <c r="R782" s="17"/>
      <c r="S782" s="17"/>
      <c r="T782" s="17"/>
      <c r="U782" s="17"/>
      <c r="V782" s="17"/>
      <c r="W782" s="17"/>
      <c r="X782" s="17"/>
      <c r="Y782" s="17"/>
      <c r="Z782" s="17"/>
      <c r="AA782" s="17"/>
      <c r="AB782" s="17"/>
      <c r="AC782" s="17"/>
      <c r="AD782" s="17"/>
      <c r="AE782" s="17"/>
      <c r="AF782" s="17"/>
      <c r="AG782" s="17"/>
      <c r="AH782" s="17"/>
      <c r="AI782" s="17"/>
      <c r="AJ782" s="17"/>
      <c r="AK782" s="17"/>
      <c r="AL782" s="17"/>
      <c r="AM782" s="17"/>
      <c r="AN782" s="17"/>
      <c r="AO782" s="17"/>
    </row>
    <row r="783" spans="5:41" x14ac:dyDescent="0.25">
      <c r="E783" s="30"/>
      <c r="F783" s="30"/>
      <c r="G783" s="30"/>
      <c r="H783" s="30"/>
      <c r="L783" s="13"/>
      <c r="M783" s="17"/>
      <c r="N783" s="17"/>
      <c r="O783" s="70"/>
      <c r="P783" s="17"/>
      <c r="Q783" s="17"/>
      <c r="R783" s="17"/>
      <c r="S783" s="17"/>
      <c r="T783" s="17"/>
      <c r="U783" s="17"/>
      <c r="V783" s="17"/>
      <c r="W783" s="17"/>
      <c r="X783" s="17"/>
      <c r="Y783" s="17"/>
      <c r="Z783" s="17"/>
      <c r="AA783" s="17"/>
      <c r="AB783" s="17"/>
      <c r="AC783" s="17"/>
      <c r="AD783" s="17"/>
      <c r="AE783" s="17"/>
      <c r="AF783" s="17"/>
      <c r="AG783" s="17"/>
      <c r="AH783" s="17"/>
      <c r="AI783" s="17"/>
      <c r="AJ783" s="17"/>
      <c r="AK783" s="17"/>
      <c r="AL783" s="17"/>
      <c r="AM783" s="17"/>
      <c r="AN783" s="17"/>
      <c r="AO783" s="17"/>
    </row>
    <row r="784" spans="5:41" x14ac:dyDescent="0.25">
      <c r="E784" s="30"/>
      <c r="F784" s="30"/>
      <c r="G784" s="30"/>
      <c r="H784" s="30"/>
      <c r="L784" s="13"/>
      <c r="M784" s="17"/>
      <c r="N784" s="17"/>
      <c r="O784" s="70"/>
      <c r="P784" s="17"/>
      <c r="Q784" s="17"/>
      <c r="R784" s="17"/>
      <c r="S784" s="17"/>
      <c r="T784" s="17"/>
      <c r="U784" s="17"/>
      <c r="V784" s="17"/>
      <c r="W784" s="17"/>
      <c r="X784" s="17"/>
      <c r="Y784" s="17"/>
      <c r="Z784" s="17"/>
      <c r="AA784" s="17"/>
      <c r="AB784" s="17"/>
      <c r="AC784" s="17"/>
      <c r="AD784" s="17"/>
      <c r="AE784" s="17"/>
      <c r="AF784" s="17"/>
      <c r="AG784" s="17"/>
      <c r="AH784" s="17"/>
      <c r="AI784" s="17"/>
      <c r="AJ784" s="17"/>
      <c r="AK784" s="17"/>
      <c r="AL784" s="17"/>
      <c r="AM784" s="17"/>
      <c r="AN784" s="17"/>
      <c r="AO784" s="17"/>
    </row>
    <row r="785" spans="5:41" x14ac:dyDescent="0.25">
      <c r="E785" s="30"/>
      <c r="F785" s="30"/>
      <c r="G785" s="30"/>
      <c r="H785" s="30"/>
      <c r="L785" s="13"/>
      <c r="M785" s="17"/>
      <c r="N785" s="17"/>
      <c r="O785" s="70"/>
      <c r="P785" s="17"/>
      <c r="Q785" s="17"/>
      <c r="R785" s="17"/>
      <c r="S785" s="17"/>
      <c r="T785" s="17"/>
      <c r="U785" s="17"/>
      <c r="V785" s="17"/>
      <c r="W785" s="17"/>
      <c r="X785" s="17"/>
      <c r="Y785" s="17"/>
      <c r="Z785" s="17"/>
      <c r="AA785" s="17"/>
      <c r="AB785" s="17"/>
      <c r="AC785" s="17"/>
      <c r="AD785" s="17"/>
      <c r="AE785" s="17"/>
      <c r="AF785" s="17"/>
      <c r="AG785" s="17"/>
      <c r="AH785" s="17"/>
      <c r="AI785" s="17"/>
      <c r="AJ785" s="17"/>
      <c r="AK785" s="17"/>
      <c r="AL785" s="17"/>
      <c r="AM785" s="17"/>
      <c r="AN785" s="17"/>
      <c r="AO785" s="17"/>
    </row>
    <row r="786" spans="5:41" x14ac:dyDescent="0.25">
      <c r="E786" s="30"/>
      <c r="F786" s="30"/>
      <c r="G786" s="30"/>
      <c r="H786" s="30"/>
      <c r="L786" s="13"/>
      <c r="M786" s="17"/>
      <c r="N786" s="17"/>
      <c r="O786" s="70"/>
      <c r="P786" s="17"/>
      <c r="Q786" s="17"/>
      <c r="R786" s="17"/>
      <c r="S786" s="17"/>
      <c r="T786" s="17"/>
      <c r="U786" s="17"/>
      <c r="V786" s="17"/>
      <c r="W786" s="17"/>
      <c r="X786" s="17"/>
      <c r="Y786" s="17"/>
      <c r="Z786" s="17"/>
      <c r="AA786" s="17"/>
      <c r="AB786" s="17"/>
      <c r="AC786" s="17"/>
      <c r="AD786" s="17"/>
      <c r="AE786" s="17"/>
      <c r="AF786" s="17"/>
      <c r="AG786" s="17"/>
      <c r="AH786" s="17"/>
      <c r="AI786" s="17"/>
      <c r="AJ786" s="17"/>
      <c r="AK786" s="17"/>
      <c r="AL786" s="17"/>
      <c r="AM786" s="17"/>
      <c r="AN786" s="17"/>
      <c r="AO786" s="17"/>
    </row>
    <row r="787" spans="5:41" x14ac:dyDescent="0.25">
      <c r="E787" s="30"/>
      <c r="F787" s="30"/>
      <c r="G787" s="30"/>
      <c r="H787" s="30"/>
      <c r="L787" s="13"/>
      <c r="M787" s="17"/>
      <c r="N787" s="17"/>
      <c r="O787" s="70"/>
      <c r="P787" s="17"/>
      <c r="Q787" s="17"/>
      <c r="R787" s="17"/>
      <c r="S787" s="17"/>
      <c r="T787" s="17"/>
      <c r="U787" s="17"/>
      <c r="V787" s="17"/>
      <c r="W787" s="17"/>
      <c r="X787" s="17"/>
      <c r="Y787" s="17"/>
      <c r="Z787" s="17"/>
      <c r="AA787" s="17"/>
      <c r="AB787" s="17"/>
      <c r="AC787" s="17"/>
      <c r="AD787" s="17"/>
      <c r="AE787" s="17"/>
      <c r="AF787" s="17"/>
      <c r="AG787" s="17"/>
      <c r="AH787" s="17"/>
      <c r="AI787" s="17"/>
      <c r="AJ787" s="17"/>
      <c r="AK787" s="17"/>
      <c r="AL787" s="17"/>
      <c r="AM787" s="17"/>
      <c r="AN787" s="17"/>
      <c r="AO787" s="17"/>
    </row>
    <row r="788" spans="5:41" x14ac:dyDescent="0.25">
      <c r="E788" s="30"/>
      <c r="F788" s="30"/>
      <c r="G788" s="30"/>
      <c r="H788" s="30"/>
      <c r="L788" s="13"/>
      <c r="M788" s="17"/>
      <c r="N788" s="17"/>
      <c r="O788" s="70"/>
      <c r="P788" s="17"/>
      <c r="Q788" s="17"/>
      <c r="R788" s="17"/>
      <c r="S788" s="17"/>
      <c r="T788" s="17"/>
      <c r="U788" s="17"/>
      <c r="V788" s="17"/>
      <c r="W788" s="17"/>
      <c r="X788" s="17"/>
      <c r="Y788" s="17"/>
      <c r="Z788" s="17"/>
      <c r="AA788" s="17"/>
      <c r="AB788" s="17"/>
      <c r="AC788" s="17"/>
      <c r="AD788" s="17"/>
      <c r="AE788" s="17"/>
      <c r="AF788" s="17"/>
      <c r="AG788" s="17"/>
      <c r="AH788" s="17"/>
      <c r="AI788" s="17"/>
      <c r="AJ788" s="17"/>
      <c r="AK788" s="17"/>
      <c r="AL788" s="17"/>
      <c r="AM788" s="17"/>
      <c r="AN788" s="17"/>
      <c r="AO788" s="17"/>
    </row>
    <row r="789" spans="5:41" x14ac:dyDescent="0.25">
      <c r="E789" s="30"/>
      <c r="F789" s="30"/>
      <c r="G789" s="30"/>
      <c r="H789" s="30"/>
      <c r="L789" s="13"/>
      <c r="M789" s="17"/>
      <c r="N789" s="17"/>
      <c r="O789" s="70"/>
      <c r="P789" s="17"/>
      <c r="Q789" s="17"/>
      <c r="R789" s="17"/>
      <c r="S789" s="17"/>
      <c r="T789" s="17"/>
      <c r="U789" s="17"/>
      <c r="V789" s="17"/>
      <c r="W789" s="17"/>
      <c r="X789" s="17"/>
      <c r="Y789" s="17"/>
      <c r="Z789" s="17"/>
      <c r="AA789" s="17"/>
      <c r="AB789" s="17"/>
      <c r="AC789" s="17"/>
      <c r="AD789" s="17"/>
      <c r="AE789" s="17"/>
      <c r="AF789" s="17"/>
      <c r="AG789" s="17"/>
      <c r="AH789" s="17"/>
      <c r="AI789" s="17"/>
      <c r="AJ789" s="17"/>
      <c r="AK789" s="17"/>
      <c r="AL789" s="17"/>
      <c r="AM789" s="17"/>
      <c r="AN789" s="17"/>
      <c r="AO789" s="17"/>
    </row>
    <row r="790" spans="5:41" x14ac:dyDescent="0.25">
      <c r="E790" s="30"/>
      <c r="F790" s="30"/>
      <c r="G790" s="30"/>
      <c r="H790" s="30"/>
      <c r="L790" s="13"/>
      <c r="M790" s="17"/>
      <c r="N790" s="17"/>
      <c r="O790" s="70"/>
      <c r="P790" s="17"/>
      <c r="Q790" s="17"/>
      <c r="R790" s="17"/>
      <c r="S790" s="17"/>
      <c r="T790" s="17"/>
      <c r="U790" s="17"/>
      <c r="V790" s="17"/>
      <c r="W790" s="17"/>
      <c r="X790" s="17"/>
      <c r="Y790" s="17"/>
      <c r="Z790" s="17"/>
      <c r="AA790" s="17"/>
      <c r="AB790" s="17"/>
      <c r="AC790" s="17"/>
      <c r="AD790" s="17"/>
      <c r="AE790" s="17"/>
      <c r="AF790" s="17"/>
      <c r="AG790" s="17"/>
      <c r="AH790" s="17"/>
      <c r="AI790" s="17"/>
      <c r="AJ790" s="17"/>
      <c r="AK790" s="17"/>
      <c r="AL790" s="17"/>
      <c r="AM790" s="17"/>
      <c r="AN790" s="17"/>
      <c r="AO790" s="17"/>
    </row>
    <row r="791" spans="5:41" x14ac:dyDescent="0.25">
      <c r="E791" s="30"/>
      <c r="F791" s="30"/>
      <c r="G791" s="30"/>
      <c r="H791" s="30"/>
      <c r="L791" s="13"/>
      <c r="M791" s="17"/>
      <c r="N791" s="17"/>
      <c r="O791" s="70"/>
      <c r="P791" s="17"/>
      <c r="Q791" s="17"/>
      <c r="R791" s="17"/>
      <c r="S791" s="17"/>
      <c r="T791" s="17"/>
      <c r="U791" s="17"/>
      <c r="V791" s="17"/>
      <c r="W791" s="17"/>
      <c r="X791" s="17"/>
      <c r="Y791" s="17"/>
      <c r="Z791" s="17"/>
      <c r="AA791" s="17"/>
      <c r="AB791" s="17"/>
      <c r="AC791" s="17"/>
      <c r="AD791" s="17"/>
      <c r="AE791" s="17"/>
      <c r="AF791" s="17"/>
      <c r="AG791" s="17"/>
      <c r="AH791" s="17"/>
      <c r="AI791" s="17"/>
      <c r="AJ791" s="17"/>
      <c r="AK791" s="17"/>
      <c r="AL791" s="17"/>
      <c r="AM791" s="17"/>
      <c r="AN791" s="17"/>
      <c r="AO791" s="17"/>
    </row>
    <row r="792" spans="5:41" x14ac:dyDescent="0.25">
      <c r="E792" s="30"/>
      <c r="F792" s="30"/>
      <c r="G792" s="30"/>
      <c r="H792" s="30"/>
      <c r="L792" s="13"/>
      <c r="M792" s="17"/>
      <c r="N792" s="17"/>
      <c r="O792" s="70"/>
      <c r="P792" s="17"/>
      <c r="Q792" s="17"/>
      <c r="R792" s="17"/>
      <c r="S792" s="17"/>
      <c r="T792" s="17"/>
      <c r="U792" s="17"/>
      <c r="V792" s="17"/>
      <c r="W792" s="17"/>
      <c r="X792" s="17"/>
      <c r="Y792" s="17"/>
      <c r="Z792" s="17"/>
      <c r="AA792" s="17"/>
      <c r="AB792" s="17"/>
      <c r="AC792" s="17"/>
      <c r="AD792" s="17"/>
      <c r="AE792" s="17"/>
      <c r="AF792" s="17"/>
      <c r="AG792" s="17"/>
      <c r="AH792" s="17"/>
      <c r="AI792" s="17"/>
      <c r="AJ792" s="17"/>
      <c r="AK792" s="17"/>
      <c r="AL792" s="17"/>
      <c r="AM792" s="17"/>
      <c r="AN792" s="17"/>
      <c r="AO792" s="17"/>
    </row>
    <row r="793" spans="5:41" x14ac:dyDescent="0.25">
      <c r="E793" s="30"/>
      <c r="F793" s="30"/>
      <c r="G793" s="30"/>
      <c r="H793" s="30"/>
      <c r="L793" s="13"/>
      <c r="M793" s="17"/>
      <c r="N793" s="17"/>
      <c r="O793" s="70"/>
      <c r="P793" s="17"/>
      <c r="Q793" s="17"/>
      <c r="R793" s="17"/>
      <c r="S793" s="17"/>
      <c r="T793" s="17"/>
      <c r="U793" s="17"/>
      <c r="V793" s="17"/>
      <c r="W793" s="17"/>
      <c r="X793" s="17"/>
      <c r="Y793" s="17"/>
      <c r="Z793" s="17"/>
      <c r="AA793" s="17"/>
      <c r="AB793" s="17"/>
      <c r="AC793" s="17"/>
      <c r="AD793" s="17"/>
      <c r="AE793" s="17"/>
      <c r="AF793" s="17"/>
      <c r="AG793" s="17"/>
      <c r="AH793" s="17"/>
      <c r="AI793" s="17"/>
      <c r="AJ793" s="17"/>
      <c r="AK793" s="17"/>
      <c r="AL793" s="17"/>
      <c r="AM793" s="17"/>
      <c r="AN793" s="17"/>
      <c r="AO793" s="17"/>
    </row>
    <row r="794" spans="5:41" x14ac:dyDescent="0.25">
      <c r="E794" s="30"/>
      <c r="F794" s="30"/>
      <c r="G794" s="30"/>
      <c r="H794" s="30"/>
      <c r="L794" s="13"/>
      <c r="M794" s="17"/>
      <c r="N794" s="17"/>
      <c r="O794" s="70"/>
      <c r="P794" s="17"/>
      <c r="Q794" s="17"/>
      <c r="R794" s="17"/>
      <c r="S794" s="17"/>
      <c r="T794" s="17"/>
      <c r="U794" s="17"/>
      <c r="V794" s="17"/>
      <c r="W794" s="17"/>
      <c r="X794" s="17"/>
      <c r="Y794" s="17"/>
      <c r="Z794" s="17"/>
      <c r="AA794" s="17"/>
      <c r="AB794" s="17"/>
      <c r="AC794" s="17"/>
      <c r="AD794" s="17"/>
      <c r="AE794" s="17"/>
      <c r="AF794" s="17"/>
      <c r="AG794" s="17"/>
      <c r="AH794" s="17"/>
      <c r="AI794" s="17"/>
      <c r="AJ794" s="17"/>
      <c r="AK794" s="17"/>
      <c r="AL794" s="17"/>
      <c r="AM794" s="17"/>
      <c r="AN794" s="17"/>
      <c r="AO794" s="17"/>
    </row>
    <row r="795" spans="5:41" x14ac:dyDescent="0.25">
      <c r="E795" s="30"/>
      <c r="F795" s="30"/>
      <c r="G795" s="30"/>
      <c r="H795" s="30"/>
      <c r="L795" s="13"/>
      <c r="M795" s="17"/>
      <c r="N795" s="17"/>
      <c r="O795" s="70"/>
      <c r="P795" s="17"/>
      <c r="Q795" s="17"/>
      <c r="R795" s="17"/>
      <c r="S795" s="17"/>
      <c r="T795" s="17"/>
      <c r="U795" s="17"/>
      <c r="V795" s="17"/>
      <c r="W795" s="17"/>
      <c r="X795" s="17"/>
      <c r="Y795" s="17"/>
      <c r="Z795" s="17"/>
      <c r="AA795" s="17"/>
      <c r="AB795" s="17"/>
      <c r="AC795" s="17"/>
      <c r="AD795" s="17"/>
      <c r="AE795" s="17"/>
      <c r="AF795" s="17"/>
      <c r="AG795" s="17"/>
      <c r="AH795" s="17"/>
      <c r="AI795" s="17"/>
      <c r="AJ795" s="17"/>
      <c r="AK795" s="17"/>
      <c r="AL795" s="17"/>
      <c r="AM795" s="17"/>
      <c r="AN795" s="17"/>
      <c r="AO795" s="17"/>
    </row>
    <row r="796" spans="5:41" x14ac:dyDescent="0.25">
      <c r="E796" s="30"/>
      <c r="F796" s="30"/>
      <c r="G796" s="30"/>
      <c r="H796" s="30"/>
      <c r="L796" s="13"/>
      <c r="M796" s="17"/>
      <c r="N796" s="17"/>
      <c r="O796" s="70"/>
      <c r="P796" s="17"/>
      <c r="Q796" s="17"/>
      <c r="R796" s="17"/>
      <c r="S796" s="17"/>
      <c r="T796" s="17"/>
      <c r="U796" s="17"/>
      <c r="V796" s="17"/>
      <c r="W796" s="17"/>
      <c r="X796" s="17"/>
      <c r="Y796" s="17"/>
      <c r="Z796" s="17"/>
      <c r="AA796" s="17"/>
      <c r="AB796" s="17"/>
      <c r="AC796" s="17"/>
      <c r="AD796" s="17"/>
      <c r="AE796" s="17"/>
      <c r="AF796" s="17"/>
      <c r="AG796" s="17"/>
      <c r="AH796" s="17"/>
      <c r="AI796" s="17"/>
      <c r="AJ796" s="17"/>
      <c r="AK796" s="17"/>
      <c r="AL796" s="17"/>
      <c r="AM796" s="17"/>
      <c r="AN796" s="17"/>
      <c r="AO796" s="17"/>
    </row>
    <row r="797" spans="5:41" x14ac:dyDescent="0.25">
      <c r="E797" s="30"/>
      <c r="F797" s="30"/>
      <c r="G797" s="30"/>
      <c r="H797" s="30"/>
      <c r="L797" s="13"/>
      <c r="M797" s="17"/>
      <c r="N797" s="17"/>
      <c r="O797" s="70"/>
      <c r="P797" s="17"/>
      <c r="Q797" s="17"/>
      <c r="R797" s="17"/>
      <c r="S797" s="17"/>
      <c r="T797" s="17"/>
      <c r="U797" s="17"/>
      <c r="V797" s="17"/>
      <c r="W797" s="17"/>
      <c r="X797" s="17"/>
      <c r="Y797" s="17"/>
      <c r="Z797" s="17"/>
      <c r="AA797" s="17"/>
      <c r="AB797" s="17"/>
      <c r="AC797" s="17"/>
      <c r="AD797" s="17"/>
      <c r="AE797" s="17"/>
      <c r="AF797" s="17"/>
      <c r="AG797" s="17"/>
      <c r="AH797" s="17"/>
      <c r="AI797" s="17"/>
      <c r="AJ797" s="17"/>
      <c r="AK797" s="17"/>
      <c r="AL797" s="17"/>
      <c r="AM797" s="17"/>
      <c r="AN797" s="17"/>
      <c r="AO797" s="17"/>
    </row>
    <row r="798" spans="5:41" x14ac:dyDescent="0.25">
      <c r="E798" s="30"/>
      <c r="F798" s="30"/>
      <c r="G798" s="30"/>
      <c r="H798" s="30"/>
      <c r="L798" s="13"/>
      <c r="M798" s="17"/>
      <c r="N798" s="17"/>
      <c r="O798" s="70"/>
      <c r="P798" s="17"/>
      <c r="Q798" s="17"/>
      <c r="R798" s="17"/>
      <c r="S798" s="17"/>
      <c r="T798" s="17"/>
      <c r="U798" s="17"/>
      <c r="V798" s="17"/>
      <c r="W798" s="17"/>
      <c r="X798" s="17"/>
      <c r="Y798" s="17"/>
      <c r="Z798" s="17"/>
      <c r="AA798" s="17"/>
      <c r="AB798" s="17"/>
      <c r="AC798" s="17"/>
      <c r="AD798" s="17"/>
      <c r="AE798" s="17"/>
      <c r="AF798" s="17"/>
      <c r="AG798" s="17"/>
      <c r="AH798" s="17"/>
      <c r="AI798" s="17"/>
      <c r="AJ798" s="17"/>
      <c r="AK798" s="17"/>
      <c r="AL798" s="17"/>
      <c r="AM798" s="17"/>
      <c r="AN798" s="17"/>
      <c r="AO798" s="17"/>
    </row>
    <row r="799" spans="5:41" x14ac:dyDescent="0.25">
      <c r="E799" s="30"/>
      <c r="F799" s="30"/>
      <c r="G799" s="30"/>
      <c r="H799" s="30"/>
      <c r="L799" s="13"/>
      <c r="M799" s="17"/>
      <c r="N799" s="17"/>
      <c r="O799" s="70"/>
      <c r="P799" s="17"/>
      <c r="Q799" s="17"/>
      <c r="R799" s="17"/>
      <c r="S799" s="17"/>
      <c r="T799" s="17"/>
      <c r="U799" s="17"/>
      <c r="V799" s="17"/>
      <c r="W799" s="17"/>
      <c r="X799" s="17"/>
      <c r="Y799" s="17"/>
      <c r="Z799" s="17"/>
      <c r="AA799" s="17"/>
      <c r="AB799" s="17"/>
      <c r="AC799" s="17"/>
      <c r="AD799" s="17"/>
      <c r="AE799" s="17"/>
      <c r="AF799" s="17"/>
      <c r="AG799" s="17"/>
      <c r="AH799" s="17"/>
      <c r="AI799" s="17"/>
      <c r="AJ799" s="17"/>
      <c r="AK799" s="17"/>
      <c r="AL799" s="17"/>
      <c r="AM799" s="17"/>
      <c r="AN799" s="17"/>
      <c r="AO799" s="17"/>
    </row>
    <row r="800" spans="5:41" x14ac:dyDescent="0.25">
      <c r="E800" s="30"/>
      <c r="F800" s="30"/>
      <c r="G800" s="30"/>
      <c r="H800" s="30"/>
      <c r="L800" s="13"/>
      <c r="M800" s="17"/>
      <c r="N800" s="17"/>
      <c r="O800" s="70"/>
      <c r="P800" s="17"/>
      <c r="Q800" s="17"/>
      <c r="R800" s="17"/>
      <c r="S800" s="17"/>
      <c r="T800" s="17"/>
      <c r="U800" s="17"/>
      <c r="V800" s="17"/>
      <c r="W800" s="17"/>
      <c r="X800" s="17"/>
      <c r="Y800" s="17"/>
      <c r="Z800" s="17"/>
      <c r="AA800" s="17"/>
      <c r="AB800" s="17"/>
      <c r="AC800" s="17"/>
      <c r="AD800" s="17"/>
      <c r="AE800" s="17"/>
      <c r="AF800" s="17"/>
      <c r="AG800" s="17"/>
      <c r="AH800" s="17"/>
      <c r="AI800" s="17"/>
      <c r="AJ800" s="17"/>
      <c r="AK800" s="17"/>
      <c r="AL800" s="17"/>
      <c r="AM800" s="17"/>
      <c r="AN800" s="17"/>
      <c r="AO800" s="17"/>
    </row>
    <row r="801" spans="5:41" x14ac:dyDescent="0.25">
      <c r="E801" s="30"/>
      <c r="F801" s="30"/>
      <c r="G801" s="30"/>
      <c r="H801" s="30"/>
      <c r="L801" s="13"/>
      <c r="M801" s="17"/>
      <c r="N801" s="17"/>
      <c r="O801" s="70"/>
      <c r="P801" s="17"/>
      <c r="Q801" s="17"/>
      <c r="R801" s="17"/>
      <c r="S801" s="17"/>
      <c r="T801" s="17"/>
      <c r="U801" s="17"/>
      <c r="V801" s="17"/>
      <c r="W801" s="17"/>
      <c r="X801" s="17"/>
      <c r="Y801" s="17"/>
      <c r="Z801" s="17"/>
      <c r="AA801" s="17"/>
      <c r="AB801" s="17"/>
      <c r="AC801" s="17"/>
      <c r="AD801" s="17"/>
      <c r="AE801" s="17"/>
      <c r="AF801" s="17"/>
      <c r="AG801" s="17"/>
      <c r="AH801" s="17"/>
      <c r="AI801" s="17"/>
      <c r="AJ801" s="17"/>
      <c r="AK801" s="17"/>
      <c r="AL801" s="17"/>
      <c r="AM801" s="17"/>
      <c r="AN801" s="17"/>
      <c r="AO801" s="17"/>
    </row>
    <row r="802" spans="5:41" x14ac:dyDescent="0.25">
      <c r="E802" s="30"/>
      <c r="F802" s="30"/>
      <c r="G802" s="30"/>
      <c r="H802" s="30"/>
      <c r="L802" s="13"/>
      <c r="M802" s="17"/>
      <c r="N802" s="17"/>
      <c r="O802" s="70"/>
      <c r="P802" s="17"/>
      <c r="Q802" s="17"/>
      <c r="R802" s="17"/>
      <c r="S802" s="17"/>
      <c r="T802" s="17"/>
      <c r="U802" s="17"/>
      <c r="V802" s="17"/>
      <c r="W802" s="17"/>
      <c r="X802" s="17"/>
      <c r="Y802" s="17"/>
      <c r="Z802" s="17"/>
      <c r="AA802" s="17"/>
      <c r="AB802" s="17"/>
      <c r="AC802" s="17"/>
      <c r="AD802" s="17"/>
      <c r="AE802" s="17"/>
      <c r="AF802" s="17"/>
      <c r="AG802" s="17"/>
      <c r="AH802" s="17"/>
      <c r="AI802" s="17"/>
      <c r="AJ802" s="17"/>
      <c r="AK802" s="17"/>
      <c r="AL802" s="17"/>
      <c r="AM802" s="17"/>
      <c r="AN802" s="17"/>
      <c r="AO802" s="17"/>
    </row>
    <row r="803" spans="5:41" x14ac:dyDescent="0.25">
      <c r="E803" s="30"/>
      <c r="F803" s="30"/>
      <c r="G803" s="30"/>
      <c r="H803" s="30"/>
      <c r="L803" s="13"/>
      <c r="M803" s="17"/>
      <c r="N803" s="17"/>
      <c r="O803" s="70"/>
      <c r="P803" s="17"/>
      <c r="Q803" s="17"/>
      <c r="R803" s="17"/>
      <c r="S803" s="17"/>
      <c r="T803" s="17"/>
      <c r="U803" s="17"/>
      <c r="V803" s="17"/>
      <c r="W803" s="17"/>
      <c r="X803" s="17"/>
      <c r="Y803" s="17"/>
      <c r="Z803" s="17"/>
      <c r="AA803" s="17"/>
      <c r="AB803" s="17"/>
      <c r="AC803" s="17"/>
      <c r="AD803" s="17"/>
      <c r="AE803" s="17"/>
      <c r="AF803" s="17"/>
      <c r="AG803" s="17"/>
      <c r="AH803" s="17"/>
      <c r="AI803" s="17"/>
      <c r="AJ803" s="17"/>
      <c r="AK803" s="17"/>
      <c r="AL803" s="17"/>
      <c r="AM803" s="17"/>
      <c r="AN803" s="17"/>
      <c r="AO803" s="17"/>
    </row>
    <row r="804" spans="5:41" x14ac:dyDescent="0.25">
      <c r="E804" s="30"/>
      <c r="F804" s="30"/>
      <c r="G804" s="30"/>
      <c r="H804" s="30"/>
      <c r="L804" s="13"/>
      <c r="M804" s="17"/>
      <c r="N804" s="17"/>
      <c r="O804" s="70"/>
      <c r="P804" s="17"/>
      <c r="Q804" s="17"/>
      <c r="R804" s="17"/>
      <c r="S804" s="17"/>
      <c r="T804" s="17"/>
      <c r="U804" s="17"/>
      <c r="V804" s="17"/>
      <c r="W804" s="17"/>
      <c r="X804" s="17"/>
      <c r="Y804" s="17"/>
      <c r="Z804" s="17"/>
      <c r="AA804" s="17"/>
      <c r="AB804" s="17"/>
      <c r="AC804" s="17"/>
      <c r="AD804" s="17"/>
      <c r="AE804" s="17"/>
      <c r="AF804" s="17"/>
      <c r="AG804" s="17"/>
      <c r="AH804" s="17"/>
      <c r="AI804" s="17"/>
      <c r="AJ804" s="17"/>
      <c r="AK804" s="17"/>
      <c r="AL804" s="17"/>
      <c r="AM804" s="17"/>
      <c r="AN804" s="17"/>
      <c r="AO804" s="17"/>
    </row>
    <row r="805" spans="5:41" x14ac:dyDescent="0.25">
      <c r="E805" s="30"/>
      <c r="F805" s="30"/>
      <c r="G805" s="30"/>
      <c r="H805" s="30"/>
      <c r="L805" s="13"/>
      <c r="M805" s="17"/>
      <c r="N805" s="17"/>
      <c r="O805" s="70"/>
      <c r="P805" s="17"/>
      <c r="Q805" s="17"/>
      <c r="R805" s="17"/>
      <c r="S805" s="17"/>
      <c r="T805" s="17"/>
      <c r="U805" s="17"/>
      <c r="V805" s="17"/>
      <c r="W805" s="17"/>
      <c r="X805" s="17"/>
      <c r="Y805" s="17"/>
      <c r="Z805" s="17"/>
      <c r="AA805" s="17"/>
      <c r="AB805" s="17"/>
      <c r="AC805" s="17"/>
      <c r="AD805" s="17"/>
      <c r="AE805" s="17"/>
      <c r="AF805" s="17"/>
      <c r="AG805" s="17"/>
      <c r="AH805" s="17"/>
      <c r="AI805" s="17"/>
      <c r="AJ805" s="17"/>
      <c r="AK805" s="17"/>
      <c r="AL805" s="17"/>
      <c r="AM805" s="17"/>
      <c r="AN805" s="17"/>
      <c r="AO805" s="17"/>
    </row>
    <row r="806" spans="5:41" x14ac:dyDescent="0.25">
      <c r="E806" s="30"/>
      <c r="F806" s="30"/>
      <c r="G806" s="30"/>
      <c r="H806" s="30"/>
      <c r="L806" s="13"/>
      <c r="M806" s="17"/>
      <c r="N806" s="17"/>
      <c r="O806" s="70"/>
      <c r="P806" s="17"/>
      <c r="Q806" s="17"/>
      <c r="R806" s="17"/>
      <c r="S806" s="17"/>
      <c r="T806" s="17"/>
      <c r="U806" s="17"/>
      <c r="V806" s="17"/>
      <c r="W806" s="17"/>
      <c r="X806" s="17"/>
      <c r="Y806" s="17"/>
      <c r="Z806" s="17"/>
      <c r="AA806" s="17"/>
      <c r="AB806" s="17"/>
      <c r="AC806" s="17"/>
      <c r="AD806" s="17"/>
      <c r="AE806" s="17"/>
      <c r="AF806" s="17"/>
      <c r="AG806" s="17"/>
      <c r="AH806" s="17"/>
      <c r="AI806" s="17"/>
      <c r="AJ806" s="17"/>
      <c r="AK806" s="17"/>
      <c r="AL806" s="17"/>
      <c r="AM806" s="17"/>
      <c r="AN806" s="17"/>
      <c r="AO806" s="17"/>
    </row>
    <row r="807" spans="5:41" x14ac:dyDescent="0.25">
      <c r="E807" s="30"/>
      <c r="F807" s="30"/>
      <c r="G807" s="30"/>
      <c r="H807" s="30"/>
      <c r="L807" s="13"/>
      <c r="M807" s="17"/>
      <c r="N807" s="17"/>
      <c r="O807" s="70"/>
      <c r="P807" s="17"/>
      <c r="Q807" s="17"/>
      <c r="R807" s="17"/>
      <c r="S807" s="17"/>
      <c r="T807" s="17"/>
      <c r="U807" s="17"/>
      <c r="V807" s="17"/>
      <c r="W807" s="17"/>
      <c r="X807" s="17"/>
      <c r="Y807" s="17"/>
      <c r="Z807" s="17"/>
      <c r="AA807" s="17"/>
      <c r="AB807" s="17"/>
      <c r="AC807" s="17"/>
      <c r="AD807" s="17"/>
      <c r="AE807" s="17"/>
      <c r="AF807" s="17"/>
      <c r="AG807" s="17"/>
      <c r="AH807" s="17"/>
      <c r="AI807" s="17"/>
      <c r="AJ807" s="17"/>
      <c r="AK807" s="17"/>
      <c r="AL807" s="17"/>
      <c r="AM807" s="17"/>
      <c r="AN807" s="17"/>
      <c r="AO807" s="17"/>
    </row>
    <row r="808" spans="5:41" x14ac:dyDescent="0.25">
      <c r="E808" s="30"/>
      <c r="F808" s="30"/>
      <c r="G808" s="30"/>
      <c r="H808" s="30"/>
      <c r="L808" s="13"/>
      <c r="M808" s="17"/>
      <c r="N808" s="17"/>
      <c r="O808" s="70"/>
      <c r="P808" s="17"/>
      <c r="Q808" s="17"/>
      <c r="R808" s="17"/>
      <c r="S808" s="17"/>
      <c r="T808" s="17"/>
      <c r="U808" s="17"/>
      <c r="V808" s="17"/>
      <c r="W808" s="17"/>
      <c r="X808" s="17"/>
      <c r="Y808" s="17"/>
      <c r="Z808" s="17"/>
      <c r="AA808" s="17"/>
      <c r="AB808" s="17"/>
      <c r="AC808" s="17"/>
      <c r="AD808" s="17"/>
      <c r="AE808" s="17"/>
      <c r="AF808" s="17"/>
      <c r="AG808" s="17"/>
      <c r="AH808" s="17"/>
      <c r="AI808" s="17"/>
      <c r="AJ808" s="17"/>
      <c r="AK808" s="17"/>
      <c r="AL808" s="17"/>
      <c r="AM808" s="17"/>
      <c r="AN808" s="17"/>
      <c r="AO808" s="17"/>
    </row>
    <row r="809" spans="5:41" x14ac:dyDescent="0.25">
      <c r="E809" s="30"/>
      <c r="F809" s="30"/>
      <c r="G809" s="30"/>
      <c r="H809" s="30"/>
      <c r="L809" s="13"/>
      <c r="M809" s="17"/>
      <c r="N809" s="17"/>
      <c r="O809" s="70"/>
      <c r="P809" s="17"/>
      <c r="Q809" s="17"/>
      <c r="R809" s="17"/>
      <c r="S809" s="17"/>
      <c r="T809" s="17"/>
      <c r="U809" s="17"/>
      <c r="V809" s="17"/>
      <c r="W809" s="17"/>
      <c r="X809" s="17"/>
      <c r="Y809" s="17"/>
      <c r="Z809" s="17"/>
      <c r="AA809" s="17"/>
      <c r="AB809" s="17"/>
      <c r="AC809" s="17"/>
      <c r="AD809" s="17"/>
      <c r="AE809" s="17"/>
      <c r="AF809" s="17"/>
      <c r="AG809" s="17"/>
      <c r="AH809" s="17"/>
      <c r="AI809" s="17"/>
      <c r="AJ809" s="17"/>
      <c r="AK809" s="17"/>
      <c r="AL809" s="17"/>
      <c r="AM809" s="17"/>
      <c r="AN809" s="17"/>
      <c r="AO809" s="17"/>
    </row>
    <row r="810" spans="5:41" x14ac:dyDescent="0.25">
      <c r="E810" s="30"/>
      <c r="F810" s="30"/>
      <c r="G810" s="30"/>
      <c r="H810" s="30"/>
      <c r="L810" s="13"/>
      <c r="M810" s="17"/>
      <c r="N810" s="17"/>
      <c r="O810" s="70"/>
      <c r="P810" s="17"/>
      <c r="Q810" s="17"/>
      <c r="R810" s="17"/>
      <c r="S810" s="17"/>
      <c r="T810" s="17"/>
      <c r="U810" s="17"/>
      <c r="V810" s="17"/>
      <c r="W810" s="17"/>
      <c r="X810" s="17"/>
      <c r="Y810" s="17"/>
      <c r="Z810" s="17"/>
      <c r="AA810" s="17"/>
      <c r="AB810" s="17"/>
      <c r="AC810" s="17"/>
      <c r="AD810" s="17"/>
      <c r="AE810" s="17"/>
      <c r="AF810" s="17"/>
      <c r="AG810" s="17"/>
      <c r="AH810" s="17"/>
      <c r="AI810" s="17"/>
      <c r="AJ810" s="17"/>
      <c r="AK810" s="17"/>
      <c r="AL810" s="17"/>
      <c r="AM810" s="17"/>
      <c r="AN810" s="17"/>
      <c r="AO810" s="17"/>
    </row>
    <row r="811" spans="5:41" x14ac:dyDescent="0.25">
      <c r="E811" s="30"/>
      <c r="F811" s="30"/>
      <c r="G811" s="30"/>
      <c r="H811" s="30"/>
      <c r="L811" s="13"/>
      <c r="M811" s="17"/>
      <c r="N811" s="17"/>
      <c r="O811" s="70"/>
      <c r="P811" s="17"/>
      <c r="Q811" s="17"/>
      <c r="R811" s="17"/>
      <c r="S811" s="17"/>
      <c r="T811" s="17"/>
      <c r="U811" s="17"/>
      <c r="V811" s="17"/>
      <c r="W811" s="17"/>
      <c r="X811" s="17"/>
      <c r="Y811" s="17"/>
      <c r="Z811" s="17"/>
      <c r="AA811" s="17"/>
      <c r="AB811" s="17"/>
      <c r="AC811" s="17"/>
      <c r="AD811" s="17"/>
      <c r="AE811" s="17"/>
      <c r="AF811" s="17"/>
      <c r="AG811" s="17"/>
      <c r="AH811" s="17"/>
      <c r="AI811" s="17"/>
      <c r="AJ811" s="17"/>
      <c r="AK811" s="17"/>
      <c r="AL811" s="17"/>
      <c r="AM811" s="17"/>
      <c r="AN811" s="17"/>
      <c r="AO811" s="17"/>
    </row>
    <row r="812" spans="5:41" x14ac:dyDescent="0.25">
      <c r="E812" s="30"/>
      <c r="F812" s="30"/>
      <c r="G812" s="30"/>
      <c r="H812" s="30"/>
      <c r="L812" s="13"/>
      <c r="M812" s="17"/>
      <c r="N812" s="17"/>
      <c r="O812" s="70"/>
      <c r="P812" s="17"/>
      <c r="Q812" s="17"/>
      <c r="R812" s="17"/>
      <c r="S812" s="17"/>
      <c r="T812" s="17"/>
      <c r="U812" s="17"/>
      <c r="V812" s="17"/>
      <c r="W812" s="17"/>
      <c r="X812" s="17"/>
      <c r="Y812" s="17"/>
      <c r="Z812" s="17"/>
      <c r="AA812" s="17"/>
      <c r="AB812" s="17"/>
      <c r="AC812" s="17"/>
      <c r="AD812" s="17"/>
      <c r="AE812" s="17"/>
      <c r="AF812" s="17"/>
      <c r="AG812" s="17"/>
      <c r="AH812" s="17"/>
      <c r="AI812" s="17"/>
      <c r="AJ812" s="17"/>
      <c r="AK812" s="17"/>
      <c r="AL812" s="17"/>
      <c r="AM812" s="17"/>
      <c r="AN812" s="17"/>
      <c r="AO812" s="17"/>
    </row>
    <row r="813" spans="5:41" x14ac:dyDescent="0.25">
      <c r="E813" s="30"/>
      <c r="F813" s="30"/>
      <c r="G813" s="30"/>
      <c r="H813" s="30"/>
      <c r="L813" s="13"/>
      <c r="M813" s="17"/>
      <c r="N813" s="17"/>
      <c r="O813" s="70"/>
      <c r="P813" s="17"/>
      <c r="Q813" s="17"/>
      <c r="R813" s="17"/>
      <c r="S813" s="17"/>
      <c r="T813" s="17"/>
      <c r="U813" s="17"/>
      <c r="V813" s="17"/>
      <c r="W813" s="17"/>
      <c r="X813" s="17"/>
      <c r="Y813" s="17"/>
      <c r="Z813" s="17"/>
      <c r="AA813" s="17"/>
      <c r="AB813" s="17"/>
      <c r="AC813" s="17"/>
      <c r="AD813" s="17"/>
      <c r="AE813" s="17"/>
      <c r="AF813" s="17"/>
      <c r="AG813" s="17"/>
      <c r="AH813" s="17"/>
      <c r="AI813" s="17"/>
      <c r="AJ813" s="17"/>
      <c r="AK813" s="17"/>
      <c r="AL813" s="17"/>
      <c r="AM813" s="17"/>
      <c r="AN813" s="17"/>
      <c r="AO813" s="17"/>
    </row>
    <row r="814" spans="5:41" x14ac:dyDescent="0.25">
      <c r="E814" s="30"/>
      <c r="F814" s="30"/>
      <c r="G814" s="30"/>
      <c r="H814" s="30"/>
      <c r="L814" s="13"/>
      <c r="M814" s="17"/>
      <c r="N814" s="17"/>
      <c r="O814" s="70"/>
      <c r="P814" s="17"/>
      <c r="Q814" s="17"/>
      <c r="R814" s="17"/>
      <c r="S814" s="17"/>
      <c r="T814" s="17"/>
      <c r="U814" s="17"/>
      <c r="V814" s="17"/>
      <c r="W814" s="17"/>
      <c r="X814" s="17"/>
      <c r="Y814" s="17"/>
      <c r="Z814" s="17"/>
      <c r="AA814" s="17"/>
      <c r="AB814" s="17"/>
      <c r="AC814" s="17"/>
      <c r="AD814" s="17"/>
      <c r="AE814" s="17"/>
      <c r="AF814" s="17"/>
      <c r="AG814" s="17"/>
      <c r="AH814" s="17"/>
      <c r="AI814" s="17"/>
      <c r="AJ814" s="17"/>
      <c r="AK814" s="17"/>
      <c r="AL814" s="17"/>
      <c r="AM814" s="17"/>
      <c r="AN814" s="17"/>
      <c r="AO814" s="17"/>
    </row>
    <row r="815" spans="5:41" x14ac:dyDescent="0.25">
      <c r="E815" s="30"/>
      <c r="F815" s="30"/>
      <c r="G815" s="30"/>
      <c r="H815" s="30"/>
      <c r="L815" s="13"/>
      <c r="M815" s="17"/>
      <c r="N815" s="17"/>
      <c r="O815" s="70"/>
      <c r="P815" s="17"/>
      <c r="Q815" s="17"/>
      <c r="R815" s="17"/>
      <c r="S815" s="17"/>
      <c r="T815" s="17"/>
      <c r="U815" s="17"/>
      <c r="V815" s="17"/>
      <c r="W815" s="17"/>
      <c r="X815" s="17"/>
      <c r="Y815" s="17"/>
      <c r="Z815" s="17"/>
      <c r="AA815" s="17"/>
      <c r="AB815" s="17"/>
      <c r="AC815" s="17"/>
      <c r="AD815" s="17"/>
      <c r="AE815" s="17"/>
      <c r="AF815" s="17"/>
      <c r="AG815" s="17"/>
      <c r="AH815" s="17"/>
      <c r="AI815" s="17"/>
      <c r="AJ815" s="17"/>
      <c r="AK815" s="17"/>
      <c r="AL815" s="17"/>
      <c r="AM815" s="17"/>
      <c r="AN815" s="17"/>
      <c r="AO815" s="17"/>
    </row>
    <row r="816" spans="5:41" x14ac:dyDescent="0.25">
      <c r="E816" s="30"/>
      <c r="F816" s="30"/>
      <c r="G816" s="30"/>
      <c r="H816" s="30"/>
      <c r="L816" s="13"/>
      <c r="M816" s="17"/>
      <c r="N816" s="17"/>
      <c r="O816" s="70"/>
      <c r="P816" s="17"/>
      <c r="Q816" s="17"/>
      <c r="R816" s="17"/>
      <c r="S816" s="17"/>
      <c r="T816" s="17"/>
      <c r="U816" s="17"/>
      <c r="V816" s="17"/>
      <c r="W816" s="17"/>
      <c r="X816" s="17"/>
      <c r="Y816" s="17"/>
      <c r="Z816" s="17"/>
      <c r="AA816" s="17"/>
      <c r="AB816" s="17"/>
      <c r="AC816" s="17"/>
      <c r="AD816" s="17"/>
      <c r="AE816" s="17"/>
      <c r="AF816" s="17"/>
      <c r="AG816" s="17"/>
      <c r="AH816" s="17"/>
      <c r="AI816" s="17"/>
      <c r="AJ816" s="17"/>
      <c r="AK816" s="17"/>
      <c r="AL816" s="17"/>
      <c r="AM816" s="17"/>
      <c r="AN816" s="17"/>
      <c r="AO816" s="17"/>
    </row>
    <row r="817" spans="5:41" x14ac:dyDescent="0.25">
      <c r="E817" s="30"/>
      <c r="F817" s="30"/>
      <c r="G817" s="30"/>
      <c r="H817" s="30"/>
      <c r="L817" s="13"/>
      <c r="M817" s="17"/>
      <c r="N817" s="17"/>
      <c r="O817" s="70"/>
      <c r="P817" s="17"/>
      <c r="Q817" s="17"/>
      <c r="R817" s="17"/>
      <c r="S817" s="17"/>
      <c r="T817" s="17"/>
      <c r="U817" s="17"/>
      <c r="V817" s="17"/>
      <c r="W817" s="17"/>
      <c r="X817" s="17"/>
      <c r="Y817" s="17"/>
      <c r="Z817" s="17"/>
      <c r="AA817" s="17"/>
      <c r="AB817" s="17"/>
      <c r="AC817" s="17"/>
      <c r="AD817" s="17"/>
      <c r="AE817" s="17"/>
      <c r="AF817" s="17"/>
      <c r="AG817" s="17"/>
      <c r="AH817" s="17"/>
      <c r="AI817" s="17"/>
      <c r="AJ817" s="17"/>
      <c r="AK817" s="17"/>
      <c r="AL817" s="17"/>
      <c r="AM817" s="17"/>
      <c r="AN817" s="17"/>
      <c r="AO817" s="17"/>
    </row>
    <row r="818" spans="5:41" x14ac:dyDescent="0.25">
      <c r="E818" s="30"/>
      <c r="F818" s="30"/>
      <c r="G818" s="30"/>
      <c r="H818" s="30"/>
      <c r="L818" s="13"/>
      <c r="M818" s="17"/>
      <c r="N818" s="17"/>
      <c r="O818" s="70"/>
      <c r="P818" s="17"/>
      <c r="Q818" s="17"/>
      <c r="R818" s="17"/>
      <c r="S818" s="17"/>
      <c r="T818" s="17"/>
      <c r="U818" s="17"/>
      <c r="V818" s="17"/>
      <c r="W818" s="17"/>
      <c r="X818" s="17"/>
      <c r="Y818" s="17"/>
      <c r="Z818" s="17"/>
      <c r="AA818" s="17"/>
      <c r="AB818" s="17"/>
      <c r="AC818" s="17"/>
      <c r="AD818" s="17"/>
      <c r="AE818" s="17"/>
      <c r="AF818" s="17"/>
      <c r="AG818" s="17"/>
      <c r="AH818" s="17"/>
      <c r="AI818" s="17"/>
      <c r="AJ818" s="17"/>
      <c r="AK818" s="17"/>
      <c r="AL818" s="17"/>
      <c r="AM818" s="17"/>
      <c r="AN818" s="17"/>
      <c r="AO818" s="17"/>
    </row>
    <row r="819" spans="5:41" x14ac:dyDescent="0.25">
      <c r="E819" s="30"/>
      <c r="F819" s="30"/>
      <c r="G819" s="30"/>
      <c r="H819" s="30"/>
      <c r="L819" s="13"/>
      <c r="M819" s="17"/>
      <c r="N819" s="17"/>
      <c r="O819" s="70"/>
      <c r="P819" s="17"/>
      <c r="Q819" s="17"/>
      <c r="R819" s="17"/>
      <c r="S819" s="17"/>
      <c r="T819" s="17"/>
      <c r="U819" s="17"/>
      <c r="V819" s="17"/>
      <c r="W819" s="17"/>
      <c r="X819" s="17"/>
      <c r="Y819" s="17"/>
      <c r="Z819" s="17"/>
      <c r="AA819" s="17"/>
      <c r="AB819" s="17"/>
      <c r="AC819" s="17"/>
      <c r="AD819" s="17"/>
      <c r="AE819" s="17"/>
      <c r="AF819" s="17"/>
      <c r="AG819" s="17"/>
      <c r="AH819" s="17"/>
      <c r="AI819" s="17"/>
      <c r="AJ819" s="17"/>
      <c r="AK819" s="17"/>
      <c r="AL819" s="17"/>
      <c r="AM819" s="17"/>
      <c r="AN819" s="17"/>
      <c r="AO819" s="17"/>
    </row>
    <row r="820" spans="5:41" x14ac:dyDescent="0.25">
      <c r="E820" s="30"/>
      <c r="F820" s="30"/>
      <c r="G820" s="30"/>
      <c r="H820" s="30"/>
      <c r="L820" s="13"/>
      <c r="M820" s="17"/>
      <c r="N820" s="17"/>
      <c r="O820" s="70"/>
      <c r="P820" s="17"/>
      <c r="Q820" s="17"/>
      <c r="R820" s="17"/>
      <c r="S820" s="17"/>
      <c r="T820" s="17"/>
      <c r="U820" s="17"/>
      <c r="V820" s="17"/>
      <c r="W820" s="17"/>
      <c r="X820" s="17"/>
      <c r="Y820" s="17"/>
      <c r="Z820" s="17"/>
      <c r="AA820" s="17"/>
      <c r="AB820" s="17"/>
      <c r="AC820" s="17"/>
      <c r="AD820" s="17"/>
      <c r="AE820" s="17"/>
      <c r="AF820" s="17"/>
      <c r="AG820" s="17"/>
      <c r="AH820" s="17"/>
      <c r="AI820" s="17"/>
      <c r="AJ820" s="17"/>
      <c r="AK820" s="17"/>
      <c r="AL820" s="17"/>
      <c r="AM820" s="17"/>
      <c r="AN820" s="17"/>
      <c r="AO820" s="17"/>
    </row>
    <row r="821" spans="5:41" x14ac:dyDescent="0.25">
      <c r="E821" s="30"/>
      <c r="F821" s="30"/>
      <c r="G821" s="30"/>
      <c r="H821" s="30"/>
      <c r="L821" s="13"/>
      <c r="M821" s="17"/>
      <c r="N821" s="17"/>
      <c r="O821" s="70"/>
      <c r="P821" s="17"/>
      <c r="Q821" s="17"/>
      <c r="R821" s="17"/>
      <c r="S821" s="17"/>
      <c r="T821" s="17"/>
      <c r="U821" s="17"/>
      <c r="V821" s="17"/>
      <c r="W821" s="17"/>
      <c r="X821" s="17"/>
      <c r="Y821" s="17"/>
      <c r="Z821" s="17"/>
      <c r="AA821" s="17"/>
      <c r="AB821" s="17"/>
      <c r="AC821" s="17"/>
      <c r="AD821" s="17"/>
      <c r="AE821" s="17"/>
      <c r="AF821" s="17"/>
      <c r="AG821" s="17"/>
      <c r="AH821" s="17"/>
      <c r="AI821" s="17"/>
      <c r="AJ821" s="17"/>
      <c r="AK821" s="17"/>
      <c r="AL821" s="17"/>
      <c r="AM821" s="17"/>
      <c r="AN821" s="17"/>
      <c r="AO821" s="17"/>
    </row>
    <row r="822" spans="5:41" x14ac:dyDescent="0.25">
      <c r="E822" s="30"/>
      <c r="F822" s="30"/>
      <c r="G822" s="30"/>
      <c r="H822" s="30"/>
      <c r="L822" s="13"/>
      <c r="M822" s="17"/>
      <c r="N822" s="17"/>
      <c r="O822" s="70"/>
      <c r="P822" s="17"/>
      <c r="Q822" s="17"/>
      <c r="R822" s="17"/>
      <c r="S822" s="17"/>
      <c r="T822" s="17"/>
      <c r="U822" s="17"/>
      <c r="V822" s="17"/>
      <c r="W822" s="17"/>
      <c r="X822" s="17"/>
      <c r="Y822" s="17"/>
      <c r="Z822" s="17"/>
      <c r="AA822" s="17"/>
      <c r="AB822" s="17"/>
      <c r="AC822" s="17"/>
      <c r="AD822" s="17"/>
      <c r="AE822" s="17"/>
      <c r="AF822" s="17"/>
      <c r="AG822" s="17"/>
      <c r="AH822" s="17"/>
      <c r="AI822" s="17"/>
      <c r="AJ822" s="17"/>
      <c r="AK822" s="17"/>
      <c r="AL822" s="17"/>
      <c r="AM822" s="17"/>
      <c r="AN822" s="17"/>
      <c r="AO822" s="17"/>
    </row>
    <row r="823" spans="5:41" x14ac:dyDescent="0.25">
      <c r="E823" s="30"/>
      <c r="F823" s="30"/>
      <c r="G823" s="30"/>
      <c r="H823" s="30"/>
      <c r="L823" s="13"/>
      <c r="M823" s="17"/>
      <c r="N823" s="17"/>
      <c r="O823" s="70"/>
      <c r="P823" s="17"/>
      <c r="Q823" s="17"/>
      <c r="R823" s="17"/>
      <c r="S823" s="17"/>
      <c r="T823" s="17"/>
      <c r="U823" s="17"/>
    </row>
    <row r="824" spans="5:41" x14ac:dyDescent="0.25">
      <c r="E824" s="30"/>
      <c r="F824" s="30"/>
      <c r="G824" s="30"/>
      <c r="H824" s="30"/>
      <c r="L824" s="13"/>
      <c r="O824" s="70"/>
    </row>
    <row r="825" spans="5:41" x14ac:dyDescent="0.25">
      <c r="E825" s="30"/>
      <c r="F825" s="30"/>
      <c r="G825" s="30"/>
      <c r="H825" s="30"/>
      <c r="L825" s="13"/>
      <c r="O825" s="70"/>
    </row>
    <row r="826" spans="5:41" x14ac:dyDescent="0.25">
      <c r="E826" s="30"/>
      <c r="F826" s="30"/>
      <c r="G826" s="30"/>
      <c r="H826" s="30"/>
      <c r="L826" s="13"/>
      <c r="O826" s="70"/>
    </row>
    <row r="827" spans="5:41" x14ac:dyDescent="0.25">
      <c r="L827" s="13"/>
      <c r="O827" s="70"/>
    </row>
    <row r="828" spans="5:41" x14ac:dyDescent="0.25">
      <c r="O828" s="70"/>
    </row>
    <row r="829" spans="5:41" x14ac:dyDescent="0.25">
      <c r="O829" s="70"/>
    </row>
    <row r="830" spans="5:41" x14ac:dyDescent="0.25">
      <c r="O830" s="70"/>
    </row>
    <row r="831" spans="5:41" x14ac:dyDescent="0.25">
      <c r="O831" s="70"/>
    </row>
    <row r="832" spans="5:41" x14ac:dyDescent="0.25">
      <c r="O832" s="70"/>
    </row>
    <row r="833" spans="15:15" x14ac:dyDescent="0.25">
      <c r="O833" s="70"/>
    </row>
    <row r="834" spans="15:15" x14ac:dyDescent="0.25">
      <c r="O834" s="70"/>
    </row>
    <row r="835" spans="15:15" x14ac:dyDescent="0.25">
      <c r="O835" s="70"/>
    </row>
    <row r="836" spans="15:15" x14ac:dyDescent="0.25">
      <c r="O836" s="70"/>
    </row>
    <row r="837" spans="15:15" x14ac:dyDescent="0.25">
      <c r="O837" s="70"/>
    </row>
    <row r="838" spans="15:15" x14ac:dyDescent="0.25">
      <c r="O838" s="70"/>
    </row>
    <row r="839" spans="15:15" x14ac:dyDescent="0.25">
      <c r="O839" s="70"/>
    </row>
    <row r="840" spans="15:15" x14ac:dyDescent="0.25">
      <c r="O840" s="70"/>
    </row>
    <row r="841" spans="15:15" x14ac:dyDescent="0.25">
      <c r="O841" s="70"/>
    </row>
    <row r="842" spans="15:15" x14ac:dyDescent="0.25">
      <c r="O842" s="70"/>
    </row>
    <row r="843" spans="15:15" x14ac:dyDescent="0.25">
      <c r="O843" s="70"/>
    </row>
    <row r="844" spans="15:15" x14ac:dyDescent="0.25">
      <c r="O844" s="70"/>
    </row>
    <row r="845" spans="15:15" x14ac:dyDescent="0.25">
      <c r="O845" s="70"/>
    </row>
    <row r="846" spans="15:15" x14ac:dyDescent="0.25">
      <c r="O846" s="70"/>
    </row>
    <row r="847" spans="15:15" x14ac:dyDescent="0.25">
      <c r="O847" s="70"/>
    </row>
    <row r="848" spans="15:15" x14ac:dyDescent="0.25">
      <c r="O848" s="70"/>
    </row>
    <row r="849" spans="15:15" x14ac:dyDescent="0.25">
      <c r="O849" s="70"/>
    </row>
    <row r="850" spans="15:15" x14ac:dyDescent="0.25">
      <c r="O850" s="70"/>
    </row>
    <row r="851" spans="15:15" x14ac:dyDescent="0.25">
      <c r="O851" s="70"/>
    </row>
    <row r="852" spans="15:15" x14ac:dyDescent="0.25">
      <c r="O852" s="70"/>
    </row>
    <row r="853" spans="15:15" x14ac:dyDescent="0.25">
      <c r="O853" s="70"/>
    </row>
    <row r="854" spans="15:15" x14ac:dyDescent="0.25">
      <c r="O854" s="70"/>
    </row>
    <row r="855" spans="15:15" x14ac:dyDescent="0.25">
      <c r="O855" s="70"/>
    </row>
    <row r="856" spans="15:15" x14ac:dyDescent="0.25">
      <c r="O856" s="70"/>
    </row>
    <row r="857" spans="15:15" x14ac:dyDescent="0.25">
      <c r="O857" s="70"/>
    </row>
    <row r="858" spans="15:15" x14ac:dyDescent="0.25">
      <c r="O858" s="70"/>
    </row>
    <row r="859" spans="15:15" x14ac:dyDescent="0.25">
      <c r="O859" s="70"/>
    </row>
    <row r="860" spans="15:15" x14ac:dyDescent="0.25">
      <c r="O860" s="70"/>
    </row>
    <row r="861" spans="15:15" x14ac:dyDescent="0.25">
      <c r="O861" s="70"/>
    </row>
    <row r="862" spans="15:15" x14ac:dyDescent="0.25">
      <c r="O862" s="70"/>
    </row>
    <row r="863" spans="15:15" x14ac:dyDescent="0.25">
      <c r="O863" s="70"/>
    </row>
    <row r="864" spans="15:15" x14ac:dyDescent="0.25">
      <c r="O864" s="70"/>
    </row>
    <row r="865" spans="15:15" x14ac:dyDescent="0.25">
      <c r="O865" s="70"/>
    </row>
    <row r="866" spans="15:15" x14ac:dyDescent="0.25">
      <c r="O866" s="70"/>
    </row>
    <row r="867" spans="15:15" x14ac:dyDescent="0.25">
      <c r="O867" s="70"/>
    </row>
    <row r="868" spans="15:15" x14ac:dyDescent="0.25">
      <c r="O868" s="70"/>
    </row>
    <row r="869" spans="15:15" x14ac:dyDescent="0.25">
      <c r="O869" s="70"/>
    </row>
    <row r="870" spans="15:15" x14ac:dyDescent="0.25">
      <c r="O870" s="70"/>
    </row>
    <row r="871" spans="15:15" x14ac:dyDescent="0.25">
      <c r="O871" s="70"/>
    </row>
    <row r="872" spans="15:15" x14ac:dyDescent="0.25">
      <c r="O872" s="70"/>
    </row>
    <row r="873" spans="15:15" x14ac:dyDescent="0.25">
      <c r="O873" s="70"/>
    </row>
    <row r="874" spans="15:15" x14ac:dyDescent="0.25">
      <c r="O874" s="70"/>
    </row>
    <row r="875" spans="15:15" x14ac:dyDescent="0.25">
      <c r="O875" s="70"/>
    </row>
    <row r="876" spans="15:15" x14ac:dyDescent="0.25">
      <c r="O876" s="70"/>
    </row>
    <row r="877" spans="15:15" x14ac:dyDescent="0.25">
      <c r="O877" s="70"/>
    </row>
    <row r="878" spans="15:15" x14ac:dyDescent="0.25">
      <c r="O878" s="70"/>
    </row>
    <row r="879" spans="15:15" x14ac:dyDescent="0.25">
      <c r="O879" s="70"/>
    </row>
    <row r="880" spans="15:15" x14ac:dyDescent="0.25">
      <c r="O880" s="70"/>
    </row>
    <row r="881" spans="15:15" x14ac:dyDescent="0.25">
      <c r="O881" s="70"/>
    </row>
    <row r="882" spans="15:15" x14ac:dyDescent="0.25">
      <c r="O882" s="70"/>
    </row>
    <row r="883" spans="15:15" x14ac:dyDescent="0.25">
      <c r="O883" s="70"/>
    </row>
    <row r="884" spans="15:15" x14ac:dyDescent="0.25">
      <c r="O884" s="70"/>
    </row>
    <row r="885" spans="15:15" x14ac:dyDescent="0.25">
      <c r="O885" s="70"/>
    </row>
    <row r="886" spans="15:15" x14ac:dyDescent="0.25">
      <c r="O886" s="70"/>
    </row>
    <row r="887" spans="15:15" x14ac:dyDescent="0.25">
      <c r="O887" s="70"/>
    </row>
    <row r="888" spans="15:15" x14ac:dyDescent="0.25">
      <c r="O888" s="70"/>
    </row>
    <row r="889" spans="15:15" x14ac:dyDescent="0.25">
      <c r="O889" s="70"/>
    </row>
    <row r="890" spans="15:15" x14ac:dyDescent="0.25">
      <c r="O890" s="70"/>
    </row>
    <row r="891" spans="15:15" x14ac:dyDescent="0.25">
      <c r="O891" s="70"/>
    </row>
    <row r="892" spans="15:15" x14ac:dyDescent="0.25">
      <c r="O892" s="70"/>
    </row>
    <row r="893" spans="15:15" x14ac:dyDescent="0.25">
      <c r="O893" s="70"/>
    </row>
    <row r="894" spans="15:15" x14ac:dyDescent="0.25">
      <c r="O894" s="70"/>
    </row>
    <row r="895" spans="15:15" x14ac:dyDescent="0.25">
      <c r="O895" s="70"/>
    </row>
    <row r="896" spans="15:15" x14ac:dyDescent="0.25">
      <c r="O896" s="70"/>
    </row>
    <row r="897" spans="15:15" x14ac:dyDescent="0.25">
      <c r="O897" s="70"/>
    </row>
    <row r="898" spans="15:15" x14ac:dyDescent="0.25">
      <c r="O898" s="70"/>
    </row>
    <row r="899" spans="15:15" x14ac:dyDescent="0.25">
      <c r="O899" s="70"/>
    </row>
    <row r="900" spans="15:15" x14ac:dyDescent="0.25">
      <c r="O900" s="70"/>
    </row>
    <row r="901" spans="15:15" x14ac:dyDescent="0.25">
      <c r="O901" s="70"/>
    </row>
    <row r="902" spans="15:15" x14ac:dyDescent="0.25">
      <c r="O902" s="70"/>
    </row>
    <row r="903" spans="15:15" x14ac:dyDescent="0.25">
      <c r="O903" s="70"/>
    </row>
    <row r="904" spans="15:15" x14ac:dyDescent="0.25">
      <c r="O904" s="70"/>
    </row>
    <row r="905" spans="15:15" x14ac:dyDescent="0.25">
      <c r="O905" s="70"/>
    </row>
    <row r="906" spans="15:15" x14ac:dyDescent="0.25">
      <c r="O906" s="70"/>
    </row>
    <row r="907" spans="15:15" x14ac:dyDescent="0.25">
      <c r="O907" s="70"/>
    </row>
    <row r="908" spans="15:15" x14ac:dyDescent="0.25">
      <c r="O908" s="70"/>
    </row>
    <row r="909" spans="15:15" x14ac:dyDescent="0.25">
      <c r="O909" s="70"/>
    </row>
    <row r="910" spans="15:15" x14ac:dyDescent="0.25">
      <c r="O910" s="70"/>
    </row>
    <row r="911" spans="15:15" x14ac:dyDescent="0.25">
      <c r="O911" s="70"/>
    </row>
    <row r="912" spans="15:15" x14ac:dyDescent="0.25">
      <c r="O912" s="70"/>
    </row>
    <row r="913" spans="15:15" x14ac:dyDescent="0.25">
      <c r="O913" s="70"/>
    </row>
    <row r="914" spans="15:15" x14ac:dyDescent="0.25">
      <c r="O914" s="70"/>
    </row>
    <row r="915" spans="15:15" x14ac:dyDescent="0.25">
      <c r="O915" s="70"/>
    </row>
    <row r="916" spans="15:15" x14ac:dyDescent="0.25">
      <c r="O916" s="70"/>
    </row>
    <row r="917" spans="15:15" x14ac:dyDescent="0.25">
      <c r="O917" s="70"/>
    </row>
    <row r="918" spans="15:15" x14ac:dyDescent="0.25">
      <c r="O918" s="70"/>
    </row>
    <row r="919" spans="15:15" x14ac:dyDescent="0.25">
      <c r="O919" s="70"/>
    </row>
    <row r="920" spans="15:15" x14ac:dyDescent="0.25">
      <c r="O920" s="70"/>
    </row>
    <row r="921" spans="15:15" x14ac:dyDescent="0.25">
      <c r="O921" s="70"/>
    </row>
    <row r="922" spans="15:15" x14ac:dyDescent="0.25">
      <c r="O922" s="70"/>
    </row>
    <row r="923" spans="15:15" x14ac:dyDescent="0.25">
      <c r="O923" s="70"/>
    </row>
    <row r="924" spans="15:15" x14ac:dyDescent="0.25">
      <c r="O924" s="70"/>
    </row>
    <row r="925" spans="15:15" x14ac:dyDescent="0.25">
      <c r="O925" s="70"/>
    </row>
    <row r="926" spans="15:15" x14ac:dyDescent="0.25">
      <c r="O926" s="70"/>
    </row>
    <row r="927" spans="15:15" x14ac:dyDescent="0.25">
      <c r="O927" s="70"/>
    </row>
    <row r="928" spans="15:15" x14ac:dyDescent="0.25">
      <c r="O928" s="70"/>
    </row>
    <row r="929" spans="15:15" x14ac:dyDescent="0.25">
      <c r="O929" s="70"/>
    </row>
    <row r="930" spans="15:15" x14ac:dyDescent="0.25">
      <c r="O930" s="70"/>
    </row>
    <row r="931" spans="15:15" x14ac:dyDescent="0.25">
      <c r="O931" s="70"/>
    </row>
    <row r="932" spans="15:15" x14ac:dyDescent="0.25">
      <c r="O932" s="70"/>
    </row>
    <row r="933" spans="15:15" x14ac:dyDescent="0.25">
      <c r="O933" s="70"/>
    </row>
    <row r="934" spans="15:15" x14ac:dyDescent="0.25">
      <c r="O934" s="70"/>
    </row>
    <row r="935" spans="15:15" x14ac:dyDescent="0.25">
      <c r="O935" s="70"/>
    </row>
    <row r="936" spans="15:15" x14ac:dyDescent="0.25">
      <c r="O936" s="70"/>
    </row>
    <row r="937" spans="15:15" x14ac:dyDescent="0.25">
      <c r="O937" s="70"/>
    </row>
    <row r="938" spans="15:15" x14ac:dyDescent="0.25">
      <c r="O938" s="70"/>
    </row>
    <row r="939" spans="15:15" x14ac:dyDescent="0.25">
      <c r="O939" s="70"/>
    </row>
    <row r="940" spans="15:15" x14ac:dyDescent="0.25">
      <c r="O940" s="70"/>
    </row>
    <row r="941" spans="15:15" x14ac:dyDescent="0.25">
      <c r="O941" s="70"/>
    </row>
    <row r="942" spans="15:15" x14ac:dyDescent="0.25">
      <c r="O942" s="70"/>
    </row>
    <row r="943" spans="15:15" x14ac:dyDescent="0.25">
      <c r="O943" s="70"/>
    </row>
    <row r="944" spans="15:15" x14ac:dyDescent="0.25">
      <c r="O944" s="70"/>
    </row>
    <row r="945" spans="15:15" x14ac:dyDescent="0.25">
      <c r="O945" s="70"/>
    </row>
    <row r="946" spans="15:15" x14ac:dyDescent="0.25">
      <c r="O946" s="70"/>
    </row>
    <row r="947" spans="15:15" x14ac:dyDescent="0.25">
      <c r="O947" s="70"/>
    </row>
    <row r="948" spans="15:15" x14ac:dyDescent="0.25">
      <c r="O948" s="70"/>
    </row>
    <row r="949" spans="15:15" x14ac:dyDescent="0.25">
      <c r="O949" s="70"/>
    </row>
    <row r="950" spans="15:15" x14ac:dyDescent="0.25">
      <c r="O950" s="70"/>
    </row>
    <row r="951" spans="15:15" x14ac:dyDescent="0.25">
      <c r="O951" s="70"/>
    </row>
    <row r="952" spans="15:15" x14ac:dyDescent="0.25">
      <c r="O952" s="70"/>
    </row>
    <row r="953" spans="15:15" x14ac:dyDescent="0.25">
      <c r="O953" s="70"/>
    </row>
    <row r="954" spans="15:15" x14ac:dyDescent="0.25">
      <c r="O954" s="70"/>
    </row>
    <row r="955" spans="15:15" x14ac:dyDescent="0.25">
      <c r="O955" s="70"/>
    </row>
    <row r="956" spans="15:15" x14ac:dyDescent="0.25">
      <c r="O956" s="70"/>
    </row>
    <row r="957" spans="15:15" x14ac:dyDescent="0.25">
      <c r="O957" s="70"/>
    </row>
    <row r="958" spans="15:15" x14ac:dyDescent="0.25">
      <c r="O958" s="70"/>
    </row>
    <row r="959" spans="15:15" x14ac:dyDescent="0.25">
      <c r="O959" s="70"/>
    </row>
    <row r="960" spans="15:15" x14ac:dyDescent="0.25">
      <c r="O960" s="70"/>
    </row>
    <row r="961" spans="15:15" x14ac:dyDescent="0.25">
      <c r="O961" s="70"/>
    </row>
    <row r="962" spans="15:15" x14ac:dyDescent="0.25">
      <c r="O962" s="70"/>
    </row>
    <row r="963" spans="15:15" x14ac:dyDescent="0.25">
      <c r="O963" s="70"/>
    </row>
    <row r="964" spans="15:15" x14ac:dyDescent="0.25">
      <c r="O964" s="70"/>
    </row>
    <row r="965" spans="15:15" x14ac:dyDescent="0.25">
      <c r="O965" s="70"/>
    </row>
    <row r="966" spans="15:15" x14ac:dyDescent="0.25">
      <c r="O966" s="70"/>
    </row>
    <row r="967" spans="15:15" x14ac:dyDescent="0.25">
      <c r="O967" s="70"/>
    </row>
    <row r="968" spans="15:15" x14ac:dyDescent="0.25">
      <c r="O968" s="70"/>
    </row>
    <row r="969" spans="15:15" x14ac:dyDescent="0.25">
      <c r="O969" s="70"/>
    </row>
    <row r="970" spans="15:15" x14ac:dyDescent="0.25">
      <c r="O970" s="70"/>
    </row>
    <row r="971" spans="15:15" x14ac:dyDescent="0.25">
      <c r="O971" s="70"/>
    </row>
    <row r="972" spans="15:15" x14ac:dyDescent="0.25">
      <c r="O972" s="70"/>
    </row>
    <row r="973" spans="15:15" x14ac:dyDescent="0.25">
      <c r="O973" s="70"/>
    </row>
    <row r="974" spans="15:15" x14ac:dyDescent="0.25">
      <c r="O974" s="70"/>
    </row>
    <row r="975" spans="15:15" x14ac:dyDescent="0.25">
      <c r="O975" s="70"/>
    </row>
    <row r="976" spans="15:15" x14ac:dyDescent="0.25">
      <c r="O976" s="70"/>
    </row>
    <row r="977" spans="15:15" x14ac:dyDescent="0.25">
      <c r="O977" s="70"/>
    </row>
    <row r="978" spans="15:15" x14ac:dyDescent="0.25">
      <c r="O978" s="70"/>
    </row>
    <row r="979" spans="15:15" x14ac:dyDescent="0.25">
      <c r="O979" s="70"/>
    </row>
    <row r="980" spans="15:15" x14ac:dyDescent="0.25">
      <c r="O980" s="70"/>
    </row>
    <row r="981" spans="15:15" x14ac:dyDescent="0.25">
      <c r="O981" s="70"/>
    </row>
    <row r="982" spans="15:15" x14ac:dyDescent="0.25">
      <c r="O982" s="70"/>
    </row>
    <row r="983" spans="15:15" x14ac:dyDescent="0.25">
      <c r="O983" s="70"/>
    </row>
    <row r="984" spans="15:15" x14ac:dyDescent="0.25">
      <c r="O984" s="70"/>
    </row>
    <row r="985" spans="15:15" x14ac:dyDescent="0.25">
      <c r="O985" s="70"/>
    </row>
    <row r="986" spans="15:15" x14ac:dyDescent="0.25">
      <c r="O986" s="70"/>
    </row>
    <row r="987" spans="15:15" x14ac:dyDescent="0.25">
      <c r="O987" s="70"/>
    </row>
    <row r="988" spans="15:15" x14ac:dyDescent="0.25">
      <c r="O988" s="70"/>
    </row>
    <row r="989" spans="15:15" x14ac:dyDescent="0.25">
      <c r="O989" s="70"/>
    </row>
    <row r="990" spans="15:15" x14ac:dyDescent="0.25">
      <c r="O990" s="70"/>
    </row>
    <row r="991" spans="15:15" x14ac:dyDescent="0.25">
      <c r="O991" s="70"/>
    </row>
    <row r="992" spans="15:15" x14ac:dyDescent="0.25">
      <c r="O992" s="70"/>
    </row>
    <row r="993" spans="15:15" x14ac:dyDescent="0.25">
      <c r="O993" s="70"/>
    </row>
    <row r="994" spans="15:15" x14ac:dyDescent="0.25">
      <c r="O994" s="70"/>
    </row>
    <row r="995" spans="15:15" x14ac:dyDescent="0.25">
      <c r="O995" s="70"/>
    </row>
    <row r="996" spans="15:15" x14ac:dyDescent="0.25">
      <c r="O996" s="70"/>
    </row>
    <row r="997" spans="15:15" x14ac:dyDescent="0.25">
      <c r="O997" s="70"/>
    </row>
    <row r="998" spans="15:15" x14ac:dyDescent="0.25">
      <c r="O998" s="70"/>
    </row>
    <row r="999" spans="15:15" x14ac:dyDescent="0.25">
      <c r="O999" s="70"/>
    </row>
    <row r="1000" spans="15:15" x14ac:dyDescent="0.25">
      <c r="O1000" s="70"/>
    </row>
    <row r="1001" spans="15:15" x14ac:dyDescent="0.25">
      <c r="O1001" s="70"/>
    </row>
    <row r="1002" spans="15:15" x14ac:dyDescent="0.25">
      <c r="O1002" s="70"/>
    </row>
    <row r="1003" spans="15:15" x14ac:dyDescent="0.25">
      <c r="O1003" s="70"/>
    </row>
    <row r="1004" spans="15:15" x14ac:dyDescent="0.25">
      <c r="O1004" s="70"/>
    </row>
    <row r="1005" spans="15:15" x14ac:dyDescent="0.25">
      <c r="O1005" s="70"/>
    </row>
    <row r="1006" spans="15:15" x14ac:dyDescent="0.25">
      <c r="O1006" s="70"/>
    </row>
    <row r="1007" spans="15:15" x14ac:dyDescent="0.25">
      <c r="O1007" s="70"/>
    </row>
    <row r="1008" spans="15:15" x14ac:dyDescent="0.25">
      <c r="O1008" s="70"/>
    </row>
    <row r="1009" spans="15:15" x14ac:dyDescent="0.25">
      <c r="O1009" s="70"/>
    </row>
    <row r="1010" spans="15:15" x14ac:dyDescent="0.25">
      <c r="O1010" s="70"/>
    </row>
    <row r="1011" spans="15:15" x14ac:dyDescent="0.25">
      <c r="O1011" s="70"/>
    </row>
    <row r="1012" spans="15:15" x14ac:dyDescent="0.25">
      <c r="O1012" s="70"/>
    </row>
    <row r="1013" spans="15:15" x14ac:dyDescent="0.25">
      <c r="O1013" s="70"/>
    </row>
    <row r="1014" spans="15:15" x14ac:dyDescent="0.25">
      <c r="O1014" s="70"/>
    </row>
    <row r="1015" spans="15:15" x14ac:dyDescent="0.25">
      <c r="O1015" s="70"/>
    </row>
    <row r="1016" spans="15:15" x14ac:dyDescent="0.25">
      <c r="O1016" s="70"/>
    </row>
    <row r="1017" spans="15:15" x14ac:dyDescent="0.25">
      <c r="O1017" s="70"/>
    </row>
    <row r="1018" spans="15:15" x14ac:dyDescent="0.25">
      <c r="O1018" s="70"/>
    </row>
    <row r="1019" spans="15:15" x14ac:dyDescent="0.25">
      <c r="O1019" s="70"/>
    </row>
    <row r="1020" spans="15:15" x14ac:dyDescent="0.25">
      <c r="O1020" s="70"/>
    </row>
    <row r="1021" spans="15:15" x14ac:dyDescent="0.25">
      <c r="O1021" s="70"/>
    </row>
    <row r="1022" spans="15:15" x14ac:dyDescent="0.25">
      <c r="O1022" s="70"/>
    </row>
    <row r="1023" spans="15:15" x14ac:dyDescent="0.25">
      <c r="O1023" s="70"/>
    </row>
    <row r="1024" spans="15:15" x14ac:dyDescent="0.25">
      <c r="O1024" s="70"/>
    </row>
    <row r="1025" spans="15:15" x14ac:dyDescent="0.25">
      <c r="O1025" s="70"/>
    </row>
    <row r="1026" spans="15:15" x14ac:dyDescent="0.25">
      <c r="O1026" s="70"/>
    </row>
    <row r="1027" spans="15:15" x14ac:dyDescent="0.25">
      <c r="O1027" s="70"/>
    </row>
    <row r="1028" spans="15:15" x14ac:dyDescent="0.25">
      <c r="O1028" s="70"/>
    </row>
    <row r="1029" spans="15:15" x14ac:dyDescent="0.25">
      <c r="O1029" s="70"/>
    </row>
    <row r="1030" spans="15:15" x14ac:dyDescent="0.25">
      <c r="O1030" s="70"/>
    </row>
    <row r="1031" spans="15:15" x14ac:dyDescent="0.25">
      <c r="O1031" s="70"/>
    </row>
    <row r="1032" spans="15:15" x14ac:dyDescent="0.25">
      <c r="O1032" s="70"/>
    </row>
    <row r="1033" spans="15:15" x14ac:dyDescent="0.25">
      <c r="O1033" s="70"/>
    </row>
    <row r="1034" spans="15:15" x14ac:dyDescent="0.25">
      <c r="O1034" s="70"/>
    </row>
    <row r="1035" spans="15:15" x14ac:dyDescent="0.25">
      <c r="O1035" s="70"/>
    </row>
    <row r="1036" spans="15:15" x14ac:dyDescent="0.25">
      <c r="O1036" s="70"/>
    </row>
    <row r="1037" spans="15:15" x14ac:dyDescent="0.25">
      <c r="O1037" s="70"/>
    </row>
    <row r="1038" spans="15:15" x14ac:dyDescent="0.25">
      <c r="O1038" s="70"/>
    </row>
    <row r="1039" spans="15:15" x14ac:dyDescent="0.25">
      <c r="O1039" s="70"/>
    </row>
    <row r="1040" spans="15:15" x14ac:dyDescent="0.25">
      <c r="O1040" s="70"/>
    </row>
    <row r="1041" spans="15:15" x14ac:dyDescent="0.25">
      <c r="O1041" s="70"/>
    </row>
    <row r="1042" spans="15:15" x14ac:dyDescent="0.25">
      <c r="O1042" s="70"/>
    </row>
    <row r="1043" spans="15:15" x14ac:dyDescent="0.25">
      <c r="O1043" s="70"/>
    </row>
    <row r="1044" spans="15:15" x14ac:dyDescent="0.25">
      <c r="O1044" s="70"/>
    </row>
    <row r="1045" spans="15:15" x14ac:dyDescent="0.25">
      <c r="O1045" s="70"/>
    </row>
    <row r="1046" spans="15:15" x14ac:dyDescent="0.25">
      <c r="O1046" s="70"/>
    </row>
    <row r="1047" spans="15:15" x14ac:dyDescent="0.25">
      <c r="O1047" s="70"/>
    </row>
    <row r="1048" spans="15:15" x14ac:dyDescent="0.25">
      <c r="O1048" s="70"/>
    </row>
    <row r="1049" spans="15:15" x14ac:dyDescent="0.25">
      <c r="O1049" s="70"/>
    </row>
    <row r="1050" spans="15:15" x14ac:dyDescent="0.25">
      <c r="O1050" s="70"/>
    </row>
    <row r="1051" spans="15:15" x14ac:dyDescent="0.25">
      <c r="O1051" s="70"/>
    </row>
    <row r="1052" spans="15:15" x14ac:dyDescent="0.25">
      <c r="O1052" s="70"/>
    </row>
    <row r="1053" spans="15:15" x14ac:dyDescent="0.25">
      <c r="O1053" s="70"/>
    </row>
    <row r="1054" spans="15:15" x14ac:dyDescent="0.25">
      <c r="O1054" s="70"/>
    </row>
    <row r="1055" spans="15:15" x14ac:dyDescent="0.25">
      <c r="O1055" s="70"/>
    </row>
    <row r="1056" spans="15:15" x14ac:dyDescent="0.25">
      <c r="O1056" s="70"/>
    </row>
    <row r="1057" spans="15:15" x14ac:dyDescent="0.25">
      <c r="O1057" s="70"/>
    </row>
    <row r="1058" spans="15:15" x14ac:dyDescent="0.25">
      <c r="O1058" s="70"/>
    </row>
    <row r="1059" spans="15:15" x14ac:dyDescent="0.25">
      <c r="O1059" s="70"/>
    </row>
    <row r="1060" spans="15:15" x14ac:dyDescent="0.25">
      <c r="O1060" s="70"/>
    </row>
    <row r="1061" spans="15:15" x14ac:dyDescent="0.25">
      <c r="O1061" s="70"/>
    </row>
    <row r="1062" spans="15:15" x14ac:dyDescent="0.25">
      <c r="O1062" s="70"/>
    </row>
    <row r="1063" spans="15:15" x14ac:dyDescent="0.25">
      <c r="O1063" s="70"/>
    </row>
    <row r="1064" spans="15:15" x14ac:dyDescent="0.25">
      <c r="O1064" s="70"/>
    </row>
    <row r="1065" spans="15:15" x14ac:dyDescent="0.25">
      <c r="O1065" s="70"/>
    </row>
    <row r="1066" spans="15:15" x14ac:dyDescent="0.25">
      <c r="O1066" s="70"/>
    </row>
    <row r="1067" spans="15:15" x14ac:dyDescent="0.25">
      <c r="O1067" s="70"/>
    </row>
    <row r="1068" spans="15:15" x14ac:dyDescent="0.25">
      <c r="O1068" s="70"/>
    </row>
    <row r="1069" spans="15:15" x14ac:dyDescent="0.25">
      <c r="O1069" s="70"/>
    </row>
    <row r="1070" spans="15:15" x14ac:dyDescent="0.25">
      <c r="O1070" s="70"/>
    </row>
    <row r="1071" spans="15:15" x14ac:dyDescent="0.25">
      <c r="O1071" s="70"/>
    </row>
    <row r="1072" spans="15:15" x14ac:dyDescent="0.25">
      <c r="O1072" s="70"/>
    </row>
    <row r="1073" spans="15:15" x14ac:dyDescent="0.25">
      <c r="O1073" s="70"/>
    </row>
    <row r="1074" spans="15:15" x14ac:dyDescent="0.25">
      <c r="O1074" s="70"/>
    </row>
    <row r="1075" spans="15:15" x14ac:dyDescent="0.25">
      <c r="O1075" s="70"/>
    </row>
    <row r="1076" spans="15:15" x14ac:dyDescent="0.25">
      <c r="O1076" s="70"/>
    </row>
    <row r="1077" spans="15:15" x14ac:dyDescent="0.25">
      <c r="O1077" s="70"/>
    </row>
    <row r="1078" spans="15:15" x14ac:dyDescent="0.25">
      <c r="O1078" s="70"/>
    </row>
    <row r="1079" spans="15:15" x14ac:dyDescent="0.25">
      <c r="O1079" s="70"/>
    </row>
    <row r="1080" spans="15:15" x14ac:dyDescent="0.25">
      <c r="O1080" s="70"/>
    </row>
    <row r="1081" spans="15:15" x14ac:dyDescent="0.25">
      <c r="O1081" s="70"/>
    </row>
    <row r="1082" spans="15:15" x14ac:dyDescent="0.25">
      <c r="O1082" s="70"/>
    </row>
    <row r="1083" spans="15:15" x14ac:dyDescent="0.25">
      <c r="O1083" s="70"/>
    </row>
    <row r="1084" spans="15:15" x14ac:dyDescent="0.25">
      <c r="O1084" s="70"/>
    </row>
    <row r="1085" spans="15:15" x14ac:dyDescent="0.25">
      <c r="O1085" s="70"/>
    </row>
    <row r="1086" spans="15:15" x14ac:dyDescent="0.25">
      <c r="O1086" s="70"/>
    </row>
    <row r="1087" spans="15:15" x14ac:dyDescent="0.25">
      <c r="O1087" s="70"/>
    </row>
    <row r="1088" spans="15:15" x14ac:dyDescent="0.25">
      <c r="O1088" s="70"/>
    </row>
    <row r="1089" spans="15:15" x14ac:dyDescent="0.25">
      <c r="O1089" s="70"/>
    </row>
    <row r="1090" spans="15:15" x14ac:dyDescent="0.25">
      <c r="O1090" s="70"/>
    </row>
    <row r="1091" spans="15:15" x14ac:dyDescent="0.25">
      <c r="O1091" s="70"/>
    </row>
    <row r="1092" spans="15:15" x14ac:dyDescent="0.25">
      <c r="O1092" s="70"/>
    </row>
    <row r="1093" spans="15:15" x14ac:dyDescent="0.25">
      <c r="O1093" s="70"/>
    </row>
    <row r="1094" spans="15:15" x14ac:dyDescent="0.25">
      <c r="O1094" s="70"/>
    </row>
    <row r="1095" spans="15:15" x14ac:dyDescent="0.25">
      <c r="O1095" s="70"/>
    </row>
    <row r="1096" spans="15:15" x14ac:dyDescent="0.25">
      <c r="O1096" s="70"/>
    </row>
    <row r="1097" spans="15:15" x14ac:dyDescent="0.25">
      <c r="O1097" s="70"/>
    </row>
    <row r="1098" spans="15:15" x14ac:dyDescent="0.25">
      <c r="O1098" s="70"/>
    </row>
    <row r="1099" spans="15:15" x14ac:dyDescent="0.25">
      <c r="O1099" s="70"/>
    </row>
    <row r="1100" spans="15:15" x14ac:dyDescent="0.25">
      <c r="O1100" s="70"/>
    </row>
    <row r="1101" spans="15:15" x14ac:dyDescent="0.25">
      <c r="O1101" s="70"/>
    </row>
    <row r="1102" spans="15:15" x14ac:dyDescent="0.25">
      <c r="O1102" s="70"/>
    </row>
    <row r="1103" spans="15:15" x14ac:dyDescent="0.25">
      <c r="O1103" s="70"/>
    </row>
    <row r="1104" spans="15:15" x14ac:dyDescent="0.25">
      <c r="O1104" s="70"/>
    </row>
    <row r="1105" spans="15:15" x14ac:dyDescent="0.25">
      <c r="O1105" s="70"/>
    </row>
    <row r="1106" spans="15:15" x14ac:dyDescent="0.25">
      <c r="O1106" s="70"/>
    </row>
    <row r="1107" spans="15:15" x14ac:dyDescent="0.25">
      <c r="O1107" s="70"/>
    </row>
    <row r="1108" spans="15:15" x14ac:dyDescent="0.25">
      <c r="O1108" s="70"/>
    </row>
    <row r="1109" spans="15:15" x14ac:dyDescent="0.25">
      <c r="O1109" s="70"/>
    </row>
    <row r="1110" spans="15:15" x14ac:dyDescent="0.25">
      <c r="O1110" s="70"/>
    </row>
    <row r="1111" spans="15:15" x14ac:dyDescent="0.25">
      <c r="O1111" s="70"/>
    </row>
    <row r="1112" spans="15:15" x14ac:dyDescent="0.25">
      <c r="O1112" s="70"/>
    </row>
    <row r="1113" spans="15:15" x14ac:dyDescent="0.25">
      <c r="O1113" s="70"/>
    </row>
    <row r="1114" spans="15:15" x14ac:dyDescent="0.25">
      <c r="O1114" s="70"/>
    </row>
    <row r="1115" spans="15:15" x14ac:dyDescent="0.25">
      <c r="O1115" s="70"/>
    </row>
    <row r="1116" spans="15:15" x14ac:dyDescent="0.25">
      <c r="O1116" s="70"/>
    </row>
    <row r="1117" spans="15:15" x14ac:dyDescent="0.25">
      <c r="O1117" s="70"/>
    </row>
    <row r="1118" spans="15:15" x14ac:dyDescent="0.25">
      <c r="O1118" s="70"/>
    </row>
    <row r="1119" spans="15:15" x14ac:dyDescent="0.25">
      <c r="O1119" s="70"/>
    </row>
    <row r="1120" spans="15:15" x14ac:dyDescent="0.25">
      <c r="O1120" s="70"/>
    </row>
    <row r="1121" spans="15:15" x14ac:dyDescent="0.25">
      <c r="O1121" s="70"/>
    </row>
    <row r="1122" spans="15:15" x14ac:dyDescent="0.25">
      <c r="O1122" s="70"/>
    </row>
    <row r="1123" spans="15:15" x14ac:dyDescent="0.25">
      <c r="O1123" s="70"/>
    </row>
    <row r="1124" spans="15:15" x14ac:dyDescent="0.25">
      <c r="O1124" s="70"/>
    </row>
    <row r="1125" spans="15:15" x14ac:dyDescent="0.25">
      <c r="O1125" s="70"/>
    </row>
    <row r="1126" spans="15:15" x14ac:dyDescent="0.25">
      <c r="O1126" s="70"/>
    </row>
    <row r="1127" spans="15:15" x14ac:dyDescent="0.25">
      <c r="O1127" s="70"/>
    </row>
    <row r="1128" spans="15:15" x14ac:dyDescent="0.25">
      <c r="O1128" s="70"/>
    </row>
    <row r="1129" spans="15:15" x14ac:dyDescent="0.25">
      <c r="O1129" s="70"/>
    </row>
    <row r="1130" spans="15:15" x14ac:dyDescent="0.25">
      <c r="O1130" s="70"/>
    </row>
    <row r="1131" spans="15:15" x14ac:dyDescent="0.25">
      <c r="O1131" s="70"/>
    </row>
    <row r="1132" spans="15:15" x14ac:dyDescent="0.25">
      <c r="O1132" s="70"/>
    </row>
    <row r="1133" spans="15:15" x14ac:dyDescent="0.25">
      <c r="O1133" s="70"/>
    </row>
    <row r="1134" spans="15:15" x14ac:dyDescent="0.25">
      <c r="O1134" s="70"/>
    </row>
    <row r="1135" spans="15:15" x14ac:dyDescent="0.25">
      <c r="O1135" s="70"/>
    </row>
    <row r="1136" spans="15:15" x14ac:dyDescent="0.25">
      <c r="O1136" s="70"/>
    </row>
    <row r="1137" spans="15:15" x14ac:dyDescent="0.25">
      <c r="O1137" s="70"/>
    </row>
    <row r="1138" spans="15:15" x14ac:dyDescent="0.25">
      <c r="O1138" s="70"/>
    </row>
    <row r="1139" spans="15:15" x14ac:dyDescent="0.25">
      <c r="O1139" s="70"/>
    </row>
    <row r="1140" spans="15:15" x14ac:dyDescent="0.25">
      <c r="O1140" s="70"/>
    </row>
    <row r="1141" spans="15:15" x14ac:dyDescent="0.25">
      <c r="O1141" s="70"/>
    </row>
    <row r="1142" spans="15:15" x14ac:dyDescent="0.25">
      <c r="O1142" s="70"/>
    </row>
    <row r="1143" spans="15:15" x14ac:dyDescent="0.25">
      <c r="O1143" s="70"/>
    </row>
    <row r="1144" spans="15:15" x14ac:dyDescent="0.25">
      <c r="O1144" s="70"/>
    </row>
    <row r="1145" spans="15:15" x14ac:dyDescent="0.25">
      <c r="O1145" s="70"/>
    </row>
    <row r="1146" spans="15:15" x14ac:dyDescent="0.25">
      <c r="O1146" s="70"/>
    </row>
    <row r="1147" spans="15:15" x14ac:dyDescent="0.25">
      <c r="O1147" s="70"/>
    </row>
    <row r="1148" spans="15:15" x14ac:dyDescent="0.25">
      <c r="O1148" s="70"/>
    </row>
    <row r="1149" spans="15:15" x14ac:dyDescent="0.25">
      <c r="O1149" s="70"/>
    </row>
    <row r="1150" spans="15:15" x14ac:dyDescent="0.25">
      <c r="O1150" s="70"/>
    </row>
    <row r="1151" spans="15:15" x14ac:dyDescent="0.25">
      <c r="O1151" s="70"/>
    </row>
    <row r="1152" spans="15:15" x14ac:dyDescent="0.25">
      <c r="O1152" s="70"/>
    </row>
    <row r="1153" spans="15:15" x14ac:dyDescent="0.25">
      <c r="O1153" s="70"/>
    </row>
    <row r="1154" spans="15:15" x14ac:dyDescent="0.25">
      <c r="O1154" s="70"/>
    </row>
    <row r="1155" spans="15:15" x14ac:dyDescent="0.25">
      <c r="O1155" s="70"/>
    </row>
    <row r="1156" spans="15:15" x14ac:dyDescent="0.25">
      <c r="O1156" s="70"/>
    </row>
    <row r="1157" spans="15:15" x14ac:dyDescent="0.25">
      <c r="O1157" s="70"/>
    </row>
    <row r="1158" spans="15:15" x14ac:dyDescent="0.25">
      <c r="O1158" s="70"/>
    </row>
    <row r="1159" spans="15:15" x14ac:dyDescent="0.25">
      <c r="O1159" s="70"/>
    </row>
    <row r="1160" spans="15:15" x14ac:dyDescent="0.25">
      <c r="O1160" s="70"/>
    </row>
    <row r="1161" spans="15:15" x14ac:dyDescent="0.25">
      <c r="O1161" s="70"/>
    </row>
    <row r="1162" spans="15:15" x14ac:dyDescent="0.25">
      <c r="O1162" s="70"/>
    </row>
    <row r="1163" spans="15:15" x14ac:dyDescent="0.25">
      <c r="O1163" s="70"/>
    </row>
    <row r="1164" spans="15:15" x14ac:dyDescent="0.25">
      <c r="O1164" s="70"/>
    </row>
    <row r="1165" spans="15:15" x14ac:dyDescent="0.25">
      <c r="O1165" s="70"/>
    </row>
    <row r="1166" spans="15:15" x14ac:dyDescent="0.25">
      <c r="O1166" s="70"/>
    </row>
    <row r="1167" spans="15:15" x14ac:dyDescent="0.25">
      <c r="O1167" s="70"/>
    </row>
    <row r="1168" spans="15:15" x14ac:dyDescent="0.25">
      <c r="O1168" s="70"/>
    </row>
    <row r="1169" spans="15:15" x14ac:dyDescent="0.25">
      <c r="O1169" s="70"/>
    </row>
    <row r="1170" spans="15:15" x14ac:dyDescent="0.25">
      <c r="O1170" s="70"/>
    </row>
    <row r="1171" spans="15:15" x14ac:dyDescent="0.25">
      <c r="O1171" s="70"/>
    </row>
    <row r="1172" spans="15:15" x14ac:dyDescent="0.25">
      <c r="O1172" s="70"/>
    </row>
    <row r="1173" spans="15:15" x14ac:dyDescent="0.25">
      <c r="O1173" s="70"/>
    </row>
    <row r="1174" spans="15:15" x14ac:dyDescent="0.25">
      <c r="O1174" s="70"/>
    </row>
    <row r="1175" spans="15:15" x14ac:dyDescent="0.25">
      <c r="O1175" s="70"/>
    </row>
    <row r="1176" spans="15:15" x14ac:dyDescent="0.25">
      <c r="O1176" s="70"/>
    </row>
    <row r="1177" spans="15:15" x14ac:dyDescent="0.25">
      <c r="O1177" s="70"/>
    </row>
    <row r="1178" spans="15:15" x14ac:dyDescent="0.25">
      <c r="O1178" s="70"/>
    </row>
    <row r="1179" spans="15:15" x14ac:dyDescent="0.25">
      <c r="O1179" s="70"/>
    </row>
  </sheetData>
  <autoFilter ref="A7:AQ577" xr:uid="{00000000-0001-0000-0000-000000000000}"/>
  <sortState xmlns:xlrd2="http://schemas.microsoft.com/office/spreadsheetml/2017/richdata2" ref="A650:AO655">
    <sortCondition ref="B650:B655"/>
  </sortState>
  <phoneticPr fontId="6" type="noConversion"/>
  <conditionalFormatting sqref="C1:C264 D20:D21 D129:D144 D152 D160:D161 D211:D213 D217:D220 D225:D227 D256:D257 D264 C265:D265 C266:C577 D270:D273 D283:D285 D358:D363 D372 C373:D373 D389:D392 D404:D406 D409:D410 D467:D470 D537:D538 C660:C1048576">
    <cfRule type="cellIs" dxfId="141" priority="527" operator="equal">
      <formula>$C$267</formula>
    </cfRule>
  </conditionalFormatting>
  <conditionalFormatting sqref="C1:C264 D20:D21 D160:D161 D217:D220 C265:D265 C266:C577 D270:D273 D283:D285 C373:D373 D389:D392 D404:D406 D409:D410 C660:C1048576 D129:D144 D152 D211:D213 D225:D227 D256:D257 D264 D358:D363 D372 D467:D470 D537:D538">
    <cfRule type="cellIs" dxfId="140" priority="526" operator="equal">
      <formula>$C$286</formula>
    </cfRule>
  </conditionalFormatting>
  <conditionalFormatting sqref="C1:C577 D20:D21 D160:D161 D217:D218 D270:D273 D283:D285 D389:D392 D404:D406 D409:D410 C660:C1048576">
    <cfRule type="cellIs" dxfId="139" priority="72" operator="equal">
      <formula>"IPCOMS"</formula>
    </cfRule>
  </conditionalFormatting>
  <conditionalFormatting sqref="E1:E551 E565:E577 E660:E1048576">
    <cfRule type="containsText" dxfId="138" priority="532" operator="containsText" text="fija">
      <formula>NOT(ISERROR(SEARCH("fija",E1)))</formula>
    </cfRule>
    <cfRule type="containsText" dxfId="137" priority="533" operator="containsText" text="domo">
      <formula>NOT(ISERROR(SEARCH("domo",E1)))</formula>
    </cfRule>
  </conditionalFormatting>
  <conditionalFormatting sqref="E1:E577 E660:E1048576">
    <cfRule type="cellIs" dxfId="136" priority="528" operator="equal">
      <formula>$E$10</formula>
    </cfRule>
  </conditionalFormatting>
  <conditionalFormatting sqref="E133:E145 G145:H145">
    <cfRule type="containsText" dxfId="135" priority="14" operator="containsText" text="Radio">
      <formula>NOT(ISERROR(SEARCH("Radio",E133)))</formula>
    </cfRule>
  </conditionalFormatting>
  <conditionalFormatting sqref="E389:E392">
    <cfRule type="containsText" dxfId="134" priority="33" operator="containsText" text="Radio">
      <formula>NOT(ISERROR(SEARCH("Radio",E389)))</formula>
    </cfRule>
  </conditionalFormatting>
  <conditionalFormatting sqref="E553">
    <cfRule type="containsText" dxfId="133" priority="473" operator="containsText" text="fija">
      <formula>NOT(ISERROR(SEARCH("fija",E553)))</formula>
    </cfRule>
    <cfRule type="containsText" dxfId="132" priority="474" operator="containsText" text="domo">
      <formula>NOT(ISERROR(SEARCH("domo",E553)))</formula>
    </cfRule>
    <cfRule type="containsText" dxfId="131" priority="475" operator="containsText" text="Radio">
      <formula>NOT(ISERROR(SEARCH("Radio",E553)))</formula>
    </cfRule>
  </conditionalFormatting>
  <conditionalFormatting sqref="E553:E554">
    <cfRule type="containsText" dxfId="130" priority="468" operator="containsText" text="fija">
      <formula>NOT(ISERROR(SEARCH("fija",E553)))</formula>
    </cfRule>
    <cfRule type="containsText" dxfId="129" priority="469" operator="containsText" text="domo">
      <formula>NOT(ISERROR(SEARCH("domo",E553)))</formula>
    </cfRule>
  </conditionalFormatting>
  <conditionalFormatting sqref="E554">
    <cfRule type="containsText" dxfId="128" priority="466" operator="containsText" text="fija">
      <formula>NOT(ISERROR(SEARCH("fija",E554)))</formula>
    </cfRule>
    <cfRule type="containsText" dxfId="127" priority="467" operator="containsText" text="domo">
      <formula>NOT(ISERROR(SEARCH("domo",E554)))</formula>
    </cfRule>
    <cfRule type="containsText" dxfId="126" priority="470" operator="containsText" text="Radio">
      <formula>NOT(ISERROR(SEARCH("Radio",E554)))</formula>
    </cfRule>
  </conditionalFormatting>
  <conditionalFormatting sqref="E557">
    <cfRule type="containsText" dxfId="125" priority="463" operator="containsText" text="fija">
      <formula>NOT(ISERROR(SEARCH("fija",E557)))</formula>
    </cfRule>
    <cfRule type="containsText" dxfId="124" priority="464" operator="containsText" text="domo">
      <formula>NOT(ISERROR(SEARCH("domo",E557)))</formula>
    </cfRule>
    <cfRule type="containsText" dxfId="123" priority="465" operator="containsText" text="Radio">
      <formula>NOT(ISERROR(SEARCH("Radio",E557)))</formula>
    </cfRule>
  </conditionalFormatting>
  <conditionalFormatting sqref="E557:E558">
    <cfRule type="containsText" dxfId="122" priority="458" operator="containsText" text="fija">
      <formula>NOT(ISERROR(SEARCH("fija",E557)))</formula>
    </cfRule>
    <cfRule type="containsText" dxfId="121" priority="459" operator="containsText" text="domo">
      <formula>NOT(ISERROR(SEARCH("domo",E557)))</formula>
    </cfRule>
  </conditionalFormatting>
  <conditionalFormatting sqref="E558 E46:H132 F133:F134 E158:H225 E227:F227 E228:H387 E388:F388 F389:F392 E393:H408 E409:F410 E411:H551 E565:H577 E660:H1048576 H388 G388:G392">
    <cfRule type="containsText" dxfId="120" priority="460" operator="containsText" text="Radio">
      <formula>NOT(ISERROR(SEARCH("Radio",E46)))</formula>
    </cfRule>
  </conditionalFormatting>
  <conditionalFormatting sqref="E558:E559">
    <cfRule type="containsText" dxfId="119" priority="453" operator="containsText" text="fija">
      <formula>NOT(ISERROR(SEARCH("fija",E558)))</formula>
    </cfRule>
    <cfRule type="containsText" dxfId="118" priority="454" operator="containsText" text="domo">
      <formula>NOT(ISERROR(SEARCH("domo",E558)))</formula>
    </cfRule>
  </conditionalFormatting>
  <conditionalFormatting sqref="E559">
    <cfRule type="containsText" dxfId="117" priority="455" operator="containsText" text="Radio">
      <formula>NOT(ISERROR(SEARCH("Radio",E559)))</formula>
    </cfRule>
  </conditionalFormatting>
  <conditionalFormatting sqref="E559:E560">
    <cfRule type="containsText" dxfId="116" priority="448" operator="containsText" text="fija">
      <formula>NOT(ISERROR(SEARCH("fija",E559)))</formula>
    </cfRule>
    <cfRule type="containsText" dxfId="115" priority="449" operator="containsText" text="domo">
      <formula>NOT(ISERROR(SEARCH("domo",E559)))</formula>
    </cfRule>
  </conditionalFormatting>
  <conditionalFormatting sqref="E560">
    <cfRule type="containsText" dxfId="114" priority="446" operator="containsText" text="fija">
      <formula>NOT(ISERROR(SEARCH("fija",E560)))</formula>
    </cfRule>
    <cfRule type="containsText" dxfId="113" priority="447" operator="containsText" text="domo">
      <formula>NOT(ISERROR(SEARCH("domo",E560)))</formula>
    </cfRule>
    <cfRule type="containsText" dxfId="112" priority="450" operator="containsText" text="Radio">
      <formula>NOT(ISERROR(SEARCH("Radio",E560)))</formula>
    </cfRule>
  </conditionalFormatting>
  <conditionalFormatting sqref="E563">
    <cfRule type="containsText" dxfId="111" priority="744" operator="containsText" text="fija">
      <formula>NOT(ISERROR(SEARCH("fija",E563)))</formula>
    </cfRule>
    <cfRule type="containsText" dxfId="110" priority="745" operator="containsText" text="domo">
      <formula>NOT(ISERROR(SEARCH("domo",E563)))</formula>
    </cfRule>
  </conditionalFormatting>
  <conditionalFormatting sqref="E566:E569">
    <cfRule type="containsText" dxfId="109" priority="476" operator="containsText" text="fija">
      <formula>NOT(ISERROR(SEARCH("fija",E566)))</formula>
    </cfRule>
    <cfRule type="containsText" dxfId="108" priority="477" operator="containsText" text="domo">
      <formula>NOT(ISERROR(SEARCH("domo",E566)))</formula>
    </cfRule>
  </conditionalFormatting>
  <conditionalFormatting sqref="E226:F226">
    <cfRule type="containsText" dxfId="107" priority="35" operator="containsText" text="Radio">
      <formula>NOT(ISERROR(SEARCH("Radio",E226)))</formula>
    </cfRule>
  </conditionalFormatting>
  <conditionalFormatting sqref="E35:G45">
    <cfRule type="containsText" dxfId="106" priority="5" operator="containsText" text="Radio">
      <formula>NOT(ISERROR(SEARCH("Radio",E35)))</formula>
    </cfRule>
  </conditionalFormatting>
  <conditionalFormatting sqref="E1:H34">
    <cfRule type="containsText" dxfId="105" priority="70" operator="containsText" text="Radio">
      <formula>NOT(ISERROR(SEARCH("Radio",E1)))</formula>
    </cfRule>
  </conditionalFormatting>
  <conditionalFormatting sqref="E146:H157">
    <cfRule type="containsText" dxfId="104" priority="8" operator="containsText" text="Radio">
      <formula>NOT(ISERROR(SEARCH("Radio",E146)))</formula>
    </cfRule>
  </conditionalFormatting>
  <conditionalFormatting sqref="E563:H563 F564">
    <cfRule type="containsText" dxfId="103" priority="1001" operator="containsText" text="Radio">
      <formula>NOT(ISERROR(SEARCH("Radio",E563)))</formula>
    </cfRule>
  </conditionalFormatting>
  <conditionalFormatting sqref="F1:F134 F158:F577 F660:F1048576">
    <cfRule type="cellIs" dxfId="102" priority="73" operator="equal">
      <formula>"GPON"</formula>
    </cfRule>
    <cfRule type="cellIs" dxfId="101" priority="74" operator="equal">
      <formula>"GPON"</formula>
    </cfRule>
  </conditionalFormatting>
  <conditionalFormatting sqref="F137">
    <cfRule type="cellIs" dxfId="100" priority="61" operator="equal">
      <formula>"GPON"</formula>
    </cfRule>
    <cfRule type="cellIs" dxfId="99" priority="62" operator="equal">
      <formula>"GPON"</formula>
    </cfRule>
    <cfRule type="containsText" dxfId="98" priority="63" operator="containsText" text="Radio">
      <formula>NOT(ISERROR(SEARCH("Radio",F137)))</formula>
    </cfRule>
    <cfRule type="cellIs" dxfId="97" priority="64" operator="equal">
      <formula>$F$13</formula>
    </cfRule>
    <cfRule type="cellIs" dxfId="96" priority="65" operator="equal">
      <formula>"PTP A FO"</formula>
    </cfRule>
    <cfRule type="cellIs" dxfId="95" priority="66" operator="equal">
      <formula>"PTP A FO"</formula>
    </cfRule>
  </conditionalFormatting>
  <conditionalFormatting sqref="F140:F146">
    <cfRule type="containsText" dxfId="94" priority="38" operator="containsText" text="Radio">
      <formula>NOT(ISERROR(SEARCH("Radio",F140)))</formula>
    </cfRule>
    <cfRule type="cellIs" dxfId="93" priority="39" operator="equal">
      <formula>$F$13</formula>
    </cfRule>
    <cfRule type="cellIs" dxfId="92" priority="40" operator="equal">
      <formula>"PTP A FO"</formula>
    </cfRule>
    <cfRule type="cellIs" dxfId="91" priority="41" operator="equal">
      <formula>"PTP A FO"</formula>
    </cfRule>
  </conditionalFormatting>
  <conditionalFormatting sqref="F140:F157">
    <cfRule type="cellIs" dxfId="90" priority="6" operator="equal">
      <formula>"GPON"</formula>
    </cfRule>
    <cfRule type="cellIs" dxfId="89" priority="7" operator="equal">
      <formula>"GPON"</formula>
    </cfRule>
  </conditionalFormatting>
  <conditionalFormatting sqref="F144">
    <cfRule type="containsText" dxfId="88" priority="1" operator="containsText" text="Radio">
      <formula>NOT(ISERROR(SEARCH("Radio",F144)))</formula>
    </cfRule>
    <cfRule type="cellIs" dxfId="87" priority="2" operator="equal">
      <formula>$F$13</formula>
    </cfRule>
    <cfRule type="cellIs" dxfId="86" priority="3" operator="equal">
      <formula>"PTP A FO"</formula>
    </cfRule>
    <cfRule type="cellIs" dxfId="85" priority="4" operator="equal">
      <formula>"PTP A FO"</formula>
    </cfRule>
  </conditionalFormatting>
  <conditionalFormatting sqref="F226:F227">
    <cfRule type="cellIs" dxfId="84" priority="52" operator="equal">
      <formula>$F$13</formula>
    </cfRule>
    <cfRule type="cellIs" dxfId="83" priority="53" operator="equal">
      <formula>"PTP A FO"</formula>
    </cfRule>
    <cfRule type="cellIs" dxfId="82" priority="54" operator="equal">
      <formula>"PTP A FO"</formula>
    </cfRule>
  </conditionalFormatting>
  <conditionalFormatting sqref="F227">
    <cfRule type="cellIs" dxfId="81" priority="48" operator="equal">
      <formula>$F$13</formula>
    </cfRule>
    <cfRule type="cellIs" dxfId="80" priority="49" operator="equal">
      <formula>"PTP A FO"</formula>
    </cfRule>
    <cfRule type="cellIs" dxfId="79" priority="50" operator="equal">
      <formula>"PTP A FO"</formula>
    </cfRule>
  </conditionalFormatting>
  <conditionalFormatting sqref="F409:F410">
    <cfRule type="containsText" dxfId="78" priority="57" operator="containsText" text="Radio">
      <formula>NOT(ISERROR(SEARCH("Radio",F409)))</formula>
    </cfRule>
    <cfRule type="cellIs" dxfId="77" priority="58" operator="equal">
      <formula>$F$13</formula>
    </cfRule>
    <cfRule type="cellIs" dxfId="76" priority="59" operator="equal">
      <formula>"PTP A FO"</formula>
    </cfRule>
    <cfRule type="cellIs" dxfId="75" priority="60" operator="equal">
      <formula>"PTP A FO"</formula>
    </cfRule>
  </conditionalFormatting>
  <conditionalFormatting sqref="F552">
    <cfRule type="containsText" dxfId="74" priority="123" operator="containsText" text="Radio">
      <formula>NOT(ISERROR(SEARCH("Radio",F552)))</formula>
    </cfRule>
    <cfRule type="cellIs" dxfId="73" priority="124" operator="equal">
      <formula>"PTP A FO"</formula>
    </cfRule>
  </conditionalFormatting>
  <conditionalFormatting sqref="F1:G132 F133:F134 F158:G225 F228:G408 F409:F410 F411:G551 F563:G563 F564 F565:G577 F660:G1048576">
    <cfRule type="cellIs" dxfId="72" priority="725" operator="equal">
      <formula>"PTP A FO"</formula>
    </cfRule>
  </conditionalFormatting>
  <conditionalFormatting sqref="F1:G132 F133:F134 F158:G225 F228:G408 F409:F410 F411:G577 F660:G1048576">
    <cfRule type="cellIs" dxfId="71" priority="529" operator="equal">
      <formula>$F$13</formula>
    </cfRule>
    <cfRule type="cellIs" dxfId="70" priority="530" operator="equal">
      <formula>"PTP A FO"</formula>
    </cfRule>
  </conditionalFormatting>
  <conditionalFormatting sqref="F146:G157">
    <cfRule type="cellIs" dxfId="69" priority="9" operator="equal">
      <formula>$F$13</formula>
    </cfRule>
    <cfRule type="cellIs" dxfId="68" priority="10" operator="equal">
      <formula>"PTP A FO"</formula>
    </cfRule>
    <cfRule type="cellIs" dxfId="67" priority="11" operator="equal">
      <formula>"PTP A FO"</formula>
    </cfRule>
  </conditionalFormatting>
  <conditionalFormatting sqref="G145">
    <cfRule type="cellIs" dxfId="66" priority="15" operator="equal">
      <formula>$F$13</formula>
    </cfRule>
    <cfRule type="cellIs" dxfId="65" priority="16" operator="equal">
      <formula>"PTP A FO"</formula>
    </cfRule>
    <cfRule type="cellIs" dxfId="64" priority="17" operator="equal">
      <formula>"PTP A FO"</formula>
    </cfRule>
  </conditionalFormatting>
  <conditionalFormatting sqref="J172">
    <cfRule type="containsText" dxfId="63" priority="32" operator="containsText" text="Radio">
      <formula>NOT(ISERROR(SEARCH("Radio",J172)))</formula>
    </cfRule>
  </conditionalFormatting>
  <conditionalFormatting sqref="L7:L577">
    <cfRule type="cellIs" dxfId="62" priority="960" operator="lessThan">
      <formula>0.8</formula>
    </cfRule>
    <cfRule type="cellIs" dxfId="61" priority="961" operator="greaterThan">
      <formula>0.8</formula>
    </cfRule>
  </conditionalFormatting>
  <conditionalFormatting sqref="M660:AO736 W660:AH1048576">
    <cfRule type="cellIs" dxfId="60" priority="107" operator="equal">
      <formula>"apagado"</formula>
    </cfRule>
  </conditionalFormatting>
  <conditionalFormatting sqref="M660:AO1048576">
    <cfRule type="containsText" dxfId="59" priority="657" operator="containsText" text="Caida">
      <formula>NOT(ISERROR(SEARCH("Caida",M660)))</formula>
    </cfRule>
    <cfRule type="notContainsText" dxfId="58" priority="990" operator="notContains" text="Caida">
      <formula>ISERROR(SEARCH("Caida",M660))</formula>
    </cfRule>
  </conditionalFormatting>
  <conditionalFormatting sqref="M8:AP45 AQ8:AQ225 M46:AO92 AP46:AP132 M93:AG93 AI93:AO93 M94:AO131 AC132:AO132 M132:AB144 AC133:AP144 M145:AP225 Z226:Z227 M228:AP331 AQ228:AQ388 M332:AO337 AP332:AP388 M338:AB338 AD338:AO338 M339:AO388 N389:O389 M389:M392 N390:N392 O390:O393 M393:N393 P393:AP393 AQ393:AQ408 M394:AP401 O402:AP408 M402:N410 M411:AQ577 AI660:AO1048576">
    <cfRule type="cellIs" dxfId="57" priority="106" operator="equal">
      <formula>"APAGADO"</formula>
    </cfRule>
  </conditionalFormatting>
  <conditionalFormatting sqref="O660:O1179">
    <cfRule type="notContainsText" dxfId="56" priority="286" operator="notContains" text="Caida">
      <formula>ISERROR(SEARCH("Caida",O660))</formula>
    </cfRule>
    <cfRule type="containsText" dxfId="55" priority="287" operator="containsText" text="Caida">
      <formula>NOT(ISERROR(SEARCH("Caida",O660)))</formula>
    </cfRule>
    <cfRule type="cellIs" dxfId="54" priority="288" operator="lessThan">
      <formula>0.8</formula>
    </cfRule>
    <cfRule type="cellIs" dxfId="53" priority="289" operator="greaterThan">
      <formula>0.8</formula>
    </cfRule>
    <cfRule type="cellIs" dxfId="52" priority="312" operator="greaterThan">
      <formula>0.8</formula>
    </cfRule>
    <cfRule type="cellIs" dxfId="51" priority="416" operator="equal">
      <formula>"APAGADO"</formula>
    </cfRule>
  </conditionalFormatting>
  <conditionalFormatting sqref="O660:O1048576">
    <cfRule type="cellIs" dxfId="50" priority="306" operator="equal">
      <formula>$O$16</formula>
    </cfRule>
  </conditionalFormatting>
  <pageMargins left="0.70866141732283472" right="0.70866141732283472" top="0.74803149606299213" bottom="0.74803149606299213" header="0.31496062992125984" footer="0.31496062992125984"/>
  <pageSetup paperSize="9" scale="1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32:V35"/>
  <sheetViews>
    <sheetView workbookViewId="0">
      <selection activeCell="P26" sqref="P26"/>
    </sheetView>
  </sheetViews>
  <sheetFormatPr baseColWidth="10" defaultRowHeight="15" x14ac:dyDescent="0.25"/>
  <sheetData>
    <row r="32" spans="1:22" x14ac:dyDescent="0.25">
      <c r="A32" s="18"/>
      <c r="B32" s="18"/>
      <c r="C32" s="18"/>
      <c r="D32" s="18"/>
      <c r="E32" s="18"/>
      <c r="F32" s="18"/>
      <c r="G32" s="18"/>
      <c r="H32" s="18"/>
      <c r="I32" s="18"/>
      <c r="J32" s="18"/>
      <c r="K32" s="18"/>
      <c r="L32" s="18"/>
      <c r="M32" s="18"/>
      <c r="N32" s="18"/>
      <c r="O32" s="18"/>
      <c r="P32" s="18"/>
      <c r="Q32" s="18"/>
      <c r="R32" s="18"/>
      <c r="S32" s="18"/>
      <c r="T32" s="18"/>
      <c r="U32" s="18"/>
      <c r="V32" s="18"/>
    </row>
    <row r="35" s="12" customFormat="1" x14ac:dyDescent="0.25"/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346"/>
  <sheetViews>
    <sheetView topLeftCell="A34" zoomScaleNormal="100" workbookViewId="0">
      <selection activeCell="B45" sqref="B45"/>
    </sheetView>
  </sheetViews>
  <sheetFormatPr baseColWidth="10" defaultColWidth="11.5703125" defaultRowHeight="15" x14ac:dyDescent="0.25"/>
  <cols>
    <col min="2" max="2" width="25.28515625" bestFit="1" customWidth="1"/>
    <col min="3" max="3" width="11.5703125" style="57"/>
    <col min="4" max="4" width="11.5703125" style="8"/>
    <col min="5" max="5" width="11.5703125" style="51"/>
    <col min="8" max="8" width="28.42578125" bestFit="1" customWidth="1"/>
    <col min="9" max="9" width="11.85546875" customWidth="1"/>
    <col min="10" max="10" width="8.28515625" customWidth="1"/>
    <col min="11" max="11" width="7.5703125" bestFit="1" customWidth="1"/>
    <col min="15" max="15" width="4.85546875" customWidth="1"/>
    <col min="16" max="16" width="5.5703125" customWidth="1"/>
    <col min="17" max="17" width="5.28515625" customWidth="1"/>
  </cols>
  <sheetData>
    <row r="1" spans="1:6" ht="16.5" thickTop="1" thickBot="1" x14ac:dyDescent="0.3">
      <c r="C1" s="107" t="s">
        <v>912</v>
      </c>
      <c r="D1" s="108" t="s">
        <v>1464</v>
      </c>
      <c r="E1" s="109" t="s">
        <v>913</v>
      </c>
    </row>
    <row r="2" spans="1:6" ht="15.6" customHeight="1" thickTop="1" x14ac:dyDescent="0.25">
      <c r="A2" s="75"/>
      <c r="B2" s="52" t="s">
        <v>1242</v>
      </c>
      <c r="C2" s="100">
        <f>CANTIDAD_DE_CAMARAS</f>
        <v>570</v>
      </c>
      <c r="D2" s="101"/>
      <c r="E2" s="106"/>
      <c r="F2" s="154">
        <v>45992</v>
      </c>
    </row>
    <row r="3" spans="1:6" ht="15" customHeight="1" x14ac:dyDescent="0.25">
      <c r="A3" s="76" t="s">
        <v>1476</v>
      </c>
      <c r="B3" s="53" t="s">
        <v>6</v>
      </c>
      <c r="C3" s="66">
        <f>'RESUMEN TOTAL'!M3</f>
        <v>85</v>
      </c>
      <c r="D3" s="54"/>
      <c r="E3" s="55">
        <f>C3/C2</f>
        <v>0.14912280701754385</v>
      </c>
      <c r="F3" s="155"/>
    </row>
    <row r="4" spans="1:6" x14ac:dyDescent="0.25">
      <c r="A4" s="76"/>
      <c r="B4" s="53" t="s">
        <v>1243</v>
      </c>
      <c r="C4" s="67">
        <v>0</v>
      </c>
      <c r="D4" s="103">
        <v>0</v>
      </c>
      <c r="E4" s="55">
        <f>D4/C2</f>
        <v>0</v>
      </c>
      <c r="F4" s="155"/>
    </row>
    <row r="5" spans="1:6" x14ac:dyDescent="0.25">
      <c r="A5" s="76"/>
      <c r="B5" s="53" t="s">
        <v>1244</v>
      </c>
      <c r="C5" s="67">
        <v>0</v>
      </c>
      <c r="D5" s="103">
        <v>0</v>
      </c>
      <c r="E5" s="55">
        <f>D5/C2</f>
        <v>0</v>
      </c>
      <c r="F5" s="155"/>
    </row>
    <row r="6" spans="1:6" x14ac:dyDescent="0.25">
      <c r="A6" s="97" t="s">
        <v>1476</v>
      </c>
      <c r="B6" s="53" t="s">
        <v>16</v>
      </c>
      <c r="C6" s="94">
        <v>0</v>
      </c>
      <c r="D6" s="103">
        <v>0</v>
      </c>
      <c r="E6" s="55">
        <f>D6/C2</f>
        <v>0</v>
      </c>
      <c r="F6" s="155"/>
    </row>
    <row r="7" spans="1:6" ht="15.75" thickBot="1" x14ac:dyDescent="0.3">
      <c r="A7" s="95"/>
      <c r="B7" s="56"/>
      <c r="C7" s="131">
        <v>0</v>
      </c>
      <c r="D7" s="104">
        <v>0</v>
      </c>
      <c r="E7" s="74">
        <f>D7/C2</f>
        <v>0</v>
      </c>
      <c r="F7" s="155"/>
    </row>
    <row r="8" spans="1:6" ht="16.5" thickTop="1" thickBot="1" x14ac:dyDescent="0.3">
      <c r="A8" s="95"/>
      <c r="B8" s="111"/>
      <c r="C8" s="110" t="s">
        <v>912</v>
      </c>
      <c r="D8" s="96" t="s">
        <v>1464</v>
      </c>
      <c r="E8" s="102" t="s">
        <v>913</v>
      </c>
      <c r="F8" s="155"/>
    </row>
    <row r="9" spans="1:6" ht="15" customHeight="1" thickTop="1" thickBot="1" x14ac:dyDescent="0.3">
      <c r="A9" s="35" t="s">
        <v>1478</v>
      </c>
      <c r="B9" s="98" t="s">
        <v>1062</v>
      </c>
      <c r="C9" s="99">
        <f>BONOMOcam</f>
        <v>301</v>
      </c>
      <c r="D9" s="115"/>
      <c r="E9" s="105"/>
      <c r="F9" s="155"/>
    </row>
    <row r="10" spans="1:6" ht="15.75" thickBot="1" x14ac:dyDescent="0.3">
      <c r="A10" t="s">
        <v>1478</v>
      </c>
      <c r="B10" s="112" t="s">
        <v>1063</v>
      </c>
      <c r="C10" s="113">
        <f>COSEIDIcam</f>
        <v>268</v>
      </c>
      <c r="D10" s="113">
        <f>Hoja1!F5</f>
        <v>51</v>
      </c>
      <c r="E10" s="114"/>
      <c r="F10" s="156"/>
    </row>
    <row r="11" spans="1:6" ht="16.5" thickTop="1" thickBot="1" x14ac:dyDescent="0.3">
      <c r="C11"/>
      <c r="D11"/>
      <c r="E11"/>
    </row>
    <row r="12" spans="1:6" ht="16.5" thickTop="1" thickBot="1" x14ac:dyDescent="0.3">
      <c r="C12" s="107" t="s">
        <v>912</v>
      </c>
      <c r="D12" s="108" t="s">
        <v>1464</v>
      </c>
      <c r="E12" s="109" t="s">
        <v>913</v>
      </c>
    </row>
    <row r="13" spans="1:6" ht="15" customHeight="1" thickTop="1" x14ac:dyDescent="0.25">
      <c r="B13" s="52" t="s">
        <v>1242</v>
      </c>
      <c r="C13" s="100">
        <f>CANTIDAD_DE_CAMARAS</f>
        <v>570</v>
      </c>
      <c r="D13" s="101"/>
      <c r="E13" s="106"/>
      <c r="F13" s="154">
        <v>45993</v>
      </c>
    </row>
    <row r="14" spans="1:6" x14ac:dyDescent="0.25">
      <c r="A14" t="s">
        <v>1477</v>
      </c>
      <c r="B14" s="53" t="s">
        <v>6</v>
      </c>
      <c r="C14" s="66">
        <f>'RESUMEN TOTAL'!N3</f>
        <v>70</v>
      </c>
      <c r="D14" s="54"/>
      <c r="E14" s="55">
        <f>C14/C13</f>
        <v>0.12280701754385964</v>
      </c>
      <c r="F14" s="155"/>
    </row>
    <row r="15" spans="1:6" x14ac:dyDescent="0.25">
      <c r="B15" s="53" t="s">
        <v>1243</v>
      </c>
      <c r="C15" s="67">
        <v>2</v>
      </c>
      <c r="D15" s="103">
        <f>C14-C15</f>
        <v>68</v>
      </c>
      <c r="E15" s="55">
        <f>D15/C13</f>
        <v>0.11929824561403508</v>
      </c>
      <c r="F15" s="155"/>
    </row>
    <row r="16" spans="1:6" x14ac:dyDescent="0.25">
      <c r="B16" s="53" t="s">
        <v>1244</v>
      </c>
      <c r="C16" s="67">
        <v>3</v>
      </c>
      <c r="D16" s="103">
        <f>D15-C16</f>
        <v>65</v>
      </c>
      <c r="E16" s="55">
        <f>D16/C13</f>
        <v>0.11403508771929824</v>
      </c>
      <c r="F16" s="155"/>
    </row>
    <row r="17" spans="1:6" x14ac:dyDescent="0.25">
      <c r="A17" t="s">
        <v>1477</v>
      </c>
      <c r="B17" s="53" t="s">
        <v>16</v>
      </c>
      <c r="C17" s="94">
        <f>'RESUMEN TOTAL'!N5</f>
        <v>9</v>
      </c>
      <c r="D17" s="103">
        <f>D16-C17</f>
        <v>56</v>
      </c>
      <c r="E17" s="55">
        <f>D17/C13</f>
        <v>9.8245614035087719E-2</v>
      </c>
      <c r="F17" s="155"/>
    </row>
    <row r="18" spans="1:6" ht="15.75" thickBot="1" x14ac:dyDescent="0.3">
      <c r="B18" s="56"/>
      <c r="C18" s="131"/>
      <c r="D18" s="104">
        <v>0</v>
      </c>
      <c r="E18" s="74">
        <f>D18/C13</f>
        <v>0</v>
      </c>
      <c r="F18" s="155"/>
    </row>
    <row r="19" spans="1:6" ht="16.5" thickTop="1" thickBot="1" x14ac:dyDescent="0.3">
      <c r="B19" s="111"/>
      <c r="C19" s="110" t="s">
        <v>912</v>
      </c>
      <c r="D19" s="96" t="s">
        <v>1464</v>
      </c>
      <c r="E19" s="102" t="s">
        <v>913</v>
      </c>
      <c r="F19" s="155"/>
    </row>
    <row r="20" spans="1:6" ht="16.5" thickTop="1" thickBot="1" x14ac:dyDescent="0.3">
      <c r="A20" t="s">
        <v>1479</v>
      </c>
      <c r="B20" s="98" t="s">
        <v>1062</v>
      </c>
      <c r="C20" s="99">
        <f>BONOMOcam</f>
        <v>301</v>
      </c>
      <c r="D20" s="115">
        <f>Hoja1!G3</f>
        <v>29</v>
      </c>
      <c r="E20" s="105">
        <f>D20/C20</f>
        <v>9.634551495016612E-2</v>
      </c>
      <c r="F20" s="155"/>
    </row>
    <row r="21" spans="1:6" ht="15.75" thickBot="1" x14ac:dyDescent="0.3">
      <c r="A21" t="s">
        <v>1479</v>
      </c>
      <c r="B21" s="112" t="s">
        <v>1063</v>
      </c>
      <c r="C21" s="113">
        <f>COSEIDIcam</f>
        <v>268</v>
      </c>
      <c r="D21" s="113">
        <f>Hoja1!G5</f>
        <v>41</v>
      </c>
      <c r="E21" s="114">
        <f>D21/C21</f>
        <v>0.15298507462686567</v>
      </c>
      <c r="F21" s="156"/>
    </row>
    <row r="22" spans="1:6" ht="16.5" thickTop="1" thickBot="1" x14ac:dyDescent="0.3">
      <c r="C22"/>
      <c r="D22"/>
      <c r="E22"/>
    </row>
    <row r="23" spans="1:6" ht="16.5" thickTop="1" thickBot="1" x14ac:dyDescent="0.3">
      <c r="C23" s="107" t="s">
        <v>912</v>
      </c>
      <c r="D23" s="108" t="s">
        <v>1464</v>
      </c>
      <c r="E23" s="109" t="s">
        <v>913</v>
      </c>
    </row>
    <row r="24" spans="1:6" ht="15.75" thickTop="1" x14ac:dyDescent="0.25">
      <c r="B24" s="52" t="s">
        <v>1242</v>
      </c>
      <c r="C24" s="100">
        <f>CANTIDAD_DE_CAMARAS</f>
        <v>570</v>
      </c>
      <c r="D24" s="101"/>
      <c r="E24" s="106"/>
      <c r="F24" s="154">
        <v>45994</v>
      </c>
    </row>
    <row r="25" spans="1:6" x14ac:dyDescent="0.25">
      <c r="A25" t="s">
        <v>1470</v>
      </c>
      <c r="B25" s="53" t="s">
        <v>6</v>
      </c>
      <c r="C25" s="66">
        <f>'RESUMEN TOTAL'!O3</f>
        <v>80</v>
      </c>
      <c r="D25" s="54"/>
      <c r="E25" s="55">
        <f>C25/C24</f>
        <v>0.14035087719298245</v>
      </c>
      <c r="F25" s="155"/>
    </row>
    <row r="26" spans="1:6" x14ac:dyDescent="0.25">
      <c r="B26" s="53" t="s">
        <v>1243</v>
      </c>
      <c r="C26" s="67">
        <v>0</v>
      </c>
      <c r="D26" s="103">
        <f>C25-C26</f>
        <v>80</v>
      </c>
      <c r="E26" s="55">
        <f>D26/C24</f>
        <v>0.14035087719298245</v>
      </c>
      <c r="F26" s="155"/>
    </row>
    <row r="27" spans="1:6" x14ac:dyDescent="0.25">
      <c r="B27" s="53" t="s">
        <v>1244</v>
      </c>
      <c r="C27" s="67">
        <v>3</v>
      </c>
      <c r="D27" s="103">
        <f>D26-C27</f>
        <v>77</v>
      </c>
      <c r="E27" s="55">
        <f>D27/C24</f>
        <v>0.13508771929824562</v>
      </c>
      <c r="F27" s="155"/>
    </row>
    <row r="28" spans="1:6" x14ac:dyDescent="0.25">
      <c r="A28" t="s">
        <v>1470</v>
      </c>
      <c r="B28" s="53" t="s">
        <v>16</v>
      </c>
      <c r="C28" s="94">
        <f>'RESUMEN TOTAL'!O5</f>
        <v>9</v>
      </c>
      <c r="D28" s="103">
        <f>D27-C28</f>
        <v>68</v>
      </c>
      <c r="E28" s="55">
        <f>D28/C24</f>
        <v>0.11929824561403508</v>
      </c>
      <c r="F28" s="155"/>
    </row>
    <row r="29" spans="1:6" ht="15.75" thickBot="1" x14ac:dyDescent="0.3">
      <c r="B29" s="56"/>
      <c r="C29" s="131">
        <v>0</v>
      </c>
      <c r="D29" s="104">
        <f>D28-C29</f>
        <v>68</v>
      </c>
      <c r="E29" s="74">
        <f>D29/C24</f>
        <v>0.11929824561403508</v>
      </c>
      <c r="F29" s="155"/>
    </row>
    <row r="30" spans="1:6" ht="16.5" thickTop="1" thickBot="1" x14ac:dyDescent="0.3">
      <c r="B30" s="111"/>
      <c r="C30" s="110" t="s">
        <v>912</v>
      </c>
      <c r="D30" s="96" t="s">
        <v>1464</v>
      </c>
      <c r="E30" s="102" t="s">
        <v>913</v>
      </c>
      <c r="F30" s="155"/>
    </row>
    <row r="31" spans="1:6" ht="16.5" thickTop="1" thickBot="1" x14ac:dyDescent="0.3">
      <c r="B31" s="98" t="s">
        <v>1062</v>
      </c>
      <c r="C31" s="99">
        <f>BONOMOcam</f>
        <v>301</v>
      </c>
      <c r="D31" s="115">
        <f>Hoja1!H3</f>
        <v>37</v>
      </c>
      <c r="E31" s="105">
        <f>D31/C31</f>
        <v>0.12292358803986711</v>
      </c>
      <c r="F31" s="155"/>
    </row>
    <row r="32" spans="1:6" ht="15.75" thickBot="1" x14ac:dyDescent="0.3">
      <c r="B32" s="112" t="s">
        <v>1063</v>
      </c>
      <c r="C32" s="113">
        <f>COSEIDIcam</f>
        <v>268</v>
      </c>
      <c r="D32" s="113">
        <f>Hoja1!H5</f>
        <v>37</v>
      </c>
      <c r="E32" s="114">
        <f>D32/C32</f>
        <v>0.13805970149253732</v>
      </c>
      <c r="F32" s="156"/>
    </row>
    <row r="33" spans="1:6" ht="16.5" thickTop="1" thickBot="1" x14ac:dyDescent="0.3"/>
    <row r="34" spans="1:6" ht="16.5" thickTop="1" thickBot="1" x14ac:dyDescent="0.3">
      <c r="C34" s="107" t="s">
        <v>912</v>
      </c>
      <c r="D34" s="108" t="s">
        <v>1464</v>
      </c>
      <c r="E34" s="109" t="s">
        <v>913</v>
      </c>
    </row>
    <row r="35" spans="1:6" ht="15.75" thickTop="1" x14ac:dyDescent="0.25">
      <c r="B35" s="52" t="s">
        <v>1242</v>
      </c>
      <c r="C35" s="100">
        <f>CANTIDAD_DE_CAMARAS</f>
        <v>570</v>
      </c>
      <c r="D35" s="101"/>
      <c r="E35" s="106"/>
      <c r="F35" s="154">
        <v>45995</v>
      </c>
    </row>
    <row r="36" spans="1:6" x14ac:dyDescent="0.25">
      <c r="A36" t="s">
        <v>1469</v>
      </c>
      <c r="B36" s="53" t="s">
        <v>6</v>
      </c>
      <c r="C36" s="66">
        <f>'RESUMEN TOTAL'!P3</f>
        <v>121</v>
      </c>
      <c r="D36" s="54"/>
      <c r="E36" s="55">
        <f>C36/C35</f>
        <v>0.21228070175438596</v>
      </c>
      <c r="F36" s="155"/>
    </row>
    <row r="37" spans="1:6" x14ac:dyDescent="0.25">
      <c r="B37" s="53" t="s">
        <v>1243</v>
      </c>
      <c r="C37" s="67">
        <v>8</v>
      </c>
      <c r="D37" s="103">
        <v>113</v>
      </c>
      <c r="E37" s="55">
        <f>D37/C35</f>
        <v>0.19824561403508772</v>
      </c>
      <c r="F37" s="155"/>
    </row>
    <row r="38" spans="1:6" x14ac:dyDescent="0.25">
      <c r="B38" s="53" t="s">
        <v>1244</v>
      </c>
      <c r="C38" s="67">
        <v>3</v>
      </c>
      <c r="D38" s="103">
        <v>110</v>
      </c>
      <c r="E38" s="55">
        <f>D38/C35</f>
        <v>0.19298245614035087</v>
      </c>
      <c r="F38" s="155"/>
    </row>
    <row r="39" spans="1:6" x14ac:dyDescent="0.25">
      <c r="A39" t="s">
        <v>1469</v>
      </c>
      <c r="B39" s="53" t="s">
        <v>16</v>
      </c>
      <c r="C39" s="94">
        <f>'RESUMEN TOTAL'!P5</f>
        <v>16</v>
      </c>
      <c r="D39" s="103">
        <f>D38-C39</f>
        <v>94</v>
      </c>
      <c r="E39" s="55">
        <f>D39/C35</f>
        <v>0.1649122807017544</v>
      </c>
      <c r="F39" s="155"/>
    </row>
    <row r="40" spans="1:6" ht="15.75" thickBot="1" x14ac:dyDescent="0.3">
      <c r="B40" s="56"/>
      <c r="C40" s="131">
        <v>0</v>
      </c>
      <c r="D40" s="104">
        <v>0</v>
      </c>
      <c r="E40" s="74">
        <f>D40/C35</f>
        <v>0</v>
      </c>
      <c r="F40" s="155"/>
    </row>
    <row r="41" spans="1:6" ht="16.5" thickTop="1" thickBot="1" x14ac:dyDescent="0.3">
      <c r="B41" s="111"/>
      <c r="C41" s="110" t="s">
        <v>912</v>
      </c>
      <c r="D41" s="96" t="s">
        <v>1464</v>
      </c>
      <c r="E41" s="102" t="s">
        <v>913</v>
      </c>
      <c r="F41" s="155"/>
    </row>
    <row r="42" spans="1:6" ht="16.5" thickTop="1" thickBot="1" x14ac:dyDescent="0.3">
      <c r="B42" s="98" t="s">
        <v>1062</v>
      </c>
      <c r="C42" s="99">
        <f>BONOMOcam</f>
        <v>301</v>
      </c>
      <c r="D42" s="115">
        <v>48</v>
      </c>
      <c r="E42" s="105">
        <f>D42/C42</f>
        <v>0.15946843853820597</v>
      </c>
      <c r="F42" s="155"/>
    </row>
    <row r="43" spans="1:6" ht="15.75" thickBot="1" x14ac:dyDescent="0.3">
      <c r="B43" s="112" t="s">
        <v>1063</v>
      </c>
      <c r="C43" s="113">
        <f>COSEIDIcam</f>
        <v>268</v>
      </c>
      <c r="D43" s="113">
        <f>Hoja1!I5</f>
        <v>73</v>
      </c>
      <c r="E43" s="114">
        <v>0.24</v>
      </c>
      <c r="F43" s="156"/>
    </row>
    <row r="44" spans="1:6" ht="16.5" thickTop="1" thickBot="1" x14ac:dyDescent="0.3"/>
    <row r="45" spans="1:6" ht="16.5" thickTop="1" thickBot="1" x14ac:dyDescent="0.3">
      <c r="C45" s="107" t="s">
        <v>912</v>
      </c>
      <c r="D45" s="108" t="s">
        <v>1464</v>
      </c>
      <c r="E45" s="109" t="s">
        <v>913</v>
      </c>
    </row>
    <row r="46" spans="1:6" ht="15.75" thickTop="1" x14ac:dyDescent="0.25">
      <c r="B46" s="52" t="s">
        <v>1242</v>
      </c>
      <c r="C46" s="100">
        <f>CANTIDAD_DE_CAMARAS</f>
        <v>570</v>
      </c>
      <c r="D46" s="101"/>
      <c r="E46" s="106"/>
      <c r="F46" s="154">
        <v>45996</v>
      </c>
    </row>
    <row r="47" spans="1:6" x14ac:dyDescent="0.25">
      <c r="A47" t="s">
        <v>1471</v>
      </c>
      <c r="B47" s="53" t="s">
        <v>6</v>
      </c>
      <c r="C47" s="66">
        <f>'RESUMEN TOTAL'!Q3</f>
        <v>111</v>
      </c>
      <c r="D47" s="54"/>
      <c r="E47" s="55">
        <f>C47/C46</f>
        <v>0.19473684210526315</v>
      </c>
      <c r="F47" s="155"/>
    </row>
    <row r="48" spans="1:6" x14ac:dyDescent="0.25">
      <c r="B48" s="53" t="s">
        <v>1243</v>
      </c>
      <c r="C48" s="67">
        <v>2</v>
      </c>
      <c r="D48" s="103">
        <v>109</v>
      </c>
      <c r="E48" s="55">
        <f>D48/C46</f>
        <v>0.19122807017543861</v>
      </c>
      <c r="F48" s="155"/>
    </row>
    <row r="49" spans="1:6" x14ac:dyDescent="0.25">
      <c r="B49" s="53" t="s">
        <v>1244</v>
      </c>
      <c r="C49" s="67">
        <v>3</v>
      </c>
      <c r="D49" s="103">
        <v>106</v>
      </c>
      <c r="E49" s="55">
        <f>D49/C46</f>
        <v>0.18596491228070175</v>
      </c>
      <c r="F49" s="155"/>
    </row>
    <row r="50" spans="1:6" x14ac:dyDescent="0.25">
      <c r="A50" t="s">
        <v>1471</v>
      </c>
      <c r="B50" s="53" t="s">
        <v>16</v>
      </c>
      <c r="C50" s="94">
        <f>'RESUMEN TOTAL'!Q5</f>
        <v>15</v>
      </c>
      <c r="D50" s="103">
        <v>91</v>
      </c>
      <c r="E50" s="55">
        <f>D50/C46</f>
        <v>0.15964912280701754</v>
      </c>
      <c r="F50" s="155"/>
    </row>
    <row r="51" spans="1:6" ht="15.75" thickBot="1" x14ac:dyDescent="0.3">
      <c r="B51" s="56"/>
      <c r="C51" s="131"/>
      <c r="D51" s="104">
        <v>0</v>
      </c>
      <c r="E51" s="74">
        <f>D51/C46</f>
        <v>0</v>
      </c>
      <c r="F51" s="155"/>
    </row>
    <row r="52" spans="1:6" ht="16.5" thickTop="1" thickBot="1" x14ac:dyDescent="0.3">
      <c r="B52" s="111"/>
      <c r="C52" s="110" t="s">
        <v>912</v>
      </c>
      <c r="D52" s="96" t="s">
        <v>1464</v>
      </c>
      <c r="E52" s="102" t="s">
        <v>913</v>
      </c>
      <c r="F52" s="155"/>
    </row>
    <row r="53" spans="1:6" ht="16.5" thickTop="1" thickBot="1" x14ac:dyDescent="0.3">
      <c r="B53" s="98" t="s">
        <v>1062</v>
      </c>
      <c r="C53" s="99">
        <f>BONOMOcam</f>
        <v>301</v>
      </c>
      <c r="D53" s="115">
        <f>Hoja1!J3</f>
        <v>41</v>
      </c>
      <c r="E53" s="105">
        <v>0.14000000000000001</v>
      </c>
      <c r="F53" s="155"/>
    </row>
    <row r="54" spans="1:6" ht="15.75" thickBot="1" x14ac:dyDescent="0.3">
      <c r="B54" s="112" t="s">
        <v>1063</v>
      </c>
      <c r="C54" s="113">
        <f>COSEIDIcam</f>
        <v>268</v>
      </c>
      <c r="D54" s="113">
        <f>Hoja1!J5</f>
        <v>70</v>
      </c>
      <c r="E54" s="114">
        <v>0.23</v>
      </c>
      <c r="F54" s="156"/>
    </row>
    <row r="55" spans="1:6" ht="16.5" thickTop="1" thickBot="1" x14ac:dyDescent="0.3"/>
    <row r="56" spans="1:6" ht="16.5" thickTop="1" thickBot="1" x14ac:dyDescent="0.3">
      <c r="C56" s="107" t="s">
        <v>912</v>
      </c>
      <c r="D56" s="108" t="s">
        <v>1464</v>
      </c>
      <c r="E56" s="109" t="s">
        <v>913</v>
      </c>
    </row>
    <row r="57" spans="1:6" ht="15.75" thickTop="1" x14ac:dyDescent="0.25">
      <c r="B57" s="52" t="s">
        <v>1242</v>
      </c>
      <c r="C57" s="100">
        <f>CANTIDAD_DE_CAMARAS</f>
        <v>570</v>
      </c>
      <c r="D57" s="101"/>
      <c r="E57" s="106"/>
      <c r="F57" s="154">
        <v>45997</v>
      </c>
    </row>
    <row r="58" spans="1:6" x14ac:dyDescent="0.25">
      <c r="A58" t="s">
        <v>1472</v>
      </c>
      <c r="B58" s="53" t="s">
        <v>6</v>
      </c>
      <c r="C58" s="66">
        <f>'RESUMEN TOTAL'!R3</f>
        <v>89</v>
      </c>
      <c r="D58" s="54"/>
      <c r="E58" s="55">
        <f>C58/C57</f>
        <v>0.156140350877193</v>
      </c>
      <c r="F58" s="155"/>
    </row>
    <row r="59" spans="1:6" x14ac:dyDescent="0.25">
      <c r="B59" s="53" t="s">
        <v>1243</v>
      </c>
      <c r="C59" s="67">
        <v>3</v>
      </c>
      <c r="D59" s="103">
        <v>44</v>
      </c>
      <c r="E59" s="55">
        <f>D59/C57</f>
        <v>7.7192982456140355E-2</v>
      </c>
      <c r="F59" s="155"/>
    </row>
    <row r="60" spans="1:6" x14ac:dyDescent="0.25">
      <c r="B60" s="53" t="s">
        <v>1244</v>
      </c>
      <c r="C60" s="67">
        <v>3</v>
      </c>
      <c r="D60" s="103">
        <v>41</v>
      </c>
      <c r="E60" s="55">
        <f>D60/C57</f>
        <v>7.192982456140351E-2</v>
      </c>
      <c r="F60" s="155"/>
    </row>
    <row r="61" spans="1:6" x14ac:dyDescent="0.25">
      <c r="A61" t="s">
        <v>1472</v>
      </c>
      <c r="B61" s="53" t="s">
        <v>16</v>
      </c>
      <c r="C61" s="94">
        <f>'RESUMEN TOTAL'!R5</f>
        <v>15</v>
      </c>
      <c r="D61" s="103">
        <v>35</v>
      </c>
      <c r="E61" s="55">
        <f>D61/C57</f>
        <v>6.1403508771929821E-2</v>
      </c>
      <c r="F61" s="155"/>
    </row>
    <row r="62" spans="1:6" ht="15.75" thickBot="1" x14ac:dyDescent="0.3">
      <c r="B62" s="56"/>
      <c r="C62" s="131"/>
      <c r="D62" s="104"/>
      <c r="E62" s="74">
        <f>D62/C57</f>
        <v>0</v>
      </c>
      <c r="F62" s="155"/>
    </row>
    <row r="63" spans="1:6" ht="16.5" thickTop="1" thickBot="1" x14ac:dyDescent="0.3">
      <c r="B63" s="111"/>
      <c r="C63" s="110" t="s">
        <v>912</v>
      </c>
      <c r="D63" s="96" t="s">
        <v>1464</v>
      </c>
      <c r="E63" s="102" t="s">
        <v>913</v>
      </c>
      <c r="F63" s="155"/>
    </row>
    <row r="64" spans="1:6" ht="16.5" thickTop="1" thickBot="1" x14ac:dyDescent="0.3">
      <c r="B64" s="98" t="s">
        <v>1062</v>
      </c>
      <c r="C64" s="99">
        <f>BONOMOcam</f>
        <v>301</v>
      </c>
      <c r="D64" s="115">
        <f>Hoja1!K3</f>
        <v>22</v>
      </c>
      <c r="E64" s="105">
        <f>D64/C64</f>
        <v>7.3089700996677748E-2</v>
      </c>
      <c r="F64" s="155"/>
    </row>
    <row r="65" spans="1:6" ht="15.75" thickBot="1" x14ac:dyDescent="0.3">
      <c r="B65" s="112" t="s">
        <v>1063</v>
      </c>
      <c r="C65" s="113">
        <f>COSEIDIcam</f>
        <v>268</v>
      </c>
      <c r="D65" s="113">
        <f>Hoja1!K5</f>
        <v>67</v>
      </c>
      <c r="E65" s="114">
        <f>D65/C65</f>
        <v>0.25</v>
      </c>
      <c r="F65" s="156"/>
    </row>
    <row r="66" spans="1:6" ht="16.5" thickTop="1" thickBot="1" x14ac:dyDescent="0.3"/>
    <row r="67" spans="1:6" ht="16.5" thickTop="1" thickBot="1" x14ac:dyDescent="0.3">
      <c r="C67" s="107" t="s">
        <v>912</v>
      </c>
      <c r="D67" s="108" t="s">
        <v>1464</v>
      </c>
      <c r="E67" s="109" t="s">
        <v>913</v>
      </c>
    </row>
    <row r="68" spans="1:6" ht="15.75" thickTop="1" x14ac:dyDescent="0.25">
      <c r="B68" s="52" t="s">
        <v>1242</v>
      </c>
      <c r="C68" s="100">
        <f>CANTIDAD_DE_CAMARAS</f>
        <v>570</v>
      </c>
      <c r="D68" s="101"/>
      <c r="E68" s="106"/>
      <c r="F68" s="154">
        <v>45998</v>
      </c>
    </row>
    <row r="69" spans="1:6" x14ac:dyDescent="0.25">
      <c r="A69" t="s">
        <v>1473</v>
      </c>
      <c r="B69" s="53" t="s">
        <v>6</v>
      </c>
      <c r="C69" s="66">
        <f>'RESUMEN TOTAL'!S3</f>
        <v>91</v>
      </c>
      <c r="D69" s="54"/>
      <c r="E69" s="55">
        <f>C69/C68</f>
        <v>0.15964912280701754</v>
      </c>
      <c r="F69" s="155"/>
    </row>
    <row r="70" spans="1:6" x14ac:dyDescent="0.25">
      <c r="B70" s="53" t="s">
        <v>1243</v>
      </c>
      <c r="C70" s="67">
        <v>1</v>
      </c>
      <c r="D70" s="103">
        <f>C69-C70</f>
        <v>90</v>
      </c>
      <c r="E70" s="55">
        <f>D70/C68</f>
        <v>0.15789473684210525</v>
      </c>
      <c r="F70" s="155"/>
    </row>
    <row r="71" spans="1:6" x14ac:dyDescent="0.25">
      <c r="B71" s="53" t="s">
        <v>1244</v>
      </c>
      <c r="C71" s="67">
        <v>3</v>
      </c>
      <c r="D71" s="103">
        <f>D70-C71</f>
        <v>87</v>
      </c>
      <c r="E71" s="55">
        <f>D71/C68</f>
        <v>0.15263157894736842</v>
      </c>
      <c r="F71" s="155"/>
    </row>
    <row r="72" spans="1:6" x14ac:dyDescent="0.25">
      <c r="A72" t="s">
        <v>1473</v>
      </c>
      <c r="B72" s="53" t="s">
        <v>16</v>
      </c>
      <c r="C72" s="94">
        <f>'RESUMEN TOTAL'!S5</f>
        <v>15</v>
      </c>
      <c r="D72" s="103">
        <f>D71-C72</f>
        <v>72</v>
      </c>
      <c r="E72" s="55">
        <f>D72/C68</f>
        <v>0.12631578947368421</v>
      </c>
      <c r="F72" s="155"/>
    </row>
    <row r="73" spans="1:6" ht="15.75" thickBot="1" x14ac:dyDescent="0.3">
      <c r="B73" s="56"/>
      <c r="C73" s="131">
        <v>0</v>
      </c>
      <c r="D73" s="104">
        <f>D72-C73</f>
        <v>72</v>
      </c>
      <c r="E73" s="74">
        <f>D73/C68</f>
        <v>0.12631578947368421</v>
      </c>
      <c r="F73" s="155"/>
    </row>
    <row r="74" spans="1:6" ht="16.5" thickTop="1" thickBot="1" x14ac:dyDescent="0.3">
      <c r="B74" s="111"/>
      <c r="C74" s="110" t="s">
        <v>912</v>
      </c>
      <c r="D74" s="96" t="s">
        <v>1464</v>
      </c>
      <c r="E74" s="102" t="s">
        <v>913</v>
      </c>
      <c r="F74" s="155"/>
    </row>
    <row r="75" spans="1:6" ht="16.5" thickTop="1" thickBot="1" x14ac:dyDescent="0.3">
      <c r="B75" s="98" t="s">
        <v>1062</v>
      </c>
      <c r="C75" s="99">
        <f>BONOMOcam</f>
        <v>301</v>
      </c>
      <c r="D75" s="115">
        <f>Hoja1!L3</f>
        <v>0</v>
      </c>
      <c r="E75" s="105">
        <v>0.06</v>
      </c>
      <c r="F75" s="155"/>
    </row>
    <row r="76" spans="1:6" ht="15.75" thickBot="1" x14ac:dyDescent="0.3">
      <c r="B76" s="112" t="s">
        <v>1063</v>
      </c>
      <c r="C76" s="113">
        <f>COSEIDIcam</f>
        <v>268</v>
      </c>
      <c r="D76" s="113">
        <f>Hoja1!L5</f>
        <v>67</v>
      </c>
      <c r="E76" s="114">
        <f>D76/C76</f>
        <v>0.25</v>
      </c>
      <c r="F76" s="156"/>
    </row>
    <row r="77" spans="1:6" ht="16.5" thickTop="1" thickBot="1" x14ac:dyDescent="0.3"/>
    <row r="78" spans="1:6" ht="16.5" thickTop="1" thickBot="1" x14ac:dyDescent="0.3">
      <c r="C78" s="107" t="s">
        <v>912</v>
      </c>
      <c r="D78" s="108" t="s">
        <v>1464</v>
      </c>
      <c r="E78" s="109" t="s">
        <v>913</v>
      </c>
    </row>
    <row r="79" spans="1:6" ht="15.75" thickTop="1" x14ac:dyDescent="0.25">
      <c r="B79" s="52" t="s">
        <v>1242</v>
      </c>
      <c r="C79" s="100">
        <f>CANTIDAD_DE_CAMARAS</f>
        <v>570</v>
      </c>
      <c r="D79" s="101"/>
      <c r="E79" s="106"/>
      <c r="F79" s="154">
        <v>45999</v>
      </c>
    </row>
    <row r="80" spans="1:6" x14ac:dyDescent="0.25">
      <c r="A80" t="s">
        <v>1468</v>
      </c>
      <c r="B80" s="53" t="s">
        <v>6</v>
      </c>
      <c r="C80" s="66">
        <v>0</v>
      </c>
      <c r="D80" s="54"/>
      <c r="E80" s="55">
        <f>C80/C79</f>
        <v>0</v>
      </c>
      <c r="F80" s="155"/>
    </row>
    <row r="81" spans="1:6" x14ac:dyDescent="0.25">
      <c r="B81" s="53" t="s">
        <v>1243</v>
      </c>
      <c r="C81" s="67">
        <v>0</v>
      </c>
      <c r="D81" s="103">
        <v>0</v>
      </c>
      <c r="E81" s="55">
        <f>D81/C79</f>
        <v>0</v>
      </c>
      <c r="F81" s="155"/>
    </row>
    <row r="82" spans="1:6" x14ac:dyDescent="0.25">
      <c r="B82" s="53" t="s">
        <v>1244</v>
      </c>
      <c r="C82" s="67">
        <v>0</v>
      </c>
      <c r="D82" s="103">
        <v>0</v>
      </c>
      <c r="E82" s="55">
        <f>D82/C79</f>
        <v>0</v>
      </c>
      <c r="F82" s="155"/>
    </row>
    <row r="83" spans="1:6" x14ac:dyDescent="0.25">
      <c r="A83" t="s">
        <v>1468</v>
      </c>
      <c r="B83" s="53" t="s">
        <v>16</v>
      </c>
      <c r="C83" s="94">
        <v>0</v>
      </c>
      <c r="D83" s="103">
        <v>0</v>
      </c>
      <c r="E83" s="55">
        <f>D83/C79</f>
        <v>0</v>
      </c>
      <c r="F83" s="155"/>
    </row>
    <row r="84" spans="1:6" ht="15.75" thickBot="1" x14ac:dyDescent="0.3">
      <c r="B84" s="56"/>
      <c r="C84" s="131"/>
      <c r="D84" s="104">
        <v>0</v>
      </c>
      <c r="E84" s="74">
        <f>D84/C79</f>
        <v>0</v>
      </c>
      <c r="F84" s="155"/>
    </row>
    <row r="85" spans="1:6" ht="16.5" thickTop="1" thickBot="1" x14ac:dyDescent="0.3">
      <c r="B85" s="111"/>
      <c r="C85" s="110" t="s">
        <v>912</v>
      </c>
      <c r="D85" s="96" t="s">
        <v>1464</v>
      </c>
      <c r="E85" s="102" t="s">
        <v>913</v>
      </c>
      <c r="F85" s="155"/>
    </row>
    <row r="86" spans="1:6" ht="16.5" thickTop="1" thickBot="1" x14ac:dyDescent="0.3">
      <c r="B86" s="98" t="s">
        <v>1062</v>
      </c>
      <c r="C86" s="99">
        <f>BONOMOcam</f>
        <v>301</v>
      </c>
      <c r="D86" s="115">
        <v>0</v>
      </c>
      <c r="E86" s="105">
        <v>0</v>
      </c>
      <c r="F86" s="155"/>
    </row>
    <row r="87" spans="1:6" ht="15.75" thickBot="1" x14ac:dyDescent="0.3">
      <c r="B87" s="112" t="s">
        <v>1063</v>
      </c>
      <c r="C87" s="113">
        <f>COSEIDIcam</f>
        <v>268</v>
      </c>
      <c r="D87" s="113">
        <v>0</v>
      </c>
      <c r="E87" s="114">
        <v>0</v>
      </c>
      <c r="F87" s="156"/>
    </row>
    <row r="88" spans="1:6" ht="16.5" thickTop="1" thickBot="1" x14ac:dyDescent="0.3"/>
    <row r="89" spans="1:6" ht="16.5" thickTop="1" thickBot="1" x14ac:dyDescent="0.3">
      <c r="C89" s="107" t="s">
        <v>912</v>
      </c>
      <c r="D89" s="108" t="s">
        <v>1464</v>
      </c>
      <c r="E89" s="109" t="s">
        <v>913</v>
      </c>
    </row>
    <row r="90" spans="1:6" ht="15.75" thickTop="1" x14ac:dyDescent="0.25">
      <c r="B90" s="52" t="s">
        <v>1242</v>
      </c>
      <c r="C90" s="100">
        <f>CANTIDAD_DE_CAMARAS</f>
        <v>570</v>
      </c>
      <c r="D90" s="101"/>
      <c r="E90" s="106"/>
      <c r="F90" s="154">
        <v>46000</v>
      </c>
    </row>
    <row r="91" spans="1:6" x14ac:dyDescent="0.25">
      <c r="A91" t="s">
        <v>1474</v>
      </c>
      <c r="B91" s="53" t="s">
        <v>6</v>
      </c>
      <c r="C91" s="66"/>
      <c r="D91" s="54"/>
      <c r="E91" s="55">
        <f>C91/C90</f>
        <v>0</v>
      </c>
      <c r="F91" s="155"/>
    </row>
    <row r="92" spans="1:6" x14ac:dyDescent="0.25">
      <c r="B92" s="53" t="s">
        <v>1243</v>
      </c>
      <c r="C92" s="67"/>
      <c r="D92" s="103"/>
      <c r="E92" s="55">
        <f>D92/C90</f>
        <v>0</v>
      </c>
      <c r="F92" s="155"/>
    </row>
    <row r="93" spans="1:6" x14ac:dyDescent="0.25">
      <c r="B93" s="53" t="s">
        <v>1244</v>
      </c>
      <c r="C93" s="67"/>
      <c r="D93" s="103"/>
      <c r="E93" s="55">
        <f>D93/C90</f>
        <v>0</v>
      </c>
      <c r="F93" s="155"/>
    </row>
    <row r="94" spans="1:6" x14ac:dyDescent="0.25">
      <c r="A94" t="s">
        <v>1474</v>
      </c>
      <c r="B94" s="53" t="s">
        <v>16</v>
      </c>
      <c r="C94" s="94"/>
      <c r="D94" s="103"/>
      <c r="E94" s="55">
        <f>D94/C90</f>
        <v>0</v>
      </c>
      <c r="F94" s="155"/>
    </row>
    <row r="95" spans="1:6" ht="15.75" thickBot="1" x14ac:dyDescent="0.3">
      <c r="B95" s="56"/>
      <c r="C95" s="131"/>
      <c r="D95" s="104"/>
      <c r="E95" s="74">
        <f>D95/C90</f>
        <v>0</v>
      </c>
      <c r="F95" s="155"/>
    </row>
    <row r="96" spans="1:6" ht="16.5" thickTop="1" thickBot="1" x14ac:dyDescent="0.3">
      <c r="B96" s="111"/>
      <c r="C96" s="110" t="s">
        <v>912</v>
      </c>
      <c r="D96" s="96" t="s">
        <v>1464</v>
      </c>
      <c r="E96" s="102" t="s">
        <v>913</v>
      </c>
      <c r="F96" s="155"/>
    </row>
    <row r="97" spans="1:6" ht="16.5" thickTop="1" thickBot="1" x14ac:dyDescent="0.3">
      <c r="B97" s="98" t="s">
        <v>1062</v>
      </c>
      <c r="C97" s="99">
        <f>BONOMOcam</f>
        <v>301</v>
      </c>
      <c r="D97" s="115">
        <f>Hoja1!N3</f>
        <v>0</v>
      </c>
      <c r="E97" s="105">
        <f>D97/C97</f>
        <v>0</v>
      </c>
      <c r="F97" s="155"/>
    </row>
    <row r="98" spans="1:6" ht="15.75" thickBot="1" x14ac:dyDescent="0.3">
      <c r="B98" s="112" t="s">
        <v>1063</v>
      </c>
      <c r="C98" s="113">
        <f>COSEIDIcam</f>
        <v>268</v>
      </c>
      <c r="D98" s="113">
        <f>Hoja1!N5</f>
        <v>0</v>
      </c>
      <c r="E98" s="114"/>
      <c r="F98" s="156"/>
    </row>
    <row r="99" spans="1:6" ht="16.5" thickTop="1" thickBot="1" x14ac:dyDescent="0.3"/>
    <row r="100" spans="1:6" ht="16.5" thickTop="1" thickBot="1" x14ac:dyDescent="0.3">
      <c r="C100" s="107" t="s">
        <v>912</v>
      </c>
      <c r="D100" s="108" t="s">
        <v>1464</v>
      </c>
      <c r="E100" s="109" t="s">
        <v>913</v>
      </c>
    </row>
    <row r="101" spans="1:6" ht="15.75" thickTop="1" x14ac:dyDescent="0.25">
      <c r="B101" s="52" t="s">
        <v>1242</v>
      </c>
      <c r="C101" s="100">
        <f>CANTIDAD_DE_CAMARAS</f>
        <v>570</v>
      </c>
      <c r="D101" s="101"/>
      <c r="E101" s="106"/>
      <c r="F101" s="154">
        <v>46001</v>
      </c>
    </row>
    <row r="102" spans="1:6" x14ac:dyDescent="0.25">
      <c r="A102" t="s">
        <v>1475</v>
      </c>
      <c r="B102" s="53" t="s">
        <v>6</v>
      </c>
      <c r="C102" s="66">
        <f>'RESUMEN TOTAL'!V3</f>
        <v>0</v>
      </c>
      <c r="D102" s="54"/>
      <c r="E102" s="55">
        <f>C102/C101</f>
        <v>0</v>
      </c>
      <c r="F102" s="155"/>
    </row>
    <row r="103" spans="1:6" x14ac:dyDescent="0.25">
      <c r="B103" s="53" t="s">
        <v>1243</v>
      </c>
      <c r="C103" s="67">
        <v>0</v>
      </c>
      <c r="D103" s="103">
        <f>C102-C103</f>
        <v>0</v>
      </c>
      <c r="E103" s="55">
        <f>D103/C101</f>
        <v>0</v>
      </c>
      <c r="F103" s="155"/>
    </row>
    <row r="104" spans="1:6" x14ac:dyDescent="0.25">
      <c r="B104" s="53" t="s">
        <v>1244</v>
      </c>
      <c r="C104" s="67">
        <v>0</v>
      </c>
      <c r="D104" s="103">
        <f>D103-C104</f>
        <v>0</v>
      </c>
      <c r="E104" s="55">
        <f>D104/C101</f>
        <v>0</v>
      </c>
      <c r="F104" s="155"/>
    </row>
    <row r="105" spans="1:6" x14ac:dyDescent="0.25">
      <c r="A105" t="s">
        <v>1475</v>
      </c>
      <c r="B105" s="53" t="s">
        <v>16</v>
      </c>
      <c r="C105" s="94">
        <f>'RESUMEN TOTAL'!V5</f>
        <v>0</v>
      </c>
      <c r="D105" s="103">
        <f>D104-C105</f>
        <v>0</v>
      </c>
      <c r="E105" s="55">
        <f>D105/C101</f>
        <v>0</v>
      </c>
      <c r="F105" s="155"/>
    </row>
    <row r="106" spans="1:6" ht="15.75" thickBot="1" x14ac:dyDescent="0.3">
      <c r="B106" s="56"/>
      <c r="C106" s="131">
        <v>0</v>
      </c>
      <c r="D106" s="104">
        <v>0</v>
      </c>
      <c r="E106" s="74">
        <f>D106/C101</f>
        <v>0</v>
      </c>
      <c r="F106" s="155"/>
    </row>
    <row r="107" spans="1:6" ht="16.5" thickTop="1" thickBot="1" x14ac:dyDescent="0.3">
      <c r="B107" s="111"/>
      <c r="C107" s="110" t="s">
        <v>912</v>
      </c>
      <c r="D107" s="96" t="s">
        <v>1464</v>
      </c>
      <c r="E107" s="102" t="s">
        <v>913</v>
      </c>
      <c r="F107" s="155"/>
    </row>
    <row r="108" spans="1:6" ht="16.5" thickTop="1" thickBot="1" x14ac:dyDescent="0.3">
      <c r="B108" s="98" t="s">
        <v>1062</v>
      </c>
      <c r="C108" s="99">
        <f>BONOMOcam</f>
        <v>301</v>
      </c>
      <c r="D108" s="115">
        <f>Hoja1!O3</f>
        <v>0</v>
      </c>
      <c r="E108" s="105">
        <f>D108/C108</f>
        <v>0</v>
      </c>
      <c r="F108" s="155"/>
    </row>
    <row r="109" spans="1:6" ht="15.75" thickBot="1" x14ac:dyDescent="0.3">
      <c r="B109" s="112" t="s">
        <v>1063</v>
      </c>
      <c r="C109" s="113">
        <f>COSEIDIcam</f>
        <v>268</v>
      </c>
      <c r="D109" s="113">
        <f>Hoja1!O5</f>
        <v>0</v>
      </c>
      <c r="E109" s="114">
        <f>D109/C109</f>
        <v>0</v>
      </c>
      <c r="F109" s="156"/>
    </row>
    <row r="110" spans="1:6" ht="16.5" thickTop="1" thickBot="1" x14ac:dyDescent="0.3"/>
    <row r="111" spans="1:6" ht="16.5" thickTop="1" thickBot="1" x14ac:dyDescent="0.3">
      <c r="C111" s="107" t="s">
        <v>912</v>
      </c>
      <c r="D111" s="108" t="s">
        <v>1464</v>
      </c>
      <c r="E111" s="109" t="s">
        <v>913</v>
      </c>
    </row>
    <row r="112" spans="1:6" ht="15.75" thickTop="1" x14ac:dyDescent="0.25">
      <c r="B112" s="52" t="s">
        <v>1242</v>
      </c>
      <c r="C112" s="100">
        <f>CANTIDAD_DE_CAMARAS</f>
        <v>570</v>
      </c>
      <c r="D112" s="101"/>
      <c r="E112" s="106"/>
      <c r="F112" s="154">
        <v>46002</v>
      </c>
    </row>
    <row r="113" spans="2:6" x14ac:dyDescent="0.25">
      <c r="B113" s="53" t="s">
        <v>6</v>
      </c>
      <c r="C113" s="66">
        <f>'RESUMEN TOTAL'!W3</f>
        <v>0</v>
      </c>
      <c r="D113" s="54"/>
      <c r="E113" s="55">
        <f>C113/C112</f>
        <v>0</v>
      </c>
      <c r="F113" s="155"/>
    </row>
    <row r="114" spans="2:6" x14ac:dyDescent="0.25">
      <c r="B114" s="53" t="s">
        <v>1243</v>
      </c>
      <c r="C114" s="67">
        <v>4</v>
      </c>
      <c r="D114" s="103">
        <f>C113-C114</f>
        <v>-4</v>
      </c>
      <c r="E114" s="55">
        <f>D114/C112</f>
        <v>-7.0175438596491229E-3</v>
      </c>
      <c r="F114" s="155"/>
    </row>
    <row r="115" spans="2:6" x14ac:dyDescent="0.25">
      <c r="B115" s="53" t="s">
        <v>1244</v>
      </c>
      <c r="C115" s="67">
        <v>3</v>
      </c>
      <c r="D115" s="103">
        <v>38</v>
      </c>
      <c r="E115" s="55">
        <f>D115/C112</f>
        <v>6.6666666666666666E-2</v>
      </c>
      <c r="F115" s="155"/>
    </row>
    <row r="116" spans="2:6" x14ac:dyDescent="0.25">
      <c r="B116" s="53" t="s">
        <v>16</v>
      </c>
      <c r="C116" s="94">
        <f>'RESUMEN TOTAL'!W5</f>
        <v>0</v>
      </c>
      <c r="D116" s="103">
        <v>36</v>
      </c>
      <c r="E116" s="55">
        <f>D116/C112</f>
        <v>6.3157894736842107E-2</v>
      </c>
      <c r="F116" s="155"/>
    </row>
    <row r="117" spans="2:6" ht="15.75" thickBot="1" x14ac:dyDescent="0.3">
      <c r="B117" s="56"/>
      <c r="C117" s="131">
        <v>0</v>
      </c>
      <c r="D117" s="104">
        <v>0</v>
      </c>
      <c r="E117" s="74">
        <f>D117/C112</f>
        <v>0</v>
      </c>
      <c r="F117" s="155"/>
    </row>
    <row r="118" spans="2:6" ht="16.5" thickTop="1" thickBot="1" x14ac:dyDescent="0.3">
      <c r="B118" s="111"/>
      <c r="C118" s="110" t="s">
        <v>912</v>
      </c>
      <c r="D118" s="96" t="s">
        <v>1464</v>
      </c>
      <c r="E118" s="102" t="s">
        <v>913</v>
      </c>
      <c r="F118" s="155"/>
    </row>
    <row r="119" spans="2:6" ht="16.5" thickTop="1" thickBot="1" x14ac:dyDescent="0.3">
      <c r="B119" s="98" t="s">
        <v>1062</v>
      </c>
      <c r="C119" s="99">
        <f>BONOMOcam</f>
        <v>301</v>
      </c>
      <c r="D119" s="115">
        <f>Hoja1!P3</f>
        <v>0</v>
      </c>
      <c r="E119" s="105">
        <f>D119/C119</f>
        <v>0</v>
      </c>
      <c r="F119" s="155"/>
    </row>
    <row r="120" spans="2:6" ht="15.75" thickBot="1" x14ac:dyDescent="0.3">
      <c r="B120" s="112" t="s">
        <v>1063</v>
      </c>
      <c r="C120" s="113">
        <f>COSEIDIcam</f>
        <v>268</v>
      </c>
      <c r="D120" s="113">
        <f>Hoja1!P5</f>
        <v>0</v>
      </c>
      <c r="E120" s="114">
        <v>7.0000000000000007E-2</v>
      </c>
      <c r="F120" s="156"/>
    </row>
    <row r="121" spans="2:6" ht="16.5" thickTop="1" thickBot="1" x14ac:dyDescent="0.3"/>
    <row r="122" spans="2:6" ht="16.5" thickTop="1" thickBot="1" x14ac:dyDescent="0.3">
      <c r="C122" s="107" t="s">
        <v>912</v>
      </c>
      <c r="D122" s="108" t="s">
        <v>1464</v>
      </c>
      <c r="E122" s="109" t="s">
        <v>913</v>
      </c>
    </row>
    <row r="123" spans="2:6" ht="15.75" thickTop="1" x14ac:dyDescent="0.25">
      <c r="B123" s="52" t="s">
        <v>1242</v>
      </c>
      <c r="C123" s="100">
        <f>CANTIDAD_DE_CAMARAS</f>
        <v>570</v>
      </c>
      <c r="D123" s="101"/>
      <c r="E123" s="106"/>
      <c r="F123" s="154">
        <v>46003</v>
      </c>
    </row>
    <row r="124" spans="2:6" x14ac:dyDescent="0.25">
      <c r="B124" s="53" t="s">
        <v>6</v>
      </c>
      <c r="C124" s="66">
        <f>'RESUMEN TOTAL'!X3</f>
        <v>0</v>
      </c>
      <c r="D124" s="54"/>
      <c r="E124" s="55">
        <f>C124/C123</f>
        <v>0</v>
      </c>
      <c r="F124" s="155"/>
    </row>
    <row r="125" spans="2:6" x14ac:dyDescent="0.25">
      <c r="B125" s="53" t="s">
        <v>1243</v>
      </c>
      <c r="C125" s="67">
        <v>5</v>
      </c>
      <c r="D125" s="103">
        <f>C124-C125</f>
        <v>-5</v>
      </c>
      <c r="E125" s="55">
        <f>D125/C123</f>
        <v>-8.771929824561403E-3</v>
      </c>
      <c r="F125" s="155"/>
    </row>
    <row r="126" spans="2:6" x14ac:dyDescent="0.25">
      <c r="B126" s="53" t="s">
        <v>1244</v>
      </c>
      <c r="C126" s="67">
        <v>3</v>
      </c>
      <c r="D126" s="103">
        <f>D125-C126</f>
        <v>-8</v>
      </c>
      <c r="E126" s="55">
        <f>D126/C123</f>
        <v>-1.4035087719298246E-2</v>
      </c>
      <c r="F126" s="155"/>
    </row>
    <row r="127" spans="2:6" x14ac:dyDescent="0.25">
      <c r="B127" s="53" t="s">
        <v>16</v>
      </c>
      <c r="C127" s="94">
        <v>6</v>
      </c>
      <c r="D127" s="103">
        <f>D126-C127</f>
        <v>-14</v>
      </c>
      <c r="E127" s="55">
        <f>D127/C123</f>
        <v>-2.456140350877193E-2</v>
      </c>
      <c r="F127" s="155"/>
    </row>
    <row r="128" spans="2:6" ht="15.75" thickBot="1" x14ac:dyDescent="0.3">
      <c r="B128" s="56"/>
      <c r="C128" s="131">
        <v>0</v>
      </c>
      <c r="D128" s="104">
        <f>D127-C128</f>
        <v>-14</v>
      </c>
      <c r="E128" s="74">
        <f>D128/C123</f>
        <v>-2.456140350877193E-2</v>
      </c>
      <c r="F128" s="155"/>
    </row>
    <row r="129" spans="2:6" ht="16.5" thickTop="1" thickBot="1" x14ac:dyDescent="0.3">
      <c r="B129" s="111"/>
      <c r="C129" s="110" t="s">
        <v>912</v>
      </c>
      <c r="D129" s="96" t="s">
        <v>1464</v>
      </c>
      <c r="E129" s="102" t="s">
        <v>913</v>
      </c>
      <c r="F129" s="155"/>
    </row>
    <row r="130" spans="2:6" ht="16.5" thickTop="1" thickBot="1" x14ac:dyDescent="0.3">
      <c r="B130" s="98" t="s">
        <v>1062</v>
      </c>
      <c r="C130" s="99">
        <f>BONOMOcam</f>
        <v>301</v>
      </c>
      <c r="D130" s="115">
        <f>Hoja1!Q3</f>
        <v>0</v>
      </c>
      <c r="E130" s="105">
        <f>D130/C130</f>
        <v>0</v>
      </c>
      <c r="F130" s="155"/>
    </row>
    <row r="131" spans="2:6" ht="15.75" thickBot="1" x14ac:dyDescent="0.3">
      <c r="B131" s="112" t="s">
        <v>1063</v>
      </c>
      <c r="C131" s="113">
        <f>COSEIDIcam</f>
        <v>268</v>
      </c>
      <c r="D131" s="113">
        <f>Hoja1!Q5</f>
        <v>0</v>
      </c>
      <c r="E131" s="114">
        <v>0.13</v>
      </c>
      <c r="F131" s="156"/>
    </row>
    <row r="132" spans="2:6" ht="16.5" thickTop="1" thickBot="1" x14ac:dyDescent="0.3"/>
    <row r="133" spans="2:6" ht="16.5" thickTop="1" thickBot="1" x14ac:dyDescent="0.3">
      <c r="C133" s="107" t="s">
        <v>912</v>
      </c>
      <c r="D133" s="108" t="s">
        <v>1464</v>
      </c>
      <c r="E133" s="109" t="s">
        <v>913</v>
      </c>
    </row>
    <row r="134" spans="2:6" ht="15.75" thickTop="1" x14ac:dyDescent="0.25">
      <c r="B134" s="52" t="s">
        <v>1242</v>
      </c>
      <c r="C134" s="100">
        <f>CANTIDAD_DE_CAMARAS</f>
        <v>570</v>
      </c>
      <c r="D134" s="101"/>
      <c r="E134" s="106"/>
      <c r="F134" s="154">
        <v>46004</v>
      </c>
    </row>
    <row r="135" spans="2:6" x14ac:dyDescent="0.25">
      <c r="B135" s="53" t="s">
        <v>6</v>
      </c>
      <c r="C135" s="66">
        <f>'RESUMEN TOTAL'!Y3</f>
        <v>0</v>
      </c>
      <c r="D135" s="54"/>
      <c r="E135" s="55">
        <f>C135/C134</f>
        <v>0</v>
      </c>
      <c r="F135" s="155"/>
    </row>
    <row r="136" spans="2:6" x14ac:dyDescent="0.25">
      <c r="B136" s="53" t="s">
        <v>1243</v>
      </c>
      <c r="C136" s="67">
        <v>5</v>
      </c>
      <c r="D136" s="103">
        <f>C135-C136</f>
        <v>-5</v>
      </c>
      <c r="E136" s="55">
        <f>D136/C134</f>
        <v>-8.771929824561403E-3</v>
      </c>
      <c r="F136" s="155"/>
    </row>
    <row r="137" spans="2:6" x14ac:dyDescent="0.25">
      <c r="B137" s="53" t="s">
        <v>1244</v>
      </c>
      <c r="C137" s="67">
        <v>3</v>
      </c>
      <c r="D137" s="103">
        <f>D136-C137</f>
        <v>-8</v>
      </c>
      <c r="E137" s="55">
        <f>D137/C134</f>
        <v>-1.4035087719298246E-2</v>
      </c>
      <c r="F137" s="155"/>
    </row>
    <row r="138" spans="2:6" x14ac:dyDescent="0.25">
      <c r="B138" s="53" t="s">
        <v>16</v>
      </c>
      <c r="C138" s="94">
        <v>13</v>
      </c>
      <c r="D138" s="103">
        <f>D137-C138</f>
        <v>-21</v>
      </c>
      <c r="E138" s="55">
        <f>D138/C134</f>
        <v>-3.6842105263157891E-2</v>
      </c>
      <c r="F138" s="155"/>
    </row>
    <row r="139" spans="2:6" ht="15.75" thickBot="1" x14ac:dyDescent="0.3">
      <c r="B139" s="56"/>
      <c r="C139" s="131">
        <v>0</v>
      </c>
      <c r="D139" s="104">
        <v>0</v>
      </c>
      <c r="E139" s="74">
        <f>D139/C134</f>
        <v>0</v>
      </c>
      <c r="F139" s="155"/>
    </row>
    <row r="140" spans="2:6" ht="16.5" thickTop="1" thickBot="1" x14ac:dyDescent="0.3">
      <c r="B140" s="111"/>
      <c r="C140" s="110" t="s">
        <v>912</v>
      </c>
      <c r="D140" s="96" t="s">
        <v>1464</v>
      </c>
      <c r="E140" s="102" t="s">
        <v>913</v>
      </c>
      <c r="F140" s="155"/>
    </row>
    <row r="141" spans="2:6" ht="16.5" thickTop="1" thickBot="1" x14ac:dyDescent="0.3">
      <c r="B141" s="98" t="s">
        <v>1062</v>
      </c>
      <c r="C141" s="99">
        <f>BONOMOcam</f>
        <v>301</v>
      </c>
      <c r="D141" s="115">
        <v>23</v>
      </c>
      <c r="E141" s="105">
        <f>D141/C141</f>
        <v>7.6411960132890366E-2</v>
      </c>
      <c r="F141" s="155"/>
    </row>
    <row r="142" spans="2:6" ht="15.75" thickBot="1" x14ac:dyDescent="0.3">
      <c r="B142" s="112" t="s">
        <v>1063</v>
      </c>
      <c r="C142" s="113">
        <f>COSEIDIcam</f>
        <v>268</v>
      </c>
      <c r="D142" s="113">
        <v>59</v>
      </c>
      <c r="E142" s="114">
        <f>D142/C142</f>
        <v>0.22014925373134328</v>
      </c>
      <c r="F142" s="156"/>
    </row>
    <row r="143" spans="2:6" ht="16.5" thickTop="1" thickBot="1" x14ac:dyDescent="0.3"/>
    <row r="144" spans="2:6" ht="16.5" thickTop="1" thickBot="1" x14ac:dyDescent="0.3">
      <c r="C144" s="107" t="s">
        <v>912</v>
      </c>
      <c r="D144" s="108" t="s">
        <v>1464</v>
      </c>
      <c r="E144" s="109" t="s">
        <v>913</v>
      </c>
    </row>
    <row r="145" spans="2:6" ht="15.75" thickTop="1" x14ac:dyDescent="0.25">
      <c r="B145" s="52" t="s">
        <v>1242</v>
      </c>
      <c r="C145" s="100">
        <f>CANTIDAD_DE_CAMARAS</f>
        <v>570</v>
      </c>
      <c r="D145" s="101"/>
      <c r="E145" s="106"/>
      <c r="F145" s="154">
        <v>46005</v>
      </c>
    </row>
    <row r="146" spans="2:6" x14ac:dyDescent="0.25">
      <c r="B146" s="53" t="s">
        <v>6</v>
      </c>
      <c r="C146" s="66">
        <f>'RESUMEN TOTAL'!Z3</f>
        <v>0</v>
      </c>
      <c r="D146" s="54"/>
      <c r="E146" s="55">
        <f>C146/C145</f>
        <v>0</v>
      </c>
      <c r="F146" s="155"/>
    </row>
    <row r="147" spans="2:6" x14ac:dyDescent="0.25">
      <c r="B147" s="53" t="s">
        <v>1243</v>
      </c>
      <c r="C147" s="67">
        <v>7</v>
      </c>
      <c r="D147" s="103">
        <f>C146-C147</f>
        <v>-7</v>
      </c>
      <c r="E147" s="55">
        <f>D147/C145</f>
        <v>-1.2280701754385965E-2</v>
      </c>
      <c r="F147" s="155"/>
    </row>
    <row r="148" spans="2:6" x14ac:dyDescent="0.25">
      <c r="B148" s="53" t="s">
        <v>1244</v>
      </c>
      <c r="C148" s="67">
        <v>3</v>
      </c>
      <c r="D148" s="103">
        <f>D147-C148</f>
        <v>-10</v>
      </c>
      <c r="E148" s="55">
        <f>D148/C145</f>
        <v>-1.7543859649122806E-2</v>
      </c>
      <c r="F148" s="155"/>
    </row>
    <row r="149" spans="2:6" x14ac:dyDescent="0.25">
      <c r="B149" s="53" t="s">
        <v>16</v>
      </c>
      <c r="C149" s="94">
        <v>15</v>
      </c>
      <c r="D149" s="103">
        <f>D148-C149</f>
        <v>-25</v>
      </c>
      <c r="E149" s="55">
        <f>D149/C145</f>
        <v>-4.3859649122807015E-2</v>
      </c>
      <c r="F149" s="155"/>
    </row>
    <row r="150" spans="2:6" ht="15.75" thickBot="1" x14ac:dyDescent="0.3">
      <c r="B150" s="56"/>
      <c r="C150" s="131">
        <v>0</v>
      </c>
      <c r="D150" s="104">
        <f>D149-C150</f>
        <v>-25</v>
      </c>
      <c r="E150" s="74">
        <f>D150/C145</f>
        <v>-4.3859649122807015E-2</v>
      </c>
      <c r="F150" s="155"/>
    </row>
    <row r="151" spans="2:6" ht="16.5" thickTop="1" thickBot="1" x14ac:dyDescent="0.3">
      <c r="B151" s="111"/>
      <c r="C151" s="110" t="s">
        <v>912</v>
      </c>
      <c r="D151" s="96" t="s">
        <v>1464</v>
      </c>
      <c r="E151" s="102" t="s">
        <v>913</v>
      </c>
      <c r="F151" s="155"/>
    </row>
    <row r="152" spans="2:6" ht="16.5" thickTop="1" thickBot="1" x14ac:dyDescent="0.3">
      <c r="B152" s="98" t="s">
        <v>1062</v>
      </c>
      <c r="C152" s="99">
        <f>BONOMOcam</f>
        <v>301</v>
      </c>
      <c r="D152" s="115">
        <v>24</v>
      </c>
      <c r="E152" s="105">
        <v>0.08</v>
      </c>
      <c r="F152" s="155"/>
    </row>
    <row r="153" spans="2:6" ht="15.75" thickBot="1" x14ac:dyDescent="0.3">
      <c r="B153" s="112" t="s">
        <v>1063</v>
      </c>
      <c r="C153" s="113">
        <f>COSEIDIcam</f>
        <v>268</v>
      </c>
      <c r="D153" s="113">
        <v>44</v>
      </c>
      <c r="E153" s="114"/>
      <c r="F153" s="156"/>
    </row>
    <row r="154" spans="2:6" ht="15" customHeight="1" thickTop="1" thickBot="1" x14ac:dyDescent="0.3"/>
    <row r="155" spans="2:6" ht="16.5" thickTop="1" thickBot="1" x14ac:dyDescent="0.3">
      <c r="C155" s="107" t="s">
        <v>912</v>
      </c>
      <c r="D155" s="108" t="s">
        <v>1464</v>
      </c>
      <c r="E155" s="109" t="s">
        <v>913</v>
      </c>
    </row>
    <row r="156" spans="2:6" ht="15.75" thickTop="1" x14ac:dyDescent="0.25">
      <c r="B156" s="52" t="s">
        <v>1242</v>
      </c>
      <c r="C156" s="100">
        <f>CANTIDAD_DE_CAMARAS</f>
        <v>570</v>
      </c>
      <c r="D156" s="101"/>
      <c r="E156" s="106"/>
      <c r="F156" s="154">
        <v>46006</v>
      </c>
    </row>
    <row r="157" spans="2:6" x14ac:dyDescent="0.25">
      <c r="B157" s="53" t="s">
        <v>6</v>
      </c>
      <c r="C157" s="66">
        <f>'RESUMEN TOTAL'!AA3</f>
        <v>0</v>
      </c>
      <c r="D157" s="54"/>
      <c r="E157" s="55">
        <f>C157/C156</f>
        <v>0</v>
      </c>
      <c r="F157" s="155"/>
    </row>
    <row r="158" spans="2:6" x14ac:dyDescent="0.25">
      <c r="B158" s="53" t="s">
        <v>1243</v>
      </c>
      <c r="C158" s="67"/>
      <c r="D158" s="103">
        <f>C157-C158</f>
        <v>0</v>
      </c>
      <c r="E158" s="55">
        <f>D158/C156</f>
        <v>0</v>
      </c>
      <c r="F158" s="155"/>
    </row>
    <row r="159" spans="2:6" x14ac:dyDescent="0.25">
      <c r="B159" s="53" t="s">
        <v>1244</v>
      </c>
      <c r="C159" s="67"/>
      <c r="D159" s="103">
        <f>D158-C159</f>
        <v>0</v>
      </c>
      <c r="E159" s="55">
        <f>D159/C156</f>
        <v>0</v>
      </c>
      <c r="F159" s="155"/>
    </row>
    <row r="160" spans="2:6" x14ac:dyDescent="0.25">
      <c r="B160" s="53" t="s">
        <v>16</v>
      </c>
      <c r="C160" s="94">
        <f>'RESUMEN TOTAL'!AA5</f>
        <v>0</v>
      </c>
      <c r="D160" s="103">
        <f>D159-C160</f>
        <v>0</v>
      </c>
      <c r="E160" s="55">
        <f>D160/C156</f>
        <v>0</v>
      </c>
      <c r="F160" s="155"/>
    </row>
    <row r="161" spans="2:6" ht="15.75" thickBot="1" x14ac:dyDescent="0.3">
      <c r="B161" s="56"/>
      <c r="C161" s="131">
        <v>0</v>
      </c>
      <c r="D161" s="104">
        <f>D160-C161</f>
        <v>0</v>
      </c>
      <c r="E161" s="74">
        <f>D161/C156</f>
        <v>0</v>
      </c>
      <c r="F161" s="155"/>
    </row>
    <row r="162" spans="2:6" ht="16.5" thickTop="1" thickBot="1" x14ac:dyDescent="0.3">
      <c r="B162" s="111"/>
      <c r="C162" s="110" t="s">
        <v>912</v>
      </c>
      <c r="D162" s="96" t="s">
        <v>1464</v>
      </c>
      <c r="E162" s="102" t="s">
        <v>913</v>
      </c>
      <c r="F162" s="155"/>
    </row>
    <row r="163" spans="2:6" ht="16.5" thickTop="1" thickBot="1" x14ac:dyDescent="0.3">
      <c r="B163" s="98" t="s">
        <v>1062</v>
      </c>
      <c r="C163" s="99">
        <f>BONOMOcam</f>
        <v>301</v>
      </c>
      <c r="D163" s="115">
        <f>Hoja1!T3</f>
        <v>0</v>
      </c>
      <c r="E163" s="105">
        <f>D163/C163</f>
        <v>0</v>
      </c>
      <c r="F163" s="155"/>
    </row>
    <row r="164" spans="2:6" ht="15.75" thickBot="1" x14ac:dyDescent="0.3">
      <c r="B164" s="112" t="s">
        <v>1063</v>
      </c>
      <c r="C164" s="113">
        <f>COSEIDIcam</f>
        <v>268</v>
      </c>
      <c r="D164" s="113">
        <f>Hoja1!T5</f>
        <v>0</v>
      </c>
      <c r="E164" s="114">
        <f>D164/C164</f>
        <v>0</v>
      </c>
      <c r="F164" s="156"/>
    </row>
    <row r="165" spans="2:6" ht="16.5" thickTop="1" thickBot="1" x14ac:dyDescent="0.3"/>
    <row r="166" spans="2:6" ht="16.5" thickTop="1" thickBot="1" x14ac:dyDescent="0.3">
      <c r="C166" s="107" t="s">
        <v>912</v>
      </c>
      <c r="D166" s="108" t="s">
        <v>1464</v>
      </c>
      <c r="E166" s="109" t="s">
        <v>913</v>
      </c>
    </row>
    <row r="167" spans="2:6" ht="15.75" thickTop="1" x14ac:dyDescent="0.25">
      <c r="B167" s="52" t="s">
        <v>1242</v>
      </c>
      <c r="C167" s="100">
        <f>CANTIDAD_DE_CAMARAS</f>
        <v>570</v>
      </c>
      <c r="D167" s="101"/>
      <c r="E167" s="106"/>
      <c r="F167" s="154">
        <v>46007</v>
      </c>
    </row>
    <row r="168" spans="2:6" x14ac:dyDescent="0.25">
      <c r="B168" s="53" t="s">
        <v>6</v>
      </c>
      <c r="C168" s="66">
        <f>'RESUMEN TOTAL'!AB3</f>
        <v>0</v>
      </c>
      <c r="D168" s="54"/>
      <c r="E168" s="55">
        <f>C168/C167</f>
        <v>0</v>
      </c>
      <c r="F168" s="155"/>
    </row>
    <row r="169" spans="2:6" x14ac:dyDescent="0.25">
      <c r="B169" s="53" t="s">
        <v>1243</v>
      </c>
      <c r="C169" s="67"/>
      <c r="D169" s="103">
        <f>C168-C169</f>
        <v>0</v>
      </c>
      <c r="E169" s="55">
        <f>D169/C167</f>
        <v>0</v>
      </c>
      <c r="F169" s="155"/>
    </row>
    <row r="170" spans="2:6" x14ac:dyDescent="0.25">
      <c r="B170" s="53" t="s">
        <v>1244</v>
      </c>
      <c r="C170" s="67"/>
      <c r="D170" s="103">
        <f>D169-C170</f>
        <v>0</v>
      </c>
      <c r="E170" s="55">
        <f>D170/C167</f>
        <v>0</v>
      </c>
      <c r="F170" s="155"/>
    </row>
    <row r="171" spans="2:6" x14ac:dyDescent="0.25">
      <c r="B171" s="53" t="s">
        <v>16</v>
      </c>
      <c r="C171" s="94"/>
      <c r="D171" s="103">
        <f>D170-C171</f>
        <v>0</v>
      </c>
      <c r="E171" s="55">
        <f>D171/C167</f>
        <v>0</v>
      </c>
      <c r="F171" s="155"/>
    </row>
    <row r="172" spans="2:6" ht="15.75" thickBot="1" x14ac:dyDescent="0.3">
      <c r="B172" s="56"/>
      <c r="C172" s="131"/>
      <c r="D172" s="104">
        <f>D171-C172</f>
        <v>0</v>
      </c>
      <c r="E172" s="74">
        <f>D172/C167</f>
        <v>0</v>
      </c>
      <c r="F172" s="155"/>
    </row>
    <row r="173" spans="2:6" ht="16.5" thickTop="1" thickBot="1" x14ac:dyDescent="0.3">
      <c r="B173" s="111"/>
      <c r="C173" s="110" t="s">
        <v>912</v>
      </c>
      <c r="D173" s="96" t="s">
        <v>1464</v>
      </c>
      <c r="E173" s="102" t="s">
        <v>913</v>
      </c>
      <c r="F173" s="155"/>
    </row>
    <row r="174" spans="2:6" ht="16.5" thickTop="1" thickBot="1" x14ac:dyDescent="0.3">
      <c r="B174" s="98" t="s">
        <v>1062</v>
      </c>
      <c r="C174" s="99">
        <f>BONOMOcam</f>
        <v>301</v>
      </c>
      <c r="D174" s="115"/>
      <c r="E174" s="105">
        <f>D174/C174</f>
        <v>0</v>
      </c>
      <c r="F174" s="155"/>
    </row>
    <row r="175" spans="2:6" ht="15.75" thickBot="1" x14ac:dyDescent="0.3">
      <c r="B175" s="112" t="s">
        <v>1063</v>
      </c>
      <c r="C175" s="113">
        <f>COSEIDIcam</f>
        <v>268</v>
      </c>
      <c r="D175" s="113"/>
      <c r="E175" s="114">
        <f>D175/C175</f>
        <v>0</v>
      </c>
      <c r="F175" s="156"/>
    </row>
    <row r="176" spans="2:6" ht="16.5" thickTop="1" thickBot="1" x14ac:dyDescent="0.3"/>
    <row r="177" spans="2:6" ht="16.5" thickTop="1" thickBot="1" x14ac:dyDescent="0.3">
      <c r="C177" s="107" t="s">
        <v>912</v>
      </c>
      <c r="D177" s="108" t="s">
        <v>1464</v>
      </c>
      <c r="E177" s="109" t="s">
        <v>913</v>
      </c>
    </row>
    <row r="178" spans="2:6" ht="15.75" thickTop="1" x14ac:dyDescent="0.25">
      <c r="B178" s="52" t="s">
        <v>1242</v>
      </c>
      <c r="C178" s="100">
        <f>CANTIDAD_DE_CAMARAS</f>
        <v>570</v>
      </c>
      <c r="D178" s="101"/>
      <c r="E178" s="106"/>
      <c r="F178" s="154">
        <v>46008</v>
      </c>
    </row>
    <row r="179" spans="2:6" x14ac:dyDescent="0.25">
      <c r="B179" s="53" t="s">
        <v>6</v>
      </c>
      <c r="C179" s="66">
        <f>'RESUMEN TOTAL'!AC3</f>
        <v>0</v>
      </c>
      <c r="D179" s="54"/>
      <c r="E179" s="55">
        <f>C179/C178</f>
        <v>0</v>
      </c>
      <c r="F179" s="155"/>
    </row>
    <row r="180" spans="2:6" x14ac:dyDescent="0.25">
      <c r="B180" s="53" t="s">
        <v>1243</v>
      </c>
      <c r="C180" s="67">
        <v>8</v>
      </c>
      <c r="D180" s="103">
        <f>C179-C180</f>
        <v>-8</v>
      </c>
      <c r="E180" s="55">
        <f>D180/C178</f>
        <v>-1.4035087719298246E-2</v>
      </c>
      <c r="F180" s="155"/>
    </row>
    <row r="181" spans="2:6" x14ac:dyDescent="0.25">
      <c r="B181" s="53" t="s">
        <v>1244</v>
      </c>
      <c r="C181" s="67">
        <v>3</v>
      </c>
      <c r="D181" s="103">
        <f>D180-C181</f>
        <v>-11</v>
      </c>
      <c r="E181" s="55">
        <f>D181/C178</f>
        <v>-1.9298245614035089E-2</v>
      </c>
      <c r="F181" s="155"/>
    </row>
    <row r="182" spans="2:6" x14ac:dyDescent="0.25">
      <c r="B182" s="53" t="s">
        <v>16</v>
      </c>
      <c r="C182" s="94">
        <v>6</v>
      </c>
      <c r="D182" s="103">
        <f>D181-C182</f>
        <v>-17</v>
      </c>
      <c r="E182" s="55">
        <f>D182/C178</f>
        <v>-2.9824561403508771E-2</v>
      </c>
      <c r="F182" s="155"/>
    </row>
    <row r="183" spans="2:6" ht="15.75" thickBot="1" x14ac:dyDescent="0.3">
      <c r="B183" s="56"/>
      <c r="C183" s="131">
        <v>0</v>
      </c>
      <c r="D183" s="104">
        <v>65</v>
      </c>
      <c r="E183" s="74">
        <f>D183/C178</f>
        <v>0.11403508771929824</v>
      </c>
      <c r="F183" s="155"/>
    </row>
    <row r="184" spans="2:6" ht="16.5" thickTop="1" thickBot="1" x14ac:dyDescent="0.3">
      <c r="B184" s="111"/>
      <c r="C184" s="110" t="s">
        <v>912</v>
      </c>
      <c r="D184" s="96" t="s">
        <v>1464</v>
      </c>
      <c r="E184" s="102" t="s">
        <v>913</v>
      </c>
      <c r="F184" s="155"/>
    </row>
    <row r="185" spans="2:6" ht="16.5" thickTop="1" thickBot="1" x14ac:dyDescent="0.3">
      <c r="B185" s="98" t="s">
        <v>1062</v>
      </c>
      <c r="C185" s="99">
        <f>BONOMOcam</f>
        <v>301</v>
      </c>
      <c r="D185" s="115">
        <f>Hoja1!V3</f>
        <v>0</v>
      </c>
      <c r="E185" s="105">
        <v>0.15</v>
      </c>
      <c r="F185" s="155"/>
    </row>
    <row r="186" spans="2:6" ht="15.75" thickBot="1" x14ac:dyDescent="0.3">
      <c r="B186" s="112" t="s">
        <v>1063</v>
      </c>
      <c r="C186" s="113">
        <f>COSEIDIcam</f>
        <v>268</v>
      </c>
      <c r="D186" s="113">
        <f>Hoja1!V5</f>
        <v>0</v>
      </c>
      <c r="E186" s="114">
        <v>0.13</v>
      </c>
      <c r="F186" s="156"/>
    </row>
    <row r="187" spans="2:6" ht="16.5" thickTop="1" thickBot="1" x14ac:dyDescent="0.3"/>
    <row r="188" spans="2:6" ht="16.5" thickTop="1" thickBot="1" x14ac:dyDescent="0.3">
      <c r="C188" s="107" t="s">
        <v>912</v>
      </c>
      <c r="D188" s="108" t="s">
        <v>1464</v>
      </c>
      <c r="E188" s="109" t="s">
        <v>913</v>
      </c>
    </row>
    <row r="189" spans="2:6" ht="15.75" thickTop="1" x14ac:dyDescent="0.25">
      <c r="B189" s="52" t="s">
        <v>1242</v>
      </c>
      <c r="C189" s="100">
        <f>CANTIDAD_DE_CAMARAS</f>
        <v>570</v>
      </c>
      <c r="D189" s="101"/>
      <c r="E189" s="106"/>
      <c r="F189" s="154">
        <v>46009</v>
      </c>
    </row>
    <row r="190" spans="2:6" x14ac:dyDescent="0.25">
      <c r="B190" s="53" t="s">
        <v>6</v>
      </c>
      <c r="C190" s="66">
        <v>61</v>
      </c>
      <c r="D190" s="54"/>
      <c r="E190" s="55">
        <f>C190/C189</f>
        <v>0.10701754385964912</v>
      </c>
      <c r="F190" s="155"/>
    </row>
    <row r="191" spans="2:6" x14ac:dyDescent="0.25">
      <c r="B191" s="53" t="s">
        <v>1243</v>
      </c>
      <c r="C191" s="67">
        <v>1</v>
      </c>
      <c r="D191" s="103">
        <f>C190-C191</f>
        <v>60</v>
      </c>
      <c r="E191" s="55">
        <f>D191/C189</f>
        <v>0.10526315789473684</v>
      </c>
      <c r="F191" s="155"/>
    </row>
    <row r="192" spans="2:6" x14ac:dyDescent="0.25">
      <c r="B192" s="53" t="s">
        <v>1244</v>
      </c>
      <c r="C192" s="67">
        <v>3</v>
      </c>
      <c r="D192" s="103">
        <f>D191-C192</f>
        <v>57</v>
      </c>
      <c r="E192" s="55">
        <f>D192/C189</f>
        <v>0.1</v>
      </c>
      <c r="F192" s="155"/>
    </row>
    <row r="193" spans="2:6" x14ac:dyDescent="0.25">
      <c r="B193" s="53" t="s">
        <v>16</v>
      </c>
      <c r="C193" s="94">
        <v>6</v>
      </c>
      <c r="D193" s="103">
        <f>D192-C193</f>
        <v>51</v>
      </c>
      <c r="E193" s="55">
        <f>D193/C189</f>
        <v>8.9473684210526316E-2</v>
      </c>
      <c r="F193" s="155"/>
    </row>
    <row r="194" spans="2:6" ht="15.75" thickBot="1" x14ac:dyDescent="0.3">
      <c r="B194" s="56"/>
      <c r="C194" s="131">
        <v>0</v>
      </c>
      <c r="D194" s="104">
        <f>D193-C194</f>
        <v>51</v>
      </c>
      <c r="E194" s="74">
        <f>D194/C189</f>
        <v>8.9473684210526316E-2</v>
      </c>
      <c r="F194" s="155"/>
    </row>
    <row r="195" spans="2:6" ht="16.5" thickTop="1" thickBot="1" x14ac:dyDescent="0.3">
      <c r="B195" s="111"/>
      <c r="C195" s="110" t="s">
        <v>912</v>
      </c>
      <c r="D195" s="96" t="s">
        <v>1464</v>
      </c>
      <c r="E195" s="102" t="s">
        <v>913</v>
      </c>
      <c r="F195" s="155"/>
    </row>
    <row r="196" spans="2:6" ht="16.5" thickTop="1" thickBot="1" x14ac:dyDescent="0.3">
      <c r="B196" s="98" t="s">
        <v>1062</v>
      </c>
      <c r="C196" s="99">
        <f>BONOMOcam</f>
        <v>301</v>
      </c>
      <c r="D196" s="115">
        <v>28</v>
      </c>
      <c r="E196" s="105">
        <v>0.09</v>
      </c>
      <c r="F196" s="155"/>
    </row>
    <row r="197" spans="2:6" ht="15.75" thickBot="1" x14ac:dyDescent="0.3">
      <c r="B197" s="112" t="s">
        <v>1063</v>
      </c>
      <c r="C197" s="113">
        <f>COSEIDIcam</f>
        <v>268</v>
      </c>
      <c r="D197" s="113">
        <v>33</v>
      </c>
      <c r="E197" s="114">
        <v>0.13</v>
      </c>
      <c r="F197" s="156"/>
    </row>
    <row r="198" spans="2:6" ht="16.5" thickTop="1" thickBot="1" x14ac:dyDescent="0.3"/>
    <row r="199" spans="2:6" ht="16.5" thickTop="1" thickBot="1" x14ac:dyDescent="0.3">
      <c r="C199" s="107" t="s">
        <v>912</v>
      </c>
      <c r="D199" s="108" t="s">
        <v>1464</v>
      </c>
      <c r="E199" s="109" t="s">
        <v>913</v>
      </c>
    </row>
    <row r="200" spans="2:6" ht="15.75" thickTop="1" x14ac:dyDescent="0.25">
      <c r="B200" s="52" t="s">
        <v>1242</v>
      </c>
      <c r="C200" s="100">
        <f>CANTIDAD_DE_CAMARAS</f>
        <v>570</v>
      </c>
      <c r="D200" s="101"/>
      <c r="E200" s="106"/>
      <c r="F200" s="154">
        <v>46010</v>
      </c>
    </row>
    <row r="201" spans="2:6" x14ac:dyDescent="0.25">
      <c r="B201" s="53" t="s">
        <v>6</v>
      </c>
      <c r="C201" s="66">
        <f>'RESUMEN TOTAL'!AE3</f>
        <v>0</v>
      </c>
      <c r="D201" s="54"/>
      <c r="E201" s="55">
        <f>C201/C200</f>
        <v>0</v>
      </c>
      <c r="F201" s="155"/>
    </row>
    <row r="202" spans="2:6" x14ac:dyDescent="0.25">
      <c r="B202" s="53" t="s">
        <v>1243</v>
      </c>
      <c r="C202" s="67">
        <v>6</v>
      </c>
      <c r="D202" s="103">
        <f>C201-C202</f>
        <v>-6</v>
      </c>
      <c r="E202" s="55">
        <f>D202/C200</f>
        <v>-1.0526315789473684E-2</v>
      </c>
      <c r="F202" s="155"/>
    </row>
    <row r="203" spans="2:6" x14ac:dyDescent="0.25">
      <c r="B203" s="53" t="s">
        <v>1244</v>
      </c>
      <c r="C203" s="67">
        <v>3</v>
      </c>
      <c r="D203" s="103">
        <f>D202-C203</f>
        <v>-9</v>
      </c>
      <c r="E203" s="55">
        <f>D203/C200</f>
        <v>-1.5789473684210527E-2</v>
      </c>
      <c r="F203" s="155"/>
    </row>
    <row r="204" spans="2:6" x14ac:dyDescent="0.25">
      <c r="B204" s="53" t="s">
        <v>16</v>
      </c>
      <c r="C204" s="94">
        <v>6</v>
      </c>
      <c r="D204" s="103">
        <f>D203-C204</f>
        <v>-15</v>
      </c>
      <c r="E204" s="55">
        <f>D204/C200</f>
        <v>-2.6315789473684209E-2</v>
      </c>
      <c r="F204" s="155"/>
    </row>
    <row r="205" spans="2:6" ht="15.75" thickBot="1" x14ac:dyDescent="0.3">
      <c r="B205" s="56"/>
      <c r="C205" s="131">
        <v>0</v>
      </c>
      <c r="D205" s="104">
        <f>D204-C205</f>
        <v>-15</v>
      </c>
      <c r="E205" s="74">
        <f>D205/C200</f>
        <v>-2.6315789473684209E-2</v>
      </c>
      <c r="F205" s="155"/>
    </row>
    <row r="206" spans="2:6" ht="16.5" thickTop="1" thickBot="1" x14ac:dyDescent="0.3">
      <c r="B206" s="111"/>
      <c r="C206" s="110" t="s">
        <v>912</v>
      </c>
      <c r="D206" s="96" t="s">
        <v>1464</v>
      </c>
      <c r="E206" s="102" t="s">
        <v>913</v>
      </c>
      <c r="F206" s="155"/>
    </row>
    <row r="207" spans="2:6" ht="16.5" thickTop="1" thickBot="1" x14ac:dyDescent="0.3">
      <c r="B207" s="98" t="s">
        <v>1062</v>
      </c>
      <c r="C207" s="99">
        <f>BONOMOcam</f>
        <v>301</v>
      </c>
      <c r="D207" s="115">
        <v>27</v>
      </c>
      <c r="E207" s="105">
        <f>D207/C207</f>
        <v>8.9700996677740868E-2</v>
      </c>
      <c r="F207" s="155"/>
    </row>
    <row r="208" spans="2:6" ht="15.75" thickBot="1" x14ac:dyDescent="0.3">
      <c r="B208" s="112" t="s">
        <v>1063</v>
      </c>
      <c r="C208" s="113">
        <f>COSEIDIcam</f>
        <v>268</v>
      </c>
      <c r="D208" s="113">
        <v>40</v>
      </c>
      <c r="E208" s="114">
        <f>D208/C208</f>
        <v>0.14925373134328357</v>
      </c>
      <c r="F208" s="156"/>
    </row>
    <row r="209" spans="2:6" ht="16.5" thickTop="1" thickBot="1" x14ac:dyDescent="0.3"/>
    <row r="210" spans="2:6" ht="16.5" thickTop="1" thickBot="1" x14ac:dyDescent="0.3">
      <c r="C210" s="107" t="s">
        <v>912</v>
      </c>
      <c r="D210" s="108" t="s">
        <v>1464</v>
      </c>
      <c r="E210" s="109" t="s">
        <v>913</v>
      </c>
    </row>
    <row r="211" spans="2:6" ht="15.75" thickTop="1" x14ac:dyDescent="0.25">
      <c r="B211" s="52" t="s">
        <v>1242</v>
      </c>
      <c r="C211" s="100">
        <f>CANTIDAD_DE_CAMARAS</f>
        <v>570</v>
      </c>
      <c r="D211" s="101"/>
      <c r="E211" s="106"/>
      <c r="F211" s="154">
        <v>46011</v>
      </c>
    </row>
    <row r="212" spans="2:6" x14ac:dyDescent="0.25">
      <c r="B212" s="53" t="s">
        <v>6</v>
      </c>
      <c r="C212" s="66">
        <v>55</v>
      </c>
      <c r="D212" s="54"/>
      <c r="E212" s="55">
        <f>C212/C211</f>
        <v>9.6491228070175433E-2</v>
      </c>
      <c r="F212" s="155"/>
    </row>
    <row r="213" spans="2:6" x14ac:dyDescent="0.25">
      <c r="B213" s="53" t="s">
        <v>1243</v>
      </c>
      <c r="C213" s="67">
        <v>7</v>
      </c>
      <c r="D213" s="103">
        <f>C212-C213</f>
        <v>48</v>
      </c>
      <c r="E213" s="55">
        <f>D213/C211</f>
        <v>8.4210526315789472E-2</v>
      </c>
      <c r="F213" s="155"/>
    </row>
    <row r="214" spans="2:6" x14ac:dyDescent="0.25">
      <c r="B214" s="53" t="s">
        <v>1244</v>
      </c>
      <c r="C214" s="67">
        <v>3</v>
      </c>
      <c r="D214" s="103">
        <f>D213-C214</f>
        <v>45</v>
      </c>
      <c r="E214" s="55">
        <f>D214/C211</f>
        <v>7.8947368421052627E-2</v>
      </c>
      <c r="F214" s="155"/>
    </row>
    <row r="215" spans="2:6" x14ac:dyDescent="0.25">
      <c r="B215" s="53" t="s">
        <v>16</v>
      </c>
      <c r="C215" s="94">
        <v>6</v>
      </c>
      <c r="D215" s="103">
        <f>D214-C215</f>
        <v>39</v>
      </c>
      <c r="E215" s="55">
        <f>D215/C211</f>
        <v>6.8421052631578952E-2</v>
      </c>
      <c r="F215" s="155"/>
    </row>
    <row r="216" spans="2:6" ht="15.75" thickBot="1" x14ac:dyDescent="0.3">
      <c r="B216" s="56"/>
      <c r="C216" s="131">
        <v>0</v>
      </c>
      <c r="D216" s="104">
        <f>D215-C216</f>
        <v>39</v>
      </c>
      <c r="E216" s="74">
        <f>D216/C211</f>
        <v>6.8421052631578952E-2</v>
      </c>
      <c r="F216" s="155"/>
    </row>
    <row r="217" spans="2:6" ht="16.5" thickTop="1" thickBot="1" x14ac:dyDescent="0.3">
      <c r="B217" s="111"/>
      <c r="C217" s="110" t="s">
        <v>912</v>
      </c>
      <c r="D217" s="96" t="s">
        <v>1464</v>
      </c>
      <c r="E217" s="102" t="s">
        <v>913</v>
      </c>
      <c r="F217" s="155"/>
    </row>
    <row r="218" spans="2:6" ht="16.5" thickTop="1" thickBot="1" x14ac:dyDescent="0.3">
      <c r="B218" s="98" t="s">
        <v>1062</v>
      </c>
      <c r="C218" s="99">
        <f>BONOMOcam</f>
        <v>301</v>
      </c>
      <c r="D218" s="115">
        <v>17</v>
      </c>
      <c r="E218" s="105">
        <f>D218/C218</f>
        <v>5.647840531561462E-2</v>
      </c>
      <c r="F218" s="155"/>
    </row>
    <row r="219" spans="2:6" ht="15.75" thickBot="1" x14ac:dyDescent="0.3">
      <c r="B219" s="112" t="s">
        <v>1063</v>
      </c>
      <c r="C219" s="113">
        <f>COSEIDIcam</f>
        <v>268</v>
      </c>
      <c r="D219" s="113">
        <v>38</v>
      </c>
      <c r="E219" s="114">
        <f>D219/C219</f>
        <v>0.1417910447761194</v>
      </c>
      <c r="F219" s="156"/>
    </row>
    <row r="220" spans="2:6" ht="15.75" thickTop="1" x14ac:dyDescent="0.25"/>
    <row r="221" spans="2:6" ht="15.75" thickBot="1" x14ac:dyDescent="0.3"/>
    <row r="222" spans="2:6" ht="16.5" thickTop="1" thickBot="1" x14ac:dyDescent="0.3">
      <c r="C222" s="107" t="s">
        <v>912</v>
      </c>
      <c r="D222" s="108" t="s">
        <v>1464</v>
      </c>
      <c r="E222" s="109" t="s">
        <v>913</v>
      </c>
    </row>
    <row r="223" spans="2:6" ht="15.75" thickTop="1" x14ac:dyDescent="0.25">
      <c r="B223" s="52" t="s">
        <v>1242</v>
      </c>
      <c r="C223" s="100">
        <f>CANTIDAD_DE_CAMARAS</f>
        <v>570</v>
      </c>
      <c r="D223" s="101"/>
      <c r="E223" s="106"/>
      <c r="F223" s="154">
        <v>46012</v>
      </c>
    </row>
    <row r="224" spans="2:6" x14ac:dyDescent="0.25">
      <c r="B224" s="53" t="s">
        <v>6</v>
      </c>
      <c r="C224" s="66">
        <f>'RESUMEN TOTAL'!AG3</f>
        <v>0</v>
      </c>
      <c r="D224" s="54">
        <v>0</v>
      </c>
      <c r="E224" s="55">
        <f>C224/C223</f>
        <v>0</v>
      </c>
      <c r="F224" s="155"/>
    </row>
    <row r="225" spans="2:6" x14ac:dyDescent="0.25">
      <c r="B225" s="53" t="s">
        <v>1243</v>
      </c>
      <c r="C225" s="67">
        <v>0</v>
      </c>
      <c r="D225" s="103">
        <f>C224-C225</f>
        <v>0</v>
      </c>
      <c r="E225" s="55">
        <f>D225/C223</f>
        <v>0</v>
      </c>
      <c r="F225" s="155"/>
    </row>
    <row r="226" spans="2:6" x14ac:dyDescent="0.25">
      <c r="B226" s="53" t="s">
        <v>1244</v>
      </c>
      <c r="C226" s="67">
        <v>0</v>
      </c>
      <c r="D226" s="103">
        <v>0</v>
      </c>
      <c r="E226" s="55">
        <f>D226/C223</f>
        <v>0</v>
      </c>
      <c r="F226" s="155"/>
    </row>
    <row r="227" spans="2:6" x14ac:dyDescent="0.25">
      <c r="B227" s="53" t="s">
        <v>16</v>
      </c>
      <c r="C227" s="94">
        <f>'RESUMEN TOTAL'!AG5</f>
        <v>0</v>
      </c>
      <c r="D227" s="103">
        <v>0</v>
      </c>
      <c r="E227" s="55">
        <f>D227/C223</f>
        <v>0</v>
      </c>
      <c r="F227" s="155"/>
    </row>
    <row r="228" spans="2:6" ht="15.75" thickBot="1" x14ac:dyDescent="0.3">
      <c r="B228" s="56"/>
      <c r="C228" s="131">
        <v>0</v>
      </c>
      <c r="D228" s="104">
        <v>0</v>
      </c>
      <c r="E228" s="74">
        <v>0</v>
      </c>
      <c r="F228" s="155"/>
    </row>
    <row r="229" spans="2:6" ht="16.5" thickTop="1" thickBot="1" x14ac:dyDescent="0.3">
      <c r="B229" s="111"/>
      <c r="C229" s="110" t="s">
        <v>912</v>
      </c>
      <c r="D229" s="96" t="s">
        <v>1464</v>
      </c>
      <c r="E229" s="102" t="s">
        <v>913</v>
      </c>
      <c r="F229" s="155"/>
    </row>
    <row r="230" spans="2:6" ht="16.5" thickTop="1" thickBot="1" x14ac:dyDescent="0.3">
      <c r="B230" s="98" t="s">
        <v>1062</v>
      </c>
      <c r="C230" s="99">
        <f>BONOMOcam</f>
        <v>301</v>
      </c>
      <c r="D230" s="115">
        <f>Hoja1!Z3</f>
        <v>0</v>
      </c>
      <c r="E230" s="105">
        <f>D230/C230</f>
        <v>0</v>
      </c>
      <c r="F230" s="155"/>
    </row>
    <row r="231" spans="2:6" ht="15.75" thickBot="1" x14ac:dyDescent="0.3">
      <c r="B231" s="112" t="s">
        <v>1063</v>
      </c>
      <c r="C231" s="113">
        <f>COSEIDIcam</f>
        <v>268</v>
      </c>
      <c r="D231" s="113">
        <f>Hoja1!Z5</f>
        <v>0</v>
      </c>
      <c r="E231" s="114">
        <f>D231/C231</f>
        <v>0</v>
      </c>
      <c r="F231" s="156"/>
    </row>
    <row r="232" spans="2:6" ht="15.75" thickTop="1" x14ac:dyDescent="0.25"/>
    <row r="233" spans="2:6" ht="15.75" thickBot="1" x14ac:dyDescent="0.3"/>
    <row r="234" spans="2:6" ht="16.5" thickTop="1" thickBot="1" x14ac:dyDescent="0.3">
      <c r="C234" s="107" t="s">
        <v>912</v>
      </c>
      <c r="D234" s="108" t="s">
        <v>1464</v>
      </c>
      <c r="E234" s="109" t="s">
        <v>913</v>
      </c>
    </row>
    <row r="235" spans="2:6" ht="15.75" thickTop="1" x14ac:dyDescent="0.25">
      <c r="B235" s="52" t="s">
        <v>1242</v>
      </c>
      <c r="C235" s="100">
        <f>CANTIDAD_DE_CAMARAS</f>
        <v>570</v>
      </c>
      <c r="D235" s="101"/>
      <c r="E235" s="106"/>
      <c r="F235" s="154">
        <v>46013</v>
      </c>
    </row>
    <row r="236" spans="2:6" x14ac:dyDescent="0.25">
      <c r="B236" s="53" t="s">
        <v>6</v>
      </c>
      <c r="C236" s="66">
        <v>0</v>
      </c>
      <c r="D236" s="54"/>
      <c r="E236" s="55">
        <f>C236/C235</f>
        <v>0</v>
      </c>
      <c r="F236" s="155"/>
    </row>
    <row r="237" spans="2:6" x14ac:dyDescent="0.25">
      <c r="B237" s="53" t="s">
        <v>1243</v>
      </c>
      <c r="C237" s="67">
        <v>0</v>
      </c>
      <c r="D237" s="103">
        <v>0</v>
      </c>
      <c r="E237" s="55">
        <f>D237/C235</f>
        <v>0</v>
      </c>
      <c r="F237" s="155"/>
    </row>
    <row r="238" spans="2:6" x14ac:dyDescent="0.25">
      <c r="B238" s="53" t="s">
        <v>1244</v>
      </c>
      <c r="C238" s="67">
        <v>0</v>
      </c>
      <c r="D238" s="103">
        <v>0</v>
      </c>
      <c r="E238" s="55">
        <f>D238/C235</f>
        <v>0</v>
      </c>
      <c r="F238" s="155"/>
    </row>
    <row r="239" spans="2:6" x14ac:dyDescent="0.25">
      <c r="B239" s="53" t="s">
        <v>16</v>
      </c>
      <c r="C239" s="94">
        <v>0</v>
      </c>
      <c r="D239" s="103">
        <v>0</v>
      </c>
      <c r="E239" s="55">
        <f>D239/C235</f>
        <v>0</v>
      </c>
      <c r="F239" s="155"/>
    </row>
    <row r="240" spans="2:6" ht="15.75" thickBot="1" x14ac:dyDescent="0.3">
      <c r="B240" s="56"/>
      <c r="C240" s="131">
        <v>0</v>
      </c>
      <c r="D240" s="104">
        <v>0</v>
      </c>
      <c r="E240" s="74">
        <v>0</v>
      </c>
      <c r="F240" s="155"/>
    </row>
    <row r="241" spans="2:6" ht="16.5" thickTop="1" thickBot="1" x14ac:dyDescent="0.3">
      <c r="B241" s="111"/>
      <c r="C241" s="110" t="s">
        <v>912</v>
      </c>
      <c r="D241" s="96" t="s">
        <v>1464</v>
      </c>
      <c r="E241" s="102" t="s">
        <v>913</v>
      </c>
      <c r="F241" s="155"/>
    </row>
    <row r="242" spans="2:6" ht="16.5" thickTop="1" thickBot="1" x14ac:dyDescent="0.3">
      <c r="B242" s="98" t="s">
        <v>1062</v>
      </c>
      <c r="C242" s="99">
        <f>BONOMOcam</f>
        <v>301</v>
      </c>
      <c r="D242" s="115">
        <v>0</v>
      </c>
      <c r="E242" s="105">
        <f>D242/C242</f>
        <v>0</v>
      </c>
      <c r="F242" s="155"/>
    </row>
    <row r="243" spans="2:6" ht="15.75" thickBot="1" x14ac:dyDescent="0.3">
      <c r="B243" s="112" t="s">
        <v>1063</v>
      </c>
      <c r="C243" s="113">
        <f>COSEIDIcam</f>
        <v>268</v>
      </c>
      <c r="D243" s="113">
        <v>0</v>
      </c>
      <c r="E243" s="114">
        <v>0</v>
      </c>
      <c r="F243" s="156"/>
    </row>
    <row r="244" spans="2:6" ht="15.75" thickTop="1" x14ac:dyDescent="0.25"/>
    <row r="245" spans="2:6" ht="15.75" thickBot="1" x14ac:dyDescent="0.3"/>
    <row r="246" spans="2:6" ht="16.5" thickTop="1" thickBot="1" x14ac:dyDescent="0.3">
      <c r="C246" s="107" t="s">
        <v>912</v>
      </c>
      <c r="D246" s="108" t="s">
        <v>1464</v>
      </c>
      <c r="E246" s="109" t="s">
        <v>913</v>
      </c>
    </row>
    <row r="247" spans="2:6" ht="15.75" thickTop="1" x14ac:dyDescent="0.25">
      <c r="B247" s="52" t="s">
        <v>1242</v>
      </c>
      <c r="C247" s="100">
        <f>CANTIDAD_DE_CAMARAS</f>
        <v>570</v>
      </c>
      <c r="D247" s="101"/>
      <c r="E247" s="106"/>
      <c r="F247" s="154">
        <v>46014</v>
      </c>
    </row>
    <row r="248" spans="2:6" x14ac:dyDescent="0.25">
      <c r="B248" s="53" t="s">
        <v>6</v>
      </c>
      <c r="C248" s="66">
        <v>0</v>
      </c>
      <c r="D248" s="54"/>
      <c r="E248" s="55">
        <f>C248/C247</f>
        <v>0</v>
      </c>
      <c r="F248" s="155"/>
    </row>
    <row r="249" spans="2:6" x14ac:dyDescent="0.25">
      <c r="B249" s="53" t="s">
        <v>1243</v>
      </c>
      <c r="C249" s="67">
        <v>0</v>
      </c>
      <c r="D249" s="103">
        <v>0</v>
      </c>
      <c r="E249" s="55">
        <f>D249/C247</f>
        <v>0</v>
      </c>
      <c r="F249" s="155"/>
    </row>
    <row r="250" spans="2:6" x14ac:dyDescent="0.25">
      <c r="B250" s="53" t="s">
        <v>1244</v>
      </c>
      <c r="C250" s="67">
        <v>0</v>
      </c>
      <c r="D250" s="103">
        <v>0</v>
      </c>
      <c r="E250" s="55">
        <f>D250/C247</f>
        <v>0</v>
      </c>
      <c r="F250" s="155"/>
    </row>
    <row r="251" spans="2:6" x14ac:dyDescent="0.25">
      <c r="B251" s="53" t="s">
        <v>16</v>
      </c>
      <c r="C251" s="94">
        <v>0</v>
      </c>
      <c r="D251" s="103">
        <v>0</v>
      </c>
      <c r="E251" s="55">
        <f>D251/C247</f>
        <v>0</v>
      </c>
      <c r="F251" s="155"/>
    </row>
    <row r="252" spans="2:6" ht="15.75" thickBot="1" x14ac:dyDescent="0.3">
      <c r="B252" s="56"/>
      <c r="C252" s="131">
        <v>0</v>
      </c>
      <c r="D252" s="104">
        <v>0</v>
      </c>
      <c r="E252" s="74">
        <v>0</v>
      </c>
      <c r="F252" s="155"/>
    </row>
    <row r="253" spans="2:6" ht="16.5" thickTop="1" thickBot="1" x14ac:dyDescent="0.3">
      <c r="B253" s="111"/>
      <c r="C253" s="110" t="s">
        <v>912</v>
      </c>
      <c r="D253" s="96">
        <v>0</v>
      </c>
      <c r="E253" s="102" t="s">
        <v>913</v>
      </c>
      <c r="F253" s="155"/>
    </row>
    <row r="254" spans="2:6" ht="16.5" thickTop="1" thickBot="1" x14ac:dyDescent="0.3">
      <c r="B254" s="98" t="s">
        <v>1062</v>
      </c>
      <c r="C254" s="99">
        <f>BONOMOcam</f>
        <v>301</v>
      </c>
      <c r="D254" s="115">
        <v>0</v>
      </c>
      <c r="E254" s="105">
        <f>D254/C254</f>
        <v>0</v>
      </c>
      <c r="F254" s="155"/>
    </row>
    <row r="255" spans="2:6" ht="15.75" thickBot="1" x14ac:dyDescent="0.3">
      <c r="B255" s="112" t="s">
        <v>1063</v>
      </c>
      <c r="C255" s="113">
        <f>COSEIDIcam</f>
        <v>268</v>
      </c>
      <c r="D255" s="113">
        <v>0</v>
      </c>
      <c r="E255" s="114">
        <f>D255/C255</f>
        <v>0</v>
      </c>
      <c r="F255" s="156"/>
    </row>
    <row r="256" spans="2:6" ht="15.75" thickTop="1" x14ac:dyDescent="0.25"/>
    <row r="257" spans="2:6" ht="15.75" thickBot="1" x14ac:dyDescent="0.3"/>
    <row r="258" spans="2:6" ht="16.5" thickTop="1" thickBot="1" x14ac:dyDescent="0.3">
      <c r="C258" s="107" t="s">
        <v>912</v>
      </c>
      <c r="D258" s="108" t="s">
        <v>1464</v>
      </c>
      <c r="E258" s="109" t="s">
        <v>913</v>
      </c>
    </row>
    <row r="259" spans="2:6" ht="15.75" thickTop="1" x14ac:dyDescent="0.25">
      <c r="B259" s="52" t="s">
        <v>1242</v>
      </c>
      <c r="C259" s="100">
        <f>CANTIDAD_DE_CAMARAS</f>
        <v>570</v>
      </c>
      <c r="D259" s="101"/>
      <c r="E259" s="106"/>
      <c r="F259" s="154">
        <v>46015</v>
      </c>
    </row>
    <row r="260" spans="2:6" x14ac:dyDescent="0.25">
      <c r="B260" s="53" t="s">
        <v>6</v>
      </c>
      <c r="C260" s="66">
        <v>0</v>
      </c>
      <c r="D260" s="54"/>
      <c r="E260" s="55">
        <f>C260/C259</f>
        <v>0</v>
      </c>
      <c r="F260" s="155"/>
    </row>
    <row r="261" spans="2:6" x14ac:dyDescent="0.25">
      <c r="B261" s="53" t="s">
        <v>1243</v>
      </c>
      <c r="C261" s="67">
        <v>0</v>
      </c>
      <c r="D261" s="103">
        <v>0</v>
      </c>
      <c r="E261" s="55">
        <f>D261/C259</f>
        <v>0</v>
      </c>
      <c r="F261" s="155"/>
    </row>
    <row r="262" spans="2:6" x14ac:dyDescent="0.25">
      <c r="B262" s="53" t="s">
        <v>1244</v>
      </c>
      <c r="C262" s="67">
        <v>0</v>
      </c>
      <c r="D262" s="103">
        <v>0</v>
      </c>
      <c r="E262" s="55">
        <f>D262/C259</f>
        <v>0</v>
      </c>
      <c r="F262" s="155"/>
    </row>
    <row r="263" spans="2:6" x14ac:dyDescent="0.25">
      <c r="B263" s="53" t="s">
        <v>16</v>
      </c>
      <c r="C263" s="94">
        <v>0</v>
      </c>
      <c r="D263" s="103">
        <v>0</v>
      </c>
      <c r="E263" s="55">
        <f>D263/C259</f>
        <v>0</v>
      </c>
      <c r="F263" s="155"/>
    </row>
    <row r="264" spans="2:6" ht="15.75" thickBot="1" x14ac:dyDescent="0.3">
      <c r="B264" s="56"/>
      <c r="C264" s="131">
        <v>0</v>
      </c>
      <c r="D264" s="104">
        <v>0</v>
      </c>
      <c r="E264" s="74">
        <v>0</v>
      </c>
      <c r="F264" s="155"/>
    </row>
    <row r="265" spans="2:6" ht="16.5" thickTop="1" thickBot="1" x14ac:dyDescent="0.3">
      <c r="B265" s="111"/>
      <c r="C265" s="110" t="s">
        <v>912</v>
      </c>
      <c r="D265" s="96" t="s">
        <v>1464</v>
      </c>
      <c r="E265" s="102" t="s">
        <v>913</v>
      </c>
      <c r="F265" s="155"/>
    </row>
    <row r="266" spans="2:6" ht="16.5" thickTop="1" thickBot="1" x14ac:dyDescent="0.3">
      <c r="B266" s="98" t="s">
        <v>1062</v>
      </c>
      <c r="C266" s="99">
        <f>BONOMOcam</f>
        <v>301</v>
      </c>
      <c r="D266" s="115">
        <v>0</v>
      </c>
      <c r="E266" s="105">
        <v>0</v>
      </c>
      <c r="F266" s="155"/>
    </row>
    <row r="267" spans="2:6" ht="15.75" thickBot="1" x14ac:dyDescent="0.3">
      <c r="B267" s="112" t="s">
        <v>1063</v>
      </c>
      <c r="C267" s="113">
        <f>COSEIDIcam</f>
        <v>268</v>
      </c>
      <c r="D267" s="113">
        <v>0</v>
      </c>
      <c r="E267" s="114">
        <v>0</v>
      </c>
      <c r="F267" s="156"/>
    </row>
    <row r="268" spans="2:6" ht="16.5" thickTop="1" thickBot="1" x14ac:dyDescent="0.3"/>
    <row r="269" spans="2:6" ht="16.5" thickTop="1" thickBot="1" x14ac:dyDescent="0.3">
      <c r="C269" s="107" t="s">
        <v>912</v>
      </c>
      <c r="D269" s="108" t="s">
        <v>1464</v>
      </c>
      <c r="E269" s="109" t="s">
        <v>913</v>
      </c>
    </row>
    <row r="270" spans="2:6" ht="15.75" thickTop="1" x14ac:dyDescent="0.25">
      <c r="B270" s="52" t="s">
        <v>1242</v>
      </c>
      <c r="C270" s="100">
        <f>CANTIDAD_DE_CAMARAS</f>
        <v>570</v>
      </c>
      <c r="D270" s="101"/>
      <c r="E270" s="106"/>
      <c r="F270" s="154">
        <v>46016</v>
      </c>
    </row>
    <row r="271" spans="2:6" x14ac:dyDescent="0.25">
      <c r="B271" s="53" t="s">
        <v>6</v>
      </c>
      <c r="C271" s="66">
        <v>0</v>
      </c>
      <c r="D271" s="54"/>
      <c r="E271" s="55">
        <f>C271/C270</f>
        <v>0</v>
      </c>
      <c r="F271" s="155"/>
    </row>
    <row r="272" spans="2:6" x14ac:dyDescent="0.25">
      <c r="B272" s="53" t="s">
        <v>1243</v>
      </c>
      <c r="C272" s="67">
        <v>0</v>
      </c>
      <c r="D272" s="103">
        <v>0</v>
      </c>
      <c r="E272" s="55">
        <f>D272/C270</f>
        <v>0</v>
      </c>
      <c r="F272" s="155"/>
    </row>
    <row r="273" spans="2:6" x14ac:dyDescent="0.25">
      <c r="B273" s="53" t="s">
        <v>1244</v>
      </c>
      <c r="C273" s="67">
        <v>0</v>
      </c>
      <c r="D273" s="103">
        <v>0</v>
      </c>
      <c r="E273" s="55">
        <f>D273/C270</f>
        <v>0</v>
      </c>
      <c r="F273" s="155"/>
    </row>
    <row r="274" spans="2:6" x14ac:dyDescent="0.25">
      <c r="B274" s="53" t="s">
        <v>16</v>
      </c>
      <c r="C274" s="94">
        <v>0</v>
      </c>
      <c r="D274" s="103">
        <v>0</v>
      </c>
      <c r="E274" s="55">
        <f>D274/C270</f>
        <v>0</v>
      </c>
      <c r="F274" s="155"/>
    </row>
    <row r="275" spans="2:6" ht="15.75" thickBot="1" x14ac:dyDescent="0.3">
      <c r="B275" s="56"/>
      <c r="C275" s="131">
        <v>0</v>
      </c>
      <c r="D275" s="104">
        <v>0</v>
      </c>
      <c r="E275" s="74">
        <v>0</v>
      </c>
      <c r="F275" s="155"/>
    </row>
    <row r="276" spans="2:6" ht="16.5" thickTop="1" thickBot="1" x14ac:dyDescent="0.3">
      <c r="B276" s="111"/>
      <c r="C276" s="110" t="s">
        <v>912</v>
      </c>
      <c r="D276" s="96" t="s">
        <v>1464</v>
      </c>
      <c r="E276" s="102" t="s">
        <v>913</v>
      </c>
      <c r="F276" s="155"/>
    </row>
    <row r="277" spans="2:6" ht="16.5" thickTop="1" thickBot="1" x14ac:dyDescent="0.3">
      <c r="B277" s="98" t="s">
        <v>1062</v>
      </c>
      <c r="C277" s="99">
        <f>BONOMOcam</f>
        <v>301</v>
      </c>
      <c r="D277" s="115">
        <v>0</v>
      </c>
      <c r="E277" s="105">
        <f>D277/C277</f>
        <v>0</v>
      </c>
      <c r="F277" s="155"/>
    </row>
    <row r="278" spans="2:6" ht="15.75" thickBot="1" x14ac:dyDescent="0.3">
      <c r="B278" s="112" t="s">
        <v>1063</v>
      </c>
      <c r="C278" s="113">
        <f>COSEIDIcam</f>
        <v>268</v>
      </c>
      <c r="D278" s="113">
        <v>0</v>
      </c>
      <c r="E278" s="114">
        <v>0</v>
      </c>
      <c r="F278" s="156"/>
    </row>
    <row r="279" spans="2:6" ht="16.5" thickTop="1" thickBot="1" x14ac:dyDescent="0.3"/>
    <row r="280" spans="2:6" ht="16.5" thickTop="1" thickBot="1" x14ac:dyDescent="0.3">
      <c r="C280" s="107" t="s">
        <v>912</v>
      </c>
      <c r="D280" s="108" t="s">
        <v>1464</v>
      </c>
      <c r="E280" s="109" t="s">
        <v>913</v>
      </c>
    </row>
    <row r="281" spans="2:6" ht="15.75" thickTop="1" x14ac:dyDescent="0.25">
      <c r="B281" s="52" t="s">
        <v>1242</v>
      </c>
      <c r="C281" s="100">
        <f>CANTIDAD_DE_CAMARAS</f>
        <v>570</v>
      </c>
      <c r="D281" s="101"/>
      <c r="E281" s="106"/>
      <c r="F281" s="154">
        <v>46017</v>
      </c>
    </row>
    <row r="282" spans="2:6" x14ac:dyDescent="0.25">
      <c r="B282" s="53" t="s">
        <v>6</v>
      </c>
      <c r="C282" s="66">
        <v>0</v>
      </c>
      <c r="D282" s="54"/>
      <c r="E282" s="55">
        <f>C282/C281</f>
        <v>0</v>
      </c>
      <c r="F282" s="155"/>
    </row>
    <row r="283" spans="2:6" x14ac:dyDescent="0.25">
      <c r="B283" s="53" t="s">
        <v>1243</v>
      </c>
      <c r="C283" s="67">
        <v>0</v>
      </c>
      <c r="D283" s="103">
        <v>0</v>
      </c>
      <c r="E283" s="55">
        <f>D283/C281</f>
        <v>0</v>
      </c>
      <c r="F283" s="155"/>
    </row>
    <row r="284" spans="2:6" x14ac:dyDescent="0.25">
      <c r="B284" s="53" t="s">
        <v>1244</v>
      </c>
      <c r="C284" s="67">
        <v>0</v>
      </c>
      <c r="D284" s="103">
        <v>0</v>
      </c>
      <c r="E284" s="55">
        <f>D284/C281</f>
        <v>0</v>
      </c>
      <c r="F284" s="155"/>
    </row>
    <row r="285" spans="2:6" x14ac:dyDescent="0.25">
      <c r="B285" s="53" t="s">
        <v>16</v>
      </c>
      <c r="C285" s="94">
        <v>0</v>
      </c>
      <c r="D285" s="103">
        <v>0</v>
      </c>
      <c r="E285" s="55">
        <f>D285/C281</f>
        <v>0</v>
      </c>
      <c r="F285" s="155"/>
    </row>
    <row r="286" spans="2:6" ht="15.75" thickBot="1" x14ac:dyDescent="0.3">
      <c r="B286" s="56"/>
      <c r="C286" s="131">
        <v>0</v>
      </c>
      <c r="D286" s="104">
        <v>0</v>
      </c>
      <c r="E286" s="74">
        <v>3.1399999999999997E-2</v>
      </c>
      <c r="F286" s="155"/>
    </row>
    <row r="287" spans="2:6" ht="16.5" thickTop="1" thickBot="1" x14ac:dyDescent="0.3">
      <c r="B287" s="111"/>
      <c r="C287" s="110" t="s">
        <v>912</v>
      </c>
      <c r="D287" s="96" t="s">
        <v>1464</v>
      </c>
      <c r="E287" s="102" t="s">
        <v>913</v>
      </c>
      <c r="F287" s="155"/>
    </row>
    <row r="288" spans="2:6" ht="16.5" thickTop="1" thickBot="1" x14ac:dyDescent="0.3">
      <c r="B288" s="98" t="s">
        <v>1062</v>
      </c>
      <c r="C288" s="99">
        <f>BONOMOcam</f>
        <v>301</v>
      </c>
      <c r="D288" s="115">
        <v>0</v>
      </c>
      <c r="E288" s="105">
        <v>0</v>
      </c>
      <c r="F288" s="155"/>
    </row>
    <row r="289" spans="2:6" ht="15.75" thickBot="1" x14ac:dyDescent="0.3">
      <c r="B289" s="112" t="s">
        <v>1063</v>
      </c>
      <c r="C289" s="113">
        <f>COSEIDIcam</f>
        <v>268</v>
      </c>
      <c r="D289" s="113">
        <v>0</v>
      </c>
      <c r="E289" s="114">
        <v>0</v>
      </c>
      <c r="F289" s="156"/>
    </row>
    <row r="290" spans="2:6" ht="16.5" thickTop="1" thickBot="1" x14ac:dyDescent="0.3"/>
    <row r="291" spans="2:6" ht="16.5" thickTop="1" thickBot="1" x14ac:dyDescent="0.3">
      <c r="C291" s="107" t="s">
        <v>912</v>
      </c>
      <c r="D291" s="108" t="s">
        <v>1464</v>
      </c>
      <c r="E291" s="109" t="s">
        <v>913</v>
      </c>
    </row>
    <row r="292" spans="2:6" ht="15.75" thickTop="1" x14ac:dyDescent="0.25">
      <c r="B292" s="52" t="s">
        <v>1242</v>
      </c>
      <c r="C292" s="100">
        <f>CANTIDAD_DE_CAMARAS</f>
        <v>570</v>
      </c>
      <c r="D292" s="101"/>
      <c r="E292" s="106"/>
      <c r="F292" s="154">
        <v>46018</v>
      </c>
    </row>
    <row r="293" spans="2:6" x14ac:dyDescent="0.25">
      <c r="B293" s="53" t="s">
        <v>6</v>
      </c>
      <c r="C293" s="66">
        <v>0</v>
      </c>
      <c r="D293" s="54"/>
      <c r="E293" s="55">
        <f>C293/C292</f>
        <v>0</v>
      </c>
      <c r="F293" s="155"/>
    </row>
    <row r="294" spans="2:6" x14ac:dyDescent="0.25">
      <c r="B294" s="53" t="s">
        <v>1243</v>
      </c>
      <c r="C294" s="67">
        <v>0</v>
      </c>
      <c r="D294" s="103">
        <v>0</v>
      </c>
      <c r="E294" s="55">
        <f>D294/C292</f>
        <v>0</v>
      </c>
      <c r="F294" s="155"/>
    </row>
    <row r="295" spans="2:6" x14ac:dyDescent="0.25">
      <c r="B295" s="53" t="s">
        <v>1244</v>
      </c>
      <c r="C295" s="67">
        <v>0</v>
      </c>
      <c r="D295" s="103">
        <v>0</v>
      </c>
      <c r="E295" s="55">
        <f>D295/C292</f>
        <v>0</v>
      </c>
      <c r="F295" s="155"/>
    </row>
    <row r="296" spans="2:6" x14ac:dyDescent="0.25">
      <c r="B296" s="53" t="s">
        <v>16</v>
      </c>
      <c r="C296" s="94">
        <v>0</v>
      </c>
      <c r="D296" s="103">
        <v>0</v>
      </c>
      <c r="E296" s="55">
        <f>D296/C292</f>
        <v>0</v>
      </c>
      <c r="F296" s="155"/>
    </row>
    <row r="297" spans="2:6" ht="15.75" thickBot="1" x14ac:dyDescent="0.3">
      <c r="B297" s="56"/>
      <c r="C297" s="131">
        <v>0</v>
      </c>
      <c r="D297" s="104">
        <v>0</v>
      </c>
      <c r="E297" s="74">
        <v>0</v>
      </c>
      <c r="F297" s="155"/>
    </row>
    <row r="298" spans="2:6" ht="16.5" thickTop="1" thickBot="1" x14ac:dyDescent="0.3">
      <c r="B298" s="111"/>
      <c r="C298" s="110" t="s">
        <v>912</v>
      </c>
      <c r="D298" s="96" t="s">
        <v>1464</v>
      </c>
      <c r="E298" s="102" t="s">
        <v>913</v>
      </c>
      <c r="F298" s="155"/>
    </row>
    <row r="299" spans="2:6" ht="16.5" thickTop="1" thickBot="1" x14ac:dyDescent="0.3">
      <c r="B299" s="98" t="s">
        <v>1062</v>
      </c>
      <c r="C299" s="99">
        <f>BONOMOcam</f>
        <v>301</v>
      </c>
      <c r="D299" s="115">
        <v>0</v>
      </c>
      <c r="E299" s="105">
        <f>D299/C299</f>
        <v>0</v>
      </c>
      <c r="F299" s="155"/>
    </row>
    <row r="300" spans="2:6" ht="15.75" thickBot="1" x14ac:dyDescent="0.3">
      <c r="B300" s="112" t="s">
        <v>1063</v>
      </c>
      <c r="C300" s="113">
        <f>COSEIDIcam</f>
        <v>268</v>
      </c>
      <c r="D300" s="113">
        <v>0</v>
      </c>
      <c r="E300" s="114">
        <f>D300/C300</f>
        <v>0</v>
      </c>
      <c r="F300" s="156"/>
    </row>
    <row r="301" spans="2:6" ht="16.5" thickTop="1" thickBot="1" x14ac:dyDescent="0.3"/>
    <row r="302" spans="2:6" ht="16.5" thickTop="1" thickBot="1" x14ac:dyDescent="0.3">
      <c r="C302" s="107" t="s">
        <v>912</v>
      </c>
      <c r="D302" s="108" t="s">
        <v>1464</v>
      </c>
      <c r="E302" s="109" t="s">
        <v>913</v>
      </c>
    </row>
    <row r="303" spans="2:6" ht="15.75" thickTop="1" x14ac:dyDescent="0.25">
      <c r="B303" s="52" t="s">
        <v>1242</v>
      </c>
      <c r="C303" s="100">
        <f>CANTIDAD_DE_CAMARAS</f>
        <v>570</v>
      </c>
      <c r="D303" s="101"/>
      <c r="E303" s="106"/>
      <c r="F303" s="154">
        <v>46019</v>
      </c>
    </row>
    <row r="304" spans="2:6" x14ac:dyDescent="0.25">
      <c r="B304" s="53" t="s">
        <v>6</v>
      </c>
      <c r="C304" s="66">
        <v>0</v>
      </c>
      <c r="D304" s="54"/>
      <c r="E304" s="55">
        <f>C304/C303</f>
        <v>0</v>
      </c>
      <c r="F304" s="155"/>
    </row>
    <row r="305" spans="2:6" x14ac:dyDescent="0.25">
      <c r="B305" s="53" t="s">
        <v>1243</v>
      </c>
      <c r="C305" s="67">
        <v>0</v>
      </c>
      <c r="D305" s="103">
        <v>0</v>
      </c>
      <c r="E305" s="55">
        <f>D305/C303</f>
        <v>0</v>
      </c>
      <c r="F305" s="155"/>
    </row>
    <row r="306" spans="2:6" x14ac:dyDescent="0.25">
      <c r="B306" s="53" t="s">
        <v>1244</v>
      </c>
      <c r="C306" s="67">
        <v>0</v>
      </c>
      <c r="D306" s="103">
        <v>0</v>
      </c>
      <c r="E306" s="55">
        <f>D306/C303</f>
        <v>0</v>
      </c>
      <c r="F306" s="155"/>
    </row>
    <row r="307" spans="2:6" x14ac:dyDescent="0.25">
      <c r="B307" s="53" t="s">
        <v>16</v>
      </c>
      <c r="C307" s="94">
        <v>0</v>
      </c>
      <c r="D307" s="103">
        <v>0</v>
      </c>
      <c r="E307" s="55">
        <f>D307/C303</f>
        <v>0</v>
      </c>
      <c r="F307" s="155"/>
    </row>
    <row r="308" spans="2:6" ht="15.75" thickBot="1" x14ac:dyDescent="0.3">
      <c r="B308" s="56"/>
      <c r="C308" s="131">
        <v>0</v>
      </c>
      <c r="D308" s="104">
        <v>0</v>
      </c>
      <c r="E308" s="74">
        <v>0</v>
      </c>
      <c r="F308" s="155"/>
    </row>
    <row r="309" spans="2:6" ht="16.5" thickTop="1" thickBot="1" x14ac:dyDescent="0.3">
      <c r="B309" s="111"/>
      <c r="C309" s="110" t="s">
        <v>912</v>
      </c>
      <c r="D309" s="96" t="s">
        <v>1464</v>
      </c>
      <c r="E309" s="102" t="s">
        <v>913</v>
      </c>
      <c r="F309" s="155"/>
    </row>
    <row r="310" spans="2:6" ht="16.5" thickTop="1" thickBot="1" x14ac:dyDescent="0.3">
      <c r="B310" s="98" t="s">
        <v>1062</v>
      </c>
      <c r="C310" s="99">
        <f>BONOMOcam</f>
        <v>301</v>
      </c>
      <c r="D310" s="115">
        <v>0</v>
      </c>
      <c r="E310" s="105">
        <v>0</v>
      </c>
      <c r="F310" s="155"/>
    </row>
    <row r="311" spans="2:6" ht="15.75" thickBot="1" x14ac:dyDescent="0.3">
      <c r="B311" s="112" t="s">
        <v>1063</v>
      </c>
      <c r="C311" s="113">
        <f>COSEIDIcam</f>
        <v>268</v>
      </c>
      <c r="D311" s="113">
        <v>0</v>
      </c>
      <c r="E311" s="114">
        <v>0</v>
      </c>
      <c r="F311" s="156"/>
    </row>
    <row r="312" spans="2:6" ht="16.5" thickTop="1" thickBot="1" x14ac:dyDescent="0.3"/>
    <row r="313" spans="2:6" ht="16.5" thickTop="1" thickBot="1" x14ac:dyDescent="0.3">
      <c r="C313" s="107" t="s">
        <v>912</v>
      </c>
      <c r="D313" s="108" t="s">
        <v>1464</v>
      </c>
      <c r="E313" s="109" t="s">
        <v>913</v>
      </c>
    </row>
    <row r="314" spans="2:6" ht="15.75" thickTop="1" x14ac:dyDescent="0.25">
      <c r="B314" s="52" t="s">
        <v>1242</v>
      </c>
      <c r="C314" s="100">
        <f>CANTIDAD_DE_CAMARAS</f>
        <v>570</v>
      </c>
      <c r="D314" s="101"/>
      <c r="E314" s="106"/>
      <c r="F314" s="154">
        <v>46020</v>
      </c>
    </row>
    <row r="315" spans="2:6" x14ac:dyDescent="0.25">
      <c r="B315" s="53" t="s">
        <v>6</v>
      </c>
      <c r="C315" s="66">
        <v>0</v>
      </c>
      <c r="D315" s="54"/>
      <c r="E315" s="55">
        <f>C315/C314</f>
        <v>0</v>
      </c>
      <c r="F315" s="155"/>
    </row>
    <row r="316" spans="2:6" x14ac:dyDescent="0.25">
      <c r="B316" s="53" t="s">
        <v>1243</v>
      </c>
      <c r="C316" s="67">
        <v>0</v>
      </c>
      <c r="D316" s="103">
        <v>0</v>
      </c>
      <c r="E316" s="55">
        <f>D316/C314</f>
        <v>0</v>
      </c>
      <c r="F316" s="155"/>
    </row>
    <row r="317" spans="2:6" x14ac:dyDescent="0.25">
      <c r="B317" s="53" t="s">
        <v>1244</v>
      </c>
      <c r="C317" s="67">
        <v>0</v>
      </c>
      <c r="D317" s="103">
        <v>0</v>
      </c>
      <c r="E317" s="55">
        <f>D317/C314</f>
        <v>0</v>
      </c>
      <c r="F317" s="155"/>
    </row>
    <row r="318" spans="2:6" x14ac:dyDescent="0.25">
      <c r="B318" s="53" t="s">
        <v>16</v>
      </c>
      <c r="C318" s="94">
        <v>0</v>
      </c>
      <c r="D318" s="103">
        <v>0</v>
      </c>
      <c r="E318" s="55">
        <f>D318/C314</f>
        <v>0</v>
      </c>
      <c r="F318" s="155"/>
    </row>
    <row r="319" spans="2:6" ht="15.75" thickBot="1" x14ac:dyDescent="0.3">
      <c r="B319" s="56"/>
      <c r="C319" s="131">
        <v>0</v>
      </c>
      <c r="D319" s="104">
        <v>0</v>
      </c>
      <c r="E319" s="74">
        <v>0</v>
      </c>
      <c r="F319" s="155"/>
    </row>
    <row r="320" spans="2:6" ht="16.5" thickTop="1" thickBot="1" x14ac:dyDescent="0.3">
      <c r="B320" s="111"/>
      <c r="C320" s="110" t="s">
        <v>912</v>
      </c>
      <c r="D320" s="96" t="s">
        <v>1464</v>
      </c>
      <c r="E320" s="102" t="s">
        <v>913</v>
      </c>
      <c r="F320" s="155"/>
    </row>
    <row r="321" spans="2:6" ht="16.5" thickTop="1" thickBot="1" x14ac:dyDescent="0.3">
      <c r="B321" s="98" t="s">
        <v>1062</v>
      </c>
      <c r="C321" s="99">
        <f>BONOMOcam</f>
        <v>301</v>
      </c>
      <c r="D321" s="115">
        <v>0</v>
      </c>
      <c r="E321" s="105">
        <v>0</v>
      </c>
      <c r="F321" s="155"/>
    </row>
    <row r="322" spans="2:6" ht="15.75" thickBot="1" x14ac:dyDescent="0.3">
      <c r="B322" s="112" t="s">
        <v>1063</v>
      </c>
      <c r="C322" s="113">
        <f>COSEIDIcam</f>
        <v>268</v>
      </c>
      <c r="D322" s="113">
        <v>0</v>
      </c>
      <c r="E322" s="114">
        <v>0</v>
      </c>
      <c r="F322" s="156"/>
    </row>
    <row r="323" spans="2:6" ht="16.5" thickTop="1" thickBot="1" x14ac:dyDescent="0.3"/>
    <row r="324" spans="2:6" ht="16.5" thickTop="1" thickBot="1" x14ac:dyDescent="0.3">
      <c r="C324" s="107" t="s">
        <v>912</v>
      </c>
      <c r="D324" s="108" t="s">
        <v>1464</v>
      </c>
      <c r="E324" s="109" t="s">
        <v>913</v>
      </c>
    </row>
    <row r="325" spans="2:6" ht="15.75" thickTop="1" x14ac:dyDescent="0.25">
      <c r="B325" s="52" t="s">
        <v>1242</v>
      </c>
      <c r="C325" s="100">
        <f>CANTIDAD_DE_CAMARAS</f>
        <v>570</v>
      </c>
      <c r="D325" s="101"/>
      <c r="E325" s="106"/>
      <c r="F325" s="154">
        <v>46021</v>
      </c>
    </row>
    <row r="326" spans="2:6" x14ac:dyDescent="0.25">
      <c r="B326" s="53" t="s">
        <v>6</v>
      </c>
      <c r="C326" s="66">
        <v>0</v>
      </c>
      <c r="D326" s="54"/>
      <c r="E326" s="55">
        <f>C326/C325</f>
        <v>0</v>
      </c>
      <c r="F326" s="155"/>
    </row>
    <row r="327" spans="2:6" x14ac:dyDescent="0.25">
      <c r="B327" s="53" t="s">
        <v>1243</v>
      </c>
      <c r="C327" s="67">
        <v>0</v>
      </c>
      <c r="D327" s="103">
        <v>0</v>
      </c>
      <c r="E327" s="55">
        <f>D327/C325</f>
        <v>0</v>
      </c>
      <c r="F327" s="155"/>
    </row>
    <row r="328" spans="2:6" x14ac:dyDescent="0.25">
      <c r="B328" s="53" t="s">
        <v>1244</v>
      </c>
      <c r="C328" s="67">
        <v>0</v>
      </c>
      <c r="D328" s="103">
        <v>0</v>
      </c>
      <c r="E328" s="55">
        <f>D328/C325</f>
        <v>0</v>
      </c>
      <c r="F328" s="155"/>
    </row>
    <row r="329" spans="2:6" x14ac:dyDescent="0.25">
      <c r="B329" s="53" t="s">
        <v>16</v>
      </c>
      <c r="C329" s="94">
        <v>0</v>
      </c>
      <c r="D329" s="103">
        <v>0</v>
      </c>
      <c r="E329" s="55">
        <f>D329/C325</f>
        <v>0</v>
      </c>
      <c r="F329" s="155"/>
    </row>
    <row r="330" spans="2:6" ht="15.75" thickBot="1" x14ac:dyDescent="0.3">
      <c r="B330" s="56"/>
      <c r="C330" s="131">
        <v>0</v>
      </c>
      <c r="D330" s="104">
        <v>0</v>
      </c>
      <c r="E330" s="74">
        <v>0</v>
      </c>
      <c r="F330" s="155"/>
    </row>
    <row r="331" spans="2:6" ht="16.5" thickTop="1" thickBot="1" x14ac:dyDescent="0.3">
      <c r="B331" s="111"/>
      <c r="C331" s="110" t="s">
        <v>912</v>
      </c>
      <c r="D331" s="96" t="s">
        <v>1464</v>
      </c>
      <c r="E331" s="102" t="s">
        <v>913</v>
      </c>
      <c r="F331" s="155"/>
    </row>
    <row r="332" spans="2:6" ht="16.5" thickTop="1" thickBot="1" x14ac:dyDescent="0.3">
      <c r="B332" s="98" t="s">
        <v>1062</v>
      </c>
      <c r="C332" s="99">
        <f>BONOMOcam</f>
        <v>301</v>
      </c>
      <c r="D332" s="115">
        <v>0</v>
      </c>
      <c r="E332" s="105">
        <v>0</v>
      </c>
      <c r="F332" s="155"/>
    </row>
    <row r="333" spans="2:6" ht="15.75" thickBot="1" x14ac:dyDescent="0.3">
      <c r="B333" s="112" t="s">
        <v>1063</v>
      </c>
      <c r="C333" s="113">
        <f>COSEIDIcam</f>
        <v>268</v>
      </c>
      <c r="D333" s="113">
        <v>0</v>
      </c>
      <c r="E333" s="114">
        <v>0</v>
      </c>
      <c r="F333" s="156"/>
    </row>
    <row r="334" spans="2:6" ht="15.75" thickTop="1" x14ac:dyDescent="0.25"/>
    <row r="335" spans="2:6" ht="15.75" thickBot="1" x14ac:dyDescent="0.3">
      <c r="C335"/>
      <c r="D335"/>
      <c r="E335"/>
    </row>
    <row r="336" spans="2:6" ht="16.5" thickTop="1" thickBot="1" x14ac:dyDescent="0.3">
      <c r="C336" s="107" t="s">
        <v>912</v>
      </c>
      <c r="D336" s="108" t="s">
        <v>1464</v>
      </c>
      <c r="E336" s="109" t="s">
        <v>913</v>
      </c>
    </row>
    <row r="337" spans="2:6" ht="15.75" thickTop="1" x14ac:dyDescent="0.25">
      <c r="B337" s="52" t="s">
        <v>1242</v>
      </c>
      <c r="C337" s="100">
        <f>CANTIDAD_DE_CAMARAS</f>
        <v>570</v>
      </c>
      <c r="D337" s="101"/>
      <c r="E337" s="106"/>
      <c r="F337" s="154">
        <v>46022</v>
      </c>
    </row>
    <row r="338" spans="2:6" x14ac:dyDescent="0.25">
      <c r="B338" s="53" t="s">
        <v>6</v>
      </c>
      <c r="C338" s="66">
        <v>0</v>
      </c>
      <c r="D338" s="54"/>
      <c r="E338" s="55">
        <f>C338/C337</f>
        <v>0</v>
      </c>
      <c r="F338" s="155"/>
    </row>
    <row r="339" spans="2:6" x14ac:dyDescent="0.25">
      <c r="B339" s="53" t="s">
        <v>1243</v>
      </c>
      <c r="C339" s="67">
        <v>0</v>
      </c>
      <c r="D339" s="103">
        <v>0</v>
      </c>
      <c r="E339" s="55">
        <f>D339/C337</f>
        <v>0</v>
      </c>
      <c r="F339" s="155"/>
    </row>
    <row r="340" spans="2:6" x14ac:dyDescent="0.25">
      <c r="B340" s="53" t="s">
        <v>1244</v>
      </c>
      <c r="C340" s="67">
        <v>0</v>
      </c>
      <c r="D340" s="103">
        <v>0</v>
      </c>
      <c r="E340" s="55">
        <f>D340/C337</f>
        <v>0</v>
      </c>
      <c r="F340" s="155"/>
    </row>
    <row r="341" spans="2:6" x14ac:dyDescent="0.25">
      <c r="B341" s="53" t="s">
        <v>16</v>
      </c>
      <c r="C341" s="94">
        <v>0</v>
      </c>
      <c r="D341" s="103">
        <v>0</v>
      </c>
      <c r="E341" s="55">
        <f>D341/C337</f>
        <v>0</v>
      </c>
      <c r="F341" s="155"/>
    </row>
    <row r="342" spans="2:6" ht="15.75" thickBot="1" x14ac:dyDescent="0.3">
      <c r="B342" s="56"/>
      <c r="C342" s="131">
        <v>0</v>
      </c>
      <c r="D342" s="104">
        <v>0</v>
      </c>
      <c r="E342" s="74">
        <v>0</v>
      </c>
      <c r="F342" s="155"/>
    </row>
    <row r="343" spans="2:6" ht="16.5" thickTop="1" thickBot="1" x14ac:dyDescent="0.3">
      <c r="B343" s="111"/>
      <c r="C343" s="110" t="s">
        <v>912</v>
      </c>
      <c r="D343" s="96" t="s">
        <v>1464</v>
      </c>
      <c r="E343" s="102" t="s">
        <v>913</v>
      </c>
      <c r="F343" s="155"/>
    </row>
    <row r="344" spans="2:6" ht="16.5" thickTop="1" thickBot="1" x14ac:dyDescent="0.3">
      <c r="B344" s="98" t="s">
        <v>1062</v>
      </c>
      <c r="C344" s="99">
        <f>BONOMOcam</f>
        <v>301</v>
      </c>
      <c r="D344" s="115">
        <v>0</v>
      </c>
      <c r="E344" s="105">
        <v>0</v>
      </c>
      <c r="F344" s="155"/>
    </row>
    <row r="345" spans="2:6" ht="15.75" thickBot="1" x14ac:dyDescent="0.3">
      <c r="B345" s="112" t="s">
        <v>1063</v>
      </c>
      <c r="C345" s="113">
        <f>COSEIDIcam</f>
        <v>268</v>
      </c>
      <c r="D345" s="113">
        <v>0</v>
      </c>
      <c r="E345" s="114">
        <v>0</v>
      </c>
      <c r="F345" s="156"/>
    </row>
    <row r="346" spans="2:6" ht="15.75" thickTop="1" x14ac:dyDescent="0.25"/>
  </sheetData>
  <sheetProtection selectLockedCells="1"/>
  <mergeCells count="31">
    <mergeCell ref="F337:F345"/>
    <mergeCell ref="F189:F197"/>
    <mergeCell ref="F200:F208"/>
    <mergeCell ref="F134:F142"/>
    <mergeCell ref="F145:F153"/>
    <mergeCell ref="F156:F164"/>
    <mergeCell ref="F167:F175"/>
    <mergeCell ref="F178:F186"/>
    <mergeCell ref="F314:F322"/>
    <mergeCell ref="F325:F333"/>
    <mergeCell ref="F211:F219"/>
    <mergeCell ref="F270:F278"/>
    <mergeCell ref="F281:F289"/>
    <mergeCell ref="F292:F300"/>
    <mergeCell ref="F303:F311"/>
    <mergeCell ref="F259:F267"/>
    <mergeCell ref="F247:F255"/>
    <mergeCell ref="F235:F243"/>
    <mergeCell ref="F223:F231"/>
    <mergeCell ref="F2:F10"/>
    <mergeCell ref="F101:F109"/>
    <mergeCell ref="F13:F21"/>
    <mergeCell ref="F24:F32"/>
    <mergeCell ref="F35:F43"/>
    <mergeCell ref="F46:F54"/>
    <mergeCell ref="F57:F65"/>
    <mergeCell ref="F112:F120"/>
    <mergeCell ref="F123:F131"/>
    <mergeCell ref="F68:F76"/>
    <mergeCell ref="F79:F87"/>
    <mergeCell ref="F90:F98"/>
  </mergeCells>
  <pageMargins left="0.7" right="0.7" top="0.75" bottom="0.75" header="0.3" footer="0.3"/>
  <pageSetup paperSize="9" orientation="portrait" horizontalDpi="360" verticalDpi="36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764665-4685-49DB-A4C6-35A3DDF9031B}">
  <dimension ref="A1:XFB665"/>
  <sheetViews>
    <sheetView workbookViewId="0">
      <pane xSplit="5" ySplit="4" topLeftCell="AD610" activePane="bottomRight" state="frozen"/>
      <selection pane="topRight" activeCell="F1" sqref="F1"/>
      <selection pane="bottomLeft" activeCell="A5" sqref="A5"/>
      <selection pane="bottomRight" activeCell="AK597" sqref="AK597"/>
    </sheetView>
  </sheetViews>
  <sheetFormatPr baseColWidth="10" defaultRowHeight="15" x14ac:dyDescent="0.25"/>
  <cols>
    <col min="3" max="3" width="28.28515625" customWidth="1"/>
    <col min="5" max="5" width="30.7109375" bestFit="1" customWidth="1"/>
    <col min="6" max="6" width="13.140625" bestFit="1" customWidth="1"/>
    <col min="19" max="19" width="13.140625" bestFit="1" customWidth="1"/>
    <col min="35" max="36" width="11.85546875" customWidth="1"/>
  </cols>
  <sheetData>
    <row r="1" spans="1:36 16382:16382" ht="18.75" x14ac:dyDescent="0.3">
      <c r="C1" s="28" t="s">
        <v>1303</v>
      </c>
      <c r="D1" s="29">
        <f>COUNTIFS(A5:A602,"=paradas seguras")/2</f>
        <v>0</v>
      </c>
      <c r="E1" s="77" t="s">
        <v>1304</v>
      </c>
      <c r="F1" s="77"/>
      <c r="G1" s="77"/>
      <c r="H1" s="78">
        <f>COUNTIFS(A5:A602,"=paradas seguras")</f>
        <v>0</v>
      </c>
      <c r="I1" s="79" t="s">
        <v>1305</v>
      </c>
      <c r="J1" s="79"/>
      <c r="K1" s="80">
        <f>COUNTIFS(D5:D602,"=GFIJA")</f>
        <v>0</v>
      </c>
      <c r="L1" s="81" t="s">
        <v>1306</v>
      </c>
      <c r="M1" s="81"/>
      <c r="N1" s="81"/>
      <c r="O1" s="82">
        <f>COUNTIFS(D5:D602,"=INTERCOMUNICADOR")</f>
        <v>0</v>
      </c>
    </row>
    <row r="2" spans="1:36 16382:16382" ht="21" x14ac:dyDescent="0.35">
      <c r="E2" s="16" t="s">
        <v>1308</v>
      </c>
      <c r="F2" s="16">
        <f>COUNTIFS(F4:F601, "=APAGADO",D4:D601,"=GFIJA")</f>
        <v>0</v>
      </c>
      <c r="G2" s="16">
        <f>COUNTIFS(G4:G601, "=APAGADO",D4:D601,"=GFIJA")</f>
        <v>0</v>
      </c>
      <c r="H2" s="16">
        <f>COUNTIFS(H4:H601, "=APAGADO",D4:D601,"=GFIJA")</f>
        <v>0</v>
      </c>
      <c r="I2" s="16">
        <f>COUNTIFS(I4:I601, "=APAGADO",D4:D601,"=GFIJA")</f>
        <v>0</v>
      </c>
      <c r="J2" s="16">
        <f>COUNTIFS(J4:J601, "=APAGADO",D4:D601,"=GFIJA")</f>
        <v>0</v>
      </c>
      <c r="K2" s="16">
        <f>COUNTIFS(K4:K601, "=APAGADO",D4:D601,"=GFIJA")</f>
        <v>0</v>
      </c>
      <c r="L2" s="16">
        <f>COUNTIFS(L4:L601, "=APAGADO",D4:D601,"=GFIJA")</f>
        <v>0</v>
      </c>
      <c r="M2" s="16">
        <f>COUNTIFS(M4:M601, "=APAGADO",D4:D601,"=GFIJA")</f>
        <v>0</v>
      </c>
      <c r="N2" s="16">
        <f>COUNTIFS(N4:N601, "=APAGADO",D4:D601,"=GFIJA")</f>
        <v>0</v>
      </c>
      <c r="O2" s="16">
        <f>COUNTIFS(O4:O601, "=APAGADO",D4:D601,"=GFIJA")</f>
        <v>0</v>
      </c>
      <c r="P2" s="16">
        <f>COUNTIFS(P4:P601, "=APAGADO",D4:D601,"=GFIJA")</f>
        <v>0</v>
      </c>
      <c r="Q2" s="16">
        <f>COUNTIFS(Q4:Q601, "=APAGADO",D4:D601,"=GFIJA")</f>
        <v>0</v>
      </c>
      <c r="R2" s="16">
        <f>COUNTIFS(R4:R601, "=APAGADO",D4:D601,"=GFIJA")</f>
        <v>0</v>
      </c>
      <c r="S2" s="16">
        <f>COUNTIFS(S4:S601, "=APAGADO",D4:D601,"=GFIJA")</f>
        <v>0</v>
      </c>
      <c r="T2" s="16">
        <f>COUNTIFS(T4:T601, "=APAGADO",D4:D601,"=GFIJA")</f>
        <v>0</v>
      </c>
      <c r="U2" s="16">
        <f>COUNTIFS(U4:U601, "=APAGADO",D4:D601,"=GFIJA")</f>
        <v>0</v>
      </c>
      <c r="V2" s="16">
        <f>COUNTIFS(V4:V601, "=APAGADO",D4:D601,"=GFIJA")</f>
        <v>0</v>
      </c>
      <c r="W2" s="16">
        <f>COUNTIFS(W4:W601, "=APAGADO",D4:D601,"=GFIJA")</f>
        <v>0</v>
      </c>
      <c r="X2" s="16">
        <f>COUNTIFS(X4:X601, "=APAGADO",D4:D601,"=GFIJA")</f>
        <v>0</v>
      </c>
      <c r="Y2" s="16">
        <f>COUNTIFS(Y4:Y601, "=APAGADO",D4:D601,"=GFIJA")</f>
        <v>0</v>
      </c>
      <c r="Z2" s="16">
        <f>COUNTIFS(Z4:Z601, "=APAGADO",D4:D601,"=GFIJA")</f>
        <v>0</v>
      </c>
      <c r="AA2" s="16">
        <f>COUNTIFS(AA4:AA601, "=APAGADO",D4:D601,"=GFIJA")</f>
        <v>0</v>
      </c>
      <c r="AB2" s="16">
        <f>COUNTIFS(AB4:AB601, "=APAGADO",D4:D601,"=GFIJA")</f>
        <v>0</v>
      </c>
      <c r="AC2" s="16">
        <f>COUNTIFS(AC4:AC601, "=APAGADO",D4:D601,"=GFIJA")</f>
        <v>0</v>
      </c>
      <c r="AD2" s="16">
        <f>COUNTIFS(AD4:AD601, "=APAGADO",D4:D601,"=GFIJA")</f>
        <v>0</v>
      </c>
      <c r="AE2" s="16">
        <f>COUNTIFS(AE4:AE601, "=APAGADO",D4:D601,"=GFIJA")</f>
        <v>0</v>
      </c>
      <c r="AF2" s="16">
        <f>COUNTIFS(AF4:AF601, "=APAGADO",D4:D601,"=GFIJA")</f>
        <v>0</v>
      </c>
      <c r="AG2" s="16">
        <f>COUNTIFS(AG4:AG601, "=APAGADO",D4:D601,"=GFIJA")</f>
        <v>0</v>
      </c>
      <c r="AH2" s="16">
        <f>COUNTIFS(AH4:AH601, "=APAGADO",D4:D601,"=GFIJA")</f>
        <v>0</v>
      </c>
      <c r="AI2" s="16">
        <f>COUNTIFS(AI4:AI601, "=APAGADO",D4:D601,"=GFIJA")</f>
        <v>0</v>
      </c>
      <c r="AJ2" s="16">
        <f>COUNTIFS(AJ4:AJ601, "=APAGADO",E4:E601,"=GFIJA")</f>
        <v>0</v>
      </c>
    </row>
    <row r="3" spans="1:36 16382:16382" ht="21.75" thickBot="1" x14ac:dyDescent="0.4">
      <c r="E3" s="16" t="s">
        <v>1300</v>
      </c>
      <c r="F3" s="16">
        <f>COUNTIFS(F6:F603, "=APAGADO",D4:D601,"=INTERCOMUNICADOR")</f>
        <v>0</v>
      </c>
      <c r="G3" s="16">
        <f>COUNTIFS(G6:G603, "=APAGADO",D4:D601,"=INTERCOMUNICADOR")</f>
        <v>0</v>
      </c>
      <c r="H3" s="16">
        <f>COUNTIFS(H6:H603, "=APAGADO",D4:D601,"=INTERCOMUNICADOR")</f>
        <v>0</v>
      </c>
      <c r="I3" s="16">
        <f>COUNTIFS(I6:I603, "=APAGADO",D4:D601,"=INTERCOMUNICADOR")</f>
        <v>0</v>
      </c>
      <c r="J3" s="16">
        <f>COUNTIFS(J6:J603, "=APAGADO",D4:D601,"=INTERCOMUNICADOR")</f>
        <v>0</v>
      </c>
      <c r="K3" s="16">
        <f>COUNTIFS(K6:K603, "=APAGADO",D4:D601,"=INTERCOMUNICADOR")</f>
        <v>0</v>
      </c>
      <c r="L3" s="16">
        <f>COUNTIFS(L6:L603, "=APAGADO",D4:D601,"=INTERCOMUNICADOR")</f>
        <v>0</v>
      </c>
      <c r="M3" s="16">
        <f>COUNTIFS(M6:M603, "=APAGADO",D4:D601,"=INTERCOMUNICADOR")</f>
        <v>0</v>
      </c>
      <c r="N3" s="16">
        <f>COUNTIFS(N6:N603, "=APAGADO",D4:D601,"=INTERCOMUNICADOR")</f>
        <v>0</v>
      </c>
      <c r="O3" s="16">
        <f>COUNTIFS(O6:O603, "=APAGADO",D4:D601,"=INTERCOMUNICADOR")</f>
        <v>0</v>
      </c>
      <c r="P3" s="16">
        <f>COUNTIFS(P6:P603, "=APAGADO",D4:D601,"=INTERCOMUNICADOR")</f>
        <v>0</v>
      </c>
      <c r="Q3" s="16">
        <f>COUNTIFS(Q6:Q603, "=APAGADO",D4:D601,"=INTERCOMUNICADOR")</f>
        <v>0</v>
      </c>
      <c r="R3" s="16">
        <f>COUNTIFS(R6:R603, "=APAGADO",D4:D601,"=INTERCOMUNICADOR")</f>
        <v>0</v>
      </c>
      <c r="S3" s="16">
        <f>COUNTIFS(S6:S603, "=APAGADO",D4:D601,"=INTERCOMUNICADOR")</f>
        <v>0</v>
      </c>
      <c r="T3" s="16">
        <f>COUNTIFS(T6:T603, "=APAGADO",D4:D601,"=INTERCOMUNICADOR")</f>
        <v>0</v>
      </c>
      <c r="U3" s="16">
        <f>COUNTIFS(U6:U603, "=APAGADO",D4:D601,"=INTERCOMUNICADOR")</f>
        <v>0</v>
      </c>
      <c r="V3" s="16">
        <f>COUNTIFS(V6:V603, "=APAGADO",D4:D601,"=INTERCOMUNICADOR")</f>
        <v>0</v>
      </c>
      <c r="W3" s="16">
        <f>COUNTIFS(W6:W603, "=APAGADO",D4:D601,"=INTERCOMUNICADOR")</f>
        <v>0</v>
      </c>
      <c r="X3" s="16">
        <f>COUNTIFS(X6:X603, "=APAGADO",D4:D601,"=INTERCOMUNICADOR")</f>
        <v>0</v>
      </c>
      <c r="Y3" s="16">
        <f>COUNTIFS(Y6:Y603, "=APAGADO",D4:D601,"=INTERCOMUNICADOR")</f>
        <v>0</v>
      </c>
      <c r="Z3" s="16">
        <f>COUNTIFS(Z6:Z603, "=APAGADO",D4:D601,"=INTERCOMUNICADOR")</f>
        <v>0</v>
      </c>
      <c r="AA3" s="16">
        <f>COUNTIFS(AA6:AA603, "=APAGADO",D4:D601,"=INTERCOMUNICADOR")</f>
        <v>0</v>
      </c>
      <c r="AB3" s="16">
        <f>COUNTIFS(AB6:AB603, "=APAGADO",D4:D601,"=INTERCOMUNICADOR")</f>
        <v>0</v>
      </c>
      <c r="AC3" s="16">
        <f>COUNTIFS(AC6:AC603, "=APAGADO",D4:D601,"=INTERCOMUNICADOR")</f>
        <v>0</v>
      </c>
      <c r="AD3" s="16">
        <f>COUNTIFS(AD6:AD603, "=APAGADO",D4:D601,"=INTERCOMUNICADOR")</f>
        <v>0</v>
      </c>
      <c r="AE3" s="16">
        <f>COUNTIFS(AE6:AE603, "=APAGADO",D4:D601,"=INTERCOMUNICADOR")</f>
        <v>0</v>
      </c>
      <c r="AF3" s="16">
        <f>COUNTIFS(AF6:AF603, "=APAGADO",D4:D601,"=INTERCOMUNICADOR")</f>
        <v>0</v>
      </c>
      <c r="AG3" s="16">
        <f>COUNTIFS(AG6:AG603, "=APAGADO",D4:D601,"=INTERCOMUNICADOR")</f>
        <v>0</v>
      </c>
      <c r="AH3" s="16">
        <f>COUNTIFS(AH6:AH603, "=APAGADO",D4:D601,"=INTERCOMUNICADOR")</f>
        <v>0</v>
      </c>
      <c r="AI3" s="16">
        <f>COUNTIFS(AI6:AI603, "=APAGADO",D4:D601,"=INTERCOMUNICADOR")</f>
        <v>0</v>
      </c>
      <c r="AJ3" s="16">
        <f>COUNTIFS(AJ6:AJ603, "=APAGADO",E4:E601,"=INTERCOMUNICADOR")</f>
        <v>0</v>
      </c>
    </row>
    <row r="4" spans="1:36 16382:16382" ht="20.25" thickTop="1" thickBot="1" x14ac:dyDescent="0.35">
      <c r="A4" t="str">
        <f>'RESUMEN TOTAL'!A7</f>
        <v>Barrio</v>
      </c>
      <c r="B4" s="30" t="str">
        <f>'RESUMEN TOTAL'!B7</f>
        <v>[Denominacion]</v>
      </c>
      <c r="C4" t="str">
        <f>'RESUMEN TOTAL'!D7</f>
        <v>[Ubicacion]</v>
      </c>
      <c r="D4" s="30" t="str">
        <f>'RESUMEN TOTAL'!E7</f>
        <v>[Tipo de Camara]</v>
      </c>
      <c r="E4" s="30" t="str">
        <f>'RESUMEN TOTAL'!F7</f>
        <v>[Tipo de Conexion]</v>
      </c>
      <c r="F4" s="11">
        <f>'RESUMEN TOTAL'!M7</f>
        <v>45992</v>
      </c>
      <c r="G4" s="11">
        <f>'RESUMEN TOTAL'!N7</f>
        <v>45993</v>
      </c>
      <c r="H4" s="11">
        <f>'RESUMEN TOTAL'!O7</f>
        <v>45994</v>
      </c>
      <c r="I4" s="11">
        <f>'RESUMEN TOTAL'!P7</f>
        <v>45995</v>
      </c>
      <c r="J4" s="11">
        <f>'RESUMEN TOTAL'!Q7</f>
        <v>45996</v>
      </c>
      <c r="K4" s="11">
        <f>'RESUMEN TOTAL'!R7</f>
        <v>45997</v>
      </c>
      <c r="L4" s="11">
        <f>'RESUMEN TOTAL'!S7</f>
        <v>45998</v>
      </c>
      <c r="M4" s="11">
        <f>'RESUMEN TOTAL'!T7</f>
        <v>45999</v>
      </c>
      <c r="N4" s="11">
        <f>'RESUMEN TOTAL'!U7</f>
        <v>46000</v>
      </c>
      <c r="O4" s="11">
        <f>'RESUMEN TOTAL'!V7</f>
        <v>46001</v>
      </c>
      <c r="P4" s="11">
        <f>'RESUMEN TOTAL'!W7</f>
        <v>46002</v>
      </c>
      <c r="Q4" s="11">
        <f>'RESUMEN TOTAL'!X7</f>
        <v>46003</v>
      </c>
      <c r="R4" s="11">
        <f>'RESUMEN TOTAL'!Y7</f>
        <v>46004</v>
      </c>
      <c r="S4" s="11">
        <f>'RESUMEN TOTAL'!Z7</f>
        <v>46005</v>
      </c>
      <c r="T4" s="11">
        <f>'RESUMEN TOTAL'!AA7</f>
        <v>46006</v>
      </c>
      <c r="U4" s="11">
        <f>'RESUMEN TOTAL'!AB7</f>
        <v>46007</v>
      </c>
      <c r="V4" s="11">
        <f>'RESUMEN TOTAL'!AC7</f>
        <v>46008</v>
      </c>
      <c r="W4" s="11">
        <f>'RESUMEN TOTAL'!AD7</f>
        <v>46009</v>
      </c>
      <c r="X4" s="11">
        <f>'RESUMEN TOTAL'!AE7</f>
        <v>46010</v>
      </c>
      <c r="Y4" s="11">
        <f>'RESUMEN TOTAL'!AF7</f>
        <v>46011</v>
      </c>
      <c r="Z4" s="11">
        <f>'RESUMEN TOTAL'!AG7</f>
        <v>46012</v>
      </c>
      <c r="AA4" s="11">
        <f>'RESUMEN TOTAL'!AH7</f>
        <v>46013</v>
      </c>
      <c r="AB4" s="11">
        <f>'RESUMEN TOTAL'!AI7</f>
        <v>46014</v>
      </c>
      <c r="AC4" s="11">
        <f>'RESUMEN TOTAL'!AJ7</f>
        <v>46015</v>
      </c>
      <c r="AD4" s="11">
        <f>'RESUMEN TOTAL'!AK7</f>
        <v>46016</v>
      </c>
      <c r="AE4" s="11">
        <f>'RESUMEN TOTAL'!AL7</f>
        <v>46017</v>
      </c>
      <c r="AF4" s="11">
        <f>'RESUMEN TOTAL'!AM7</f>
        <v>46018</v>
      </c>
      <c r="AG4" s="11">
        <f>'RESUMEN TOTAL'!AN7</f>
        <v>46019</v>
      </c>
      <c r="AH4" s="11">
        <f>'RESUMEN TOTAL'!AO7</f>
        <v>46020</v>
      </c>
      <c r="AI4" s="11">
        <f>'RESUMEN TOTAL'!AP7</f>
        <v>46021</v>
      </c>
      <c r="AJ4" s="11">
        <f>'RESUMEN TOTAL'!AQ7</f>
        <v>46022</v>
      </c>
      <c r="XFB4" s="15">
        <f>SUM(F4:XFA4)</f>
        <v>1426217</v>
      </c>
    </row>
    <row r="5" spans="1:36 16382:16382" ht="15.75" thickTop="1" x14ac:dyDescent="0.25">
      <c r="A5" t="str">
        <f>'RESUMEN TOTAL'!A8</f>
        <v>ALTAMIRA</v>
      </c>
      <c r="B5" t="str">
        <f>'RESUMEN TOTAL'!B8</f>
        <v>ALT01</v>
      </c>
      <c r="C5" t="str">
        <f>'RESUMEN TOTAL'!D8</f>
        <v>Calchaqui y Sgto. Cabral</v>
      </c>
      <c r="D5" s="30" t="str">
        <f>'RESUMEN TOTAL'!E8</f>
        <v>Domo</v>
      </c>
      <c r="E5" s="30" t="str">
        <f>'RESUMEN TOTAL'!F8</f>
        <v>Fibra Optica</v>
      </c>
      <c r="F5" s="70" t="str">
        <f>'RESUMEN TOTAL'!M8</f>
        <v>APAGADO</v>
      </c>
      <c r="G5" s="70" t="str">
        <f>'RESUMEN TOTAL'!N8</f>
        <v>APAGADO</v>
      </c>
      <c r="H5" s="70" t="str">
        <f>'RESUMEN TOTAL'!O8</f>
        <v>APAGADO</v>
      </c>
      <c r="I5" s="70" t="str">
        <f>'RESUMEN TOTAL'!P8</f>
        <v>APAGADO</v>
      </c>
      <c r="J5" s="70" t="str">
        <f>'RESUMEN TOTAL'!Q8</f>
        <v>APAGADO</v>
      </c>
      <c r="K5" s="70">
        <f>'RESUMEN TOTAL'!R8</f>
        <v>0</v>
      </c>
      <c r="L5" s="70">
        <f>'RESUMEN TOTAL'!S8</f>
        <v>0</v>
      </c>
      <c r="M5" s="70">
        <f>'RESUMEN TOTAL'!T8</f>
        <v>0</v>
      </c>
      <c r="N5" s="70">
        <f>'RESUMEN TOTAL'!U8</f>
        <v>0</v>
      </c>
      <c r="O5" s="70">
        <f>'RESUMEN TOTAL'!V8</f>
        <v>0</v>
      </c>
      <c r="P5" s="70">
        <f>'RESUMEN TOTAL'!W8</f>
        <v>0</v>
      </c>
      <c r="Q5" s="70">
        <f>'RESUMEN TOTAL'!X8</f>
        <v>0</v>
      </c>
      <c r="R5" s="70">
        <f>'RESUMEN TOTAL'!Y8</f>
        <v>0</v>
      </c>
      <c r="S5" s="70">
        <f>'RESUMEN TOTAL'!Z8</f>
        <v>0</v>
      </c>
      <c r="T5" s="70">
        <f>'RESUMEN TOTAL'!AA8</f>
        <v>0</v>
      </c>
      <c r="U5" s="70">
        <f>'RESUMEN TOTAL'!AB8</f>
        <v>0</v>
      </c>
      <c r="V5" s="70">
        <f>'RESUMEN TOTAL'!AC8</f>
        <v>0</v>
      </c>
      <c r="W5" s="70">
        <f>'RESUMEN TOTAL'!AD8</f>
        <v>0</v>
      </c>
      <c r="X5" s="70">
        <f>'RESUMEN TOTAL'!AE8</f>
        <v>0</v>
      </c>
      <c r="Y5" s="70">
        <f>'RESUMEN TOTAL'!AF8</f>
        <v>0</v>
      </c>
      <c r="Z5" s="70">
        <f>'RESUMEN TOTAL'!AG8</f>
        <v>0</v>
      </c>
      <c r="AA5" s="70">
        <f>'RESUMEN TOTAL'!AH8</f>
        <v>0</v>
      </c>
      <c r="AB5" s="70">
        <f>'RESUMEN TOTAL'!AI8</f>
        <v>0</v>
      </c>
      <c r="AC5" s="70">
        <f>'RESUMEN TOTAL'!AJ8</f>
        <v>0</v>
      </c>
      <c r="AD5" s="70">
        <f>'RESUMEN TOTAL'!AK8</f>
        <v>0</v>
      </c>
      <c r="AE5" s="70">
        <f>'RESUMEN TOTAL'!AL8</f>
        <v>0</v>
      </c>
      <c r="AF5" s="70">
        <f>'RESUMEN TOTAL'!AM8</f>
        <v>0</v>
      </c>
      <c r="AG5" s="70">
        <f>'RESUMEN TOTAL'!AN8</f>
        <v>0</v>
      </c>
      <c r="AH5" s="70">
        <f>'RESUMEN TOTAL'!AO8</f>
        <v>0</v>
      </c>
      <c r="AI5" s="70">
        <f>'RESUMEN TOTAL'!AP8</f>
        <v>0</v>
      </c>
      <c r="AJ5" s="70">
        <f>'RESUMEN TOTAL'!AQ8</f>
        <v>0</v>
      </c>
    </row>
    <row r="6" spans="1:36 16382:16382" x14ac:dyDescent="0.25">
      <c r="A6" t="str">
        <f>'RESUMEN TOTAL'!A9</f>
        <v>ALTAMIRA</v>
      </c>
      <c r="B6" t="str">
        <f>'RESUMEN TOTAL'!B9</f>
        <v>ALT02</v>
      </c>
      <c r="C6" t="str">
        <f>'RESUMEN TOTAL'!D9</f>
        <v>Calchaqui y Lope de Vega</v>
      </c>
      <c r="D6" s="30" t="str">
        <f>'RESUMEN TOTAL'!E9</f>
        <v>Domo</v>
      </c>
      <c r="E6" s="30" t="str">
        <f>'RESUMEN TOTAL'!F9</f>
        <v>PTO A FO</v>
      </c>
      <c r="F6" s="70" t="str">
        <f>'RESUMEN TOTAL'!M9</f>
        <v>APAGADO</v>
      </c>
      <c r="G6" s="70" t="str">
        <f>'RESUMEN TOTAL'!N9</f>
        <v>APAGADO</v>
      </c>
      <c r="H6" s="70" t="str">
        <f>'RESUMEN TOTAL'!O9</f>
        <v>APAGADO</v>
      </c>
      <c r="I6" s="70" t="str">
        <f>'RESUMEN TOTAL'!P9</f>
        <v>APAGADO</v>
      </c>
      <c r="J6" s="70" t="str">
        <f>'RESUMEN TOTAL'!Q9</f>
        <v>APAGADO</v>
      </c>
      <c r="K6" s="70">
        <f>'RESUMEN TOTAL'!R9</f>
        <v>0</v>
      </c>
      <c r="L6" s="70">
        <f>'RESUMEN TOTAL'!S9</f>
        <v>0</v>
      </c>
      <c r="M6" s="70">
        <f>'RESUMEN TOTAL'!T9</f>
        <v>0</v>
      </c>
      <c r="N6" s="70">
        <f>'RESUMEN TOTAL'!U9</f>
        <v>0</v>
      </c>
      <c r="O6" s="70">
        <f>'RESUMEN TOTAL'!V9</f>
        <v>0</v>
      </c>
      <c r="P6" s="70">
        <f>'RESUMEN TOTAL'!W9</f>
        <v>0</v>
      </c>
      <c r="Q6" s="70">
        <f>'RESUMEN TOTAL'!X9</f>
        <v>0</v>
      </c>
      <c r="R6" s="70">
        <f>'RESUMEN TOTAL'!Y9</f>
        <v>0</v>
      </c>
      <c r="S6" s="70">
        <f>'RESUMEN TOTAL'!Z9</f>
        <v>0</v>
      </c>
      <c r="T6" s="70">
        <f>'RESUMEN TOTAL'!AA9</f>
        <v>0</v>
      </c>
      <c r="U6" s="70">
        <f>'RESUMEN TOTAL'!AB9</f>
        <v>0</v>
      </c>
      <c r="V6" s="70">
        <f>'RESUMEN TOTAL'!AC9</f>
        <v>0</v>
      </c>
      <c r="W6" s="70">
        <f>'RESUMEN TOTAL'!AD9</f>
        <v>0</v>
      </c>
      <c r="X6" s="70">
        <f>'RESUMEN TOTAL'!AE9</f>
        <v>0</v>
      </c>
      <c r="Y6" s="70">
        <f>'RESUMEN TOTAL'!AF9</f>
        <v>0</v>
      </c>
      <c r="Z6" s="70">
        <f>'RESUMEN TOTAL'!AG9</f>
        <v>0</v>
      </c>
      <c r="AA6" s="70">
        <f>'RESUMEN TOTAL'!AH9</f>
        <v>0</v>
      </c>
      <c r="AB6" s="70">
        <f>'RESUMEN TOTAL'!AI9</f>
        <v>0</v>
      </c>
      <c r="AC6" s="70">
        <f>'RESUMEN TOTAL'!AJ9</f>
        <v>0</v>
      </c>
      <c r="AD6" s="70">
        <f>'RESUMEN TOTAL'!AK9</f>
        <v>0</v>
      </c>
      <c r="AE6" s="70">
        <f>'RESUMEN TOTAL'!AL9</f>
        <v>0</v>
      </c>
      <c r="AF6" s="70">
        <f>'RESUMEN TOTAL'!AM9</f>
        <v>0</v>
      </c>
      <c r="AG6" s="70">
        <f>'RESUMEN TOTAL'!AN9</f>
        <v>0</v>
      </c>
      <c r="AH6" s="70">
        <f>'RESUMEN TOTAL'!AO9</f>
        <v>0</v>
      </c>
      <c r="AI6" s="70">
        <f>'RESUMEN TOTAL'!AP9</f>
        <v>0</v>
      </c>
      <c r="AJ6" s="70">
        <f>'RESUMEN TOTAL'!AQ9</f>
        <v>0</v>
      </c>
    </row>
    <row r="7" spans="1:36 16382:16382" x14ac:dyDescent="0.25">
      <c r="A7" t="str">
        <f>'RESUMEN TOTAL'!A10</f>
        <v>ALTAMIRA</v>
      </c>
      <c r="B7" t="str">
        <f>'RESUMEN TOTAL'!B10</f>
        <v>ALT 03</v>
      </c>
      <c r="C7" t="str">
        <f>'RESUMEN TOTAL'!D10</f>
        <v>Bombero Galarza y Necochea</v>
      </c>
      <c r="D7" s="30" t="str">
        <f>'RESUMEN TOTAL'!E10</f>
        <v>Domo</v>
      </c>
      <c r="E7" s="30" t="str">
        <f>'RESUMEN TOTAL'!F10</f>
        <v>GPON</v>
      </c>
      <c r="F7" s="70">
        <f>'RESUMEN TOTAL'!M10</f>
        <v>0</v>
      </c>
      <c r="G7" s="70">
        <f>'RESUMEN TOTAL'!N10</f>
        <v>0</v>
      </c>
      <c r="H7" s="70">
        <f>'RESUMEN TOTAL'!O10</f>
        <v>0</v>
      </c>
      <c r="I7" s="70">
        <f>'RESUMEN TOTAL'!P10</f>
        <v>0</v>
      </c>
      <c r="J7" s="70">
        <f>'RESUMEN TOTAL'!Q10</f>
        <v>0</v>
      </c>
      <c r="K7" s="70">
        <f>'RESUMEN TOTAL'!R10</f>
        <v>0</v>
      </c>
      <c r="L7" s="70">
        <f>'RESUMEN TOTAL'!S10</f>
        <v>0</v>
      </c>
      <c r="M7" s="70">
        <f>'RESUMEN TOTAL'!T10</f>
        <v>0</v>
      </c>
      <c r="N7" s="70">
        <f>'RESUMEN TOTAL'!U10</f>
        <v>0</v>
      </c>
      <c r="O7" s="70">
        <f>'RESUMEN TOTAL'!V10</f>
        <v>0</v>
      </c>
      <c r="P7" s="70">
        <f>'RESUMEN TOTAL'!W10</f>
        <v>0</v>
      </c>
      <c r="Q7" s="70">
        <f>'RESUMEN TOTAL'!X10</f>
        <v>0</v>
      </c>
      <c r="R7" s="70">
        <f>'RESUMEN TOTAL'!Y10</f>
        <v>0</v>
      </c>
      <c r="S7" s="70">
        <f>'RESUMEN TOTAL'!Z10</f>
        <v>0</v>
      </c>
      <c r="T7" s="70">
        <f>'RESUMEN TOTAL'!AA10</f>
        <v>0</v>
      </c>
      <c r="U7" s="70">
        <f>'RESUMEN TOTAL'!AB10</f>
        <v>0</v>
      </c>
      <c r="V7" s="70">
        <f>'RESUMEN TOTAL'!AC10</f>
        <v>0</v>
      </c>
      <c r="W7" s="70">
        <f>'RESUMEN TOTAL'!AD10</f>
        <v>0</v>
      </c>
      <c r="X7" s="70">
        <f>'RESUMEN TOTAL'!AE10</f>
        <v>0</v>
      </c>
      <c r="Y7" s="70">
        <f>'RESUMEN TOTAL'!AF10</f>
        <v>0</v>
      </c>
      <c r="Z7" s="70">
        <f>'RESUMEN TOTAL'!AG10</f>
        <v>0</v>
      </c>
      <c r="AA7" s="70">
        <f>'RESUMEN TOTAL'!AH10</f>
        <v>0</v>
      </c>
      <c r="AB7" s="70">
        <f>'RESUMEN TOTAL'!AI10</f>
        <v>0</v>
      </c>
      <c r="AC7" s="70">
        <f>'RESUMEN TOTAL'!AJ10</f>
        <v>0</v>
      </c>
      <c r="AD7" s="70">
        <f>'RESUMEN TOTAL'!AK10</f>
        <v>0</v>
      </c>
      <c r="AE7" s="70">
        <f>'RESUMEN TOTAL'!AL10</f>
        <v>0</v>
      </c>
      <c r="AF7" s="70">
        <f>'RESUMEN TOTAL'!AM10</f>
        <v>0</v>
      </c>
      <c r="AG7" s="70">
        <f>'RESUMEN TOTAL'!AN10</f>
        <v>0</v>
      </c>
      <c r="AH7" s="70">
        <f>'RESUMEN TOTAL'!AO10</f>
        <v>0</v>
      </c>
      <c r="AI7" s="70">
        <f>'RESUMEN TOTAL'!AP10</f>
        <v>0</v>
      </c>
      <c r="AJ7" s="70">
        <f>'RESUMEN TOTAL'!AQ10</f>
        <v>0</v>
      </c>
    </row>
    <row r="8" spans="1:36 16382:16382" x14ac:dyDescent="0.25">
      <c r="A8" t="str">
        <f>'RESUMEN TOTAL'!A11</f>
        <v>ALTAMIRA</v>
      </c>
      <c r="B8" t="str">
        <f>'RESUMEN TOTAL'!B11</f>
        <v>ALT 04</v>
      </c>
      <c r="C8" t="str">
        <f>'RESUMEN TOTAL'!D11</f>
        <v>Francia y Necochea</v>
      </c>
      <c r="D8" s="30" t="str">
        <f>'RESUMEN TOTAL'!E11</f>
        <v>Domo</v>
      </c>
      <c r="E8" s="30" t="str">
        <f>'RESUMEN TOTAL'!F11</f>
        <v>GPON</v>
      </c>
      <c r="F8" s="70">
        <f>'RESUMEN TOTAL'!M11</f>
        <v>0</v>
      </c>
      <c r="G8" s="70">
        <f>'RESUMEN TOTAL'!N11</f>
        <v>0</v>
      </c>
      <c r="H8" s="70">
        <f>'RESUMEN TOTAL'!O11</f>
        <v>0</v>
      </c>
      <c r="I8" s="70">
        <f>'RESUMEN TOTAL'!P11</f>
        <v>0</v>
      </c>
      <c r="J8" s="70">
        <f>'RESUMEN TOTAL'!Q11</f>
        <v>0</v>
      </c>
      <c r="K8" s="70">
        <f>'RESUMEN TOTAL'!R11</f>
        <v>0</v>
      </c>
      <c r="L8" s="70">
        <f>'RESUMEN TOTAL'!S11</f>
        <v>0</v>
      </c>
      <c r="M8" s="70">
        <f>'RESUMEN TOTAL'!T11</f>
        <v>0</v>
      </c>
      <c r="N8" s="70">
        <f>'RESUMEN TOTAL'!U11</f>
        <v>0</v>
      </c>
      <c r="O8" s="70">
        <f>'RESUMEN TOTAL'!V11</f>
        <v>0</v>
      </c>
      <c r="P8" s="70">
        <f>'RESUMEN TOTAL'!W11</f>
        <v>0</v>
      </c>
      <c r="Q8" s="70">
        <f>'RESUMEN TOTAL'!X11</f>
        <v>0</v>
      </c>
      <c r="R8" s="70">
        <f>'RESUMEN TOTAL'!Y11</f>
        <v>0</v>
      </c>
      <c r="S8" s="70">
        <f>'RESUMEN TOTAL'!Z11</f>
        <v>0</v>
      </c>
      <c r="T8" s="70">
        <f>'RESUMEN TOTAL'!AA11</f>
        <v>0</v>
      </c>
      <c r="U8" s="70">
        <f>'RESUMEN TOTAL'!AB11</f>
        <v>0</v>
      </c>
      <c r="V8" s="70">
        <f>'RESUMEN TOTAL'!AC11</f>
        <v>0</v>
      </c>
      <c r="W8" s="70">
        <f>'RESUMEN TOTAL'!AD11</f>
        <v>0</v>
      </c>
      <c r="X8" s="70">
        <f>'RESUMEN TOTAL'!AE11</f>
        <v>0</v>
      </c>
      <c r="Y8" s="70">
        <f>'RESUMEN TOTAL'!AF11</f>
        <v>0</v>
      </c>
      <c r="Z8" s="70">
        <f>'RESUMEN TOTAL'!AG11</f>
        <v>0</v>
      </c>
      <c r="AA8" s="70">
        <f>'RESUMEN TOTAL'!AH11</f>
        <v>0</v>
      </c>
      <c r="AB8" s="70">
        <f>'RESUMEN TOTAL'!AI11</f>
        <v>0</v>
      </c>
      <c r="AC8" s="70">
        <f>'RESUMEN TOTAL'!AJ11</f>
        <v>0</v>
      </c>
      <c r="AD8" s="70">
        <f>'RESUMEN TOTAL'!AK11</f>
        <v>0</v>
      </c>
      <c r="AE8" s="70">
        <f>'RESUMEN TOTAL'!AL11</f>
        <v>0</v>
      </c>
      <c r="AF8" s="70">
        <f>'RESUMEN TOTAL'!AM11</f>
        <v>0</v>
      </c>
      <c r="AG8" s="70">
        <f>'RESUMEN TOTAL'!AN11</f>
        <v>0</v>
      </c>
      <c r="AH8" s="70">
        <f>'RESUMEN TOTAL'!AO11</f>
        <v>0</v>
      </c>
      <c r="AI8" s="70">
        <f>'RESUMEN TOTAL'!AP11</f>
        <v>0</v>
      </c>
      <c r="AJ8" s="70">
        <f>'RESUMEN TOTAL'!AQ11</f>
        <v>0</v>
      </c>
    </row>
    <row r="9" spans="1:36 16382:16382" x14ac:dyDescent="0.25">
      <c r="A9" t="str">
        <f>'RESUMEN TOTAL'!A12</f>
        <v>ALTAMIRA</v>
      </c>
      <c r="B9" t="str">
        <f>'RESUMEN TOTAL'!B12</f>
        <v>ALT05</v>
      </c>
      <c r="C9" t="str">
        <f>'RESUMEN TOTAL'!D12</f>
        <v>Av. Calchaqui y Bombero Galarza</v>
      </c>
      <c r="D9" s="30" t="str">
        <f>'RESUMEN TOTAL'!E12</f>
        <v>Domo</v>
      </c>
      <c r="E9" s="30" t="str">
        <f>'RESUMEN TOTAL'!F12</f>
        <v>GPON</v>
      </c>
      <c r="F9" s="70">
        <f>'RESUMEN TOTAL'!M12</f>
        <v>0</v>
      </c>
      <c r="G9" s="70">
        <f>'RESUMEN TOTAL'!N12</f>
        <v>0</v>
      </c>
      <c r="H9" s="70">
        <f>'RESUMEN TOTAL'!O12</f>
        <v>0</v>
      </c>
      <c r="I9" s="70">
        <f>'RESUMEN TOTAL'!P12</f>
        <v>0</v>
      </c>
      <c r="J9" s="70">
        <f>'RESUMEN TOTAL'!Q12</f>
        <v>0</v>
      </c>
      <c r="K9" s="70">
        <f>'RESUMEN TOTAL'!R12</f>
        <v>0</v>
      </c>
      <c r="L9" s="70">
        <f>'RESUMEN TOTAL'!S12</f>
        <v>0</v>
      </c>
      <c r="M9" s="70">
        <f>'RESUMEN TOTAL'!T12</f>
        <v>0</v>
      </c>
      <c r="N9" s="70">
        <f>'RESUMEN TOTAL'!U12</f>
        <v>0</v>
      </c>
      <c r="O9" s="70">
        <f>'RESUMEN TOTAL'!V12</f>
        <v>0</v>
      </c>
      <c r="P9" s="70">
        <f>'RESUMEN TOTAL'!W12</f>
        <v>0</v>
      </c>
      <c r="Q9" s="70">
        <f>'RESUMEN TOTAL'!X12</f>
        <v>0</v>
      </c>
      <c r="R9" s="70">
        <f>'RESUMEN TOTAL'!Y12</f>
        <v>0</v>
      </c>
      <c r="S9" s="70">
        <f>'RESUMEN TOTAL'!Z12</f>
        <v>0</v>
      </c>
      <c r="T9" s="70">
        <f>'RESUMEN TOTAL'!AA12</f>
        <v>0</v>
      </c>
      <c r="U9" s="70">
        <f>'RESUMEN TOTAL'!AB12</f>
        <v>0</v>
      </c>
      <c r="V9" s="70">
        <f>'RESUMEN TOTAL'!AC12</f>
        <v>0</v>
      </c>
      <c r="W9" s="70">
        <f>'RESUMEN TOTAL'!AD12</f>
        <v>0</v>
      </c>
      <c r="X9" s="70">
        <f>'RESUMEN TOTAL'!AE12</f>
        <v>0</v>
      </c>
      <c r="Y9" s="70">
        <f>'RESUMEN TOTAL'!AF12</f>
        <v>0</v>
      </c>
      <c r="Z9" s="70">
        <f>'RESUMEN TOTAL'!AG12</f>
        <v>0</v>
      </c>
      <c r="AA9" s="70">
        <f>'RESUMEN TOTAL'!AH12</f>
        <v>0</v>
      </c>
      <c r="AB9" s="70">
        <f>'RESUMEN TOTAL'!AI12</f>
        <v>0</v>
      </c>
      <c r="AC9" s="70">
        <f>'RESUMEN TOTAL'!AJ12</f>
        <v>0</v>
      </c>
      <c r="AD9" s="70">
        <f>'RESUMEN TOTAL'!AK12</f>
        <v>0</v>
      </c>
      <c r="AE9" s="70">
        <f>'RESUMEN TOTAL'!AL12</f>
        <v>0</v>
      </c>
      <c r="AF9" s="70">
        <f>'RESUMEN TOTAL'!AM12</f>
        <v>0</v>
      </c>
      <c r="AG9" s="70">
        <f>'RESUMEN TOTAL'!AN12</f>
        <v>0</v>
      </c>
      <c r="AH9" s="70">
        <f>'RESUMEN TOTAL'!AO12</f>
        <v>0</v>
      </c>
      <c r="AI9" s="70">
        <f>'RESUMEN TOTAL'!AP12</f>
        <v>0</v>
      </c>
      <c r="AJ9" s="70">
        <f>'RESUMEN TOTAL'!AQ12</f>
        <v>0</v>
      </c>
    </row>
    <row r="10" spans="1:36 16382:16382" x14ac:dyDescent="0.25">
      <c r="A10" t="str">
        <f>'RESUMEN TOTAL'!A13</f>
        <v>ALTAMIRA</v>
      </c>
      <c r="B10" t="str">
        <f>'RESUMEN TOTAL'!B13</f>
        <v>ALT 06</v>
      </c>
      <c r="C10" t="str">
        <f>'RESUMEN TOTAL'!D13</f>
        <v>LOPE DE VEGA Y NECOCHEA</v>
      </c>
      <c r="D10" s="30" t="str">
        <f>'RESUMEN TOTAL'!E13</f>
        <v>Domo</v>
      </c>
      <c r="E10" s="30" t="str">
        <f>'RESUMEN TOTAL'!F13</f>
        <v>GPON</v>
      </c>
      <c r="F10" s="70">
        <f>'RESUMEN TOTAL'!M13</f>
        <v>0</v>
      </c>
      <c r="G10" s="70">
        <f>'RESUMEN TOTAL'!N13</f>
        <v>0</v>
      </c>
      <c r="H10" s="70">
        <f>'RESUMEN TOTAL'!O13</f>
        <v>0</v>
      </c>
      <c r="I10" s="70">
        <f>'RESUMEN TOTAL'!P13</f>
        <v>0</v>
      </c>
      <c r="J10" s="70">
        <f>'RESUMEN TOTAL'!Q13</f>
        <v>0</v>
      </c>
      <c r="K10" s="70">
        <f>'RESUMEN TOTAL'!R13</f>
        <v>0</v>
      </c>
      <c r="L10" s="70">
        <f>'RESUMEN TOTAL'!S13</f>
        <v>0</v>
      </c>
      <c r="M10" s="70">
        <f>'RESUMEN TOTAL'!T13</f>
        <v>0</v>
      </c>
      <c r="N10" s="70">
        <f>'RESUMEN TOTAL'!U13</f>
        <v>0</v>
      </c>
      <c r="O10" s="70">
        <f>'RESUMEN TOTAL'!V13</f>
        <v>0</v>
      </c>
      <c r="P10" s="70">
        <f>'RESUMEN TOTAL'!W13</f>
        <v>0</v>
      </c>
      <c r="Q10" s="70">
        <f>'RESUMEN TOTAL'!X13</f>
        <v>0</v>
      </c>
      <c r="R10" s="70">
        <f>'RESUMEN TOTAL'!Y13</f>
        <v>0</v>
      </c>
      <c r="S10" s="70">
        <f>'RESUMEN TOTAL'!Z13</f>
        <v>0</v>
      </c>
      <c r="T10" s="70">
        <f>'RESUMEN TOTAL'!AA13</f>
        <v>0</v>
      </c>
      <c r="U10" s="70">
        <f>'RESUMEN TOTAL'!AB13</f>
        <v>0</v>
      </c>
      <c r="V10" s="70">
        <f>'RESUMEN TOTAL'!AC13</f>
        <v>0</v>
      </c>
      <c r="W10" s="70">
        <f>'RESUMEN TOTAL'!AD13</f>
        <v>0</v>
      </c>
      <c r="X10" s="70">
        <f>'RESUMEN TOTAL'!AE13</f>
        <v>0</v>
      </c>
      <c r="Y10" s="70">
        <f>'RESUMEN TOTAL'!AF13</f>
        <v>0</v>
      </c>
      <c r="Z10" s="70">
        <f>'RESUMEN TOTAL'!AG13</f>
        <v>0</v>
      </c>
      <c r="AA10" s="70">
        <f>'RESUMEN TOTAL'!AH13</f>
        <v>0</v>
      </c>
      <c r="AB10" s="70">
        <f>'RESUMEN TOTAL'!AI13</f>
        <v>0</v>
      </c>
      <c r="AC10" s="70">
        <f>'RESUMEN TOTAL'!AJ13</f>
        <v>0</v>
      </c>
      <c r="AD10" s="70">
        <f>'RESUMEN TOTAL'!AK13</f>
        <v>0</v>
      </c>
      <c r="AE10" s="70">
        <f>'RESUMEN TOTAL'!AL13</f>
        <v>0</v>
      </c>
      <c r="AF10" s="70">
        <f>'RESUMEN TOTAL'!AM13</f>
        <v>0</v>
      </c>
      <c r="AG10" s="70">
        <f>'RESUMEN TOTAL'!AN13</f>
        <v>0</v>
      </c>
      <c r="AH10" s="70">
        <f>'RESUMEN TOTAL'!AO13</f>
        <v>0</v>
      </c>
      <c r="AI10" s="70">
        <f>'RESUMEN TOTAL'!AP13</f>
        <v>0</v>
      </c>
      <c r="AJ10" s="70">
        <f>'RESUMEN TOTAL'!AQ13</f>
        <v>0</v>
      </c>
    </row>
    <row r="11" spans="1:36 16382:16382" x14ac:dyDescent="0.25">
      <c r="A11" t="str">
        <f>'RESUMEN TOTAL'!A14</f>
        <v>ALTAMIRA</v>
      </c>
      <c r="B11" t="str">
        <f>'RESUMEN TOTAL'!B14</f>
        <v>ALT07</v>
      </c>
      <c r="C11" t="str">
        <f>'RESUMEN TOTAL'!D14</f>
        <v>AV. CALCHAQUI Y AV. DEL TRABAJO</v>
      </c>
      <c r="D11" s="30" t="str">
        <f>'RESUMEN TOTAL'!E14</f>
        <v>DOMO</v>
      </c>
      <c r="E11" s="30" t="str">
        <f>'RESUMEN TOTAL'!F14</f>
        <v>PTO A FO</v>
      </c>
      <c r="F11" s="70" t="str">
        <f>'RESUMEN TOTAL'!M14</f>
        <v>APAGADO</v>
      </c>
      <c r="G11" s="70" t="str">
        <f>'RESUMEN TOTAL'!N14</f>
        <v>APAGADO</v>
      </c>
      <c r="H11" s="70" t="str">
        <f>'RESUMEN TOTAL'!O14</f>
        <v>APAGADO</v>
      </c>
      <c r="I11" s="70" t="str">
        <f>'RESUMEN TOTAL'!P14</f>
        <v>APAGADO</v>
      </c>
      <c r="J11" s="70" t="str">
        <f>'RESUMEN TOTAL'!Q14</f>
        <v>APAGADO</v>
      </c>
      <c r="K11" s="70">
        <f>'RESUMEN TOTAL'!R14</f>
        <v>0</v>
      </c>
      <c r="L11" s="70">
        <f>'RESUMEN TOTAL'!S14</f>
        <v>0</v>
      </c>
      <c r="M11" s="70">
        <f>'RESUMEN TOTAL'!T14</f>
        <v>0</v>
      </c>
      <c r="N11" s="70">
        <f>'RESUMEN TOTAL'!U14</f>
        <v>0</v>
      </c>
      <c r="O11" s="70">
        <f>'RESUMEN TOTAL'!V14</f>
        <v>0</v>
      </c>
      <c r="P11" s="70">
        <f>'RESUMEN TOTAL'!W14</f>
        <v>0</v>
      </c>
      <c r="Q11" s="70">
        <f>'RESUMEN TOTAL'!X14</f>
        <v>0</v>
      </c>
      <c r="R11" s="70">
        <f>'RESUMEN TOTAL'!Y14</f>
        <v>0</v>
      </c>
      <c r="S11" s="70">
        <f>'RESUMEN TOTAL'!Z14</f>
        <v>0</v>
      </c>
      <c r="T11" s="70">
        <f>'RESUMEN TOTAL'!AA14</f>
        <v>0</v>
      </c>
      <c r="U11" s="70">
        <f>'RESUMEN TOTAL'!AB14</f>
        <v>0</v>
      </c>
      <c r="V11" s="70">
        <f>'RESUMEN TOTAL'!AC14</f>
        <v>0</v>
      </c>
      <c r="W11" s="70">
        <f>'RESUMEN TOTAL'!AD14</f>
        <v>0</v>
      </c>
      <c r="X11" s="70">
        <f>'RESUMEN TOTAL'!AE14</f>
        <v>0</v>
      </c>
      <c r="Y11" s="70">
        <f>'RESUMEN TOTAL'!AF14</f>
        <v>0</v>
      </c>
      <c r="Z11" s="70">
        <f>'RESUMEN TOTAL'!AG14</f>
        <v>0</v>
      </c>
      <c r="AA11" s="70">
        <f>'RESUMEN TOTAL'!AH14</f>
        <v>0</v>
      </c>
      <c r="AB11" s="70">
        <f>'RESUMEN TOTAL'!AI14</f>
        <v>0</v>
      </c>
      <c r="AC11" s="70">
        <f>'RESUMEN TOTAL'!AJ14</f>
        <v>0</v>
      </c>
      <c r="AD11" s="70">
        <f>'RESUMEN TOTAL'!AK14</f>
        <v>0</v>
      </c>
      <c r="AE11" s="70">
        <f>'RESUMEN TOTAL'!AL14</f>
        <v>0</v>
      </c>
      <c r="AF11" s="70">
        <f>'RESUMEN TOTAL'!AM14</f>
        <v>0</v>
      </c>
      <c r="AG11" s="70">
        <f>'RESUMEN TOTAL'!AN14</f>
        <v>0</v>
      </c>
      <c r="AH11" s="70">
        <f>'RESUMEN TOTAL'!AO14</f>
        <v>0</v>
      </c>
      <c r="AI11" s="70">
        <f>'RESUMEN TOTAL'!AP14</f>
        <v>0</v>
      </c>
      <c r="AJ11" s="70">
        <f>'RESUMEN TOTAL'!AQ14</f>
        <v>0</v>
      </c>
    </row>
    <row r="12" spans="1:36 16382:16382" x14ac:dyDescent="0.25">
      <c r="A12" t="str">
        <f>'RESUMEN TOTAL'!A15</f>
        <v>ALTAMIRA</v>
      </c>
      <c r="B12" t="str">
        <f>'RESUMEN TOTAL'!B15</f>
        <v>ALT 08</v>
      </c>
      <c r="C12" t="str">
        <f>'RESUMEN TOTAL'!D15</f>
        <v>HUMAITA Y NECOCHEA</v>
      </c>
      <c r="D12" s="30" t="str">
        <f>'RESUMEN TOTAL'!E15</f>
        <v>DOMO</v>
      </c>
      <c r="E12" s="30" t="str">
        <f>'RESUMEN TOTAL'!F15</f>
        <v>Fibra Optica</v>
      </c>
      <c r="F12" s="70">
        <f>'RESUMEN TOTAL'!M15</f>
        <v>0</v>
      </c>
      <c r="G12" s="70">
        <f>'RESUMEN TOTAL'!N15</f>
        <v>0</v>
      </c>
      <c r="H12" s="70">
        <f>'RESUMEN TOTAL'!O15</f>
        <v>0</v>
      </c>
      <c r="I12" s="70">
        <f>'RESUMEN TOTAL'!P15</f>
        <v>0</v>
      </c>
      <c r="J12" s="70">
        <f>'RESUMEN TOTAL'!Q15</f>
        <v>0</v>
      </c>
      <c r="K12" s="70">
        <f>'RESUMEN TOTAL'!R15</f>
        <v>0</v>
      </c>
      <c r="L12" s="70">
        <f>'RESUMEN TOTAL'!S15</f>
        <v>0</v>
      </c>
      <c r="M12" s="70">
        <f>'RESUMEN TOTAL'!T15</f>
        <v>0</v>
      </c>
      <c r="N12" s="70">
        <f>'RESUMEN TOTAL'!U15</f>
        <v>0</v>
      </c>
      <c r="O12" s="70">
        <f>'RESUMEN TOTAL'!V15</f>
        <v>0</v>
      </c>
      <c r="P12" s="70">
        <f>'RESUMEN TOTAL'!W15</f>
        <v>0</v>
      </c>
      <c r="Q12" s="70">
        <f>'RESUMEN TOTAL'!X15</f>
        <v>0</v>
      </c>
      <c r="R12" s="70">
        <f>'RESUMEN TOTAL'!Y15</f>
        <v>0</v>
      </c>
      <c r="S12" s="70">
        <f>'RESUMEN TOTAL'!Z15</f>
        <v>0</v>
      </c>
      <c r="T12" s="70">
        <f>'RESUMEN TOTAL'!AA15</f>
        <v>0</v>
      </c>
      <c r="U12" s="70">
        <f>'RESUMEN TOTAL'!AB15</f>
        <v>0</v>
      </c>
      <c r="V12" s="70">
        <f>'RESUMEN TOTAL'!AC15</f>
        <v>0</v>
      </c>
      <c r="W12" s="70">
        <f>'RESUMEN TOTAL'!AD15</f>
        <v>0</v>
      </c>
      <c r="X12" s="70">
        <f>'RESUMEN TOTAL'!AE15</f>
        <v>0</v>
      </c>
      <c r="Y12" s="70">
        <f>'RESUMEN TOTAL'!AF15</f>
        <v>0</v>
      </c>
      <c r="Z12" s="70">
        <f>'RESUMEN TOTAL'!AG15</f>
        <v>0</v>
      </c>
      <c r="AA12" s="70">
        <f>'RESUMEN TOTAL'!AH15</f>
        <v>0</v>
      </c>
      <c r="AB12" s="70">
        <f>'RESUMEN TOTAL'!AI15</f>
        <v>0</v>
      </c>
      <c r="AC12" s="70">
        <f>'RESUMEN TOTAL'!AJ15</f>
        <v>0</v>
      </c>
      <c r="AD12" s="70">
        <f>'RESUMEN TOTAL'!AK15</f>
        <v>0</v>
      </c>
      <c r="AE12" s="70">
        <f>'RESUMEN TOTAL'!AL15</f>
        <v>0</v>
      </c>
      <c r="AF12" s="70">
        <f>'RESUMEN TOTAL'!AM15</f>
        <v>0</v>
      </c>
      <c r="AG12" s="70">
        <f>'RESUMEN TOTAL'!AN15</f>
        <v>0</v>
      </c>
      <c r="AH12" s="70">
        <f>'RESUMEN TOTAL'!AO15</f>
        <v>0</v>
      </c>
      <c r="AI12" s="70">
        <f>'RESUMEN TOTAL'!AP15</f>
        <v>0</v>
      </c>
      <c r="AJ12" s="70">
        <f>'RESUMEN TOTAL'!AQ15</f>
        <v>0</v>
      </c>
    </row>
    <row r="13" spans="1:36 16382:16382" x14ac:dyDescent="0.25">
      <c r="A13" t="str">
        <f>'RESUMEN TOTAL'!A16</f>
        <v>ALTAMIRA</v>
      </c>
      <c r="B13" t="str">
        <f>'RESUMEN TOTAL'!B16</f>
        <v>ALT 09</v>
      </c>
      <c r="C13" t="str">
        <f>'RESUMEN TOTAL'!D16</f>
        <v>NECOCHEA Y CURUPAITY</v>
      </c>
      <c r="D13" s="30" t="str">
        <f>'RESUMEN TOTAL'!E16</f>
        <v>DOMO</v>
      </c>
      <c r="E13" s="30" t="str">
        <f>'RESUMEN TOTAL'!F16</f>
        <v>Fibra Optica</v>
      </c>
      <c r="F13" s="70">
        <f>'RESUMEN TOTAL'!M16</f>
        <v>0</v>
      </c>
      <c r="G13" s="70">
        <f>'RESUMEN TOTAL'!N16</f>
        <v>0</v>
      </c>
      <c r="H13" s="70">
        <f>'RESUMEN TOTAL'!O16</f>
        <v>0</v>
      </c>
      <c r="I13" s="70">
        <f>'RESUMEN TOTAL'!P16</f>
        <v>0</v>
      </c>
      <c r="J13" s="70">
        <f>'RESUMEN TOTAL'!Q16</f>
        <v>0</v>
      </c>
      <c r="K13" s="70">
        <f>'RESUMEN TOTAL'!R16</f>
        <v>0</v>
      </c>
      <c r="L13" s="70">
        <f>'RESUMEN TOTAL'!S16</f>
        <v>0</v>
      </c>
      <c r="M13" s="70">
        <f>'RESUMEN TOTAL'!T16</f>
        <v>0</v>
      </c>
      <c r="N13" s="70">
        <f>'RESUMEN TOTAL'!U16</f>
        <v>0</v>
      </c>
      <c r="O13" s="70">
        <f>'RESUMEN TOTAL'!V16</f>
        <v>0</v>
      </c>
      <c r="P13" s="70">
        <f>'RESUMEN TOTAL'!W16</f>
        <v>0</v>
      </c>
      <c r="Q13" s="70">
        <f>'RESUMEN TOTAL'!X16</f>
        <v>0</v>
      </c>
      <c r="R13" s="70">
        <f>'RESUMEN TOTAL'!Y16</f>
        <v>0</v>
      </c>
      <c r="S13" s="70">
        <f>'RESUMEN TOTAL'!Z16</f>
        <v>0</v>
      </c>
      <c r="T13" s="70">
        <f>'RESUMEN TOTAL'!AA16</f>
        <v>0</v>
      </c>
      <c r="U13" s="70">
        <f>'RESUMEN TOTAL'!AB16</f>
        <v>0</v>
      </c>
      <c r="V13" s="70">
        <f>'RESUMEN TOTAL'!AC16</f>
        <v>0</v>
      </c>
      <c r="W13" s="70">
        <f>'RESUMEN TOTAL'!AD16</f>
        <v>0</v>
      </c>
      <c r="X13" s="70">
        <f>'RESUMEN TOTAL'!AE16</f>
        <v>0</v>
      </c>
      <c r="Y13" s="70">
        <f>'RESUMEN TOTAL'!AF16</f>
        <v>0</v>
      </c>
      <c r="Z13" s="70">
        <f>'RESUMEN TOTAL'!AG16</f>
        <v>0</v>
      </c>
      <c r="AA13" s="70">
        <f>'RESUMEN TOTAL'!AH16</f>
        <v>0</v>
      </c>
      <c r="AB13" s="70">
        <f>'RESUMEN TOTAL'!AI16</f>
        <v>0</v>
      </c>
      <c r="AC13" s="70">
        <f>'RESUMEN TOTAL'!AJ16</f>
        <v>0</v>
      </c>
      <c r="AD13" s="70">
        <f>'RESUMEN TOTAL'!AK16</f>
        <v>0</v>
      </c>
      <c r="AE13" s="70">
        <f>'RESUMEN TOTAL'!AL16</f>
        <v>0</v>
      </c>
      <c r="AF13" s="70">
        <f>'RESUMEN TOTAL'!AM16</f>
        <v>0</v>
      </c>
      <c r="AG13" s="70">
        <f>'RESUMEN TOTAL'!AN16</f>
        <v>0</v>
      </c>
      <c r="AH13" s="70">
        <f>'RESUMEN TOTAL'!AO16</f>
        <v>0</v>
      </c>
      <c r="AI13" s="70">
        <f>'RESUMEN TOTAL'!AP16</f>
        <v>0</v>
      </c>
      <c r="AJ13" s="70">
        <f>'RESUMEN TOTAL'!AQ16</f>
        <v>0</v>
      </c>
    </row>
    <row r="14" spans="1:36 16382:16382" x14ac:dyDescent="0.25">
      <c r="A14" t="str">
        <f>'RESUMEN TOTAL'!A17</f>
        <v>ALTAMIRA</v>
      </c>
      <c r="B14" t="str">
        <f>'RESUMEN TOTAL'!B17</f>
        <v>ALT 10</v>
      </c>
      <c r="C14" t="str">
        <f>'RESUMEN TOTAL'!D17</f>
        <v>Calchaqui y Francia</v>
      </c>
      <c r="D14" s="30" t="str">
        <f>'RESUMEN TOTAL'!E17</f>
        <v>Domo</v>
      </c>
      <c r="E14" s="30" t="str">
        <f>'RESUMEN TOTAL'!F17</f>
        <v>GPON</v>
      </c>
      <c r="F14" s="70" t="str">
        <f>'RESUMEN TOTAL'!M17</f>
        <v>APAGADO</v>
      </c>
      <c r="G14" s="70" t="str">
        <f>'RESUMEN TOTAL'!N17</f>
        <v>APAGADO</v>
      </c>
      <c r="H14" s="70" t="str">
        <f>'RESUMEN TOTAL'!O17</f>
        <v>APAGADO</v>
      </c>
      <c r="I14" s="70" t="str">
        <f>'RESUMEN TOTAL'!P17</f>
        <v>APAGADO</v>
      </c>
      <c r="J14" s="70" t="str">
        <f>'RESUMEN TOTAL'!Q17</f>
        <v>APAGADO</v>
      </c>
      <c r="K14" s="70" t="str">
        <f>'RESUMEN TOTAL'!R17</f>
        <v>APAGADO</v>
      </c>
      <c r="L14" s="70" t="str">
        <f>'RESUMEN TOTAL'!S17</f>
        <v>APAGADO</v>
      </c>
      <c r="M14" s="70" t="str">
        <f>'RESUMEN TOTAL'!T17</f>
        <v>APAGADO</v>
      </c>
      <c r="N14" s="70">
        <f>'RESUMEN TOTAL'!U17</f>
        <v>0</v>
      </c>
      <c r="O14" s="70">
        <f>'RESUMEN TOTAL'!V17</f>
        <v>0</v>
      </c>
      <c r="P14" s="70">
        <f>'RESUMEN TOTAL'!W17</f>
        <v>0</v>
      </c>
      <c r="Q14" s="70">
        <f>'RESUMEN TOTAL'!X17</f>
        <v>0</v>
      </c>
      <c r="R14" s="70">
        <f>'RESUMEN TOTAL'!Y17</f>
        <v>0</v>
      </c>
      <c r="S14" s="70">
        <f>'RESUMEN TOTAL'!Z17</f>
        <v>0</v>
      </c>
      <c r="T14" s="70">
        <f>'RESUMEN TOTAL'!AA17</f>
        <v>0</v>
      </c>
      <c r="U14" s="70">
        <f>'RESUMEN TOTAL'!AB17</f>
        <v>0</v>
      </c>
      <c r="V14" s="70">
        <f>'RESUMEN TOTAL'!AC17</f>
        <v>0</v>
      </c>
      <c r="W14" s="70">
        <f>'RESUMEN TOTAL'!AD17</f>
        <v>0</v>
      </c>
      <c r="X14" s="70">
        <f>'RESUMEN TOTAL'!AE17</f>
        <v>0</v>
      </c>
      <c r="Y14" s="70">
        <f>'RESUMEN TOTAL'!AF17</f>
        <v>0</v>
      </c>
      <c r="Z14" s="70">
        <f>'RESUMEN TOTAL'!AG17</f>
        <v>0</v>
      </c>
      <c r="AA14" s="70">
        <f>'RESUMEN TOTAL'!AH17</f>
        <v>0</v>
      </c>
      <c r="AB14" s="70">
        <f>'RESUMEN TOTAL'!AI17</f>
        <v>0</v>
      </c>
      <c r="AC14" s="70">
        <f>'RESUMEN TOTAL'!AJ17</f>
        <v>0</v>
      </c>
      <c r="AD14" s="70">
        <f>'RESUMEN TOTAL'!AK17</f>
        <v>0</v>
      </c>
      <c r="AE14" s="70">
        <f>'RESUMEN TOTAL'!AL17</f>
        <v>0</v>
      </c>
      <c r="AF14" s="70">
        <f>'RESUMEN TOTAL'!AM17</f>
        <v>0</v>
      </c>
      <c r="AG14" s="70">
        <f>'RESUMEN TOTAL'!AN17</f>
        <v>0</v>
      </c>
      <c r="AH14" s="70">
        <f>'RESUMEN TOTAL'!AO17</f>
        <v>0</v>
      </c>
      <c r="AI14" s="70">
        <f>'RESUMEN TOTAL'!AP17</f>
        <v>0</v>
      </c>
      <c r="AJ14" s="70">
        <f>'RESUMEN TOTAL'!AQ17</f>
        <v>0</v>
      </c>
    </row>
    <row r="15" spans="1:36 16382:16382" x14ac:dyDescent="0.25">
      <c r="A15" t="str">
        <f>'RESUMEN TOTAL'!A18</f>
        <v>ALTAMIRA</v>
      </c>
      <c r="B15" t="str">
        <f>'RESUMEN TOTAL'!B18</f>
        <v>ALT 11</v>
      </c>
      <c r="C15" s="68" t="s">
        <v>1529</v>
      </c>
      <c r="D15" s="30" t="str">
        <f>'RESUMEN TOTAL'!E18</f>
        <v>Fija</v>
      </c>
      <c r="E15" s="30"/>
      <c r="F15" s="70">
        <f>'RESUMEN TOTAL'!M18</f>
        <v>0</v>
      </c>
      <c r="G15" s="70">
        <f>'RESUMEN TOTAL'!N18</f>
        <v>0</v>
      </c>
      <c r="H15" s="70">
        <f>'RESUMEN TOTAL'!O18</f>
        <v>0</v>
      </c>
      <c r="I15" s="70">
        <f>'RESUMEN TOTAL'!P18</f>
        <v>0</v>
      </c>
      <c r="J15" s="70">
        <f>'RESUMEN TOTAL'!Q18</f>
        <v>0</v>
      </c>
      <c r="K15" s="70">
        <f>'RESUMEN TOTAL'!R18</f>
        <v>0</v>
      </c>
      <c r="L15" s="70">
        <f>'RESUMEN TOTAL'!S18</f>
        <v>0</v>
      </c>
      <c r="M15" s="70">
        <f>'RESUMEN TOTAL'!T18</f>
        <v>0</v>
      </c>
      <c r="N15" s="70">
        <f>'RESUMEN TOTAL'!U18</f>
        <v>0</v>
      </c>
      <c r="O15" s="70">
        <f>'RESUMEN TOTAL'!V18</f>
        <v>0</v>
      </c>
      <c r="P15" s="70">
        <f>'RESUMEN TOTAL'!W18</f>
        <v>0</v>
      </c>
      <c r="Q15" s="70">
        <f>'RESUMEN TOTAL'!X18</f>
        <v>0</v>
      </c>
      <c r="R15" s="70">
        <f>'RESUMEN TOTAL'!Y18</f>
        <v>0</v>
      </c>
      <c r="S15" s="70">
        <f>'RESUMEN TOTAL'!Z18</f>
        <v>0</v>
      </c>
      <c r="T15" s="70">
        <f>'RESUMEN TOTAL'!AA18</f>
        <v>0</v>
      </c>
      <c r="U15" s="70">
        <f>'RESUMEN TOTAL'!AB18</f>
        <v>0</v>
      </c>
      <c r="V15" s="70">
        <f>'RESUMEN TOTAL'!AC18</f>
        <v>0</v>
      </c>
      <c r="W15" s="70">
        <f>'RESUMEN TOTAL'!AD18</f>
        <v>0</v>
      </c>
      <c r="X15" s="70">
        <f>'RESUMEN TOTAL'!AE18</f>
        <v>0</v>
      </c>
      <c r="Y15" s="70">
        <f>'RESUMEN TOTAL'!AF18</f>
        <v>0</v>
      </c>
      <c r="Z15" s="70">
        <f>'RESUMEN TOTAL'!AG18</f>
        <v>0</v>
      </c>
      <c r="AA15" s="70">
        <f>'RESUMEN TOTAL'!AH18</f>
        <v>0</v>
      </c>
      <c r="AB15" s="70">
        <f>'RESUMEN TOTAL'!AI18</f>
        <v>0</v>
      </c>
      <c r="AC15" s="70">
        <f>'RESUMEN TOTAL'!AJ18</f>
        <v>0</v>
      </c>
      <c r="AD15" s="70">
        <f>'RESUMEN TOTAL'!AK18</f>
        <v>0</v>
      </c>
      <c r="AE15" s="70">
        <f>'RESUMEN TOTAL'!AL18</f>
        <v>0</v>
      </c>
      <c r="AF15" s="70">
        <f>'RESUMEN TOTAL'!AM18</f>
        <v>0</v>
      </c>
      <c r="AG15" s="70">
        <f>'RESUMEN TOTAL'!AN18</f>
        <v>0</v>
      </c>
      <c r="AH15" s="70">
        <f>'RESUMEN TOTAL'!AO18</f>
        <v>0</v>
      </c>
      <c r="AI15" s="70">
        <f>'RESUMEN TOTAL'!AP18</f>
        <v>0</v>
      </c>
      <c r="AJ15" s="70">
        <f>'RESUMEN TOTAL'!AQ18</f>
        <v>0</v>
      </c>
    </row>
    <row r="16" spans="1:36 16382:16382" x14ac:dyDescent="0.25">
      <c r="A16" t="str">
        <f>'RESUMEN TOTAL'!A19</f>
        <v>AGUSTIN RAMIREZ</v>
      </c>
      <c r="B16" t="str">
        <f>'RESUMEN TOTAL'!B19</f>
        <v>ARA 01</v>
      </c>
      <c r="C16" t="str">
        <f>'RESUMEN TOTAL'!D19</f>
        <v>Malambo y Tranquera</v>
      </c>
      <c r="D16" s="30" t="str">
        <f>'RESUMEN TOTAL'!E19</f>
        <v>Domo</v>
      </c>
      <c r="E16" s="30" t="str">
        <f>'RESUMEN TOTAL'!F19</f>
        <v>Fibra Optica</v>
      </c>
      <c r="F16" s="70" t="str">
        <f>'RESUMEN TOTAL'!M19</f>
        <v>APAGADO</v>
      </c>
      <c r="G16" s="70" t="str">
        <f>'RESUMEN TOTAL'!N19</f>
        <v>APAGADO</v>
      </c>
      <c r="H16" s="70" t="str">
        <f>'RESUMEN TOTAL'!O19</f>
        <v>APAGADO</v>
      </c>
      <c r="I16" s="70" t="str">
        <f>'RESUMEN TOTAL'!P19</f>
        <v>APAGADO</v>
      </c>
      <c r="J16" s="70" t="str">
        <f>'RESUMEN TOTAL'!Q19</f>
        <v>APAGADO</v>
      </c>
      <c r="K16" s="70" t="str">
        <f>'RESUMEN TOTAL'!R19</f>
        <v>APAGADO</v>
      </c>
      <c r="L16" s="70" t="str">
        <f>'RESUMEN TOTAL'!S19</f>
        <v>APAGADO</v>
      </c>
      <c r="M16" s="70" t="str">
        <f>'RESUMEN TOTAL'!T19</f>
        <v>APAGADO</v>
      </c>
      <c r="N16" s="70">
        <f>'RESUMEN TOTAL'!U19</f>
        <v>0</v>
      </c>
      <c r="O16" s="70">
        <f>'RESUMEN TOTAL'!V19</f>
        <v>0</v>
      </c>
      <c r="P16" s="70">
        <f>'RESUMEN TOTAL'!W19</f>
        <v>0</v>
      </c>
      <c r="Q16" s="70">
        <f>'RESUMEN TOTAL'!X19</f>
        <v>0</v>
      </c>
      <c r="R16" s="70">
        <f>'RESUMEN TOTAL'!Y19</f>
        <v>0</v>
      </c>
      <c r="S16" s="70">
        <f>'RESUMEN TOTAL'!Z19</f>
        <v>0</v>
      </c>
      <c r="T16" s="70">
        <f>'RESUMEN TOTAL'!AA19</f>
        <v>0</v>
      </c>
      <c r="U16" s="70">
        <f>'RESUMEN TOTAL'!AB19</f>
        <v>0</v>
      </c>
      <c r="V16" s="70">
        <f>'RESUMEN TOTAL'!AC19</f>
        <v>0</v>
      </c>
      <c r="W16" s="70">
        <f>'RESUMEN TOTAL'!AD19</f>
        <v>0</v>
      </c>
      <c r="X16" s="70">
        <f>'RESUMEN TOTAL'!AE19</f>
        <v>0</v>
      </c>
      <c r="Y16" s="70">
        <f>'RESUMEN TOTAL'!AF19</f>
        <v>0</v>
      </c>
      <c r="Z16" s="70">
        <f>'RESUMEN TOTAL'!AG19</f>
        <v>0</v>
      </c>
      <c r="AA16" s="70">
        <f>'RESUMEN TOTAL'!AH19</f>
        <v>0</v>
      </c>
      <c r="AB16" s="70">
        <f>'RESUMEN TOTAL'!AI19</f>
        <v>0</v>
      </c>
      <c r="AC16" s="70">
        <f>'RESUMEN TOTAL'!AJ19</f>
        <v>0</v>
      </c>
      <c r="AD16" s="70">
        <f>'RESUMEN TOTAL'!AK19</f>
        <v>0</v>
      </c>
      <c r="AE16" s="70">
        <f>'RESUMEN TOTAL'!AL19</f>
        <v>0</v>
      </c>
      <c r="AF16" s="70">
        <f>'RESUMEN TOTAL'!AM19</f>
        <v>0</v>
      </c>
      <c r="AG16" s="70">
        <f>'RESUMEN TOTAL'!AN19</f>
        <v>0</v>
      </c>
      <c r="AH16" s="70">
        <f>'RESUMEN TOTAL'!AO19</f>
        <v>0</v>
      </c>
      <c r="AI16" s="70">
        <f>'RESUMEN TOTAL'!AP19</f>
        <v>0</v>
      </c>
      <c r="AJ16" s="70">
        <f>'RESUMEN TOTAL'!AQ19</f>
        <v>0</v>
      </c>
    </row>
    <row r="17" spans="1:36" x14ac:dyDescent="0.25">
      <c r="A17" t="str">
        <f>'RESUMEN TOTAL'!A22</f>
        <v>BELGRANO</v>
      </c>
      <c r="B17" t="str">
        <f>'RESUMEN TOTAL'!B22</f>
        <v>BEL 01</v>
      </c>
      <c r="C17" t="str">
        <f>'RESUMEN TOTAL'!D22</f>
        <v>San Martin y Dardo Rocha</v>
      </c>
      <c r="D17" s="30" t="str">
        <f>'RESUMEN TOTAL'!E22</f>
        <v>DOMO</v>
      </c>
      <c r="E17" s="30" t="str">
        <f>'RESUMEN TOTAL'!F22</f>
        <v>Fibra Optica</v>
      </c>
      <c r="F17" s="70">
        <f>'RESUMEN TOTAL'!M22</f>
        <v>0</v>
      </c>
      <c r="G17" s="70">
        <f>'RESUMEN TOTAL'!N22</f>
        <v>0</v>
      </c>
      <c r="H17" s="70">
        <f>'RESUMEN TOTAL'!O22</f>
        <v>0</v>
      </c>
      <c r="I17" s="70">
        <f>'RESUMEN TOTAL'!P22</f>
        <v>0</v>
      </c>
      <c r="J17" s="70">
        <f>'RESUMEN TOTAL'!Q22</f>
        <v>0</v>
      </c>
      <c r="K17" s="70">
        <f>'RESUMEN TOTAL'!R22</f>
        <v>0</v>
      </c>
      <c r="L17" s="70">
        <f>'RESUMEN TOTAL'!S22</f>
        <v>0</v>
      </c>
      <c r="M17" s="70">
        <f>'RESUMEN TOTAL'!T22</f>
        <v>0</v>
      </c>
      <c r="N17" s="70">
        <f>'RESUMEN TOTAL'!U22</f>
        <v>0</v>
      </c>
      <c r="O17" s="70">
        <f>'RESUMEN TOTAL'!V22</f>
        <v>0</v>
      </c>
      <c r="P17" s="70">
        <f>'RESUMEN TOTAL'!W22</f>
        <v>0</v>
      </c>
      <c r="Q17" s="70">
        <f>'RESUMEN TOTAL'!X22</f>
        <v>0</v>
      </c>
      <c r="R17" s="70">
        <f>'RESUMEN TOTAL'!Y22</f>
        <v>0</v>
      </c>
      <c r="S17" s="70">
        <f>'RESUMEN TOTAL'!Z22</f>
        <v>0</v>
      </c>
      <c r="T17" s="70">
        <f>'RESUMEN TOTAL'!AA22</f>
        <v>0</v>
      </c>
      <c r="U17" s="70">
        <f>'RESUMEN TOTAL'!AB22</f>
        <v>0</v>
      </c>
      <c r="V17" s="70">
        <f>'RESUMEN TOTAL'!AC22</f>
        <v>0</v>
      </c>
      <c r="W17" s="70">
        <f>'RESUMEN TOTAL'!AD22</f>
        <v>0</v>
      </c>
      <c r="X17" s="70">
        <f>'RESUMEN TOTAL'!AE22</f>
        <v>0</v>
      </c>
      <c r="Y17" s="70">
        <f>'RESUMEN TOTAL'!AF22</f>
        <v>0</v>
      </c>
      <c r="Z17" s="70">
        <f>'RESUMEN TOTAL'!AG22</f>
        <v>0</v>
      </c>
      <c r="AA17" s="70">
        <f>'RESUMEN TOTAL'!AH22</f>
        <v>0</v>
      </c>
      <c r="AB17" s="70">
        <f>'RESUMEN TOTAL'!AI22</f>
        <v>0</v>
      </c>
      <c r="AC17" s="70">
        <f>'RESUMEN TOTAL'!AJ22</f>
        <v>0</v>
      </c>
      <c r="AD17" s="70">
        <f>'RESUMEN TOTAL'!AK22</f>
        <v>0</v>
      </c>
      <c r="AE17" s="70">
        <f>'RESUMEN TOTAL'!AL22</f>
        <v>0</v>
      </c>
      <c r="AF17" s="70">
        <f>'RESUMEN TOTAL'!AM22</f>
        <v>0</v>
      </c>
      <c r="AG17" s="70">
        <f>'RESUMEN TOTAL'!AN22</f>
        <v>0</v>
      </c>
      <c r="AH17" s="70">
        <f>'RESUMEN TOTAL'!AO22</f>
        <v>0</v>
      </c>
      <c r="AI17" s="70">
        <f>'RESUMEN TOTAL'!AP22</f>
        <v>0</v>
      </c>
      <c r="AJ17" s="70">
        <f>'RESUMEN TOTAL'!AQ22</f>
        <v>0</v>
      </c>
    </row>
    <row r="18" spans="1:36" x14ac:dyDescent="0.25">
      <c r="A18" t="str">
        <f>'RESUMEN TOTAL'!A23</f>
        <v>BELGRANO</v>
      </c>
      <c r="B18" t="str">
        <f>'RESUMEN TOTAL'!B23</f>
        <v>BEL 02</v>
      </c>
      <c r="C18" t="str">
        <f>'RESUMEN TOTAL'!D23</f>
        <v>Guardia vieja y Fronteriz</v>
      </c>
      <c r="D18" s="30" t="str">
        <f>'RESUMEN TOTAL'!E23</f>
        <v>DOMO</v>
      </c>
      <c r="E18" s="30" t="str">
        <f>'RESUMEN TOTAL'!F23</f>
        <v>Fibra Optica</v>
      </c>
      <c r="F18" s="70">
        <f>'RESUMEN TOTAL'!M23</f>
        <v>0</v>
      </c>
      <c r="G18" s="70">
        <f>'RESUMEN TOTAL'!N23</f>
        <v>0</v>
      </c>
      <c r="H18" s="70">
        <f>'RESUMEN TOTAL'!O23</f>
        <v>0</v>
      </c>
      <c r="I18" s="70">
        <f>'RESUMEN TOTAL'!P23</f>
        <v>0</v>
      </c>
      <c r="J18" s="70">
        <f>'RESUMEN TOTAL'!Q23</f>
        <v>0</v>
      </c>
      <c r="K18" s="70">
        <f>'RESUMEN TOTAL'!R23</f>
        <v>0</v>
      </c>
      <c r="L18" s="70">
        <f>'RESUMEN TOTAL'!S23</f>
        <v>0</v>
      </c>
      <c r="M18" s="70">
        <f>'RESUMEN TOTAL'!T23</f>
        <v>0</v>
      </c>
      <c r="N18" s="70">
        <f>'RESUMEN TOTAL'!U23</f>
        <v>0</v>
      </c>
      <c r="O18" s="70">
        <f>'RESUMEN TOTAL'!V23</f>
        <v>0</v>
      </c>
      <c r="P18" s="70">
        <f>'RESUMEN TOTAL'!W23</f>
        <v>0</v>
      </c>
      <c r="Q18" s="70">
        <f>'RESUMEN TOTAL'!X23</f>
        <v>0</v>
      </c>
      <c r="R18" s="70">
        <f>'RESUMEN TOTAL'!Y23</f>
        <v>0</v>
      </c>
      <c r="S18" s="70">
        <f>'RESUMEN TOTAL'!Z23</f>
        <v>0</v>
      </c>
      <c r="T18" s="70">
        <f>'RESUMEN TOTAL'!AA23</f>
        <v>0</v>
      </c>
      <c r="U18" s="70">
        <f>'RESUMEN TOTAL'!AB23</f>
        <v>0</v>
      </c>
      <c r="V18" s="70">
        <f>'RESUMEN TOTAL'!AC23</f>
        <v>0</v>
      </c>
      <c r="W18" s="70">
        <f>'RESUMEN TOTAL'!AD23</f>
        <v>0</v>
      </c>
      <c r="X18" s="70">
        <f>'RESUMEN TOTAL'!AE23</f>
        <v>0</v>
      </c>
      <c r="Y18" s="70">
        <f>'RESUMEN TOTAL'!AF23</f>
        <v>0</v>
      </c>
      <c r="Z18" s="70">
        <f>'RESUMEN TOTAL'!AG23</f>
        <v>0</v>
      </c>
      <c r="AA18" s="70">
        <f>'RESUMEN TOTAL'!AH23</f>
        <v>0</v>
      </c>
      <c r="AB18" s="70">
        <f>'RESUMEN TOTAL'!AI23</f>
        <v>0</v>
      </c>
      <c r="AC18" s="70">
        <f>'RESUMEN TOTAL'!AJ23</f>
        <v>0</v>
      </c>
      <c r="AD18" s="70">
        <f>'RESUMEN TOTAL'!AK23</f>
        <v>0</v>
      </c>
      <c r="AE18" s="70">
        <f>'RESUMEN TOTAL'!AL23</f>
        <v>0</v>
      </c>
      <c r="AF18" s="70">
        <f>'RESUMEN TOTAL'!AM23</f>
        <v>0</v>
      </c>
      <c r="AG18" s="70">
        <f>'RESUMEN TOTAL'!AN23</f>
        <v>0</v>
      </c>
      <c r="AH18" s="70">
        <f>'RESUMEN TOTAL'!AO23</f>
        <v>0</v>
      </c>
      <c r="AI18" s="70">
        <f>'RESUMEN TOTAL'!AP23</f>
        <v>0</v>
      </c>
      <c r="AJ18" s="70">
        <f>'RESUMEN TOTAL'!AQ23</f>
        <v>0</v>
      </c>
    </row>
    <row r="19" spans="1:36" x14ac:dyDescent="0.25">
      <c r="A19" t="str">
        <f>'RESUMEN TOTAL'!A24</f>
        <v>BOSQUES CENTRO</v>
      </c>
      <c r="B19" t="str">
        <f>'RESUMEN TOTAL'!B24</f>
        <v>BOSQC 01</v>
      </c>
      <c r="C19" t="str">
        <f>'RESUMEN TOTAL'!D24</f>
        <v>LUIS AGOTE E/DANUNCIO Y CAMPOAMOR</v>
      </c>
      <c r="D19" s="30" t="str">
        <f>'RESUMEN TOTAL'!E24</f>
        <v>Fija</v>
      </c>
      <c r="E19" s="30" t="str">
        <f>'RESUMEN TOTAL'!F24</f>
        <v>PTO A FO</v>
      </c>
      <c r="F19" s="70">
        <f>'RESUMEN TOTAL'!M24</f>
        <v>0</v>
      </c>
      <c r="G19" s="70">
        <f>'RESUMEN TOTAL'!N24</f>
        <v>0</v>
      </c>
      <c r="H19" s="70">
        <f>'RESUMEN TOTAL'!O24</f>
        <v>0</v>
      </c>
      <c r="I19" s="70">
        <f>'RESUMEN TOTAL'!P24</f>
        <v>0</v>
      </c>
      <c r="J19" s="70">
        <f>'RESUMEN TOTAL'!Q24</f>
        <v>0</v>
      </c>
      <c r="K19" s="70">
        <f>'RESUMEN TOTAL'!R24</f>
        <v>0</v>
      </c>
      <c r="L19" s="70">
        <f>'RESUMEN TOTAL'!S24</f>
        <v>0</v>
      </c>
      <c r="M19" s="70">
        <f>'RESUMEN TOTAL'!T24</f>
        <v>0</v>
      </c>
      <c r="N19" s="70">
        <f>'RESUMEN TOTAL'!U24</f>
        <v>0</v>
      </c>
      <c r="O19" s="70">
        <f>'RESUMEN TOTAL'!V24</f>
        <v>0</v>
      </c>
      <c r="P19" s="70">
        <f>'RESUMEN TOTAL'!W24</f>
        <v>0</v>
      </c>
      <c r="Q19" s="70">
        <f>'RESUMEN TOTAL'!X24</f>
        <v>0</v>
      </c>
      <c r="R19" s="70">
        <f>'RESUMEN TOTAL'!Y24</f>
        <v>0</v>
      </c>
      <c r="S19" s="70">
        <f>'RESUMEN TOTAL'!Z24</f>
        <v>0</v>
      </c>
      <c r="T19" s="70">
        <f>'RESUMEN TOTAL'!AA24</f>
        <v>0</v>
      </c>
      <c r="U19" s="70">
        <f>'RESUMEN TOTAL'!AB24</f>
        <v>0</v>
      </c>
      <c r="V19" s="70">
        <f>'RESUMEN TOTAL'!AC24</f>
        <v>0</v>
      </c>
      <c r="W19" s="70">
        <f>'RESUMEN TOTAL'!AD24</f>
        <v>0</v>
      </c>
      <c r="X19" s="70">
        <f>'RESUMEN TOTAL'!AE24</f>
        <v>0</v>
      </c>
      <c r="Y19" s="70">
        <f>'RESUMEN TOTAL'!AF24</f>
        <v>0</v>
      </c>
      <c r="Z19" s="70">
        <f>'RESUMEN TOTAL'!AG24</f>
        <v>0</v>
      </c>
      <c r="AA19" s="70">
        <f>'RESUMEN TOTAL'!AH24</f>
        <v>0</v>
      </c>
      <c r="AB19" s="70">
        <f>'RESUMEN TOTAL'!AI24</f>
        <v>0</v>
      </c>
      <c r="AC19" s="70">
        <f>'RESUMEN TOTAL'!AJ24</f>
        <v>0</v>
      </c>
      <c r="AD19" s="70">
        <f>'RESUMEN TOTAL'!AK24</f>
        <v>0</v>
      </c>
      <c r="AE19" s="70">
        <f>'RESUMEN TOTAL'!AL24</f>
        <v>0</v>
      </c>
      <c r="AF19" s="70">
        <f>'RESUMEN TOTAL'!AM24</f>
        <v>0</v>
      </c>
      <c r="AG19" s="70">
        <f>'RESUMEN TOTAL'!AN24</f>
        <v>0</v>
      </c>
      <c r="AH19" s="70">
        <f>'RESUMEN TOTAL'!AO24</f>
        <v>0</v>
      </c>
      <c r="AI19" s="70">
        <f>'RESUMEN TOTAL'!AP24</f>
        <v>0</v>
      </c>
      <c r="AJ19" s="70">
        <f>'RESUMEN TOTAL'!AQ24</f>
        <v>0</v>
      </c>
    </row>
    <row r="20" spans="1:36" x14ac:dyDescent="0.25">
      <c r="A20" t="str">
        <f>'RESUMEN TOTAL'!A25</f>
        <v>BOSQUES CENTRO</v>
      </c>
      <c r="B20" t="str">
        <f>'RESUMEN TOTAL'!B25</f>
        <v>BOSQC 02</v>
      </c>
      <c r="C20" t="str">
        <f>'RESUMEN TOTAL'!D25</f>
        <v>LUIS AGOTE E/DANUNCIO Y CAMPOAMOR</v>
      </c>
      <c r="D20" s="30" t="str">
        <f>'RESUMEN TOTAL'!E25</f>
        <v>Fija</v>
      </c>
      <c r="E20" s="30" t="str">
        <f>'RESUMEN TOTAL'!F25</f>
        <v>PTO A FO</v>
      </c>
      <c r="F20" s="70">
        <f>'RESUMEN TOTAL'!M25</f>
        <v>0</v>
      </c>
      <c r="G20" s="70">
        <f>'RESUMEN TOTAL'!N25</f>
        <v>0</v>
      </c>
      <c r="H20" s="70">
        <f>'RESUMEN TOTAL'!O25</f>
        <v>0</v>
      </c>
      <c r="I20" s="70">
        <f>'RESUMEN TOTAL'!P25</f>
        <v>0</v>
      </c>
      <c r="J20" s="70">
        <f>'RESUMEN TOTAL'!Q25</f>
        <v>0</v>
      </c>
      <c r="K20" s="70">
        <f>'RESUMEN TOTAL'!R25</f>
        <v>0</v>
      </c>
      <c r="L20" s="70">
        <f>'RESUMEN TOTAL'!S25</f>
        <v>0</v>
      </c>
      <c r="M20" s="70">
        <f>'RESUMEN TOTAL'!T25</f>
        <v>0</v>
      </c>
      <c r="N20" s="70">
        <f>'RESUMEN TOTAL'!U25</f>
        <v>0</v>
      </c>
      <c r="O20" s="70">
        <f>'RESUMEN TOTAL'!V25</f>
        <v>0</v>
      </c>
      <c r="P20" s="70">
        <f>'RESUMEN TOTAL'!W25</f>
        <v>0</v>
      </c>
      <c r="Q20" s="70">
        <f>'RESUMEN TOTAL'!X25</f>
        <v>0</v>
      </c>
      <c r="R20" s="70">
        <f>'RESUMEN TOTAL'!Y25</f>
        <v>0</v>
      </c>
      <c r="S20" s="70">
        <f>'RESUMEN TOTAL'!Z25</f>
        <v>0</v>
      </c>
      <c r="T20" s="70">
        <f>'RESUMEN TOTAL'!AA25</f>
        <v>0</v>
      </c>
      <c r="U20" s="70">
        <f>'RESUMEN TOTAL'!AB25</f>
        <v>0</v>
      </c>
      <c r="V20" s="70">
        <f>'RESUMEN TOTAL'!AC25</f>
        <v>0</v>
      </c>
      <c r="W20" s="70">
        <f>'RESUMEN TOTAL'!AD25</f>
        <v>0</v>
      </c>
      <c r="X20" s="70">
        <f>'RESUMEN TOTAL'!AE25</f>
        <v>0</v>
      </c>
      <c r="Y20" s="70">
        <f>'RESUMEN TOTAL'!AF25</f>
        <v>0</v>
      </c>
      <c r="Z20" s="70">
        <f>'RESUMEN TOTAL'!AG25</f>
        <v>0</v>
      </c>
      <c r="AA20" s="70">
        <f>'RESUMEN TOTAL'!AH25</f>
        <v>0</v>
      </c>
      <c r="AB20" s="70">
        <f>'RESUMEN TOTAL'!AI25</f>
        <v>0</v>
      </c>
      <c r="AC20" s="70">
        <f>'RESUMEN TOTAL'!AJ25</f>
        <v>0</v>
      </c>
      <c r="AD20" s="70">
        <f>'RESUMEN TOTAL'!AK25</f>
        <v>0</v>
      </c>
      <c r="AE20" s="70">
        <f>'RESUMEN TOTAL'!AL25</f>
        <v>0</v>
      </c>
      <c r="AF20" s="70">
        <f>'RESUMEN TOTAL'!AM25</f>
        <v>0</v>
      </c>
      <c r="AG20" s="70">
        <f>'RESUMEN TOTAL'!AN25</f>
        <v>0</v>
      </c>
      <c r="AH20" s="70">
        <f>'RESUMEN TOTAL'!AO25</f>
        <v>0</v>
      </c>
      <c r="AI20" s="70">
        <f>'RESUMEN TOTAL'!AP25</f>
        <v>0</v>
      </c>
      <c r="AJ20" s="70">
        <f>'RESUMEN TOTAL'!AQ25</f>
        <v>0</v>
      </c>
    </row>
    <row r="21" spans="1:36" x14ac:dyDescent="0.25">
      <c r="A21" t="str">
        <f>'RESUMEN TOTAL'!A26</f>
        <v>BOSQUES CENTRO</v>
      </c>
      <c r="B21" t="str">
        <f>'RESUMEN TOTAL'!B26</f>
        <v>BOSQC 03</v>
      </c>
      <c r="C21" t="str">
        <f>'RESUMEN TOTAL'!D26</f>
        <v>BENAVENTE Y LUIS AGOTE</v>
      </c>
      <c r="D21" s="30" t="str">
        <f>'RESUMEN TOTAL'!E26</f>
        <v>Fija</v>
      </c>
      <c r="E21" s="30" t="str">
        <f>'RESUMEN TOTAL'!F26</f>
        <v>PTO A FO</v>
      </c>
      <c r="F21" s="70">
        <f>'RESUMEN TOTAL'!M26</f>
        <v>0</v>
      </c>
      <c r="G21" s="70">
        <f>'RESUMEN TOTAL'!N26</f>
        <v>0</v>
      </c>
      <c r="H21" s="70">
        <f>'RESUMEN TOTAL'!O26</f>
        <v>0</v>
      </c>
      <c r="I21" s="70">
        <f>'RESUMEN TOTAL'!P26</f>
        <v>0</v>
      </c>
      <c r="J21" s="70">
        <f>'RESUMEN TOTAL'!Q26</f>
        <v>0</v>
      </c>
      <c r="K21" s="70">
        <f>'RESUMEN TOTAL'!R26</f>
        <v>0</v>
      </c>
      <c r="L21" s="70">
        <f>'RESUMEN TOTAL'!S26</f>
        <v>0</v>
      </c>
      <c r="M21" s="70">
        <f>'RESUMEN TOTAL'!T26</f>
        <v>0</v>
      </c>
      <c r="N21" s="70">
        <f>'RESUMEN TOTAL'!U26</f>
        <v>0</v>
      </c>
      <c r="O21" s="70">
        <f>'RESUMEN TOTAL'!V26</f>
        <v>0</v>
      </c>
      <c r="P21" s="70">
        <f>'RESUMEN TOTAL'!W26</f>
        <v>0</v>
      </c>
      <c r="Q21" s="70">
        <f>'RESUMEN TOTAL'!X26</f>
        <v>0</v>
      </c>
      <c r="R21" s="70">
        <f>'RESUMEN TOTAL'!Y26</f>
        <v>0</v>
      </c>
      <c r="S21" s="70">
        <f>'RESUMEN TOTAL'!Z26</f>
        <v>0</v>
      </c>
      <c r="T21" s="70">
        <f>'RESUMEN TOTAL'!AA26</f>
        <v>0</v>
      </c>
      <c r="U21" s="70">
        <f>'RESUMEN TOTAL'!AB26</f>
        <v>0</v>
      </c>
      <c r="V21" s="70">
        <f>'RESUMEN TOTAL'!AC26</f>
        <v>0</v>
      </c>
      <c r="W21" s="70">
        <f>'RESUMEN TOTAL'!AD26</f>
        <v>0</v>
      </c>
      <c r="X21" s="70">
        <f>'RESUMEN TOTAL'!AE26</f>
        <v>0</v>
      </c>
      <c r="Y21" s="70">
        <f>'RESUMEN TOTAL'!AF26</f>
        <v>0</v>
      </c>
      <c r="Z21" s="70">
        <f>'RESUMEN TOTAL'!AG26</f>
        <v>0</v>
      </c>
      <c r="AA21" s="70">
        <f>'RESUMEN TOTAL'!AH26</f>
        <v>0</v>
      </c>
      <c r="AB21" s="70">
        <f>'RESUMEN TOTAL'!AI26</f>
        <v>0</v>
      </c>
      <c r="AC21" s="70">
        <f>'RESUMEN TOTAL'!AJ26</f>
        <v>0</v>
      </c>
      <c r="AD21" s="70">
        <f>'RESUMEN TOTAL'!AK26</f>
        <v>0</v>
      </c>
      <c r="AE21" s="70">
        <f>'RESUMEN TOTAL'!AL26</f>
        <v>0</v>
      </c>
      <c r="AF21" s="70">
        <f>'RESUMEN TOTAL'!AM26</f>
        <v>0</v>
      </c>
      <c r="AG21" s="70">
        <f>'RESUMEN TOTAL'!AN26</f>
        <v>0</v>
      </c>
      <c r="AH21" s="70">
        <f>'RESUMEN TOTAL'!AO26</f>
        <v>0</v>
      </c>
      <c r="AI21" s="70">
        <f>'RESUMEN TOTAL'!AP26</f>
        <v>0</v>
      </c>
      <c r="AJ21" s="70">
        <f>'RESUMEN TOTAL'!AQ26</f>
        <v>0</v>
      </c>
    </row>
    <row r="22" spans="1:36" x14ac:dyDescent="0.25">
      <c r="A22" t="str">
        <f>'RESUMEN TOTAL'!A27</f>
        <v>BOSQUES CENTRO</v>
      </c>
      <c r="B22" t="str">
        <f>'RESUMEN TOTAL'!B27</f>
        <v>BOSQC 04</v>
      </c>
      <c r="C22" t="str">
        <f>'RESUMEN TOTAL'!D27</f>
        <v>BENAVENTE Y LUIS AGOTE</v>
      </c>
      <c r="D22" s="30" t="str">
        <f>'RESUMEN TOTAL'!E27</f>
        <v>Fija</v>
      </c>
      <c r="E22" s="30" t="str">
        <f>'RESUMEN TOTAL'!F27</f>
        <v>PTO A FO</v>
      </c>
      <c r="F22" s="70">
        <f>'RESUMEN TOTAL'!M27</f>
        <v>0</v>
      </c>
      <c r="G22" s="70">
        <f>'RESUMEN TOTAL'!N27</f>
        <v>0</v>
      </c>
      <c r="H22" s="70">
        <f>'RESUMEN TOTAL'!O27</f>
        <v>0</v>
      </c>
      <c r="I22" s="70">
        <f>'RESUMEN TOTAL'!P27</f>
        <v>0</v>
      </c>
      <c r="J22" s="70">
        <f>'RESUMEN TOTAL'!Q27</f>
        <v>0</v>
      </c>
      <c r="K22" s="70">
        <f>'RESUMEN TOTAL'!R27</f>
        <v>0</v>
      </c>
      <c r="L22" s="70">
        <f>'RESUMEN TOTAL'!S27</f>
        <v>0</v>
      </c>
      <c r="M22" s="70">
        <f>'RESUMEN TOTAL'!T27</f>
        <v>0</v>
      </c>
      <c r="N22" s="70">
        <f>'RESUMEN TOTAL'!U27</f>
        <v>0</v>
      </c>
      <c r="O22" s="70">
        <f>'RESUMEN TOTAL'!V27</f>
        <v>0</v>
      </c>
      <c r="P22" s="70">
        <f>'RESUMEN TOTAL'!W27</f>
        <v>0</v>
      </c>
      <c r="Q22" s="70">
        <f>'RESUMEN TOTAL'!X27</f>
        <v>0</v>
      </c>
      <c r="R22" s="70">
        <f>'RESUMEN TOTAL'!Y27</f>
        <v>0</v>
      </c>
      <c r="S22" s="70">
        <f>'RESUMEN TOTAL'!Z27</f>
        <v>0</v>
      </c>
      <c r="T22" s="70">
        <f>'RESUMEN TOTAL'!AA27</f>
        <v>0</v>
      </c>
      <c r="U22" s="70">
        <f>'RESUMEN TOTAL'!AB27</f>
        <v>0</v>
      </c>
      <c r="V22" s="70">
        <f>'RESUMEN TOTAL'!AC27</f>
        <v>0</v>
      </c>
      <c r="W22" s="70">
        <f>'RESUMEN TOTAL'!AD27</f>
        <v>0</v>
      </c>
      <c r="X22" s="70">
        <f>'RESUMEN TOTAL'!AE27</f>
        <v>0</v>
      </c>
      <c r="Y22" s="70">
        <f>'RESUMEN TOTAL'!AF27</f>
        <v>0</v>
      </c>
      <c r="Z22" s="70">
        <f>'RESUMEN TOTAL'!AG27</f>
        <v>0</v>
      </c>
      <c r="AA22" s="70">
        <f>'RESUMEN TOTAL'!AH27</f>
        <v>0</v>
      </c>
      <c r="AB22" s="70">
        <f>'RESUMEN TOTAL'!AI27</f>
        <v>0</v>
      </c>
      <c r="AC22" s="70">
        <f>'RESUMEN TOTAL'!AJ27</f>
        <v>0</v>
      </c>
      <c r="AD22" s="70">
        <f>'RESUMEN TOTAL'!AK27</f>
        <v>0</v>
      </c>
      <c r="AE22" s="70">
        <f>'RESUMEN TOTAL'!AL27</f>
        <v>0</v>
      </c>
      <c r="AF22" s="70">
        <f>'RESUMEN TOTAL'!AM27</f>
        <v>0</v>
      </c>
      <c r="AG22" s="70">
        <f>'RESUMEN TOTAL'!AN27</f>
        <v>0</v>
      </c>
      <c r="AH22" s="70">
        <f>'RESUMEN TOTAL'!AO27</f>
        <v>0</v>
      </c>
      <c r="AI22" s="70">
        <f>'RESUMEN TOTAL'!AP27</f>
        <v>0</v>
      </c>
      <c r="AJ22" s="70">
        <f>'RESUMEN TOTAL'!AQ27</f>
        <v>0</v>
      </c>
    </row>
    <row r="23" spans="1:36" x14ac:dyDescent="0.25">
      <c r="A23" t="str">
        <f>'RESUMEN TOTAL'!A28</f>
        <v>BOSQUES CENTRO</v>
      </c>
      <c r="B23" t="str">
        <f>'RESUMEN TOTAL'!B28</f>
        <v>BOSQC 05</v>
      </c>
      <c r="C23" t="str">
        <f>'RESUMEN TOTAL'!D28</f>
        <v>LUIS AGOTE Y RUTA 36</v>
      </c>
      <c r="D23" s="30" t="str">
        <f>'RESUMEN TOTAL'!E28</f>
        <v>Fija</v>
      </c>
      <c r="E23" s="30" t="str">
        <f>'RESUMEN TOTAL'!F28</f>
        <v>PTO A FO</v>
      </c>
      <c r="F23" s="70">
        <f>'RESUMEN TOTAL'!M28</f>
        <v>0</v>
      </c>
      <c r="G23" s="70">
        <f>'RESUMEN TOTAL'!N28</f>
        <v>0</v>
      </c>
      <c r="H23" s="70">
        <f>'RESUMEN TOTAL'!O28</f>
        <v>0</v>
      </c>
      <c r="I23" s="70">
        <f>'RESUMEN TOTAL'!P28</f>
        <v>0</v>
      </c>
      <c r="J23" s="70">
        <f>'RESUMEN TOTAL'!Q28</f>
        <v>0</v>
      </c>
      <c r="K23" s="70">
        <f>'RESUMEN TOTAL'!R28</f>
        <v>0</v>
      </c>
      <c r="L23" s="70">
        <f>'RESUMEN TOTAL'!S28</f>
        <v>0</v>
      </c>
      <c r="M23" s="70">
        <f>'RESUMEN TOTAL'!T28</f>
        <v>0</v>
      </c>
      <c r="N23" s="70">
        <f>'RESUMEN TOTAL'!U28</f>
        <v>0</v>
      </c>
      <c r="O23" s="70">
        <f>'RESUMEN TOTAL'!V28</f>
        <v>0</v>
      </c>
      <c r="P23" s="70">
        <f>'RESUMEN TOTAL'!W28</f>
        <v>0</v>
      </c>
      <c r="Q23" s="70">
        <f>'RESUMEN TOTAL'!X28</f>
        <v>0</v>
      </c>
      <c r="R23" s="70">
        <f>'RESUMEN TOTAL'!Y28</f>
        <v>0</v>
      </c>
      <c r="S23" s="70">
        <f>'RESUMEN TOTAL'!Z28</f>
        <v>0</v>
      </c>
      <c r="T23" s="70">
        <f>'RESUMEN TOTAL'!AA28</f>
        <v>0</v>
      </c>
      <c r="U23" s="70">
        <f>'RESUMEN TOTAL'!AB28</f>
        <v>0</v>
      </c>
      <c r="V23" s="70">
        <f>'RESUMEN TOTAL'!AC28</f>
        <v>0</v>
      </c>
      <c r="W23" s="70">
        <f>'RESUMEN TOTAL'!AD28</f>
        <v>0</v>
      </c>
      <c r="X23" s="70">
        <f>'RESUMEN TOTAL'!AE28</f>
        <v>0</v>
      </c>
      <c r="Y23" s="70">
        <f>'RESUMEN TOTAL'!AF28</f>
        <v>0</v>
      </c>
      <c r="Z23" s="70">
        <f>'RESUMEN TOTAL'!AG28</f>
        <v>0</v>
      </c>
      <c r="AA23" s="70">
        <f>'RESUMEN TOTAL'!AH28</f>
        <v>0</v>
      </c>
      <c r="AB23" s="70">
        <f>'RESUMEN TOTAL'!AI28</f>
        <v>0</v>
      </c>
      <c r="AC23" s="70">
        <f>'RESUMEN TOTAL'!AJ28</f>
        <v>0</v>
      </c>
      <c r="AD23" s="70">
        <f>'RESUMEN TOTAL'!AK28</f>
        <v>0</v>
      </c>
      <c r="AE23" s="70">
        <f>'RESUMEN TOTAL'!AL28</f>
        <v>0</v>
      </c>
      <c r="AF23" s="70">
        <f>'RESUMEN TOTAL'!AM28</f>
        <v>0</v>
      </c>
      <c r="AG23" s="70">
        <f>'RESUMEN TOTAL'!AN28</f>
        <v>0</v>
      </c>
      <c r="AH23" s="70">
        <f>'RESUMEN TOTAL'!AO28</f>
        <v>0</v>
      </c>
      <c r="AI23" s="70">
        <f>'RESUMEN TOTAL'!AP28</f>
        <v>0</v>
      </c>
      <c r="AJ23" s="70">
        <f>'RESUMEN TOTAL'!AQ28</f>
        <v>0</v>
      </c>
    </row>
    <row r="24" spans="1:36" x14ac:dyDescent="0.25">
      <c r="A24" t="str">
        <f>'RESUMEN TOTAL'!A29</f>
        <v>BOSQUES CENTRO</v>
      </c>
      <c r="B24" t="str">
        <f>'RESUMEN TOTAL'!B29</f>
        <v>BOSQC 06</v>
      </c>
      <c r="C24" t="str">
        <f>'RESUMEN TOTAL'!D29</f>
        <v>LUIS AGOTE Y RUTA 36</v>
      </c>
      <c r="D24" s="30" t="str">
        <f>'RESUMEN TOTAL'!E29</f>
        <v>Fija</v>
      </c>
      <c r="E24" s="30" t="str">
        <f>'RESUMEN TOTAL'!F29</f>
        <v>PTO A FO</v>
      </c>
      <c r="F24" s="70">
        <f>'RESUMEN TOTAL'!M29</f>
        <v>0</v>
      </c>
      <c r="G24" s="70">
        <f>'RESUMEN TOTAL'!N29</f>
        <v>0</v>
      </c>
      <c r="H24" s="70">
        <f>'RESUMEN TOTAL'!O29</f>
        <v>0</v>
      </c>
      <c r="I24" s="70">
        <f>'RESUMEN TOTAL'!P29</f>
        <v>0</v>
      </c>
      <c r="J24" s="70">
        <f>'RESUMEN TOTAL'!Q29</f>
        <v>0</v>
      </c>
      <c r="K24" s="70">
        <f>'RESUMEN TOTAL'!R29</f>
        <v>0</v>
      </c>
      <c r="L24" s="70">
        <f>'RESUMEN TOTAL'!S29</f>
        <v>0</v>
      </c>
      <c r="M24" s="70">
        <f>'RESUMEN TOTAL'!T29</f>
        <v>0</v>
      </c>
      <c r="N24" s="70">
        <f>'RESUMEN TOTAL'!U29</f>
        <v>0</v>
      </c>
      <c r="O24" s="70">
        <f>'RESUMEN TOTAL'!V29</f>
        <v>0</v>
      </c>
      <c r="P24" s="70">
        <f>'RESUMEN TOTAL'!W29</f>
        <v>0</v>
      </c>
      <c r="Q24" s="70">
        <f>'RESUMEN TOTAL'!X29</f>
        <v>0</v>
      </c>
      <c r="R24" s="70">
        <f>'RESUMEN TOTAL'!Y29</f>
        <v>0</v>
      </c>
      <c r="S24" s="70">
        <f>'RESUMEN TOTAL'!Z29</f>
        <v>0</v>
      </c>
      <c r="T24" s="70">
        <f>'RESUMEN TOTAL'!AA29</f>
        <v>0</v>
      </c>
      <c r="U24" s="70">
        <f>'RESUMEN TOTAL'!AB29</f>
        <v>0</v>
      </c>
      <c r="V24" s="70">
        <f>'RESUMEN TOTAL'!AC29</f>
        <v>0</v>
      </c>
      <c r="W24" s="70">
        <f>'RESUMEN TOTAL'!AD29</f>
        <v>0</v>
      </c>
      <c r="X24" s="70">
        <f>'RESUMEN TOTAL'!AE29</f>
        <v>0</v>
      </c>
      <c r="Y24" s="70">
        <f>'RESUMEN TOTAL'!AF29</f>
        <v>0</v>
      </c>
      <c r="Z24" s="70">
        <f>'RESUMEN TOTAL'!AG29</f>
        <v>0</v>
      </c>
      <c r="AA24" s="70">
        <f>'RESUMEN TOTAL'!AH29</f>
        <v>0</v>
      </c>
      <c r="AB24" s="70">
        <f>'RESUMEN TOTAL'!AI29</f>
        <v>0</v>
      </c>
      <c r="AC24" s="70">
        <f>'RESUMEN TOTAL'!AJ29</f>
        <v>0</v>
      </c>
      <c r="AD24" s="70">
        <f>'RESUMEN TOTAL'!AK29</f>
        <v>0</v>
      </c>
      <c r="AE24" s="70">
        <f>'RESUMEN TOTAL'!AL29</f>
        <v>0</v>
      </c>
      <c r="AF24" s="70">
        <f>'RESUMEN TOTAL'!AM29</f>
        <v>0</v>
      </c>
      <c r="AG24" s="70">
        <f>'RESUMEN TOTAL'!AN29</f>
        <v>0</v>
      </c>
      <c r="AH24" s="70">
        <f>'RESUMEN TOTAL'!AO29</f>
        <v>0</v>
      </c>
      <c r="AI24" s="70">
        <f>'RESUMEN TOTAL'!AP29</f>
        <v>0</v>
      </c>
      <c r="AJ24" s="70">
        <f>'RESUMEN TOTAL'!AQ29</f>
        <v>0</v>
      </c>
    </row>
    <row r="25" spans="1:36" x14ac:dyDescent="0.25">
      <c r="A25" t="str">
        <f>'RESUMEN TOTAL'!A46</f>
        <v>CENTRO</v>
      </c>
      <c r="B25" t="str">
        <f>'RESUMEN TOTAL'!B46</f>
        <v>CEN01</v>
      </c>
      <c r="C25" t="str">
        <f>'RESUMEN TOTAL'!D46</f>
        <v>San Martin y 9 de Julio</v>
      </c>
      <c r="D25" s="30" t="str">
        <f>'RESUMEN TOTAL'!E46</f>
        <v>Fija</v>
      </c>
      <c r="E25" s="30" t="str">
        <f>'RESUMEN TOTAL'!F46</f>
        <v>Fibra Optica</v>
      </c>
      <c r="F25" s="70">
        <f>'RESUMEN TOTAL'!M46</f>
        <v>0</v>
      </c>
      <c r="G25" s="70">
        <f>'RESUMEN TOTAL'!N46</f>
        <v>0</v>
      </c>
      <c r="H25" s="70">
        <f>'RESUMEN TOTAL'!O46</f>
        <v>0</v>
      </c>
      <c r="I25" s="70">
        <f>'RESUMEN TOTAL'!P46</f>
        <v>0</v>
      </c>
      <c r="J25" s="70">
        <f>'RESUMEN TOTAL'!Q46</f>
        <v>0</v>
      </c>
      <c r="K25" s="70">
        <f>'RESUMEN TOTAL'!R46</f>
        <v>0</v>
      </c>
      <c r="L25" s="70">
        <f>'RESUMEN TOTAL'!S46</f>
        <v>0</v>
      </c>
      <c r="M25" s="70">
        <f>'RESUMEN TOTAL'!T46</f>
        <v>0</v>
      </c>
      <c r="N25" s="70">
        <f>'RESUMEN TOTAL'!U46</f>
        <v>0</v>
      </c>
      <c r="O25" s="70">
        <f>'RESUMEN TOTAL'!V46</f>
        <v>0</v>
      </c>
      <c r="P25" s="70">
        <f>'RESUMEN TOTAL'!W46</f>
        <v>0</v>
      </c>
      <c r="Q25" s="70">
        <f>'RESUMEN TOTAL'!X46</f>
        <v>0</v>
      </c>
      <c r="R25" s="70">
        <f>'RESUMEN TOTAL'!Y46</f>
        <v>0</v>
      </c>
      <c r="S25" s="70">
        <f>'RESUMEN TOTAL'!Z46</f>
        <v>0</v>
      </c>
      <c r="T25" s="70">
        <f>'RESUMEN TOTAL'!AA46</f>
        <v>0</v>
      </c>
      <c r="U25" s="70">
        <f>'RESUMEN TOTAL'!AB46</f>
        <v>0</v>
      </c>
      <c r="V25" s="70">
        <f>'RESUMEN TOTAL'!AC46</f>
        <v>0</v>
      </c>
      <c r="W25" s="70">
        <f>'RESUMEN TOTAL'!AD46</f>
        <v>0</v>
      </c>
      <c r="X25" s="70">
        <f>'RESUMEN TOTAL'!AE46</f>
        <v>0</v>
      </c>
      <c r="Y25" s="70">
        <f>'RESUMEN TOTAL'!AF46</f>
        <v>0</v>
      </c>
      <c r="Z25" s="70">
        <f>'RESUMEN TOTAL'!AG46</f>
        <v>0</v>
      </c>
      <c r="AA25" s="70">
        <f>'RESUMEN TOTAL'!AH46</f>
        <v>0</v>
      </c>
      <c r="AB25" s="70">
        <f>'RESUMEN TOTAL'!AI46</f>
        <v>0</v>
      </c>
      <c r="AC25" s="70">
        <f>'RESUMEN TOTAL'!AJ46</f>
        <v>0</v>
      </c>
      <c r="AD25" s="70">
        <f>'RESUMEN TOTAL'!AK46</f>
        <v>0</v>
      </c>
      <c r="AE25" s="70">
        <f>'RESUMEN TOTAL'!AL46</f>
        <v>0</v>
      </c>
      <c r="AF25" s="70">
        <f>'RESUMEN TOTAL'!AM46</f>
        <v>0</v>
      </c>
      <c r="AG25" s="70">
        <f>'RESUMEN TOTAL'!AN46</f>
        <v>0</v>
      </c>
      <c r="AH25" s="70">
        <f>'RESUMEN TOTAL'!AO46</f>
        <v>0</v>
      </c>
      <c r="AI25" s="70">
        <f>'RESUMEN TOTAL'!AP46</f>
        <v>0</v>
      </c>
      <c r="AJ25" s="70">
        <f>'RESUMEN TOTAL'!AQ46</f>
        <v>0</v>
      </c>
    </row>
    <row r="26" spans="1:36" x14ac:dyDescent="0.25">
      <c r="A26" t="str">
        <f>'RESUMEN TOTAL'!A47</f>
        <v>CENTRO</v>
      </c>
      <c r="B26" t="str">
        <f>'RESUMEN TOTAL'!B47</f>
        <v>CEN02</v>
      </c>
      <c r="C26" t="str">
        <f>'RESUMEN TOTAL'!D47</f>
        <v>San Martin y Almafuerte</v>
      </c>
      <c r="D26" s="30" t="str">
        <f>'RESUMEN TOTAL'!E47</f>
        <v>Fija</v>
      </c>
      <c r="E26" s="30" t="str">
        <f>'RESUMEN TOTAL'!F47</f>
        <v>Fibra Optica</v>
      </c>
      <c r="F26" s="70">
        <f>'RESUMEN TOTAL'!M47</f>
        <v>0</v>
      </c>
      <c r="G26" s="70">
        <f>'RESUMEN TOTAL'!N47</f>
        <v>0</v>
      </c>
      <c r="H26" s="70">
        <f>'RESUMEN TOTAL'!O47</f>
        <v>0</v>
      </c>
      <c r="I26" s="70">
        <f>'RESUMEN TOTAL'!P47</f>
        <v>0</v>
      </c>
      <c r="J26" s="70">
        <f>'RESUMEN TOTAL'!Q47</f>
        <v>0</v>
      </c>
      <c r="K26" s="70">
        <f>'RESUMEN TOTAL'!R47</f>
        <v>0</v>
      </c>
      <c r="L26" s="70">
        <f>'RESUMEN TOTAL'!S47</f>
        <v>0</v>
      </c>
      <c r="M26" s="70">
        <f>'RESUMEN TOTAL'!T47</f>
        <v>0</v>
      </c>
      <c r="N26" s="70">
        <f>'RESUMEN TOTAL'!U47</f>
        <v>0</v>
      </c>
      <c r="O26" s="70">
        <f>'RESUMEN TOTAL'!V47</f>
        <v>0</v>
      </c>
      <c r="P26" s="70">
        <f>'RESUMEN TOTAL'!W47</f>
        <v>0</v>
      </c>
      <c r="Q26" s="70">
        <f>'RESUMEN TOTAL'!X47</f>
        <v>0</v>
      </c>
      <c r="R26" s="70">
        <f>'RESUMEN TOTAL'!Y47</f>
        <v>0</v>
      </c>
      <c r="S26" s="70">
        <f>'RESUMEN TOTAL'!Z47</f>
        <v>0</v>
      </c>
      <c r="T26" s="70">
        <f>'RESUMEN TOTAL'!AA47</f>
        <v>0</v>
      </c>
      <c r="U26" s="70">
        <f>'RESUMEN TOTAL'!AB47</f>
        <v>0</v>
      </c>
      <c r="V26" s="70">
        <f>'RESUMEN TOTAL'!AC47</f>
        <v>0</v>
      </c>
      <c r="W26" s="70">
        <f>'RESUMEN TOTAL'!AD47</f>
        <v>0</v>
      </c>
      <c r="X26" s="70">
        <f>'RESUMEN TOTAL'!AE47</f>
        <v>0</v>
      </c>
      <c r="Y26" s="70">
        <f>'RESUMEN TOTAL'!AF47</f>
        <v>0</v>
      </c>
      <c r="Z26" s="70">
        <f>'RESUMEN TOTAL'!AG47</f>
        <v>0</v>
      </c>
      <c r="AA26" s="70">
        <f>'RESUMEN TOTAL'!AH47</f>
        <v>0</v>
      </c>
      <c r="AB26" s="70">
        <f>'RESUMEN TOTAL'!AI47</f>
        <v>0</v>
      </c>
      <c r="AC26" s="70">
        <f>'RESUMEN TOTAL'!AJ47</f>
        <v>0</v>
      </c>
      <c r="AD26" s="70">
        <f>'RESUMEN TOTAL'!AK47</f>
        <v>0</v>
      </c>
      <c r="AE26" s="70">
        <f>'RESUMEN TOTAL'!AL47</f>
        <v>0</v>
      </c>
      <c r="AF26" s="70">
        <f>'RESUMEN TOTAL'!AM47</f>
        <v>0</v>
      </c>
      <c r="AG26" s="70">
        <f>'RESUMEN TOTAL'!AN47</f>
        <v>0</v>
      </c>
      <c r="AH26" s="70">
        <f>'RESUMEN TOTAL'!AO47</f>
        <v>0</v>
      </c>
      <c r="AI26" s="70">
        <f>'RESUMEN TOTAL'!AP47</f>
        <v>0</v>
      </c>
      <c r="AJ26" s="70">
        <f>'RESUMEN TOTAL'!AQ47</f>
        <v>0</v>
      </c>
    </row>
    <row r="27" spans="1:36" x14ac:dyDescent="0.25">
      <c r="A27" t="str">
        <f>'RESUMEN TOTAL'!A48</f>
        <v>CENTRO</v>
      </c>
      <c r="B27" t="str">
        <f>'RESUMEN TOTAL'!B48</f>
        <v>CEN03</v>
      </c>
      <c r="C27" t="str">
        <f>'RESUMEN TOTAL'!D48</f>
        <v>San Martin y Sallares</v>
      </c>
      <c r="D27" s="30" t="str">
        <f>'RESUMEN TOTAL'!E48</f>
        <v>Domo</v>
      </c>
      <c r="E27" s="30" t="str">
        <f>'RESUMEN TOTAL'!F48</f>
        <v>Fibra Optica</v>
      </c>
      <c r="F27" s="70">
        <f>'RESUMEN TOTAL'!M48</f>
        <v>0</v>
      </c>
      <c r="G27" s="70">
        <f>'RESUMEN TOTAL'!N48</f>
        <v>0</v>
      </c>
      <c r="H27" s="70">
        <f>'RESUMEN TOTAL'!O48</f>
        <v>0</v>
      </c>
      <c r="I27" s="70">
        <f>'RESUMEN TOTAL'!P48</f>
        <v>0</v>
      </c>
      <c r="J27" s="70">
        <f>'RESUMEN TOTAL'!Q48</f>
        <v>0</v>
      </c>
      <c r="K27" s="70">
        <f>'RESUMEN TOTAL'!R48</f>
        <v>0</v>
      </c>
      <c r="L27" s="70">
        <f>'RESUMEN TOTAL'!S48</f>
        <v>0</v>
      </c>
      <c r="M27" s="70">
        <f>'RESUMEN TOTAL'!T48</f>
        <v>0</v>
      </c>
      <c r="N27" s="70">
        <f>'RESUMEN TOTAL'!U48</f>
        <v>0</v>
      </c>
      <c r="O27" s="70">
        <f>'RESUMEN TOTAL'!V48</f>
        <v>0</v>
      </c>
      <c r="P27" s="70">
        <f>'RESUMEN TOTAL'!W48</f>
        <v>0</v>
      </c>
      <c r="Q27" s="70">
        <f>'RESUMEN TOTAL'!X48</f>
        <v>0</v>
      </c>
      <c r="R27" s="70">
        <f>'RESUMEN TOTAL'!Y48</f>
        <v>0</v>
      </c>
      <c r="S27" s="70">
        <f>'RESUMEN TOTAL'!Z48</f>
        <v>0</v>
      </c>
      <c r="T27" s="70">
        <f>'RESUMEN TOTAL'!AA48</f>
        <v>0</v>
      </c>
      <c r="U27" s="70">
        <f>'RESUMEN TOTAL'!AB48</f>
        <v>0</v>
      </c>
      <c r="V27" s="70">
        <f>'RESUMEN TOTAL'!AC48</f>
        <v>0</v>
      </c>
      <c r="W27" s="70">
        <f>'RESUMEN TOTAL'!AD48</f>
        <v>0</v>
      </c>
      <c r="X27" s="70">
        <f>'RESUMEN TOTAL'!AE48</f>
        <v>0</v>
      </c>
      <c r="Y27" s="70">
        <f>'RESUMEN TOTAL'!AF48</f>
        <v>0</v>
      </c>
      <c r="Z27" s="70">
        <f>'RESUMEN TOTAL'!AG48</f>
        <v>0</v>
      </c>
      <c r="AA27" s="70">
        <f>'RESUMEN TOTAL'!AH48</f>
        <v>0</v>
      </c>
      <c r="AB27" s="70">
        <f>'RESUMEN TOTAL'!AI48</f>
        <v>0</v>
      </c>
      <c r="AC27" s="70">
        <f>'RESUMEN TOTAL'!AJ48</f>
        <v>0</v>
      </c>
      <c r="AD27" s="70">
        <f>'RESUMEN TOTAL'!AK48</f>
        <v>0</v>
      </c>
      <c r="AE27" s="70">
        <f>'RESUMEN TOTAL'!AL48</f>
        <v>0</v>
      </c>
      <c r="AF27" s="70">
        <f>'RESUMEN TOTAL'!AM48</f>
        <v>0</v>
      </c>
      <c r="AG27" s="70">
        <f>'RESUMEN TOTAL'!AN48</f>
        <v>0</v>
      </c>
      <c r="AH27" s="70">
        <f>'RESUMEN TOTAL'!AO48</f>
        <v>0</v>
      </c>
      <c r="AI27" s="70">
        <f>'RESUMEN TOTAL'!AP48</f>
        <v>0</v>
      </c>
      <c r="AJ27" s="70">
        <f>'RESUMEN TOTAL'!AQ48</f>
        <v>0</v>
      </c>
    </row>
    <row r="28" spans="1:36" x14ac:dyDescent="0.25">
      <c r="A28" t="str">
        <f>'RESUMEN TOTAL'!A49</f>
        <v>CENTRO</v>
      </c>
      <c r="B28" t="str">
        <f>'RESUMEN TOTAL'!B49</f>
        <v>CEN04</v>
      </c>
      <c r="C28" t="str">
        <f>'RESUMEN TOTAL'!D49</f>
        <v>San Martin y Contreras</v>
      </c>
      <c r="D28" s="30" t="str">
        <f>'RESUMEN TOTAL'!E49</f>
        <v>Domo</v>
      </c>
      <c r="E28" s="30" t="str">
        <f>'RESUMEN TOTAL'!F49</f>
        <v>Fibra Optica</v>
      </c>
      <c r="F28" s="70">
        <f>'RESUMEN TOTAL'!M49</f>
        <v>0</v>
      </c>
      <c r="G28" s="70">
        <f>'RESUMEN TOTAL'!N49</f>
        <v>0</v>
      </c>
      <c r="H28" s="70">
        <f>'RESUMEN TOTAL'!O49</f>
        <v>0</v>
      </c>
      <c r="I28" s="70">
        <f>'RESUMEN TOTAL'!P49</f>
        <v>0</v>
      </c>
      <c r="J28" s="70">
        <f>'RESUMEN TOTAL'!Q49</f>
        <v>0</v>
      </c>
      <c r="K28" s="70">
        <f>'RESUMEN TOTAL'!R49</f>
        <v>0</v>
      </c>
      <c r="L28" s="70">
        <f>'RESUMEN TOTAL'!S49</f>
        <v>0</v>
      </c>
      <c r="M28" s="70">
        <f>'RESUMEN TOTAL'!T49</f>
        <v>0</v>
      </c>
      <c r="N28" s="70">
        <f>'RESUMEN TOTAL'!U49</f>
        <v>0</v>
      </c>
      <c r="O28" s="70">
        <f>'RESUMEN TOTAL'!V49</f>
        <v>0</v>
      </c>
      <c r="P28" s="70">
        <f>'RESUMEN TOTAL'!W49</f>
        <v>0</v>
      </c>
      <c r="Q28" s="70">
        <f>'RESUMEN TOTAL'!X49</f>
        <v>0</v>
      </c>
      <c r="R28" s="70">
        <f>'RESUMEN TOTAL'!Y49</f>
        <v>0</v>
      </c>
      <c r="S28" s="70">
        <f>'RESUMEN TOTAL'!Z49</f>
        <v>0</v>
      </c>
      <c r="T28" s="70">
        <f>'RESUMEN TOTAL'!AA49</f>
        <v>0</v>
      </c>
      <c r="U28" s="70">
        <f>'RESUMEN TOTAL'!AB49</f>
        <v>0</v>
      </c>
      <c r="V28" s="70">
        <f>'RESUMEN TOTAL'!AC49</f>
        <v>0</v>
      </c>
      <c r="W28" s="70">
        <f>'RESUMEN TOTAL'!AD49</f>
        <v>0</v>
      </c>
      <c r="X28" s="70">
        <f>'RESUMEN TOTAL'!AE49</f>
        <v>0</v>
      </c>
      <c r="Y28" s="70">
        <f>'RESUMEN TOTAL'!AF49</f>
        <v>0</v>
      </c>
      <c r="Z28" s="70">
        <f>'RESUMEN TOTAL'!AG49</f>
        <v>0</v>
      </c>
      <c r="AA28" s="70">
        <f>'RESUMEN TOTAL'!AH49</f>
        <v>0</v>
      </c>
      <c r="AB28" s="70">
        <f>'RESUMEN TOTAL'!AI49</f>
        <v>0</v>
      </c>
      <c r="AC28" s="70">
        <f>'RESUMEN TOTAL'!AJ49</f>
        <v>0</v>
      </c>
      <c r="AD28" s="70">
        <f>'RESUMEN TOTAL'!AK49</f>
        <v>0</v>
      </c>
      <c r="AE28" s="70">
        <f>'RESUMEN TOTAL'!AL49</f>
        <v>0</v>
      </c>
      <c r="AF28" s="70">
        <f>'RESUMEN TOTAL'!AM49</f>
        <v>0</v>
      </c>
      <c r="AG28" s="70">
        <f>'RESUMEN TOTAL'!AN49</f>
        <v>0</v>
      </c>
      <c r="AH28" s="70">
        <f>'RESUMEN TOTAL'!AO49</f>
        <v>0</v>
      </c>
      <c r="AI28" s="70">
        <f>'RESUMEN TOTAL'!AP49</f>
        <v>0</v>
      </c>
      <c r="AJ28" s="70">
        <f>'RESUMEN TOTAL'!AQ49</f>
        <v>0</v>
      </c>
    </row>
    <row r="29" spans="1:36" x14ac:dyDescent="0.25">
      <c r="A29" t="str">
        <f>'RESUMEN TOTAL'!A50</f>
        <v>CENTRO</v>
      </c>
      <c r="B29" t="str">
        <f>'RESUMEN TOTAL'!B50</f>
        <v>CEN 05</v>
      </c>
      <c r="C29" t="str">
        <f>'RESUMEN TOTAL'!D50</f>
        <v>Bocuzzi e/España y San Martin</v>
      </c>
      <c r="D29" s="30" t="str">
        <f>'RESUMEN TOTAL'!E50</f>
        <v>DOMO</v>
      </c>
      <c r="E29" s="30" t="str">
        <f>'RESUMEN TOTAL'!F50</f>
        <v>Fibra Optica</v>
      </c>
      <c r="F29" s="70">
        <f>'RESUMEN TOTAL'!M50</f>
        <v>0</v>
      </c>
      <c r="G29" s="70">
        <f>'RESUMEN TOTAL'!N50</f>
        <v>0</v>
      </c>
      <c r="H29" s="70">
        <f>'RESUMEN TOTAL'!O50</f>
        <v>0</v>
      </c>
      <c r="I29" s="70">
        <f>'RESUMEN TOTAL'!P50</f>
        <v>0</v>
      </c>
      <c r="J29" s="70">
        <f>'RESUMEN TOTAL'!Q50</f>
        <v>0</v>
      </c>
      <c r="K29" s="70">
        <f>'RESUMEN TOTAL'!R50</f>
        <v>0</v>
      </c>
      <c r="L29" s="70">
        <f>'RESUMEN TOTAL'!S50</f>
        <v>0</v>
      </c>
      <c r="M29" s="70">
        <f>'RESUMEN TOTAL'!T50</f>
        <v>0</v>
      </c>
      <c r="N29" s="70">
        <f>'RESUMEN TOTAL'!U50</f>
        <v>0</v>
      </c>
      <c r="O29" s="70">
        <f>'RESUMEN TOTAL'!V50</f>
        <v>0</v>
      </c>
      <c r="P29" s="70">
        <f>'RESUMEN TOTAL'!W50</f>
        <v>0</v>
      </c>
      <c r="Q29" s="70">
        <f>'RESUMEN TOTAL'!X50</f>
        <v>0</v>
      </c>
      <c r="R29" s="70">
        <f>'RESUMEN TOTAL'!Y50</f>
        <v>0</v>
      </c>
      <c r="S29" s="70">
        <f>'RESUMEN TOTAL'!Z50</f>
        <v>0</v>
      </c>
      <c r="T29" s="70">
        <f>'RESUMEN TOTAL'!AA50</f>
        <v>0</v>
      </c>
      <c r="U29" s="70">
        <f>'RESUMEN TOTAL'!AB50</f>
        <v>0</v>
      </c>
      <c r="V29" s="70">
        <f>'RESUMEN TOTAL'!AC50</f>
        <v>0</v>
      </c>
      <c r="W29" s="70">
        <f>'RESUMEN TOTAL'!AD50</f>
        <v>0</v>
      </c>
      <c r="X29" s="70">
        <f>'RESUMEN TOTAL'!AE50</f>
        <v>0</v>
      </c>
      <c r="Y29" s="70">
        <f>'RESUMEN TOTAL'!AF50</f>
        <v>0</v>
      </c>
      <c r="Z29" s="70">
        <f>'RESUMEN TOTAL'!AG50</f>
        <v>0</v>
      </c>
      <c r="AA29" s="70">
        <f>'RESUMEN TOTAL'!AH50</f>
        <v>0</v>
      </c>
      <c r="AB29" s="70">
        <f>'RESUMEN TOTAL'!AI50</f>
        <v>0</v>
      </c>
      <c r="AC29" s="70">
        <f>'RESUMEN TOTAL'!AJ50</f>
        <v>0</v>
      </c>
      <c r="AD29" s="70">
        <f>'RESUMEN TOTAL'!AK50</f>
        <v>0</v>
      </c>
      <c r="AE29" s="70">
        <f>'RESUMEN TOTAL'!AL50</f>
        <v>0</v>
      </c>
      <c r="AF29" s="70">
        <f>'RESUMEN TOTAL'!AM50</f>
        <v>0</v>
      </c>
      <c r="AG29" s="70">
        <f>'RESUMEN TOTAL'!AN50</f>
        <v>0</v>
      </c>
      <c r="AH29" s="70">
        <f>'RESUMEN TOTAL'!AO50</f>
        <v>0</v>
      </c>
      <c r="AI29" s="70">
        <f>'RESUMEN TOTAL'!AP50</f>
        <v>0</v>
      </c>
      <c r="AJ29" s="70">
        <f>'RESUMEN TOTAL'!AQ50</f>
        <v>0</v>
      </c>
    </row>
    <row r="30" spans="1:36" x14ac:dyDescent="0.25">
      <c r="A30" t="str">
        <f>'RESUMEN TOTAL'!A51</f>
        <v>CENTRO</v>
      </c>
      <c r="B30" t="str">
        <f>'RESUMEN TOTAL'!B51</f>
        <v>CEN06</v>
      </c>
      <c r="C30" t="str">
        <f>'RESUMEN TOTAL'!D51</f>
        <v>Monteagudo y A.del Valle</v>
      </c>
      <c r="D30" s="30" t="str">
        <f>'RESUMEN TOTAL'!E51</f>
        <v>Fija</v>
      </c>
      <c r="E30" s="30" t="str">
        <f>'RESUMEN TOTAL'!F51</f>
        <v>Fibra Optica</v>
      </c>
      <c r="F30" s="70">
        <f>'RESUMEN TOTAL'!M51</f>
        <v>0</v>
      </c>
      <c r="G30" s="70">
        <f>'RESUMEN TOTAL'!N51</f>
        <v>0</v>
      </c>
      <c r="H30" s="70">
        <f>'RESUMEN TOTAL'!O51</f>
        <v>0</v>
      </c>
      <c r="I30" s="70">
        <f>'RESUMEN TOTAL'!P51</f>
        <v>0</v>
      </c>
      <c r="J30" s="70">
        <f>'RESUMEN TOTAL'!Q51</f>
        <v>0</v>
      </c>
      <c r="K30" s="70">
        <f>'RESUMEN TOTAL'!R51</f>
        <v>0</v>
      </c>
      <c r="L30" s="70">
        <f>'RESUMEN TOTAL'!S51</f>
        <v>0</v>
      </c>
      <c r="M30" s="70">
        <f>'RESUMEN TOTAL'!T51</f>
        <v>0</v>
      </c>
      <c r="N30" s="70">
        <f>'RESUMEN TOTAL'!U51</f>
        <v>0</v>
      </c>
      <c r="O30" s="70">
        <f>'RESUMEN TOTAL'!V51</f>
        <v>0</v>
      </c>
      <c r="P30" s="70">
        <f>'RESUMEN TOTAL'!W51</f>
        <v>0</v>
      </c>
      <c r="Q30" s="70">
        <f>'RESUMEN TOTAL'!X51</f>
        <v>0</v>
      </c>
      <c r="R30" s="70">
        <f>'RESUMEN TOTAL'!Y51</f>
        <v>0</v>
      </c>
      <c r="S30" s="70">
        <f>'RESUMEN TOTAL'!Z51</f>
        <v>0</v>
      </c>
      <c r="T30" s="70">
        <f>'RESUMEN TOTAL'!AA51</f>
        <v>0</v>
      </c>
      <c r="U30" s="70">
        <f>'RESUMEN TOTAL'!AB51</f>
        <v>0</v>
      </c>
      <c r="V30" s="70">
        <f>'RESUMEN TOTAL'!AC51</f>
        <v>0</v>
      </c>
      <c r="W30" s="70">
        <f>'RESUMEN TOTAL'!AD51</f>
        <v>0</v>
      </c>
      <c r="X30" s="70">
        <f>'RESUMEN TOTAL'!AE51</f>
        <v>0</v>
      </c>
      <c r="Y30" s="70">
        <f>'RESUMEN TOTAL'!AF51</f>
        <v>0</v>
      </c>
      <c r="Z30" s="70">
        <f>'RESUMEN TOTAL'!AG51</f>
        <v>0</v>
      </c>
      <c r="AA30" s="70">
        <f>'RESUMEN TOTAL'!AH51</f>
        <v>0</v>
      </c>
      <c r="AB30" s="70">
        <f>'RESUMEN TOTAL'!AI51</f>
        <v>0</v>
      </c>
      <c r="AC30" s="70">
        <f>'RESUMEN TOTAL'!AJ51</f>
        <v>0</v>
      </c>
      <c r="AD30" s="70">
        <f>'RESUMEN TOTAL'!AK51</f>
        <v>0</v>
      </c>
      <c r="AE30" s="70">
        <f>'RESUMEN TOTAL'!AL51</f>
        <v>0</v>
      </c>
      <c r="AF30" s="70">
        <f>'RESUMEN TOTAL'!AM51</f>
        <v>0</v>
      </c>
      <c r="AG30" s="70">
        <f>'RESUMEN TOTAL'!AN51</f>
        <v>0</v>
      </c>
      <c r="AH30" s="70">
        <f>'RESUMEN TOTAL'!AO51</f>
        <v>0</v>
      </c>
      <c r="AI30" s="70">
        <f>'RESUMEN TOTAL'!AP51</f>
        <v>0</v>
      </c>
      <c r="AJ30" s="70">
        <f>'RESUMEN TOTAL'!AQ51</f>
        <v>0</v>
      </c>
    </row>
    <row r="31" spans="1:36" x14ac:dyDescent="0.25">
      <c r="A31" t="str">
        <f>'RESUMEN TOTAL'!A52</f>
        <v>CENTRO</v>
      </c>
      <c r="B31" t="str">
        <f>'RESUMEN TOTAL'!B52</f>
        <v>CEN07</v>
      </c>
      <c r="C31" t="str">
        <f>'RESUMEN TOTAL'!D52</f>
        <v>San Martin y Guemes</v>
      </c>
      <c r="D31" s="30" t="str">
        <f>'RESUMEN TOTAL'!E52</f>
        <v>DOMO</v>
      </c>
      <c r="E31" s="30" t="str">
        <f>'RESUMEN TOTAL'!F52</f>
        <v>Fibra Optica</v>
      </c>
      <c r="F31" s="70">
        <f>'RESUMEN TOTAL'!M52</f>
        <v>0</v>
      </c>
      <c r="G31" s="70">
        <f>'RESUMEN TOTAL'!N52</f>
        <v>0</v>
      </c>
      <c r="H31" s="70">
        <f>'RESUMEN TOTAL'!O52</f>
        <v>0</v>
      </c>
      <c r="I31" s="70">
        <f>'RESUMEN TOTAL'!P52</f>
        <v>0</v>
      </c>
      <c r="J31" s="70">
        <f>'RESUMEN TOTAL'!Q52</f>
        <v>0</v>
      </c>
      <c r="K31" s="70">
        <f>'RESUMEN TOTAL'!R52</f>
        <v>0</v>
      </c>
      <c r="L31" s="70">
        <f>'RESUMEN TOTAL'!S52</f>
        <v>0</v>
      </c>
      <c r="M31" s="70">
        <f>'RESUMEN TOTAL'!T52</f>
        <v>0</v>
      </c>
      <c r="N31" s="70">
        <f>'RESUMEN TOTAL'!U52</f>
        <v>0</v>
      </c>
      <c r="O31" s="70">
        <f>'RESUMEN TOTAL'!V52</f>
        <v>0</v>
      </c>
      <c r="P31" s="70">
        <f>'RESUMEN TOTAL'!W52</f>
        <v>0</v>
      </c>
      <c r="Q31" s="70">
        <f>'RESUMEN TOTAL'!X52</f>
        <v>0</v>
      </c>
      <c r="R31" s="70">
        <f>'RESUMEN TOTAL'!Y52</f>
        <v>0</v>
      </c>
      <c r="S31" s="70">
        <f>'RESUMEN TOTAL'!Z52</f>
        <v>0</v>
      </c>
      <c r="T31" s="70">
        <f>'RESUMEN TOTAL'!AA52</f>
        <v>0</v>
      </c>
      <c r="U31" s="70">
        <f>'RESUMEN TOTAL'!AB52</f>
        <v>0</v>
      </c>
      <c r="V31" s="70">
        <f>'RESUMEN TOTAL'!AC52</f>
        <v>0</v>
      </c>
      <c r="W31" s="70">
        <f>'RESUMEN TOTAL'!AD52</f>
        <v>0</v>
      </c>
      <c r="X31" s="70">
        <f>'RESUMEN TOTAL'!AE52</f>
        <v>0</v>
      </c>
      <c r="Y31" s="70">
        <f>'RESUMEN TOTAL'!AF52</f>
        <v>0</v>
      </c>
      <c r="Z31" s="70">
        <f>'RESUMEN TOTAL'!AG52</f>
        <v>0</v>
      </c>
      <c r="AA31" s="70">
        <f>'RESUMEN TOTAL'!AH52</f>
        <v>0</v>
      </c>
      <c r="AB31" s="70">
        <f>'RESUMEN TOTAL'!AI52</f>
        <v>0</v>
      </c>
      <c r="AC31" s="70">
        <f>'RESUMEN TOTAL'!AJ52</f>
        <v>0</v>
      </c>
      <c r="AD31" s="70">
        <f>'RESUMEN TOTAL'!AK52</f>
        <v>0</v>
      </c>
      <c r="AE31" s="70">
        <f>'RESUMEN TOTAL'!AL52</f>
        <v>0</v>
      </c>
      <c r="AF31" s="70">
        <f>'RESUMEN TOTAL'!AM52</f>
        <v>0</v>
      </c>
      <c r="AG31" s="70">
        <f>'RESUMEN TOTAL'!AN52</f>
        <v>0</v>
      </c>
      <c r="AH31" s="70">
        <f>'RESUMEN TOTAL'!AO52</f>
        <v>0</v>
      </c>
      <c r="AI31" s="70">
        <f>'RESUMEN TOTAL'!AP52</f>
        <v>0</v>
      </c>
      <c r="AJ31" s="70">
        <f>'RESUMEN TOTAL'!AQ52</f>
        <v>0</v>
      </c>
    </row>
    <row r="32" spans="1:36" x14ac:dyDescent="0.25">
      <c r="A32" t="str">
        <f>'RESUMEN TOTAL'!A53</f>
        <v>CENTRO</v>
      </c>
      <c r="B32" t="str">
        <f>'RESUMEN TOTAL'!B53</f>
        <v>CEN08</v>
      </c>
      <c r="C32" t="str">
        <f>'RESUMEN TOTAL'!D53</f>
        <v>San Martin y Pte.Peron</v>
      </c>
      <c r="D32" s="30" t="str">
        <f>'RESUMEN TOTAL'!E53</f>
        <v>Domo</v>
      </c>
      <c r="E32" s="30" t="str">
        <f>'RESUMEN TOTAL'!F53</f>
        <v>Fibra Optica</v>
      </c>
      <c r="F32" s="70">
        <f>'RESUMEN TOTAL'!M53</f>
        <v>0</v>
      </c>
      <c r="G32" s="70">
        <f>'RESUMEN TOTAL'!N53</f>
        <v>0</v>
      </c>
      <c r="H32" s="70">
        <f>'RESUMEN TOTAL'!O53</f>
        <v>0</v>
      </c>
      <c r="I32" s="70">
        <f>'RESUMEN TOTAL'!P53</f>
        <v>0</v>
      </c>
      <c r="J32" s="70">
        <f>'RESUMEN TOTAL'!Q53</f>
        <v>0</v>
      </c>
      <c r="K32" s="70">
        <f>'RESUMEN TOTAL'!R53</f>
        <v>0</v>
      </c>
      <c r="L32" s="70">
        <f>'RESUMEN TOTAL'!S53</f>
        <v>0</v>
      </c>
      <c r="M32" s="70">
        <f>'RESUMEN TOTAL'!T53</f>
        <v>0</v>
      </c>
      <c r="N32" s="70">
        <f>'RESUMEN TOTAL'!U53</f>
        <v>0</v>
      </c>
      <c r="O32" s="70">
        <f>'RESUMEN TOTAL'!V53</f>
        <v>0</v>
      </c>
      <c r="P32" s="70">
        <f>'RESUMEN TOTAL'!W53</f>
        <v>0</v>
      </c>
      <c r="Q32" s="70">
        <f>'RESUMEN TOTAL'!X53</f>
        <v>0</v>
      </c>
      <c r="R32" s="70">
        <f>'RESUMEN TOTAL'!Y53</f>
        <v>0</v>
      </c>
      <c r="S32" s="70">
        <f>'RESUMEN TOTAL'!Z53</f>
        <v>0</v>
      </c>
      <c r="T32" s="70">
        <f>'RESUMEN TOTAL'!AA53</f>
        <v>0</v>
      </c>
      <c r="U32" s="70">
        <f>'RESUMEN TOTAL'!AB53</f>
        <v>0</v>
      </c>
      <c r="V32" s="70">
        <f>'RESUMEN TOTAL'!AC53</f>
        <v>0</v>
      </c>
      <c r="W32" s="70">
        <f>'RESUMEN TOTAL'!AD53</f>
        <v>0</v>
      </c>
      <c r="X32" s="70">
        <f>'RESUMEN TOTAL'!AE53</f>
        <v>0</v>
      </c>
      <c r="Y32" s="70">
        <f>'RESUMEN TOTAL'!AF53</f>
        <v>0</v>
      </c>
      <c r="Z32" s="70">
        <f>'RESUMEN TOTAL'!AG53</f>
        <v>0</v>
      </c>
      <c r="AA32" s="70">
        <f>'RESUMEN TOTAL'!AH53</f>
        <v>0</v>
      </c>
      <c r="AB32" s="70">
        <f>'RESUMEN TOTAL'!AI53</f>
        <v>0</v>
      </c>
      <c r="AC32" s="70">
        <f>'RESUMEN TOTAL'!AJ53</f>
        <v>0</v>
      </c>
      <c r="AD32" s="70">
        <f>'RESUMEN TOTAL'!AK53</f>
        <v>0</v>
      </c>
      <c r="AE32" s="70">
        <f>'RESUMEN TOTAL'!AL53</f>
        <v>0</v>
      </c>
      <c r="AF32" s="70">
        <f>'RESUMEN TOTAL'!AM53</f>
        <v>0</v>
      </c>
      <c r="AG32" s="70">
        <f>'RESUMEN TOTAL'!AN53</f>
        <v>0</v>
      </c>
      <c r="AH32" s="70">
        <f>'RESUMEN TOTAL'!AO53</f>
        <v>0</v>
      </c>
      <c r="AI32" s="70">
        <f>'RESUMEN TOTAL'!AP53</f>
        <v>0</v>
      </c>
      <c r="AJ32" s="70">
        <f>'RESUMEN TOTAL'!AQ53</f>
        <v>0</v>
      </c>
    </row>
    <row r="33" spans="1:36" x14ac:dyDescent="0.25">
      <c r="A33" t="str">
        <f>'RESUMEN TOTAL'!A54</f>
        <v>CENTRO</v>
      </c>
      <c r="B33" t="str">
        <f>'RESUMEN TOTAL'!B54</f>
        <v>CEN09</v>
      </c>
      <c r="C33" t="str">
        <f>'RESUMEN TOTAL'!D54</f>
        <v>Chacabuco y 25 de Mayo</v>
      </c>
      <c r="D33" s="30" t="str">
        <f>'RESUMEN TOTAL'!E54</f>
        <v>Domo</v>
      </c>
      <c r="E33" s="30" t="str">
        <f>'RESUMEN TOTAL'!F54</f>
        <v>Fibra Optica</v>
      </c>
      <c r="F33" s="70">
        <f>'RESUMEN TOTAL'!M54</f>
        <v>0</v>
      </c>
      <c r="G33" s="70">
        <f>'RESUMEN TOTAL'!N54</f>
        <v>0</v>
      </c>
      <c r="H33" s="70">
        <f>'RESUMEN TOTAL'!O54</f>
        <v>0</v>
      </c>
      <c r="I33" s="70">
        <f>'RESUMEN TOTAL'!P54</f>
        <v>0</v>
      </c>
      <c r="J33" s="70">
        <f>'RESUMEN TOTAL'!Q54</f>
        <v>0</v>
      </c>
      <c r="K33" s="70">
        <f>'RESUMEN TOTAL'!R54</f>
        <v>0</v>
      </c>
      <c r="L33" s="70">
        <f>'RESUMEN TOTAL'!S54</f>
        <v>0</v>
      </c>
      <c r="M33" s="70">
        <f>'RESUMEN TOTAL'!T54</f>
        <v>0</v>
      </c>
      <c r="N33" s="70">
        <f>'RESUMEN TOTAL'!U54</f>
        <v>0</v>
      </c>
      <c r="O33" s="70">
        <f>'RESUMEN TOTAL'!V54</f>
        <v>0</v>
      </c>
      <c r="P33" s="70">
        <f>'RESUMEN TOTAL'!W54</f>
        <v>0</v>
      </c>
      <c r="Q33" s="70">
        <f>'RESUMEN TOTAL'!X54</f>
        <v>0</v>
      </c>
      <c r="R33" s="70">
        <f>'RESUMEN TOTAL'!Y54</f>
        <v>0</v>
      </c>
      <c r="S33" s="70">
        <f>'RESUMEN TOTAL'!Z54</f>
        <v>0</v>
      </c>
      <c r="T33" s="70">
        <f>'RESUMEN TOTAL'!AA54</f>
        <v>0</v>
      </c>
      <c r="U33" s="70">
        <f>'RESUMEN TOTAL'!AB54</f>
        <v>0</v>
      </c>
      <c r="V33" s="70">
        <f>'RESUMEN TOTAL'!AC54</f>
        <v>0</v>
      </c>
      <c r="W33" s="70">
        <f>'RESUMEN TOTAL'!AD54</f>
        <v>0</v>
      </c>
      <c r="X33" s="70">
        <f>'RESUMEN TOTAL'!AE54</f>
        <v>0</v>
      </c>
      <c r="Y33" s="70">
        <f>'RESUMEN TOTAL'!AF54</f>
        <v>0</v>
      </c>
      <c r="Z33" s="70">
        <f>'RESUMEN TOTAL'!AG54</f>
        <v>0</v>
      </c>
      <c r="AA33" s="70">
        <f>'RESUMEN TOTAL'!AH54</f>
        <v>0</v>
      </c>
      <c r="AB33" s="70">
        <f>'RESUMEN TOTAL'!AI54</f>
        <v>0</v>
      </c>
      <c r="AC33" s="70">
        <f>'RESUMEN TOTAL'!AJ54</f>
        <v>0</v>
      </c>
      <c r="AD33" s="70">
        <f>'RESUMEN TOTAL'!AK54</f>
        <v>0</v>
      </c>
      <c r="AE33" s="70">
        <f>'RESUMEN TOTAL'!AL54</f>
        <v>0</v>
      </c>
      <c r="AF33" s="70">
        <f>'RESUMEN TOTAL'!AM54</f>
        <v>0</v>
      </c>
      <c r="AG33" s="70">
        <f>'RESUMEN TOTAL'!AN54</f>
        <v>0</v>
      </c>
      <c r="AH33" s="70">
        <f>'RESUMEN TOTAL'!AO54</f>
        <v>0</v>
      </c>
      <c r="AI33" s="70">
        <f>'RESUMEN TOTAL'!AP54</f>
        <v>0</v>
      </c>
      <c r="AJ33" s="70">
        <f>'RESUMEN TOTAL'!AQ54</f>
        <v>0</v>
      </c>
    </row>
    <row r="34" spans="1:36" x14ac:dyDescent="0.25">
      <c r="A34" t="str">
        <f>'RESUMEN TOTAL'!A55</f>
        <v>CENTRO</v>
      </c>
      <c r="B34" t="str">
        <f>'RESUMEN TOTAL'!B55</f>
        <v>CEN10</v>
      </c>
      <c r="C34" t="str">
        <f>'RESUMEN TOTAL'!D55</f>
        <v>Monteagudo y Pte. Peron</v>
      </c>
      <c r="D34" s="30" t="str">
        <f>'RESUMEN TOTAL'!E55</f>
        <v>Domo</v>
      </c>
      <c r="E34" s="30" t="str">
        <f>'RESUMEN TOTAL'!F55</f>
        <v>Fibra Optica</v>
      </c>
      <c r="F34" s="70">
        <f>'RESUMEN TOTAL'!M55</f>
        <v>0</v>
      </c>
      <c r="G34" s="70">
        <f>'RESUMEN TOTAL'!N55</f>
        <v>0</v>
      </c>
      <c r="H34" s="70">
        <f>'RESUMEN TOTAL'!O55</f>
        <v>0</v>
      </c>
      <c r="I34" s="70">
        <f>'RESUMEN TOTAL'!P55</f>
        <v>0</v>
      </c>
      <c r="J34" s="70">
        <f>'RESUMEN TOTAL'!Q55</f>
        <v>0</v>
      </c>
      <c r="K34" s="70">
        <f>'RESUMEN TOTAL'!R55</f>
        <v>0</v>
      </c>
      <c r="L34" s="70">
        <f>'RESUMEN TOTAL'!S55</f>
        <v>0</v>
      </c>
      <c r="M34" s="70">
        <f>'RESUMEN TOTAL'!T55</f>
        <v>0</v>
      </c>
      <c r="N34" s="70">
        <f>'RESUMEN TOTAL'!U55</f>
        <v>0</v>
      </c>
      <c r="O34" s="70">
        <f>'RESUMEN TOTAL'!V55</f>
        <v>0</v>
      </c>
      <c r="P34" s="70">
        <f>'RESUMEN TOTAL'!W55</f>
        <v>0</v>
      </c>
      <c r="Q34" s="70">
        <f>'RESUMEN TOTAL'!X55</f>
        <v>0</v>
      </c>
      <c r="R34" s="70">
        <f>'RESUMEN TOTAL'!Y55</f>
        <v>0</v>
      </c>
      <c r="S34" s="70">
        <f>'RESUMEN TOTAL'!Z55</f>
        <v>0</v>
      </c>
      <c r="T34" s="70">
        <f>'RESUMEN TOTAL'!AA55</f>
        <v>0</v>
      </c>
      <c r="U34" s="70">
        <f>'RESUMEN TOTAL'!AB55</f>
        <v>0</v>
      </c>
      <c r="V34" s="70">
        <f>'RESUMEN TOTAL'!AC55</f>
        <v>0</v>
      </c>
      <c r="W34" s="70">
        <f>'RESUMEN TOTAL'!AD55</f>
        <v>0</v>
      </c>
      <c r="X34" s="70">
        <f>'RESUMEN TOTAL'!AE55</f>
        <v>0</v>
      </c>
      <c r="Y34" s="70">
        <f>'RESUMEN TOTAL'!AF55</f>
        <v>0</v>
      </c>
      <c r="Z34" s="70">
        <f>'RESUMEN TOTAL'!AG55</f>
        <v>0</v>
      </c>
      <c r="AA34" s="70">
        <f>'RESUMEN TOTAL'!AH55</f>
        <v>0</v>
      </c>
      <c r="AB34" s="70">
        <f>'RESUMEN TOTAL'!AI55</f>
        <v>0</v>
      </c>
      <c r="AC34" s="70">
        <f>'RESUMEN TOTAL'!AJ55</f>
        <v>0</v>
      </c>
      <c r="AD34" s="70">
        <f>'RESUMEN TOTAL'!AK55</f>
        <v>0</v>
      </c>
      <c r="AE34" s="70">
        <f>'RESUMEN TOTAL'!AL55</f>
        <v>0</v>
      </c>
      <c r="AF34" s="70">
        <f>'RESUMEN TOTAL'!AM55</f>
        <v>0</v>
      </c>
      <c r="AG34" s="70">
        <f>'RESUMEN TOTAL'!AN55</f>
        <v>0</v>
      </c>
      <c r="AH34" s="70">
        <f>'RESUMEN TOTAL'!AO55</f>
        <v>0</v>
      </c>
      <c r="AI34" s="70">
        <f>'RESUMEN TOTAL'!AP55</f>
        <v>0</v>
      </c>
      <c r="AJ34" s="70">
        <f>'RESUMEN TOTAL'!AQ55</f>
        <v>0</v>
      </c>
    </row>
    <row r="35" spans="1:36" x14ac:dyDescent="0.25">
      <c r="A35" t="str">
        <f>'RESUMEN TOTAL'!A56</f>
        <v>CENTRO</v>
      </c>
      <c r="B35" t="str">
        <f>'RESUMEN TOTAL'!B56</f>
        <v>CEN11</v>
      </c>
      <c r="C35" t="str">
        <f>'RESUMEN TOTAL'!D56</f>
        <v>Monteagudo y Bocuzzi</v>
      </c>
      <c r="D35" s="30" t="str">
        <f>'RESUMEN TOTAL'!E56</f>
        <v>Domo</v>
      </c>
      <c r="E35" s="30" t="str">
        <f>'RESUMEN TOTAL'!F56</f>
        <v>Fibra Optica</v>
      </c>
      <c r="F35" s="70">
        <f>'RESUMEN TOTAL'!M56</f>
        <v>0</v>
      </c>
      <c r="G35" s="70">
        <f>'RESUMEN TOTAL'!N56</f>
        <v>0</v>
      </c>
      <c r="H35" s="70">
        <f>'RESUMEN TOTAL'!O56</f>
        <v>0</v>
      </c>
      <c r="I35" s="70">
        <f>'RESUMEN TOTAL'!P56</f>
        <v>0</v>
      </c>
      <c r="J35" s="70">
        <f>'RESUMEN TOTAL'!Q56</f>
        <v>0</v>
      </c>
      <c r="K35" s="70">
        <f>'RESUMEN TOTAL'!R56</f>
        <v>0</v>
      </c>
      <c r="L35" s="70">
        <f>'RESUMEN TOTAL'!S56</f>
        <v>0</v>
      </c>
      <c r="M35" s="70">
        <f>'RESUMEN TOTAL'!T56</f>
        <v>0</v>
      </c>
      <c r="N35" s="70">
        <f>'RESUMEN TOTAL'!U56</f>
        <v>0</v>
      </c>
      <c r="O35" s="70">
        <f>'RESUMEN TOTAL'!V56</f>
        <v>0</v>
      </c>
      <c r="P35" s="70">
        <f>'RESUMEN TOTAL'!W56</f>
        <v>0</v>
      </c>
      <c r="Q35" s="70">
        <f>'RESUMEN TOTAL'!X56</f>
        <v>0</v>
      </c>
      <c r="R35" s="70">
        <f>'RESUMEN TOTAL'!Y56</f>
        <v>0</v>
      </c>
      <c r="S35" s="70">
        <f>'RESUMEN TOTAL'!Z56</f>
        <v>0</v>
      </c>
      <c r="T35" s="70">
        <f>'RESUMEN TOTAL'!AA56</f>
        <v>0</v>
      </c>
      <c r="U35" s="70">
        <f>'RESUMEN TOTAL'!AB56</f>
        <v>0</v>
      </c>
      <c r="V35" s="70">
        <f>'RESUMEN TOTAL'!AC56</f>
        <v>0</v>
      </c>
      <c r="W35" s="70">
        <f>'RESUMEN TOTAL'!AD56</f>
        <v>0</v>
      </c>
      <c r="X35" s="70">
        <f>'RESUMEN TOTAL'!AE56</f>
        <v>0</v>
      </c>
      <c r="Y35" s="70">
        <f>'RESUMEN TOTAL'!AF56</f>
        <v>0</v>
      </c>
      <c r="Z35" s="70">
        <f>'RESUMEN TOTAL'!AG56</f>
        <v>0</v>
      </c>
      <c r="AA35" s="70">
        <f>'RESUMEN TOTAL'!AH56</f>
        <v>0</v>
      </c>
      <c r="AB35" s="70">
        <f>'RESUMEN TOTAL'!AI56</f>
        <v>0</v>
      </c>
      <c r="AC35" s="70">
        <f>'RESUMEN TOTAL'!AJ56</f>
        <v>0</v>
      </c>
      <c r="AD35" s="70">
        <f>'RESUMEN TOTAL'!AK56</f>
        <v>0</v>
      </c>
      <c r="AE35" s="70">
        <f>'RESUMEN TOTAL'!AL56</f>
        <v>0</v>
      </c>
      <c r="AF35" s="70">
        <f>'RESUMEN TOTAL'!AM56</f>
        <v>0</v>
      </c>
      <c r="AG35" s="70">
        <f>'RESUMEN TOTAL'!AN56</f>
        <v>0</v>
      </c>
      <c r="AH35" s="70">
        <f>'RESUMEN TOTAL'!AO56</f>
        <v>0</v>
      </c>
      <c r="AI35" s="70">
        <f>'RESUMEN TOTAL'!AP56</f>
        <v>0</v>
      </c>
      <c r="AJ35" s="70">
        <f>'RESUMEN TOTAL'!AQ56</f>
        <v>0</v>
      </c>
    </row>
    <row r="36" spans="1:36" x14ac:dyDescent="0.25">
      <c r="A36" t="str">
        <f>'RESUMEN TOTAL'!A57</f>
        <v>CENTRO</v>
      </c>
      <c r="B36" t="str">
        <f>'RESUMEN TOTAL'!B57</f>
        <v>CEN 12</v>
      </c>
      <c r="C36" t="str">
        <f>'RESUMEN TOTAL'!D57</f>
        <v>Monteagudo y Mitre</v>
      </c>
      <c r="D36" s="30" t="str">
        <f>'RESUMEN TOTAL'!E57</f>
        <v>Domo</v>
      </c>
      <c r="E36" s="30" t="str">
        <f>'RESUMEN TOTAL'!F57</f>
        <v>Fibra Optica</v>
      </c>
      <c r="F36" s="70">
        <f>'RESUMEN TOTAL'!M57</f>
        <v>0</v>
      </c>
      <c r="G36" s="70">
        <f>'RESUMEN TOTAL'!N57</f>
        <v>0</v>
      </c>
      <c r="H36" s="70">
        <f>'RESUMEN TOTAL'!O57</f>
        <v>0</v>
      </c>
      <c r="I36" s="70">
        <f>'RESUMEN TOTAL'!P57</f>
        <v>0</v>
      </c>
      <c r="J36" s="70">
        <f>'RESUMEN TOTAL'!Q57</f>
        <v>0</v>
      </c>
      <c r="K36" s="70">
        <f>'RESUMEN TOTAL'!R57</f>
        <v>0</v>
      </c>
      <c r="L36" s="70">
        <f>'RESUMEN TOTAL'!S57</f>
        <v>0</v>
      </c>
      <c r="M36" s="70">
        <f>'RESUMEN TOTAL'!T57</f>
        <v>0</v>
      </c>
      <c r="N36" s="70">
        <f>'RESUMEN TOTAL'!U57</f>
        <v>0</v>
      </c>
      <c r="O36" s="70">
        <f>'RESUMEN TOTAL'!V57</f>
        <v>0</v>
      </c>
      <c r="P36" s="70">
        <f>'RESUMEN TOTAL'!W57</f>
        <v>0</v>
      </c>
      <c r="Q36" s="70">
        <f>'RESUMEN TOTAL'!X57</f>
        <v>0</v>
      </c>
      <c r="R36" s="70">
        <f>'RESUMEN TOTAL'!Y57</f>
        <v>0</v>
      </c>
      <c r="S36" s="70">
        <f>'RESUMEN TOTAL'!Z57</f>
        <v>0</v>
      </c>
      <c r="T36" s="70">
        <f>'RESUMEN TOTAL'!AA57</f>
        <v>0</v>
      </c>
      <c r="U36" s="70">
        <f>'RESUMEN TOTAL'!AB57</f>
        <v>0</v>
      </c>
      <c r="V36" s="70">
        <f>'RESUMEN TOTAL'!AC57</f>
        <v>0</v>
      </c>
      <c r="W36" s="70">
        <f>'RESUMEN TOTAL'!AD57</f>
        <v>0</v>
      </c>
      <c r="X36" s="70">
        <f>'RESUMEN TOTAL'!AE57</f>
        <v>0</v>
      </c>
      <c r="Y36" s="70">
        <f>'RESUMEN TOTAL'!AF57</f>
        <v>0</v>
      </c>
      <c r="Z36" s="70">
        <f>'RESUMEN TOTAL'!AG57</f>
        <v>0</v>
      </c>
      <c r="AA36" s="70">
        <f>'RESUMEN TOTAL'!AH57</f>
        <v>0</v>
      </c>
      <c r="AB36" s="70">
        <f>'RESUMEN TOTAL'!AI57</f>
        <v>0</v>
      </c>
      <c r="AC36" s="70">
        <f>'RESUMEN TOTAL'!AJ57</f>
        <v>0</v>
      </c>
      <c r="AD36" s="70">
        <f>'RESUMEN TOTAL'!AK57</f>
        <v>0</v>
      </c>
      <c r="AE36" s="70">
        <f>'RESUMEN TOTAL'!AL57</f>
        <v>0</v>
      </c>
      <c r="AF36" s="70">
        <f>'RESUMEN TOTAL'!AM57</f>
        <v>0</v>
      </c>
      <c r="AG36" s="70">
        <f>'RESUMEN TOTAL'!AN57</f>
        <v>0</v>
      </c>
      <c r="AH36" s="70">
        <f>'RESUMEN TOTAL'!AO57</f>
        <v>0</v>
      </c>
      <c r="AI36" s="70">
        <f>'RESUMEN TOTAL'!AP57</f>
        <v>0</v>
      </c>
      <c r="AJ36" s="70">
        <f>'RESUMEN TOTAL'!AQ57</f>
        <v>0</v>
      </c>
    </row>
    <row r="37" spans="1:36" x14ac:dyDescent="0.25">
      <c r="A37" t="str">
        <f>'RESUMEN TOTAL'!A58</f>
        <v>CENTRO</v>
      </c>
      <c r="B37" t="str">
        <f>'RESUMEN TOTAL'!B58</f>
        <v>CEN 13</v>
      </c>
      <c r="C37" t="str">
        <f>'RESUMEN TOTAL'!D58</f>
        <v>25 de Mayo y Maipu</v>
      </c>
      <c r="D37" s="30" t="str">
        <f>'RESUMEN TOTAL'!E58</f>
        <v>DOMO</v>
      </c>
      <c r="E37" s="30" t="str">
        <f>'RESUMEN TOTAL'!F58</f>
        <v>GPON</v>
      </c>
      <c r="F37" s="70">
        <f>'RESUMEN TOTAL'!M58</f>
        <v>0</v>
      </c>
      <c r="G37" s="70">
        <f>'RESUMEN TOTAL'!N58</f>
        <v>0</v>
      </c>
      <c r="H37" s="70">
        <f>'RESUMEN TOTAL'!O58</f>
        <v>0</v>
      </c>
      <c r="I37" s="70">
        <f>'RESUMEN TOTAL'!P58</f>
        <v>0</v>
      </c>
      <c r="J37" s="70">
        <f>'RESUMEN TOTAL'!Q58</f>
        <v>0</v>
      </c>
      <c r="K37" s="70">
        <f>'RESUMEN TOTAL'!R58</f>
        <v>0</v>
      </c>
      <c r="L37" s="70" t="str">
        <f>'RESUMEN TOTAL'!S58</f>
        <v>APAGADO</v>
      </c>
      <c r="M37" s="70" t="str">
        <f>'RESUMEN TOTAL'!T58</f>
        <v>APAGADO</v>
      </c>
      <c r="N37" s="70">
        <f>'RESUMEN TOTAL'!U58</f>
        <v>0</v>
      </c>
      <c r="O37" s="70">
        <f>'RESUMEN TOTAL'!V58</f>
        <v>0</v>
      </c>
      <c r="P37" s="70">
        <f>'RESUMEN TOTAL'!W58</f>
        <v>0</v>
      </c>
      <c r="Q37" s="70">
        <f>'RESUMEN TOTAL'!X58</f>
        <v>0</v>
      </c>
      <c r="R37" s="70">
        <f>'RESUMEN TOTAL'!Y58</f>
        <v>0</v>
      </c>
      <c r="S37" s="70">
        <f>'RESUMEN TOTAL'!Z58</f>
        <v>0</v>
      </c>
      <c r="T37" s="70">
        <f>'RESUMEN TOTAL'!AA58</f>
        <v>0</v>
      </c>
      <c r="U37" s="70">
        <f>'RESUMEN TOTAL'!AB58</f>
        <v>0</v>
      </c>
      <c r="V37" s="70">
        <f>'RESUMEN TOTAL'!AC58</f>
        <v>0</v>
      </c>
      <c r="W37" s="70">
        <f>'RESUMEN TOTAL'!AD58</f>
        <v>0</v>
      </c>
      <c r="X37" s="70">
        <f>'RESUMEN TOTAL'!AE58</f>
        <v>0</v>
      </c>
      <c r="Y37" s="70">
        <f>'RESUMEN TOTAL'!AF58</f>
        <v>0</v>
      </c>
      <c r="Z37" s="70">
        <f>'RESUMEN TOTAL'!AG58</f>
        <v>0</v>
      </c>
      <c r="AA37" s="70">
        <f>'RESUMEN TOTAL'!AH58</f>
        <v>0</v>
      </c>
      <c r="AB37" s="70">
        <f>'RESUMEN TOTAL'!AI58</f>
        <v>0</v>
      </c>
      <c r="AC37" s="70">
        <f>'RESUMEN TOTAL'!AJ58</f>
        <v>0</v>
      </c>
      <c r="AD37" s="70">
        <f>'RESUMEN TOTAL'!AK58</f>
        <v>0</v>
      </c>
      <c r="AE37" s="70">
        <f>'RESUMEN TOTAL'!AL58</f>
        <v>0</v>
      </c>
      <c r="AF37" s="70">
        <f>'RESUMEN TOTAL'!AM58</f>
        <v>0</v>
      </c>
      <c r="AG37" s="70">
        <f>'RESUMEN TOTAL'!AN58</f>
        <v>0</v>
      </c>
      <c r="AH37" s="70">
        <f>'RESUMEN TOTAL'!AO58</f>
        <v>0</v>
      </c>
      <c r="AI37" s="70">
        <f>'RESUMEN TOTAL'!AP58</f>
        <v>0</v>
      </c>
      <c r="AJ37" s="70">
        <f>'RESUMEN TOTAL'!AQ58</f>
        <v>0</v>
      </c>
    </row>
    <row r="38" spans="1:36" x14ac:dyDescent="0.25">
      <c r="A38" t="str">
        <f>'RESUMEN TOTAL'!A59</f>
        <v>CENTRO</v>
      </c>
      <c r="B38" t="str">
        <f>'RESUMEN TOTAL'!B59</f>
        <v>CEN14</v>
      </c>
      <c r="C38" t="str">
        <f>'RESUMEN TOTAL'!D59</f>
        <v>Pte.Peron e/Pringles y Brown</v>
      </c>
      <c r="D38" s="30" t="str">
        <f>'RESUMEN TOTAL'!E59</f>
        <v>Domo</v>
      </c>
      <c r="E38" s="30" t="str">
        <f>'RESUMEN TOTAL'!F59</f>
        <v>Fibra Optica</v>
      </c>
      <c r="F38" s="70">
        <f>'RESUMEN TOTAL'!M59</f>
        <v>0</v>
      </c>
      <c r="G38" s="70">
        <f>'RESUMEN TOTAL'!N59</f>
        <v>0</v>
      </c>
      <c r="H38" s="70">
        <f>'RESUMEN TOTAL'!O59</f>
        <v>0</v>
      </c>
      <c r="I38" s="70">
        <f>'RESUMEN TOTAL'!P59</f>
        <v>0</v>
      </c>
      <c r="J38" s="70">
        <f>'RESUMEN TOTAL'!Q59</f>
        <v>0</v>
      </c>
      <c r="K38" s="70">
        <f>'RESUMEN TOTAL'!R59</f>
        <v>0</v>
      </c>
      <c r="L38" s="70">
        <f>'RESUMEN TOTAL'!S59</f>
        <v>0</v>
      </c>
      <c r="M38" s="70">
        <f>'RESUMEN TOTAL'!T59</f>
        <v>0</v>
      </c>
      <c r="N38" s="70">
        <f>'RESUMEN TOTAL'!U59</f>
        <v>0</v>
      </c>
      <c r="O38" s="70">
        <f>'RESUMEN TOTAL'!V59</f>
        <v>0</v>
      </c>
      <c r="P38" s="70">
        <f>'RESUMEN TOTAL'!W59</f>
        <v>0</v>
      </c>
      <c r="Q38" s="70">
        <f>'RESUMEN TOTAL'!X59</f>
        <v>0</v>
      </c>
      <c r="R38" s="70">
        <f>'RESUMEN TOTAL'!Y59</f>
        <v>0</v>
      </c>
      <c r="S38" s="70">
        <f>'RESUMEN TOTAL'!Z59</f>
        <v>0</v>
      </c>
      <c r="T38" s="70">
        <f>'RESUMEN TOTAL'!AA59</f>
        <v>0</v>
      </c>
      <c r="U38" s="70">
        <f>'RESUMEN TOTAL'!AB59</f>
        <v>0</v>
      </c>
      <c r="V38" s="70">
        <f>'RESUMEN TOTAL'!AC59</f>
        <v>0</v>
      </c>
      <c r="W38" s="70">
        <f>'RESUMEN TOTAL'!AD59</f>
        <v>0</v>
      </c>
      <c r="X38" s="70">
        <f>'RESUMEN TOTAL'!AE59</f>
        <v>0</v>
      </c>
      <c r="Y38" s="70">
        <f>'RESUMEN TOTAL'!AF59</f>
        <v>0</v>
      </c>
      <c r="Z38" s="70">
        <f>'RESUMEN TOTAL'!AG59</f>
        <v>0</v>
      </c>
      <c r="AA38" s="70">
        <f>'RESUMEN TOTAL'!AH59</f>
        <v>0</v>
      </c>
      <c r="AB38" s="70">
        <f>'RESUMEN TOTAL'!AI59</f>
        <v>0</v>
      </c>
      <c r="AC38" s="70">
        <f>'RESUMEN TOTAL'!AJ59</f>
        <v>0</v>
      </c>
      <c r="AD38" s="70">
        <f>'RESUMEN TOTAL'!AK59</f>
        <v>0</v>
      </c>
      <c r="AE38" s="70">
        <f>'RESUMEN TOTAL'!AL59</f>
        <v>0</v>
      </c>
      <c r="AF38" s="70">
        <f>'RESUMEN TOTAL'!AM59</f>
        <v>0</v>
      </c>
      <c r="AG38" s="70">
        <f>'RESUMEN TOTAL'!AN59</f>
        <v>0</v>
      </c>
      <c r="AH38" s="70">
        <f>'RESUMEN TOTAL'!AO59</f>
        <v>0</v>
      </c>
      <c r="AI38" s="70">
        <f>'RESUMEN TOTAL'!AP59</f>
        <v>0</v>
      </c>
      <c r="AJ38" s="70">
        <f>'RESUMEN TOTAL'!AQ59</f>
        <v>0</v>
      </c>
    </row>
    <row r="39" spans="1:36" x14ac:dyDescent="0.25">
      <c r="A39" t="str">
        <f>'RESUMEN TOTAL'!A60</f>
        <v>CENTRO</v>
      </c>
      <c r="B39" t="str">
        <f>'RESUMEN TOTAL'!B60</f>
        <v>CEN15</v>
      </c>
      <c r="C39" t="str">
        <f>'RESUMEN TOTAL'!D60</f>
        <v>Alberdi y A.del Valle</v>
      </c>
      <c r="D39" s="30" t="str">
        <f>'RESUMEN TOTAL'!E60</f>
        <v>Domo</v>
      </c>
      <c r="E39" s="30" t="str">
        <f>'RESUMEN TOTAL'!F60</f>
        <v>GPON</v>
      </c>
      <c r="F39" s="70">
        <f>'RESUMEN TOTAL'!M60</f>
        <v>0</v>
      </c>
      <c r="G39" s="70">
        <f>'RESUMEN TOTAL'!N60</f>
        <v>0</v>
      </c>
      <c r="H39" s="70">
        <f>'RESUMEN TOTAL'!O60</f>
        <v>0</v>
      </c>
      <c r="I39" s="70">
        <f>'RESUMEN TOTAL'!P60</f>
        <v>0</v>
      </c>
      <c r="J39" s="70">
        <f>'RESUMEN TOTAL'!Q60</f>
        <v>0</v>
      </c>
      <c r="K39" s="70">
        <f>'RESUMEN TOTAL'!R60</f>
        <v>0</v>
      </c>
      <c r="L39" s="70">
        <f>'RESUMEN TOTAL'!S60</f>
        <v>0</v>
      </c>
      <c r="M39" s="70">
        <f>'RESUMEN TOTAL'!T60</f>
        <v>0</v>
      </c>
      <c r="N39" s="70">
        <f>'RESUMEN TOTAL'!U60</f>
        <v>0</v>
      </c>
      <c r="O39" s="70">
        <f>'RESUMEN TOTAL'!V60</f>
        <v>0</v>
      </c>
      <c r="P39" s="70">
        <f>'RESUMEN TOTAL'!W60</f>
        <v>0</v>
      </c>
      <c r="Q39" s="70">
        <f>'RESUMEN TOTAL'!X60</f>
        <v>0</v>
      </c>
      <c r="R39" s="70">
        <f>'RESUMEN TOTAL'!Y60</f>
        <v>0</v>
      </c>
      <c r="S39" s="70">
        <f>'RESUMEN TOTAL'!Z60</f>
        <v>0</v>
      </c>
      <c r="T39" s="70">
        <f>'RESUMEN TOTAL'!AA60</f>
        <v>0</v>
      </c>
      <c r="U39" s="70">
        <f>'RESUMEN TOTAL'!AB60</f>
        <v>0</v>
      </c>
      <c r="V39" s="70">
        <f>'RESUMEN TOTAL'!AC60</f>
        <v>0</v>
      </c>
      <c r="W39" s="70">
        <f>'RESUMEN TOTAL'!AD60</f>
        <v>0</v>
      </c>
      <c r="X39" s="70">
        <f>'RESUMEN TOTAL'!AE60</f>
        <v>0</v>
      </c>
      <c r="Y39" s="70">
        <f>'RESUMEN TOTAL'!AF60</f>
        <v>0</v>
      </c>
      <c r="Z39" s="70">
        <f>'RESUMEN TOTAL'!AG60</f>
        <v>0</v>
      </c>
      <c r="AA39" s="70">
        <f>'RESUMEN TOTAL'!AH60</f>
        <v>0</v>
      </c>
      <c r="AB39" s="70">
        <f>'RESUMEN TOTAL'!AI60</f>
        <v>0</v>
      </c>
      <c r="AC39" s="70">
        <f>'RESUMEN TOTAL'!AJ60</f>
        <v>0</v>
      </c>
      <c r="AD39" s="70">
        <f>'RESUMEN TOTAL'!AK60</f>
        <v>0</v>
      </c>
      <c r="AE39" s="70">
        <f>'RESUMEN TOTAL'!AL60</f>
        <v>0</v>
      </c>
      <c r="AF39" s="70">
        <f>'RESUMEN TOTAL'!AM60</f>
        <v>0</v>
      </c>
      <c r="AG39" s="70">
        <f>'RESUMEN TOTAL'!AN60</f>
        <v>0</v>
      </c>
      <c r="AH39" s="70">
        <f>'RESUMEN TOTAL'!AO60</f>
        <v>0</v>
      </c>
      <c r="AI39" s="70">
        <f>'RESUMEN TOTAL'!AP60</f>
        <v>0</v>
      </c>
      <c r="AJ39" s="70">
        <f>'RESUMEN TOTAL'!AQ60</f>
        <v>0</v>
      </c>
    </row>
    <row r="40" spans="1:36" x14ac:dyDescent="0.25">
      <c r="A40" t="str">
        <f>'RESUMEN TOTAL'!A61</f>
        <v>CENTRO</v>
      </c>
      <c r="B40" t="str">
        <f>'RESUMEN TOTAL'!B61</f>
        <v>CEN16</v>
      </c>
      <c r="C40" t="str">
        <f>'RESUMEN TOTAL'!D61</f>
        <v>San Martin y Pte. Peron</v>
      </c>
      <c r="D40" s="30" t="str">
        <f>'RESUMEN TOTAL'!E61</f>
        <v>Fija</v>
      </c>
      <c r="E40" s="30" t="str">
        <f>'RESUMEN TOTAL'!F61</f>
        <v>Fibra Optica</v>
      </c>
      <c r="F40" s="70">
        <f>'RESUMEN TOTAL'!M61</f>
        <v>0</v>
      </c>
      <c r="G40" s="70">
        <f>'RESUMEN TOTAL'!N61</f>
        <v>0</v>
      </c>
      <c r="H40" s="70">
        <f>'RESUMEN TOTAL'!O61</f>
        <v>0</v>
      </c>
      <c r="I40" s="70">
        <f>'RESUMEN TOTAL'!P61</f>
        <v>0</v>
      </c>
      <c r="J40" s="70">
        <f>'RESUMEN TOTAL'!Q61</f>
        <v>0</v>
      </c>
      <c r="K40" s="70">
        <f>'RESUMEN TOTAL'!R61</f>
        <v>0</v>
      </c>
      <c r="L40" s="70">
        <f>'RESUMEN TOTAL'!S61</f>
        <v>0</v>
      </c>
      <c r="M40" s="70">
        <f>'RESUMEN TOTAL'!T61</f>
        <v>0</v>
      </c>
      <c r="N40" s="70">
        <f>'RESUMEN TOTAL'!U61</f>
        <v>0</v>
      </c>
      <c r="O40" s="70">
        <f>'RESUMEN TOTAL'!V61</f>
        <v>0</v>
      </c>
      <c r="P40" s="70">
        <f>'RESUMEN TOTAL'!W61</f>
        <v>0</v>
      </c>
      <c r="Q40" s="70">
        <f>'RESUMEN TOTAL'!X61</f>
        <v>0</v>
      </c>
      <c r="R40" s="70">
        <f>'RESUMEN TOTAL'!Y61</f>
        <v>0</v>
      </c>
      <c r="S40" s="70">
        <f>'RESUMEN TOTAL'!Z61</f>
        <v>0</v>
      </c>
      <c r="T40" s="70">
        <f>'RESUMEN TOTAL'!AA61</f>
        <v>0</v>
      </c>
      <c r="U40" s="70">
        <f>'RESUMEN TOTAL'!AB61</f>
        <v>0</v>
      </c>
      <c r="V40" s="70">
        <f>'RESUMEN TOTAL'!AC61</f>
        <v>0</v>
      </c>
      <c r="W40" s="70">
        <f>'RESUMEN TOTAL'!AD61</f>
        <v>0</v>
      </c>
      <c r="X40" s="70">
        <f>'RESUMEN TOTAL'!AE61</f>
        <v>0</v>
      </c>
      <c r="Y40" s="70">
        <f>'RESUMEN TOTAL'!AF61</f>
        <v>0</v>
      </c>
      <c r="Z40" s="70">
        <f>'RESUMEN TOTAL'!AG61</f>
        <v>0</v>
      </c>
      <c r="AA40" s="70">
        <f>'RESUMEN TOTAL'!AH61</f>
        <v>0</v>
      </c>
      <c r="AB40" s="70">
        <f>'RESUMEN TOTAL'!AI61</f>
        <v>0</v>
      </c>
      <c r="AC40" s="70">
        <f>'RESUMEN TOTAL'!AJ61</f>
        <v>0</v>
      </c>
      <c r="AD40" s="70">
        <f>'RESUMEN TOTAL'!AK61</f>
        <v>0</v>
      </c>
      <c r="AE40" s="70">
        <f>'RESUMEN TOTAL'!AL61</f>
        <v>0</v>
      </c>
      <c r="AF40" s="70">
        <f>'RESUMEN TOTAL'!AM61</f>
        <v>0</v>
      </c>
      <c r="AG40" s="70">
        <f>'RESUMEN TOTAL'!AN61</f>
        <v>0</v>
      </c>
      <c r="AH40" s="70">
        <f>'RESUMEN TOTAL'!AO61</f>
        <v>0</v>
      </c>
      <c r="AI40" s="70">
        <f>'RESUMEN TOTAL'!AP61</f>
        <v>0</v>
      </c>
      <c r="AJ40" s="70">
        <f>'RESUMEN TOTAL'!AQ61</f>
        <v>0</v>
      </c>
    </row>
    <row r="41" spans="1:36" x14ac:dyDescent="0.25">
      <c r="A41" t="str">
        <f>'RESUMEN TOTAL'!A62</f>
        <v>CENTRO</v>
      </c>
      <c r="B41" t="str">
        <f>'RESUMEN TOTAL'!B62</f>
        <v>CEN17</v>
      </c>
      <c r="C41" t="str">
        <f>'RESUMEN TOTAL'!D62</f>
        <v>San Martin y Mitre</v>
      </c>
      <c r="D41" s="30" t="str">
        <f>'RESUMEN TOTAL'!E62</f>
        <v>Domo</v>
      </c>
      <c r="E41" s="30" t="str">
        <f>'RESUMEN TOTAL'!F62</f>
        <v>PTO A FO</v>
      </c>
      <c r="F41" s="70">
        <f>'RESUMEN TOTAL'!M62</f>
        <v>0</v>
      </c>
      <c r="G41" s="70">
        <f>'RESUMEN TOTAL'!N62</f>
        <v>0</v>
      </c>
      <c r="H41" s="70">
        <f>'RESUMEN TOTAL'!O62</f>
        <v>0</v>
      </c>
      <c r="I41" s="70">
        <f>'RESUMEN TOTAL'!P62</f>
        <v>0</v>
      </c>
      <c r="J41" s="70">
        <f>'RESUMEN TOTAL'!Q62</f>
        <v>0</v>
      </c>
      <c r="K41" s="70">
        <f>'RESUMEN TOTAL'!R62</f>
        <v>0</v>
      </c>
      <c r="L41" s="70">
        <f>'RESUMEN TOTAL'!S62</f>
        <v>0</v>
      </c>
      <c r="M41" s="70">
        <f>'RESUMEN TOTAL'!T62</f>
        <v>0</v>
      </c>
      <c r="N41" s="70">
        <f>'RESUMEN TOTAL'!U62</f>
        <v>0</v>
      </c>
      <c r="O41" s="70">
        <f>'RESUMEN TOTAL'!V62</f>
        <v>0</v>
      </c>
      <c r="P41" s="70">
        <f>'RESUMEN TOTAL'!W62</f>
        <v>0</v>
      </c>
      <c r="Q41" s="70">
        <f>'RESUMEN TOTAL'!X62</f>
        <v>0</v>
      </c>
      <c r="R41" s="70">
        <f>'RESUMEN TOTAL'!Y62</f>
        <v>0</v>
      </c>
      <c r="S41" s="70">
        <f>'RESUMEN TOTAL'!Z62</f>
        <v>0</v>
      </c>
      <c r="T41" s="70">
        <f>'RESUMEN TOTAL'!AA62</f>
        <v>0</v>
      </c>
      <c r="U41" s="70">
        <f>'RESUMEN TOTAL'!AB62</f>
        <v>0</v>
      </c>
      <c r="V41" s="70">
        <f>'RESUMEN TOTAL'!AC62</f>
        <v>0</v>
      </c>
      <c r="W41" s="70">
        <f>'RESUMEN TOTAL'!AD62</f>
        <v>0</v>
      </c>
      <c r="X41" s="70">
        <f>'RESUMEN TOTAL'!AE62</f>
        <v>0</v>
      </c>
      <c r="Y41" s="70">
        <f>'RESUMEN TOTAL'!AF62</f>
        <v>0</v>
      </c>
      <c r="Z41" s="70">
        <f>'RESUMEN TOTAL'!AG62</f>
        <v>0</v>
      </c>
      <c r="AA41" s="70">
        <f>'RESUMEN TOTAL'!AH62</f>
        <v>0</v>
      </c>
      <c r="AB41" s="70">
        <f>'RESUMEN TOTAL'!AI62</f>
        <v>0</v>
      </c>
      <c r="AC41" s="70">
        <f>'RESUMEN TOTAL'!AJ62</f>
        <v>0</v>
      </c>
      <c r="AD41" s="70">
        <f>'RESUMEN TOTAL'!AK62</f>
        <v>0</v>
      </c>
      <c r="AE41" s="70">
        <f>'RESUMEN TOTAL'!AL62</f>
        <v>0</v>
      </c>
      <c r="AF41" s="70">
        <f>'RESUMEN TOTAL'!AM62</f>
        <v>0</v>
      </c>
      <c r="AG41" s="70">
        <f>'RESUMEN TOTAL'!AN62</f>
        <v>0</v>
      </c>
      <c r="AH41" s="70">
        <f>'RESUMEN TOTAL'!AO62</f>
        <v>0</v>
      </c>
      <c r="AI41" s="70">
        <f>'RESUMEN TOTAL'!AP62</f>
        <v>0</v>
      </c>
      <c r="AJ41" s="70">
        <f>'RESUMEN TOTAL'!AQ62</f>
        <v>0</v>
      </c>
    </row>
    <row r="42" spans="1:36" x14ac:dyDescent="0.25">
      <c r="A42" t="str">
        <f>'RESUMEN TOTAL'!A63</f>
        <v>CENTRO</v>
      </c>
      <c r="B42" t="str">
        <f>'RESUMEN TOTAL'!B63</f>
        <v>CEN18</v>
      </c>
      <c r="C42" t="str">
        <f>'RESUMEN TOTAL'!D63</f>
        <v>Monteagudo e/Mitre y Sallares</v>
      </c>
      <c r="D42" s="30" t="str">
        <f>'RESUMEN TOTAL'!E63</f>
        <v>Fija</v>
      </c>
      <c r="E42" s="30" t="str">
        <f>'RESUMEN TOTAL'!F63</f>
        <v>Fibra Optica</v>
      </c>
      <c r="F42" s="70">
        <f>'RESUMEN TOTAL'!M63</f>
        <v>0</v>
      </c>
      <c r="G42" s="70">
        <f>'RESUMEN TOTAL'!N63</f>
        <v>0</v>
      </c>
      <c r="H42" s="70">
        <f>'RESUMEN TOTAL'!O63</f>
        <v>0</v>
      </c>
      <c r="I42" s="70">
        <f>'RESUMEN TOTAL'!P63</f>
        <v>0</v>
      </c>
      <c r="J42" s="70">
        <f>'RESUMEN TOTAL'!Q63</f>
        <v>0</v>
      </c>
      <c r="K42" s="70">
        <f>'RESUMEN TOTAL'!R63</f>
        <v>0</v>
      </c>
      <c r="L42" s="70">
        <f>'RESUMEN TOTAL'!S63</f>
        <v>0</v>
      </c>
      <c r="M42" s="70">
        <f>'RESUMEN TOTAL'!T63</f>
        <v>0</v>
      </c>
      <c r="N42" s="70">
        <f>'RESUMEN TOTAL'!U63</f>
        <v>0</v>
      </c>
      <c r="O42" s="70">
        <f>'RESUMEN TOTAL'!V63</f>
        <v>0</v>
      </c>
      <c r="P42" s="70">
        <f>'RESUMEN TOTAL'!W63</f>
        <v>0</v>
      </c>
      <c r="Q42" s="70">
        <f>'RESUMEN TOTAL'!X63</f>
        <v>0</v>
      </c>
      <c r="R42" s="70">
        <f>'RESUMEN TOTAL'!Y63</f>
        <v>0</v>
      </c>
      <c r="S42" s="70">
        <f>'RESUMEN TOTAL'!Z63</f>
        <v>0</v>
      </c>
      <c r="T42" s="70">
        <f>'RESUMEN TOTAL'!AA63</f>
        <v>0</v>
      </c>
      <c r="U42" s="70">
        <f>'RESUMEN TOTAL'!AB63</f>
        <v>0</v>
      </c>
      <c r="V42" s="70">
        <f>'RESUMEN TOTAL'!AC63</f>
        <v>0</v>
      </c>
      <c r="W42" s="70">
        <f>'RESUMEN TOTAL'!AD63</f>
        <v>0</v>
      </c>
      <c r="X42" s="70">
        <f>'RESUMEN TOTAL'!AE63</f>
        <v>0</v>
      </c>
      <c r="Y42" s="70">
        <f>'RESUMEN TOTAL'!AF63</f>
        <v>0</v>
      </c>
      <c r="Z42" s="70">
        <f>'RESUMEN TOTAL'!AG63</f>
        <v>0</v>
      </c>
      <c r="AA42" s="70">
        <f>'RESUMEN TOTAL'!AH63</f>
        <v>0</v>
      </c>
      <c r="AB42" s="70">
        <f>'RESUMEN TOTAL'!AI63</f>
        <v>0</v>
      </c>
      <c r="AC42" s="70">
        <f>'RESUMEN TOTAL'!AJ63</f>
        <v>0</v>
      </c>
      <c r="AD42" s="70">
        <f>'RESUMEN TOTAL'!AK63</f>
        <v>0</v>
      </c>
      <c r="AE42" s="70">
        <f>'RESUMEN TOTAL'!AL63</f>
        <v>0</v>
      </c>
      <c r="AF42" s="70">
        <f>'RESUMEN TOTAL'!AM63</f>
        <v>0</v>
      </c>
      <c r="AG42" s="70">
        <f>'RESUMEN TOTAL'!AN63</f>
        <v>0</v>
      </c>
      <c r="AH42" s="70">
        <f>'RESUMEN TOTAL'!AO63</f>
        <v>0</v>
      </c>
      <c r="AI42" s="70">
        <f>'RESUMEN TOTAL'!AP63</f>
        <v>0</v>
      </c>
      <c r="AJ42" s="70">
        <f>'RESUMEN TOTAL'!AQ63</f>
        <v>0</v>
      </c>
    </row>
    <row r="43" spans="1:36" x14ac:dyDescent="0.25">
      <c r="A43" t="str">
        <f>'RESUMEN TOTAL'!A64</f>
        <v>CENTRO</v>
      </c>
      <c r="B43" t="str">
        <f>'RESUMEN TOTAL'!B64</f>
        <v>CEN19</v>
      </c>
      <c r="C43" t="str">
        <f>'RESUMEN TOTAL'!D64</f>
        <v>Chacabuco y 25 de Mayo</v>
      </c>
      <c r="D43" s="30" t="str">
        <f>'RESUMEN TOTAL'!E64</f>
        <v>Fija</v>
      </c>
      <c r="E43" s="30" t="str">
        <f>'RESUMEN TOTAL'!F64</f>
        <v>Fibra Optica</v>
      </c>
      <c r="F43" s="70">
        <f>'RESUMEN TOTAL'!M64</f>
        <v>0</v>
      </c>
      <c r="G43" s="70">
        <f>'RESUMEN TOTAL'!N64</f>
        <v>0</v>
      </c>
      <c r="H43" s="70">
        <f>'RESUMEN TOTAL'!O64</f>
        <v>0</v>
      </c>
      <c r="I43" s="70">
        <f>'RESUMEN TOTAL'!P64</f>
        <v>0</v>
      </c>
      <c r="J43" s="70">
        <f>'RESUMEN TOTAL'!Q64</f>
        <v>0</v>
      </c>
      <c r="K43" s="70">
        <f>'RESUMEN TOTAL'!R64</f>
        <v>0</v>
      </c>
      <c r="L43" s="70">
        <f>'RESUMEN TOTAL'!S64</f>
        <v>0</v>
      </c>
      <c r="M43" s="70">
        <f>'RESUMEN TOTAL'!T64</f>
        <v>0</v>
      </c>
      <c r="N43" s="70">
        <f>'RESUMEN TOTAL'!U64</f>
        <v>0</v>
      </c>
      <c r="O43" s="70">
        <f>'RESUMEN TOTAL'!V64</f>
        <v>0</v>
      </c>
      <c r="P43" s="70">
        <f>'RESUMEN TOTAL'!W64</f>
        <v>0</v>
      </c>
      <c r="Q43" s="70">
        <f>'RESUMEN TOTAL'!X64</f>
        <v>0</v>
      </c>
      <c r="R43" s="70">
        <f>'RESUMEN TOTAL'!Y64</f>
        <v>0</v>
      </c>
      <c r="S43" s="70">
        <f>'RESUMEN TOTAL'!Z64</f>
        <v>0</v>
      </c>
      <c r="T43" s="70">
        <f>'RESUMEN TOTAL'!AA64</f>
        <v>0</v>
      </c>
      <c r="U43" s="70">
        <f>'RESUMEN TOTAL'!AB64</f>
        <v>0</v>
      </c>
      <c r="V43" s="70">
        <f>'RESUMEN TOTAL'!AC64</f>
        <v>0</v>
      </c>
      <c r="W43" s="70">
        <f>'RESUMEN TOTAL'!AD64</f>
        <v>0</v>
      </c>
      <c r="X43" s="70">
        <f>'RESUMEN TOTAL'!AE64</f>
        <v>0</v>
      </c>
      <c r="Y43" s="70">
        <f>'RESUMEN TOTAL'!AF64</f>
        <v>0</v>
      </c>
      <c r="Z43" s="70">
        <f>'RESUMEN TOTAL'!AG64</f>
        <v>0</v>
      </c>
      <c r="AA43" s="70">
        <f>'RESUMEN TOTAL'!AH64</f>
        <v>0</v>
      </c>
      <c r="AB43" s="70">
        <f>'RESUMEN TOTAL'!AI64</f>
        <v>0</v>
      </c>
      <c r="AC43" s="70">
        <f>'RESUMEN TOTAL'!AJ64</f>
        <v>0</v>
      </c>
      <c r="AD43" s="70">
        <f>'RESUMEN TOTAL'!AK64</f>
        <v>0</v>
      </c>
      <c r="AE43" s="70">
        <f>'RESUMEN TOTAL'!AL64</f>
        <v>0</v>
      </c>
      <c r="AF43" s="70">
        <f>'RESUMEN TOTAL'!AM64</f>
        <v>0</v>
      </c>
      <c r="AG43" s="70">
        <f>'RESUMEN TOTAL'!AN64</f>
        <v>0</v>
      </c>
      <c r="AH43" s="70">
        <f>'RESUMEN TOTAL'!AO64</f>
        <v>0</v>
      </c>
      <c r="AI43" s="70">
        <f>'RESUMEN TOTAL'!AP64</f>
        <v>0</v>
      </c>
      <c r="AJ43" s="70">
        <f>'RESUMEN TOTAL'!AQ64</f>
        <v>0</v>
      </c>
    </row>
    <row r="44" spans="1:36" x14ac:dyDescent="0.25">
      <c r="A44" t="str">
        <f>'RESUMEN TOTAL'!A65</f>
        <v>LOMAS DE MONTEVERDE</v>
      </c>
      <c r="B44" t="str">
        <f>'RESUMEN TOTAL'!B65</f>
        <v>CEN20</v>
      </c>
      <c r="C44" t="str">
        <f>'RESUMEN TOTAL'!D65</f>
        <v>Pte. Illia y Las Heras</v>
      </c>
      <c r="D44" s="30" t="str">
        <f>'RESUMEN TOTAL'!E65</f>
        <v>Domo</v>
      </c>
      <c r="E44" s="30" t="str">
        <f>'RESUMEN TOTAL'!F65</f>
        <v>GPON</v>
      </c>
      <c r="F44" s="70">
        <f>'RESUMEN TOTAL'!M65</f>
        <v>0</v>
      </c>
      <c r="G44" s="70">
        <f>'RESUMEN TOTAL'!N65</f>
        <v>0</v>
      </c>
      <c r="H44" s="70">
        <f>'RESUMEN TOTAL'!O65</f>
        <v>0</v>
      </c>
      <c r="I44" s="70">
        <f>'RESUMEN TOTAL'!P65</f>
        <v>0</v>
      </c>
      <c r="J44" s="70">
        <f>'RESUMEN TOTAL'!Q65</f>
        <v>0</v>
      </c>
      <c r="K44" s="70">
        <f>'RESUMEN TOTAL'!R65</f>
        <v>0</v>
      </c>
      <c r="L44" s="70">
        <f>'RESUMEN TOTAL'!S65</f>
        <v>0</v>
      </c>
      <c r="M44" s="70">
        <f>'RESUMEN TOTAL'!T65</f>
        <v>0</v>
      </c>
      <c r="N44" s="70">
        <f>'RESUMEN TOTAL'!U65</f>
        <v>0</v>
      </c>
      <c r="O44" s="70">
        <f>'RESUMEN TOTAL'!V65</f>
        <v>0</v>
      </c>
      <c r="P44" s="70">
        <f>'RESUMEN TOTAL'!W65</f>
        <v>0</v>
      </c>
      <c r="Q44" s="70">
        <f>'RESUMEN TOTAL'!X65</f>
        <v>0</v>
      </c>
      <c r="R44" s="70">
        <f>'RESUMEN TOTAL'!Y65</f>
        <v>0</v>
      </c>
      <c r="S44" s="70">
        <f>'RESUMEN TOTAL'!Z65</f>
        <v>0</v>
      </c>
      <c r="T44" s="70">
        <f>'RESUMEN TOTAL'!AA65</f>
        <v>0</v>
      </c>
      <c r="U44" s="70">
        <f>'RESUMEN TOTAL'!AB65</f>
        <v>0</v>
      </c>
      <c r="V44" s="70">
        <f>'RESUMEN TOTAL'!AC65</f>
        <v>0</v>
      </c>
      <c r="W44" s="70">
        <f>'RESUMEN TOTAL'!AD65</f>
        <v>0</v>
      </c>
      <c r="X44" s="70">
        <f>'RESUMEN TOTAL'!AE65</f>
        <v>0</v>
      </c>
      <c r="Y44" s="70">
        <f>'RESUMEN TOTAL'!AF65</f>
        <v>0</v>
      </c>
      <c r="Z44" s="70">
        <f>'RESUMEN TOTAL'!AG65</f>
        <v>0</v>
      </c>
      <c r="AA44" s="70">
        <f>'RESUMEN TOTAL'!AH65</f>
        <v>0</v>
      </c>
      <c r="AB44" s="70">
        <f>'RESUMEN TOTAL'!AI65</f>
        <v>0</v>
      </c>
      <c r="AC44" s="70">
        <f>'RESUMEN TOTAL'!AJ65</f>
        <v>0</v>
      </c>
      <c r="AD44" s="70">
        <f>'RESUMEN TOTAL'!AK65</f>
        <v>0</v>
      </c>
      <c r="AE44" s="70">
        <f>'RESUMEN TOTAL'!AL65</f>
        <v>0</v>
      </c>
      <c r="AF44" s="70">
        <f>'RESUMEN TOTAL'!AM65</f>
        <v>0</v>
      </c>
      <c r="AG44" s="70">
        <f>'RESUMEN TOTAL'!AN65</f>
        <v>0</v>
      </c>
      <c r="AH44" s="70">
        <f>'RESUMEN TOTAL'!AO65</f>
        <v>0</v>
      </c>
      <c r="AI44" s="70">
        <f>'RESUMEN TOTAL'!AP65</f>
        <v>0</v>
      </c>
      <c r="AJ44" s="70">
        <f>'RESUMEN TOTAL'!AQ65</f>
        <v>0</v>
      </c>
    </row>
    <row r="45" spans="1:36" x14ac:dyDescent="0.25">
      <c r="A45" t="str">
        <f>'RESUMEN TOTAL'!A66</f>
        <v>CENTRO</v>
      </c>
      <c r="B45" t="str">
        <f>'RESUMEN TOTAL'!B66</f>
        <v>CEN21</v>
      </c>
      <c r="C45" t="str">
        <f>'RESUMEN TOTAL'!D66</f>
        <v>Misiones y Urquiza</v>
      </c>
      <c r="D45" s="30" t="str">
        <f>'RESUMEN TOTAL'!E66</f>
        <v>Fija</v>
      </c>
      <c r="E45" s="30" t="str">
        <f>'RESUMEN TOTAL'!F66</f>
        <v>GPON</v>
      </c>
      <c r="F45" s="70">
        <f>'RESUMEN TOTAL'!M66</f>
        <v>0</v>
      </c>
      <c r="G45" s="70">
        <f>'RESUMEN TOTAL'!N66</f>
        <v>0</v>
      </c>
      <c r="H45" s="70">
        <f>'RESUMEN TOTAL'!O66</f>
        <v>0</v>
      </c>
      <c r="I45" s="70">
        <f>'RESUMEN TOTAL'!P66</f>
        <v>0</v>
      </c>
      <c r="J45" s="70">
        <f>'RESUMEN TOTAL'!Q66</f>
        <v>0</v>
      </c>
      <c r="K45" s="70">
        <f>'RESUMEN TOTAL'!R66</f>
        <v>0</v>
      </c>
      <c r="L45" s="70">
        <f>'RESUMEN TOTAL'!S66</f>
        <v>0</v>
      </c>
      <c r="M45" s="70">
        <f>'RESUMEN TOTAL'!T66</f>
        <v>0</v>
      </c>
      <c r="N45" s="70">
        <f>'RESUMEN TOTAL'!U66</f>
        <v>0</v>
      </c>
      <c r="O45" s="70">
        <f>'RESUMEN TOTAL'!V66</f>
        <v>0</v>
      </c>
      <c r="P45" s="70">
        <f>'RESUMEN TOTAL'!W66</f>
        <v>0</v>
      </c>
      <c r="Q45" s="70">
        <f>'RESUMEN TOTAL'!X66</f>
        <v>0</v>
      </c>
      <c r="R45" s="70">
        <f>'RESUMEN TOTAL'!Y66</f>
        <v>0</v>
      </c>
      <c r="S45" s="70">
        <f>'RESUMEN TOTAL'!Z66</f>
        <v>0</v>
      </c>
      <c r="T45" s="70">
        <f>'RESUMEN TOTAL'!AA66</f>
        <v>0</v>
      </c>
      <c r="U45" s="70">
        <f>'RESUMEN TOTAL'!AB66</f>
        <v>0</v>
      </c>
      <c r="V45" s="70">
        <f>'RESUMEN TOTAL'!AC66</f>
        <v>0</v>
      </c>
      <c r="W45" s="70">
        <f>'RESUMEN TOTAL'!AD66</f>
        <v>0</v>
      </c>
      <c r="X45" s="70">
        <f>'RESUMEN TOTAL'!AE66</f>
        <v>0</v>
      </c>
      <c r="Y45" s="70">
        <f>'RESUMEN TOTAL'!AF66</f>
        <v>0</v>
      </c>
      <c r="Z45" s="70">
        <f>'RESUMEN TOTAL'!AG66</f>
        <v>0</v>
      </c>
      <c r="AA45" s="70">
        <f>'RESUMEN TOTAL'!AH66</f>
        <v>0</v>
      </c>
      <c r="AB45" s="70">
        <f>'RESUMEN TOTAL'!AI66</f>
        <v>0</v>
      </c>
      <c r="AC45" s="70">
        <f>'RESUMEN TOTAL'!AJ66</f>
        <v>0</v>
      </c>
      <c r="AD45" s="70">
        <f>'RESUMEN TOTAL'!AK66</f>
        <v>0</v>
      </c>
      <c r="AE45" s="70">
        <f>'RESUMEN TOTAL'!AL66</f>
        <v>0</v>
      </c>
      <c r="AF45" s="70">
        <f>'RESUMEN TOTAL'!AM66</f>
        <v>0</v>
      </c>
      <c r="AG45" s="70">
        <f>'RESUMEN TOTAL'!AN66</f>
        <v>0</v>
      </c>
      <c r="AH45" s="70">
        <f>'RESUMEN TOTAL'!AO66</f>
        <v>0</v>
      </c>
      <c r="AI45" s="70">
        <f>'RESUMEN TOTAL'!AP66</f>
        <v>0</v>
      </c>
      <c r="AJ45" s="70">
        <f>'RESUMEN TOTAL'!AQ66</f>
        <v>0</v>
      </c>
    </row>
    <row r="46" spans="1:36" x14ac:dyDescent="0.25">
      <c r="A46" t="str">
        <f>'RESUMEN TOTAL'!A67</f>
        <v>CENTRO</v>
      </c>
      <c r="B46" t="str">
        <f>'RESUMEN TOTAL'!B67</f>
        <v>CEN22</v>
      </c>
      <c r="C46" t="str">
        <f>'RESUMEN TOTAL'!D67</f>
        <v>Las Heras y Chacabuco</v>
      </c>
      <c r="D46" s="30" t="str">
        <f>'RESUMEN TOTAL'!E67</f>
        <v>Domo</v>
      </c>
      <c r="E46" s="30" t="str">
        <f>'RESUMEN TOTAL'!F67</f>
        <v>GPON</v>
      </c>
      <c r="F46" s="70">
        <f>'RESUMEN TOTAL'!M67</f>
        <v>0</v>
      </c>
      <c r="G46" s="70">
        <f>'RESUMEN TOTAL'!N67</f>
        <v>0</v>
      </c>
      <c r="H46" s="70">
        <f>'RESUMEN TOTAL'!O67</f>
        <v>0</v>
      </c>
      <c r="I46" s="70">
        <f>'RESUMEN TOTAL'!P67</f>
        <v>0</v>
      </c>
      <c r="J46" s="70">
        <f>'RESUMEN TOTAL'!Q67</f>
        <v>0</v>
      </c>
      <c r="K46" s="70">
        <f>'RESUMEN TOTAL'!R67</f>
        <v>0</v>
      </c>
      <c r="L46" s="70">
        <f>'RESUMEN TOTAL'!S67</f>
        <v>0</v>
      </c>
      <c r="M46" s="70">
        <f>'RESUMEN TOTAL'!T67</f>
        <v>0</v>
      </c>
      <c r="N46" s="70">
        <f>'RESUMEN TOTAL'!U67</f>
        <v>0</v>
      </c>
      <c r="O46" s="70">
        <f>'RESUMEN TOTAL'!V67</f>
        <v>0</v>
      </c>
      <c r="P46" s="70">
        <f>'RESUMEN TOTAL'!W67</f>
        <v>0</v>
      </c>
      <c r="Q46" s="70">
        <f>'RESUMEN TOTAL'!X67</f>
        <v>0</v>
      </c>
      <c r="R46" s="70">
        <f>'RESUMEN TOTAL'!Y67</f>
        <v>0</v>
      </c>
      <c r="S46" s="70">
        <f>'RESUMEN TOTAL'!Z67</f>
        <v>0</v>
      </c>
      <c r="T46" s="70">
        <f>'RESUMEN TOTAL'!AA67</f>
        <v>0</v>
      </c>
      <c r="U46" s="70">
        <f>'RESUMEN TOTAL'!AB67</f>
        <v>0</v>
      </c>
      <c r="V46" s="70">
        <f>'RESUMEN TOTAL'!AC67</f>
        <v>0</v>
      </c>
      <c r="W46" s="70">
        <f>'RESUMEN TOTAL'!AD67</f>
        <v>0</v>
      </c>
      <c r="X46" s="70">
        <f>'RESUMEN TOTAL'!AE67</f>
        <v>0</v>
      </c>
      <c r="Y46" s="70">
        <f>'RESUMEN TOTAL'!AF67</f>
        <v>0</v>
      </c>
      <c r="Z46" s="70">
        <f>'RESUMEN TOTAL'!AG67</f>
        <v>0</v>
      </c>
      <c r="AA46" s="70">
        <f>'RESUMEN TOTAL'!AH67</f>
        <v>0</v>
      </c>
      <c r="AB46" s="70">
        <f>'RESUMEN TOTAL'!AI67</f>
        <v>0</v>
      </c>
      <c r="AC46" s="70">
        <f>'RESUMEN TOTAL'!AJ67</f>
        <v>0</v>
      </c>
      <c r="AD46" s="70">
        <f>'RESUMEN TOTAL'!AK67</f>
        <v>0</v>
      </c>
      <c r="AE46" s="70">
        <f>'RESUMEN TOTAL'!AL67</f>
        <v>0</v>
      </c>
      <c r="AF46" s="70">
        <f>'RESUMEN TOTAL'!AM67</f>
        <v>0</v>
      </c>
      <c r="AG46" s="70">
        <f>'RESUMEN TOTAL'!AN67</f>
        <v>0</v>
      </c>
      <c r="AH46" s="70">
        <f>'RESUMEN TOTAL'!AO67</f>
        <v>0</v>
      </c>
      <c r="AI46" s="70">
        <f>'RESUMEN TOTAL'!AP67</f>
        <v>0</v>
      </c>
      <c r="AJ46" s="70">
        <f>'RESUMEN TOTAL'!AQ67</f>
        <v>0</v>
      </c>
    </row>
    <row r="47" spans="1:36" x14ac:dyDescent="0.25">
      <c r="A47" t="str">
        <f>'RESUMEN TOTAL'!A68</f>
        <v>CENTRO</v>
      </c>
      <c r="B47" t="str">
        <f>'RESUMEN TOTAL'!B68</f>
        <v>CEN23</v>
      </c>
      <c r="C47" t="str">
        <f>'RESUMEN TOTAL'!D68</f>
        <v>Sallares y Monteagudo</v>
      </c>
      <c r="D47" s="30" t="str">
        <f>'RESUMEN TOTAL'!E68</f>
        <v>Domo</v>
      </c>
      <c r="E47" s="30" t="str">
        <f>'RESUMEN TOTAL'!F68</f>
        <v>Fibra Optica</v>
      </c>
      <c r="F47" s="70">
        <f>'RESUMEN TOTAL'!M68</f>
        <v>0</v>
      </c>
      <c r="G47" s="70">
        <f>'RESUMEN TOTAL'!N68</f>
        <v>0</v>
      </c>
      <c r="H47" s="70">
        <f>'RESUMEN TOTAL'!O68</f>
        <v>0</v>
      </c>
      <c r="I47" s="70">
        <f>'RESUMEN TOTAL'!P68</f>
        <v>0</v>
      </c>
      <c r="J47" s="70">
        <f>'RESUMEN TOTAL'!Q68</f>
        <v>0</v>
      </c>
      <c r="K47" s="70">
        <f>'RESUMEN TOTAL'!R68</f>
        <v>0</v>
      </c>
      <c r="L47" s="70">
        <f>'RESUMEN TOTAL'!S68</f>
        <v>0</v>
      </c>
      <c r="M47" s="70">
        <f>'RESUMEN TOTAL'!T68</f>
        <v>0</v>
      </c>
      <c r="N47" s="70">
        <f>'RESUMEN TOTAL'!U68</f>
        <v>0</v>
      </c>
      <c r="O47" s="70">
        <f>'RESUMEN TOTAL'!V68</f>
        <v>0</v>
      </c>
      <c r="P47" s="70">
        <f>'RESUMEN TOTAL'!W68</f>
        <v>0</v>
      </c>
      <c r="Q47" s="70">
        <f>'RESUMEN TOTAL'!X68</f>
        <v>0</v>
      </c>
      <c r="R47" s="70">
        <f>'RESUMEN TOTAL'!Y68</f>
        <v>0</v>
      </c>
      <c r="S47" s="70">
        <f>'RESUMEN TOTAL'!Z68</f>
        <v>0</v>
      </c>
      <c r="T47" s="70">
        <f>'RESUMEN TOTAL'!AA68</f>
        <v>0</v>
      </c>
      <c r="U47" s="70">
        <f>'RESUMEN TOTAL'!AB68</f>
        <v>0</v>
      </c>
      <c r="V47" s="70">
        <f>'RESUMEN TOTAL'!AC68</f>
        <v>0</v>
      </c>
      <c r="W47" s="70">
        <f>'RESUMEN TOTAL'!AD68</f>
        <v>0</v>
      </c>
      <c r="X47" s="70">
        <f>'RESUMEN TOTAL'!AE68</f>
        <v>0</v>
      </c>
      <c r="Y47" s="70">
        <f>'RESUMEN TOTAL'!AF68</f>
        <v>0</v>
      </c>
      <c r="Z47" s="70">
        <f>'RESUMEN TOTAL'!AG68</f>
        <v>0</v>
      </c>
      <c r="AA47" s="70">
        <f>'RESUMEN TOTAL'!AH68</f>
        <v>0</v>
      </c>
      <c r="AB47" s="70">
        <f>'RESUMEN TOTAL'!AI68</f>
        <v>0</v>
      </c>
      <c r="AC47" s="70">
        <f>'RESUMEN TOTAL'!AJ68</f>
        <v>0</v>
      </c>
      <c r="AD47" s="70">
        <f>'RESUMEN TOTAL'!AK68</f>
        <v>0</v>
      </c>
      <c r="AE47" s="70">
        <f>'RESUMEN TOTAL'!AL68</f>
        <v>0</v>
      </c>
      <c r="AF47" s="70">
        <f>'RESUMEN TOTAL'!AM68</f>
        <v>0</v>
      </c>
      <c r="AG47" s="70">
        <f>'RESUMEN TOTAL'!AN68</f>
        <v>0</v>
      </c>
      <c r="AH47" s="70">
        <f>'RESUMEN TOTAL'!AO68</f>
        <v>0</v>
      </c>
      <c r="AI47" s="70">
        <f>'RESUMEN TOTAL'!AP68</f>
        <v>0</v>
      </c>
      <c r="AJ47" s="70">
        <f>'RESUMEN TOTAL'!AQ68</f>
        <v>0</v>
      </c>
    </row>
    <row r="48" spans="1:36" x14ac:dyDescent="0.25">
      <c r="A48" t="str">
        <f>'RESUMEN TOTAL'!A69</f>
        <v>CENTRO</v>
      </c>
      <c r="B48" t="str">
        <f>'RESUMEN TOTAL'!B69</f>
        <v>CEN24</v>
      </c>
      <c r="C48" t="str">
        <f>'RESUMEN TOTAL'!D69</f>
        <v>Sallares y España</v>
      </c>
      <c r="D48" s="30" t="str">
        <f>'RESUMEN TOTAL'!E69</f>
        <v>Domo</v>
      </c>
      <c r="E48" s="30" t="str">
        <f>'RESUMEN TOTAL'!F69</f>
        <v>Fibra Optica</v>
      </c>
      <c r="F48" s="70">
        <f>'RESUMEN TOTAL'!M69</f>
        <v>0</v>
      </c>
      <c r="G48" s="70">
        <f>'RESUMEN TOTAL'!N69</f>
        <v>0</v>
      </c>
      <c r="H48" s="70">
        <f>'RESUMEN TOTAL'!O69</f>
        <v>0</v>
      </c>
      <c r="I48" s="70">
        <f>'RESUMEN TOTAL'!P69</f>
        <v>0</v>
      </c>
      <c r="J48" s="70">
        <f>'RESUMEN TOTAL'!Q69</f>
        <v>0</v>
      </c>
      <c r="K48" s="70">
        <f>'RESUMEN TOTAL'!R69</f>
        <v>0</v>
      </c>
      <c r="L48" s="70">
        <f>'RESUMEN TOTAL'!S69</f>
        <v>0</v>
      </c>
      <c r="M48" s="70">
        <f>'RESUMEN TOTAL'!T69</f>
        <v>0</v>
      </c>
      <c r="N48" s="70">
        <f>'RESUMEN TOTAL'!U69</f>
        <v>0</v>
      </c>
      <c r="O48" s="70">
        <f>'RESUMEN TOTAL'!V69</f>
        <v>0</v>
      </c>
      <c r="P48" s="70">
        <f>'RESUMEN TOTAL'!W69</f>
        <v>0</v>
      </c>
      <c r="Q48" s="70">
        <f>'RESUMEN TOTAL'!X69</f>
        <v>0</v>
      </c>
      <c r="R48" s="70">
        <f>'RESUMEN TOTAL'!Y69</f>
        <v>0</v>
      </c>
      <c r="S48" s="70">
        <f>'RESUMEN TOTAL'!Z69</f>
        <v>0</v>
      </c>
      <c r="T48" s="70">
        <f>'RESUMEN TOTAL'!AA69</f>
        <v>0</v>
      </c>
      <c r="U48" s="70">
        <f>'RESUMEN TOTAL'!AB69</f>
        <v>0</v>
      </c>
      <c r="V48" s="70">
        <f>'RESUMEN TOTAL'!AC69</f>
        <v>0</v>
      </c>
      <c r="W48" s="70">
        <f>'RESUMEN TOTAL'!AD69</f>
        <v>0</v>
      </c>
      <c r="X48" s="70">
        <f>'RESUMEN TOTAL'!AE69</f>
        <v>0</v>
      </c>
      <c r="Y48" s="70">
        <f>'RESUMEN TOTAL'!AF69</f>
        <v>0</v>
      </c>
      <c r="Z48" s="70">
        <f>'RESUMEN TOTAL'!AG69</f>
        <v>0</v>
      </c>
      <c r="AA48" s="70">
        <f>'RESUMEN TOTAL'!AH69</f>
        <v>0</v>
      </c>
      <c r="AB48" s="70">
        <f>'RESUMEN TOTAL'!AI69</f>
        <v>0</v>
      </c>
      <c r="AC48" s="70">
        <f>'RESUMEN TOTAL'!AJ69</f>
        <v>0</v>
      </c>
      <c r="AD48" s="70">
        <f>'RESUMEN TOTAL'!AK69</f>
        <v>0</v>
      </c>
      <c r="AE48" s="70">
        <f>'RESUMEN TOTAL'!AL69</f>
        <v>0</v>
      </c>
      <c r="AF48" s="70">
        <f>'RESUMEN TOTAL'!AM69</f>
        <v>0</v>
      </c>
      <c r="AG48" s="70">
        <f>'RESUMEN TOTAL'!AN69</f>
        <v>0</v>
      </c>
      <c r="AH48" s="70">
        <f>'RESUMEN TOTAL'!AO69</f>
        <v>0</v>
      </c>
      <c r="AI48" s="70">
        <f>'RESUMEN TOTAL'!AP69</f>
        <v>0</v>
      </c>
      <c r="AJ48" s="70">
        <f>'RESUMEN TOTAL'!AQ69</f>
        <v>0</v>
      </c>
    </row>
    <row r="49" spans="1:36" x14ac:dyDescent="0.25">
      <c r="A49" t="str">
        <f>'RESUMEN TOTAL'!A70</f>
        <v>CENTRO</v>
      </c>
      <c r="B49" t="str">
        <f>'RESUMEN TOTAL'!B70</f>
        <v>CEN25</v>
      </c>
      <c r="C49" t="str">
        <f>'RESUMEN TOTAL'!D70</f>
        <v>SAN MARTIN Y 9 DE JULIO</v>
      </c>
      <c r="D49" s="30" t="str">
        <f>'RESUMEN TOTAL'!E70</f>
        <v>Domo</v>
      </c>
      <c r="E49" s="30" t="str">
        <f>'RESUMEN TOTAL'!F70</f>
        <v>Fibra Optica</v>
      </c>
      <c r="F49" s="70">
        <f>'RESUMEN TOTAL'!M70</f>
        <v>0</v>
      </c>
      <c r="G49" s="70">
        <f>'RESUMEN TOTAL'!N70</f>
        <v>0</v>
      </c>
      <c r="H49" s="70">
        <f>'RESUMEN TOTAL'!O70</f>
        <v>0</v>
      </c>
      <c r="I49" s="70">
        <f>'RESUMEN TOTAL'!P70</f>
        <v>0</v>
      </c>
      <c r="J49" s="70">
        <f>'RESUMEN TOTAL'!Q70</f>
        <v>0</v>
      </c>
      <c r="K49" s="70">
        <f>'RESUMEN TOTAL'!R70</f>
        <v>0</v>
      </c>
      <c r="L49" s="70">
        <f>'RESUMEN TOTAL'!S70</f>
        <v>0</v>
      </c>
      <c r="M49" s="70">
        <f>'RESUMEN TOTAL'!T70</f>
        <v>0</v>
      </c>
      <c r="N49" s="70">
        <f>'RESUMEN TOTAL'!U70</f>
        <v>0</v>
      </c>
      <c r="O49" s="70">
        <f>'RESUMEN TOTAL'!V70</f>
        <v>0</v>
      </c>
      <c r="P49" s="70">
        <f>'RESUMEN TOTAL'!W70</f>
        <v>0</v>
      </c>
      <c r="Q49" s="70">
        <f>'RESUMEN TOTAL'!X70</f>
        <v>0</v>
      </c>
      <c r="R49" s="70">
        <f>'RESUMEN TOTAL'!Y70</f>
        <v>0</v>
      </c>
      <c r="S49" s="70">
        <f>'RESUMEN TOTAL'!Z70</f>
        <v>0</v>
      </c>
      <c r="T49" s="70">
        <f>'RESUMEN TOTAL'!AA70</f>
        <v>0</v>
      </c>
      <c r="U49" s="70">
        <f>'RESUMEN TOTAL'!AB70</f>
        <v>0</v>
      </c>
      <c r="V49" s="70">
        <f>'RESUMEN TOTAL'!AC70</f>
        <v>0</v>
      </c>
      <c r="W49" s="70">
        <f>'RESUMEN TOTAL'!AD70</f>
        <v>0</v>
      </c>
      <c r="X49" s="70">
        <f>'RESUMEN TOTAL'!AE70</f>
        <v>0</v>
      </c>
      <c r="Y49" s="70">
        <f>'RESUMEN TOTAL'!AF70</f>
        <v>0</v>
      </c>
      <c r="Z49" s="70">
        <f>'RESUMEN TOTAL'!AG70</f>
        <v>0</v>
      </c>
      <c r="AA49" s="70">
        <f>'RESUMEN TOTAL'!AH70</f>
        <v>0</v>
      </c>
      <c r="AB49" s="70">
        <f>'RESUMEN TOTAL'!AI70</f>
        <v>0</v>
      </c>
      <c r="AC49" s="70">
        <f>'RESUMEN TOTAL'!AJ70</f>
        <v>0</v>
      </c>
      <c r="AD49" s="70">
        <f>'RESUMEN TOTAL'!AK70</f>
        <v>0</v>
      </c>
      <c r="AE49" s="70">
        <f>'RESUMEN TOTAL'!AL70</f>
        <v>0</v>
      </c>
      <c r="AF49" s="70">
        <f>'RESUMEN TOTAL'!AM70</f>
        <v>0</v>
      </c>
      <c r="AG49" s="70">
        <f>'RESUMEN TOTAL'!AN70</f>
        <v>0</v>
      </c>
      <c r="AH49" s="70">
        <f>'RESUMEN TOTAL'!AO70</f>
        <v>0</v>
      </c>
      <c r="AI49" s="70">
        <f>'RESUMEN TOTAL'!AP70</f>
        <v>0</v>
      </c>
      <c r="AJ49" s="70">
        <f>'RESUMEN TOTAL'!AQ70</f>
        <v>0</v>
      </c>
    </row>
    <row r="50" spans="1:36" x14ac:dyDescent="0.25">
      <c r="A50" t="str">
        <f>'RESUMEN TOTAL'!A71</f>
        <v>CENTRO</v>
      </c>
      <c r="B50" t="str">
        <f>'RESUMEN TOTAL'!B71</f>
        <v>CEN26</v>
      </c>
      <c r="C50" t="str">
        <f>'RESUMEN TOTAL'!D71</f>
        <v>Mitre y España</v>
      </c>
      <c r="D50" s="30" t="str">
        <f>'RESUMEN TOTAL'!E71</f>
        <v>Domo</v>
      </c>
      <c r="E50" s="30" t="str">
        <f>'RESUMEN TOTAL'!F71</f>
        <v>Fibra Optica</v>
      </c>
      <c r="F50" s="70">
        <f>'RESUMEN TOTAL'!M71</f>
        <v>0</v>
      </c>
      <c r="G50" s="70">
        <f>'RESUMEN TOTAL'!N71</f>
        <v>0</v>
      </c>
      <c r="H50" s="70">
        <f>'RESUMEN TOTAL'!O71</f>
        <v>0</v>
      </c>
      <c r="I50" s="70">
        <f>'RESUMEN TOTAL'!P71</f>
        <v>0</v>
      </c>
      <c r="J50" s="70">
        <f>'RESUMEN TOTAL'!Q71</f>
        <v>0</v>
      </c>
      <c r="K50" s="70">
        <f>'RESUMEN TOTAL'!R71</f>
        <v>0</v>
      </c>
      <c r="L50" s="70">
        <f>'RESUMEN TOTAL'!S71</f>
        <v>0</v>
      </c>
      <c r="M50" s="70">
        <f>'RESUMEN TOTAL'!T71</f>
        <v>0</v>
      </c>
      <c r="N50" s="70">
        <f>'RESUMEN TOTAL'!U71</f>
        <v>0</v>
      </c>
      <c r="O50" s="70">
        <f>'RESUMEN TOTAL'!V71</f>
        <v>0</v>
      </c>
      <c r="P50" s="70">
        <f>'RESUMEN TOTAL'!W71</f>
        <v>0</v>
      </c>
      <c r="Q50" s="70">
        <f>'RESUMEN TOTAL'!X71</f>
        <v>0</v>
      </c>
      <c r="R50" s="70">
        <f>'RESUMEN TOTAL'!Y71</f>
        <v>0</v>
      </c>
      <c r="S50" s="70">
        <f>'RESUMEN TOTAL'!Z71</f>
        <v>0</v>
      </c>
      <c r="T50" s="70">
        <f>'RESUMEN TOTAL'!AA71</f>
        <v>0</v>
      </c>
      <c r="U50" s="70">
        <f>'RESUMEN TOTAL'!AB71</f>
        <v>0</v>
      </c>
      <c r="V50" s="70">
        <f>'RESUMEN TOTAL'!AC71</f>
        <v>0</v>
      </c>
      <c r="W50" s="70">
        <f>'RESUMEN TOTAL'!AD71</f>
        <v>0</v>
      </c>
      <c r="X50" s="70">
        <f>'RESUMEN TOTAL'!AE71</f>
        <v>0</v>
      </c>
      <c r="Y50" s="70">
        <f>'RESUMEN TOTAL'!AF71</f>
        <v>0</v>
      </c>
      <c r="Z50" s="70">
        <f>'RESUMEN TOTAL'!AG71</f>
        <v>0</v>
      </c>
      <c r="AA50" s="70">
        <f>'RESUMEN TOTAL'!AH71</f>
        <v>0</v>
      </c>
      <c r="AB50" s="70">
        <f>'RESUMEN TOTAL'!AI71</f>
        <v>0</v>
      </c>
      <c r="AC50" s="70">
        <f>'RESUMEN TOTAL'!AJ71</f>
        <v>0</v>
      </c>
      <c r="AD50" s="70">
        <f>'RESUMEN TOTAL'!AK71</f>
        <v>0</v>
      </c>
      <c r="AE50" s="70">
        <f>'RESUMEN TOTAL'!AL71</f>
        <v>0</v>
      </c>
      <c r="AF50" s="70">
        <f>'RESUMEN TOTAL'!AM71</f>
        <v>0</v>
      </c>
      <c r="AG50" s="70">
        <f>'RESUMEN TOTAL'!AN71</f>
        <v>0</v>
      </c>
      <c r="AH50" s="70">
        <f>'RESUMEN TOTAL'!AO71</f>
        <v>0</v>
      </c>
      <c r="AI50" s="70">
        <f>'RESUMEN TOTAL'!AP71</f>
        <v>0</v>
      </c>
      <c r="AJ50" s="70">
        <f>'RESUMEN TOTAL'!AQ71</f>
        <v>0</v>
      </c>
    </row>
    <row r="51" spans="1:36" x14ac:dyDescent="0.25">
      <c r="A51" t="str">
        <f>'RESUMEN TOTAL'!A72</f>
        <v>CENTRO</v>
      </c>
      <c r="B51" t="str">
        <f>'RESUMEN TOTAL'!B72</f>
        <v>CEN27</v>
      </c>
      <c r="C51" t="str">
        <f>'RESUMEN TOTAL'!D72</f>
        <v>San Juan y España</v>
      </c>
      <c r="D51" s="30" t="str">
        <f>'RESUMEN TOTAL'!E72</f>
        <v>Domo</v>
      </c>
      <c r="E51" s="30" t="str">
        <f>'RESUMEN TOTAL'!F72</f>
        <v>Fibra Optica</v>
      </c>
      <c r="F51" s="70">
        <f>'RESUMEN TOTAL'!M72</f>
        <v>0</v>
      </c>
      <c r="G51" s="70">
        <f>'RESUMEN TOTAL'!N72</f>
        <v>0</v>
      </c>
      <c r="H51" s="70">
        <f>'RESUMEN TOTAL'!O72</f>
        <v>0</v>
      </c>
      <c r="I51" s="70">
        <f>'RESUMEN TOTAL'!P72</f>
        <v>0</v>
      </c>
      <c r="J51" s="70">
        <f>'RESUMEN TOTAL'!Q72</f>
        <v>0</v>
      </c>
      <c r="K51" s="70">
        <f>'RESUMEN TOTAL'!R72</f>
        <v>0</v>
      </c>
      <c r="L51" s="70">
        <f>'RESUMEN TOTAL'!S72</f>
        <v>0</v>
      </c>
      <c r="M51" s="70">
        <f>'RESUMEN TOTAL'!T72</f>
        <v>0</v>
      </c>
      <c r="N51" s="70">
        <f>'RESUMEN TOTAL'!U72</f>
        <v>0</v>
      </c>
      <c r="O51" s="70">
        <f>'RESUMEN TOTAL'!V72</f>
        <v>0</v>
      </c>
      <c r="P51" s="70">
        <f>'RESUMEN TOTAL'!W72</f>
        <v>0</v>
      </c>
      <c r="Q51" s="70">
        <f>'RESUMEN TOTAL'!X72</f>
        <v>0</v>
      </c>
      <c r="R51" s="70">
        <f>'RESUMEN TOTAL'!Y72</f>
        <v>0</v>
      </c>
      <c r="S51" s="70">
        <f>'RESUMEN TOTAL'!Z72</f>
        <v>0</v>
      </c>
      <c r="T51" s="70">
        <f>'RESUMEN TOTAL'!AA72</f>
        <v>0</v>
      </c>
      <c r="U51" s="70">
        <f>'RESUMEN TOTAL'!AB72</f>
        <v>0</v>
      </c>
      <c r="V51" s="70">
        <f>'RESUMEN TOTAL'!AC72</f>
        <v>0</v>
      </c>
      <c r="W51" s="70">
        <f>'RESUMEN TOTAL'!AD72</f>
        <v>0</v>
      </c>
      <c r="X51" s="70">
        <f>'RESUMEN TOTAL'!AE72</f>
        <v>0</v>
      </c>
      <c r="Y51" s="70">
        <f>'RESUMEN TOTAL'!AF72</f>
        <v>0</v>
      </c>
      <c r="Z51" s="70">
        <f>'RESUMEN TOTAL'!AG72</f>
        <v>0</v>
      </c>
      <c r="AA51" s="70">
        <f>'RESUMEN TOTAL'!AH72</f>
        <v>0</v>
      </c>
      <c r="AB51" s="70">
        <f>'RESUMEN TOTAL'!AI72</f>
        <v>0</v>
      </c>
      <c r="AC51" s="70">
        <f>'RESUMEN TOTAL'!AJ72</f>
        <v>0</v>
      </c>
      <c r="AD51" s="70">
        <f>'RESUMEN TOTAL'!AK72</f>
        <v>0</v>
      </c>
      <c r="AE51" s="70">
        <f>'RESUMEN TOTAL'!AL72</f>
        <v>0</v>
      </c>
      <c r="AF51" s="70">
        <f>'RESUMEN TOTAL'!AM72</f>
        <v>0</v>
      </c>
      <c r="AG51" s="70">
        <f>'RESUMEN TOTAL'!AN72</f>
        <v>0</v>
      </c>
      <c r="AH51" s="70">
        <f>'RESUMEN TOTAL'!AO72</f>
        <v>0</v>
      </c>
      <c r="AI51" s="70">
        <f>'RESUMEN TOTAL'!AP72</f>
        <v>0</v>
      </c>
      <c r="AJ51" s="70">
        <f>'RESUMEN TOTAL'!AQ72</f>
        <v>0</v>
      </c>
    </row>
    <row r="52" spans="1:36" x14ac:dyDescent="0.25">
      <c r="A52" t="str">
        <f>'RESUMEN TOTAL'!A73</f>
        <v>CENTRO</v>
      </c>
      <c r="B52" t="str">
        <f>'RESUMEN TOTAL'!B73</f>
        <v>CEN28</v>
      </c>
      <c r="C52" t="str">
        <f>'RESUMEN TOTAL'!D73</f>
        <v>Mitre y Alberdi</v>
      </c>
      <c r="D52" s="30" t="str">
        <f>'RESUMEN TOTAL'!E73</f>
        <v>Domo</v>
      </c>
      <c r="E52" s="30" t="str">
        <f>'RESUMEN TOTAL'!F73</f>
        <v>Fibra Optica</v>
      </c>
      <c r="F52" s="70">
        <f>'RESUMEN TOTAL'!M73</f>
        <v>0</v>
      </c>
      <c r="G52" s="70">
        <f>'RESUMEN TOTAL'!N73</f>
        <v>0</v>
      </c>
      <c r="H52" s="70">
        <f>'RESUMEN TOTAL'!O73</f>
        <v>0</v>
      </c>
      <c r="I52" s="70">
        <f>'RESUMEN TOTAL'!P73</f>
        <v>0</v>
      </c>
      <c r="J52" s="70">
        <f>'RESUMEN TOTAL'!Q73</f>
        <v>0</v>
      </c>
      <c r="K52" s="70">
        <f>'RESUMEN TOTAL'!R73</f>
        <v>0</v>
      </c>
      <c r="L52" s="70">
        <f>'RESUMEN TOTAL'!S73</f>
        <v>0</v>
      </c>
      <c r="M52" s="70">
        <f>'RESUMEN TOTAL'!T73</f>
        <v>0</v>
      </c>
      <c r="N52" s="70">
        <f>'RESUMEN TOTAL'!U73</f>
        <v>0</v>
      </c>
      <c r="O52" s="70">
        <f>'RESUMEN TOTAL'!V73</f>
        <v>0</v>
      </c>
      <c r="P52" s="70">
        <f>'RESUMEN TOTAL'!W73</f>
        <v>0</v>
      </c>
      <c r="Q52" s="70">
        <f>'RESUMEN TOTAL'!X73</f>
        <v>0</v>
      </c>
      <c r="R52" s="70">
        <f>'RESUMEN TOTAL'!Y73</f>
        <v>0</v>
      </c>
      <c r="S52" s="70">
        <f>'RESUMEN TOTAL'!Z73</f>
        <v>0</v>
      </c>
      <c r="T52" s="70">
        <f>'RESUMEN TOTAL'!AA73</f>
        <v>0</v>
      </c>
      <c r="U52" s="70">
        <f>'RESUMEN TOTAL'!AB73</f>
        <v>0</v>
      </c>
      <c r="V52" s="70">
        <f>'RESUMEN TOTAL'!AC73</f>
        <v>0</v>
      </c>
      <c r="W52" s="70">
        <f>'RESUMEN TOTAL'!AD73</f>
        <v>0</v>
      </c>
      <c r="X52" s="70">
        <f>'RESUMEN TOTAL'!AE73</f>
        <v>0</v>
      </c>
      <c r="Y52" s="70">
        <f>'RESUMEN TOTAL'!AF73</f>
        <v>0</v>
      </c>
      <c r="Z52" s="70">
        <f>'RESUMEN TOTAL'!AG73</f>
        <v>0</v>
      </c>
      <c r="AA52" s="70">
        <f>'RESUMEN TOTAL'!AH73</f>
        <v>0</v>
      </c>
      <c r="AB52" s="70">
        <f>'RESUMEN TOTAL'!AI73</f>
        <v>0</v>
      </c>
      <c r="AC52" s="70">
        <f>'RESUMEN TOTAL'!AJ73</f>
        <v>0</v>
      </c>
      <c r="AD52" s="70">
        <f>'RESUMEN TOTAL'!AK73</f>
        <v>0</v>
      </c>
      <c r="AE52" s="70">
        <f>'RESUMEN TOTAL'!AL73</f>
        <v>0</v>
      </c>
      <c r="AF52" s="70">
        <f>'RESUMEN TOTAL'!AM73</f>
        <v>0</v>
      </c>
      <c r="AG52" s="70">
        <f>'RESUMEN TOTAL'!AN73</f>
        <v>0</v>
      </c>
      <c r="AH52" s="70">
        <f>'RESUMEN TOTAL'!AO73</f>
        <v>0</v>
      </c>
      <c r="AI52" s="70">
        <f>'RESUMEN TOTAL'!AP73</f>
        <v>0</v>
      </c>
      <c r="AJ52" s="70">
        <f>'RESUMEN TOTAL'!AQ73</f>
        <v>0</v>
      </c>
    </row>
    <row r="53" spans="1:36" x14ac:dyDescent="0.25">
      <c r="A53" t="str">
        <f>'RESUMEN TOTAL'!A74</f>
        <v>CENTRO</v>
      </c>
      <c r="B53" t="str">
        <f>'RESUMEN TOTAL'!B74</f>
        <v>CEN29</v>
      </c>
      <c r="C53" t="str">
        <f>'RESUMEN TOTAL'!D74</f>
        <v>Alberdi y San Juan</v>
      </c>
      <c r="D53" s="30" t="str">
        <f>'RESUMEN TOTAL'!E74</f>
        <v>Domo</v>
      </c>
      <c r="E53" s="30" t="str">
        <f>'RESUMEN TOTAL'!F74</f>
        <v>Fibra Optica</v>
      </c>
      <c r="F53" s="70">
        <f>'RESUMEN TOTAL'!M74</f>
        <v>0</v>
      </c>
      <c r="G53" s="70">
        <f>'RESUMEN TOTAL'!N74</f>
        <v>0</v>
      </c>
      <c r="H53" s="70">
        <f>'RESUMEN TOTAL'!O74</f>
        <v>0</v>
      </c>
      <c r="I53" s="70">
        <f>'RESUMEN TOTAL'!P74</f>
        <v>0</v>
      </c>
      <c r="J53" s="70">
        <f>'RESUMEN TOTAL'!Q74</f>
        <v>0</v>
      </c>
      <c r="K53" s="70">
        <f>'RESUMEN TOTAL'!R74</f>
        <v>0</v>
      </c>
      <c r="L53" s="70">
        <f>'RESUMEN TOTAL'!S74</f>
        <v>0</v>
      </c>
      <c r="M53" s="70">
        <f>'RESUMEN TOTAL'!T74</f>
        <v>0</v>
      </c>
      <c r="N53" s="70">
        <f>'RESUMEN TOTAL'!U74</f>
        <v>0</v>
      </c>
      <c r="O53" s="70">
        <f>'RESUMEN TOTAL'!V74</f>
        <v>0</v>
      </c>
      <c r="P53" s="70">
        <f>'RESUMEN TOTAL'!W74</f>
        <v>0</v>
      </c>
      <c r="Q53" s="70">
        <f>'RESUMEN TOTAL'!X74</f>
        <v>0</v>
      </c>
      <c r="R53" s="70">
        <f>'RESUMEN TOTAL'!Y74</f>
        <v>0</v>
      </c>
      <c r="S53" s="70">
        <f>'RESUMEN TOTAL'!Z74</f>
        <v>0</v>
      </c>
      <c r="T53" s="70">
        <f>'RESUMEN TOTAL'!AA74</f>
        <v>0</v>
      </c>
      <c r="U53" s="70">
        <f>'RESUMEN TOTAL'!AB74</f>
        <v>0</v>
      </c>
      <c r="V53" s="70">
        <f>'RESUMEN TOTAL'!AC74</f>
        <v>0</v>
      </c>
      <c r="W53" s="70">
        <f>'RESUMEN TOTAL'!AD74</f>
        <v>0</v>
      </c>
      <c r="X53" s="70">
        <f>'RESUMEN TOTAL'!AE74</f>
        <v>0</v>
      </c>
      <c r="Y53" s="70">
        <f>'RESUMEN TOTAL'!AF74</f>
        <v>0</v>
      </c>
      <c r="Z53" s="70">
        <f>'RESUMEN TOTAL'!AG74</f>
        <v>0</v>
      </c>
      <c r="AA53" s="70">
        <f>'RESUMEN TOTAL'!AH74</f>
        <v>0</v>
      </c>
      <c r="AB53" s="70">
        <f>'RESUMEN TOTAL'!AI74</f>
        <v>0</v>
      </c>
      <c r="AC53" s="70">
        <f>'RESUMEN TOTAL'!AJ74</f>
        <v>0</v>
      </c>
      <c r="AD53" s="70">
        <f>'RESUMEN TOTAL'!AK74</f>
        <v>0</v>
      </c>
      <c r="AE53" s="70">
        <f>'RESUMEN TOTAL'!AL74</f>
        <v>0</v>
      </c>
      <c r="AF53" s="70">
        <f>'RESUMEN TOTAL'!AM74</f>
        <v>0</v>
      </c>
      <c r="AG53" s="70">
        <f>'RESUMEN TOTAL'!AN74</f>
        <v>0</v>
      </c>
      <c r="AH53" s="70">
        <f>'RESUMEN TOTAL'!AO74</f>
        <v>0</v>
      </c>
      <c r="AI53" s="70">
        <f>'RESUMEN TOTAL'!AP74</f>
        <v>0</v>
      </c>
      <c r="AJ53" s="70">
        <f>'RESUMEN TOTAL'!AQ74</f>
        <v>0</v>
      </c>
    </row>
    <row r="54" spans="1:36" x14ac:dyDescent="0.25">
      <c r="A54" t="str">
        <f>'RESUMEN TOTAL'!A75</f>
        <v>CENTRO</v>
      </c>
      <c r="B54" t="str">
        <f>'RESUMEN TOTAL'!B75</f>
        <v>CEN30</v>
      </c>
      <c r="C54" t="str">
        <f>'RESUMEN TOTAL'!D75</f>
        <v>Mitre y Pringles</v>
      </c>
      <c r="D54" s="30" t="str">
        <f>'RESUMEN TOTAL'!E75</f>
        <v>Domo</v>
      </c>
      <c r="E54" s="30" t="str">
        <f>'RESUMEN TOTAL'!F75</f>
        <v>Fibra Optica</v>
      </c>
      <c r="F54" s="70">
        <f>'RESUMEN TOTAL'!M75</f>
        <v>0</v>
      </c>
      <c r="G54" s="70">
        <f>'RESUMEN TOTAL'!N75</f>
        <v>0</v>
      </c>
      <c r="H54" s="70">
        <f>'RESUMEN TOTAL'!O75</f>
        <v>0</v>
      </c>
      <c r="I54" s="70">
        <f>'RESUMEN TOTAL'!P75</f>
        <v>0</v>
      </c>
      <c r="J54" s="70">
        <f>'RESUMEN TOTAL'!Q75</f>
        <v>0</v>
      </c>
      <c r="K54" s="70">
        <f>'RESUMEN TOTAL'!R75</f>
        <v>0</v>
      </c>
      <c r="L54" s="70">
        <f>'RESUMEN TOTAL'!S75</f>
        <v>0</v>
      </c>
      <c r="M54" s="70">
        <f>'RESUMEN TOTAL'!T75</f>
        <v>0</v>
      </c>
      <c r="N54" s="70">
        <f>'RESUMEN TOTAL'!U75</f>
        <v>0</v>
      </c>
      <c r="O54" s="70">
        <f>'RESUMEN TOTAL'!V75</f>
        <v>0</v>
      </c>
      <c r="P54" s="70">
        <f>'RESUMEN TOTAL'!W75</f>
        <v>0</v>
      </c>
      <c r="Q54" s="70">
        <f>'RESUMEN TOTAL'!X75</f>
        <v>0</v>
      </c>
      <c r="R54" s="70">
        <f>'RESUMEN TOTAL'!Y75</f>
        <v>0</v>
      </c>
      <c r="S54" s="70">
        <f>'RESUMEN TOTAL'!Z75</f>
        <v>0</v>
      </c>
      <c r="T54" s="70">
        <f>'RESUMEN TOTAL'!AA75</f>
        <v>0</v>
      </c>
      <c r="U54" s="70">
        <f>'RESUMEN TOTAL'!AB75</f>
        <v>0</v>
      </c>
      <c r="V54" s="70">
        <f>'RESUMEN TOTAL'!AC75</f>
        <v>0</v>
      </c>
      <c r="W54" s="70">
        <f>'RESUMEN TOTAL'!AD75</f>
        <v>0</v>
      </c>
      <c r="X54" s="70">
        <f>'RESUMEN TOTAL'!AE75</f>
        <v>0</v>
      </c>
      <c r="Y54" s="70">
        <f>'RESUMEN TOTAL'!AF75</f>
        <v>0</v>
      </c>
      <c r="Z54" s="70">
        <f>'RESUMEN TOTAL'!AG75</f>
        <v>0</v>
      </c>
      <c r="AA54" s="70">
        <f>'RESUMEN TOTAL'!AH75</f>
        <v>0</v>
      </c>
      <c r="AB54" s="70">
        <f>'RESUMEN TOTAL'!AI75</f>
        <v>0</v>
      </c>
      <c r="AC54" s="70">
        <f>'RESUMEN TOTAL'!AJ75</f>
        <v>0</v>
      </c>
      <c r="AD54" s="70">
        <f>'RESUMEN TOTAL'!AK75</f>
        <v>0</v>
      </c>
      <c r="AE54" s="70">
        <f>'RESUMEN TOTAL'!AL75</f>
        <v>0</v>
      </c>
      <c r="AF54" s="70">
        <f>'RESUMEN TOTAL'!AM75</f>
        <v>0</v>
      </c>
      <c r="AG54" s="70">
        <f>'RESUMEN TOTAL'!AN75</f>
        <v>0</v>
      </c>
      <c r="AH54" s="70">
        <f>'RESUMEN TOTAL'!AO75</f>
        <v>0</v>
      </c>
      <c r="AI54" s="70">
        <f>'RESUMEN TOTAL'!AP75</f>
        <v>0</v>
      </c>
      <c r="AJ54" s="70">
        <f>'RESUMEN TOTAL'!AQ75</f>
        <v>0</v>
      </c>
    </row>
    <row r="55" spans="1:36" x14ac:dyDescent="0.25">
      <c r="A55" t="str">
        <f>'RESUMEN TOTAL'!A76</f>
        <v>CENTRO</v>
      </c>
      <c r="B55" t="str">
        <f>'RESUMEN TOTAL'!B76</f>
        <v>CEN31</v>
      </c>
      <c r="C55" t="str">
        <f>'RESUMEN TOTAL'!D76</f>
        <v>Mitre e/Monteagudo y Alberdi</v>
      </c>
      <c r="D55" s="30" t="str">
        <f>'RESUMEN TOTAL'!E76</f>
        <v>Domo</v>
      </c>
      <c r="E55" s="30" t="str">
        <f>'RESUMEN TOTAL'!F76</f>
        <v>Fibra Optica</v>
      </c>
      <c r="F55" s="70">
        <f>'RESUMEN TOTAL'!M76</f>
        <v>0</v>
      </c>
      <c r="G55" s="70">
        <f>'RESUMEN TOTAL'!N76</f>
        <v>0</v>
      </c>
      <c r="H55" s="70">
        <f>'RESUMEN TOTAL'!O76</f>
        <v>0</v>
      </c>
      <c r="I55" s="70">
        <f>'RESUMEN TOTAL'!P76</f>
        <v>0</v>
      </c>
      <c r="J55" s="70">
        <f>'RESUMEN TOTAL'!Q76</f>
        <v>0</v>
      </c>
      <c r="K55" s="70">
        <f>'RESUMEN TOTAL'!R76</f>
        <v>0</v>
      </c>
      <c r="L55" s="70">
        <f>'RESUMEN TOTAL'!S76</f>
        <v>0</v>
      </c>
      <c r="M55" s="70">
        <f>'RESUMEN TOTAL'!T76</f>
        <v>0</v>
      </c>
      <c r="N55" s="70">
        <f>'RESUMEN TOTAL'!U76</f>
        <v>0</v>
      </c>
      <c r="O55" s="70">
        <f>'RESUMEN TOTAL'!V76</f>
        <v>0</v>
      </c>
      <c r="P55" s="70">
        <f>'RESUMEN TOTAL'!W76</f>
        <v>0</v>
      </c>
      <c r="Q55" s="70">
        <f>'RESUMEN TOTAL'!X76</f>
        <v>0</v>
      </c>
      <c r="R55" s="70">
        <f>'RESUMEN TOTAL'!Y76</f>
        <v>0</v>
      </c>
      <c r="S55" s="70">
        <f>'RESUMEN TOTAL'!Z76</f>
        <v>0</v>
      </c>
      <c r="T55" s="70">
        <f>'RESUMEN TOTAL'!AA76</f>
        <v>0</v>
      </c>
      <c r="U55" s="70">
        <f>'RESUMEN TOTAL'!AB76</f>
        <v>0</v>
      </c>
      <c r="V55" s="70">
        <f>'RESUMEN TOTAL'!AC76</f>
        <v>0</v>
      </c>
      <c r="W55" s="70">
        <f>'RESUMEN TOTAL'!AD76</f>
        <v>0</v>
      </c>
      <c r="X55" s="70">
        <f>'RESUMEN TOTAL'!AE76</f>
        <v>0</v>
      </c>
      <c r="Y55" s="70">
        <f>'RESUMEN TOTAL'!AF76</f>
        <v>0</v>
      </c>
      <c r="Z55" s="70">
        <f>'RESUMEN TOTAL'!AG76</f>
        <v>0</v>
      </c>
      <c r="AA55" s="70">
        <f>'RESUMEN TOTAL'!AH76</f>
        <v>0</v>
      </c>
      <c r="AB55" s="70">
        <f>'RESUMEN TOTAL'!AI76</f>
        <v>0</v>
      </c>
      <c r="AC55" s="70">
        <f>'RESUMEN TOTAL'!AJ76</f>
        <v>0</v>
      </c>
      <c r="AD55" s="70">
        <f>'RESUMEN TOTAL'!AK76</f>
        <v>0</v>
      </c>
      <c r="AE55" s="70">
        <f>'RESUMEN TOTAL'!AL76</f>
        <v>0</v>
      </c>
      <c r="AF55" s="70">
        <f>'RESUMEN TOTAL'!AM76</f>
        <v>0</v>
      </c>
      <c r="AG55" s="70">
        <f>'RESUMEN TOTAL'!AN76</f>
        <v>0</v>
      </c>
      <c r="AH55" s="70">
        <f>'RESUMEN TOTAL'!AO76</f>
        <v>0</v>
      </c>
      <c r="AI55" s="70">
        <f>'RESUMEN TOTAL'!AP76</f>
        <v>0</v>
      </c>
      <c r="AJ55" s="70">
        <f>'RESUMEN TOTAL'!AQ76</f>
        <v>0</v>
      </c>
    </row>
    <row r="56" spans="1:36" x14ac:dyDescent="0.25">
      <c r="A56" t="str">
        <f>'RESUMEN TOTAL'!A77</f>
        <v>CENTRO</v>
      </c>
      <c r="B56" t="str">
        <f>'RESUMEN TOTAL'!B77</f>
        <v>CEN32</v>
      </c>
      <c r="C56" t="str">
        <f>'RESUMEN TOTAL'!D77</f>
        <v>Aristobulo del Valle y España</v>
      </c>
      <c r="D56" s="30" t="str">
        <f>'RESUMEN TOTAL'!E77</f>
        <v>Domo</v>
      </c>
      <c r="E56" s="30" t="str">
        <f>'RESUMEN TOTAL'!F77</f>
        <v>Fibra Optica</v>
      </c>
      <c r="F56" s="70">
        <f>'RESUMEN TOTAL'!M77</f>
        <v>0</v>
      </c>
      <c r="G56" s="70">
        <f>'RESUMEN TOTAL'!N77</f>
        <v>0</v>
      </c>
      <c r="H56" s="70">
        <f>'RESUMEN TOTAL'!O77</f>
        <v>0</v>
      </c>
      <c r="I56" s="70">
        <f>'RESUMEN TOTAL'!P77</f>
        <v>0</v>
      </c>
      <c r="J56" s="70">
        <f>'RESUMEN TOTAL'!Q77</f>
        <v>0</v>
      </c>
      <c r="K56" s="70">
        <f>'RESUMEN TOTAL'!R77</f>
        <v>0</v>
      </c>
      <c r="L56" s="70">
        <f>'RESUMEN TOTAL'!S77</f>
        <v>0</v>
      </c>
      <c r="M56" s="70">
        <f>'RESUMEN TOTAL'!T77</f>
        <v>0</v>
      </c>
      <c r="N56" s="70">
        <f>'RESUMEN TOTAL'!U77</f>
        <v>0</v>
      </c>
      <c r="O56" s="70">
        <f>'RESUMEN TOTAL'!V77</f>
        <v>0</v>
      </c>
      <c r="P56" s="70">
        <f>'RESUMEN TOTAL'!W77</f>
        <v>0</v>
      </c>
      <c r="Q56" s="70">
        <f>'RESUMEN TOTAL'!X77</f>
        <v>0</v>
      </c>
      <c r="R56" s="70">
        <f>'RESUMEN TOTAL'!Y77</f>
        <v>0</v>
      </c>
      <c r="S56" s="70">
        <f>'RESUMEN TOTAL'!Z77</f>
        <v>0</v>
      </c>
      <c r="T56" s="70">
        <f>'RESUMEN TOTAL'!AA77</f>
        <v>0</v>
      </c>
      <c r="U56" s="70">
        <f>'RESUMEN TOTAL'!AB77</f>
        <v>0</v>
      </c>
      <c r="V56" s="70">
        <f>'RESUMEN TOTAL'!AC77</f>
        <v>0</v>
      </c>
      <c r="W56" s="70">
        <f>'RESUMEN TOTAL'!AD77</f>
        <v>0</v>
      </c>
      <c r="X56" s="70">
        <f>'RESUMEN TOTAL'!AE77</f>
        <v>0</v>
      </c>
      <c r="Y56" s="70">
        <f>'RESUMEN TOTAL'!AF77</f>
        <v>0</v>
      </c>
      <c r="Z56" s="70">
        <f>'RESUMEN TOTAL'!AG77</f>
        <v>0</v>
      </c>
      <c r="AA56" s="70">
        <f>'RESUMEN TOTAL'!AH77</f>
        <v>0</v>
      </c>
      <c r="AB56" s="70">
        <f>'RESUMEN TOTAL'!AI77</f>
        <v>0</v>
      </c>
      <c r="AC56" s="70">
        <f>'RESUMEN TOTAL'!AJ77</f>
        <v>0</v>
      </c>
      <c r="AD56" s="70">
        <f>'RESUMEN TOTAL'!AK77</f>
        <v>0</v>
      </c>
      <c r="AE56" s="70">
        <f>'RESUMEN TOTAL'!AL77</f>
        <v>0</v>
      </c>
      <c r="AF56" s="70">
        <f>'RESUMEN TOTAL'!AM77</f>
        <v>0</v>
      </c>
      <c r="AG56" s="70">
        <f>'RESUMEN TOTAL'!AN77</f>
        <v>0</v>
      </c>
      <c r="AH56" s="70">
        <f>'RESUMEN TOTAL'!AO77</f>
        <v>0</v>
      </c>
      <c r="AI56" s="70">
        <f>'RESUMEN TOTAL'!AP77</f>
        <v>0</v>
      </c>
      <c r="AJ56" s="70">
        <f>'RESUMEN TOTAL'!AQ77</f>
        <v>0</v>
      </c>
    </row>
    <row r="57" spans="1:36" x14ac:dyDescent="0.25">
      <c r="A57" t="str">
        <f>'RESUMEN TOTAL'!A78</f>
        <v>CENTRO</v>
      </c>
      <c r="B57" t="str">
        <f>'RESUMEN TOTAL'!B78</f>
        <v>CEN33</v>
      </c>
      <c r="C57" t="str">
        <f>'RESUMEN TOTAL'!D78</f>
        <v>Peron y Alberdi</v>
      </c>
      <c r="D57" s="30" t="str">
        <f>'RESUMEN TOTAL'!E78</f>
        <v>Domo</v>
      </c>
      <c r="E57" s="30" t="str">
        <f>'RESUMEN TOTAL'!F78</f>
        <v>Fibra Optica</v>
      </c>
      <c r="F57" s="70">
        <f>'RESUMEN TOTAL'!M78</f>
        <v>0</v>
      </c>
      <c r="G57" s="70">
        <f>'RESUMEN TOTAL'!N78</f>
        <v>0</v>
      </c>
      <c r="H57" s="70">
        <f>'RESUMEN TOTAL'!O78</f>
        <v>0</v>
      </c>
      <c r="I57" s="70">
        <f>'RESUMEN TOTAL'!P78</f>
        <v>0</v>
      </c>
      <c r="J57" s="70">
        <f>'RESUMEN TOTAL'!Q78</f>
        <v>0</v>
      </c>
      <c r="K57" s="70">
        <f>'RESUMEN TOTAL'!R78</f>
        <v>0</v>
      </c>
      <c r="L57" s="70">
        <f>'RESUMEN TOTAL'!S78</f>
        <v>0</v>
      </c>
      <c r="M57" s="70">
        <f>'RESUMEN TOTAL'!T78</f>
        <v>0</v>
      </c>
      <c r="N57" s="70">
        <f>'RESUMEN TOTAL'!U78</f>
        <v>0</v>
      </c>
      <c r="O57" s="70">
        <f>'RESUMEN TOTAL'!V78</f>
        <v>0</v>
      </c>
      <c r="P57" s="70">
        <f>'RESUMEN TOTAL'!W78</f>
        <v>0</v>
      </c>
      <c r="Q57" s="70">
        <f>'RESUMEN TOTAL'!X78</f>
        <v>0</v>
      </c>
      <c r="R57" s="70">
        <f>'RESUMEN TOTAL'!Y78</f>
        <v>0</v>
      </c>
      <c r="S57" s="70">
        <f>'RESUMEN TOTAL'!Z78</f>
        <v>0</v>
      </c>
      <c r="T57" s="70">
        <f>'RESUMEN TOTAL'!AA78</f>
        <v>0</v>
      </c>
      <c r="U57" s="70">
        <f>'RESUMEN TOTAL'!AB78</f>
        <v>0</v>
      </c>
      <c r="V57" s="70">
        <f>'RESUMEN TOTAL'!AC78</f>
        <v>0</v>
      </c>
      <c r="W57" s="70">
        <f>'RESUMEN TOTAL'!AD78</f>
        <v>0</v>
      </c>
      <c r="X57" s="70">
        <f>'RESUMEN TOTAL'!AE78</f>
        <v>0</v>
      </c>
      <c r="Y57" s="70">
        <f>'RESUMEN TOTAL'!AF78</f>
        <v>0</v>
      </c>
      <c r="Z57" s="70">
        <f>'RESUMEN TOTAL'!AG78</f>
        <v>0</v>
      </c>
      <c r="AA57" s="70">
        <f>'RESUMEN TOTAL'!AH78</f>
        <v>0</v>
      </c>
      <c r="AB57" s="70">
        <f>'RESUMEN TOTAL'!AI78</f>
        <v>0</v>
      </c>
      <c r="AC57" s="70">
        <f>'RESUMEN TOTAL'!AJ78</f>
        <v>0</v>
      </c>
      <c r="AD57" s="70">
        <f>'RESUMEN TOTAL'!AK78</f>
        <v>0</v>
      </c>
      <c r="AE57" s="70">
        <f>'RESUMEN TOTAL'!AL78</f>
        <v>0</v>
      </c>
      <c r="AF57" s="70">
        <f>'RESUMEN TOTAL'!AM78</f>
        <v>0</v>
      </c>
      <c r="AG57" s="70">
        <f>'RESUMEN TOTAL'!AN78</f>
        <v>0</v>
      </c>
      <c r="AH57" s="70">
        <f>'RESUMEN TOTAL'!AO78</f>
        <v>0</v>
      </c>
      <c r="AI57" s="70">
        <f>'RESUMEN TOTAL'!AP78</f>
        <v>0</v>
      </c>
      <c r="AJ57" s="70">
        <f>'RESUMEN TOTAL'!AQ78</f>
        <v>0</v>
      </c>
    </row>
    <row r="58" spans="1:36" x14ac:dyDescent="0.25">
      <c r="A58" t="str">
        <f>'RESUMEN TOTAL'!A79</f>
        <v>CENTRO</v>
      </c>
      <c r="B58" t="str">
        <f>'RESUMEN TOTAL'!B79</f>
        <v>CEN34</v>
      </c>
      <c r="C58" t="str">
        <f>'RESUMEN TOTAL'!D79</f>
        <v>Peron y España</v>
      </c>
      <c r="D58" s="30" t="str">
        <f>'RESUMEN TOTAL'!E79</f>
        <v>Domo</v>
      </c>
      <c r="E58" s="30" t="str">
        <f>'RESUMEN TOTAL'!F79</f>
        <v>Fibra Optica</v>
      </c>
      <c r="F58" s="70">
        <f>'RESUMEN TOTAL'!M79</f>
        <v>0</v>
      </c>
      <c r="G58" s="70">
        <f>'RESUMEN TOTAL'!N79</f>
        <v>0</v>
      </c>
      <c r="H58" s="70">
        <f>'RESUMEN TOTAL'!O79</f>
        <v>0</v>
      </c>
      <c r="I58" s="70">
        <f>'RESUMEN TOTAL'!P79</f>
        <v>0</v>
      </c>
      <c r="J58" s="70">
        <f>'RESUMEN TOTAL'!Q79</f>
        <v>0</v>
      </c>
      <c r="K58" s="70">
        <f>'RESUMEN TOTAL'!R79</f>
        <v>0</v>
      </c>
      <c r="L58" s="70">
        <f>'RESUMEN TOTAL'!S79</f>
        <v>0</v>
      </c>
      <c r="M58" s="70">
        <f>'RESUMEN TOTAL'!T79</f>
        <v>0</v>
      </c>
      <c r="N58" s="70">
        <f>'RESUMEN TOTAL'!U79</f>
        <v>0</v>
      </c>
      <c r="O58" s="70">
        <f>'RESUMEN TOTAL'!V79</f>
        <v>0</v>
      </c>
      <c r="P58" s="70">
        <f>'RESUMEN TOTAL'!W79</f>
        <v>0</v>
      </c>
      <c r="Q58" s="70">
        <f>'RESUMEN TOTAL'!X79</f>
        <v>0</v>
      </c>
      <c r="R58" s="70">
        <f>'RESUMEN TOTAL'!Y79</f>
        <v>0</v>
      </c>
      <c r="S58" s="70">
        <f>'RESUMEN TOTAL'!Z79</f>
        <v>0</v>
      </c>
      <c r="T58" s="70">
        <f>'RESUMEN TOTAL'!AA79</f>
        <v>0</v>
      </c>
      <c r="U58" s="70">
        <f>'RESUMEN TOTAL'!AB79</f>
        <v>0</v>
      </c>
      <c r="V58" s="70">
        <f>'RESUMEN TOTAL'!AC79</f>
        <v>0</v>
      </c>
      <c r="W58" s="70">
        <f>'RESUMEN TOTAL'!AD79</f>
        <v>0</v>
      </c>
      <c r="X58" s="70">
        <f>'RESUMEN TOTAL'!AE79</f>
        <v>0</v>
      </c>
      <c r="Y58" s="70">
        <f>'RESUMEN TOTAL'!AF79</f>
        <v>0</v>
      </c>
      <c r="Z58" s="70">
        <f>'RESUMEN TOTAL'!AG79</f>
        <v>0</v>
      </c>
      <c r="AA58" s="70">
        <f>'RESUMEN TOTAL'!AH79</f>
        <v>0</v>
      </c>
      <c r="AB58" s="70">
        <f>'RESUMEN TOTAL'!AI79</f>
        <v>0</v>
      </c>
      <c r="AC58" s="70">
        <f>'RESUMEN TOTAL'!AJ79</f>
        <v>0</v>
      </c>
      <c r="AD58" s="70">
        <f>'RESUMEN TOTAL'!AK79</f>
        <v>0</v>
      </c>
      <c r="AE58" s="70">
        <f>'RESUMEN TOTAL'!AL79</f>
        <v>0</v>
      </c>
      <c r="AF58" s="70">
        <f>'RESUMEN TOTAL'!AM79</f>
        <v>0</v>
      </c>
      <c r="AG58" s="70">
        <f>'RESUMEN TOTAL'!AN79</f>
        <v>0</v>
      </c>
      <c r="AH58" s="70">
        <f>'RESUMEN TOTAL'!AO79</f>
        <v>0</v>
      </c>
      <c r="AI58" s="70">
        <f>'RESUMEN TOTAL'!AP79</f>
        <v>0</v>
      </c>
      <c r="AJ58" s="70">
        <f>'RESUMEN TOTAL'!AQ79</f>
        <v>0</v>
      </c>
    </row>
    <row r="59" spans="1:36" x14ac:dyDescent="0.25">
      <c r="A59" t="str">
        <f>'RESUMEN TOTAL'!A80</f>
        <v>CENTRO</v>
      </c>
      <c r="B59" t="str">
        <f>'RESUMEN TOTAL'!B80</f>
        <v>CEN35</v>
      </c>
      <c r="C59" t="str">
        <f>'RESUMEN TOTAL'!D80</f>
        <v>España y Marmol</v>
      </c>
      <c r="D59" s="30" t="str">
        <f>'RESUMEN TOTAL'!E80</f>
        <v>Domo</v>
      </c>
      <c r="E59" s="30" t="str">
        <f>'RESUMEN TOTAL'!F80</f>
        <v>Fibra Optica</v>
      </c>
      <c r="F59" s="70">
        <f>'RESUMEN TOTAL'!M80</f>
        <v>0</v>
      </c>
      <c r="G59" s="70">
        <f>'RESUMEN TOTAL'!N80</f>
        <v>0</v>
      </c>
      <c r="H59" s="70">
        <f>'RESUMEN TOTAL'!O80</f>
        <v>0</v>
      </c>
      <c r="I59" s="70">
        <f>'RESUMEN TOTAL'!P80</f>
        <v>0</v>
      </c>
      <c r="J59" s="70">
        <f>'RESUMEN TOTAL'!Q80</f>
        <v>0</v>
      </c>
      <c r="K59" s="70">
        <f>'RESUMEN TOTAL'!R80</f>
        <v>0</v>
      </c>
      <c r="L59" s="70">
        <f>'RESUMEN TOTAL'!S80</f>
        <v>0</v>
      </c>
      <c r="M59" s="70">
        <f>'RESUMEN TOTAL'!T80</f>
        <v>0</v>
      </c>
      <c r="N59" s="70">
        <f>'RESUMEN TOTAL'!U80</f>
        <v>0</v>
      </c>
      <c r="O59" s="70">
        <f>'RESUMEN TOTAL'!V80</f>
        <v>0</v>
      </c>
      <c r="P59" s="70">
        <f>'RESUMEN TOTAL'!W80</f>
        <v>0</v>
      </c>
      <c r="Q59" s="70">
        <f>'RESUMEN TOTAL'!X80</f>
        <v>0</v>
      </c>
      <c r="R59" s="70">
        <f>'RESUMEN TOTAL'!Y80</f>
        <v>0</v>
      </c>
      <c r="S59" s="70">
        <f>'RESUMEN TOTAL'!Z80</f>
        <v>0</v>
      </c>
      <c r="T59" s="70">
        <f>'RESUMEN TOTAL'!AA80</f>
        <v>0</v>
      </c>
      <c r="U59" s="70">
        <f>'RESUMEN TOTAL'!AB80</f>
        <v>0</v>
      </c>
      <c r="V59" s="70">
        <f>'RESUMEN TOTAL'!AC80</f>
        <v>0</v>
      </c>
      <c r="W59" s="70">
        <f>'RESUMEN TOTAL'!AD80</f>
        <v>0</v>
      </c>
      <c r="X59" s="70">
        <f>'RESUMEN TOTAL'!AE80</f>
        <v>0</v>
      </c>
      <c r="Y59" s="70">
        <f>'RESUMEN TOTAL'!AF80</f>
        <v>0</v>
      </c>
      <c r="Z59" s="70">
        <f>'RESUMEN TOTAL'!AG80</f>
        <v>0</v>
      </c>
      <c r="AA59" s="70">
        <f>'RESUMEN TOTAL'!AH80</f>
        <v>0</v>
      </c>
      <c r="AB59" s="70">
        <f>'RESUMEN TOTAL'!AI80</f>
        <v>0</v>
      </c>
      <c r="AC59" s="70">
        <f>'RESUMEN TOTAL'!AJ80</f>
        <v>0</v>
      </c>
      <c r="AD59" s="70">
        <f>'RESUMEN TOTAL'!AK80</f>
        <v>0</v>
      </c>
      <c r="AE59" s="70">
        <f>'RESUMEN TOTAL'!AL80</f>
        <v>0</v>
      </c>
      <c r="AF59" s="70">
        <f>'RESUMEN TOTAL'!AM80</f>
        <v>0</v>
      </c>
      <c r="AG59" s="70">
        <f>'RESUMEN TOTAL'!AN80</f>
        <v>0</v>
      </c>
      <c r="AH59" s="70">
        <f>'RESUMEN TOTAL'!AO80</f>
        <v>0</v>
      </c>
      <c r="AI59" s="70">
        <f>'RESUMEN TOTAL'!AP80</f>
        <v>0</v>
      </c>
      <c r="AJ59" s="70">
        <f>'RESUMEN TOTAL'!AQ80</f>
        <v>0</v>
      </c>
    </row>
    <row r="60" spans="1:36" x14ac:dyDescent="0.25">
      <c r="A60" t="str">
        <f>'RESUMEN TOTAL'!A81</f>
        <v>CENTRO</v>
      </c>
      <c r="B60" t="str">
        <f>'RESUMEN TOTAL'!B81</f>
        <v>CEN36</v>
      </c>
      <c r="C60" t="str">
        <f>'RESUMEN TOTAL'!D81</f>
        <v>España y 9 de Julio</v>
      </c>
      <c r="D60" s="30" t="str">
        <f>'RESUMEN TOTAL'!E81</f>
        <v>Domo</v>
      </c>
      <c r="E60" s="30" t="str">
        <f>'RESUMEN TOTAL'!F81</f>
        <v>Fibra Optica</v>
      </c>
      <c r="F60" s="70">
        <f>'RESUMEN TOTAL'!M81</f>
        <v>0</v>
      </c>
      <c r="G60" s="70">
        <f>'RESUMEN TOTAL'!N81</f>
        <v>0</v>
      </c>
      <c r="H60" s="70">
        <f>'RESUMEN TOTAL'!O81</f>
        <v>0</v>
      </c>
      <c r="I60" s="70">
        <f>'RESUMEN TOTAL'!P81</f>
        <v>0</v>
      </c>
      <c r="J60" s="70">
        <f>'RESUMEN TOTAL'!Q81</f>
        <v>0</v>
      </c>
      <c r="K60" s="70">
        <f>'RESUMEN TOTAL'!R81</f>
        <v>0</v>
      </c>
      <c r="L60" s="70">
        <f>'RESUMEN TOTAL'!S81</f>
        <v>0</v>
      </c>
      <c r="M60" s="70">
        <f>'RESUMEN TOTAL'!T81</f>
        <v>0</v>
      </c>
      <c r="N60" s="70">
        <f>'RESUMEN TOTAL'!U81</f>
        <v>0</v>
      </c>
      <c r="O60" s="70">
        <f>'RESUMEN TOTAL'!V81</f>
        <v>0</v>
      </c>
      <c r="P60" s="70">
        <f>'RESUMEN TOTAL'!W81</f>
        <v>0</v>
      </c>
      <c r="Q60" s="70">
        <f>'RESUMEN TOTAL'!X81</f>
        <v>0</v>
      </c>
      <c r="R60" s="70">
        <f>'RESUMEN TOTAL'!Y81</f>
        <v>0</v>
      </c>
      <c r="S60" s="70">
        <f>'RESUMEN TOTAL'!Z81</f>
        <v>0</v>
      </c>
      <c r="T60" s="70">
        <f>'RESUMEN TOTAL'!AA81</f>
        <v>0</v>
      </c>
      <c r="U60" s="70">
        <f>'RESUMEN TOTAL'!AB81</f>
        <v>0</v>
      </c>
      <c r="V60" s="70">
        <f>'RESUMEN TOTAL'!AC81</f>
        <v>0</v>
      </c>
      <c r="W60" s="70">
        <f>'RESUMEN TOTAL'!AD81</f>
        <v>0</v>
      </c>
      <c r="X60" s="70">
        <f>'RESUMEN TOTAL'!AE81</f>
        <v>0</v>
      </c>
      <c r="Y60" s="70">
        <f>'RESUMEN TOTAL'!AF81</f>
        <v>0</v>
      </c>
      <c r="Z60" s="70">
        <f>'RESUMEN TOTAL'!AG81</f>
        <v>0</v>
      </c>
      <c r="AA60" s="70">
        <f>'RESUMEN TOTAL'!AH81</f>
        <v>0</v>
      </c>
      <c r="AB60" s="70">
        <f>'RESUMEN TOTAL'!AI81</f>
        <v>0</v>
      </c>
      <c r="AC60" s="70">
        <f>'RESUMEN TOTAL'!AJ81</f>
        <v>0</v>
      </c>
      <c r="AD60" s="70">
        <f>'RESUMEN TOTAL'!AK81</f>
        <v>0</v>
      </c>
      <c r="AE60" s="70">
        <f>'RESUMEN TOTAL'!AL81</f>
        <v>0</v>
      </c>
      <c r="AF60" s="70">
        <f>'RESUMEN TOTAL'!AM81</f>
        <v>0</v>
      </c>
      <c r="AG60" s="70">
        <f>'RESUMEN TOTAL'!AN81</f>
        <v>0</v>
      </c>
      <c r="AH60" s="70">
        <f>'RESUMEN TOTAL'!AO81</f>
        <v>0</v>
      </c>
      <c r="AI60" s="70">
        <f>'RESUMEN TOTAL'!AP81</f>
        <v>0</v>
      </c>
      <c r="AJ60" s="70">
        <f>'RESUMEN TOTAL'!AQ81</f>
        <v>0</v>
      </c>
    </row>
    <row r="61" spans="1:36" x14ac:dyDescent="0.25">
      <c r="A61" t="str">
        <f>'RESUMEN TOTAL'!A82</f>
        <v>CENTRO</v>
      </c>
      <c r="B61" t="str">
        <f>'RESUMEN TOTAL'!B82</f>
        <v>CEN 37</v>
      </c>
      <c r="C61" t="str">
        <f>'RESUMEN TOTAL'!D82</f>
        <v>Diagonal Granaderos y Monteagudo</v>
      </c>
      <c r="D61" s="30" t="str">
        <f>'RESUMEN TOTAL'!E82</f>
        <v>Domo</v>
      </c>
      <c r="E61" s="30" t="str">
        <f>'RESUMEN TOTAL'!F82</f>
        <v>Fibra Optica</v>
      </c>
      <c r="F61" s="70">
        <f>'RESUMEN TOTAL'!M82</f>
        <v>0</v>
      </c>
      <c r="G61" s="70">
        <f>'RESUMEN TOTAL'!N82</f>
        <v>0</v>
      </c>
      <c r="H61" s="70">
        <f>'RESUMEN TOTAL'!O82</f>
        <v>0</v>
      </c>
      <c r="I61" s="70">
        <f>'RESUMEN TOTAL'!P82</f>
        <v>0</v>
      </c>
      <c r="J61" s="70">
        <f>'RESUMEN TOTAL'!Q82</f>
        <v>0</v>
      </c>
      <c r="K61" s="70">
        <f>'RESUMEN TOTAL'!R82</f>
        <v>0</v>
      </c>
      <c r="L61" s="70">
        <f>'RESUMEN TOTAL'!S82</f>
        <v>0</v>
      </c>
      <c r="M61" s="70">
        <f>'RESUMEN TOTAL'!T82</f>
        <v>0</v>
      </c>
      <c r="N61" s="70">
        <f>'RESUMEN TOTAL'!U82</f>
        <v>0</v>
      </c>
      <c r="O61" s="70">
        <f>'RESUMEN TOTAL'!V82</f>
        <v>0</v>
      </c>
      <c r="P61" s="70">
        <f>'RESUMEN TOTAL'!W82</f>
        <v>0</v>
      </c>
      <c r="Q61" s="70">
        <f>'RESUMEN TOTAL'!X82</f>
        <v>0</v>
      </c>
      <c r="R61" s="70">
        <f>'RESUMEN TOTAL'!Y82</f>
        <v>0</v>
      </c>
      <c r="S61" s="70">
        <f>'RESUMEN TOTAL'!Z82</f>
        <v>0</v>
      </c>
      <c r="T61" s="70">
        <f>'RESUMEN TOTAL'!AA82</f>
        <v>0</v>
      </c>
      <c r="U61" s="70">
        <f>'RESUMEN TOTAL'!AB82</f>
        <v>0</v>
      </c>
      <c r="V61" s="70">
        <f>'RESUMEN TOTAL'!AC82</f>
        <v>0</v>
      </c>
      <c r="W61" s="70">
        <f>'RESUMEN TOTAL'!AD82</f>
        <v>0</v>
      </c>
      <c r="X61" s="70">
        <f>'RESUMEN TOTAL'!AE82</f>
        <v>0</v>
      </c>
      <c r="Y61" s="70">
        <f>'RESUMEN TOTAL'!AF82</f>
        <v>0</v>
      </c>
      <c r="Z61" s="70">
        <f>'RESUMEN TOTAL'!AG82</f>
        <v>0</v>
      </c>
      <c r="AA61" s="70">
        <f>'RESUMEN TOTAL'!AH82</f>
        <v>0</v>
      </c>
      <c r="AB61" s="70">
        <f>'RESUMEN TOTAL'!AI82</f>
        <v>0</v>
      </c>
      <c r="AC61" s="70">
        <f>'RESUMEN TOTAL'!AJ82</f>
        <v>0</v>
      </c>
      <c r="AD61" s="70">
        <f>'RESUMEN TOTAL'!AK82</f>
        <v>0</v>
      </c>
      <c r="AE61" s="70">
        <f>'RESUMEN TOTAL'!AL82</f>
        <v>0</v>
      </c>
      <c r="AF61" s="70">
        <f>'RESUMEN TOTAL'!AM82</f>
        <v>0</v>
      </c>
      <c r="AG61" s="70">
        <f>'RESUMEN TOTAL'!AN82</f>
        <v>0</v>
      </c>
      <c r="AH61" s="70">
        <f>'RESUMEN TOTAL'!AO82</f>
        <v>0</v>
      </c>
      <c r="AI61" s="70">
        <f>'RESUMEN TOTAL'!AP82</f>
        <v>0</v>
      </c>
      <c r="AJ61" s="70">
        <f>'RESUMEN TOTAL'!AQ82</f>
        <v>0</v>
      </c>
    </row>
    <row r="62" spans="1:36" x14ac:dyDescent="0.25">
      <c r="A62" t="str">
        <f>'RESUMEN TOTAL'!A83</f>
        <v>CENTRO</v>
      </c>
      <c r="B62" t="str">
        <f>'RESUMEN TOTAL'!B83</f>
        <v>CEN38</v>
      </c>
      <c r="C62" t="str">
        <f>'RESUMEN TOTAL'!D83</f>
        <v>Diagonal Constituyentes y Almafuerte</v>
      </c>
      <c r="D62" s="30" t="str">
        <f>'RESUMEN TOTAL'!E83</f>
        <v>Domo</v>
      </c>
      <c r="E62" s="30" t="str">
        <f>'RESUMEN TOTAL'!F83</f>
        <v>Fibra Optica</v>
      </c>
      <c r="F62" s="70">
        <f>'RESUMEN TOTAL'!M83</f>
        <v>0</v>
      </c>
      <c r="G62" s="70">
        <f>'RESUMEN TOTAL'!N83</f>
        <v>0</v>
      </c>
      <c r="H62" s="70">
        <f>'RESUMEN TOTAL'!O83</f>
        <v>0</v>
      </c>
      <c r="I62" s="70">
        <f>'RESUMEN TOTAL'!P83</f>
        <v>0</v>
      </c>
      <c r="J62" s="70">
        <f>'RESUMEN TOTAL'!Q83</f>
        <v>0</v>
      </c>
      <c r="K62" s="70">
        <f>'RESUMEN TOTAL'!R83</f>
        <v>0</v>
      </c>
      <c r="L62" s="70">
        <f>'RESUMEN TOTAL'!S83</f>
        <v>0</v>
      </c>
      <c r="M62" s="70">
        <f>'RESUMEN TOTAL'!T83</f>
        <v>0</v>
      </c>
      <c r="N62" s="70">
        <f>'RESUMEN TOTAL'!U83</f>
        <v>0</v>
      </c>
      <c r="O62" s="70">
        <f>'RESUMEN TOTAL'!V83</f>
        <v>0</v>
      </c>
      <c r="P62" s="70">
        <f>'RESUMEN TOTAL'!W83</f>
        <v>0</v>
      </c>
      <c r="Q62" s="70">
        <f>'RESUMEN TOTAL'!X83</f>
        <v>0</v>
      </c>
      <c r="R62" s="70">
        <f>'RESUMEN TOTAL'!Y83</f>
        <v>0</v>
      </c>
      <c r="S62" s="70">
        <f>'RESUMEN TOTAL'!Z83</f>
        <v>0</v>
      </c>
      <c r="T62" s="70">
        <f>'RESUMEN TOTAL'!AA83</f>
        <v>0</v>
      </c>
      <c r="U62" s="70">
        <f>'RESUMEN TOTAL'!AB83</f>
        <v>0</v>
      </c>
      <c r="V62" s="70">
        <f>'RESUMEN TOTAL'!AC83</f>
        <v>0</v>
      </c>
      <c r="W62" s="70">
        <f>'RESUMEN TOTAL'!AD83</f>
        <v>0</v>
      </c>
      <c r="X62" s="70">
        <f>'RESUMEN TOTAL'!AE83</f>
        <v>0</v>
      </c>
      <c r="Y62" s="70">
        <f>'RESUMEN TOTAL'!AF83</f>
        <v>0</v>
      </c>
      <c r="Z62" s="70">
        <f>'RESUMEN TOTAL'!AG83</f>
        <v>0</v>
      </c>
      <c r="AA62" s="70">
        <f>'RESUMEN TOTAL'!AH83</f>
        <v>0</v>
      </c>
      <c r="AB62" s="70">
        <f>'RESUMEN TOTAL'!AI83</f>
        <v>0</v>
      </c>
      <c r="AC62" s="70">
        <f>'RESUMEN TOTAL'!AJ83</f>
        <v>0</v>
      </c>
      <c r="AD62" s="70">
        <f>'RESUMEN TOTAL'!AK83</f>
        <v>0</v>
      </c>
      <c r="AE62" s="70">
        <f>'RESUMEN TOTAL'!AL83</f>
        <v>0</v>
      </c>
      <c r="AF62" s="70">
        <f>'RESUMEN TOTAL'!AM83</f>
        <v>0</v>
      </c>
      <c r="AG62" s="70">
        <f>'RESUMEN TOTAL'!AN83</f>
        <v>0</v>
      </c>
      <c r="AH62" s="70">
        <f>'RESUMEN TOTAL'!AO83</f>
        <v>0</v>
      </c>
      <c r="AI62" s="70">
        <f>'RESUMEN TOTAL'!AP83</f>
        <v>0</v>
      </c>
      <c r="AJ62" s="70">
        <f>'RESUMEN TOTAL'!AQ83</f>
        <v>0</v>
      </c>
    </row>
    <row r="63" spans="1:36" x14ac:dyDescent="0.25">
      <c r="A63" t="str">
        <f>'RESUMEN TOTAL'!A84</f>
        <v>CENTRO</v>
      </c>
      <c r="B63" t="str">
        <f>'RESUMEN TOTAL'!B84</f>
        <v>CEN39</v>
      </c>
      <c r="C63" t="str">
        <f>'RESUMEN TOTAL'!D84</f>
        <v>San Martin y Alem</v>
      </c>
      <c r="D63" s="30" t="str">
        <f>'RESUMEN TOTAL'!E84</f>
        <v>Domo</v>
      </c>
      <c r="E63" s="30" t="str">
        <f>'RESUMEN TOTAL'!F84</f>
        <v>Fibra Optica</v>
      </c>
      <c r="F63" s="70">
        <f>'RESUMEN TOTAL'!M84</f>
        <v>0</v>
      </c>
      <c r="G63" s="70">
        <f>'RESUMEN TOTAL'!N84</f>
        <v>0</v>
      </c>
      <c r="H63" s="70">
        <f>'RESUMEN TOTAL'!O84</f>
        <v>0</v>
      </c>
      <c r="I63" s="70">
        <f>'RESUMEN TOTAL'!P84</f>
        <v>0</v>
      </c>
      <c r="J63" s="70">
        <f>'RESUMEN TOTAL'!Q84</f>
        <v>0</v>
      </c>
      <c r="K63" s="70">
        <f>'RESUMEN TOTAL'!R84</f>
        <v>0</v>
      </c>
      <c r="L63" s="70">
        <f>'RESUMEN TOTAL'!S84</f>
        <v>0</v>
      </c>
      <c r="M63" s="70">
        <f>'RESUMEN TOTAL'!T84</f>
        <v>0</v>
      </c>
      <c r="N63" s="70">
        <f>'RESUMEN TOTAL'!U84</f>
        <v>0</v>
      </c>
      <c r="O63" s="70">
        <f>'RESUMEN TOTAL'!V84</f>
        <v>0</v>
      </c>
      <c r="P63" s="70">
        <f>'RESUMEN TOTAL'!W84</f>
        <v>0</v>
      </c>
      <c r="Q63" s="70">
        <f>'RESUMEN TOTAL'!X84</f>
        <v>0</v>
      </c>
      <c r="R63" s="70">
        <f>'RESUMEN TOTAL'!Y84</f>
        <v>0</v>
      </c>
      <c r="S63" s="70">
        <f>'RESUMEN TOTAL'!Z84</f>
        <v>0</v>
      </c>
      <c r="T63" s="70">
        <f>'RESUMEN TOTAL'!AA84</f>
        <v>0</v>
      </c>
      <c r="U63" s="70">
        <f>'RESUMEN TOTAL'!AB84</f>
        <v>0</v>
      </c>
      <c r="V63" s="70">
        <f>'RESUMEN TOTAL'!AC84</f>
        <v>0</v>
      </c>
      <c r="W63" s="70">
        <f>'RESUMEN TOTAL'!AD84</f>
        <v>0</v>
      </c>
      <c r="X63" s="70">
        <f>'RESUMEN TOTAL'!AE84</f>
        <v>0</v>
      </c>
      <c r="Y63" s="70">
        <f>'RESUMEN TOTAL'!AF84</f>
        <v>0</v>
      </c>
      <c r="Z63" s="70">
        <f>'RESUMEN TOTAL'!AG84</f>
        <v>0</v>
      </c>
      <c r="AA63" s="70">
        <f>'RESUMEN TOTAL'!AH84</f>
        <v>0</v>
      </c>
      <c r="AB63" s="70">
        <f>'RESUMEN TOTAL'!AI84</f>
        <v>0</v>
      </c>
      <c r="AC63" s="70">
        <f>'RESUMEN TOTAL'!AJ84</f>
        <v>0</v>
      </c>
      <c r="AD63" s="70">
        <f>'RESUMEN TOTAL'!AK84</f>
        <v>0</v>
      </c>
      <c r="AE63" s="70">
        <f>'RESUMEN TOTAL'!AL84</f>
        <v>0</v>
      </c>
      <c r="AF63" s="70">
        <f>'RESUMEN TOTAL'!AM84</f>
        <v>0</v>
      </c>
      <c r="AG63" s="70">
        <f>'RESUMEN TOTAL'!AN84</f>
        <v>0</v>
      </c>
      <c r="AH63" s="70">
        <f>'RESUMEN TOTAL'!AO84</f>
        <v>0</v>
      </c>
      <c r="AI63" s="70">
        <f>'RESUMEN TOTAL'!AP84</f>
        <v>0</v>
      </c>
      <c r="AJ63" s="70">
        <f>'RESUMEN TOTAL'!AQ84</f>
        <v>0</v>
      </c>
    </row>
    <row r="64" spans="1:36" x14ac:dyDescent="0.25">
      <c r="A64" t="str">
        <f>'RESUMEN TOTAL'!A85</f>
        <v>CENTRO</v>
      </c>
      <c r="B64" t="str">
        <f>'RESUMEN TOTAL'!B85</f>
        <v>CEN40</v>
      </c>
      <c r="C64" t="str">
        <f>'RESUMEN TOTAL'!D85</f>
        <v>Contreras y Monteagudo</v>
      </c>
      <c r="D64" s="30" t="str">
        <f>'RESUMEN TOTAL'!E85</f>
        <v>Domo</v>
      </c>
      <c r="E64" s="30" t="str">
        <f>'RESUMEN TOTAL'!F85</f>
        <v>Fibra Optica</v>
      </c>
      <c r="F64" s="70">
        <f>'RESUMEN TOTAL'!M85</f>
        <v>0</v>
      </c>
      <c r="G64" s="70">
        <f>'RESUMEN TOTAL'!N85</f>
        <v>0</v>
      </c>
      <c r="H64" s="70">
        <f>'RESUMEN TOTAL'!O85</f>
        <v>0</v>
      </c>
      <c r="I64" s="70">
        <f>'RESUMEN TOTAL'!P85</f>
        <v>0</v>
      </c>
      <c r="J64" s="70">
        <f>'RESUMEN TOTAL'!Q85</f>
        <v>0</v>
      </c>
      <c r="K64" s="70">
        <f>'RESUMEN TOTAL'!R85</f>
        <v>0</v>
      </c>
      <c r="L64" s="70">
        <f>'RESUMEN TOTAL'!S85</f>
        <v>0</v>
      </c>
      <c r="M64" s="70">
        <f>'RESUMEN TOTAL'!T85</f>
        <v>0</v>
      </c>
      <c r="N64" s="70">
        <f>'RESUMEN TOTAL'!U85</f>
        <v>0</v>
      </c>
      <c r="O64" s="70">
        <f>'RESUMEN TOTAL'!V85</f>
        <v>0</v>
      </c>
      <c r="P64" s="70">
        <f>'RESUMEN TOTAL'!W85</f>
        <v>0</v>
      </c>
      <c r="Q64" s="70">
        <f>'RESUMEN TOTAL'!X85</f>
        <v>0</v>
      </c>
      <c r="R64" s="70">
        <f>'RESUMEN TOTAL'!Y85</f>
        <v>0</v>
      </c>
      <c r="S64" s="70">
        <f>'RESUMEN TOTAL'!Z85</f>
        <v>0</v>
      </c>
      <c r="T64" s="70">
        <f>'RESUMEN TOTAL'!AA85</f>
        <v>0</v>
      </c>
      <c r="U64" s="70">
        <f>'RESUMEN TOTAL'!AB85</f>
        <v>0</v>
      </c>
      <c r="V64" s="70">
        <f>'RESUMEN TOTAL'!AC85</f>
        <v>0</v>
      </c>
      <c r="W64" s="70">
        <f>'RESUMEN TOTAL'!AD85</f>
        <v>0</v>
      </c>
      <c r="X64" s="70">
        <f>'RESUMEN TOTAL'!AE85</f>
        <v>0</v>
      </c>
      <c r="Y64" s="70">
        <f>'RESUMEN TOTAL'!AF85</f>
        <v>0</v>
      </c>
      <c r="Z64" s="70">
        <f>'RESUMEN TOTAL'!AG85</f>
        <v>0</v>
      </c>
      <c r="AA64" s="70">
        <f>'RESUMEN TOTAL'!AH85</f>
        <v>0</v>
      </c>
      <c r="AB64" s="70">
        <f>'RESUMEN TOTAL'!AI85</f>
        <v>0</v>
      </c>
      <c r="AC64" s="70">
        <f>'RESUMEN TOTAL'!AJ85</f>
        <v>0</v>
      </c>
      <c r="AD64" s="70">
        <f>'RESUMEN TOTAL'!AK85</f>
        <v>0</v>
      </c>
      <c r="AE64" s="70">
        <f>'RESUMEN TOTAL'!AL85</f>
        <v>0</v>
      </c>
      <c r="AF64" s="70">
        <f>'RESUMEN TOTAL'!AM85</f>
        <v>0</v>
      </c>
      <c r="AG64" s="70">
        <f>'RESUMEN TOTAL'!AN85</f>
        <v>0</v>
      </c>
      <c r="AH64" s="70">
        <f>'RESUMEN TOTAL'!AO85</f>
        <v>0</v>
      </c>
      <c r="AI64" s="70">
        <f>'RESUMEN TOTAL'!AP85</f>
        <v>0</v>
      </c>
      <c r="AJ64" s="70">
        <f>'RESUMEN TOTAL'!AQ85</f>
        <v>0</v>
      </c>
    </row>
    <row r="65" spans="1:36" x14ac:dyDescent="0.25">
      <c r="A65" t="str">
        <f>'RESUMEN TOTAL'!A86</f>
        <v>CENTRO</v>
      </c>
      <c r="B65" t="str">
        <f>'RESUMEN TOTAL'!B86</f>
        <v>CEN41</v>
      </c>
      <c r="C65" t="str">
        <f>'RESUMEN TOTAL'!D86</f>
        <v>Contreras y Alberdi</v>
      </c>
      <c r="D65" s="30" t="str">
        <f>'RESUMEN TOTAL'!E86</f>
        <v>Domo</v>
      </c>
      <c r="E65" s="30" t="str">
        <f>'RESUMEN TOTAL'!F86</f>
        <v>Fibra Optica</v>
      </c>
      <c r="F65" s="70">
        <f>'RESUMEN TOTAL'!M86</f>
        <v>0</v>
      </c>
      <c r="G65" s="70">
        <f>'RESUMEN TOTAL'!N86</f>
        <v>0</v>
      </c>
      <c r="H65" s="70">
        <f>'RESUMEN TOTAL'!O86</f>
        <v>0</v>
      </c>
      <c r="I65" s="70">
        <f>'RESUMEN TOTAL'!P86</f>
        <v>0</v>
      </c>
      <c r="J65" s="70">
        <f>'RESUMEN TOTAL'!Q86</f>
        <v>0</v>
      </c>
      <c r="K65" s="70">
        <f>'RESUMEN TOTAL'!R86</f>
        <v>0</v>
      </c>
      <c r="L65" s="70">
        <f>'RESUMEN TOTAL'!S86</f>
        <v>0</v>
      </c>
      <c r="M65" s="70">
        <f>'RESUMEN TOTAL'!T86</f>
        <v>0</v>
      </c>
      <c r="N65" s="70">
        <f>'RESUMEN TOTAL'!U86</f>
        <v>0</v>
      </c>
      <c r="O65" s="70">
        <f>'RESUMEN TOTAL'!V86</f>
        <v>0</v>
      </c>
      <c r="P65" s="70">
        <f>'RESUMEN TOTAL'!W86</f>
        <v>0</v>
      </c>
      <c r="Q65" s="70">
        <f>'RESUMEN TOTAL'!X86</f>
        <v>0</v>
      </c>
      <c r="R65" s="70">
        <f>'RESUMEN TOTAL'!Y86</f>
        <v>0</v>
      </c>
      <c r="S65" s="70">
        <f>'RESUMEN TOTAL'!Z86</f>
        <v>0</v>
      </c>
      <c r="T65" s="70">
        <f>'RESUMEN TOTAL'!AA86</f>
        <v>0</v>
      </c>
      <c r="U65" s="70">
        <f>'RESUMEN TOTAL'!AB86</f>
        <v>0</v>
      </c>
      <c r="V65" s="70">
        <f>'RESUMEN TOTAL'!AC86</f>
        <v>0</v>
      </c>
      <c r="W65" s="70">
        <f>'RESUMEN TOTAL'!AD86</f>
        <v>0</v>
      </c>
      <c r="X65" s="70">
        <f>'RESUMEN TOTAL'!AE86</f>
        <v>0</v>
      </c>
      <c r="Y65" s="70">
        <f>'RESUMEN TOTAL'!AF86</f>
        <v>0</v>
      </c>
      <c r="Z65" s="70">
        <f>'RESUMEN TOTAL'!AG86</f>
        <v>0</v>
      </c>
      <c r="AA65" s="70">
        <f>'RESUMEN TOTAL'!AH86</f>
        <v>0</v>
      </c>
      <c r="AB65" s="70">
        <f>'RESUMEN TOTAL'!AI86</f>
        <v>0</v>
      </c>
      <c r="AC65" s="70">
        <f>'RESUMEN TOTAL'!AJ86</f>
        <v>0</v>
      </c>
      <c r="AD65" s="70">
        <f>'RESUMEN TOTAL'!AK86</f>
        <v>0</v>
      </c>
      <c r="AE65" s="70">
        <f>'RESUMEN TOTAL'!AL86</f>
        <v>0</v>
      </c>
      <c r="AF65" s="70">
        <f>'RESUMEN TOTAL'!AM86</f>
        <v>0</v>
      </c>
      <c r="AG65" s="70">
        <f>'RESUMEN TOTAL'!AN86</f>
        <v>0</v>
      </c>
      <c r="AH65" s="70">
        <f>'RESUMEN TOTAL'!AO86</f>
        <v>0</v>
      </c>
      <c r="AI65" s="70">
        <f>'RESUMEN TOTAL'!AP86</f>
        <v>0</v>
      </c>
      <c r="AJ65" s="70">
        <f>'RESUMEN TOTAL'!AQ86</f>
        <v>0</v>
      </c>
    </row>
    <row r="66" spans="1:36" x14ac:dyDescent="0.25">
      <c r="A66" t="str">
        <f>'RESUMEN TOTAL'!A87</f>
        <v>CENTRO</v>
      </c>
      <c r="B66" t="str">
        <f>'RESUMEN TOTAL'!B87</f>
        <v>CEN42</v>
      </c>
      <c r="C66" t="str">
        <f>'RESUMEN TOTAL'!D87</f>
        <v>Diagonal Constitucion Y ALEM</v>
      </c>
      <c r="D66" s="30" t="str">
        <f>'RESUMEN TOTAL'!E87</f>
        <v>Domo</v>
      </c>
      <c r="E66" s="30" t="str">
        <f>'RESUMEN TOTAL'!F87</f>
        <v>GPON</v>
      </c>
      <c r="F66" s="70">
        <f>'RESUMEN TOTAL'!M87</f>
        <v>0</v>
      </c>
      <c r="G66" s="70">
        <f>'RESUMEN TOTAL'!N87</f>
        <v>0</v>
      </c>
      <c r="H66" s="70">
        <f>'RESUMEN TOTAL'!O87</f>
        <v>0</v>
      </c>
      <c r="I66" s="70">
        <f>'RESUMEN TOTAL'!P87</f>
        <v>0</v>
      </c>
      <c r="J66" s="70">
        <f>'RESUMEN TOTAL'!Q87</f>
        <v>0</v>
      </c>
      <c r="K66" s="70">
        <f>'RESUMEN TOTAL'!R87</f>
        <v>0</v>
      </c>
      <c r="L66" s="70">
        <f>'RESUMEN TOTAL'!S87</f>
        <v>0</v>
      </c>
      <c r="M66" s="70">
        <f>'RESUMEN TOTAL'!T87</f>
        <v>0</v>
      </c>
      <c r="N66" s="70">
        <f>'RESUMEN TOTAL'!U87</f>
        <v>0</v>
      </c>
      <c r="O66" s="70">
        <f>'RESUMEN TOTAL'!V87</f>
        <v>0</v>
      </c>
      <c r="P66" s="70">
        <f>'RESUMEN TOTAL'!W87</f>
        <v>0</v>
      </c>
      <c r="Q66" s="70">
        <f>'RESUMEN TOTAL'!X87</f>
        <v>0</v>
      </c>
      <c r="R66" s="70">
        <f>'RESUMEN TOTAL'!Y87</f>
        <v>0</v>
      </c>
      <c r="S66" s="70">
        <f>'RESUMEN TOTAL'!Z87</f>
        <v>0</v>
      </c>
      <c r="T66" s="70">
        <f>'RESUMEN TOTAL'!AA87</f>
        <v>0</v>
      </c>
      <c r="U66" s="70">
        <f>'RESUMEN TOTAL'!AB87</f>
        <v>0</v>
      </c>
      <c r="V66" s="70">
        <f>'RESUMEN TOTAL'!AC87</f>
        <v>0</v>
      </c>
      <c r="W66" s="70">
        <f>'RESUMEN TOTAL'!AD87</f>
        <v>0</v>
      </c>
      <c r="X66" s="70">
        <f>'RESUMEN TOTAL'!AE87</f>
        <v>0</v>
      </c>
      <c r="Y66" s="70">
        <f>'RESUMEN TOTAL'!AF87</f>
        <v>0</v>
      </c>
      <c r="Z66" s="70">
        <f>'RESUMEN TOTAL'!AG87</f>
        <v>0</v>
      </c>
      <c r="AA66" s="70">
        <f>'RESUMEN TOTAL'!AH87</f>
        <v>0</v>
      </c>
      <c r="AB66" s="70">
        <f>'RESUMEN TOTAL'!AI87</f>
        <v>0</v>
      </c>
      <c r="AC66" s="70">
        <f>'RESUMEN TOTAL'!AJ87</f>
        <v>0</v>
      </c>
      <c r="AD66" s="70">
        <f>'RESUMEN TOTAL'!AK87</f>
        <v>0</v>
      </c>
      <c r="AE66" s="70">
        <f>'RESUMEN TOTAL'!AL87</f>
        <v>0</v>
      </c>
      <c r="AF66" s="70">
        <f>'RESUMEN TOTAL'!AM87</f>
        <v>0</v>
      </c>
      <c r="AG66" s="70">
        <f>'RESUMEN TOTAL'!AN87</f>
        <v>0</v>
      </c>
      <c r="AH66" s="70">
        <f>'RESUMEN TOTAL'!AO87</f>
        <v>0</v>
      </c>
      <c r="AI66" s="70">
        <f>'RESUMEN TOTAL'!AP87</f>
        <v>0</v>
      </c>
      <c r="AJ66" s="70">
        <f>'RESUMEN TOTAL'!AQ87</f>
        <v>0</v>
      </c>
    </row>
    <row r="67" spans="1:36" x14ac:dyDescent="0.25">
      <c r="A67" t="str">
        <f>'RESUMEN TOTAL'!A88</f>
        <v>CENTRO</v>
      </c>
      <c r="B67" t="str">
        <f>'RESUMEN TOTAL'!B88</f>
        <v>CEN43</v>
      </c>
      <c r="C67" t="str">
        <f>'RESUMEN TOTAL'!D88</f>
        <v>Sallares y Alberdi</v>
      </c>
      <c r="D67" s="30" t="str">
        <f>'RESUMEN TOTAL'!E88</f>
        <v>Domo</v>
      </c>
      <c r="E67" s="30" t="str">
        <f>'RESUMEN TOTAL'!F88</f>
        <v>Fibra Optica</v>
      </c>
      <c r="F67" s="70">
        <f>'RESUMEN TOTAL'!M88</f>
        <v>0</v>
      </c>
      <c r="G67" s="70">
        <f>'RESUMEN TOTAL'!N88</f>
        <v>0</v>
      </c>
      <c r="H67" s="70">
        <f>'RESUMEN TOTAL'!O88</f>
        <v>0</v>
      </c>
      <c r="I67" s="70" t="str">
        <f>'RESUMEN TOTAL'!P88</f>
        <v>APAGADO</v>
      </c>
      <c r="J67" s="70">
        <f>'RESUMEN TOTAL'!Q88</f>
        <v>0</v>
      </c>
      <c r="K67" s="70">
        <f>'RESUMEN TOTAL'!R88</f>
        <v>0</v>
      </c>
      <c r="L67" s="70">
        <f>'RESUMEN TOTAL'!S88</f>
        <v>0</v>
      </c>
      <c r="M67" s="70">
        <f>'RESUMEN TOTAL'!T88</f>
        <v>0</v>
      </c>
      <c r="N67" s="70">
        <f>'RESUMEN TOTAL'!U88</f>
        <v>0</v>
      </c>
      <c r="O67" s="70">
        <f>'RESUMEN TOTAL'!V88</f>
        <v>0</v>
      </c>
      <c r="P67" s="70">
        <f>'RESUMEN TOTAL'!W88</f>
        <v>0</v>
      </c>
      <c r="Q67" s="70">
        <f>'RESUMEN TOTAL'!X88</f>
        <v>0</v>
      </c>
      <c r="R67" s="70">
        <f>'RESUMEN TOTAL'!Y88</f>
        <v>0</v>
      </c>
      <c r="S67" s="70">
        <f>'RESUMEN TOTAL'!Z88</f>
        <v>0</v>
      </c>
      <c r="T67" s="70">
        <f>'RESUMEN TOTAL'!AA88</f>
        <v>0</v>
      </c>
      <c r="U67" s="70">
        <f>'RESUMEN TOTAL'!AB88</f>
        <v>0</v>
      </c>
      <c r="V67" s="70">
        <f>'RESUMEN TOTAL'!AC88</f>
        <v>0</v>
      </c>
      <c r="W67" s="70">
        <f>'RESUMEN TOTAL'!AD88</f>
        <v>0</v>
      </c>
      <c r="X67" s="70">
        <f>'RESUMEN TOTAL'!AE88</f>
        <v>0</v>
      </c>
      <c r="Y67" s="70">
        <f>'RESUMEN TOTAL'!AF88</f>
        <v>0</v>
      </c>
      <c r="Z67" s="70">
        <f>'RESUMEN TOTAL'!AG88</f>
        <v>0</v>
      </c>
      <c r="AA67" s="70">
        <f>'RESUMEN TOTAL'!AH88</f>
        <v>0</v>
      </c>
      <c r="AB67" s="70">
        <f>'RESUMEN TOTAL'!AI88</f>
        <v>0</v>
      </c>
      <c r="AC67" s="70">
        <f>'RESUMEN TOTAL'!AJ88</f>
        <v>0</v>
      </c>
      <c r="AD67" s="70">
        <f>'RESUMEN TOTAL'!AK88</f>
        <v>0</v>
      </c>
      <c r="AE67" s="70">
        <f>'RESUMEN TOTAL'!AL88</f>
        <v>0</v>
      </c>
      <c r="AF67" s="70">
        <f>'RESUMEN TOTAL'!AM88</f>
        <v>0</v>
      </c>
      <c r="AG67" s="70">
        <f>'RESUMEN TOTAL'!AN88</f>
        <v>0</v>
      </c>
      <c r="AH67" s="70">
        <f>'RESUMEN TOTAL'!AO88</f>
        <v>0</v>
      </c>
      <c r="AI67" s="70">
        <f>'RESUMEN TOTAL'!AP88</f>
        <v>0</v>
      </c>
      <c r="AJ67" s="70">
        <f>'RESUMEN TOTAL'!AQ88</f>
        <v>0</v>
      </c>
    </row>
    <row r="68" spans="1:36" x14ac:dyDescent="0.25">
      <c r="A68" t="str">
        <f>'RESUMEN TOTAL'!A89</f>
        <v>CENTRO</v>
      </c>
      <c r="B68" t="str">
        <f>'RESUMEN TOTAL'!B89</f>
        <v>CEN44</v>
      </c>
      <c r="C68" t="str">
        <f>'RESUMEN TOTAL'!D89</f>
        <v>Mitre y Brown</v>
      </c>
      <c r="D68" s="30" t="str">
        <f>'RESUMEN TOTAL'!E89</f>
        <v>Domo</v>
      </c>
      <c r="E68" s="30" t="str">
        <f>'RESUMEN TOTAL'!F89</f>
        <v>Fibra Optica</v>
      </c>
      <c r="F68" s="70" t="str">
        <f>'RESUMEN TOTAL'!M89</f>
        <v>APAGADO</v>
      </c>
      <c r="G68" s="70" t="str">
        <f>'RESUMEN TOTAL'!N89</f>
        <v>APAGADO</v>
      </c>
      <c r="H68" s="70" t="str">
        <f>'RESUMEN TOTAL'!O89</f>
        <v>APAGADO</v>
      </c>
      <c r="I68" s="70" t="str">
        <f>'RESUMEN TOTAL'!P89</f>
        <v>APAGADO</v>
      </c>
      <c r="J68" s="70">
        <f>'RESUMEN TOTAL'!Q89</f>
        <v>0</v>
      </c>
      <c r="K68" s="70" t="str">
        <f>'RESUMEN TOTAL'!R89</f>
        <v>APAGADO</v>
      </c>
      <c r="L68" s="70" t="str">
        <f>'RESUMEN TOTAL'!S89</f>
        <v>APAGADO</v>
      </c>
      <c r="M68" s="70" t="str">
        <f>'RESUMEN TOTAL'!T89</f>
        <v>APAGADO</v>
      </c>
      <c r="N68" s="70">
        <f>'RESUMEN TOTAL'!U89</f>
        <v>0</v>
      </c>
      <c r="O68" s="70">
        <f>'RESUMEN TOTAL'!V89</f>
        <v>0</v>
      </c>
      <c r="P68" s="70">
        <f>'RESUMEN TOTAL'!W89</f>
        <v>0</v>
      </c>
      <c r="Q68" s="70">
        <f>'RESUMEN TOTAL'!X89</f>
        <v>0</v>
      </c>
      <c r="R68" s="70">
        <f>'RESUMEN TOTAL'!Y89</f>
        <v>0</v>
      </c>
      <c r="S68" s="70">
        <f>'RESUMEN TOTAL'!Z89</f>
        <v>0</v>
      </c>
      <c r="T68" s="70">
        <f>'RESUMEN TOTAL'!AA89</f>
        <v>0</v>
      </c>
      <c r="U68" s="70">
        <f>'RESUMEN TOTAL'!AB89</f>
        <v>0</v>
      </c>
      <c r="V68" s="70">
        <f>'RESUMEN TOTAL'!AC89</f>
        <v>0</v>
      </c>
      <c r="W68" s="70">
        <f>'RESUMEN TOTAL'!AD89</f>
        <v>0</v>
      </c>
      <c r="X68" s="70">
        <f>'RESUMEN TOTAL'!AE89</f>
        <v>0</v>
      </c>
      <c r="Y68" s="70">
        <f>'RESUMEN TOTAL'!AF89</f>
        <v>0</v>
      </c>
      <c r="Z68" s="70">
        <f>'RESUMEN TOTAL'!AG89</f>
        <v>0</v>
      </c>
      <c r="AA68" s="70">
        <f>'RESUMEN TOTAL'!AH89</f>
        <v>0</v>
      </c>
      <c r="AB68" s="70">
        <f>'RESUMEN TOTAL'!AI89</f>
        <v>0</v>
      </c>
      <c r="AC68" s="70">
        <f>'RESUMEN TOTAL'!AJ89</f>
        <v>0</v>
      </c>
      <c r="AD68" s="70">
        <f>'RESUMEN TOTAL'!AK89</f>
        <v>0</v>
      </c>
      <c r="AE68" s="70">
        <f>'RESUMEN TOTAL'!AL89</f>
        <v>0</v>
      </c>
      <c r="AF68" s="70">
        <f>'RESUMEN TOTAL'!AM89</f>
        <v>0</v>
      </c>
      <c r="AG68" s="70">
        <f>'RESUMEN TOTAL'!AN89</f>
        <v>0</v>
      </c>
      <c r="AH68" s="70">
        <f>'RESUMEN TOTAL'!AO89</f>
        <v>0</v>
      </c>
      <c r="AI68" s="70">
        <f>'RESUMEN TOTAL'!AP89</f>
        <v>0</v>
      </c>
      <c r="AJ68" s="70">
        <f>'RESUMEN TOTAL'!AQ89</f>
        <v>0</v>
      </c>
    </row>
    <row r="69" spans="1:36" x14ac:dyDescent="0.25">
      <c r="A69" t="str">
        <f>'RESUMEN TOTAL'!A90</f>
        <v>CENTRO</v>
      </c>
      <c r="B69" t="str">
        <f>'RESUMEN TOTAL'!B90</f>
        <v>CEN45 (fija 2)</v>
      </c>
      <c r="C69" t="str">
        <f>'RESUMEN TOTAL'!D90</f>
        <v>EEUU Y MORENO</v>
      </c>
      <c r="D69" s="30" t="str">
        <f>'RESUMEN TOTAL'!E90</f>
        <v>Fija</v>
      </c>
      <c r="E69" s="30" t="str">
        <f>'RESUMEN TOTAL'!F90</f>
        <v>Fibra Optica</v>
      </c>
      <c r="F69" s="70">
        <f>'RESUMEN TOTAL'!M90</f>
        <v>0</v>
      </c>
      <c r="G69" s="70">
        <f>'RESUMEN TOTAL'!N90</f>
        <v>0</v>
      </c>
      <c r="H69" s="70">
        <f>'RESUMEN TOTAL'!O90</f>
        <v>0</v>
      </c>
      <c r="I69" s="70">
        <f>'RESUMEN TOTAL'!P90</f>
        <v>0</v>
      </c>
      <c r="J69" s="70">
        <f>'RESUMEN TOTAL'!Q90</f>
        <v>0</v>
      </c>
      <c r="K69" s="70">
        <f>'RESUMEN TOTAL'!R90</f>
        <v>0</v>
      </c>
      <c r="L69" s="70">
        <f>'RESUMEN TOTAL'!S90</f>
        <v>0</v>
      </c>
      <c r="M69" s="70">
        <f>'RESUMEN TOTAL'!T90</f>
        <v>0</v>
      </c>
      <c r="N69" s="70">
        <f>'RESUMEN TOTAL'!U90</f>
        <v>0</v>
      </c>
      <c r="O69" s="70">
        <f>'RESUMEN TOTAL'!V90</f>
        <v>0</v>
      </c>
      <c r="P69" s="70">
        <f>'RESUMEN TOTAL'!W90</f>
        <v>0</v>
      </c>
      <c r="Q69" s="70">
        <f>'RESUMEN TOTAL'!X90</f>
        <v>0</v>
      </c>
      <c r="R69" s="70">
        <f>'RESUMEN TOTAL'!Y90</f>
        <v>0</v>
      </c>
      <c r="S69" s="70">
        <f>'RESUMEN TOTAL'!Z90</f>
        <v>0</v>
      </c>
      <c r="T69" s="70">
        <f>'RESUMEN TOTAL'!AA90</f>
        <v>0</v>
      </c>
      <c r="U69" s="70">
        <f>'RESUMEN TOTAL'!AB90</f>
        <v>0</v>
      </c>
      <c r="V69" s="70">
        <f>'RESUMEN TOTAL'!AC90</f>
        <v>0</v>
      </c>
      <c r="W69" s="70">
        <f>'RESUMEN TOTAL'!AD90</f>
        <v>0</v>
      </c>
      <c r="X69" s="70">
        <f>'RESUMEN TOTAL'!AE90</f>
        <v>0</v>
      </c>
      <c r="Y69" s="70">
        <f>'RESUMEN TOTAL'!AF90</f>
        <v>0</v>
      </c>
      <c r="Z69" s="70">
        <f>'RESUMEN TOTAL'!AG90</f>
        <v>0</v>
      </c>
      <c r="AA69" s="70">
        <f>'RESUMEN TOTAL'!AH90</f>
        <v>0</v>
      </c>
      <c r="AB69" s="70">
        <f>'RESUMEN TOTAL'!AI90</f>
        <v>0</v>
      </c>
      <c r="AC69" s="70">
        <f>'RESUMEN TOTAL'!AJ90</f>
        <v>0</v>
      </c>
      <c r="AD69" s="70">
        <f>'RESUMEN TOTAL'!AK90</f>
        <v>0</v>
      </c>
      <c r="AE69" s="70">
        <f>'RESUMEN TOTAL'!AL90</f>
        <v>0</v>
      </c>
      <c r="AF69" s="70">
        <f>'RESUMEN TOTAL'!AM90</f>
        <v>0</v>
      </c>
      <c r="AG69" s="70">
        <f>'RESUMEN TOTAL'!AN90</f>
        <v>0</v>
      </c>
      <c r="AH69" s="70">
        <f>'RESUMEN TOTAL'!AO90</f>
        <v>0</v>
      </c>
      <c r="AI69" s="70">
        <f>'RESUMEN TOTAL'!AP90</f>
        <v>0</v>
      </c>
      <c r="AJ69" s="70">
        <f>'RESUMEN TOTAL'!AQ90</f>
        <v>0</v>
      </c>
    </row>
    <row r="70" spans="1:36" x14ac:dyDescent="0.25">
      <c r="A70" t="str">
        <f>'RESUMEN TOTAL'!A91</f>
        <v>CENTRO</v>
      </c>
      <c r="B70" t="str">
        <f>'RESUMEN TOTAL'!B91</f>
        <v>CEN46 (fija 1)</v>
      </c>
      <c r="C70" t="str">
        <f>'RESUMEN TOTAL'!D91</f>
        <v>EEUU Y MORENO</v>
      </c>
      <c r="D70" s="30" t="str">
        <f>'RESUMEN TOTAL'!E91</f>
        <v>Fija</v>
      </c>
      <c r="E70" s="30" t="str">
        <f>'RESUMEN TOTAL'!F91</f>
        <v>Fibra Optica</v>
      </c>
      <c r="F70" s="70">
        <f>'RESUMEN TOTAL'!M91</f>
        <v>0</v>
      </c>
      <c r="G70" s="70">
        <f>'RESUMEN TOTAL'!N91</f>
        <v>0</v>
      </c>
      <c r="H70" s="70">
        <f>'RESUMEN TOTAL'!O91</f>
        <v>0</v>
      </c>
      <c r="I70" s="70">
        <f>'RESUMEN TOTAL'!P91</f>
        <v>0</v>
      </c>
      <c r="J70" s="70">
        <f>'RESUMEN TOTAL'!Q91</f>
        <v>0</v>
      </c>
      <c r="K70" s="70">
        <f>'RESUMEN TOTAL'!R91</f>
        <v>0</v>
      </c>
      <c r="L70" s="70">
        <f>'RESUMEN TOTAL'!S91</f>
        <v>0</v>
      </c>
      <c r="M70" s="70">
        <f>'RESUMEN TOTAL'!T91</f>
        <v>0</v>
      </c>
      <c r="N70" s="70">
        <f>'RESUMEN TOTAL'!U91</f>
        <v>0</v>
      </c>
      <c r="O70" s="70">
        <f>'RESUMEN TOTAL'!V91</f>
        <v>0</v>
      </c>
      <c r="P70" s="70">
        <f>'RESUMEN TOTAL'!W91</f>
        <v>0</v>
      </c>
      <c r="Q70" s="70">
        <f>'RESUMEN TOTAL'!X91</f>
        <v>0</v>
      </c>
      <c r="R70" s="70">
        <f>'RESUMEN TOTAL'!Y91</f>
        <v>0</v>
      </c>
      <c r="S70" s="70">
        <f>'RESUMEN TOTAL'!Z91</f>
        <v>0</v>
      </c>
      <c r="T70" s="70">
        <f>'RESUMEN TOTAL'!AA91</f>
        <v>0</v>
      </c>
      <c r="U70" s="70">
        <f>'RESUMEN TOTAL'!AB91</f>
        <v>0</v>
      </c>
      <c r="V70" s="70">
        <f>'RESUMEN TOTAL'!AC91</f>
        <v>0</v>
      </c>
      <c r="W70" s="70">
        <f>'RESUMEN TOTAL'!AD91</f>
        <v>0</v>
      </c>
      <c r="X70" s="70">
        <f>'RESUMEN TOTAL'!AE91</f>
        <v>0</v>
      </c>
      <c r="Y70" s="70">
        <f>'RESUMEN TOTAL'!AF91</f>
        <v>0</v>
      </c>
      <c r="Z70" s="70">
        <f>'RESUMEN TOTAL'!AG91</f>
        <v>0</v>
      </c>
      <c r="AA70" s="70">
        <f>'RESUMEN TOTAL'!AH91</f>
        <v>0</v>
      </c>
      <c r="AB70" s="70">
        <f>'RESUMEN TOTAL'!AI91</f>
        <v>0</v>
      </c>
      <c r="AC70" s="70">
        <f>'RESUMEN TOTAL'!AJ91</f>
        <v>0</v>
      </c>
      <c r="AD70" s="70">
        <f>'RESUMEN TOTAL'!AK91</f>
        <v>0</v>
      </c>
      <c r="AE70" s="70">
        <f>'RESUMEN TOTAL'!AL91</f>
        <v>0</v>
      </c>
      <c r="AF70" s="70">
        <f>'RESUMEN TOTAL'!AM91</f>
        <v>0</v>
      </c>
      <c r="AG70" s="70">
        <f>'RESUMEN TOTAL'!AN91</f>
        <v>0</v>
      </c>
      <c r="AH70" s="70">
        <f>'RESUMEN TOTAL'!AO91</f>
        <v>0</v>
      </c>
      <c r="AI70" s="70">
        <f>'RESUMEN TOTAL'!AP91</f>
        <v>0</v>
      </c>
      <c r="AJ70" s="70">
        <f>'RESUMEN TOTAL'!AQ91</f>
        <v>0</v>
      </c>
    </row>
    <row r="71" spans="1:36" x14ac:dyDescent="0.25">
      <c r="A71" t="str">
        <f>'RESUMEN TOTAL'!A92</f>
        <v>CENTRO</v>
      </c>
      <c r="B71" t="str">
        <f>'RESUMEN TOTAL'!B92</f>
        <v>CEN47</v>
      </c>
      <c r="C71" t="str">
        <f>'RESUMEN TOTAL'!D92</f>
        <v>Sallares y Brown</v>
      </c>
      <c r="D71" s="30" t="str">
        <f>'RESUMEN TOTAL'!E92</f>
        <v>Domo</v>
      </c>
      <c r="E71" s="30" t="str">
        <f>'RESUMEN TOTAL'!F92</f>
        <v>Fibra Optica</v>
      </c>
      <c r="F71" s="70">
        <f>'RESUMEN TOTAL'!M92</f>
        <v>0</v>
      </c>
      <c r="G71" s="70">
        <f>'RESUMEN TOTAL'!N92</f>
        <v>0</v>
      </c>
      <c r="H71" s="70">
        <f>'RESUMEN TOTAL'!O92</f>
        <v>0</v>
      </c>
      <c r="I71" s="70" t="str">
        <f>'RESUMEN TOTAL'!P92</f>
        <v>APAGADO</v>
      </c>
      <c r="J71" s="70" t="str">
        <f>'RESUMEN TOTAL'!Q92</f>
        <v>APAGADO</v>
      </c>
      <c r="K71" s="70">
        <f>'RESUMEN TOTAL'!R92</f>
        <v>0</v>
      </c>
      <c r="L71" s="70">
        <f>'RESUMEN TOTAL'!S92</f>
        <v>0</v>
      </c>
      <c r="M71" s="70">
        <f>'RESUMEN TOTAL'!T92</f>
        <v>0</v>
      </c>
      <c r="N71" s="70">
        <f>'RESUMEN TOTAL'!U92</f>
        <v>0</v>
      </c>
      <c r="O71" s="70">
        <f>'RESUMEN TOTAL'!V92</f>
        <v>0</v>
      </c>
      <c r="P71" s="70">
        <f>'RESUMEN TOTAL'!W92</f>
        <v>0</v>
      </c>
      <c r="Q71" s="70">
        <f>'RESUMEN TOTAL'!X92</f>
        <v>0</v>
      </c>
      <c r="R71" s="70">
        <f>'RESUMEN TOTAL'!Y92</f>
        <v>0</v>
      </c>
      <c r="S71" s="70">
        <f>'RESUMEN TOTAL'!Z92</f>
        <v>0</v>
      </c>
      <c r="T71" s="70">
        <f>'RESUMEN TOTAL'!AA92</f>
        <v>0</v>
      </c>
      <c r="U71" s="70">
        <f>'RESUMEN TOTAL'!AB92</f>
        <v>0</v>
      </c>
      <c r="V71" s="70">
        <f>'RESUMEN TOTAL'!AC92</f>
        <v>0</v>
      </c>
      <c r="W71" s="70">
        <f>'RESUMEN TOTAL'!AD92</f>
        <v>0</v>
      </c>
      <c r="X71" s="70">
        <f>'RESUMEN TOTAL'!AE92</f>
        <v>0</v>
      </c>
      <c r="Y71" s="70">
        <f>'RESUMEN TOTAL'!AF92</f>
        <v>0</v>
      </c>
      <c r="Z71" s="70">
        <f>'RESUMEN TOTAL'!AG92</f>
        <v>0</v>
      </c>
      <c r="AA71" s="70">
        <f>'RESUMEN TOTAL'!AH92</f>
        <v>0</v>
      </c>
      <c r="AB71" s="70">
        <f>'RESUMEN TOTAL'!AI92</f>
        <v>0</v>
      </c>
      <c r="AC71" s="70">
        <f>'RESUMEN TOTAL'!AJ92</f>
        <v>0</v>
      </c>
      <c r="AD71" s="70">
        <f>'RESUMEN TOTAL'!AK92</f>
        <v>0</v>
      </c>
      <c r="AE71" s="70">
        <f>'RESUMEN TOTAL'!AL92</f>
        <v>0</v>
      </c>
      <c r="AF71" s="70">
        <f>'RESUMEN TOTAL'!AM92</f>
        <v>0</v>
      </c>
      <c r="AG71" s="70">
        <f>'RESUMEN TOTAL'!AN92</f>
        <v>0</v>
      </c>
      <c r="AH71" s="70">
        <f>'RESUMEN TOTAL'!AO92</f>
        <v>0</v>
      </c>
      <c r="AI71" s="70">
        <f>'RESUMEN TOTAL'!AP92</f>
        <v>0</v>
      </c>
      <c r="AJ71" s="70">
        <f>'RESUMEN TOTAL'!AQ92</f>
        <v>0</v>
      </c>
    </row>
    <row r="72" spans="1:36" x14ac:dyDescent="0.25">
      <c r="A72" t="str">
        <f>'RESUMEN TOTAL'!A93</f>
        <v>CENTRO</v>
      </c>
      <c r="B72" t="str">
        <f>'RESUMEN TOTAL'!B93</f>
        <v>CEN48</v>
      </c>
      <c r="C72" t="str">
        <f>'RESUMEN TOTAL'!D93</f>
        <v>Velez Sarsfield y Las Heras</v>
      </c>
      <c r="D72" s="30" t="str">
        <f>'RESUMEN TOTAL'!E93</f>
        <v>Domo</v>
      </c>
      <c r="E72" s="30" t="str">
        <f>'RESUMEN TOTAL'!F93</f>
        <v>GPON</v>
      </c>
      <c r="F72" s="70">
        <f>'RESUMEN TOTAL'!M93</f>
        <v>0</v>
      </c>
      <c r="G72" s="70">
        <f>'RESUMEN TOTAL'!N93</f>
        <v>0</v>
      </c>
      <c r="H72" s="70">
        <f>'RESUMEN TOTAL'!O93</f>
        <v>0</v>
      </c>
      <c r="I72" s="70">
        <f>'RESUMEN TOTAL'!P93</f>
        <v>0</v>
      </c>
      <c r="J72" s="70">
        <f>'RESUMEN TOTAL'!Q93</f>
        <v>0</v>
      </c>
      <c r="K72" s="70">
        <f>'RESUMEN TOTAL'!R93</f>
        <v>0</v>
      </c>
      <c r="L72" s="70">
        <f>'RESUMEN TOTAL'!S93</f>
        <v>0</v>
      </c>
      <c r="M72" s="70">
        <f>'RESUMEN TOTAL'!T93</f>
        <v>0</v>
      </c>
      <c r="N72" s="70">
        <f>'RESUMEN TOTAL'!U93</f>
        <v>0</v>
      </c>
      <c r="O72" s="70">
        <f>'RESUMEN TOTAL'!V93</f>
        <v>0</v>
      </c>
      <c r="P72" s="70">
        <f>'RESUMEN TOTAL'!W93</f>
        <v>0</v>
      </c>
      <c r="Q72" s="70">
        <f>'RESUMEN TOTAL'!X93</f>
        <v>0</v>
      </c>
      <c r="R72" s="70">
        <f>'RESUMEN TOTAL'!Y93</f>
        <v>0</v>
      </c>
      <c r="S72" s="70">
        <f>'RESUMEN TOTAL'!Z93</f>
        <v>0</v>
      </c>
      <c r="T72" s="70">
        <f>'RESUMEN TOTAL'!AA93</f>
        <v>0</v>
      </c>
      <c r="U72" s="70">
        <f>'RESUMEN TOTAL'!AB93</f>
        <v>0</v>
      </c>
      <c r="V72" s="70">
        <f>'RESUMEN TOTAL'!AC93</f>
        <v>0</v>
      </c>
      <c r="W72" s="70">
        <f>'RESUMEN TOTAL'!AD93</f>
        <v>0</v>
      </c>
      <c r="X72" s="70">
        <f>'RESUMEN TOTAL'!AE93</f>
        <v>0</v>
      </c>
      <c r="Y72" s="70">
        <f>'RESUMEN TOTAL'!AF93</f>
        <v>0</v>
      </c>
      <c r="Z72" s="70">
        <f>'RESUMEN TOTAL'!AG93</f>
        <v>0</v>
      </c>
      <c r="AA72" s="70" t="e">
        <f>'RESUMEN TOTAL'!#REF!</f>
        <v>#REF!</v>
      </c>
      <c r="AB72" s="70">
        <f>'RESUMEN TOTAL'!AI93</f>
        <v>0</v>
      </c>
      <c r="AC72" s="70">
        <f>'RESUMEN TOTAL'!AJ93</f>
        <v>0</v>
      </c>
      <c r="AD72" s="70">
        <f>'RESUMEN TOTAL'!AK93</f>
        <v>0</v>
      </c>
      <c r="AE72" s="70">
        <f>'RESUMEN TOTAL'!AL93</f>
        <v>0</v>
      </c>
      <c r="AF72" s="70">
        <f>'RESUMEN TOTAL'!AM93</f>
        <v>0</v>
      </c>
      <c r="AG72" s="70">
        <f>'RESUMEN TOTAL'!AN93</f>
        <v>0</v>
      </c>
      <c r="AH72" s="70">
        <f>'RESUMEN TOTAL'!AO93</f>
        <v>0</v>
      </c>
      <c r="AI72" s="70">
        <f>'RESUMEN TOTAL'!AP93</f>
        <v>0</v>
      </c>
      <c r="AJ72" s="70">
        <f>'RESUMEN TOTAL'!AQ93</f>
        <v>0</v>
      </c>
    </row>
    <row r="73" spans="1:36" x14ac:dyDescent="0.25">
      <c r="A73" t="str">
        <f>'RESUMEN TOTAL'!A94</f>
        <v>CENTRO</v>
      </c>
      <c r="B73" t="str">
        <f>'RESUMEN TOTAL'!B94</f>
        <v>CEN49</v>
      </c>
      <c r="C73" t="str">
        <f>'RESUMEN TOTAL'!D94</f>
        <v>Av. San Martin y Florencio Sanchez</v>
      </c>
      <c r="D73" s="30" t="str">
        <f>'RESUMEN TOTAL'!E94</f>
        <v>Domo</v>
      </c>
      <c r="E73" s="30" t="str">
        <f>'RESUMEN TOTAL'!F94</f>
        <v>Fibra Optica</v>
      </c>
      <c r="F73" s="70">
        <f>'RESUMEN TOTAL'!M94</f>
        <v>0</v>
      </c>
      <c r="G73" s="70">
        <f>'RESUMEN TOTAL'!N94</f>
        <v>0</v>
      </c>
      <c r="H73" s="70">
        <f>'RESUMEN TOTAL'!O94</f>
        <v>0</v>
      </c>
      <c r="I73" s="70">
        <f>'RESUMEN TOTAL'!P94</f>
        <v>0</v>
      </c>
      <c r="J73" s="70">
        <f>'RESUMEN TOTAL'!Q94</f>
        <v>0</v>
      </c>
      <c r="K73" s="70">
        <f>'RESUMEN TOTAL'!R94</f>
        <v>0</v>
      </c>
      <c r="L73" s="70">
        <f>'RESUMEN TOTAL'!S94</f>
        <v>0</v>
      </c>
      <c r="M73" s="70">
        <f>'RESUMEN TOTAL'!T94</f>
        <v>0</v>
      </c>
      <c r="N73" s="70">
        <f>'RESUMEN TOTAL'!U94</f>
        <v>0</v>
      </c>
      <c r="O73" s="70">
        <f>'RESUMEN TOTAL'!V94</f>
        <v>0</v>
      </c>
      <c r="P73" s="70">
        <f>'RESUMEN TOTAL'!W94</f>
        <v>0</v>
      </c>
      <c r="Q73" s="70">
        <f>'RESUMEN TOTAL'!X94</f>
        <v>0</v>
      </c>
      <c r="R73" s="70">
        <f>'RESUMEN TOTAL'!Y94</f>
        <v>0</v>
      </c>
      <c r="S73" s="70">
        <f>'RESUMEN TOTAL'!Z94</f>
        <v>0</v>
      </c>
      <c r="T73" s="70">
        <f>'RESUMEN TOTAL'!AA94</f>
        <v>0</v>
      </c>
      <c r="U73" s="70">
        <f>'RESUMEN TOTAL'!AB94</f>
        <v>0</v>
      </c>
      <c r="V73" s="70">
        <f>'RESUMEN TOTAL'!AC94</f>
        <v>0</v>
      </c>
      <c r="W73" s="70">
        <f>'RESUMEN TOTAL'!AD94</f>
        <v>0</v>
      </c>
      <c r="X73" s="70">
        <f>'RESUMEN TOTAL'!AE94</f>
        <v>0</v>
      </c>
      <c r="Y73" s="70">
        <f>'RESUMEN TOTAL'!AF94</f>
        <v>0</v>
      </c>
      <c r="Z73" s="70">
        <f>'RESUMEN TOTAL'!AG94</f>
        <v>0</v>
      </c>
      <c r="AA73" s="70">
        <f>'RESUMEN TOTAL'!AH94</f>
        <v>0</v>
      </c>
      <c r="AB73" s="70">
        <f>'RESUMEN TOTAL'!AI94</f>
        <v>0</v>
      </c>
      <c r="AC73" s="70">
        <f>'RESUMEN TOTAL'!AJ94</f>
        <v>0</v>
      </c>
      <c r="AD73" s="70">
        <f>'RESUMEN TOTAL'!AK94</f>
        <v>0</v>
      </c>
      <c r="AE73" s="70">
        <f>'RESUMEN TOTAL'!AL94</f>
        <v>0</v>
      </c>
      <c r="AF73" s="70">
        <f>'RESUMEN TOTAL'!AM94</f>
        <v>0</v>
      </c>
      <c r="AG73" s="70">
        <f>'RESUMEN TOTAL'!AN94</f>
        <v>0</v>
      </c>
      <c r="AH73" s="70">
        <f>'RESUMEN TOTAL'!AO94</f>
        <v>0</v>
      </c>
      <c r="AI73" s="70">
        <f>'RESUMEN TOTAL'!AP94</f>
        <v>0</v>
      </c>
      <c r="AJ73" s="70">
        <f>'RESUMEN TOTAL'!AQ94</f>
        <v>0</v>
      </c>
    </row>
    <row r="74" spans="1:36" x14ac:dyDescent="0.25">
      <c r="A74" t="str">
        <f>'RESUMEN TOTAL'!A95</f>
        <v>CENTRO</v>
      </c>
      <c r="B74" t="str">
        <f>'RESUMEN TOTAL'!B95</f>
        <v>CEN 50</v>
      </c>
      <c r="C74" t="str">
        <f>'RESUMEN TOTAL'!D95</f>
        <v>Av. San Martin y Newbery</v>
      </c>
      <c r="D74" s="30" t="str">
        <f>'RESUMEN TOTAL'!E95</f>
        <v>Domo</v>
      </c>
      <c r="E74" s="30" t="str">
        <f>'RESUMEN TOTAL'!F95</f>
        <v>GPON</v>
      </c>
      <c r="F74" s="70">
        <f>'RESUMEN TOTAL'!M95</f>
        <v>0</v>
      </c>
      <c r="G74" s="70">
        <f>'RESUMEN TOTAL'!N95</f>
        <v>0</v>
      </c>
      <c r="H74" s="70">
        <f>'RESUMEN TOTAL'!O95</f>
        <v>0</v>
      </c>
      <c r="I74" s="70">
        <f>'RESUMEN TOTAL'!P95</f>
        <v>0</v>
      </c>
      <c r="J74" s="70">
        <f>'RESUMEN TOTAL'!Q95</f>
        <v>0</v>
      </c>
      <c r="K74" s="70">
        <f>'RESUMEN TOTAL'!R95</f>
        <v>0</v>
      </c>
      <c r="L74" s="70">
        <f>'RESUMEN TOTAL'!S95</f>
        <v>0</v>
      </c>
      <c r="M74" s="70">
        <f>'RESUMEN TOTAL'!T95</f>
        <v>0</v>
      </c>
      <c r="N74" s="70">
        <f>'RESUMEN TOTAL'!U95</f>
        <v>0</v>
      </c>
      <c r="O74" s="70">
        <f>'RESUMEN TOTAL'!V95</f>
        <v>0</v>
      </c>
      <c r="P74" s="70">
        <f>'RESUMEN TOTAL'!W95</f>
        <v>0</v>
      </c>
      <c r="Q74" s="70">
        <f>'RESUMEN TOTAL'!X95</f>
        <v>0</v>
      </c>
      <c r="R74" s="70">
        <f>'RESUMEN TOTAL'!Y95</f>
        <v>0</v>
      </c>
      <c r="S74" s="70">
        <f>'RESUMEN TOTAL'!Z95</f>
        <v>0</v>
      </c>
      <c r="T74" s="70">
        <f>'RESUMEN TOTAL'!AA95</f>
        <v>0</v>
      </c>
      <c r="U74" s="70">
        <f>'RESUMEN TOTAL'!AB95</f>
        <v>0</v>
      </c>
      <c r="V74" s="70">
        <f>'RESUMEN TOTAL'!AC95</f>
        <v>0</v>
      </c>
      <c r="W74" s="70">
        <f>'RESUMEN TOTAL'!AD95</f>
        <v>0</v>
      </c>
      <c r="X74" s="70">
        <f>'RESUMEN TOTAL'!AE95</f>
        <v>0</v>
      </c>
      <c r="Y74" s="70">
        <f>'RESUMEN TOTAL'!AF95</f>
        <v>0</v>
      </c>
      <c r="Z74" s="70">
        <f>'RESUMEN TOTAL'!AG95</f>
        <v>0</v>
      </c>
      <c r="AA74" s="70">
        <f>'RESUMEN TOTAL'!AH95</f>
        <v>0</v>
      </c>
      <c r="AB74" s="70">
        <f>'RESUMEN TOTAL'!AI95</f>
        <v>0</v>
      </c>
      <c r="AC74" s="70">
        <f>'RESUMEN TOTAL'!AJ95</f>
        <v>0</v>
      </c>
      <c r="AD74" s="70">
        <f>'RESUMEN TOTAL'!AK95</f>
        <v>0</v>
      </c>
      <c r="AE74" s="70">
        <f>'RESUMEN TOTAL'!AL95</f>
        <v>0</v>
      </c>
      <c r="AF74" s="70">
        <f>'RESUMEN TOTAL'!AM95</f>
        <v>0</v>
      </c>
      <c r="AG74" s="70">
        <f>'RESUMEN TOTAL'!AN95</f>
        <v>0</v>
      </c>
      <c r="AH74" s="70">
        <f>'RESUMEN TOTAL'!AO95</f>
        <v>0</v>
      </c>
      <c r="AI74" s="70">
        <f>'RESUMEN TOTAL'!AP95</f>
        <v>0</v>
      </c>
      <c r="AJ74" s="70">
        <f>'RESUMEN TOTAL'!AQ95</f>
        <v>0</v>
      </c>
    </row>
    <row r="75" spans="1:36" x14ac:dyDescent="0.25">
      <c r="A75" t="str">
        <f>'RESUMEN TOTAL'!A96</f>
        <v>CENTRO</v>
      </c>
      <c r="B75" t="str">
        <f>'RESUMEN TOTAL'!B96</f>
        <v>CEN 51</v>
      </c>
      <c r="C75" t="str">
        <f>'RESUMEN TOTAL'!D96</f>
        <v>ILLIA Y LAS HERAS</v>
      </c>
      <c r="D75" s="30" t="str">
        <f>'RESUMEN TOTAL'!E96</f>
        <v>FIJA</v>
      </c>
      <c r="E75" s="30" t="str">
        <f>'RESUMEN TOTAL'!F96</f>
        <v>GPON</v>
      </c>
      <c r="F75" s="70">
        <f>'RESUMEN TOTAL'!M96</f>
        <v>0</v>
      </c>
      <c r="G75" s="70">
        <f>'RESUMEN TOTAL'!N96</f>
        <v>0</v>
      </c>
      <c r="H75" s="70">
        <f>'RESUMEN TOTAL'!O96</f>
        <v>0</v>
      </c>
      <c r="I75" s="70">
        <f>'RESUMEN TOTAL'!P96</f>
        <v>0</v>
      </c>
      <c r="J75" s="70">
        <f>'RESUMEN TOTAL'!Q96</f>
        <v>0</v>
      </c>
      <c r="K75" s="70">
        <f>'RESUMEN TOTAL'!R96</f>
        <v>0</v>
      </c>
      <c r="L75" s="70">
        <f>'RESUMEN TOTAL'!S96</f>
        <v>0</v>
      </c>
      <c r="M75" s="70">
        <f>'RESUMEN TOTAL'!T96</f>
        <v>0</v>
      </c>
      <c r="N75" s="70">
        <f>'RESUMEN TOTAL'!U96</f>
        <v>0</v>
      </c>
      <c r="O75" s="70">
        <f>'RESUMEN TOTAL'!V96</f>
        <v>0</v>
      </c>
      <c r="P75" s="70">
        <f>'RESUMEN TOTAL'!W96</f>
        <v>0</v>
      </c>
      <c r="Q75" s="70">
        <f>'RESUMEN TOTAL'!X96</f>
        <v>0</v>
      </c>
      <c r="R75" s="70">
        <f>'RESUMEN TOTAL'!Y96</f>
        <v>0</v>
      </c>
      <c r="S75" s="70">
        <f>'RESUMEN TOTAL'!Z96</f>
        <v>0</v>
      </c>
      <c r="T75" s="70">
        <f>'RESUMEN TOTAL'!AA96</f>
        <v>0</v>
      </c>
      <c r="U75" s="70">
        <f>'RESUMEN TOTAL'!AB96</f>
        <v>0</v>
      </c>
      <c r="V75" s="70">
        <f>'RESUMEN TOTAL'!AC96</f>
        <v>0</v>
      </c>
      <c r="W75" s="70">
        <f>'RESUMEN TOTAL'!AD96</f>
        <v>0</v>
      </c>
      <c r="X75" s="70">
        <f>'RESUMEN TOTAL'!AE96</f>
        <v>0</v>
      </c>
      <c r="Y75" s="70">
        <f>'RESUMEN TOTAL'!AF96</f>
        <v>0</v>
      </c>
      <c r="Z75" s="70">
        <f>'RESUMEN TOTAL'!AG96</f>
        <v>0</v>
      </c>
      <c r="AA75" s="70">
        <f>'RESUMEN TOTAL'!AH96</f>
        <v>0</v>
      </c>
      <c r="AB75" s="70">
        <f>'RESUMEN TOTAL'!AI96</f>
        <v>0</v>
      </c>
      <c r="AC75" s="70">
        <f>'RESUMEN TOTAL'!AJ96</f>
        <v>0</v>
      </c>
      <c r="AD75" s="70">
        <f>'RESUMEN TOTAL'!AK96</f>
        <v>0</v>
      </c>
      <c r="AE75" s="70">
        <f>'RESUMEN TOTAL'!AL96</f>
        <v>0</v>
      </c>
      <c r="AF75" s="70">
        <f>'RESUMEN TOTAL'!AM96</f>
        <v>0</v>
      </c>
      <c r="AG75" s="70">
        <f>'RESUMEN TOTAL'!AN96</f>
        <v>0</v>
      </c>
      <c r="AH75" s="70">
        <f>'RESUMEN TOTAL'!AO96</f>
        <v>0</v>
      </c>
      <c r="AI75" s="70">
        <f>'RESUMEN TOTAL'!AP96</f>
        <v>0</v>
      </c>
      <c r="AJ75" s="70">
        <f>'RESUMEN TOTAL'!AQ96</f>
        <v>0</v>
      </c>
    </row>
    <row r="76" spans="1:36" x14ac:dyDescent="0.25">
      <c r="A76" t="str">
        <f>'RESUMEN TOTAL'!A97</f>
        <v>CENTRO</v>
      </c>
      <c r="B76" t="str">
        <f>'RESUMEN TOTAL'!B97</f>
        <v>CEN52</v>
      </c>
      <c r="C76" t="str">
        <f>'RESUMEN TOTAL'!D97</f>
        <v>San Martin y Almafuerte (ex San Martin y Dorrego)</v>
      </c>
      <c r="D76" s="30" t="str">
        <f>'RESUMEN TOTAL'!E97</f>
        <v>DOMO</v>
      </c>
      <c r="E76" s="30" t="str">
        <f>'RESUMEN TOTAL'!F97</f>
        <v>GPON</v>
      </c>
      <c r="F76" s="70">
        <f>'RESUMEN TOTAL'!M97</f>
        <v>0</v>
      </c>
      <c r="G76" s="70">
        <f>'RESUMEN TOTAL'!N97</f>
        <v>0</v>
      </c>
      <c r="H76" s="70">
        <f>'RESUMEN TOTAL'!O97</f>
        <v>0</v>
      </c>
      <c r="I76" s="70">
        <f>'RESUMEN TOTAL'!P97</f>
        <v>0</v>
      </c>
      <c r="J76" s="70">
        <f>'RESUMEN TOTAL'!Q97</f>
        <v>0</v>
      </c>
      <c r="K76" s="70">
        <f>'RESUMEN TOTAL'!R97</f>
        <v>0</v>
      </c>
      <c r="L76" s="70">
        <f>'RESUMEN TOTAL'!S97</f>
        <v>0</v>
      </c>
      <c r="M76" s="70">
        <f>'RESUMEN TOTAL'!T97</f>
        <v>0</v>
      </c>
      <c r="N76" s="70">
        <f>'RESUMEN TOTAL'!U97</f>
        <v>0</v>
      </c>
      <c r="O76" s="70">
        <f>'RESUMEN TOTAL'!V97</f>
        <v>0</v>
      </c>
      <c r="P76" s="70">
        <f>'RESUMEN TOTAL'!W97</f>
        <v>0</v>
      </c>
      <c r="Q76" s="70">
        <f>'RESUMEN TOTAL'!X97</f>
        <v>0</v>
      </c>
      <c r="R76" s="70">
        <f>'RESUMEN TOTAL'!Y97</f>
        <v>0</v>
      </c>
      <c r="S76" s="70">
        <f>'RESUMEN TOTAL'!Z97</f>
        <v>0</v>
      </c>
      <c r="T76" s="70">
        <f>'RESUMEN TOTAL'!AA97</f>
        <v>0</v>
      </c>
      <c r="U76" s="70">
        <f>'RESUMEN TOTAL'!AB97</f>
        <v>0</v>
      </c>
      <c r="V76" s="70">
        <f>'RESUMEN TOTAL'!AC97</f>
        <v>0</v>
      </c>
      <c r="W76" s="70">
        <f>'RESUMEN TOTAL'!AD97</f>
        <v>0</v>
      </c>
      <c r="X76" s="70">
        <f>'RESUMEN TOTAL'!AE97</f>
        <v>0</v>
      </c>
      <c r="Y76" s="70">
        <f>'RESUMEN TOTAL'!AF97</f>
        <v>0</v>
      </c>
      <c r="Z76" s="70">
        <f>'RESUMEN TOTAL'!AG97</f>
        <v>0</v>
      </c>
      <c r="AA76" s="70">
        <f>'RESUMEN TOTAL'!AH97</f>
        <v>0</v>
      </c>
      <c r="AB76" s="70">
        <f>'RESUMEN TOTAL'!AI97</f>
        <v>0</v>
      </c>
      <c r="AC76" s="70">
        <f>'RESUMEN TOTAL'!AJ97</f>
        <v>0</v>
      </c>
      <c r="AD76" s="70">
        <f>'RESUMEN TOTAL'!AK97</f>
        <v>0</v>
      </c>
      <c r="AE76" s="70">
        <f>'RESUMEN TOTAL'!AL97</f>
        <v>0</v>
      </c>
      <c r="AF76" s="70">
        <f>'RESUMEN TOTAL'!AM97</f>
        <v>0</v>
      </c>
      <c r="AG76" s="70">
        <f>'RESUMEN TOTAL'!AN97</f>
        <v>0</v>
      </c>
      <c r="AH76" s="70">
        <f>'RESUMEN TOTAL'!AO97</f>
        <v>0</v>
      </c>
      <c r="AI76" s="70">
        <f>'RESUMEN TOTAL'!AP97</f>
        <v>0</v>
      </c>
      <c r="AJ76" s="70">
        <f>'RESUMEN TOTAL'!AQ97</f>
        <v>0</v>
      </c>
    </row>
    <row r="77" spans="1:36" x14ac:dyDescent="0.25">
      <c r="A77" t="str">
        <f>'RESUMEN TOTAL'!A98</f>
        <v>CENTRO</v>
      </c>
      <c r="B77" t="str">
        <f>'RESUMEN TOTAL'!B98</f>
        <v>CEN 53</v>
      </c>
      <c r="C77" t="str">
        <f>'RESUMEN TOTAL'!D98</f>
        <v>GUTIERREZ Y BROWN</v>
      </c>
      <c r="D77" s="30" t="str">
        <f>'RESUMEN TOTAL'!E98</f>
        <v>Domo</v>
      </c>
      <c r="E77" s="30" t="str">
        <f>'RESUMEN TOTAL'!F98</f>
        <v>GPON</v>
      </c>
      <c r="F77" s="70">
        <f>'RESUMEN TOTAL'!M98</f>
        <v>0</v>
      </c>
      <c r="G77" s="70">
        <f>'RESUMEN TOTAL'!N98</f>
        <v>0</v>
      </c>
      <c r="H77" s="70">
        <f>'RESUMEN TOTAL'!O98</f>
        <v>0</v>
      </c>
      <c r="I77" s="70">
        <f>'RESUMEN TOTAL'!P98</f>
        <v>0</v>
      </c>
      <c r="J77" s="70">
        <f>'RESUMEN TOTAL'!Q98</f>
        <v>0</v>
      </c>
      <c r="K77" s="70">
        <f>'RESUMEN TOTAL'!R98</f>
        <v>0</v>
      </c>
      <c r="L77" s="70">
        <f>'RESUMEN TOTAL'!S98</f>
        <v>0</v>
      </c>
      <c r="M77" s="70">
        <f>'RESUMEN TOTAL'!T98</f>
        <v>0</v>
      </c>
      <c r="N77" s="70">
        <f>'RESUMEN TOTAL'!U98</f>
        <v>0</v>
      </c>
      <c r="O77" s="70">
        <f>'RESUMEN TOTAL'!V98</f>
        <v>0</v>
      </c>
      <c r="P77" s="70">
        <f>'RESUMEN TOTAL'!W98</f>
        <v>0</v>
      </c>
      <c r="Q77" s="70">
        <f>'RESUMEN TOTAL'!X98</f>
        <v>0</v>
      </c>
      <c r="R77" s="70">
        <f>'RESUMEN TOTAL'!Y98</f>
        <v>0</v>
      </c>
      <c r="S77" s="70">
        <f>'RESUMEN TOTAL'!Z98</f>
        <v>0</v>
      </c>
      <c r="T77" s="70">
        <f>'RESUMEN TOTAL'!AA98</f>
        <v>0</v>
      </c>
      <c r="U77" s="70">
        <f>'RESUMEN TOTAL'!AB98</f>
        <v>0</v>
      </c>
      <c r="V77" s="70">
        <f>'RESUMEN TOTAL'!AC98</f>
        <v>0</v>
      </c>
      <c r="W77" s="70">
        <f>'RESUMEN TOTAL'!AD98</f>
        <v>0</v>
      </c>
      <c r="X77" s="70">
        <f>'RESUMEN TOTAL'!AE98</f>
        <v>0</v>
      </c>
      <c r="Y77" s="70">
        <f>'RESUMEN TOTAL'!AF98</f>
        <v>0</v>
      </c>
      <c r="Z77" s="70">
        <f>'RESUMEN TOTAL'!AG98</f>
        <v>0</v>
      </c>
      <c r="AA77" s="70">
        <f>'RESUMEN TOTAL'!AH98</f>
        <v>0</v>
      </c>
      <c r="AB77" s="70">
        <f>'RESUMEN TOTAL'!AI98</f>
        <v>0</v>
      </c>
      <c r="AC77" s="70">
        <f>'RESUMEN TOTAL'!AJ98</f>
        <v>0</v>
      </c>
      <c r="AD77" s="70">
        <f>'RESUMEN TOTAL'!AK98</f>
        <v>0</v>
      </c>
      <c r="AE77" s="70">
        <f>'RESUMEN TOTAL'!AL98</f>
        <v>0</v>
      </c>
      <c r="AF77" s="70">
        <f>'RESUMEN TOTAL'!AM98</f>
        <v>0</v>
      </c>
      <c r="AG77" s="70">
        <f>'RESUMEN TOTAL'!AN98</f>
        <v>0</v>
      </c>
      <c r="AH77" s="70">
        <f>'RESUMEN TOTAL'!AO98</f>
        <v>0</v>
      </c>
      <c r="AI77" s="70">
        <f>'RESUMEN TOTAL'!AP98</f>
        <v>0</v>
      </c>
      <c r="AJ77" s="70">
        <f>'RESUMEN TOTAL'!AQ98</f>
        <v>0</v>
      </c>
    </row>
    <row r="78" spans="1:36" x14ac:dyDescent="0.25">
      <c r="A78" t="str">
        <f>'RESUMEN TOTAL'!A99</f>
        <v>CENTRO</v>
      </c>
      <c r="B78" t="str">
        <f>'RESUMEN TOTAL'!B99</f>
        <v>CEN 54</v>
      </c>
      <c r="C78" t="str">
        <f>'RESUMEN TOTAL'!D99</f>
        <v>GUTIERREZ Y PRINGLES</v>
      </c>
      <c r="D78" s="30" t="str">
        <f>'RESUMEN TOTAL'!E99</f>
        <v>Domo</v>
      </c>
      <c r="E78" s="30" t="str">
        <f>'RESUMEN TOTAL'!F99</f>
        <v>GPON</v>
      </c>
      <c r="F78" s="70" t="str">
        <f>'RESUMEN TOTAL'!M99</f>
        <v>APAGADO</v>
      </c>
      <c r="G78" s="70" t="str">
        <f>'RESUMEN TOTAL'!N99</f>
        <v>APAGADO</v>
      </c>
      <c r="H78" s="70" t="str">
        <f>'RESUMEN TOTAL'!O99</f>
        <v>APAGADO</v>
      </c>
      <c r="I78" s="70" t="str">
        <f>'RESUMEN TOTAL'!P99</f>
        <v>APAGADO</v>
      </c>
      <c r="J78" s="70" t="str">
        <f>'RESUMEN TOTAL'!Q99</f>
        <v>APAGADO</v>
      </c>
      <c r="K78" s="70" t="str">
        <f>'RESUMEN TOTAL'!R99</f>
        <v>APAGADO</v>
      </c>
      <c r="L78" s="70" t="str">
        <f>'RESUMEN TOTAL'!S99</f>
        <v>APAGADO</v>
      </c>
      <c r="M78" s="70" t="str">
        <f>'RESUMEN TOTAL'!T99</f>
        <v>APAGADO</v>
      </c>
      <c r="N78" s="70">
        <f>'RESUMEN TOTAL'!U99</f>
        <v>0</v>
      </c>
      <c r="O78" s="70">
        <f>'RESUMEN TOTAL'!V99</f>
        <v>0</v>
      </c>
      <c r="P78" s="70">
        <f>'RESUMEN TOTAL'!W99</f>
        <v>0</v>
      </c>
      <c r="Q78" s="70">
        <f>'RESUMEN TOTAL'!X99</f>
        <v>0</v>
      </c>
      <c r="R78" s="70">
        <f>'RESUMEN TOTAL'!Y99</f>
        <v>0</v>
      </c>
      <c r="S78" s="70">
        <f>'RESUMEN TOTAL'!Z99</f>
        <v>0</v>
      </c>
      <c r="T78" s="70">
        <f>'RESUMEN TOTAL'!AA99</f>
        <v>0</v>
      </c>
      <c r="U78" s="70">
        <f>'RESUMEN TOTAL'!AB99</f>
        <v>0</v>
      </c>
      <c r="V78" s="70">
        <f>'RESUMEN TOTAL'!AC99</f>
        <v>0</v>
      </c>
      <c r="W78" s="70">
        <f>'RESUMEN TOTAL'!AD99</f>
        <v>0</v>
      </c>
      <c r="X78" s="70">
        <f>'RESUMEN TOTAL'!AE99</f>
        <v>0</v>
      </c>
      <c r="Y78" s="70">
        <f>'RESUMEN TOTAL'!AF99</f>
        <v>0</v>
      </c>
      <c r="Z78" s="70">
        <f>'RESUMEN TOTAL'!AG99</f>
        <v>0</v>
      </c>
      <c r="AA78" s="70">
        <f>'RESUMEN TOTAL'!AH99</f>
        <v>0</v>
      </c>
      <c r="AB78" s="70">
        <f>'RESUMEN TOTAL'!AI99</f>
        <v>0</v>
      </c>
      <c r="AC78" s="70">
        <f>'RESUMEN TOTAL'!AJ99</f>
        <v>0</v>
      </c>
      <c r="AD78" s="70">
        <f>'RESUMEN TOTAL'!AK99</f>
        <v>0</v>
      </c>
      <c r="AE78" s="70">
        <f>'RESUMEN TOTAL'!AL99</f>
        <v>0</v>
      </c>
      <c r="AF78" s="70">
        <f>'RESUMEN TOTAL'!AM99</f>
        <v>0</v>
      </c>
      <c r="AG78" s="70">
        <f>'RESUMEN TOTAL'!AN99</f>
        <v>0</v>
      </c>
      <c r="AH78" s="70">
        <f>'RESUMEN TOTAL'!AO99</f>
        <v>0</v>
      </c>
      <c r="AI78" s="70">
        <f>'RESUMEN TOTAL'!AP99</f>
        <v>0</v>
      </c>
      <c r="AJ78" s="70">
        <f>'RESUMEN TOTAL'!AQ99</f>
        <v>0</v>
      </c>
    </row>
    <row r="79" spans="1:36" x14ac:dyDescent="0.25">
      <c r="A79" t="str">
        <f>'RESUMEN TOTAL'!A100</f>
        <v>CENTRO</v>
      </c>
      <c r="B79" t="str">
        <f>'RESUMEN TOTAL'!B100</f>
        <v>CEN 55</v>
      </c>
      <c r="C79" t="str">
        <f>'RESUMEN TOTAL'!D100</f>
        <v>BOUREL Y URQUIZA</v>
      </c>
      <c r="D79" s="30" t="str">
        <f>'RESUMEN TOTAL'!E100</f>
        <v>Domo</v>
      </c>
      <c r="E79" s="30" t="str">
        <f>'RESUMEN TOTAL'!F100</f>
        <v>GPON</v>
      </c>
      <c r="F79" s="70">
        <f>'RESUMEN TOTAL'!M100</f>
        <v>0</v>
      </c>
      <c r="G79" s="70">
        <f>'RESUMEN TOTAL'!N100</f>
        <v>0</v>
      </c>
      <c r="H79" s="70">
        <f>'RESUMEN TOTAL'!O100</f>
        <v>0</v>
      </c>
      <c r="I79" s="70">
        <f>'RESUMEN TOTAL'!P100</f>
        <v>0</v>
      </c>
      <c r="J79" s="70">
        <f>'RESUMEN TOTAL'!Q100</f>
        <v>0</v>
      </c>
      <c r="K79" s="70">
        <f>'RESUMEN TOTAL'!R100</f>
        <v>0</v>
      </c>
      <c r="L79" s="70">
        <f>'RESUMEN TOTAL'!S100</f>
        <v>0</v>
      </c>
      <c r="M79" s="70">
        <f>'RESUMEN TOTAL'!T100</f>
        <v>0</v>
      </c>
      <c r="N79" s="70">
        <f>'RESUMEN TOTAL'!U100</f>
        <v>0</v>
      </c>
      <c r="O79" s="70">
        <f>'RESUMEN TOTAL'!V100</f>
        <v>0</v>
      </c>
      <c r="P79" s="70">
        <f>'RESUMEN TOTAL'!W100</f>
        <v>0</v>
      </c>
      <c r="Q79" s="70">
        <f>'RESUMEN TOTAL'!X100</f>
        <v>0</v>
      </c>
      <c r="R79" s="70">
        <f>'RESUMEN TOTAL'!Y100</f>
        <v>0</v>
      </c>
      <c r="S79" s="70">
        <f>'RESUMEN TOTAL'!Z100</f>
        <v>0</v>
      </c>
      <c r="T79" s="70">
        <f>'RESUMEN TOTAL'!AA100</f>
        <v>0</v>
      </c>
      <c r="U79" s="70">
        <f>'RESUMEN TOTAL'!AB100</f>
        <v>0</v>
      </c>
      <c r="V79" s="70">
        <f>'RESUMEN TOTAL'!AC100</f>
        <v>0</v>
      </c>
      <c r="W79" s="70">
        <f>'RESUMEN TOTAL'!AD100</f>
        <v>0</v>
      </c>
      <c r="X79" s="70">
        <f>'RESUMEN TOTAL'!AE100</f>
        <v>0</v>
      </c>
      <c r="Y79" s="70">
        <f>'RESUMEN TOTAL'!AF100</f>
        <v>0</v>
      </c>
      <c r="Z79" s="70">
        <f>'RESUMEN TOTAL'!AG100</f>
        <v>0</v>
      </c>
      <c r="AA79" s="70">
        <f>'RESUMEN TOTAL'!AH100</f>
        <v>0</v>
      </c>
      <c r="AB79" s="70">
        <f>'RESUMEN TOTAL'!AI100</f>
        <v>0</v>
      </c>
      <c r="AC79" s="70">
        <f>'RESUMEN TOTAL'!AJ100</f>
        <v>0</v>
      </c>
      <c r="AD79" s="70">
        <f>'RESUMEN TOTAL'!AK100</f>
        <v>0</v>
      </c>
      <c r="AE79" s="70">
        <f>'RESUMEN TOTAL'!AL100</f>
        <v>0</v>
      </c>
      <c r="AF79" s="70">
        <f>'RESUMEN TOTAL'!AM100</f>
        <v>0</v>
      </c>
      <c r="AG79" s="70">
        <f>'RESUMEN TOTAL'!AN100</f>
        <v>0</v>
      </c>
      <c r="AH79" s="70">
        <f>'RESUMEN TOTAL'!AO100</f>
        <v>0</v>
      </c>
      <c r="AI79" s="70">
        <f>'RESUMEN TOTAL'!AP100</f>
        <v>0</v>
      </c>
      <c r="AJ79" s="70">
        <f>'RESUMEN TOTAL'!AQ100</f>
        <v>0</v>
      </c>
    </row>
    <row r="80" spans="1:36" x14ac:dyDescent="0.25">
      <c r="A80" t="str">
        <f>'RESUMEN TOTAL'!A101</f>
        <v>CENTRO</v>
      </c>
      <c r="B80" t="str">
        <f>'RESUMEN TOTAL'!B101</f>
        <v>CEN 56</v>
      </c>
      <c r="C80" t="str">
        <f>'RESUMEN TOTAL'!D101</f>
        <v>Newbery y Falucho</v>
      </c>
      <c r="D80" s="30" t="str">
        <f>'RESUMEN TOTAL'!E101</f>
        <v>DOMO</v>
      </c>
      <c r="E80" s="30" t="str">
        <f>'RESUMEN TOTAL'!F101</f>
        <v>GPON</v>
      </c>
      <c r="F80" s="70">
        <f>'RESUMEN TOTAL'!M101</f>
        <v>0</v>
      </c>
      <c r="G80" s="70">
        <f>'RESUMEN TOTAL'!N101</f>
        <v>0</v>
      </c>
      <c r="H80" s="70">
        <f>'RESUMEN TOTAL'!O101</f>
        <v>0</v>
      </c>
      <c r="I80" s="70">
        <f>'RESUMEN TOTAL'!P101</f>
        <v>0</v>
      </c>
      <c r="J80" s="70">
        <f>'RESUMEN TOTAL'!Q101</f>
        <v>0</v>
      </c>
      <c r="K80" s="70">
        <f>'RESUMEN TOTAL'!R101</f>
        <v>0</v>
      </c>
      <c r="L80" s="70">
        <f>'RESUMEN TOTAL'!S101</f>
        <v>0</v>
      </c>
      <c r="M80" s="70">
        <f>'RESUMEN TOTAL'!T101</f>
        <v>0</v>
      </c>
      <c r="N80" s="70">
        <f>'RESUMEN TOTAL'!U101</f>
        <v>0</v>
      </c>
      <c r="O80" s="70">
        <f>'RESUMEN TOTAL'!V101</f>
        <v>0</v>
      </c>
      <c r="P80" s="70">
        <f>'RESUMEN TOTAL'!W101</f>
        <v>0</v>
      </c>
      <c r="Q80" s="70">
        <f>'RESUMEN TOTAL'!X101</f>
        <v>0</v>
      </c>
      <c r="R80" s="70">
        <f>'RESUMEN TOTAL'!Y101</f>
        <v>0</v>
      </c>
      <c r="S80" s="70">
        <f>'RESUMEN TOTAL'!Z101</f>
        <v>0</v>
      </c>
      <c r="T80" s="70">
        <f>'RESUMEN TOTAL'!AA101</f>
        <v>0</v>
      </c>
      <c r="U80" s="70">
        <f>'RESUMEN TOTAL'!AB101</f>
        <v>0</v>
      </c>
      <c r="V80" s="70">
        <f>'RESUMEN TOTAL'!AC101</f>
        <v>0</v>
      </c>
      <c r="W80" s="70">
        <f>'RESUMEN TOTAL'!AD101</f>
        <v>0</v>
      </c>
      <c r="X80" s="70">
        <f>'RESUMEN TOTAL'!AE101</f>
        <v>0</v>
      </c>
      <c r="Y80" s="70">
        <f>'RESUMEN TOTAL'!AF101</f>
        <v>0</v>
      </c>
      <c r="Z80" s="70">
        <f>'RESUMEN TOTAL'!AG101</f>
        <v>0</v>
      </c>
      <c r="AA80" s="70">
        <f>'RESUMEN TOTAL'!AH101</f>
        <v>0</v>
      </c>
      <c r="AB80" s="70">
        <f>'RESUMEN TOTAL'!AI101</f>
        <v>0</v>
      </c>
      <c r="AC80" s="70">
        <f>'RESUMEN TOTAL'!AJ101</f>
        <v>0</v>
      </c>
      <c r="AD80" s="70">
        <f>'RESUMEN TOTAL'!AK101</f>
        <v>0</v>
      </c>
      <c r="AE80" s="70">
        <f>'RESUMEN TOTAL'!AL101</f>
        <v>0</v>
      </c>
      <c r="AF80" s="70">
        <f>'RESUMEN TOTAL'!AM101</f>
        <v>0</v>
      </c>
      <c r="AG80" s="70">
        <f>'RESUMEN TOTAL'!AN101</f>
        <v>0</v>
      </c>
      <c r="AH80" s="70">
        <f>'RESUMEN TOTAL'!AO101</f>
        <v>0</v>
      </c>
      <c r="AI80" s="70">
        <f>'RESUMEN TOTAL'!AP101</f>
        <v>0</v>
      </c>
      <c r="AJ80" s="70">
        <f>'RESUMEN TOTAL'!AQ101</f>
        <v>0</v>
      </c>
    </row>
    <row r="81" spans="1:36" x14ac:dyDescent="0.25">
      <c r="A81" t="str">
        <f>'RESUMEN TOTAL'!A102</f>
        <v>CENTRO</v>
      </c>
      <c r="B81" t="str">
        <f>'RESUMEN TOTAL'!B102</f>
        <v>CEN 57</v>
      </c>
      <c r="C81" t="str">
        <f>'RESUMEN TOTAL'!D102</f>
        <v>25 DE MAYO Y DORREGO</v>
      </c>
      <c r="D81" s="30" t="str">
        <f>'RESUMEN TOTAL'!E102</f>
        <v>DOMO</v>
      </c>
      <c r="E81" s="30" t="str">
        <f>'RESUMEN TOTAL'!F102</f>
        <v>GPON</v>
      </c>
      <c r="F81" s="70">
        <f>'RESUMEN TOTAL'!M102</f>
        <v>0</v>
      </c>
      <c r="G81" s="70">
        <f>'RESUMEN TOTAL'!N102</f>
        <v>0</v>
      </c>
      <c r="H81" s="70">
        <f>'RESUMEN TOTAL'!O102</f>
        <v>0</v>
      </c>
      <c r="I81" s="70">
        <f>'RESUMEN TOTAL'!P102</f>
        <v>0</v>
      </c>
      <c r="J81" s="70">
        <f>'RESUMEN TOTAL'!Q102</f>
        <v>0</v>
      </c>
      <c r="K81" s="70">
        <f>'RESUMEN TOTAL'!R102</f>
        <v>0</v>
      </c>
      <c r="L81" s="70">
        <f>'RESUMEN TOTAL'!S102</f>
        <v>0</v>
      </c>
      <c r="M81" s="70">
        <f>'RESUMEN TOTAL'!T102</f>
        <v>0</v>
      </c>
      <c r="N81" s="70">
        <f>'RESUMEN TOTAL'!U102</f>
        <v>0</v>
      </c>
      <c r="O81" s="70">
        <f>'RESUMEN TOTAL'!V102</f>
        <v>0</v>
      </c>
      <c r="P81" s="70">
        <f>'RESUMEN TOTAL'!W102</f>
        <v>0</v>
      </c>
      <c r="Q81" s="70">
        <f>'RESUMEN TOTAL'!X102</f>
        <v>0</v>
      </c>
      <c r="R81" s="70">
        <f>'RESUMEN TOTAL'!Y102</f>
        <v>0</v>
      </c>
      <c r="S81" s="70">
        <f>'RESUMEN TOTAL'!Z102</f>
        <v>0</v>
      </c>
      <c r="T81" s="70">
        <f>'RESUMEN TOTAL'!AA102</f>
        <v>0</v>
      </c>
      <c r="U81" s="70">
        <f>'RESUMEN TOTAL'!AB102</f>
        <v>0</v>
      </c>
      <c r="V81" s="70">
        <f>'RESUMEN TOTAL'!AC102</f>
        <v>0</v>
      </c>
      <c r="W81" s="70">
        <f>'RESUMEN TOTAL'!AD102</f>
        <v>0</v>
      </c>
      <c r="X81" s="70">
        <f>'RESUMEN TOTAL'!AE102</f>
        <v>0</v>
      </c>
      <c r="Y81" s="70">
        <f>'RESUMEN TOTAL'!AF102</f>
        <v>0</v>
      </c>
      <c r="Z81" s="70">
        <f>'RESUMEN TOTAL'!AG102</f>
        <v>0</v>
      </c>
      <c r="AA81" s="70">
        <f>'RESUMEN TOTAL'!AH102</f>
        <v>0</v>
      </c>
      <c r="AB81" s="70">
        <f>'RESUMEN TOTAL'!AI102</f>
        <v>0</v>
      </c>
      <c r="AC81" s="70">
        <f>'RESUMEN TOTAL'!AJ102</f>
        <v>0</v>
      </c>
      <c r="AD81" s="70">
        <f>'RESUMEN TOTAL'!AK102</f>
        <v>0</v>
      </c>
      <c r="AE81" s="70">
        <f>'RESUMEN TOTAL'!AL102</f>
        <v>0</v>
      </c>
      <c r="AF81" s="70">
        <f>'RESUMEN TOTAL'!AM102</f>
        <v>0</v>
      </c>
      <c r="AG81" s="70">
        <f>'RESUMEN TOTAL'!AN102</f>
        <v>0</v>
      </c>
      <c r="AH81" s="70">
        <f>'RESUMEN TOTAL'!AO102</f>
        <v>0</v>
      </c>
      <c r="AI81" s="70">
        <f>'RESUMEN TOTAL'!AP102</f>
        <v>0</v>
      </c>
      <c r="AJ81" s="70">
        <f>'RESUMEN TOTAL'!AQ102</f>
        <v>0</v>
      </c>
    </row>
    <row r="82" spans="1:36" x14ac:dyDescent="0.25">
      <c r="A82" t="str">
        <f>'RESUMEN TOTAL'!A103</f>
        <v>CENTRO</v>
      </c>
      <c r="B82" t="str">
        <f>'RESUMEN TOTAL'!B103</f>
        <v>CEN 58</v>
      </c>
      <c r="C82" t="str">
        <f>'RESUMEN TOTAL'!D103</f>
        <v>EEUU Y MORENO</v>
      </c>
      <c r="D82" s="30" t="str">
        <f>'RESUMEN TOTAL'!E103</f>
        <v>DOMO</v>
      </c>
      <c r="E82" s="30" t="str">
        <f>'RESUMEN TOTAL'!F103</f>
        <v>Fibra Optica</v>
      </c>
      <c r="F82" s="70">
        <f>'RESUMEN TOTAL'!M103</f>
        <v>0</v>
      </c>
      <c r="G82" s="70">
        <f>'RESUMEN TOTAL'!N103</f>
        <v>0</v>
      </c>
      <c r="H82" s="70">
        <f>'RESUMEN TOTAL'!O103</f>
        <v>0</v>
      </c>
      <c r="I82" s="70">
        <f>'RESUMEN TOTAL'!P103</f>
        <v>0</v>
      </c>
      <c r="J82" s="70">
        <f>'RESUMEN TOTAL'!Q103</f>
        <v>0</v>
      </c>
      <c r="K82" s="70">
        <f>'RESUMEN TOTAL'!R103</f>
        <v>0</v>
      </c>
      <c r="L82" s="70">
        <f>'RESUMEN TOTAL'!S103</f>
        <v>0</v>
      </c>
      <c r="M82" s="70">
        <f>'RESUMEN TOTAL'!T103</f>
        <v>0</v>
      </c>
      <c r="N82" s="70">
        <f>'RESUMEN TOTAL'!U103</f>
        <v>0</v>
      </c>
      <c r="O82" s="70">
        <f>'RESUMEN TOTAL'!V103</f>
        <v>0</v>
      </c>
      <c r="P82" s="70">
        <f>'RESUMEN TOTAL'!W103</f>
        <v>0</v>
      </c>
      <c r="Q82" s="70">
        <f>'RESUMEN TOTAL'!X103</f>
        <v>0</v>
      </c>
      <c r="R82" s="70">
        <f>'RESUMEN TOTAL'!Y103</f>
        <v>0</v>
      </c>
      <c r="S82" s="70">
        <f>'RESUMEN TOTAL'!Z103</f>
        <v>0</v>
      </c>
      <c r="T82" s="70">
        <f>'RESUMEN TOTAL'!AA103</f>
        <v>0</v>
      </c>
      <c r="U82" s="70">
        <f>'RESUMEN TOTAL'!AB103</f>
        <v>0</v>
      </c>
      <c r="V82" s="70">
        <f>'RESUMEN TOTAL'!AC103</f>
        <v>0</v>
      </c>
      <c r="W82" s="70">
        <f>'RESUMEN TOTAL'!AD103</f>
        <v>0</v>
      </c>
      <c r="X82" s="70">
        <f>'RESUMEN TOTAL'!AE103</f>
        <v>0</v>
      </c>
      <c r="Y82" s="70">
        <f>'RESUMEN TOTAL'!AF103</f>
        <v>0</v>
      </c>
      <c r="Z82" s="70">
        <f>'RESUMEN TOTAL'!AG103</f>
        <v>0</v>
      </c>
      <c r="AA82" s="70">
        <f>'RESUMEN TOTAL'!AH103</f>
        <v>0</v>
      </c>
      <c r="AB82" s="70">
        <f>'RESUMEN TOTAL'!AI103</f>
        <v>0</v>
      </c>
      <c r="AC82" s="70">
        <f>'RESUMEN TOTAL'!AJ103</f>
        <v>0</v>
      </c>
      <c r="AD82" s="70">
        <f>'RESUMEN TOTAL'!AK103</f>
        <v>0</v>
      </c>
      <c r="AE82" s="70">
        <f>'RESUMEN TOTAL'!AL103</f>
        <v>0</v>
      </c>
      <c r="AF82" s="70">
        <f>'RESUMEN TOTAL'!AM103</f>
        <v>0</v>
      </c>
      <c r="AG82" s="70">
        <f>'RESUMEN TOTAL'!AN103</f>
        <v>0</v>
      </c>
      <c r="AH82" s="70">
        <f>'RESUMEN TOTAL'!AO103</f>
        <v>0</v>
      </c>
      <c r="AI82" s="70">
        <f>'RESUMEN TOTAL'!AP103</f>
        <v>0</v>
      </c>
      <c r="AJ82" s="70">
        <f>'RESUMEN TOTAL'!AQ103</f>
        <v>0</v>
      </c>
    </row>
    <row r="83" spans="1:36" x14ac:dyDescent="0.25">
      <c r="A83" t="str">
        <f>'RESUMEN TOTAL'!A104</f>
        <v>CENTRO</v>
      </c>
      <c r="B83" t="str">
        <f>'RESUMEN TOTAL'!B104</f>
        <v>CEN59</v>
      </c>
      <c r="C83" t="str">
        <f>'RESUMEN TOTAL'!D104</f>
        <v>CHACABUCO Y BOUREL</v>
      </c>
      <c r="D83" s="30" t="str">
        <f>'RESUMEN TOTAL'!E104</f>
        <v>DOMO</v>
      </c>
      <c r="E83" s="30" t="str">
        <f>'RESUMEN TOTAL'!F104</f>
        <v>GPON</v>
      </c>
      <c r="F83" s="70">
        <f>'RESUMEN TOTAL'!M104</f>
        <v>0</v>
      </c>
      <c r="G83" s="70">
        <f>'RESUMEN TOTAL'!N104</f>
        <v>0</v>
      </c>
      <c r="H83" s="70">
        <f>'RESUMEN TOTAL'!O104</f>
        <v>0</v>
      </c>
      <c r="I83" s="70">
        <f>'RESUMEN TOTAL'!P104</f>
        <v>0</v>
      </c>
      <c r="J83" s="70">
        <f>'RESUMEN TOTAL'!Q104</f>
        <v>0</v>
      </c>
      <c r="K83" s="70">
        <f>'RESUMEN TOTAL'!R104</f>
        <v>0</v>
      </c>
      <c r="L83" s="70">
        <f>'RESUMEN TOTAL'!S104</f>
        <v>0</v>
      </c>
      <c r="M83" s="70">
        <f>'RESUMEN TOTAL'!T104</f>
        <v>0</v>
      </c>
      <c r="N83" s="70">
        <f>'RESUMEN TOTAL'!U104</f>
        <v>0</v>
      </c>
      <c r="O83" s="70">
        <f>'RESUMEN TOTAL'!V104</f>
        <v>0</v>
      </c>
      <c r="P83" s="70">
        <f>'RESUMEN TOTAL'!W104</f>
        <v>0</v>
      </c>
      <c r="Q83" s="70">
        <f>'RESUMEN TOTAL'!X104</f>
        <v>0</v>
      </c>
      <c r="R83" s="70">
        <f>'RESUMEN TOTAL'!Y104</f>
        <v>0</v>
      </c>
      <c r="S83" s="70">
        <f>'RESUMEN TOTAL'!Z104</f>
        <v>0</v>
      </c>
      <c r="T83" s="70">
        <f>'RESUMEN TOTAL'!AA104</f>
        <v>0</v>
      </c>
      <c r="U83" s="70">
        <f>'RESUMEN TOTAL'!AB104</f>
        <v>0</v>
      </c>
      <c r="V83" s="70">
        <f>'RESUMEN TOTAL'!AC104</f>
        <v>0</v>
      </c>
      <c r="W83" s="70">
        <f>'RESUMEN TOTAL'!AD104</f>
        <v>0</v>
      </c>
      <c r="X83" s="70">
        <f>'RESUMEN TOTAL'!AE104</f>
        <v>0</v>
      </c>
      <c r="Y83" s="70">
        <f>'RESUMEN TOTAL'!AF104</f>
        <v>0</v>
      </c>
      <c r="Z83" s="70">
        <f>'RESUMEN TOTAL'!AG104</f>
        <v>0</v>
      </c>
      <c r="AA83" s="70">
        <f>'RESUMEN TOTAL'!AH104</f>
        <v>0</v>
      </c>
      <c r="AB83" s="70">
        <f>'RESUMEN TOTAL'!AI104</f>
        <v>0</v>
      </c>
      <c r="AC83" s="70">
        <f>'RESUMEN TOTAL'!AJ104</f>
        <v>0</v>
      </c>
      <c r="AD83" s="70">
        <f>'RESUMEN TOTAL'!AK104</f>
        <v>0</v>
      </c>
      <c r="AE83" s="70">
        <f>'RESUMEN TOTAL'!AL104</f>
        <v>0</v>
      </c>
      <c r="AF83" s="70">
        <f>'RESUMEN TOTAL'!AM104</f>
        <v>0</v>
      </c>
      <c r="AG83" s="70">
        <f>'RESUMEN TOTAL'!AN104</f>
        <v>0</v>
      </c>
      <c r="AH83" s="70">
        <f>'RESUMEN TOTAL'!AO104</f>
        <v>0</v>
      </c>
      <c r="AI83" s="70">
        <f>'RESUMEN TOTAL'!AP104</f>
        <v>0</v>
      </c>
      <c r="AJ83" s="70">
        <f>'RESUMEN TOTAL'!AQ104</f>
        <v>0</v>
      </c>
    </row>
    <row r="84" spans="1:36" x14ac:dyDescent="0.25">
      <c r="A84" t="str">
        <f>'RESUMEN TOTAL'!A105</f>
        <v>CENTRO</v>
      </c>
      <c r="B84" t="str">
        <f>'RESUMEN TOTAL'!B105</f>
        <v>CEN 60</v>
      </c>
      <c r="C84" t="str">
        <f>'RESUMEN TOTAL'!D105</f>
        <v>RECONQUISTA Y ILLIA</v>
      </c>
      <c r="D84" s="30" t="str">
        <f>'RESUMEN TOTAL'!E105</f>
        <v>DOMO</v>
      </c>
      <c r="E84" s="30" t="str">
        <f>'RESUMEN TOTAL'!F105</f>
        <v>PTO A FO</v>
      </c>
      <c r="F84" s="70">
        <f>'RESUMEN TOTAL'!M105</f>
        <v>0</v>
      </c>
      <c r="G84" s="70">
        <f>'RESUMEN TOTAL'!N105</f>
        <v>0</v>
      </c>
      <c r="H84" s="70">
        <f>'RESUMEN TOTAL'!O105</f>
        <v>0</v>
      </c>
      <c r="I84" s="70">
        <f>'RESUMEN TOTAL'!P105</f>
        <v>0</v>
      </c>
      <c r="J84" s="70">
        <f>'RESUMEN TOTAL'!Q105</f>
        <v>0</v>
      </c>
      <c r="K84" s="70">
        <f>'RESUMEN TOTAL'!R105</f>
        <v>0</v>
      </c>
      <c r="L84" s="70">
        <f>'RESUMEN TOTAL'!S105</f>
        <v>0</v>
      </c>
      <c r="M84" s="70">
        <f>'RESUMEN TOTAL'!T105</f>
        <v>0</v>
      </c>
      <c r="N84" s="70">
        <f>'RESUMEN TOTAL'!U105</f>
        <v>0</v>
      </c>
      <c r="O84" s="70">
        <f>'RESUMEN TOTAL'!V105</f>
        <v>0</v>
      </c>
      <c r="P84" s="70">
        <f>'RESUMEN TOTAL'!W105</f>
        <v>0</v>
      </c>
      <c r="Q84" s="70">
        <f>'RESUMEN TOTAL'!X105</f>
        <v>0</v>
      </c>
      <c r="R84" s="70">
        <f>'RESUMEN TOTAL'!Y105</f>
        <v>0</v>
      </c>
      <c r="S84" s="70">
        <f>'RESUMEN TOTAL'!Z105</f>
        <v>0</v>
      </c>
      <c r="T84" s="70">
        <f>'RESUMEN TOTAL'!AA105</f>
        <v>0</v>
      </c>
      <c r="U84" s="70">
        <f>'RESUMEN TOTAL'!AB105</f>
        <v>0</v>
      </c>
      <c r="V84" s="70">
        <f>'RESUMEN TOTAL'!AC105</f>
        <v>0</v>
      </c>
      <c r="W84" s="70">
        <f>'RESUMEN TOTAL'!AD105</f>
        <v>0</v>
      </c>
      <c r="X84" s="70">
        <f>'RESUMEN TOTAL'!AE105</f>
        <v>0</v>
      </c>
      <c r="Y84" s="70">
        <f>'RESUMEN TOTAL'!AF105</f>
        <v>0</v>
      </c>
      <c r="Z84" s="70">
        <f>'RESUMEN TOTAL'!AG105</f>
        <v>0</v>
      </c>
      <c r="AA84" s="70">
        <f>'RESUMEN TOTAL'!AH105</f>
        <v>0</v>
      </c>
      <c r="AB84" s="70">
        <f>'RESUMEN TOTAL'!AI105</f>
        <v>0</v>
      </c>
      <c r="AC84" s="70">
        <f>'RESUMEN TOTAL'!AJ105</f>
        <v>0</v>
      </c>
      <c r="AD84" s="70">
        <f>'RESUMEN TOTAL'!AK105</f>
        <v>0</v>
      </c>
      <c r="AE84" s="70">
        <f>'RESUMEN TOTAL'!AL105</f>
        <v>0</v>
      </c>
      <c r="AF84" s="70">
        <f>'RESUMEN TOTAL'!AM105</f>
        <v>0</v>
      </c>
      <c r="AG84" s="70">
        <f>'RESUMEN TOTAL'!AN105</f>
        <v>0</v>
      </c>
      <c r="AH84" s="70">
        <f>'RESUMEN TOTAL'!AO105</f>
        <v>0</v>
      </c>
      <c r="AI84" s="70">
        <f>'RESUMEN TOTAL'!AP105</f>
        <v>0</v>
      </c>
      <c r="AJ84" s="70">
        <f>'RESUMEN TOTAL'!AQ105</f>
        <v>0</v>
      </c>
    </row>
    <row r="85" spans="1:36" x14ac:dyDescent="0.25">
      <c r="A85" t="str">
        <f>'RESUMEN TOTAL'!A106</f>
        <v>CENTRO</v>
      </c>
      <c r="B85" t="str">
        <f>'RESUMEN TOTAL'!B106</f>
        <v>CEN 61</v>
      </c>
      <c r="C85" t="str">
        <f>'RESUMEN TOTAL'!D106</f>
        <v>BOUREL Y MAIPU</v>
      </c>
      <c r="D85" s="30" t="str">
        <f>'RESUMEN TOTAL'!E106</f>
        <v>DOMO</v>
      </c>
      <c r="E85" s="30" t="str">
        <f>'RESUMEN TOTAL'!F106</f>
        <v>GPON</v>
      </c>
      <c r="F85" s="70" t="str">
        <f>'RESUMEN TOTAL'!M106</f>
        <v>APAGADO</v>
      </c>
      <c r="G85" s="70" t="str">
        <f>'RESUMEN TOTAL'!N106</f>
        <v>APAGADO</v>
      </c>
      <c r="H85" s="70" t="str">
        <f>'RESUMEN TOTAL'!O106</f>
        <v>APAGADO</v>
      </c>
      <c r="I85" s="70">
        <f>'RESUMEN TOTAL'!P106</f>
        <v>0</v>
      </c>
      <c r="J85" s="70">
        <f>'RESUMEN TOTAL'!Q106</f>
        <v>0</v>
      </c>
      <c r="K85" s="70">
        <f>'RESUMEN TOTAL'!R106</f>
        <v>0</v>
      </c>
      <c r="L85" s="70">
        <f>'RESUMEN TOTAL'!S106</f>
        <v>0</v>
      </c>
      <c r="M85" s="70">
        <f>'RESUMEN TOTAL'!T106</f>
        <v>0</v>
      </c>
      <c r="N85" s="70">
        <f>'RESUMEN TOTAL'!U106</f>
        <v>0</v>
      </c>
      <c r="O85" s="70">
        <f>'RESUMEN TOTAL'!V106</f>
        <v>0</v>
      </c>
      <c r="P85" s="70">
        <f>'RESUMEN TOTAL'!W106</f>
        <v>0</v>
      </c>
      <c r="Q85" s="70">
        <f>'RESUMEN TOTAL'!X106</f>
        <v>0</v>
      </c>
      <c r="R85" s="70">
        <f>'RESUMEN TOTAL'!Y106</f>
        <v>0</v>
      </c>
      <c r="S85" s="70">
        <f>'RESUMEN TOTAL'!Z106</f>
        <v>0</v>
      </c>
      <c r="T85" s="70">
        <f>'RESUMEN TOTAL'!AA106</f>
        <v>0</v>
      </c>
      <c r="U85" s="70">
        <f>'RESUMEN TOTAL'!AB106</f>
        <v>0</v>
      </c>
      <c r="V85" s="70">
        <f>'RESUMEN TOTAL'!AC106</f>
        <v>0</v>
      </c>
      <c r="W85" s="70">
        <f>'RESUMEN TOTAL'!AD106</f>
        <v>0</v>
      </c>
      <c r="X85" s="70">
        <f>'RESUMEN TOTAL'!AE106</f>
        <v>0</v>
      </c>
      <c r="Y85" s="70">
        <f>'RESUMEN TOTAL'!AF106</f>
        <v>0</v>
      </c>
      <c r="Z85" s="70">
        <f>'RESUMEN TOTAL'!AG106</f>
        <v>0</v>
      </c>
      <c r="AA85" s="70">
        <f>'RESUMEN TOTAL'!AH106</f>
        <v>0</v>
      </c>
      <c r="AB85" s="70">
        <f>'RESUMEN TOTAL'!AI106</f>
        <v>0</v>
      </c>
      <c r="AC85" s="70">
        <f>'RESUMEN TOTAL'!AJ106</f>
        <v>0</v>
      </c>
      <c r="AD85" s="70">
        <f>'RESUMEN TOTAL'!AK106</f>
        <v>0</v>
      </c>
      <c r="AE85" s="70">
        <f>'RESUMEN TOTAL'!AL106</f>
        <v>0</v>
      </c>
      <c r="AF85" s="70">
        <f>'RESUMEN TOTAL'!AM106</f>
        <v>0</v>
      </c>
      <c r="AG85" s="70">
        <f>'RESUMEN TOTAL'!AN106</f>
        <v>0</v>
      </c>
      <c r="AH85" s="70">
        <f>'RESUMEN TOTAL'!AO106</f>
        <v>0</v>
      </c>
      <c r="AI85" s="70">
        <f>'RESUMEN TOTAL'!AP106</f>
        <v>0</v>
      </c>
      <c r="AJ85" s="70">
        <f>'RESUMEN TOTAL'!AQ106</f>
        <v>0</v>
      </c>
    </row>
    <row r="86" spans="1:36" x14ac:dyDescent="0.25">
      <c r="A86" t="str">
        <f>'RESUMEN TOTAL'!A107</f>
        <v>CENTRO</v>
      </c>
      <c r="B86" t="str">
        <f>'RESUMEN TOTAL'!B107</f>
        <v>CEN62</v>
      </c>
      <c r="C86" t="str">
        <f>'RESUMEN TOTAL'!D107</f>
        <v>ESPAÑA Y ALEM</v>
      </c>
      <c r="D86" s="30" t="str">
        <f>'RESUMEN TOTAL'!E107</f>
        <v>DOMO</v>
      </c>
      <c r="E86" s="30" t="str">
        <f>'RESUMEN TOTAL'!F107</f>
        <v>PTO A FO</v>
      </c>
      <c r="F86" s="70">
        <f>'RESUMEN TOTAL'!M107</f>
        <v>0</v>
      </c>
      <c r="G86" s="70">
        <f>'RESUMEN TOTAL'!N107</f>
        <v>0</v>
      </c>
      <c r="H86" s="70">
        <f>'RESUMEN TOTAL'!O107</f>
        <v>0</v>
      </c>
      <c r="I86" s="70">
        <f>'RESUMEN TOTAL'!P107</f>
        <v>0</v>
      </c>
      <c r="J86" s="70">
        <f>'RESUMEN TOTAL'!Q107</f>
        <v>0</v>
      </c>
      <c r="K86" s="70">
        <f>'RESUMEN TOTAL'!R107</f>
        <v>0</v>
      </c>
      <c r="L86" s="70">
        <f>'RESUMEN TOTAL'!S107</f>
        <v>0</v>
      </c>
      <c r="M86" s="70">
        <f>'RESUMEN TOTAL'!T107</f>
        <v>0</v>
      </c>
      <c r="N86" s="70">
        <f>'RESUMEN TOTAL'!U107</f>
        <v>0</v>
      </c>
      <c r="O86" s="70">
        <f>'RESUMEN TOTAL'!V107</f>
        <v>0</v>
      </c>
      <c r="P86" s="70">
        <f>'RESUMEN TOTAL'!W107</f>
        <v>0</v>
      </c>
      <c r="Q86" s="70">
        <f>'RESUMEN TOTAL'!X107</f>
        <v>0</v>
      </c>
      <c r="R86" s="70">
        <f>'RESUMEN TOTAL'!Y107</f>
        <v>0</v>
      </c>
      <c r="S86" s="70">
        <f>'RESUMEN TOTAL'!Z107</f>
        <v>0</v>
      </c>
      <c r="T86" s="70">
        <f>'RESUMEN TOTAL'!AA107</f>
        <v>0</v>
      </c>
      <c r="U86" s="70">
        <f>'RESUMEN TOTAL'!AB107</f>
        <v>0</v>
      </c>
      <c r="V86" s="70">
        <f>'RESUMEN TOTAL'!AC107</f>
        <v>0</v>
      </c>
      <c r="W86" s="70">
        <f>'RESUMEN TOTAL'!AD107</f>
        <v>0</v>
      </c>
      <c r="X86" s="70">
        <f>'RESUMEN TOTAL'!AE107</f>
        <v>0</v>
      </c>
      <c r="Y86" s="70">
        <f>'RESUMEN TOTAL'!AF107</f>
        <v>0</v>
      </c>
      <c r="Z86" s="70">
        <f>'RESUMEN TOTAL'!AG107</f>
        <v>0</v>
      </c>
      <c r="AA86" s="70">
        <f>'RESUMEN TOTAL'!AH107</f>
        <v>0</v>
      </c>
      <c r="AB86" s="70">
        <f>'RESUMEN TOTAL'!AI107</f>
        <v>0</v>
      </c>
      <c r="AC86" s="70">
        <f>'RESUMEN TOTAL'!AJ107</f>
        <v>0</v>
      </c>
      <c r="AD86" s="70">
        <f>'RESUMEN TOTAL'!AK107</f>
        <v>0</v>
      </c>
      <c r="AE86" s="70">
        <f>'RESUMEN TOTAL'!AL107</f>
        <v>0</v>
      </c>
      <c r="AF86" s="70">
        <f>'RESUMEN TOTAL'!AM107</f>
        <v>0</v>
      </c>
      <c r="AG86" s="70">
        <f>'RESUMEN TOTAL'!AN107</f>
        <v>0</v>
      </c>
      <c r="AH86" s="70">
        <f>'RESUMEN TOTAL'!AO107</f>
        <v>0</v>
      </c>
      <c r="AI86" s="70">
        <f>'RESUMEN TOTAL'!AP107</f>
        <v>0</v>
      </c>
      <c r="AJ86" s="70">
        <f>'RESUMEN TOTAL'!AQ107</f>
        <v>0</v>
      </c>
    </row>
    <row r="87" spans="1:36" x14ac:dyDescent="0.25">
      <c r="A87" t="str">
        <f>'RESUMEN TOTAL'!A108</f>
        <v>CENTRO</v>
      </c>
      <c r="B87" t="str">
        <f>'RESUMEN TOTAL'!B108</f>
        <v>CEN63</v>
      </c>
      <c r="C87" t="str">
        <f>'RESUMEN TOTAL'!D108</f>
        <v>SAN MARTIN Y URQUIZA</v>
      </c>
      <c r="D87" s="30" t="str">
        <f>'RESUMEN TOTAL'!E108</f>
        <v>DOMO</v>
      </c>
      <c r="E87" s="30" t="str">
        <f>'RESUMEN TOTAL'!F108</f>
        <v>Fibra Optica</v>
      </c>
      <c r="F87" s="70">
        <f>'RESUMEN TOTAL'!M108</f>
        <v>0</v>
      </c>
      <c r="G87" s="70">
        <f>'RESUMEN TOTAL'!N108</f>
        <v>0</v>
      </c>
      <c r="H87" s="70">
        <f>'RESUMEN TOTAL'!O108</f>
        <v>0</v>
      </c>
      <c r="I87" s="70">
        <f>'RESUMEN TOTAL'!P108</f>
        <v>0</v>
      </c>
      <c r="J87" s="70">
        <f>'RESUMEN TOTAL'!Q108</f>
        <v>0</v>
      </c>
      <c r="K87" s="70">
        <f>'RESUMEN TOTAL'!R108</f>
        <v>0</v>
      </c>
      <c r="L87" s="70">
        <f>'RESUMEN TOTAL'!S108</f>
        <v>0</v>
      </c>
      <c r="M87" s="70">
        <f>'RESUMEN TOTAL'!T108</f>
        <v>0</v>
      </c>
      <c r="N87" s="70">
        <f>'RESUMEN TOTAL'!U108</f>
        <v>0</v>
      </c>
      <c r="O87" s="70">
        <f>'RESUMEN TOTAL'!V108</f>
        <v>0</v>
      </c>
      <c r="P87" s="70">
        <f>'RESUMEN TOTAL'!W108</f>
        <v>0</v>
      </c>
      <c r="Q87" s="70">
        <f>'RESUMEN TOTAL'!X108</f>
        <v>0</v>
      </c>
      <c r="R87" s="70">
        <f>'RESUMEN TOTAL'!Y108</f>
        <v>0</v>
      </c>
      <c r="S87" s="70">
        <f>'RESUMEN TOTAL'!Z108</f>
        <v>0</v>
      </c>
      <c r="T87" s="70">
        <f>'RESUMEN TOTAL'!AA108</f>
        <v>0</v>
      </c>
      <c r="U87" s="70">
        <f>'RESUMEN TOTAL'!AB108</f>
        <v>0</v>
      </c>
      <c r="V87" s="70">
        <f>'RESUMEN TOTAL'!AC108</f>
        <v>0</v>
      </c>
      <c r="W87" s="70">
        <f>'RESUMEN TOTAL'!AD108</f>
        <v>0</v>
      </c>
      <c r="X87" s="70">
        <f>'RESUMEN TOTAL'!AE108</f>
        <v>0</v>
      </c>
      <c r="Y87" s="70">
        <f>'RESUMEN TOTAL'!AF108</f>
        <v>0</v>
      </c>
      <c r="Z87" s="70">
        <f>'RESUMEN TOTAL'!AG108</f>
        <v>0</v>
      </c>
      <c r="AA87" s="70">
        <f>'RESUMEN TOTAL'!AH108</f>
        <v>0</v>
      </c>
      <c r="AB87" s="70">
        <f>'RESUMEN TOTAL'!AI108</f>
        <v>0</v>
      </c>
      <c r="AC87" s="70">
        <f>'RESUMEN TOTAL'!AJ108</f>
        <v>0</v>
      </c>
      <c r="AD87" s="70">
        <f>'RESUMEN TOTAL'!AK108</f>
        <v>0</v>
      </c>
      <c r="AE87" s="70">
        <f>'RESUMEN TOTAL'!AL108</f>
        <v>0</v>
      </c>
      <c r="AF87" s="70">
        <f>'RESUMEN TOTAL'!AM108</f>
        <v>0</v>
      </c>
      <c r="AG87" s="70">
        <f>'RESUMEN TOTAL'!AN108</f>
        <v>0</v>
      </c>
      <c r="AH87" s="70">
        <f>'RESUMEN TOTAL'!AO108</f>
        <v>0</v>
      </c>
      <c r="AI87" s="70">
        <f>'RESUMEN TOTAL'!AP108</f>
        <v>0</v>
      </c>
      <c r="AJ87" s="70">
        <f>'RESUMEN TOTAL'!AQ108</f>
        <v>0</v>
      </c>
    </row>
    <row r="88" spans="1:36" x14ac:dyDescent="0.25">
      <c r="A88" t="str">
        <f>'RESUMEN TOTAL'!A109</f>
        <v>CENTRO</v>
      </c>
      <c r="B88" t="str">
        <f>'RESUMEN TOTAL'!B109</f>
        <v>CEN64</v>
      </c>
      <c r="C88" t="str">
        <f>'RESUMEN TOTAL'!D109</f>
        <v>SAN MARTIN Y BOCCUZZI</v>
      </c>
      <c r="D88" s="30" t="str">
        <f>'RESUMEN TOTAL'!E109</f>
        <v>FIJA</v>
      </c>
      <c r="E88" s="30" t="str">
        <f>'RESUMEN TOTAL'!F109</f>
        <v>Fibra Optica</v>
      </c>
      <c r="F88" s="70">
        <f>'RESUMEN TOTAL'!M109</f>
        <v>0</v>
      </c>
      <c r="G88" s="70">
        <f>'RESUMEN TOTAL'!N109</f>
        <v>0</v>
      </c>
      <c r="H88" s="70">
        <f>'RESUMEN TOTAL'!O109</f>
        <v>0</v>
      </c>
      <c r="I88" s="70">
        <f>'RESUMEN TOTAL'!P109</f>
        <v>0</v>
      </c>
      <c r="J88" s="70">
        <f>'RESUMEN TOTAL'!Q109</f>
        <v>0</v>
      </c>
      <c r="K88" s="70">
        <f>'RESUMEN TOTAL'!R109</f>
        <v>0</v>
      </c>
      <c r="L88" s="70">
        <f>'RESUMEN TOTAL'!S109</f>
        <v>0</v>
      </c>
      <c r="M88" s="70">
        <f>'RESUMEN TOTAL'!T109</f>
        <v>0</v>
      </c>
      <c r="N88" s="70">
        <f>'RESUMEN TOTAL'!U109</f>
        <v>0</v>
      </c>
      <c r="O88" s="70">
        <f>'RESUMEN TOTAL'!V109</f>
        <v>0</v>
      </c>
      <c r="P88" s="70">
        <f>'RESUMEN TOTAL'!W109</f>
        <v>0</v>
      </c>
      <c r="Q88" s="70">
        <f>'RESUMEN TOTAL'!X109</f>
        <v>0</v>
      </c>
      <c r="R88" s="70">
        <f>'RESUMEN TOTAL'!Y109</f>
        <v>0</v>
      </c>
      <c r="S88" s="70">
        <f>'RESUMEN TOTAL'!Z109</f>
        <v>0</v>
      </c>
      <c r="T88" s="70">
        <f>'RESUMEN TOTAL'!AA109</f>
        <v>0</v>
      </c>
      <c r="U88" s="70">
        <f>'RESUMEN TOTAL'!AB109</f>
        <v>0</v>
      </c>
      <c r="V88" s="70">
        <f>'RESUMEN TOTAL'!AC109</f>
        <v>0</v>
      </c>
      <c r="W88" s="70">
        <f>'RESUMEN TOTAL'!AD109</f>
        <v>0</v>
      </c>
      <c r="X88" s="70">
        <f>'RESUMEN TOTAL'!AE109</f>
        <v>0</v>
      </c>
      <c r="Y88" s="70">
        <f>'RESUMEN TOTAL'!AF109</f>
        <v>0</v>
      </c>
      <c r="Z88" s="70">
        <f>'RESUMEN TOTAL'!AG109</f>
        <v>0</v>
      </c>
      <c r="AA88" s="70">
        <f>'RESUMEN TOTAL'!AH109</f>
        <v>0</v>
      </c>
      <c r="AB88" s="70">
        <f>'RESUMEN TOTAL'!AI109</f>
        <v>0</v>
      </c>
      <c r="AC88" s="70">
        <f>'RESUMEN TOTAL'!AJ109</f>
        <v>0</v>
      </c>
      <c r="AD88" s="70">
        <f>'RESUMEN TOTAL'!AK109</f>
        <v>0</v>
      </c>
      <c r="AE88" s="70">
        <f>'RESUMEN TOTAL'!AL109</f>
        <v>0</v>
      </c>
      <c r="AF88" s="70">
        <f>'RESUMEN TOTAL'!AM109</f>
        <v>0</v>
      </c>
      <c r="AG88" s="70">
        <f>'RESUMEN TOTAL'!AN109</f>
        <v>0</v>
      </c>
      <c r="AH88" s="70">
        <f>'RESUMEN TOTAL'!AO109</f>
        <v>0</v>
      </c>
      <c r="AI88" s="70">
        <f>'RESUMEN TOTAL'!AP109</f>
        <v>0</v>
      </c>
      <c r="AJ88" s="70">
        <f>'RESUMEN TOTAL'!AQ109</f>
        <v>0</v>
      </c>
    </row>
    <row r="89" spans="1:36" x14ac:dyDescent="0.25">
      <c r="A89" t="str">
        <f>'RESUMEN TOTAL'!A110</f>
        <v>CENTRO</v>
      </c>
      <c r="B89" t="str">
        <f>'RESUMEN TOTAL'!B110</f>
        <v>CEN 65</v>
      </c>
      <c r="C89" t="str">
        <f>'RESUMEN TOTAL'!D110</f>
        <v>SAN MARTIN Y JUAN PERON</v>
      </c>
      <c r="D89" s="30" t="str">
        <f>'RESUMEN TOTAL'!E110</f>
        <v>FIJA</v>
      </c>
      <c r="E89" s="30" t="str">
        <f>'RESUMEN TOTAL'!F110</f>
        <v>GPON</v>
      </c>
      <c r="F89" s="70">
        <f>'RESUMEN TOTAL'!M110</f>
        <v>0</v>
      </c>
      <c r="G89" s="70">
        <f>'RESUMEN TOTAL'!N110</f>
        <v>0</v>
      </c>
      <c r="H89" s="70">
        <f>'RESUMEN TOTAL'!O110</f>
        <v>0</v>
      </c>
      <c r="I89" s="70">
        <f>'RESUMEN TOTAL'!P110</f>
        <v>0</v>
      </c>
      <c r="J89" s="70">
        <f>'RESUMEN TOTAL'!Q110</f>
        <v>0</v>
      </c>
      <c r="K89" s="70">
        <f>'RESUMEN TOTAL'!R110</f>
        <v>0</v>
      </c>
      <c r="L89" s="70">
        <f>'RESUMEN TOTAL'!S110</f>
        <v>0</v>
      </c>
      <c r="M89" s="70">
        <f>'RESUMEN TOTAL'!T110</f>
        <v>0</v>
      </c>
      <c r="N89" s="70">
        <f>'RESUMEN TOTAL'!U110</f>
        <v>0</v>
      </c>
      <c r="O89" s="70">
        <f>'RESUMEN TOTAL'!V110</f>
        <v>0</v>
      </c>
      <c r="P89" s="70">
        <f>'RESUMEN TOTAL'!W110</f>
        <v>0</v>
      </c>
      <c r="Q89" s="70">
        <f>'RESUMEN TOTAL'!X110</f>
        <v>0</v>
      </c>
      <c r="R89" s="70">
        <f>'RESUMEN TOTAL'!Y110</f>
        <v>0</v>
      </c>
      <c r="S89" s="70">
        <f>'RESUMEN TOTAL'!Z110</f>
        <v>0</v>
      </c>
      <c r="T89" s="70">
        <f>'RESUMEN TOTAL'!AA110</f>
        <v>0</v>
      </c>
      <c r="U89" s="70">
        <f>'RESUMEN TOTAL'!AB110</f>
        <v>0</v>
      </c>
      <c r="V89" s="70">
        <f>'RESUMEN TOTAL'!AC110</f>
        <v>0</v>
      </c>
      <c r="W89" s="70">
        <f>'RESUMEN TOTAL'!AD110</f>
        <v>0</v>
      </c>
      <c r="X89" s="70">
        <f>'RESUMEN TOTAL'!AE110</f>
        <v>0</v>
      </c>
      <c r="Y89" s="70">
        <f>'RESUMEN TOTAL'!AF110</f>
        <v>0</v>
      </c>
      <c r="Z89" s="70">
        <f>'RESUMEN TOTAL'!AG110</f>
        <v>0</v>
      </c>
      <c r="AA89" s="70">
        <f>'RESUMEN TOTAL'!AH110</f>
        <v>0</v>
      </c>
      <c r="AB89" s="70">
        <f>'RESUMEN TOTAL'!AI110</f>
        <v>0</v>
      </c>
      <c r="AC89" s="70">
        <f>'RESUMEN TOTAL'!AJ110</f>
        <v>0</v>
      </c>
      <c r="AD89" s="70">
        <f>'RESUMEN TOTAL'!AK110</f>
        <v>0</v>
      </c>
      <c r="AE89" s="70">
        <f>'RESUMEN TOTAL'!AL110</f>
        <v>0</v>
      </c>
      <c r="AF89" s="70">
        <f>'RESUMEN TOTAL'!AM110</f>
        <v>0</v>
      </c>
      <c r="AG89" s="70">
        <f>'RESUMEN TOTAL'!AN110</f>
        <v>0</v>
      </c>
      <c r="AH89" s="70">
        <f>'RESUMEN TOTAL'!AO110</f>
        <v>0</v>
      </c>
      <c r="AI89" s="70">
        <f>'RESUMEN TOTAL'!AP110</f>
        <v>0</v>
      </c>
      <c r="AJ89" s="70">
        <f>'RESUMEN TOTAL'!AQ110</f>
        <v>0</v>
      </c>
    </row>
    <row r="90" spans="1:36" x14ac:dyDescent="0.25">
      <c r="A90" t="str">
        <f>'RESUMEN TOTAL'!A111</f>
        <v>CENTRO</v>
      </c>
      <c r="B90" t="str">
        <f>'RESUMEN TOTAL'!B111</f>
        <v>CEN66</v>
      </c>
      <c r="C90" t="str">
        <f>'RESUMEN TOTAL'!D111</f>
        <v>SAN MARTIN Y JUAN PERON</v>
      </c>
      <c r="D90" s="30" t="str">
        <f>'RESUMEN TOTAL'!E111</f>
        <v>FIJA</v>
      </c>
      <c r="E90" s="30" t="str">
        <f>'RESUMEN TOTAL'!F111</f>
        <v>GPON</v>
      </c>
      <c r="F90" s="70">
        <f>'RESUMEN TOTAL'!M111</f>
        <v>0</v>
      </c>
      <c r="G90" s="70">
        <f>'RESUMEN TOTAL'!N111</f>
        <v>0</v>
      </c>
      <c r="H90" s="70">
        <f>'RESUMEN TOTAL'!O111</f>
        <v>0</v>
      </c>
      <c r="I90" s="70">
        <f>'RESUMEN TOTAL'!P111</f>
        <v>0</v>
      </c>
      <c r="J90" s="70">
        <f>'RESUMEN TOTAL'!Q111</f>
        <v>0</v>
      </c>
      <c r="K90" s="70">
        <f>'RESUMEN TOTAL'!R111</f>
        <v>0</v>
      </c>
      <c r="L90" s="70">
        <f>'RESUMEN TOTAL'!S111</f>
        <v>0</v>
      </c>
      <c r="M90" s="70">
        <f>'RESUMEN TOTAL'!T111</f>
        <v>0</v>
      </c>
      <c r="N90" s="70">
        <f>'RESUMEN TOTAL'!U111</f>
        <v>0</v>
      </c>
      <c r="O90" s="70">
        <f>'RESUMEN TOTAL'!V111</f>
        <v>0</v>
      </c>
      <c r="P90" s="70">
        <f>'RESUMEN TOTAL'!W111</f>
        <v>0</v>
      </c>
      <c r="Q90" s="70">
        <f>'RESUMEN TOTAL'!X111</f>
        <v>0</v>
      </c>
      <c r="R90" s="70">
        <f>'RESUMEN TOTAL'!Y111</f>
        <v>0</v>
      </c>
      <c r="S90" s="70">
        <f>'RESUMEN TOTAL'!Z111</f>
        <v>0</v>
      </c>
      <c r="T90" s="70">
        <f>'RESUMEN TOTAL'!AA111</f>
        <v>0</v>
      </c>
      <c r="U90" s="70">
        <f>'RESUMEN TOTAL'!AB111</f>
        <v>0</v>
      </c>
      <c r="V90" s="70">
        <f>'RESUMEN TOTAL'!AC111</f>
        <v>0</v>
      </c>
      <c r="W90" s="70">
        <f>'RESUMEN TOTAL'!AD111</f>
        <v>0</v>
      </c>
      <c r="X90" s="70">
        <f>'RESUMEN TOTAL'!AE111</f>
        <v>0</v>
      </c>
      <c r="Y90" s="70">
        <f>'RESUMEN TOTAL'!AF111</f>
        <v>0</v>
      </c>
      <c r="Z90" s="70">
        <f>'RESUMEN TOTAL'!AG111</f>
        <v>0</v>
      </c>
      <c r="AA90" s="70">
        <f>'RESUMEN TOTAL'!AH111</f>
        <v>0</v>
      </c>
      <c r="AB90" s="70">
        <f>'RESUMEN TOTAL'!AI111</f>
        <v>0</v>
      </c>
      <c r="AC90" s="70">
        <f>'RESUMEN TOTAL'!AJ111</f>
        <v>0</v>
      </c>
      <c r="AD90" s="70">
        <f>'RESUMEN TOTAL'!AK111</f>
        <v>0</v>
      </c>
      <c r="AE90" s="70">
        <f>'RESUMEN TOTAL'!AL111</f>
        <v>0</v>
      </c>
      <c r="AF90" s="70">
        <f>'RESUMEN TOTAL'!AM111</f>
        <v>0</v>
      </c>
      <c r="AG90" s="70">
        <f>'RESUMEN TOTAL'!AN111</f>
        <v>0</v>
      </c>
      <c r="AH90" s="70">
        <f>'RESUMEN TOTAL'!AO111</f>
        <v>0</v>
      </c>
      <c r="AI90" s="70">
        <f>'RESUMEN TOTAL'!AP111</f>
        <v>0</v>
      </c>
      <c r="AJ90" s="70">
        <f>'RESUMEN TOTAL'!AQ111</f>
        <v>0</v>
      </c>
    </row>
    <row r="91" spans="1:36" x14ac:dyDescent="0.25">
      <c r="A91" t="str">
        <f>'RESUMEN TOTAL'!A112</f>
        <v>CENTRO</v>
      </c>
      <c r="B91" t="str">
        <f>'RESUMEN TOTAL'!B112</f>
        <v>CEN67 (fija 1)</v>
      </c>
      <c r="C91" t="str">
        <f>'RESUMEN TOTAL'!D112</f>
        <v>9 DE JULIO Y BROWN</v>
      </c>
      <c r="D91" s="30" t="str">
        <f>'RESUMEN TOTAL'!E112</f>
        <v>Fija</v>
      </c>
      <c r="E91" s="30" t="str">
        <f>'RESUMEN TOTAL'!F112</f>
        <v>GPON</v>
      </c>
      <c r="F91" s="70">
        <f>'RESUMEN TOTAL'!M112</f>
        <v>0</v>
      </c>
      <c r="G91" s="70">
        <f>'RESUMEN TOTAL'!N112</f>
        <v>0</v>
      </c>
      <c r="H91" s="70">
        <f>'RESUMEN TOTAL'!O112</f>
        <v>0</v>
      </c>
      <c r="I91" s="70">
        <f>'RESUMEN TOTAL'!P112</f>
        <v>0</v>
      </c>
      <c r="J91" s="70">
        <f>'RESUMEN TOTAL'!Q112</f>
        <v>0</v>
      </c>
      <c r="K91" s="70">
        <f>'RESUMEN TOTAL'!R112</f>
        <v>0</v>
      </c>
      <c r="L91" s="70">
        <f>'RESUMEN TOTAL'!S112</f>
        <v>0</v>
      </c>
      <c r="M91" s="70">
        <f>'RESUMEN TOTAL'!T112</f>
        <v>0</v>
      </c>
      <c r="N91" s="70">
        <f>'RESUMEN TOTAL'!U112</f>
        <v>0</v>
      </c>
      <c r="O91" s="70">
        <f>'RESUMEN TOTAL'!V112</f>
        <v>0</v>
      </c>
      <c r="P91" s="70">
        <f>'RESUMEN TOTAL'!W112</f>
        <v>0</v>
      </c>
      <c r="Q91" s="70">
        <f>'RESUMEN TOTAL'!X112</f>
        <v>0</v>
      </c>
      <c r="R91" s="70">
        <f>'RESUMEN TOTAL'!Y112</f>
        <v>0</v>
      </c>
      <c r="S91" s="70">
        <f>'RESUMEN TOTAL'!Z112</f>
        <v>0</v>
      </c>
      <c r="T91" s="70">
        <f>'RESUMEN TOTAL'!AA112</f>
        <v>0</v>
      </c>
      <c r="U91" s="70">
        <f>'RESUMEN TOTAL'!AB112</f>
        <v>0</v>
      </c>
      <c r="V91" s="70">
        <f>'RESUMEN TOTAL'!AC112</f>
        <v>0</v>
      </c>
      <c r="W91" s="70">
        <f>'RESUMEN TOTAL'!AD112</f>
        <v>0</v>
      </c>
      <c r="X91" s="70">
        <f>'RESUMEN TOTAL'!AE112</f>
        <v>0</v>
      </c>
      <c r="Y91" s="70">
        <f>'RESUMEN TOTAL'!AF112</f>
        <v>0</v>
      </c>
      <c r="Z91" s="70">
        <f>'RESUMEN TOTAL'!AG112</f>
        <v>0</v>
      </c>
      <c r="AA91" s="70">
        <f>'RESUMEN TOTAL'!AH112</f>
        <v>0</v>
      </c>
      <c r="AB91" s="70">
        <f>'RESUMEN TOTAL'!AI112</f>
        <v>0</v>
      </c>
      <c r="AC91" s="70">
        <f>'RESUMEN TOTAL'!AJ112</f>
        <v>0</v>
      </c>
      <c r="AD91" s="70">
        <f>'RESUMEN TOTAL'!AK112</f>
        <v>0</v>
      </c>
      <c r="AE91" s="70">
        <f>'RESUMEN TOTAL'!AL112</f>
        <v>0</v>
      </c>
      <c r="AF91" s="70">
        <f>'RESUMEN TOTAL'!AM112</f>
        <v>0</v>
      </c>
      <c r="AG91" s="70">
        <f>'RESUMEN TOTAL'!AN112</f>
        <v>0</v>
      </c>
      <c r="AH91" s="70">
        <f>'RESUMEN TOTAL'!AO112</f>
        <v>0</v>
      </c>
      <c r="AI91" s="70">
        <f>'RESUMEN TOTAL'!AP112</f>
        <v>0</v>
      </c>
      <c r="AJ91" s="70">
        <f>'RESUMEN TOTAL'!AQ112</f>
        <v>0</v>
      </c>
    </row>
    <row r="92" spans="1:36" x14ac:dyDescent="0.25">
      <c r="A92" t="str">
        <f>'RESUMEN TOTAL'!A113</f>
        <v>CENTRO</v>
      </c>
      <c r="B92" t="str">
        <f>'RESUMEN TOTAL'!B113</f>
        <v>CEN68 (fija 2)</v>
      </c>
      <c r="C92" t="str">
        <f>'RESUMEN TOTAL'!D113</f>
        <v>9 DE JULIO Y BROWN</v>
      </c>
      <c r="D92" s="30" t="str">
        <f>'RESUMEN TOTAL'!E113</f>
        <v>Fija</v>
      </c>
      <c r="E92" s="30" t="str">
        <f>'RESUMEN TOTAL'!F113</f>
        <v>GPON</v>
      </c>
      <c r="F92" s="70">
        <f>'RESUMEN TOTAL'!M113</f>
        <v>0</v>
      </c>
      <c r="G92" s="70">
        <f>'RESUMEN TOTAL'!N113</f>
        <v>0</v>
      </c>
      <c r="H92" s="70">
        <f>'RESUMEN TOTAL'!O113</f>
        <v>0</v>
      </c>
      <c r="I92" s="70">
        <f>'RESUMEN TOTAL'!P113</f>
        <v>0</v>
      </c>
      <c r="J92" s="70">
        <f>'RESUMEN TOTAL'!Q113</f>
        <v>0</v>
      </c>
      <c r="K92" s="70">
        <f>'RESUMEN TOTAL'!R113</f>
        <v>0</v>
      </c>
      <c r="L92" s="70">
        <f>'RESUMEN TOTAL'!S113</f>
        <v>0</v>
      </c>
      <c r="M92" s="70">
        <f>'RESUMEN TOTAL'!T113</f>
        <v>0</v>
      </c>
      <c r="N92" s="70">
        <f>'RESUMEN TOTAL'!U113</f>
        <v>0</v>
      </c>
      <c r="O92" s="70">
        <f>'RESUMEN TOTAL'!V113</f>
        <v>0</v>
      </c>
      <c r="P92" s="70">
        <f>'RESUMEN TOTAL'!W113</f>
        <v>0</v>
      </c>
      <c r="Q92" s="70">
        <f>'RESUMEN TOTAL'!X113</f>
        <v>0</v>
      </c>
      <c r="R92" s="70">
        <f>'RESUMEN TOTAL'!Y113</f>
        <v>0</v>
      </c>
      <c r="S92" s="70">
        <f>'RESUMEN TOTAL'!Z113</f>
        <v>0</v>
      </c>
      <c r="T92" s="70">
        <f>'RESUMEN TOTAL'!AA113</f>
        <v>0</v>
      </c>
      <c r="U92" s="70">
        <f>'RESUMEN TOTAL'!AB113</f>
        <v>0</v>
      </c>
      <c r="V92" s="70">
        <f>'RESUMEN TOTAL'!AC113</f>
        <v>0</v>
      </c>
      <c r="W92" s="70">
        <f>'RESUMEN TOTAL'!AD113</f>
        <v>0</v>
      </c>
      <c r="X92" s="70">
        <f>'RESUMEN TOTAL'!AE113</f>
        <v>0</v>
      </c>
      <c r="Y92" s="70">
        <f>'RESUMEN TOTAL'!AF113</f>
        <v>0</v>
      </c>
      <c r="Z92" s="70">
        <f>'RESUMEN TOTAL'!AG113</f>
        <v>0</v>
      </c>
      <c r="AA92" s="70">
        <f>'RESUMEN TOTAL'!AH113</f>
        <v>0</v>
      </c>
      <c r="AB92" s="70">
        <f>'RESUMEN TOTAL'!AI113</f>
        <v>0</v>
      </c>
      <c r="AC92" s="70">
        <f>'RESUMEN TOTAL'!AJ113</f>
        <v>0</v>
      </c>
      <c r="AD92" s="70">
        <f>'RESUMEN TOTAL'!AK113</f>
        <v>0</v>
      </c>
      <c r="AE92" s="70">
        <f>'RESUMEN TOTAL'!AL113</f>
        <v>0</v>
      </c>
      <c r="AF92" s="70">
        <f>'RESUMEN TOTAL'!AM113</f>
        <v>0</v>
      </c>
      <c r="AG92" s="70">
        <f>'RESUMEN TOTAL'!AN113</f>
        <v>0</v>
      </c>
      <c r="AH92" s="70">
        <f>'RESUMEN TOTAL'!AO113</f>
        <v>0</v>
      </c>
      <c r="AI92" s="70">
        <f>'RESUMEN TOTAL'!AP113</f>
        <v>0</v>
      </c>
      <c r="AJ92" s="70">
        <f>'RESUMEN TOTAL'!AQ113</f>
        <v>0</v>
      </c>
    </row>
    <row r="93" spans="1:36" x14ac:dyDescent="0.25">
      <c r="A93" t="str">
        <f>'RESUMEN TOTAL'!A114</f>
        <v>CENTRO</v>
      </c>
      <c r="B93" t="str">
        <f>'RESUMEN TOTAL'!B114</f>
        <v>CEN69</v>
      </c>
      <c r="C93" t="str">
        <f>'RESUMEN TOTAL'!D114</f>
        <v>RIVADAVIA Y BOUREL</v>
      </c>
      <c r="D93" s="30" t="str">
        <f>'RESUMEN TOTAL'!E114</f>
        <v>DOMO</v>
      </c>
      <c r="E93" s="30" t="str">
        <f>'RESUMEN TOTAL'!F114</f>
        <v>Fibra Optica</v>
      </c>
      <c r="F93" s="70">
        <f>'RESUMEN TOTAL'!M114</f>
        <v>0</v>
      </c>
      <c r="G93" s="70">
        <f>'RESUMEN TOTAL'!N114</f>
        <v>0</v>
      </c>
      <c r="H93" s="70">
        <f>'RESUMEN TOTAL'!O114</f>
        <v>0</v>
      </c>
      <c r="I93" s="70">
        <f>'RESUMEN TOTAL'!P114</f>
        <v>0</v>
      </c>
      <c r="J93" s="70">
        <f>'RESUMEN TOTAL'!Q114</f>
        <v>0</v>
      </c>
      <c r="K93" s="70">
        <f>'RESUMEN TOTAL'!R114</f>
        <v>0</v>
      </c>
      <c r="L93" s="70">
        <f>'RESUMEN TOTAL'!S114</f>
        <v>0</v>
      </c>
      <c r="M93" s="70">
        <f>'RESUMEN TOTAL'!T114</f>
        <v>0</v>
      </c>
      <c r="N93" s="70">
        <f>'RESUMEN TOTAL'!U114</f>
        <v>0</v>
      </c>
      <c r="O93" s="70">
        <f>'RESUMEN TOTAL'!V114</f>
        <v>0</v>
      </c>
      <c r="P93" s="70">
        <f>'RESUMEN TOTAL'!W114</f>
        <v>0</v>
      </c>
      <c r="Q93" s="70">
        <f>'RESUMEN TOTAL'!X114</f>
        <v>0</v>
      </c>
      <c r="R93" s="70">
        <f>'RESUMEN TOTAL'!Y114</f>
        <v>0</v>
      </c>
      <c r="S93" s="70">
        <f>'RESUMEN TOTAL'!Z114</f>
        <v>0</v>
      </c>
      <c r="T93" s="70">
        <f>'RESUMEN TOTAL'!AA114</f>
        <v>0</v>
      </c>
      <c r="U93" s="70">
        <f>'RESUMEN TOTAL'!AB114</f>
        <v>0</v>
      </c>
      <c r="V93" s="70">
        <f>'RESUMEN TOTAL'!AC114</f>
        <v>0</v>
      </c>
      <c r="W93" s="70">
        <f>'RESUMEN TOTAL'!AD114</f>
        <v>0</v>
      </c>
      <c r="X93" s="70">
        <f>'RESUMEN TOTAL'!AE114</f>
        <v>0</v>
      </c>
      <c r="Y93" s="70">
        <f>'RESUMEN TOTAL'!AF114</f>
        <v>0</v>
      </c>
      <c r="Z93" s="70">
        <f>'RESUMEN TOTAL'!AG114</f>
        <v>0</v>
      </c>
      <c r="AA93" s="70">
        <f>'RESUMEN TOTAL'!AH114</f>
        <v>0</v>
      </c>
      <c r="AB93" s="70">
        <f>'RESUMEN TOTAL'!AI114</f>
        <v>0</v>
      </c>
      <c r="AC93" s="70">
        <f>'RESUMEN TOTAL'!AJ114</f>
        <v>0</v>
      </c>
      <c r="AD93" s="70">
        <f>'RESUMEN TOTAL'!AK114</f>
        <v>0</v>
      </c>
      <c r="AE93" s="70">
        <f>'RESUMEN TOTAL'!AL114</f>
        <v>0</v>
      </c>
      <c r="AF93" s="70">
        <f>'RESUMEN TOTAL'!AM114</f>
        <v>0</v>
      </c>
      <c r="AG93" s="70">
        <f>'RESUMEN TOTAL'!AN114</f>
        <v>0</v>
      </c>
      <c r="AH93" s="70">
        <f>'RESUMEN TOTAL'!AO114</f>
        <v>0</v>
      </c>
      <c r="AI93" s="70">
        <f>'RESUMEN TOTAL'!AP114</f>
        <v>0</v>
      </c>
      <c r="AJ93" s="70">
        <f>'RESUMEN TOTAL'!AQ114</f>
        <v>0</v>
      </c>
    </row>
    <row r="94" spans="1:36" x14ac:dyDescent="0.25">
      <c r="A94" t="str">
        <f>'RESUMEN TOTAL'!A115</f>
        <v>CENTRO</v>
      </c>
      <c r="B94" t="str">
        <f>'RESUMEN TOTAL'!B115</f>
        <v>CEN 70</v>
      </c>
      <c r="C94" t="str">
        <f>'RESUMEN TOTAL'!D115</f>
        <v>RIVADAVIA Y 25 MAYO</v>
      </c>
      <c r="D94" s="30" t="str">
        <f>'RESUMEN TOTAL'!E115</f>
        <v>Domo</v>
      </c>
      <c r="E94" s="30" t="str">
        <f>'RESUMEN TOTAL'!F115</f>
        <v>Fibra Optica</v>
      </c>
      <c r="F94" s="70">
        <f>'RESUMEN TOTAL'!M115</f>
        <v>0</v>
      </c>
      <c r="G94" s="70">
        <f>'RESUMEN TOTAL'!N115</f>
        <v>0</v>
      </c>
      <c r="H94" s="70">
        <f>'RESUMEN TOTAL'!O115</f>
        <v>0</v>
      </c>
      <c r="I94" s="70">
        <f>'RESUMEN TOTAL'!P115</f>
        <v>0</v>
      </c>
      <c r="J94" s="70">
        <f>'RESUMEN TOTAL'!Q115</f>
        <v>0</v>
      </c>
      <c r="K94" s="70">
        <f>'RESUMEN TOTAL'!R115</f>
        <v>0</v>
      </c>
      <c r="L94" s="70">
        <f>'RESUMEN TOTAL'!S115</f>
        <v>0</v>
      </c>
      <c r="M94" s="70">
        <f>'RESUMEN TOTAL'!T115</f>
        <v>0</v>
      </c>
      <c r="N94" s="70">
        <f>'RESUMEN TOTAL'!U115</f>
        <v>0</v>
      </c>
      <c r="O94" s="70">
        <f>'RESUMEN TOTAL'!V115</f>
        <v>0</v>
      </c>
      <c r="P94" s="70">
        <f>'RESUMEN TOTAL'!W115</f>
        <v>0</v>
      </c>
      <c r="Q94" s="70">
        <f>'RESUMEN TOTAL'!X115</f>
        <v>0</v>
      </c>
      <c r="R94" s="70">
        <f>'RESUMEN TOTAL'!Y115</f>
        <v>0</v>
      </c>
      <c r="S94" s="70">
        <f>'RESUMEN TOTAL'!Z115</f>
        <v>0</v>
      </c>
      <c r="T94" s="70">
        <f>'RESUMEN TOTAL'!AA115</f>
        <v>0</v>
      </c>
      <c r="U94" s="70">
        <f>'RESUMEN TOTAL'!AB115</f>
        <v>0</v>
      </c>
      <c r="V94" s="70">
        <f>'RESUMEN TOTAL'!AC115</f>
        <v>0</v>
      </c>
      <c r="W94" s="70">
        <f>'RESUMEN TOTAL'!AD115</f>
        <v>0</v>
      </c>
      <c r="X94" s="70">
        <f>'RESUMEN TOTAL'!AE115</f>
        <v>0</v>
      </c>
      <c r="Y94" s="70">
        <f>'RESUMEN TOTAL'!AF115</f>
        <v>0</v>
      </c>
      <c r="Z94" s="70">
        <f>'RESUMEN TOTAL'!AG115</f>
        <v>0</v>
      </c>
      <c r="AA94" s="70">
        <f>'RESUMEN TOTAL'!AH115</f>
        <v>0</v>
      </c>
      <c r="AB94" s="70">
        <f>'RESUMEN TOTAL'!AI115</f>
        <v>0</v>
      </c>
      <c r="AC94" s="70">
        <f>'RESUMEN TOTAL'!AJ115</f>
        <v>0</v>
      </c>
      <c r="AD94" s="70">
        <f>'RESUMEN TOTAL'!AK115</f>
        <v>0</v>
      </c>
      <c r="AE94" s="70">
        <f>'RESUMEN TOTAL'!AL115</f>
        <v>0</v>
      </c>
      <c r="AF94" s="70">
        <f>'RESUMEN TOTAL'!AM115</f>
        <v>0</v>
      </c>
      <c r="AG94" s="70">
        <f>'RESUMEN TOTAL'!AN115</f>
        <v>0</v>
      </c>
      <c r="AH94" s="70">
        <f>'RESUMEN TOTAL'!AO115</f>
        <v>0</v>
      </c>
      <c r="AI94" s="70">
        <f>'RESUMEN TOTAL'!AP115</f>
        <v>0</v>
      </c>
      <c r="AJ94" s="70">
        <f>'RESUMEN TOTAL'!AQ115</f>
        <v>0</v>
      </c>
    </row>
    <row r="95" spans="1:36" x14ac:dyDescent="0.25">
      <c r="A95" t="str">
        <f>'RESUMEN TOTAL'!A116</f>
        <v>CENTRO</v>
      </c>
      <c r="B95" t="str">
        <f>'RESUMEN TOTAL'!B116</f>
        <v>CEN 71</v>
      </c>
      <c r="C95" t="str">
        <f>'RESUMEN TOTAL'!D116</f>
        <v>MORENO Y BOUREL</v>
      </c>
      <c r="D95" s="30" t="str">
        <f>'RESUMEN TOTAL'!E116</f>
        <v>Domo</v>
      </c>
      <c r="E95" s="30" t="str">
        <f>'RESUMEN TOTAL'!F116</f>
        <v>GPON</v>
      </c>
      <c r="F95" s="70">
        <f>'RESUMEN TOTAL'!M116</f>
        <v>0</v>
      </c>
      <c r="G95" s="70">
        <f>'RESUMEN TOTAL'!N116</f>
        <v>0</v>
      </c>
      <c r="H95" s="70">
        <f>'RESUMEN TOTAL'!O116</f>
        <v>0</v>
      </c>
      <c r="I95" s="70">
        <f>'RESUMEN TOTAL'!P116</f>
        <v>0</v>
      </c>
      <c r="J95" s="70">
        <f>'RESUMEN TOTAL'!Q116</f>
        <v>0</v>
      </c>
      <c r="K95" s="70">
        <f>'RESUMEN TOTAL'!R116</f>
        <v>0</v>
      </c>
      <c r="L95" s="70">
        <f>'RESUMEN TOTAL'!S116</f>
        <v>0</v>
      </c>
      <c r="M95" s="70">
        <f>'RESUMEN TOTAL'!T116</f>
        <v>0</v>
      </c>
      <c r="N95" s="70">
        <f>'RESUMEN TOTAL'!U116</f>
        <v>0</v>
      </c>
      <c r="O95" s="70">
        <f>'RESUMEN TOTAL'!V116</f>
        <v>0</v>
      </c>
      <c r="P95" s="70">
        <f>'RESUMEN TOTAL'!W116</f>
        <v>0</v>
      </c>
      <c r="Q95" s="70">
        <f>'RESUMEN TOTAL'!X116</f>
        <v>0</v>
      </c>
      <c r="R95" s="70">
        <f>'RESUMEN TOTAL'!Y116</f>
        <v>0</v>
      </c>
      <c r="S95" s="70">
        <f>'RESUMEN TOTAL'!Z116</f>
        <v>0</v>
      </c>
      <c r="T95" s="70">
        <f>'RESUMEN TOTAL'!AA116</f>
        <v>0</v>
      </c>
      <c r="U95" s="70">
        <f>'RESUMEN TOTAL'!AB116</f>
        <v>0</v>
      </c>
      <c r="V95" s="70">
        <f>'RESUMEN TOTAL'!AC116</f>
        <v>0</v>
      </c>
      <c r="W95" s="70">
        <f>'RESUMEN TOTAL'!AD116</f>
        <v>0</v>
      </c>
      <c r="X95" s="70">
        <f>'RESUMEN TOTAL'!AE116</f>
        <v>0</v>
      </c>
      <c r="Y95" s="70">
        <f>'RESUMEN TOTAL'!AF116</f>
        <v>0</v>
      </c>
      <c r="Z95" s="70">
        <f>'RESUMEN TOTAL'!AG116</f>
        <v>0</v>
      </c>
      <c r="AA95" s="70">
        <f>'RESUMEN TOTAL'!AH116</f>
        <v>0</v>
      </c>
      <c r="AB95" s="70">
        <f>'RESUMEN TOTAL'!AI116</f>
        <v>0</v>
      </c>
      <c r="AC95" s="70">
        <f>'RESUMEN TOTAL'!AJ116</f>
        <v>0</v>
      </c>
      <c r="AD95" s="70">
        <f>'RESUMEN TOTAL'!AK116</f>
        <v>0</v>
      </c>
      <c r="AE95" s="70">
        <f>'RESUMEN TOTAL'!AL116</f>
        <v>0</v>
      </c>
      <c r="AF95" s="70">
        <f>'RESUMEN TOTAL'!AM116</f>
        <v>0</v>
      </c>
      <c r="AG95" s="70">
        <f>'RESUMEN TOTAL'!AN116</f>
        <v>0</v>
      </c>
      <c r="AH95" s="70">
        <f>'RESUMEN TOTAL'!AO116</f>
        <v>0</v>
      </c>
      <c r="AI95" s="70">
        <f>'RESUMEN TOTAL'!AP116</f>
        <v>0</v>
      </c>
      <c r="AJ95" s="70">
        <f>'RESUMEN TOTAL'!AQ116</f>
        <v>0</v>
      </c>
    </row>
    <row r="96" spans="1:36" x14ac:dyDescent="0.25">
      <c r="A96" t="str">
        <f>'RESUMEN TOTAL'!A117</f>
        <v>CENTRO</v>
      </c>
      <c r="B96" t="str">
        <f>'RESUMEN TOTAL'!B117</f>
        <v>CEN 72</v>
      </c>
      <c r="C96" t="str">
        <f>'RESUMEN TOTAL'!D117</f>
        <v>MORENO Y 25 DE MAYO</v>
      </c>
      <c r="D96" s="30" t="str">
        <f>'RESUMEN TOTAL'!E117</f>
        <v>Domo</v>
      </c>
      <c r="E96" s="30" t="str">
        <f>'RESUMEN TOTAL'!F117</f>
        <v>Fibra Optica</v>
      </c>
      <c r="F96" s="70">
        <f>'RESUMEN TOTAL'!M117</f>
        <v>0</v>
      </c>
      <c r="G96" s="70">
        <f>'RESUMEN TOTAL'!N117</f>
        <v>0</v>
      </c>
      <c r="H96" s="70">
        <f>'RESUMEN TOTAL'!O117</f>
        <v>0</v>
      </c>
      <c r="I96" s="70">
        <f>'RESUMEN TOTAL'!P117</f>
        <v>0</v>
      </c>
      <c r="J96" s="70">
        <f>'RESUMEN TOTAL'!Q117</f>
        <v>0</v>
      </c>
      <c r="K96" s="70">
        <f>'RESUMEN TOTAL'!R117</f>
        <v>0</v>
      </c>
      <c r="L96" s="70">
        <f>'RESUMEN TOTAL'!S117</f>
        <v>0</v>
      </c>
      <c r="M96" s="70">
        <f>'RESUMEN TOTAL'!T117</f>
        <v>0</v>
      </c>
      <c r="N96" s="70">
        <f>'RESUMEN TOTAL'!U117</f>
        <v>0</v>
      </c>
      <c r="O96" s="70">
        <f>'RESUMEN TOTAL'!V117</f>
        <v>0</v>
      </c>
      <c r="P96" s="70">
        <f>'RESUMEN TOTAL'!W117</f>
        <v>0</v>
      </c>
      <c r="Q96" s="70">
        <f>'RESUMEN TOTAL'!X117</f>
        <v>0</v>
      </c>
      <c r="R96" s="70">
        <f>'RESUMEN TOTAL'!Y117</f>
        <v>0</v>
      </c>
      <c r="S96" s="70">
        <f>'RESUMEN TOTAL'!Z117</f>
        <v>0</v>
      </c>
      <c r="T96" s="70">
        <f>'RESUMEN TOTAL'!AA117</f>
        <v>0</v>
      </c>
      <c r="U96" s="70">
        <f>'RESUMEN TOTAL'!AB117</f>
        <v>0</v>
      </c>
      <c r="V96" s="70">
        <f>'RESUMEN TOTAL'!AC117</f>
        <v>0</v>
      </c>
      <c r="W96" s="70">
        <f>'RESUMEN TOTAL'!AD117</f>
        <v>0</v>
      </c>
      <c r="X96" s="70">
        <f>'RESUMEN TOTAL'!AE117</f>
        <v>0</v>
      </c>
      <c r="Y96" s="70">
        <f>'RESUMEN TOTAL'!AF117</f>
        <v>0</v>
      </c>
      <c r="Z96" s="70">
        <f>'RESUMEN TOTAL'!AG117</f>
        <v>0</v>
      </c>
      <c r="AA96" s="70">
        <f>'RESUMEN TOTAL'!AH117</f>
        <v>0</v>
      </c>
      <c r="AB96" s="70">
        <f>'RESUMEN TOTAL'!AI117</f>
        <v>0</v>
      </c>
      <c r="AC96" s="70">
        <f>'RESUMEN TOTAL'!AJ117</f>
        <v>0</v>
      </c>
      <c r="AD96" s="70">
        <f>'RESUMEN TOTAL'!AK117</f>
        <v>0</v>
      </c>
      <c r="AE96" s="70">
        <f>'RESUMEN TOTAL'!AL117</f>
        <v>0</v>
      </c>
      <c r="AF96" s="70">
        <f>'RESUMEN TOTAL'!AM117</f>
        <v>0</v>
      </c>
      <c r="AG96" s="70">
        <f>'RESUMEN TOTAL'!AN117</f>
        <v>0</v>
      </c>
      <c r="AH96" s="70">
        <f>'RESUMEN TOTAL'!AO117</f>
        <v>0</v>
      </c>
      <c r="AI96" s="70">
        <f>'RESUMEN TOTAL'!AP117</f>
        <v>0</v>
      </c>
      <c r="AJ96" s="70">
        <f>'RESUMEN TOTAL'!AQ117</f>
        <v>0</v>
      </c>
    </row>
    <row r="97" spans="1:36" x14ac:dyDescent="0.25">
      <c r="A97" t="str">
        <f>'RESUMEN TOTAL'!A118</f>
        <v>CENTRO</v>
      </c>
      <c r="B97" t="str">
        <f>'RESUMEN TOTAL'!B118</f>
        <v>CEN73</v>
      </c>
      <c r="C97" t="str">
        <f>'RESUMEN TOTAL'!D118</f>
        <v>BOUREL Y DEFENSA</v>
      </c>
      <c r="D97" s="30" t="str">
        <f>'RESUMEN TOTAL'!E118</f>
        <v>DOMO</v>
      </c>
      <c r="E97" s="30" t="str">
        <f>'RESUMEN TOTAL'!F118</f>
        <v>Fibra Optica</v>
      </c>
      <c r="F97" s="70">
        <f>'RESUMEN TOTAL'!M118</f>
        <v>0</v>
      </c>
      <c r="G97" s="70">
        <f>'RESUMEN TOTAL'!N118</f>
        <v>0</v>
      </c>
      <c r="H97" s="70">
        <f>'RESUMEN TOTAL'!O118</f>
        <v>0</v>
      </c>
      <c r="I97" s="70">
        <f>'RESUMEN TOTAL'!P118</f>
        <v>0</v>
      </c>
      <c r="J97" s="70">
        <f>'RESUMEN TOTAL'!Q118</f>
        <v>0</v>
      </c>
      <c r="K97" s="70">
        <f>'RESUMEN TOTAL'!R118</f>
        <v>0</v>
      </c>
      <c r="L97" s="70">
        <f>'RESUMEN TOTAL'!S118</f>
        <v>0</v>
      </c>
      <c r="M97" s="70">
        <f>'RESUMEN TOTAL'!T118</f>
        <v>0</v>
      </c>
      <c r="N97" s="70">
        <f>'RESUMEN TOTAL'!U118</f>
        <v>0</v>
      </c>
      <c r="O97" s="70">
        <f>'RESUMEN TOTAL'!V118</f>
        <v>0</v>
      </c>
      <c r="P97" s="70">
        <f>'RESUMEN TOTAL'!W118</f>
        <v>0</v>
      </c>
      <c r="Q97" s="70">
        <f>'RESUMEN TOTAL'!X118</f>
        <v>0</v>
      </c>
      <c r="R97" s="70">
        <f>'RESUMEN TOTAL'!Y118</f>
        <v>0</v>
      </c>
      <c r="S97" s="70">
        <f>'RESUMEN TOTAL'!Z118</f>
        <v>0</v>
      </c>
      <c r="T97" s="70">
        <f>'RESUMEN TOTAL'!AA118</f>
        <v>0</v>
      </c>
      <c r="U97" s="70">
        <f>'RESUMEN TOTAL'!AB118</f>
        <v>0</v>
      </c>
      <c r="V97" s="70">
        <f>'RESUMEN TOTAL'!AC118</f>
        <v>0</v>
      </c>
      <c r="W97" s="70">
        <f>'RESUMEN TOTAL'!AD118</f>
        <v>0</v>
      </c>
      <c r="X97" s="70">
        <f>'RESUMEN TOTAL'!AE118</f>
        <v>0</v>
      </c>
      <c r="Y97" s="70">
        <f>'RESUMEN TOTAL'!AF118</f>
        <v>0</v>
      </c>
      <c r="Z97" s="70">
        <f>'RESUMEN TOTAL'!AG118</f>
        <v>0</v>
      </c>
      <c r="AA97" s="70">
        <f>'RESUMEN TOTAL'!AH118</f>
        <v>0</v>
      </c>
      <c r="AB97" s="70">
        <f>'RESUMEN TOTAL'!AI118</f>
        <v>0</v>
      </c>
      <c r="AC97" s="70">
        <f>'RESUMEN TOTAL'!AJ118</f>
        <v>0</v>
      </c>
      <c r="AD97" s="70">
        <f>'RESUMEN TOTAL'!AK118</f>
        <v>0</v>
      </c>
      <c r="AE97" s="70">
        <f>'RESUMEN TOTAL'!AL118</f>
        <v>0</v>
      </c>
      <c r="AF97" s="70">
        <f>'RESUMEN TOTAL'!AM118</f>
        <v>0</v>
      </c>
      <c r="AG97" s="70">
        <f>'RESUMEN TOTAL'!AN118</f>
        <v>0</v>
      </c>
      <c r="AH97" s="70">
        <f>'RESUMEN TOTAL'!AO118</f>
        <v>0</v>
      </c>
      <c r="AI97" s="70">
        <f>'RESUMEN TOTAL'!AP118</f>
        <v>0</v>
      </c>
      <c r="AJ97" s="70">
        <f>'RESUMEN TOTAL'!AQ118</f>
        <v>0</v>
      </c>
    </row>
    <row r="98" spans="1:36" x14ac:dyDescent="0.25">
      <c r="A98" t="str">
        <f>'RESUMEN TOTAL'!A119</f>
        <v>CENTRO</v>
      </c>
      <c r="B98" t="str">
        <f>'RESUMEN TOTAL'!B119</f>
        <v>CEN74</v>
      </c>
      <c r="C98" t="str">
        <f>'RESUMEN TOTAL'!D119</f>
        <v>Las Heras y Maipu</v>
      </c>
      <c r="D98" s="30" t="str">
        <f>'RESUMEN TOTAL'!E119</f>
        <v>Domo</v>
      </c>
      <c r="E98" s="30" t="str">
        <f>'RESUMEN TOTAL'!F119</f>
        <v>Fibra Optica</v>
      </c>
      <c r="F98" s="70">
        <f>'RESUMEN TOTAL'!M119</f>
        <v>0</v>
      </c>
      <c r="G98" s="70">
        <f>'RESUMEN TOTAL'!N119</f>
        <v>0</v>
      </c>
      <c r="H98" s="70">
        <f>'RESUMEN TOTAL'!O119</f>
        <v>0</v>
      </c>
      <c r="I98" s="70">
        <f>'RESUMEN TOTAL'!P119</f>
        <v>0</v>
      </c>
      <c r="J98" s="70">
        <f>'RESUMEN TOTAL'!Q119</f>
        <v>0</v>
      </c>
      <c r="K98" s="70">
        <f>'RESUMEN TOTAL'!R119</f>
        <v>0</v>
      </c>
      <c r="L98" s="70">
        <f>'RESUMEN TOTAL'!S119</f>
        <v>0</v>
      </c>
      <c r="M98" s="70">
        <f>'RESUMEN TOTAL'!T119</f>
        <v>0</v>
      </c>
      <c r="N98" s="70">
        <f>'RESUMEN TOTAL'!U119</f>
        <v>0</v>
      </c>
      <c r="O98" s="70">
        <f>'RESUMEN TOTAL'!V119</f>
        <v>0</v>
      </c>
      <c r="P98" s="70">
        <f>'RESUMEN TOTAL'!W119</f>
        <v>0</v>
      </c>
      <c r="Q98" s="70">
        <f>'RESUMEN TOTAL'!X119</f>
        <v>0</v>
      </c>
      <c r="R98" s="70">
        <f>'RESUMEN TOTAL'!Y119</f>
        <v>0</v>
      </c>
      <c r="S98" s="70">
        <f>'RESUMEN TOTAL'!Z119</f>
        <v>0</v>
      </c>
      <c r="T98" s="70">
        <f>'RESUMEN TOTAL'!AA119</f>
        <v>0</v>
      </c>
      <c r="U98" s="70">
        <f>'RESUMEN TOTAL'!AB119</f>
        <v>0</v>
      </c>
      <c r="V98" s="70">
        <f>'RESUMEN TOTAL'!AC119</f>
        <v>0</v>
      </c>
      <c r="W98" s="70">
        <f>'RESUMEN TOTAL'!AD119</f>
        <v>0</v>
      </c>
      <c r="X98" s="70">
        <f>'RESUMEN TOTAL'!AE119</f>
        <v>0</v>
      </c>
      <c r="Y98" s="70">
        <f>'RESUMEN TOTAL'!AF119</f>
        <v>0</v>
      </c>
      <c r="Z98" s="70">
        <f>'RESUMEN TOTAL'!AG119</f>
        <v>0</v>
      </c>
      <c r="AA98" s="70">
        <f>'RESUMEN TOTAL'!AH119</f>
        <v>0</v>
      </c>
      <c r="AB98" s="70">
        <f>'RESUMEN TOTAL'!AI119</f>
        <v>0</v>
      </c>
      <c r="AC98" s="70">
        <f>'RESUMEN TOTAL'!AJ119</f>
        <v>0</v>
      </c>
      <c r="AD98" s="70">
        <f>'RESUMEN TOTAL'!AK119</f>
        <v>0</v>
      </c>
      <c r="AE98" s="70">
        <f>'RESUMEN TOTAL'!AL119</f>
        <v>0</v>
      </c>
      <c r="AF98" s="70">
        <f>'RESUMEN TOTAL'!AM119</f>
        <v>0</v>
      </c>
      <c r="AG98" s="70">
        <f>'RESUMEN TOTAL'!AN119</f>
        <v>0</v>
      </c>
      <c r="AH98" s="70">
        <f>'RESUMEN TOTAL'!AO119</f>
        <v>0</v>
      </c>
      <c r="AI98" s="70">
        <f>'RESUMEN TOTAL'!AP119</f>
        <v>0</v>
      </c>
      <c r="AJ98" s="70">
        <f>'RESUMEN TOTAL'!AQ119</f>
        <v>0</v>
      </c>
    </row>
    <row r="99" spans="1:36" x14ac:dyDescent="0.25">
      <c r="A99" t="str">
        <f>'RESUMEN TOTAL'!A120</f>
        <v>CENTRO</v>
      </c>
      <c r="B99" t="str">
        <f>'RESUMEN TOTAL'!B120</f>
        <v>CEN 75</v>
      </c>
      <c r="C99" t="str">
        <f>'RESUMEN TOTAL'!D120</f>
        <v>25 DE MAYO Y CASTELLI</v>
      </c>
      <c r="D99" s="30" t="str">
        <f>'RESUMEN TOTAL'!E120</f>
        <v>Domo</v>
      </c>
      <c r="E99" s="30" t="str">
        <f>'RESUMEN TOTAL'!F120</f>
        <v>GPON</v>
      </c>
      <c r="F99" s="70" t="str">
        <f>'RESUMEN TOTAL'!M120</f>
        <v>APAGADO</v>
      </c>
      <c r="G99" s="70">
        <f>'RESUMEN TOTAL'!N120</f>
        <v>0</v>
      </c>
      <c r="H99" s="70">
        <f>'RESUMEN TOTAL'!O120</f>
        <v>0</v>
      </c>
      <c r="I99" s="70">
        <f>'RESUMEN TOTAL'!P120</f>
        <v>0</v>
      </c>
      <c r="J99" s="70">
        <f>'RESUMEN TOTAL'!Q120</f>
        <v>0</v>
      </c>
      <c r="K99" s="70">
        <f>'RESUMEN TOTAL'!R120</f>
        <v>0</v>
      </c>
      <c r="L99" s="70">
        <f>'RESUMEN TOTAL'!S120</f>
        <v>0</v>
      </c>
      <c r="M99" s="70">
        <f>'RESUMEN TOTAL'!T120</f>
        <v>0</v>
      </c>
      <c r="N99" s="70">
        <f>'RESUMEN TOTAL'!U120</f>
        <v>0</v>
      </c>
      <c r="O99" s="70">
        <f>'RESUMEN TOTAL'!V120</f>
        <v>0</v>
      </c>
      <c r="P99" s="70">
        <f>'RESUMEN TOTAL'!W120</f>
        <v>0</v>
      </c>
      <c r="Q99" s="70">
        <f>'RESUMEN TOTAL'!X120</f>
        <v>0</v>
      </c>
      <c r="R99" s="70">
        <f>'RESUMEN TOTAL'!Y120</f>
        <v>0</v>
      </c>
      <c r="S99" s="70">
        <f>'RESUMEN TOTAL'!Z120</f>
        <v>0</v>
      </c>
      <c r="T99" s="70">
        <f>'RESUMEN TOTAL'!AA120</f>
        <v>0</v>
      </c>
      <c r="U99" s="70">
        <f>'RESUMEN TOTAL'!AB120</f>
        <v>0</v>
      </c>
      <c r="V99" s="70">
        <f>'RESUMEN TOTAL'!AC120</f>
        <v>0</v>
      </c>
      <c r="W99" s="70">
        <f>'RESUMEN TOTAL'!AD120</f>
        <v>0</v>
      </c>
      <c r="X99" s="70">
        <f>'RESUMEN TOTAL'!AE120</f>
        <v>0</v>
      </c>
      <c r="Y99" s="70">
        <f>'RESUMEN TOTAL'!AF120</f>
        <v>0</v>
      </c>
      <c r="Z99" s="70">
        <f>'RESUMEN TOTAL'!AG120</f>
        <v>0</v>
      </c>
      <c r="AA99" s="70">
        <f>'RESUMEN TOTAL'!AH120</f>
        <v>0</v>
      </c>
      <c r="AB99" s="70">
        <f>'RESUMEN TOTAL'!AI120</f>
        <v>0</v>
      </c>
      <c r="AC99" s="70">
        <f>'RESUMEN TOTAL'!AJ120</f>
        <v>0</v>
      </c>
      <c r="AD99" s="70">
        <f>'RESUMEN TOTAL'!AK120</f>
        <v>0</v>
      </c>
      <c r="AE99" s="70">
        <f>'RESUMEN TOTAL'!AL120</f>
        <v>0</v>
      </c>
      <c r="AF99" s="70">
        <f>'RESUMEN TOTAL'!AM120</f>
        <v>0</v>
      </c>
      <c r="AG99" s="70">
        <f>'RESUMEN TOTAL'!AN120</f>
        <v>0</v>
      </c>
      <c r="AH99" s="70">
        <f>'RESUMEN TOTAL'!AO120</f>
        <v>0</v>
      </c>
      <c r="AI99" s="70">
        <f>'RESUMEN TOTAL'!AP120</f>
        <v>0</v>
      </c>
      <c r="AJ99" s="70">
        <f>'RESUMEN TOTAL'!AQ120</f>
        <v>0</v>
      </c>
    </row>
    <row r="100" spans="1:36" x14ac:dyDescent="0.25">
      <c r="A100" t="str">
        <f>'RESUMEN TOTAL'!A121</f>
        <v>CENTRO</v>
      </c>
      <c r="B100" t="str">
        <f>'RESUMEN TOTAL'!B121</f>
        <v>CEN 76</v>
      </c>
      <c r="C100" t="str">
        <f>'RESUMEN TOTAL'!D121</f>
        <v>ESPAÑA E/MITRE Y BOCUZZI</v>
      </c>
      <c r="D100" s="30" t="str">
        <f>'RESUMEN TOTAL'!E121</f>
        <v>Fija</v>
      </c>
      <c r="E100" s="30" t="str">
        <f>'RESUMEN TOTAL'!F121</f>
        <v>Fibra Optica</v>
      </c>
      <c r="F100" s="70">
        <f>'RESUMEN TOTAL'!M121</f>
        <v>0</v>
      </c>
      <c r="G100" s="70">
        <f>'RESUMEN TOTAL'!N121</f>
        <v>0</v>
      </c>
      <c r="H100" s="70">
        <f>'RESUMEN TOTAL'!O121</f>
        <v>0</v>
      </c>
      <c r="I100" s="70">
        <f>'RESUMEN TOTAL'!P121</f>
        <v>0</v>
      </c>
      <c r="J100" s="70">
        <f>'RESUMEN TOTAL'!Q121</f>
        <v>0</v>
      </c>
      <c r="K100" s="70">
        <f>'RESUMEN TOTAL'!R121</f>
        <v>0</v>
      </c>
      <c r="L100" s="70">
        <f>'RESUMEN TOTAL'!S121</f>
        <v>0</v>
      </c>
      <c r="M100" s="70">
        <f>'RESUMEN TOTAL'!T121</f>
        <v>0</v>
      </c>
      <c r="N100" s="70">
        <f>'RESUMEN TOTAL'!U121</f>
        <v>0</v>
      </c>
      <c r="O100" s="70">
        <f>'RESUMEN TOTAL'!V121</f>
        <v>0</v>
      </c>
      <c r="P100" s="70">
        <f>'RESUMEN TOTAL'!W121</f>
        <v>0</v>
      </c>
      <c r="Q100" s="70">
        <f>'RESUMEN TOTAL'!X121</f>
        <v>0</v>
      </c>
      <c r="R100" s="70">
        <f>'RESUMEN TOTAL'!Y121</f>
        <v>0</v>
      </c>
      <c r="S100" s="70">
        <f>'RESUMEN TOTAL'!Z121</f>
        <v>0</v>
      </c>
      <c r="T100" s="70">
        <f>'RESUMEN TOTAL'!AA121</f>
        <v>0</v>
      </c>
      <c r="U100" s="70">
        <f>'RESUMEN TOTAL'!AB121</f>
        <v>0</v>
      </c>
      <c r="V100" s="70">
        <f>'RESUMEN TOTAL'!AC121</f>
        <v>0</v>
      </c>
      <c r="W100" s="70">
        <f>'RESUMEN TOTAL'!AD121</f>
        <v>0</v>
      </c>
      <c r="X100" s="70">
        <f>'RESUMEN TOTAL'!AE121</f>
        <v>0</v>
      </c>
      <c r="Y100" s="70">
        <f>'RESUMEN TOTAL'!AF121</f>
        <v>0</v>
      </c>
      <c r="Z100" s="70">
        <f>'RESUMEN TOTAL'!AG121</f>
        <v>0</v>
      </c>
      <c r="AA100" s="70">
        <f>'RESUMEN TOTAL'!AH121</f>
        <v>0</v>
      </c>
      <c r="AB100" s="70">
        <f>'RESUMEN TOTAL'!AI121</f>
        <v>0</v>
      </c>
      <c r="AC100" s="70">
        <f>'RESUMEN TOTAL'!AJ121</f>
        <v>0</v>
      </c>
      <c r="AD100" s="70">
        <f>'RESUMEN TOTAL'!AK121</f>
        <v>0</v>
      </c>
      <c r="AE100" s="70">
        <f>'RESUMEN TOTAL'!AL121</f>
        <v>0</v>
      </c>
      <c r="AF100" s="70">
        <f>'RESUMEN TOTAL'!AM121</f>
        <v>0</v>
      </c>
      <c r="AG100" s="70">
        <f>'RESUMEN TOTAL'!AN121</f>
        <v>0</v>
      </c>
      <c r="AH100" s="70">
        <f>'RESUMEN TOTAL'!AO121</f>
        <v>0</v>
      </c>
      <c r="AI100" s="70">
        <f>'RESUMEN TOTAL'!AP121</f>
        <v>0</v>
      </c>
      <c r="AJ100" s="70">
        <f>'RESUMEN TOTAL'!AQ121</f>
        <v>0</v>
      </c>
    </row>
    <row r="101" spans="1:36" x14ac:dyDescent="0.25">
      <c r="A101" t="str">
        <f>'RESUMEN TOTAL'!A122</f>
        <v>CENTRO</v>
      </c>
      <c r="B101" t="str">
        <f>'RESUMEN TOTAL'!B122</f>
        <v>CEN 77</v>
      </c>
      <c r="C101" t="str">
        <f>'RESUMEN TOTAL'!D122</f>
        <v>Monteagudo e/ Mitre y Boccuzzi</v>
      </c>
      <c r="D101" s="30" t="str">
        <f>'RESUMEN TOTAL'!E122</f>
        <v>Fija</v>
      </c>
      <c r="E101" s="30" t="str">
        <f>'RESUMEN TOTAL'!F122</f>
        <v>Fibra Optica</v>
      </c>
      <c r="F101" s="70">
        <f>'RESUMEN TOTAL'!M122</f>
        <v>0</v>
      </c>
      <c r="G101" s="70">
        <f>'RESUMEN TOTAL'!N122</f>
        <v>0</v>
      </c>
      <c r="H101" s="70">
        <f>'RESUMEN TOTAL'!O122</f>
        <v>0</v>
      </c>
      <c r="I101" s="70">
        <f>'RESUMEN TOTAL'!P122</f>
        <v>0</v>
      </c>
      <c r="J101" s="70">
        <f>'RESUMEN TOTAL'!Q122</f>
        <v>0</v>
      </c>
      <c r="K101" s="70">
        <f>'RESUMEN TOTAL'!R122</f>
        <v>0</v>
      </c>
      <c r="L101" s="70">
        <f>'RESUMEN TOTAL'!S122</f>
        <v>0</v>
      </c>
      <c r="M101" s="70">
        <f>'RESUMEN TOTAL'!T122</f>
        <v>0</v>
      </c>
      <c r="N101" s="70">
        <f>'RESUMEN TOTAL'!U122</f>
        <v>0</v>
      </c>
      <c r="O101" s="70">
        <f>'RESUMEN TOTAL'!V122</f>
        <v>0</v>
      </c>
      <c r="P101" s="70">
        <f>'RESUMEN TOTAL'!W122</f>
        <v>0</v>
      </c>
      <c r="Q101" s="70">
        <f>'RESUMEN TOTAL'!X122</f>
        <v>0</v>
      </c>
      <c r="R101" s="70">
        <f>'RESUMEN TOTAL'!Y122</f>
        <v>0</v>
      </c>
      <c r="S101" s="70">
        <f>'RESUMEN TOTAL'!Z122</f>
        <v>0</v>
      </c>
      <c r="T101" s="70">
        <f>'RESUMEN TOTAL'!AA122</f>
        <v>0</v>
      </c>
      <c r="U101" s="70">
        <f>'RESUMEN TOTAL'!AB122</f>
        <v>0</v>
      </c>
      <c r="V101" s="70">
        <f>'RESUMEN TOTAL'!AC122</f>
        <v>0</v>
      </c>
      <c r="W101" s="70">
        <f>'RESUMEN TOTAL'!AD122</f>
        <v>0</v>
      </c>
      <c r="X101" s="70">
        <f>'RESUMEN TOTAL'!AE122</f>
        <v>0</v>
      </c>
      <c r="Y101" s="70">
        <f>'RESUMEN TOTAL'!AF122</f>
        <v>0</v>
      </c>
      <c r="Z101" s="70">
        <f>'RESUMEN TOTAL'!AG122</f>
        <v>0</v>
      </c>
      <c r="AA101" s="70">
        <f>'RESUMEN TOTAL'!AH122</f>
        <v>0</v>
      </c>
      <c r="AB101" s="70">
        <f>'RESUMEN TOTAL'!AI122</f>
        <v>0</v>
      </c>
      <c r="AC101" s="70">
        <f>'RESUMEN TOTAL'!AJ122</f>
        <v>0</v>
      </c>
      <c r="AD101" s="70">
        <f>'RESUMEN TOTAL'!AK122</f>
        <v>0</v>
      </c>
      <c r="AE101" s="70">
        <f>'RESUMEN TOTAL'!AL122</f>
        <v>0</v>
      </c>
      <c r="AF101" s="70">
        <f>'RESUMEN TOTAL'!AM122</f>
        <v>0</v>
      </c>
      <c r="AG101" s="70">
        <f>'RESUMEN TOTAL'!AN122</f>
        <v>0</v>
      </c>
      <c r="AH101" s="70">
        <f>'RESUMEN TOTAL'!AO122</f>
        <v>0</v>
      </c>
      <c r="AI101" s="70">
        <f>'RESUMEN TOTAL'!AP122</f>
        <v>0</v>
      </c>
      <c r="AJ101" s="70">
        <f>'RESUMEN TOTAL'!AQ122</f>
        <v>0</v>
      </c>
    </row>
    <row r="102" spans="1:36" x14ac:dyDescent="0.25">
      <c r="A102" t="str">
        <f>'RESUMEN TOTAL'!A123</f>
        <v>CENTRO</v>
      </c>
      <c r="B102" t="str">
        <f>'RESUMEN TOTAL'!B123</f>
        <v>CEN 78</v>
      </c>
      <c r="C102" t="str">
        <f>'RESUMEN TOTAL'!D123</f>
        <v>Mitre e/Monteagudo y Alberdi</v>
      </c>
      <c r="D102" s="30" t="str">
        <f>'RESUMEN TOTAL'!E123</f>
        <v>Fija</v>
      </c>
      <c r="E102" s="30" t="str">
        <f>'RESUMEN TOTAL'!F123</f>
        <v>Fibra Optica</v>
      </c>
      <c r="F102" s="70">
        <f>'RESUMEN TOTAL'!M123</f>
        <v>0</v>
      </c>
      <c r="G102" s="70">
        <f>'RESUMEN TOTAL'!N123</f>
        <v>0</v>
      </c>
      <c r="H102" s="70">
        <f>'RESUMEN TOTAL'!O123</f>
        <v>0</v>
      </c>
      <c r="I102" s="70">
        <f>'RESUMEN TOTAL'!P123</f>
        <v>0</v>
      </c>
      <c r="J102" s="70">
        <f>'RESUMEN TOTAL'!Q123</f>
        <v>0</v>
      </c>
      <c r="K102" s="70">
        <f>'RESUMEN TOTAL'!R123</f>
        <v>0</v>
      </c>
      <c r="L102" s="70">
        <f>'RESUMEN TOTAL'!S123</f>
        <v>0</v>
      </c>
      <c r="M102" s="70">
        <f>'RESUMEN TOTAL'!T123</f>
        <v>0</v>
      </c>
      <c r="N102" s="70">
        <f>'RESUMEN TOTAL'!U123</f>
        <v>0</v>
      </c>
      <c r="O102" s="70">
        <f>'RESUMEN TOTAL'!V123</f>
        <v>0</v>
      </c>
      <c r="P102" s="70">
        <f>'RESUMEN TOTAL'!W123</f>
        <v>0</v>
      </c>
      <c r="Q102" s="70">
        <f>'RESUMEN TOTAL'!X123</f>
        <v>0</v>
      </c>
      <c r="R102" s="70">
        <f>'RESUMEN TOTAL'!Y123</f>
        <v>0</v>
      </c>
      <c r="S102" s="70">
        <f>'RESUMEN TOTAL'!Z123</f>
        <v>0</v>
      </c>
      <c r="T102" s="70">
        <f>'RESUMEN TOTAL'!AA123</f>
        <v>0</v>
      </c>
      <c r="U102" s="70">
        <f>'RESUMEN TOTAL'!AB123</f>
        <v>0</v>
      </c>
      <c r="V102" s="70">
        <f>'RESUMEN TOTAL'!AC123</f>
        <v>0</v>
      </c>
      <c r="W102" s="70">
        <f>'RESUMEN TOTAL'!AD123</f>
        <v>0</v>
      </c>
      <c r="X102" s="70">
        <f>'RESUMEN TOTAL'!AE123</f>
        <v>0</v>
      </c>
      <c r="Y102" s="70">
        <f>'RESUMEN TOTAL'!AF123</f>
        <v>0</v>
      </c>
      <c r="Z102" s="70">
        <f>'RESUMEN TOTAL'!AG123</f>
        <v>0</v>
      </c>
      <c r="AA102" s="70">
        <f>'RESUMEN TOTAL'!AH123</f>
        <v>0</v>
      </c>
      <c r="AB102" s="70">
        <f>'RESUMEN TOTAL'!AI123</f>
        <v>0</v>
      </c>
      <c r="AC102" s="70">
        <f>'RESUMEN TOTAL'!AJ123</f>
        <v>0</v>
      </c>
      <c r="AD102" s="70">
        <f>'RESUMEN TOTAL'!AK123</f>
        <v>0</v>
      </c>
      <c r="AE102" s="70">
        <f>'RESUMEN TOTAL'!AL123</f>
        <v>0</v>
      </c>
      <c r="AF102" s="70">
        <f>'RESUMEN TOTAL'!AM123</f>
        <v>0</v>
      </c>
      <c r="AG102" s="70">
        <f>'RESUMEN TOTAL'!AN123</f>
        <v>0</v>
      </c>
      <c r="AH102" s="70">
        <f>'RESUMEN TOTAL'!AO123</f>
        <v>0</v>
      </c>
      <c r="AI102" s="70">
        <f>'RESUMEN TOTAL'!AP123</f>
        <v>0</v>
      </c>
      <c r="AJ102" s="70">
        <f>'RESUMEN TOTAL'!AQ123</f>
        <v>0</v>
      </c>
    </row>
    <row r="103" spans="1:36" x14ac:dyDescent="0.25">
      <c r="A103" t="str">
        <f>'RESUMEN TOTAL'!A124</f>
        <v>CENTRO</v>
      </c>
      <c r="B103" t="str">
        <f>'RESUMEN TOTAL'!B124</f>
        <v>CEN 79</v>
      </c>
      <c r="C103" t="str">
        <f>'RESUMEN TOTAL'!D124</f>
        <v>Diag. Constituyente y Brown</v>
      </c>
      <c r="D103" s="30" t="str">
        <f>'RESUMEN TOTAL'!E124</f>
        <v>Fija</v>
      </c>
      <c r="E103" s="30" t="str">
        <f>'RESUMEN TOTAL'!F124</f>
        <v>Fibra Optica</v>
      </c>
      <c r="F103" s="70">
        <f>'RESUMEN TOTAL'!M124</f>
        <v>0</v>
      </c>
      <c r="G103" s="70">
        <f>'RESUMEN TOTAL'!N124</f>
        <v>0</v>
      </c>
      <c r="H103" s="70">
        <f>'RESUMEN TOTAL'!O124</f>
        <v>0</v>
      </c>
      <c r="I103" s="70">
        <f>'RESUMEN TOTAL'!P124</f>
        <v>0</v>
      </c>
      <c r="J103" s="70">
        <f>'RESUMEN TOTAL'!Q124</f>
        <v>0</v>
      </c>
      <c r="K103" s="70">
        <f>'RESUMEN TOTAL'!R124</f>
        <v>0</v>
      </c>
      <c r="L103" s="70">
        <f>'RESUMEN TOTAL'!S124</f>
        <v>0</v>
      </c>
      <c r="M103" s="70">
        <f>'RESUMEN TOTAL'!T124</f>
        <v>0</v>
      </c>
      <c r="N103" s="70">
        <f>'RESUMEN TOTAL'!U124</f>
        <v>0</v>
      </c>
      <c r="O103" s="70">
        <f>'RESUMEN TOTAL'!V124</f>
        <v>0</v>
      </c>
      <c r="P103" s="70">
        <f>'RESUMEN TOTAL'!W124</f>
        <v>0</v>
      </c>
      <c r="Q103" s="70">
        <f>'RESUMEN TOTAL'!X124</f>
        <v>0</v>
      </c>
      <c r="R103" s="70">
        <f>'RESUMEN TOTAL'!Y124</f>
        <v>0</v>
      </c>
      <c r="S103" s="70">
        <f>'RESUMEN TOTAL'!Z124</f>
        <v>0</v>
      </c>
      <c r="T103" s="70">
        <f>'RESUMEN TOTAL'!AA124</f>
        <v>0</v>
      </c>
      <c r="U103" s="70">
        <f>'RESUMEN TOTAL'!AB124</f>
        <v>0</v>
      </c>
      <c r="V103" s="70">
        <f>'RESUMEN TOTAL'!AC124</f>
        <v>0</v>
      </c>
      <c r="W103" s="70">
        <f>'RESUMEN TOTAL'!AD124</f>
        <v>0</v>
      </c>
      <c r="X103" s="70">
        <f>'RESUMEN TOTAL'!AE124</f>
        <v>0</v>
      </c>
      <c r="Y103" s="70">
        <f>'RESUMEN TOTAL'!AF124</f>
        <v>0</v>
      </c>
      <c r="Z103" s="70">
        <f>'RESUMEN TOTAL'!AG124</f>
        <v>0</v>
      </c>
      <c r="AA103" s="70">
        <f>'RESUMEN TOTAL'!AH124</f>
        <v>0</v>
      </c>
      <c r="AB103" s="70">
        <f>'RESUMEN TOTAL'!AI124</f>
        <v>0</v>
      </c>
      <c r="AC103" s="70">
        <f>'RESUMEN TOTAL'!AJ124</f>
        <v>0</v>
      </c>
      <c r="AD103" s="70">
        <f>'RESUMEN TOTAL'!AK124</f>
        <v>0</v>
      </c>
      <c r="AE103" s="70">
        <f>'RESUMEN TOTAL'!AL124</f>
        <v>0</v>
      </c>
      <c r="AF103" s="70">
        <f>'RESUMEN TOTAL'!AM124</f>
        <v>0</v>
      </c>
      <c r="AG103" s="70">
        <f>'RESUMEN TOTAL'!AN124</f>
        <v>0</v>
      </c>
      <c r="AH103" s="70">
        <f>'RESUMEN TOTAL'!AO124</f>
        <v>0</v>
      </c>
      <c r="AI103" s="70">
        <f>'RESUMEN TOTAL'!AP124</f>
        <v>0</v>
      </c>
      <c r="AJ103" s="70">
        <f>'RESUMEN TOTAL'!AQ124</f>
        <v>0</v>
      </c>
    </row>
    <row r="104" spans="1:36" x14ac:dyDescent="0.25">
      <c r="A104" t="str">
        <f>'RESUMEN TOTAL'!A125</f>
        <v>CENTRO</v>
      </c>
      <c r="B104" t="str">
        <f>'RESUMEN TOTAL'!B125</f>
        <v>CEN 80</v>
      </c>
      <c r="C104" t="str">
        <f>'RESUMEN TOTAL'!D125</f>
        <v>Diag. Constituyente y Brown</v>
      </c>
      <c r="D104" s="30" t="str">
        <f>'RESUMEN TOTAL'!E125</f>
        <v>Fija</v>
      </c>
      <c r="E104" s="30" t="str">
        <f>'RESUMEN TOTAL'!F125</f>
        <v>Fibra Optica</v>
      </c>
      <c r="F104" s="70">
        <f>'RESUMEN TOTAL'!M125</f>
        <v>0</v>
      </c>
      <c r="G104" s="70">
        <f>'RESUMEN TOTAL'!N125</f>
        <v>0</v>
      </c>
      <c r="H104" s="70">
        <f>'RESUMEN TOTAL'!O125</f>
        <v>0</v>
      </c>
      <c r="I104" s="70">
        <f>'RESUMEN TOTAL'!P125</f>
        <v>0</v>
      </c>
      <c r="J104" s="70">
        <f>'RESUMEN TOTAL'!Q125</f>
        <v>0</v>
      </c>
      <c r="K104" s="70">
        <f>'RESUMEN TOTAL'!R125</f>
        <v>0</v>
      </c>
      <c r="L104" s="70">
        <f>'RESUMEN TOTAL'!S125</f>
        <v>0</v>
      </c>
      <c r="M104" s="70">
        <f>'RESUMEN TOTAL'!T125</f>
        <v>0</v>
      </c>
      <c r="N104" s="70">
        <f>'RESUMEN TOTAL'!U125</f>
        <v>0</v>
      </c>
      <c r="O104" s="70">
        <f>'RESUMEN TOTAL'!V125</f>
        <v>0</v>
      </c>
      <c r="P104" s="70">
        <f>'RESUMEN TOTAL'!W125</f>
        <v>0</v>
      </c>
      <c r="Q104" s="70">
        <f>'RESUMEN TOTAL'!X125</f>
        <v>0</v>
      </c>
      <c r="R104" s="70">
        <f>'RESUMEN TOTAL'!Y125</f>
        <v>0</v>
      </c>
      <c r="S104" s="70">
        <f>'RESUMEN TOTAL'!Z125</f>
        <v>0</v>
      </c>
      <c r="T104" s="70">
        <f>'RESUMEN TOTAL'!AA125</f>
        <v>0</v>
      </c>
      <c r="U104" s="70">
        <f>'RESUMEN TOTAL'!AB125</f>
        <v>0</v>
      </c>
      <c r="V104" s="70">
        <f>'RESUMEN TOTAL'!AC125</f>
        <v>0</v>
      </c>
      <c r="W104" s="70">
        <f>'RESUMEN TOTAL'!AD125</f>
        <v>0</v>
      </c>
      <c r="X104" s="70">
        <f>'RESUMEN TOTAL'!AE125</f>
        <v>0</v>
      </c>
      <c r="Y104" s="70">
        <f>'RESUMEN TOTAL'!AF125</f>
        <v>0</v>
      </c>
      <c r="Z104" s="70">
        <f>'RESUMEN TOTAL'!AG125</f>
        <v>0</v>
      </c>
      <c r="AA104" s="70">
        <f>'RESUMEN TOTAL'!AH125</f>
        <v>0</v>
      </c>
      <c r="AB104" s="70">
        <f>'RESUMEN TOTAL'!AI125</f>
        <v>0</v>
      </c>
      <c r="AC104" s="70">
        <f>'RESUMEN TOTAL'!AJ125</f>
        <v>0</v>
      </c>
      <c r="AD104" s="70">
        <f>'RESUMEN TOTAL'!AK125</f>
        <v>0</v>
      </c>
      <c r="AE104" s="70">
        <f>'RESUMEN TOTAL'!AL125</f>
        <v>0</v>
      </c>
      <c r="AF104" s="70">
        <f>'RESUMEN TOTAL'!AM125</f>
        <v>0</v>
      </c>
      <c r="AG104" s="70">
        <f>'RESUMEN TOTAL'!AN125</f>
        <v>0</v>
      </c>
      <c r="AH104" s="70">
        <f>'RESUMEN TOTAL'!AO125</f>
        <v>0</v>
      </c>
      <c r="AI104" s="70">
        <f>'RESUMEN TOTAL'!AP125</f>
        <v>0</v>
      </c>
      <c r="AJ104" s="70">
        <f>'RESUMEN TOTAL'!AQ125</f>
        <v>0</v>
      </c>
    </row>
    <row r="105" spans="1:36" x14ac:dyDescent="0.25">
      <c r="A105" t="str">
        <f>'RESUMEN TOTAL'!A126</f>
        <v>CENTRO</v>
      </c>
      <c r="B105" t="str">
        <f>'RESUMEN TOTAL'!B126</f>
        <v>CEN 81</v>
      </c>
      <c r="C105" t="str">
        <f>'RESUMEN TOTAL'!D126</f>
        <v>Alberdi y A.del Valle</v>
      </c>
      <c r="D105" s="30" t="str">
        <f>'RESUMEN TOTAL'!E126</f>
        <v>Fija</v>
      </c>
      <c r="E105" s="30" t="str">
        <f>'RESUMEN TOTAL'!F126</f>
        <v>Fibra Optica</v>
      </c>
      <c r="F105" s="70">
        <f>'RESUMEN TOTAL'!M126</f>
        <v>0</v>
      </c>
      <c r="G105" s="70">
        <f>'RESUMEN TOTAL'!N126</f>
        <v>0</v>
      </c>
      <c r="H105" s="70">
        <f>'RESUMEN TOTAL'!O126</f>
        <v>0</v>
      </c>
      <c r="I105" s="70">
        <f>'RESUMEN TOTAL'!P126</f>
        <v>0</v>
      </c>
      <c r="J105" s="70">
        <f>'RESUMEN TOTAL'!Q126</f>
        <v>0</v>
      </c>
      <c r="K105" s="70">
        <f>'RESUMEN TOTAL'!R126</f>
        <v>0</v>
      </c>
      <c r="L105" s="70">
        <f>'RESUMEN TOTAL'!S126</f>
        <v>0</v>
      </c>
      <c r="M105" s="70">
        <f>'RESUMEN TOTAL'!T126</f>
        <v>0</v>
      </c>
      <c r="N105" s="70">
        <f>'RESUMEN TOTAL'!U126</f>
        <v>0</v>
      </c>
      <c r="O105" s="70">
        <f>'RESUMEN TOTAL'!V126</f>
        <v>0</v>
      </c>
      <c r="P105" s="70">
        <f>'RESUMEN TOTAL'!W126</f>
        <v>0</v>
      </c>
      <c r="Q105" s="70">
        <f>'RESUMEN TOTAL'!X126</f>
        <v>0</v>
      </c>
      <c r="R105" s="70">
        <f>'RESUMEN TOTAL'!Y126</f>
        <v>0</v>
      </c>
      <c r="S105" s="70">
        <f>'RESUMEN TOTAL'!Z126</f>
        <v>0</v>
      </c>
      <c r="T105" s="70">
        <f>'RESUMEN TOTAL'!AA126</f>
        <v>0</v>
      </c>
      <c r="U105" s="70">
        <f>'RESUMEN TOTAL'!AB126</f>
        <v>0</v>
      </c>
      <c r="V105" s="70">
        <f>'RESUMEN TOTAL'!AC126</f>
        <v>0</v>
      </c>
      <c r="W105" s="70">
        <f>'RESUMEN TOTAL'!AD126</f>
        <v>0</v>
      </c>
      <c r="X105" s="70">
        <f>'RESUMEN TOTAL'!AE126</f>
        <v>0</v>
      </c>
      <c r="Y105" s="70">
        <f>'RESUMEN TOTAL'!AF126</f>
        <v>0</v>
      </c>
      <c r="Z105" s="70">
        <f>'RESUMEN TOTAL'!AG126</f>
        <v>0</v>
      </c>
      <c r="AA105" s="70">
        <f>'RESUMEN TOTAL'!AH126</f>
        <v>0</v>
      </c>
      <c r="AB105" s="70">
        <f>'RESUMEN TOTAL'!AI126</f>
        <v>0</v>
      </c>
      <c r="AC105" s="70">
        <f>'RESUMEN TOTAL'!AJ126</f>
        <v>0</v>
      </c>
      <c r="AD105" s="70">
        <f>'RESUMEN TOTAL'!AK126</f>
        <v>0</v>
      </c>
      <c r="AE105" s="70">
        <f>'RESUMEN TOTAL'!AL126</f>
        <v>0</v>
      </c>
      <c r="AF105" s="70">
        <f>'RESUMEN TOTAL'!AM126</f>
        <v>0</v>
      </c>
      <c r="AG105" s="70">
        <f>'RESUMEN TOTAL'!AN126</f>
        <v>0</v>
      </c>
      <c r="AH105" s="70">
        <f>'RESUMEN TOTAL'!AO126</f>
        <v>0</v>
      </c>
      <c r="AI105" s="70">
        <f>'RESUMEN TOTAL'!AP126</f>
        <v>0</v>
      </c>
      <c r="AJ105" s="70">
        <f>'RESUMEN TOTAL'!AQ126</f>
        <v>0</v>
      </c>
    </row>
    <row r="106" spans="1:36" x14ac:dyDescent="0.25">
      <c r="A106" t="str">
        <f>'RESUMEN TOTAL'!A127</f>
        <v>CENTRO</v>
      </c>
      <c r="B106" t="str">
        <f>'RESUMEN TOTAL'!B127</f>
        <v>CEN 82</v>
      </c>
      <c r="C106" t="str">
        <f>'RESUMEN TOTAL'!D127</f>
        <v>DORREGO Y BOUREL</v>
      </c>
      <c r="D106" s="30" t="str">
        <f>'RESUMEN TOTAL'!E127</f>
        <v>Domo</v>
      </c>
      <c r="E106" s="30" t="str">
        <f>'RESUMEN TOTAL'!F127</f>
        <v>GPON</v>
      </c>
      <c r="F106" s="70">
        <f>'RESUMEN TOTAL'!M127</f>
        <v>0</v>
      </c>
      <c r="G106" s="70">
        <f>'RESUMEN TOTAL'!N127</f>
        <v>0</v>
      </c>
      <c r="H106" s="70">
        <f>'RESUMEN TOTAL'!O127</f>
        <v>0</v>
      </c>
      <c r="I106" s="70">
        <f>'RESUMEN TOTAL'!P127</f>
        <v>0</v>
      </c>
      <c r="J106" s="70">
        <f>'RESUMEN TOTAL'!Q127</f>
        <v>0</v>
      </c>
      <c r="K106" s="70" t="str">
        <f>'RESUMEN TOTAL'!R127</f>
        <v>APAGADO</v>
      </c>
      <c r="L106" s="70" t="str">
        <f>'RESUMEN TOTAL'!S127</f>
        <v>APAGADO</v>
      </c>
      <c r="M106" s="70">
        <f>'RESUMEN TOTAL'!T127</f>
        <v>0</v>
      </c>
      <c r="N106" s="70">
        <f>'RESUMEN TOTAL'!U127</f>
        <v>0</v>
      </c>
      <c r="O106" s="70">
        <f>'RESUMEN TOTAL'!V127</f>
        <v>0</v>
      </c>
      <c r="P106" s="70">
        <f>'RESUMEN TOTAL'!W127</f>
        <v>0</v>
      </c>
      <c r="Q106" s="70">
        <f>'RESUMEN TOTAL'!X127</f>
        <v>0</v>
      </c>
      <c r="R106" s="70">
        <f>'RESUMEN TOTAL'!Y127</f>
        <v>0</v>
      </c>
      <c r="S106" s="70">
        <f>'RESUMEN TOTAL'!Z127</f>
        <v>0</v>
      </c>
      <c r="T106" s="70">
        <f>'RESUMEN TOTAL'!AA127</f>
        <v>0</v>
      </c>
      <c r="U106" s="70">
        <f>'RESUMEN TOTAL'!AB127</f>
        <v>0</v>
      </c>
      <c r="V106" s="70">
        <f>'RESUMEN TOTAL'!AC127</f>
        <v>0</v>
      </c>
      <c r="W106" s="70">
        <f>'RESUMEN TOTAL'!AD127</f>
        <v>0</v>
      </c>
      <c r="X106" s="70">
        <f>'RESUMEN TOTAL'!AE127</f>
        <v>0</v>
      </c>
      <c r="Y106" s="70">
        <f>'RESUMEN TOTAL'!AF127</f>
        <v>0</v>
      </c>
      <c r="Z106" s="70">
        <f>'RESUMEN TOTAL'!AG127</f>
        <v>0</v>
      </c>
      <c r="AA106" s="70">
        <f>'RESUMEN TOTAL'!AH127</f>
        <v>0</v>
      </c>
      <c r="AB106" s="70">
        <f>'RESUMEN TOTAL'!AI127</f>
        <v>0</v>
      </c>
      <c r="AC106" s="70">
        <f>'RESUMEN TOTAL'!AJ127</f>
        <v>0</v>
      </c>
      <c r="AD106" s="70">
        <f>'RESUMEN TOTAL'!AK127</f>
        <v>0</v>
      </c>
      <c r="AE106" s="70">
        <f>'RESUMEN TOTAL'!AL127</f>
        <v>0</v>
      </c>
      <c r="AF106" s="70">
        <f>'RESUMEN TOTAL'!AM127</f>
        <v>0</v>
      </c>
      <c r="AG106" s="70">
        <f>'RESUMEN TOTAL'!AN127</f>
        <v>0</v>
      </c>
      <c r="AH106" s="70">
        <f>'RESUMEN TOTAL'!AO127</f>
        <v>0</v>
      </c>
      <c r="AI106" s="70">
        <f>'RESUMEN TOTAL'!AP127</f>
        <v>0</v>
      </c>
      <c r="AJ106" s="70">
        <f>'RESUMEN TOTAL'!AQ127</f>
        <v>0</v>
      </c>
    </row>
    <row r="107" spans="1:36" x14ac:dyDescent="0.25">
      <c r="A107" t="str">
        <f>'RESUMEN TOTAL'!A128</f>
        <v>CENTRO</v>
      </c>
      <c r="B107" t="str">
        <f>'RESUMEN TOTAL'!B128</f>
        <v>CEN83</v>
      </c>
      <c r="C107" t="str">
        <f>'RESUMEN TOTAL'!D128</f>
        <v>RECONQUISTA Y 25 DE MAYO</v>
      </c>
      <c r="D107" s="30" t="str">
        <f>'RESUMEN TOTAL'!E128</f>
        <v>Domo</v>
      </c>
      <c r="E107" s="30" t="str">
        <f>'RESUMEN TOTAL'!F128</f>
        <v>GPON</v>
      </c>
      <c r="F107" s="70" t="str">
        <f>'RESUMEN TOTAL'!M128</f>
        <v>APAGADO</v>
      </c>
      <c r="G107" s="70" t="str">
        <f>'RESUMEN TOTAL'!N128</f>
        <v>APAGADO</v>
      </c>
      <c r="H107" s="70" t="str">
        <f>'RESUMEN TOTAL'!O128</f>
        <v>APAGADO</v>
      </c>
      <c r="I107" s="70" t="str">
        <f>'RESUMEN TOTAL'!P128</f>
        <v>APAGADO</v>
      </c>
      <c r="J107" s="70" t="str">
        <f>'RESUMEN TOTAL'!Q128</f>
        <v>APAGADO</v>
      </c>
      <c r="K107" s="70">
        <f>'RESUMEN TOTAL'!R128</f>
        <v>0</v>
      </c>
      <c r="L107" s="70">
        <f>'RESUMEN TOTAL'!S128</f>
        <v>0</v>
      </c>
      <c r="M107" s="70">
        <f>'RESUMEN TOTAL'!T128</f>
        <v>0</v>
      </c>
      <c r="N107" s="70">
        <f>'RESUMEN TOTAL'!U128</f>
        <v>0</v>
      </c>
      <c r="O107" s="70">
        <f>'RESUMEN TOTAL'!V128</f>
        <v>0</v>
      </c>
      <c r="P107" s="70">
        <f>'RESUMEN TOTAL'!W128</f>
        <v>0</v>
      </c>
      <c r="Q107" s="70">
        <f>'RESUMEN TOTAL'!X128</f>
        <v>0</v>
      </c>
      <c r="R107" s="70">
        <f>'RESUMEN TOTAL'!Y128</f>
        <v>0</v>
      </c>
      <c r="S107" s="70">
        <f>'RESUMEN TOTAL'!Z128</f>
        <v>0</v>
      </c>
      <c r="T107" s="70">
        <f>'RESUMEN TOTAL'!AA128</f>
        <v>0</v>
      </c>
      <c r="U107" s="70">
        <f>'RESUMEN TOTAL'!AB128</f>
        <v>0</v>
      </c>
      <c r="V107" s="70">
        <f>'RESUMEN TOTAL'!AC128</f>
        <v>0</v>
      </c>
      <c r="W107" s="70">
        <f>'RESUMEN TOTAL'!AD128</f>
        <v>0</v>
      </c>
      <c r="X107" s="70">
        <f>'RESUMEN TOTAL'!AE128</f>
        <v>0</v>
      </c>
      <c r="Y107" s="70">
        <f>'RESUMEN TOTAL'!AF128</f>
        <v>0</v>
      </c>
      <c r="Z107" s="70">
        <f>'RESUMEN TOTAL'!AG128</f>
        <v>0</v>
      </c>
      <c r="AA107" s="70">
        <f>'RESUMEN TOTAL'!AH128</f>
        <v>0</v>
      </c>
      <c r="AB107" s="70">
        <f>'RESUMEN TOTAL'!AI128</f>
        <v>0</v>
      </c>
      <c r="AC107" s="70">
        <f>'RESUMEN TOTAL'!AJ128</f>
        <v>0</v>
      </c>
      <c r="AD107" s="70">
        <f>'RESUMEN TOTAL'!AK128</f>
        <v>0</v>
      </c>
      <c r="AE107" s="70">
        <f>'RESUMEN TOTAL'!AL128</f>
        <v>0</v>
      </c>
      <c r="AF107" s="70">
        <f>'RESUMEN TOTAL'!AM128</f>
        <v>0</v>
      </c>
      <c r="AG107" s="70">
        <f>'RESUMEN TOTAL'!AN128</f>
        <v>0</v>
      </c>
      <c r="AH107" s="70">
        <f>'RESUMEN TOTAL'!AO128</f>
        <v>0</v>
      </c>
      <c r="AI107" s="70">
        <f>'RESUMEN TOTAL'!AP128</f>
        <v>0</v>
      </c>
      <c r="AJ107" s="70">
        <f>'RESUMEN TOTAL'!AQ128</f>
        <v>0</v>
      </c>
    </row>
    <row r="108" spans="1:36" x14ac:dyDescent="0.25">
      <c r="A108" t="str">
        <f>'RESUMEN TOTAL'!A129</f>
        <v>CENTRO</v>
      </c>
      <c r="B108" t="str">
        <f>'RESUMEN TOTAL'!B129</f>
        <v>CEN 84</v>
      </c>
      <c r="C108" t="str">
        <f>'RESUMEN TOTAL'!D129</f>
        <v>25 DE MAYO Y MAIPU</v>
      </c>
      <c r="D108" s="30" t="str">
        <f>'RESUMEN TOTAL'!E129</f>
        <v>Fija</v>
      </c>
      <c r="E108" s="30" t="str">
        <f>'RESUMEN TOTAL'!F129</f>
        <v>GPON</v>
      </c>
      <c r="F108" s="70">
        <f>'RESUMEN TOTAL'!M129</f>
        <v>0</v>
      </c>
      <c r="G108" s="70">
        <f>'RESUMEN TOTAL'!N129</f>
        <v>0</v>
      </c>
      <c r="H108" s="70">
        <f>'RESUMEN TOTAL'!O129</f>
        <v>0</v>
      </c>
      <c r="I108" s="70">
        <f>'RESUMEN TOTAL'!P129</f>
        <v>0</v>
      </c>
      <c r="J108" s="70">
        <f>'RESUMEN TOTAL'!Q129</f>
        <v>0</v>
      </c>
      <c r="K108" s="70">
        <f>'RESUMEN TOTAL'!R129</f>
        <v>0</v>
      </c>
      <c r="L108" s="70">
        <f>'RESUMEN TOTAL'!S129</f>
        <v>0</v>
      </c>
      <c r="M108" s="70">
        <f>'RESUMEN TOTAL'!T129</f>
        <v>0</v>
      </c>
      <c r="N108" s="70">
        <f>'RESUMEN TOTAL'!U129</f>
        <v>0</v>
      </c>
      <c r="O108" s="70">
        <f>'RESUMEN TOTAL'!V129</f>
        <v>0</v>
      </c>
      <c r="P108" s="70">
        <f>'RESUMEN TOTAL'!W129</f>
        <v>0</v>
      </c>
      <c r="Q108" s="70">
        <f>'RESUMEN TOTAL'!X129</f>
        <v>0</v>
      </c>
      <c r="R108" s="70">
        <f>'RESUMEN TOTAL'!Y129</f>
        <v>0</v>
      </c>
      <c r="S108" s="70">
        <f>'RESUMEN TOTAL'!Z129</f>
        <v>0</v>
      </c>
      <c r="T108" s="70">
        <f>'RESUMEN TOTAL'!AA129</f>
        <v>0</v>
      </c>
      <c r="U108" s="70">
        <f>'RESUMEN TOTAL'!AB129</f>
        <v>0</v>
      </c>
      <c r="V108" s="70">
        <f>'RESUMEN TOTAL'!AC129</f>
        <v>0</v>
      </c>
      <c r="W108" s="70">
        <f>'RESUMEN TOTAL'!AD129</f>
        <v>0</v>
      </c>
      <c r="X108" s="70">
        <f>'RESUMEN TOTAL'!AE129</f>
        <v>0</v>
      </c>
      <c r="Y108" s="70">
        <f>'RESUMEN TOTAL'!AF129</f>
        <v>0</v>
      </c>
      <c r="Z108" s="70">
        <f>'RESUMEN TOTAL'!AG129</f>
        <v>0</v>
      </c>
      <c r="AA108" s="70">
        <f>'RESUMEN TOTAL'!AH129</f>
        <v>0</v>
      </c>
      <c r="AB108" s="70">
        <f>'RESUMEN TOTAL'!AI129</f>
        <v>0</v>
      </c>
      <c r="AC108" s="70">
        <f>'RESUMEN TOTAL'!AJ129</f>
        <v>0</v>
      </c>
      <c r="AD108" s="70">
        <f>'RESUMEN TOTAL'!AK129</f>
        <v>0</v>
      </c>
      <c r="AE108" s="70">
        <f>'RESUMEN TOTAL'!AL129</f>
        <v>0</v>
      </c>
      <c r="AF108" s="70">
        <f>'RESUMEN TOTAL'!AM129</f>
        <v>0</v>
      </c>
      <c r="AG108" s="70">
        <f>'RESUMEN TOTAL'!AN129</f>
        <v>0</v>
      </c>
      <c r="AH108" s="70">
        <f>'RESUMEN TOTAL'!AO129</f>
        <v>0</v>
      </c>
      <c r="AI108" s="70">
        <f>'RESUMEN TOTAL'!AP129</f>
        <v>0</v>
      </c>
      <c r="AJ108" s="70">
        <f>'RESUMEN TOTAL'!AQ129</f>
        <v>0</v>
      </c>
    </row>
    <row r="109" spans="1:36" x14ac:dyDescent="0.25">
      <c r="A109" t="str">
        <f>'RESUMEN TOTAL'!A130</f>
        <v>CENTRO</v>
      </c>
      <c r="B109" t="str">
        <f>'RESUMEN TOTAL'!B130</f>
        <v>CEN 85</v>
      </c>
      <c r="C109" t="str">
        <f>'RESUMEN TOTAL'!D130</f>
        <v>PTE PERON E/ PRINGLES Y BROWN</v>
      </c>
      <c r="D109" s="30" t="str">
        <f>'RESUMEN TOTAL'!E130</f>
        <v>Fija</v>
      </c>
      <c r="E109" s="30" t="str">
        <f>'RESUMEN TOTAL'!F130</f>
        <v>Fibra Optica</v>
      </c>
      <c r="F109" s="70">
        <f>'RESUMEN TOTAL'!M130</f>
        <v>0</v>
      </c>
      <c r="G109" s="70">
        <f>'RESUMEN TOTAL'!N130</f>
        <v>0</v>
      </c>
      <c r="H109" s="70">
        <f>'RESUMEN TOTAL'!O130</f>
        <v>0</v>
      </c>
      <c r="I109" s="70" t="str">
        <f>'RESUMEN TOTAL'!P130</f>
        <v>APAGADO</v>
      </c>
      <c r="J109" s="70">
        <f>'RESUMEN TOTAL'!Q130</f>
        <v>0</v>
      </c>
      <c r="K109" s="70" t="str">
        <f>'RESUMEN TOTAL'!R130</f>
        <v>APAGADO</v>
      </c>
      <c r="L109" s="70" t="str">
        <f>'RESUMEN TOTAL'!S130</f>
        <v>APAGADO</v>
      </c>
      <c r="M109" s="70" t="str">
        <f>'RESUMEN TOTAL'!T130</f>
        <v>APAGADO</v>
      </c>
      <c r="N109" s="70">
        <f>'RESUMEN TOTAL'!U130</f>
        <v>0</v>
      </c>
      <c r="O109" s="70">
        <f>'RESUMEN TOTAL'!V130</f>
        <v>0</v>
      </c>
      <c r="P109" s="70">
        <f>'RESUMEN TOTAL'!W130</f>
        <v>0</v>
      </c>
      <c r="Q109" s="70">
        <f>'RESUMEN TOTAL'!X130</f>
        <v>0</v>
      </c>
      <c r="R109" s="70">
        <f>'RESUMEN TOTAL'!Y130</f>
        <v>0</v>
      </c>
      <c r="S109" s="70">
        <f>'RESUMEN TOTAL'!Z130</f>
        <v>0</v>
      </c>
      <c r="T109" s="70">
        <f>'RESUMEN TOTAL'!AA130</f>
        <v>0</v>
      </c>
      <c r="U109" s="70">
        <f>'RESUMEN TOTAL'!AB130</f>
        <v>0</v>
      </c>
      <c r="V109" s="70">
        <f>'RESUMEN TOTAL'!AC130</f>
        <v>0</v>
      </c>
      <c r="W109" s="70">
        <f>'RESUMEN TOTAL'!AD130</f>
        <v>0</v>
      </c>
      <c r="X109" s="70">
        <f>'RESUMEN TOTAL'!AE130</f>
        <v>0</v>
      </c>
      <c r="Y109" s="70">
        <f>'RESUMEN TOTAL'!AF130</f>
        <v>0</v>
      </c>
      <c r="Z109" s="70">
        <f>'RESUMEN TOTAL'!AG130</f>
        <v>0</v>
      </c>
      <c r="AA109" s="70">
        <f>'RESUMEN TOTAL'!AH130</f>
        <v>0</v>
      </c>
      <c r="AB109" s="70">
        <f>'RESUMEN TOTAL'!AI130</f>
        <v>0</v>
      </c>
      <c r="AC109" s="70">
        <f>'RESUMEN TOTAL'!AJ130</f>
        <v>0</v>
      </c>
      <c r="AD109" s="70">
        <f>'RESUMEN TOTAL'!AK130</f>
        <v>0</v>
      </c>
      <c r="AE109" s="70">
        <f>'RESUMEN TOTAL'!AL130</f>
        <v>0</v>
      </c>
      <c r="AF109" s="70">
        <f>'RESUMEN TOTAL'!AM130</f>
        <v>0</v>
      </c>
      <c r="AG109" s="70">
        <f>'RESUMEN TOTAL'!AN130</f>
        <v>0</v>
      </c>
      <c r="AH109" s="70">
        <f>'RESUMEN TOTAL'!AO130</f>
        <v>0</v>
      </c>
      <c r="AI109" s="70">
        <f>'RESUMEN TOTAL'!AP130</f>
        <v>0</v>
      </c>
      <c r="AJ109" s="70">
        <f>'RESUMEN TOTAL'!AQ130</f>
        <v>0</v>
      </c>
    </row>
    <row r="110" spans="1:36" x14ac:dyDescent="0.25">
      <c r="A110" t="str">
        <f>'RESUMEN TOTAL'!A131</f>
        <v>CENTRO</v>
      </c>
      <c r="B110" t="str">
        <f>'RESUMEN TOTAL'!B131</f>
        <v>CEN 86</v>
      </c>
      <c r="C110" t="str">
        <f>'RESUMEN TOTAL'!D131</f>
        <v>Monteagudo y Bocuzzi</v>
      </c>
      <c r="D110" s="30" t="str">
        <f>'RESUMEN TOTAL'!E131</f>
        <v>Fija</v>
      </c>
      <c r="E110" s="30" t="str">
        <f>'RESUMEN TOTAL'!F131</f>
        <v>Fibra Optica</v>
      </c>
      <c r="F110" s="70">
        <f>'RESUMEN TOTAL'!M131</f>
        <v>0</v>
      </c>
      <c r="G110" s="70">
        <f>'RESUMEN TOTAL'!N131</f>
        <v>0</v>
      </c>
      <c r="H110" s="70">
        <f>'RESUMEN TOTAL'!O131</f>
        <v>0</v>
      </c>
      <c r="I110" s="70">
        <f>'RESUMEN TOTAL'!P131</f>
        <v>0</v>
      </c>
      <c r="J110" s="70">
        <f>'RESUMEN TOTAL'!Q131</f>
        <v>0</v>
      </c>
      <c r="K110" s="70">
        <f>'RESUMEN TOTAL'!R131</f>
        <v>0</v>
      </c>
      <c r="L110" s="70">
        <f>'RESUMEN TOTAL'!S131</f>
        <v>0</v>
      </c>
      <c r="M110" s="70">
        <f>'RESUMEN TOTAL'!T131</f>
        <v>0</v>
      </c>
      <c r="N110" s="70">
        <f>'RESUMEN TOTAL'!U131</f>
        <v>0</v>
      </c>
      <c r="O110" s="70">
        <f>'RESUMEN TOTAL'!V131</f>
        <v>0</v>
      </c>
      <c r="P110" s="70">
        <f>'RESUMEN TOTAL'!W131</f>
        <v>0</v>
      </c>
      <c r="Q110" s="70">
        <f>'RESUMEN TOTAL'!X131</f>
        <v>0</v>
      </c>
      <c r="R110" s="70">
        <f>'RESUMEN TOTAL'!Y131</f>
        <v>0</v>
      </c>
      <c r="S110" s="70">
        <f>'RESUMEN TOTAL'!Z131</f>
        <v>0</v>
      </c>
      <c r="T110" s="70">
        <f>'RESUMEN TOTAL'!AA131</f>
        <v>0</v>
      </c>
      <c r="U110" s="70">
        <f>'RESUMEN TOTAL'!AB131</f>
        <v>0</v>
      </c>
      <c r="V110" s="70">
        <f>'RESUMEN TOTAL'!AC131</f>
        <v>0</v>
      </c>
      <c r="W110" s="70">
        <f>'RESUMEN TOTAL'!AD131</f>
        <v>0</v>
      </c>
      <c r="X110" s="70">
        <f>'RESUMEN TOTAL'!AE131</f>
        <v>0</v>
      </c>
      <c r="Y110" s="70">
        <f>'RESUMEN TOTAL'!AF131</f>
        <v>0</v>
      </c>
      <c r="Z110" s="70">
        <f>'RESUMEN TOTAL'!AG131</f>
        <v>0</v>
      </c>
      <c r="AA110" s="70">
        <f>'RESUMEN TOTAL'!AH131</f>
        <v>0</v>
      </c>
      <c r="AB110" s="70">
        <f>'RESUMEN TOTAL'!AI131</f>
        <v>0</v>
      </c>
      <c r="AC110" s="70">
        <f>'RESUMEN TOTAL'!AJ131</f>
        <v>0</v>
      </c>
      <c r="AD110" s="70">
        <f>'RESUMEN TOTAL'!AK131</f>
        <v>0</v>
      </c>
      <c r="AE110" s="70">
        <f>'RESUMEN TOTAL'!AL131</f>
        <v>0</v>
      </c>
      <c r="AF110" s="70">
        <f>'RESUMEN TOTAL'!AM131</f>
        <v>0</v>
      </c>
      <c r="AG110" s="70">
        <f>'RESUMEN TOTAL'!AN131</f>
        <v>0</v>
      </c>
      <c r="AH110" s="70">
        <f>'RESUMEN TOTAL'!AO131</f>
        <v>0</v>
      </c>
      <c r="AI110" s="70">
        <f>'RESUMEN TOTAL'!AP131</f>
        <v>0</v>
      </c>
      <c r="AJ110" s="70">
        <f>'RESUMEN TOTAL'!AQ131</f>
        <v>0</v>
      </c>
    </row>
    <row r="111" spans="1:36" x14ac:dyDescent="0.25">
      <c r="A111" t="str">
        <f>'RESUMEN TOTAL'!A145</f>
        <v>SAN NICOLAS</v>
      </c>
      <c r="B111" t="str">
        <f>'RESUMEN TOTAL'!B145</f>
        <v>CHA01</v>
      </c>
      <c r="C111" t="str">
        <f>'RESUMEN TOTAL'!D145</f>
        <v>Novak y Pte Illia</v>
      </c>
      <c r="D111" s="30" t="str">
        <f>'RESUMEN TOTAL'!E145</f>
        <v>Domo</v>
      </c>
      <c r="E111" s="30" t="str">
        <f>'RESUMEN TOTAL'!F145</f>
        <v>PTO A FO</v>
      </c>
      <c r="F111" s="70" t="str">
        <f>'RESUMEN TOTAL'!M145</f>
        <v>APAGADO</v>
      </c>
      <c r="G111" s="70">
        <f>'RESUMEN TOTAL'!N145</f>
        <v>0</v>
      </c>
      <c r="H111" s="70">
        <f>'RESUMEN TOTAL'!O145</f>
        <v>0</v>
      </c>
      <c r="I111" s="70">
        <f>'RESUMEN TOTAL'!P145</f>
        <v>0</v>
      </c>
      <c r="J111" s="70">
        <f>'RESUMEN TOTAL'!Q145</f>
        <v>0</v>
      </c>
      <c r="K111" s="70">
        <f>'RESUMEN TOTAL'!R145</f>
        <v>0</v>
      </c>
      <c r="L111" s="70">
        <f>'RESUMEN TOTAL'!S145</f>
        <v>0</v>
      </c>
      <c r="M111" s="70">
        <f>'RESUMEN TOTAL'!T145</f>
        <v>0</v>
      </c>
      <c r="N111" s="70">
        <f>'RESUMEN TOTAL'!U145</f>
        <v>0</v>
      </c>
      <c r="O111" s="70">
        <f>'RESUMEN TOTAL'!V145</f>
        <v>0</v>
      </c>
      <c r="P111" s="70">
        <f>'RESUMEN TOTAL'!W145</f>
        <v>0</v>
      </c>
      <c r="Q111" s="70">
        <f>'RESUMEN TOTAL'!X145</f>
        <v>0</v>
      </c>
      <c r="R111" s="70">
        <f>'RESUMEN TOTAL'!Y145</f>
        <v>0</v>
      </c>
      <c r="S111" s="70">
        <f>'RESUMEN TOTAL'!Z145</f>
        <v>0</v>
      </c>
      <c r="T111" s="70">
        <f>'RESUMEN TOTAL'!AA145</f>
        <v>0</v>
      </c>
      <c r="U111" s="70">
        <f>'RESUMEN TOTAL'!AB145</f>
        <v>0</v>
      </c>
      <c r="V111" s="70">
        <f>'RESUMEN TOTAL'!AC145</f>
        <v>0</v>
      </c>
      <c r="W111" s="70">
        <f>'RESUMEN TOTAL'!AD145</f>
        <v>0</v>
      </c>
      <c r="X111" s="70">
        <f>'RESUMEN TOTAL'!AE145</f>
        <v>0</v>
      </c>
      <c r="Y111" s="70">
        <f>'RESUMEN TOTAL'!AF145</f>
        <v>0</v>
      </c>
      <c r="Z111" s="70">
        <f>'RESUMEN TOTAL'!AG145</f>
        <v>0</v>
      </c>
      <c r="AA111" s="70">
        <f>'RESUMEN TOTAL'!AH145</f>
        <v>0</v>
      </c>
      <c r="AB111" s="70">
        <f>'RESUMEN TOTAL'!AI145</f>
        <v>0</v>
      </c>
      <c r="AC111" s="70">
        <f>'RESUMEN TOTAL'!AJ145</f>
        <v>0</v>
      </c>
      <c r="AD111" s="70">
        <f>'RESUMEN TOTAL'!AK145</f>
        <v>0</v>
      </c>
      <c r="AE111" s="70">
        <f>'RESUMEN TOTAL'!AL145</f>
        <v>0</v>
      </c>
      <c r="AF111" s="70">
        <f>'RESUMEN TOTAL'!AM145</f>
        <v>0</v>
      </c>
      <c r="AG111" s="70">
        <f>'RESUMEN TOTAL'!AN145</f>
        <v>0</v>
      </c>
      <c r="AH111" s="70">
        <f>'RESUMEN TOTAL'!AO145</f>
        <v>0</v>
      </c>
      <c r="AI111" s="70">
        <f>'RESUMEN TOTAL'!AP145</f>
        <v>0</v>
      </c>
      <c r="AJ111" s="70">
        <f>'RESUMEN TOTAL'!AQ145</f>
        <v>0</v>
      </c>
    </row>
    <row r="112" spans="1:36" x14ac:dyDescent="0.25">
      <c r="A112" t="str">
        <f>'RESUMEN TOTAL'!A146</f>
        <v>CHACABUCO</v>
      </c>
      <c r="B112" t="str">
        <f>'RESUMEN TOTAL'!B146</f>
        <v>CHA02</v>
      </c>
      <c r="C112" t="str">
        <f>'RESUMEN TOTAL'!D146</f>
        <v>Pte. Illia y Posadas</v>
      </c>
      <c r="D112" s="30" t="str">
        <f>'RESUMEN TOTAL'!E146</f>
        <v>Domo</v>
      </c>
      <c r="E112" s="30" t="str">
        <f>'RESUMEN TOTAL'!F146</f>
        <v>PTO A FO</v>
      </c>
      <c r="F112" s="70">
        <f>'RESUMEN TOTAL'!M146</f>
        <v>0</v>
      </c>
      <c r="G112" s="70">
        <f>'RESUMEN TOTAL'!N146</f>
        <v>0</v>
      </c>
      <c r="H112" s="70">
        <f>'RESUMEN TOTAL'!O146</f>
        <v>0</v>
      </c>
      <c r="I112" s="70">
        <f>'RESUMEN TOTAL'!P146</f>
        <v>0</v>
      </c>
      <c r="J112" s="70">
        <f>'RESUMEN TOTAL'!Q146</f>
        <v>0</v>
      </c>
      <c r="K112" s="70">
        <f>'RESUMEN TOTAL'!R146</f>
        <v>0</v>
      </c>
      <c r="L112" s="70">
        <f>'RESUMEN TOTAL'!S146</f>
        <v>0</v>
      </c>
      <c r="M112" s="70">
        <f>'RESUMEN TOTAL'!T146</f>
        <v>0</v>
      </c>
      <c r="N112" s="70">
        <f>'RESUMEN TOTAL'!U146</f>
        <v>0</v>
      </c>
      <c r="O112" s="70">
        <f>'RESUMEN TOTAL'!V146</f>
        <v>0</v>
      </c>
      <c r="P112" s="70">
        <f>'RESUMEN TOTAL'!W146</f>
        <v>0</v>
      </c>
      <c r="Q112" s="70">
        <f>'RESUMEN TOTAL'!X146</f>
        <v>0</v>
      </c>
      <c r="R112" s="70">
        <f>'RESUMEN TOTAL'!Y146</f>
        <v>0</v>
      </c>
      <c r="S112" s="70">
        <f>'RESUMEN TOTAL'!Z146</f>
        <v>0</v>
      </c>
      <c r="T112" s="70">
        <f>'RESUMEN TOTAL'!AA146</f>
        <v>0</v>
      </c>
      <c r="U112" s="70">
        <f>'RESUMEN TOTAL'!AB146</f>
        <v>0</v>
      </c>
      <c r="V112" s="70">
        <f>'RESUMEN TOTAL'!AC146</f>
        <v>0</v>
      </c>
      <c r="W112" s="70">
        <f>'RESUMEN TOTAL'!AD146</f>
        <v>0</v>
      </c>
      <c r="X112" s="70">
        <f>'RESUMEN TOTAL'!AE146</f>
        <v>0</v>
      </c>
      <c r="Y112" s="70">
        <f>'RESUMEN TOTAL'!AF146</f>
        <v>0</v>
      </c>
      <c r="Z112" s="70">
        <f>'RESUMEN TOTAL'!AG146</f>
        <v>0</v>
      </c>
      <c r="AA112" s="70">
        <f>'RESUMEN TOTAL'!AH146</f>
        <v>0</v>
      </c>
      <c r="AB112" s="70">
        <f>'RESUMEN TOTAL'!AI146</f>
        <v>0</v>
      </c>
      <c r="AC112" s="70">
        <f>'RESUMEN TOTAL'!AJ146</f>
        <v>0</v>
      </c>
      <c r="AD112" s="70">
        <f>'RESUMEN TOTAL'!AK146</f>
        <v>0</v>
      </c>
      <c r="AE112" s="70">
        <f>'RESUMEN TOTAL'!AL146</f>
        <v>0</v>
      </c>
      <c r="AF112" s="70">
        <f>'RESUMEN TOTAL'!AM146</f>
        <v>0</v>
      </c>
      <c r="AG112" s="70">
        <f>'RESUMEN TOTAL'!AN146</f>
        <v>0</v>
      </c>
      <c r="AH112" s="70">
        <f>'RESUMEN TOTAL'!AO146</f>
        <v>0</v>
      </c>
      <c r="AI112" s="70">
        <f>'RESUMEN TOTAL'!AP146</f>
        <v>0</v>
      </c>
      <c r="AJ112" s="70">
        <f>'RESUMEN TOTAL'!AQ146</f>
        <v>0</v>
      </c>
    </row>
    <row r="113" spans="1:36" x14ac:dyDescent="0.25">
      <c r="A113" t="str">
        <f>'RESUMEN TOTAL'!A147</f>
        <v>CHACABUCO</v>
      </c>
      <c r="B113" t="str">
        <f>'RESUMEN TOTAL'!B147</f>
        <v>CHA03</v>
      </c>
      <c r="C113" t="str">
        <f>'RESUMEN TOTAL'!D147</f>
        <v>MAIPU Y ALVAREZ THOMAS</v>
      </c>
      <c r="D113" s="30" t="str">
        <f>'RESUMEN TOTAL'!E147</f>
        <v>DOMO</v>
      </c>
      <c r="E113" s="30" t="str">
        <f>'RESUMEN TOTAL'!F147</f>
        <v>Fibra Optica</v>
      </c>
      <c r="F113" s="70">
        <f>'RESUMEN TOTAL'!M147</f>
        <v>0</v>
      </c>
      <c r="G113" s="70">
        <f>'RESUMEN TOTAL'!N147</f>
        <v>0</v>
      </c>
      <c r="H113" s="70">
        <f>'RESUMEN TOTAL'!O147</f>
        <v>0</v>
      </c>
      <c r="I113" s="70">
        <f>'RESUMEN TOTAL'!P147</f>
        <v>0</v>
      </c>
      <c r="J113" s="70">
        <f>'RESUMEN TOTAL'!Q147</f>
        <v>0</v>
      </c>
      <c r="K113" s="70">
        <f>'RESUMEN TOTAL'!R147</f>
        <v>0</v>
      </c>
      <c r="L113" s="70">
        <f>'RESUMEN TOTAL'!S147</f>
        <v>0</v>
      </c>
      <c r="M113" s="70">
        <f>'RESUMEN TOTAL'!T147</f>
        <v>0</v>
      </c>
      <c r="N113" s="70">
        <f>'RESUMEN TOTAL'!U147</f>
        <v>0</v>
      </c>
      <c r="O113" s="70">
        <f>'RESUMEN TOTAL'!V147</f>
        <v>0</v>
      </c>
      <c r="P113" s="70">
        <f>'RESUMEN TOTAL'!W147</f>
        <v>0</v>
      </c>
      <c r="Q113" s="70">
        <f>'RESUMEN TOTAL'!X147</f>
        <v>0</v>
      </c>
      <c r="R113" s="70">
        <f>'RESUMEN TOTAL'!Y147</f>
        <v>0</v>
      </c>
      <c r="S113" s="70">
        <f>'RESUMEN TOTAL'!Z147</f>
        <v>0</v>
      </c>
      <c r="T113" s="70">
        <f>'RESUMEN TOTAL'!AA147</f>
        <v>0</v>
      </c>
      <c r="U113" s="70">
        <f>'RESUMEN TOTAL'!AB147</f>
        <v>0</v>
      </c>
      <c r="V113" s="70">
        <f>'RESUMEN TOTAL'!AC147</f>
        <v>0</v>
      </c>
      <c r="W113" s="70">
        <f>'RESUMEN TOTAL'!AD147</f>
        <v>0</v>
      </c>
      <c r="X113" s="70">
        <f>'RESUMEN TOTAL'!AE147</f>
        <v>0</v>
      </c>
      <c r="Y113" s="70">
        <f>'RESUMEN TOTAL'!AF147</f>
        <v>0</v>
      </c>
      <c r="Z113" s="70">
        <f>'RESUMEN TOTAL'!AG147</f>
        <v>0</v>
      </c>
      <c r="AA113" s="70">
        <f>'RESUMEN TOTAL'!AH147</f>
        <v>0</v>
      </c>
      <c r="AB113" s="70">
        <f>'RESUMEN TOTAL'!AI147</f>
        <v>0</v>
      </c>
      <c r="AC113" s="70">
        <f>'RESUMEN TOTAL'!AJ147</f>
        <v>0</v>
      </c>
      <c r="AD113" s="70">
        <f>'RESUMEN TOTAL'!AK147</f>
        <v>0</v>
      </c>
      <c r="AE113" s="70">
        <f>'RESUMEN TOTAL'!AL147</f>
        <v>0</v>
      </c>
      <c r="AF113" s="70">
        <f>'RESUMEN TOTAL'!AM147</f>
        <v>0</v>
      </c>
      <c r="AG113" s="70">
        <f>'RESUMEN TOTAL'!AN147</f>
        <v>0</v>
      </c>
      <c r="AH113" s="70">
        <f>'RESUMEN TOTAL'!AO147</f>
        <v>0</v>
      </c>
      <c r="AI113" s="70">
        <f>'RESUMEN TOTAL'!AP147</f>
        <v>0</v>
      </c>
      <c r="AJ113" s="70">
        <f>'RESUMEN TOTAL'!AQ147</f>
        <v>0</v>
      </c>
    </row>
    <row r="114" spans="1:36" x14ac:dyDescent="0.25">
      <c r="A114" t="str">
        <f>'RESUMEN TOTAL'!A148</f>
        <v>CHACABUCO</v>
      </c>
      <c r="B114" t="str">
        <f>'RESUMEN TOTAL'!B148</f>
        <v>CHA04</v>
      </c>
      <c r="C114" t="str">
        <f>'RESUMEN TOTAL'!D148</f>
        <v>ESTADOS UNIDOS DE A. E ILLIA</v>
      </c>
      <c r="D114" s="30" t="str">
        <f>'RESUMEN TOTAL'!E148</f>
        <v>DOMO</v>
      </c>
      <c r="E114" s="30" t="str">
        <f>'RESUMEN TOTAL'!F148</f>
        <v>Fibra Optica</v>
      </c>
      <c r="F114" s="70">
        <f>'RESUMEN TOTAL'!M148</f>
        <v>0</v>
      </c>
      <c r="G114" s="70">
        <f>'RESUMEN TOTAL'!N148</f>
        <v>0</v>
      </c>
      <c r="H114" s="70">
        <f>'RESUMEN TOTAL'!O148</f>
        <v>0</v>
      </c>
      <c r="I114" s="70">
        <f>'RESUMEN TOTAL'!P148</f>
        <v>0</v>
      </c>
      <c r="J114" s="70">
        <f>'RESUMEN TOTAL'!Q148</f>
        <v>0</v>
      </c>
      <c r="K114" s="70">
        <f>'RESUMEN TOTAL'!R148</f>
        <v>0</v>
      </c>
      <c r="L114" s="70">
        <f>'RESUMEN TOTAL'!S148</f>
        <v>0</v>
      </c>
      <c r="M114" s="70">
        <f>'RESUMEN TOTAL'!T148</f>
        <v>0</v>
      </c>
      <c r="N114" s="70">
        <f>'RESUMEN TOTAL'!U148</f>
        <v>0</v>
      </c>
      <c r="O114" s="70">
        <f>'RESUMEN TOTAL'!V148</f>
        <v>0</v>
      </c>
      <c r="P114" s="70">
        <f>'RESUMEN TOTAL'!W148</f>
        <v>0</v>
      </c>
      <c r="Q114" s="70">
        <f>'RESUMEN TOTAL'!X148</f>
        <v>0</v>
      </c>
      <c r="R114" s="70">
        <f>'RESUMEN TOTAL'!Y148</f>
        <v>0</v>
      </c>
      <c r="S114" s="70">
        <f>'RESUMEN TOTAL'!Z148</f>
        <v>0</v>
      </c>
      <c r="T114" s="70">
        <f>'RESUMEN TOTAL'!AA148</f>
        <v>0</v>
      </c>
      <c r="U114" s="70">
        <f>'RESUMEN TOTAL'!AB148</f>
        <v>0</v>
      </c>
      <c r="V114" s="70">
        <f>'RESUMEN TOTAL'!AC148</f>
        <v>0</v>
      </c>
      <c r="W114" s="70">
        <f>'RESUMEN TOTAL'!AD148</f>
        <v>0</v>
      </c>
      <c r="X114" s="70">
        <f>'RESUMEN TOTAL'!AE148</f>
        <v>0</v>
      </c>
      <c r="Y114" s="70">
        <f>'RESUMEN TOTAL'!AF148</f>
        <v>0</v>
      </c>
      <c r="Z114" s="70">
        <f>'RESUMEN TOTAL'!AG148</f>
        <v>0</v>
      </c>
      <c r="AA114" s="70">
        <f>'RESUMEN TOTAL'!AH148</f>
        <v>0</v>
      </c>
      <c r="AB114" s="70">
        <f>'RESUMEN TOTAL'!AI148</f>
        <v>0</v>
      </c>
      <c r="AC114" s="70">
        <f>'RESUMEN TOTAL'!AJ148</f>
        <v>0</v>
      </c>
      <c r="AD114" s="70">
        <f>'RESUMEN TOTAL'!AK148</f>
        <v>0</v>
      </c>
      <c r="AE114" s="70">
        <f>'RESUMEN TOTAL'!AL148</f>
        <v>0</v>
      </c>
      <c r="AF114" s="70">
        <f>'RESUMEN TOTAL'!AM148</f>
        <v>0</v>
      </c>
      <c r="AG114" s="70">
        <f>'RESUMEN TOTAL'!AN148</f>
        <v>0</v>
      </c>
      <c r="AH114" s="70">
        <f>'RESUMEN TOTAL'!AO148</f>
        <v>0</v>
      </c>
      <c r="AI114" s="70">
        <f>'RESUMEN TOTAL'!AP148</f>
        <v>0</v>
      </c>
      <c r="AJ114" s="70">
        <f>'RESUMEN TOTAL'!AQ148</f>
        <v>0</v>
      </c>
    </row>
    <row r="115" spans="1:36" x14ac:dyDescent="0.25">
      <c r="A115" t="str">
        <f>'RESUMEN TOTAL'!A149</f>
        <v>VILLA MONICA NUEVA</v>
      </c>
      <c r="B115" t="str">
        <f>'RESUMEN TOTAL'!B149</f>
        <v>COL01</v>
      </c>
      <c r="C115" t="str">
        <f>'RESUMEN TOTAL'!D149</f>
        <v>Eva Peron y Cariboni</v>
      </c>
      <c r="D115" s="30" t="str">
        <f>'RESUMEN TOTAL'!E149</f>
        <v>Domo</v>
      </c>
      <c r="E115" s="30" t="str">
        <f>'RESUMEN TOTAL'!F149</f>
        <v>Fibra Optica</v>
      </c>
      <c r="F115" s="70">
        <f>'RESUMEN TOTAL'!M149</f>
        <v>0</v>
      </c>
      <c r="G115" s="70">
        <f>'RESUMEN TOTAL'!N149</f>
        <v>0</v>
      </c>
      <c r="H115" s="70">
        <f>'RESUMEN TOTAL'!O149</f>
        <v>0</v>
      </c>
      <c r="I115" s="70">
        <f>'RESUMEN TOTAL'!P149</f>
        <v>0</v>
      </c>
      <c r="J115" s="70">
        <f>'RESUMEN TOTAL'!Q149</f>
        <v>0</v>
      </c>
      <c r="K115" s="70">
        <f>'RESUMEN TOTAL'!R149</f>
        <v>0</v>
      </c>
      <c r="L115" s="70">
        <f>'RESUMEN TOTAL'!S149</f>
        <v>0</v>
      </c>
      <c r="M115" s="70">
        <f>'RESUMEN TOTAL'!T149</f>
        <v>0</v>
      </c>
      <c r="N115" s="70">
        <f>'RESUMEN TOTAL'!U149</f>
        <v>0</v>
      </c>
      <c r="O115" s="70">
        <f>'RESUMEN TOTAL'!V149</f>
        <v>0</v>
      </c>
      <c r="P115" s="70">
        <f>'RESUMEN TOTAL'!W149</f>
        <v>0</v>
      </c>
      <c r="Q115" s="70">
        <f>'RESUMEN TOTAL'!X149</f>
        <v>0</v>
      </c>
      <c r="R115" s="70">
        <f>'RESUMEN TOTAL'!Y149</f>
        <v>0</v>
      </c>
      <c r="S115" s="70">
        <f>'RESUMEN TOTAL'!Z149</f>
        <v>0</v>
      </c>
      <c r="T115" s="70">
        <f>'RESUMEN TOTAL'!AA149</f>
        <v>0</v>
      </c>
      <c r="U115" s="70">
        <f>'RESUMEN TOTAL'!AB149</f>
        <v>0</v>
      </c>
      <c r="V115" s="70">
        <f>'RESUMEN TOTAL'!AC149</f>
        <v>0</v>
      </c>
      <c r="W115" s="70">
        <f>'RESUMEN TOTAL'!AD149</f>
        <v>0</v>
      </c>
      <c r="X115" s="70">
        <f>'RESUMEN TOTAL'!AE149</f>
        <v>0</v>
      </c>
      <c r="Y115" s="70">
        <f>'RESUMEN TOTAL'!AF149</f>
        <v>0</v>
      </c>
      <c r="Z115" s="70">
        <f>'RESUMEN TOTAL'!AG149</f>
        <v>0</v>
      </c>
      <c r="AA115" s="70">
        <f>'RESUMEN TOTAL'!AH149</f>
        <v>0</v>
      </c>
      <c r="AB115" s="70">
        <f>'RESUMEN TOTAL'!AI149</f>
        <v>0</v>
      </c>
      <c r="AC115" s="70">
        <f>'RESUMEN TOTAL'!AJ149</f>
        <v>0</v>
      </c>
      <c r="AD115" s="70">
        <f>'RESUMEN TOTAL'!AK149</f>
        <v>0</v>
      </c>
      <c r="AE115" s="70">
        <f>'RESUMEN TOTAL'!AL149</f>
        <v>0</v>
      </c>
      <c r="AF115" s="70">
        <f>'RESUMEN TOTAL'!AM149</f>
        <v>0</v>
      </c>
      <c r="AG115" s="70">
        <f>'RESUMEN TOTAL'!AN149</f>
        <v>0</v>
      </c>
      <c r="AH115" s="70">
        <f>'RESUMEN TOTAL'!AO149</f>
        <v>0</v>
      </c>
      <c r="AI115" s="70">
        <f>'RESUMEN TOTAL'!AP149</f>
        <v>0</v>
      </c>
      <c r="AJ115" s="70">
        <f>'RESUMEN TOTAL'!AQ149</f>
        <v>0</v>
      </c>
    </row>
    <row r="116" spans="1:36" x14ac:dyDescent="0.25">
      <c r="A116" t="str">
        <f>'RESUMEN TOTAL'!A150</f>
        <v>LA COLORADA ESTE</v>
      </c>
      <c r="B116" t="str">
        <f>'RESUMEN TOTAL'!B150</f>
        <v>COL02</v>
      </c>
      <c r="C116" t="str">
        <f>'RESUMEN TOTAL'!D150</f>
        <v>Av. Eva Peron y Pompeya</v>
      </c>
      <c r="D116" s="30" t="str">
        <f>'RESUMEN TOTAL'!E150</f>
        <v>Domo</v>
      </c>
      <c r="E116" s="30" t="str">
        <f>'RESUMEN TOTAL'!F150</f>
        <v>PTO A FO</v>
      </c>
      <c r="F116" s="70">
        <f>'RESUMEN TOTAL'!M150</f>
        <v>0</v>
      </c>
      <c r="G116" s="70">
        <f>'RESUMEN TOTAL'!N150</f>
        <v>0</v>
      </c>
      <c r="H116" s="70">
        <f>'RESUMEN TOTAL'!O150</f>
        <v>0</v>
      </c>
      <c r="I116" s="70">
        <f>'RESUMEN TOTAL'!P150</f>
        <v>0</v>
      </c>
      <c r="J116" s="70">
        <f>'RESUMEN TOTAL'!Q150</f>
        <v>0</v>
      </c>
      <c r="K116" s="70">
        <f>'RESUMEN TOTAL'!R150</f>
        <v>0</v>
      </c>
      <c r="L116" s="70">
        <f>'RESUMEN TOTAL'!S150</f>
        <v>0</v>
      </c>
      <c r="M116" s="70">
        <f>'RESUMEN TOTAL'!T150</f>
        <v>0</v>
      </c>
      <c r="N116" s="70">
        <f>'RESUMEN TOTAL'!U150</f>
        <v>0</v>
      </c>
      <c r="O116" s="70">
        <f>'RESUMEN TOTAL'!V150</f>
        <v>0</v>
      </c>
      <c r="P116" s="70">
        <f>'RESUMEN TOTAL'!W150</f>
        <v>0</v>
      </c>
      <c r="Q116" s="70">
        <f>'RESUMEN TOTAL'!X150</f>
        <v>0</v>
      </c>
      <c r="R116" s="70">
        <f>'RESUMEN TOTAL'!Y150</f>
        <v>0</v>
      </c>
      <c r="S116" s="70">
        <f>'RESUMEN TOTAL'!Z150</f>
        <v>0</v>
      </c>
      <c r="T116" s="70">
        <f>'RESUMEN TOTAL'!AA150</f>
        <v>0</v>
      </c>
      <c r="U116" s="70">
        <f>'RESUMEN TOTAL'!AB150</f>
        <v>0</v>
      </c>
      <c r="V116" s="70">
        <f>'RESUMEN TOTAL'!AC150</f>
        <v>0</v>
      </c>
      <c r="W116" s="70">
        <f>'RESUMEN TOTAL'!AD150</f>
        <v>0</v>
      </c>
      <c r="X116" s="70">
        <f>'RESUMEN TOTAL'!AE150</f>
        <v>0</v>
      </c>
      <c r="Y116" s="70">
        <f>'RESUMEN TOTAL'!AF150</f>
        <v>0</v>
      </c>
      <c r="Z116" s="70">
        <f>'RESUMEN TOTAL'!AG150</f>
        <v>0</v>
      </c>
      <c r="AA116" s="70">
        <f>'RESUMEN TOTAL'!AH150</f>
        <v>0</v>
      </c>
      <c r="AB116" s="70">
        <f>'RESUMEN TOTAL'!AI150</f>
        <v>0</v>
      </c>
      <c r="AC116" s="70">
        <f>'RESUMEN TOTAL'!AJ150</f>
        <v>0</v>
      </c>
      <c r="AD116" s="70">
        <f>'RESUMEN TOTAL'!AK150</f>
        <v>0</v>
      </c>
      <c r="AE116" s="70">
        <f>'RESUMEN TOTAL'!AL150</f>
        <v>0</v>
      </c>
      <c r="AF116" s="70">
        <f>'RESUMEN TOTAL'!AM150</f>
        <v>0</v>
      </c>
      <c r="AG116" s="70">
        <f>'RESUMEN TOTAL'!AN150</f>
        <v>0</v>
      </c>
      <c r="AH116" s="70">
        <f>'RESUMEN TOTAL'!AO150</f>
        <v>0</v>
      </c>
      <c r="AI116" s="70">
        <f>'RESUMEN TOTAL'!AP150</f>
        <v>0</v>
      </c>
      <c r="AJ116" s="70">
        <f>'RESUMEN TOTAL'!AQ150</f>
        <v>0</v>
      </c>
    </row>
    <row r="117" spans="1:36" x14ac:dyDescent="0.25">
      <c r="A117" t="str">
        <f>'RESUMEN TOTAL'!A151</f>
        <v>LA COLORADA ESTE</v>
      </c>
      <c r="B117" t="str">
        <f>'RESUMEN TOTAL'!B151</f>
        <v>COL 03</v>
      </c>
      <c r="C117" t="str">
        <f>'RESUMEN TOTAL'!D151</f>
        <v>CARIBONI Y LA ANCIANIDAD</v>
      </c>
      <c r="D117" s="30" t="str">
        <f>'RESUMEN TOTAL'!E151</f>
        <v>DOMO</v>
      </c>
      <c r="E117" s="30" t="str">
        <f>'RESUMEN TOTAL'!F151</f>
        <v>Radio</v>
      </c>
      <c r="F117" s="70" t="str">
        <f>'RESUMEN TOTAL'!M151</f>
        <v>APAGADO</v>
      </c>
      <c r="G117" s="70" t="str">
        <f>'RESUMEN TOTAL'!N151</f>
        <v>APAGADO</v>
      </c>
      <c r="H117" s="70" t="str">
        <f>'RESUMEN TOTAL'!O151</f>
        <v>APAGADO</v>
      </c>
      <c r="I117" s="70" t="str">
        <f>'RESUMEN TOTAL'!P151</f>
        <v>APAGADO</v>
      </c>
      <c r="J117" s="70" t="str">
        <f>'RESUMEN TOTAL'!Q151</f>
        <v>APAGADO</v>
      </c>
      <c r="K117" s="70" t="str">
        <f>'RESUMEN TOTAL'!R151</f>
        <v>APAGADO</v>
      </c>
      <c r="L117" s="70" t="str">
        <f>'RESUMEN TOTAL'!S151</f>
        <v>APAGADO</v>
      </c>
      <c r="M117" s="70" t="str">
        <f>'RESUMEN TOTAL'!T151</f>
        <v>APAGADO</v>
      </c>
      <c r="N117" s="70">
        <f>'RESUMEN TOTAL'!U151</f>
        <v>0</v>
      </c>
      <c r="O117" s="70">
        <f>'RESUMEN TOTAL'!V151</f>
        <v>0</v>
      </c>
      <c r="P117" s="70">
        <f>'RESUMEN TOTAL'!W151</f>
        <v>0</v>
      </c>
      <c r="Q117" s="70">
        <f>'RESUMEN TOTAL'!X151</f>
        <v>0</v>
      </c>
      <c r="R117" s="70">
        <f>'RESUMEN TOTAL'!Y151</f>
        <v>0</v>
      </c>
      <c r="S117" s="70">
        <f>'RESUMEN TOTAL'!Z151</f>
        <v>0</v>
      </c>
      <c r="T117" s="70">
        <f>'RESUMEN TOTAL'!AA151</f>
        <v>0</v>
      </c>
      <c r="U117" s="70">
        <f>'RESUMEN TOTAL'!AB151</f>
        <v>0</v>
      </c>
      <c r="V117" s="70">
        <f>'RESUMEN TOTAL'!AC151</f>
        <v>0</v>
      </c>
      <c r="W117" s="70">
        <f>'RESUMEN TOTAL'!AD151</f>
        <v>0</v>
      </c>
      <c r="X117" s="70">
        <f>'RESUMEN TOTAL'!AE151</f>
        <v>0</v>
      </c>
      <c r="Y117" s="70">
        <f>'RESUMEN TOTAL'!AF151</f>
        <v>0</v>
      </c>
      <c r="Z117" s="70">
        <f>'RESUMEN TOTAL'!AG151</f>
        <v>0</v>
      </c>
      <c r="AA117" s="70">
        <f>'RESUMEN TOTAL'!AH151</f>
        <v>0</v>
      </c>
      <c r="AB117" s="70">
        <f>'RESUMEN TOTAL'!AI151</f>
        <v>0</v>
      </c>
      <c r="AC117" s="70">
        <f>'RESUMEN TOTAL'!AJ151</f>
        <v>0</v>
      </c>
      <c r="AD117" s="70">
        <f>'RESUMEN TOTAL'!AK151</f>
        <v>0</v>
      </c>
      <c r="AE117" s="70">
        <f>'RESUMEN TOTAL'!AL151</f>
        <v>0</v>
      </c>
      <c r="AF117" s="70">
        <f>'RESUMEN TOTAL'!AM151</f>
        <v>0</v>
      </c>
      <c r="AG117" s="70">
        <f>'RESUMEN TOTAL'!AN151</f>
        <v>0</v>
      </c>
      <c r="AH117" s="70">
        <f>'RESUMEN TOTAL'!AO151</f>
        <v>0</v>
      </c>
      <c r="AI117" s="70">
        <f>'RESUMEN TOTAL'!AP151</f>
        <v>0</v>
      </c>
      <c r="AJ117" s="70">
        <f>'RESUMEN TOTAL'!AQ151</f>
        <v>0</v>
      </c>
    </row>
    <row r="118" spans="1:36" x14ac:dyDescent="0.25">
      <c r="A118" t="str">
        <f>'RESUMEN TOTAL'!A152</f>
        <v>LA COLORADA ESTE</v>
      </c>
      <c r="B118" t="str">
        <f>'RESUMEN TOTAL'!B152</f>
        <v>COL 04</v>
      </c>
      <c r="C118" t="str">
        <f>'RESUMEN TOTAL'!D152</f>
        <v>EVA PERON Y SAVIO</v>
      </c>
      <c r="D118" s="30" t="str">
        <f>'RESUMEN TOTAL'!E152</f>
        <v>Domo</v>
      </c>
      <c r="E118" s="30" t="str">
        <f>'RESUMEN TOTAL'!F152</f>
        <v>Fibra Optica</v>
      </c>
      <c r="F118" s="70">
        <f>'RESUMEN TOTAL'!M152</f>
        <v>0</v>
      </c>
      <c r="G118" s="70">
        <f>'RESUMEN TOTAL'!N152</f>
        <v>0</v>
      </c>
      <c r="H118" s="70">
        <f>'RESUMEN TOTAL'!O152</f>
        <v>0</v>
      </c>
      <c r="I118" s="70">
        <f>'RESUMEN TOTAL'!P152</f>
        <v>0</v>
      </c>
      <c r="J118" s="70">
        <f>'RESUMEN TOTAL'!Q152</f>
        <v>0</v>
      </c>
      <c r="K118" s="70">
        <f>'RESUMEN TOTAL'!R152</f>
        <v>0</v>
      </c>
      <c r="L118" s="70">
        <f>'RESUMEN TOTAL'!S152</f>
        <v>0</v>
      </c>
      <c r="M118" s="70">
        <f>'RESUMEN TOTAL'!T152</f>
        <v>0</v>
      </c>
      <c r="N118" s="70">
        <f>'RESUMEN TOTAL'!U152</f>
        <v>0</v>
      </c>
      <c r="O118" s="70">
        <f>'RESUMEN TOTAL'!V152</f>
        <v>0</v>
      </c>
      <c r="P118" s="70">
        <f>'RESUMEN TOTAL'!W152</f>
        <v>0</v>
      </c>
      <c r="Q118" s="70">
        <f>'RESUMEN TOTAL'!X152</f>
        <v>0</v>
      </c>
      <c r="R118" s="70">
        <f>'RESUMEN TOTAL'!Y152</f>
        <v>0</v>
      </c>
      <c r="S118" s="70">
        <f>'RESUMEN TOTAL'!Z152</f>
        <v>0</v>
      </c>
      <c r="T118" s="70">
        <f>'RESUMEN TOTAL'!AA152</f>
        <v>0</v>
      </c>
      <c r="U118" s="70">
        <f>'RESUMEN TOTAL'!AB152</f>
        <v>0</v>
      </c>
      <c r="V118" s="70">
        <f>'RESUMEN TOTAL'!AC152</f>
        <v>0</v>
      </c>
      <c r="W118" s="70">
        <f>'RESUMEN TOTAL'!AD152</f>
        <v>0</v>
      </c>
      <c r="X118" s="70">
        <f>'RESUMEN TOTAL'!AE152</f>
        <v>0</v>
      </c>
      <c r="Y118" s="70">
        <f>'RESUMEN TOTAL'!AF152</f>
        <v>0</v>
      </c>
      <c r="Z118" s="70">
        <f>'RESUMEN TOTAL'!AG152</f>
        <v>0</v>
      </c>
      <c r="AA118" s="70">
        <f>'RESUMEN TOTAL'!AH152</f>
        <v>0</v>
      </c>
      <c r="AB118" s="70">
        <f>'RESUMEN TOTAL'!AI152</f>
        <v>0</v>
      </c>
      <c r="AC118" s="70">
        <f>'RESUMEN TOTAL'!AJ152</f>
        <v>0</v>
      </c>
      <c r="AD118" s="70">
        <f>'RESUMEN TOTAL'!AK152</f>
        <v>0</v>
      </c>
      <c r="AE118" s="70">
        <f>'RESUMEN TOTAL'!AL152</f>
        <v>0</v>
      </c>
      <c r="AF118" s="70">
        <f>'RESUMEN TOTAL'!AM152</f>
        <v>0</v>
      </c>
      <c r="AG118" s="70">
        <f>'RESUMEN TOTAL'!AN152</f>
        <v>0</v>
      </c>
      <c r="AH118" s="70">
        <f>'RESUMEN TOTAL'!AO152</f>
        <v>0</v>
      </c>
      <c r="AI118" s="70">
        <f>'RESUMEN TOTAL'!AP152</f>
        <v>0</v>
      </c>
      <c r="AJ118" s="70">
        <f>'RESUMEN TOTAL'!AQ152</f>
        <v>0</v>
      </c>
    </row>
    <row r="119" spans="1:36" x14ac:dyDescent="0.25">
      <c r="A119" t="str">
        <f>'RESUMEN TOTAL'!A153</f>
        <v>DON JOSE</v>
      </c>
      <c r="B119" t="str">
        <f>'RESUMEN TOTAL'!B153</f>
        <v>DJO01</v>
      </c>
      <c r="C119" t="str">
        <f>'RESUMEN TOTAL'!D153</f>
        <v>Monteverde y Donato Alvarez</v>
      </c>
      <c r="D119" s="30" t="str">
        <f>'RESUMEN TOTAL'!E153</f>
        <v>Domo</v>
      </c>
      <c r="E119" s="30" t="str">
        <f>'RESUMEN TOTAL'!F153</f>
        <v>GPON</v>
      </c>
      <c r="F119" s="70">
        <f>'RESUMEN TOTAL'!M153</f>
        <v>0</v>
      </c>
      <c r="G119" s="70">
        <f>'RESUMEN TOTAL'!N153</f>
        <v>0</v>
      </c>
      <c r="H119" s="70">
        <f>'RESUMEN TOTAL'!O153</f>
        <v>0</v>
      </c>
      <c r="I119" s="70">
        <f>'RESUMEN TOTAL'!P153</f>
        <v>0</v>
      </c>
      <c r="J119" s="70">
        <f>'RESUMEN TOTAL'!Q153</f>
        <v>0</v>
      </c>
      <c r="K119" s="70">
        <f>'RESUMEN TOTAL'!R153</f>
        <v>0</v>
      </c>
      <c r="L119" s="70">
        <f>'RESUMEN TOTAL'!S153</f>
        <v>0</v>
      </c>
      <c r="M119" s="70">
        <f>'RESUMEN TOTAL'!T153</f>
        <v>0</v>
      </c>
      <c r="N119" s="70">
        <f>'RESUMEN TOTAL'!U153</f>
        <v>0</v>
      </c>
      <c r="O119" s="70">
        <f>'RESUMEN TOTAL'!V153</f>
        <v>0</v>
      </c>
      <c r="P119" s="70">
        <f>'RESUMEN TOTAL'!W153</f>
        <v>0</v>
      </c>
      <c r="Q119" s="70">
        <f>'RESUMEN TOTAL'!X153</f>
        <v>0</v>
      </c>
      <c r="R119" s="70">
        <f>'RESUMEN TOTAL'!Y153</f>
        <v>0</v>
      </c>
      <c r="S119" s="70">
        <f>'RESUMEN TOTAL'!Z153</f>
        <v>0</v>
      </c>
      <c r="T119" s="70">
        <f>'RESUMEN TOTAL'!AA153</f>
        <v>0</v>
      </c>
      <c r="U119" s="70">
        <f>'RESUMEN TOTAL'!AB153</f>
        <v>0</v>
      </c>
      <c r="V119" s="70">
        <f>'RESUMEN TOTAL'!AC153</f>
        <v>0</v>
      </c>
      <c r="W119" s="70">
        <f>'RESUMEN TOTAL'!AD153</f>
        <v>0</v>
      </c>
      <c r="X119" s="70">
        <f>'RESUMEN TOTAL'!AE153</f>
        <v>0</v>
      </c>
      <c r="Y119" s="70">
        <f>'RESUMEN TOTAL'!AF153</f>
        <v>0</v>
      </c>
      <c r="Z119" s="70">
        <f>'RESUMEN TOTAL'!AG153</f>
        <v>0</v>
      </c>
      <c r="AA119" s="70">
        <f>'RESUMEN TOTAL'!AH153</f>
        <v>0</v>
      </c>
      <c r="AB119" s="70">
        <f>'RESUMEN TOTAL'!AI153</f>
        <v>0</v>
      </c>
      <c r="AC119" s="70">
        <f>'RESUMEN TOTAL'!AJ153</f>
        <v>0</v>
      </c>
      <c r="AD119" s="70">
        <f>'RESUMEN TOTAL'!AK153</f>
        <v>0</v>
      </c>
      <c r="AE119" s="70">
        <f>'RESUMEN TOTAL'!AL153</f>
        <v>0</v>
      </c>
      <c r="AF119" s="70">
        <f>'RESUMEN TOTAL'!AM153</f>
        <v>0</v>
      </c>
      <c r="AG119" s="70">
        <f>'RESUMEN TOTAL'!AN153</f>
        <v>0</v>
      </c>
      <c r="AH119" s="70">
        <f>'RESUMEN TOTAL'!AO153</f>
        <v>0</v>
      </c>
      <c r="AI119" s="70">
        <f>'RESUMEN TOTAL'!AP153</f>
        <v>0</v>
      </c>
      <c r="AJ119" s="70">
        <f>'RESUMEN TOTAL'!AQ153</f>
        <v>0</v>
      </c>
    </row>
    <row r="120" spans="1:36" x14ac:dyDescent="0.25">
      <c r="A120" t="str">
        <f>'RESUMEN TOTAL'!A154</f>
        <v>DON JOSE</v>
      </c>
      <c r="B120" t="str">
        <f>'RESUMEN TOTAL'!B154</f>
        <v>DJO 02 (fija 1)</v>
      </c>
      <c r="C120" t="str">
        <f>'RESUMEN TOTAL'!D154</f>
        <v>DONATO ALVAREZ Y EL APERO</v>
      </c>
      <c r="D120" s="30" t="str">
        <f>'RESUMEN TOTAL'!E154</f>
        <v>Fija</v>
      </c>
      <c r="E120" s="30" t="str">
        <f>'RESUMEN TOTAL'!F154</f>
        <v>PTO A FO</v>
      </c>
      <c r="F120" s="70">
        <f>'RESUMEN TOTAL'!M154</f>
        <v>0</v>
      </c>
      <c r="G120" s="70">
        <f>'RESUMEN TOTAL'!N154</f>
        <v>0</v>
      </c>
      <c r="H120" s="70">
        <f>'RESUMEN TOTAL'!O154</f>
        <v>0</v>
      </c>
      <c r="I120" s="70">
        <f>'RESUMEN TOTAL'!P154</f>
        <v>0</v>
      </c>
      <c r="J120" s="70">
        <f>'RESUMEN TOTAL'!Q154</f>
        <v>0</v>
      </c>
      <c r="K120" s="70">
        <f>'RESUMEN TOTAL'!R154</f>
        <v>0</v>
      </c>
      <c r="L120" s="70">
        <f>'RESUMEN TOTAL'!S154</f>
        <v>0</v>
      </c>
      <c r="M120" s="70">
        <f>'RESUMEN TOTAL'!T154</f>
        <v>0</v>
      </c>
      <c r="N120" s="70">
        <f>'RESUMEN TOTAL'!U154</f>
        <v>0</v>
      </c>
      <c r="O120" s="70">
        <f>'RESUMEN TOTAL'!V154</f>
        <v>0</v>
      </c>
      <c r="P120" s="70">
        <f>'RESUMEN TOTAL'!W154</f>
        <v>0</v>
      </c>
      <c r="Q120" s="70">
        <f>'RESUMEN TOTAL'!X154</f>
        <v>0</v>
      </c>
      <c r="R120" s="70">
        <f>'RESUMEN TOTAL'!Y154</f>
        <v>0</v>
      </c>
      <c r="S120" s="70">
        <f>'RESUMEN TOTAL'!Z154</f>
        <v>0</v>
      </c>
      <c r="T120" s="70">
        <f>'RESUMEN TOTAL'!AA154</f>
        <v>0</v>
      </c>
      <c r="U120" s="70">
        <f>'RESUMEN TOTAL'!AB154</f>
        <v>0</v>
      </c>
      <c r="V120" s="70">
        <f>'RESUMEN TOTAL'!AC154</f>
        <v>0</v>
      </c>
      <c r="W120" s="70">
        <f>'RESUMEN TOTAL'!AD154</f>
        <v>0</v>
      </c>
      <c r="X120" s="70">
        <f>'RESUMEN TOTAL'!AE154</f>
        <v>0</v>
      </c>
      <c r="Y120" s="70">
        <f>'RESUMEN TOTAL'!AF154</f>
        <v>0</v>
      </c>
      <c r="Z120" s="70">
        <f>'RESUMEN TOTAL'!AG154</f>
        <v>0</v>
      </c>
      <c r="AA120" s="70">
        <f>'RESUMEN TOTAL'!AH154</f>
        <v>0</v>
      </c>
      <c r="AB120" s="70">
        <f>'RESUMEN TOTAL'!AI154</f>
        <v>0</v>
      </c>
      <c r="AC120" s="70">
        <f>'RESUMEN TOTAL'!AJ154</f>
        <v>0</v>
      </c>
      <c r="AD120" s="70">
        <f>'RESUMEN TOTAL'!AK154</f>
        <v>0</v>
      </c>
      <c r="AE120" s="70">
        <f>'RESUMEN TOTAL'!AL154</f>
        <v>0</v>
      </c>
      <c r="AF120" s="70">
        <f>'RESUMEN TOTAL'!AM154</f>
        <v>0</v>
      </c>
      <c r="AG120" s="70">
        <f>'RESUMEN TOTAL'!AN154</f>
        <v>0</v>
      </c>
      <c r="AH120" s="70">
        <f>'RESUMEN TOTAL'!AO154</f>
        <v>0</v>
      </c>
      <c r="AI120" s="70">
        <f>'RESUMEN TOTAL'!AP154</f>
        <v>0</v>
      </c>
      <c r="AJ120" s="70">
        <f>'RESUMEN TOTAL'!AQ154</f>
        <v>0</v>
      </c>
    </row>
    <row r="121" spans="1:36" x14ac:dyDescent="0.25">
      <c r="A121" t="str">
        <f>'RESUMEN TOTAL'!A155</f>
        <v>DON JOSE</v>
      </c>
      <c r="B121" t="str">
        <f>'RESUMEN TOTAL'!B155</f>
        <v>DJO 03 (fija 2)</v>
      </c>
      <c r="C121" t="str">
        <f>'RESUMEN TOTAL'!D155</f>
        <v>DONATO ALVAREZ Y EL APERO</v>
      </c>
      <c r="D121" s="30" t="str">
        <f>'RESUMEN TOTAL'!E155</f>
        <v>Fija</v>
      </c>
      <c r="E121" s="30" t="str">
        <f>'RESUMEN TOTAL'!F155</f>
        <v>PTO A FO</v>
      </c>
      <c r="F121" s="70">
        <f>'RESUMEN TOTAL'!M155</f>
        <v>0</v>
      </c>
      <c r="G121" s="70">
        <f>'RESUMEN TOTAL'!N155</f>
        <v>0</v>
      </c>
      <c r="H121" s="70">
        <f>'RESUMEN TOTAL'!O155</f>
        <v>0</v>
      </c>
      <c r="I121" s="70">
        <f>'RESUMEN TOTAL'!P155</f>
        <v>0</v>
      </c>
      <c r="J121" s="70">
        <f>'RESUMEN TOTAL'!Q155</f>
        <v>0</v>
      </c>
      <c r="K121" s="70">
        <f>'RESUMEN TOTAL'!R155</f>
        <v>0</v>
      </c>
      <c r="L121" s="70">
        <f>'RESUMEN TOTAL'!S155</f>
        <v>0</v>
      </c>
      <c r="M121" s="70">
        <f>'RESUMEN TOTAL'!T155</f>
        <v>0</v>
      </c>
      <c r="N121" s="70">
        <f>'RESUMEN TOTAL'!U155</f>
        <v>0</v>
      </c>
      <c r="O121" s="70">
        <f>'RESUMEN TOTAL'!V155</f>
        <v>0</v>
      </c>
      <c r="P121" s="70">
        <f>'RESUMEN TOTAL'!W155</f>
        <v>0</v>
      </c>
      <c r="Q121" s="70">
        <f>'RESUMEN TOTAL'!X155</f>
        <v>0</v>
      </c>
      <c r="R121" s="70">
        <f>'RESUMEN TOTAL'!Y155</f>
        <v>0</v>
      </c>
      <c r="S121" s="70">
        <f>'RESUMEN TOTAL'!Z155</f>
        <v>0</v>
      </c>
      <c r="T121" s="70">
        <f>'RESUMEN TOTAL'!AA155</f>
        <v>0</v>
      </c>
      <c r="U121" s="70">
        <f>'RESUMEN TOTAL'!AB155</f>
        <v>0</v>
      </c>
      <c r="V121" s="70">
        <f>'RESUMEN TOTAL'!AC155</f>
        <v>0</v>
      </c>
      <c r="W121" s="70">
        <f>'RESUMEN TOTAL'!AD155</f>
        <v>0</v>
      </c>
      <c r="X121" s="70">
        <f>'RESUMEN TOTAL'!AE155</f>
        <v>0</v>
      </c>
      <c r="Y121" s="70">
        <f>'RESUMEN TOTAL'!AF155</f>
        <v>0</v>
      </c>
      <c r="Z121" s="70">
        <f>'RESUMEN TOTAL'!AG155</f>
        <v>0</v>
      </c>
      <c r="AA121" s="70">
        <f>'RESUMEN TOTAL'!AH155</f>
        <v>0</v>
      </c>
      <c r="AB121" s="70">
        <f>'RESUMEN TOTAL'!AI155</f>
        <v>0</v>
      </c>
      <c r="AC121" s="70">
        <f>'RESUMEN TOTAL'!AJ155</f>
        <v>0</v>
      </c>
      <c r="AD121" s="70">
        <f>'RESUMEN TOTAL'!AK155</f>
        <v>0</v>
      </c>
      <c r="AE121" s="70">
        <f>'RESUMEN TOTAL'!AL155</f>
        <v>0</v>
      </c>
      <c r="AF121" s="70">
        <f>'RESUMEN TOTAL'!AM155</f>
        <v>0</v>
      </c>
      <c r="AG121" s="70">
        <f>'RESUMEN TOTAL'!AN155</f>
        <v>0</v>
      </c>
      <c r="AH121" s="70">
        <f>'RESUMEN TOTAL'!AO155</f>
        <v>0</v>
      </c>
      <c r="AI121" s="70">
        <f>'RESUMEN TOTAL'!AP155</f>
        <v>0</v>
      </c>
      <c r="AJ121" s="70">
        <f>'RESUMEN TOTAL'!AQ155</f>
        <v>0</v>
      </c>
    </row>
    <row r="122" spans="1:36" x14ac:dyDescent="0.25">
      <c r="A122" t="str">
        <f>'RESUMEN TOTAL'!A156</f>
        <v>DON JOSE</v>
      </c>
      <c r="B122" t="str">
        <f>'RESUMEN TOTAL'!B156</f>
        <v>DJO 04 (Fija 1)</v>
      </c>
      <c r="C122" t="str">
        <f>'RESUMEN TOTAL'!D156</f>
        <v>MONTEVERDE Y EL INDIO</v>
      </c>
      <c r="D122" s="30" t="str">
        <f>'RESUMEN TOTAL'!E156</f>
        <v>Fija</v>
      </c>
      <c r="E122" s="30" t="str">
        <f>'RESUMEN TOTAL'!F156</f>
        <v>GPON</v>
      </c>
      <c r="F122" s="70">
        <f>'RESUMEN TOTAL'!M156</f>
        <v>0</v>
      </c>
      <c r="G122" s="70">
        <f>'RESUMEN TOTAL'!N156</f>
        <v>0</v>
      </c>
      <c r="H122" s="70">
        <f>'RESUMEN TOTAL'!O156</f>
        <v>0</v>
      </c>
      <c r="I122" s="70">
        <f>'RESUMEN TOTAL'!P156</f>
        <v>0</v>
      </c>
      <c r="J122" s="70">
        <f>'RESUMEN TOTAL'!Q156</f>
        <v>0</v>
      </c>
      <c r="K122" s="70">
        <f>'RESUMEN TOTAL'!R156</f>
        <v>0</v>
      </c>
      <c r="L122" s="70">
        <f>'RESUMEN TOTAL'!S156</f>
        <v>0</v>
      </c>
      <c r="M122" s="70">
        <f>'RESUMEN TOTAL'!T156</f>
        <v>0</v>
      </c>
      <c r="N122" s="70">
        <f>'RESUMEN TOTAL'!U156</f>
        <v>0</v>
      </c>
      <c r="O122" s="70">
        <f>'RESUMEN TOTAL'!V156</f>
        <v>0</v>
      </c>
      <c r="P122" s="70">
        <f>'RESUMEN TOTAL'!W156</f>
        <v>0</v>
      </c>
      <c r="Q122" s="70">
        <f>'RESUMEN TOTAL'!X156</f>
        <v>0</v>
      </c>
      <c r="R122" s="70">
        <f>'RESUMEN TOTAL'!Y156</f>
        <v>0</v>
      </c>
      <c r="S122" s="70">
        <f>'RESUMEN TOTAL'!Z156</f>
        <v>0</v>
      </c>
      <c r="T122" s="70">
        <f>'RESUMEN TOTAL'!AA156</f>
        <v>0</v>
      </c>
      <c r="U122" s="70">
        <f>'RESUMEN TOTAL'!AB156</f>
        <v>0</v>
      </c>
      <c r="V122" s="70">
        <f>'RESUMEN TOTAL'!AC156</f>
        <v>0</v>
      </c>
      <c r="W122" s="70">
        <f>'RESUMEN TOTAL'!AD156</f>
        <v>0</v>
      </c>
      <c r="X122" s="70">
        <f>'RESUMEN TOTAL'!AE156</f>
        <v>0</v>
      </c>
      <c r="Y122" s="70">
        <f>'RESUMEN TOTAL'!AF156</f>
        <v>0</v>
      </c>
      <c r="Z122" s="70">
        <f>'RESUMEN TOTAL'!AG156</f>
        <v>0</v>
      </c>
      <c r="AA122" s="70">
        <f>'RESUMEN TOTAL'!AH156</f>
        <v>0</v>
      </c>
      <c r="AB122" s="70">
        <f>'RESUMEN TOTAL'!AI156</f>
        <v>0</v>
      </c>
      <c r="AC122" s="70">
        <f>'RESUMEN TOTAL'!AJ156</f>
        <v>0</v>
      </c>
      <c r="AD122" s="70">
        <f>'RESUMEN TOTAL'!AK156</f>
        <v>0</v>
      </c>
      <c r="AE122" s="70">
        <f>'RESUMEN TOTAL'!AL156</f>
        <v>0</v>
      </c>
      <c r="AF122" s="70">
        <f>'RESUMEN TOTAL'!AM156</f>
        <v>0</v>
      </c>
      <c r="AG122" s="70">
        <f>'RESUMEN TOTAL'!AN156</f>
        <v>0</v>
      </c>
      <c r="AH122" s="70">
        <f>'RESUMEN TOTAL'!AO156</f>
        <v>0</v>
      </c>
      <c r="AI122" s="70">
        <f>'RESUMEN TOTAL'!AP156</f>
        <v>0</v>
      </c>
      <c r="AJ122" s="70">
        <f>'RESUMEN TOTAL'!AQ156</f>
        <v>0</v>
      </c>
    </row>
    <row r="123" spans="1:36" x14ac:dyDescent="0.25">
      <c r="A123" t="str">
        <f>'RESUMEN TOTAL'!A157</f>
        <v>DON JOSE</v>
      </c>
      <c r="B123" t="str">
        <f>'RESUMEN TOTAL'!B157</f>
        <v>DJO 05 (Fija 2)</v>
      </c>
      <c r="C123" t="str">
        <f>'RESUMEN TOTAL'!D157</f>
        <v>MONTEVERDE Y EL INDIO</v>
      </c>
      <c r="D123" s="30" t="str">
        <f>'RESUMEN TOTAL'!E157</f>
        <v>Fija</v>
      </c>
      <c r="E123" s="30" t="str">
        <f>'RESUMEN TOTAL'!F157</f>
        <v>GPON</v>
      </c>
      <c r="F123" s="70">
        <f>'RESUMEN TOTAL'!M157</f>
        <v>0</v>
      </c>
      <c r="G123" s="70">
        <f>'RESUMEN TOTAL'!N157</f>
        <v>0</v>
      </c>
      <c r="H123" s="70">
        <f>'RESUMEN TOTAL'!O157</f>
        <v>0</v>
      </c>
      <c r="I123" s="70">
        <f>'RESUMEN TOTAL'!P157</f>
        <v>0</v>
      </c>
      <c r="J123" s="70">
        <f>'RESUMEN TOTAL'!Q157</f>
        <v>0</v>
      </c>
      <c r="K123" s="70">
        <f>'RESUMEN TOTAL'!R157</f>
        <v>0</v>
      </c>
      <c r="L123" s="70">
        <f>'RESUMEN TOTAL'!S157</f>
        <v>0</v>
      </c>
      <c r="M123" s="70">
        <f>'RESUMEN TOTAL'!T157</f>
        <v>0</v>
      </c>
      <c r="N123" s="70">
        <f>'RESUMEN TOTAL'!U157</f>
        <v>0</v>
      </c>
      <c r="O123" s="70">
        <f>'RESUMEN TOTAL'!V157</f>
        <v>0</v>
      </c>
      <c r="P123" s="70">
        <f>'RESUMEN TOTAL'!W157</f>
        <v>0</v>
      </c>
      <c r="Q123" s="70">
        <f>'RESUMEN TOTAL'!X157</f>
        <v>0</v>
      </c>
      <c r="R123" s="70">
        <f>'RESUMEN TOTAL'!Y157</f>
        <v>0</v>
      </c>
      <c r="S123" s="70">
        <f>'RESUMEN TOTAL'!Z157</f>
        <v>0</v>
      </c>
      <c r="T123" s="70">
        <f>'RESUMEN TOTAL'!AA157</f>
        <v>0</v>
      </c>
      <c r="U123" s="70">
        <f>'RESUMEN TOTAL'!AB157</f>
        <v>0</v>
      </c>
      <c r="V123" s="70">
        <f>'RESUMEN TOTAL'!AC157</f>
        <v>0</v>
      </c>
      <c r="W123" s="70">
        <f>'RESUMEN TOTAL'!AD157</f>
        <v>0</v>
      </c>
      <c r="X123" s="70">
        <f>'RESUMEN TOTAL'!AE157</f>
        <v>0</v>
      </c>
      <c r="Y123" s="70">
        <f>'RESUMEN TOTAL'!AF157</f>
        <v>0</v>
      </c>
      <c r="Z123" s="70">
        <f>'RESUMEN TOTAL'!AG157</f>
        <v>0</v>
      </c>
      <c r="AA123" s="70">
        <f>'RESUMEN TOTAL'!AH157</f>
        <v>0</v>
      </c>
      <c r="AB123" s="70">
        <f>'RESUMEN TOTAL'!AI157</f>
        <v>0</v>
      </c>
      <c r="AC123" s="70">
        <f>'RESUMEN TOTAL'!AJ157</f>
        <v>0</v>
      </c>
      <c r="AD123" s="70">
        <f>'RESUMEN TOTAL'!AK157</f>
        <v>0</v>
      </c>
      <c r="AE123" s="70">
        <f>'RESUMEN TOTAL'!AL157</f>
        <v>0</v>
      </c>
      <c r="AF123" s="70">
        <f>'RESUMEN TOTAL'!AM157</f>
        <v>0</v>
      </c>
      <c r="AG123" s="70">
        <f>'RESUMEN TOTAL'!AN157</f>
        <v>0</v>
      </c>
      <c r="AH123" s="70">
        <f>'RESUMEN TOTAL'!AO157</f>
        <v>0</v>
      </c>
      <c r="AI123" s="70">
        <f>'RESUMEN TOTAL'!AP157</f>
        <v>0</v>
      </c>
      <c r="AJ123" s="70">
        <f>'RESUMEN TOTAL'!AQ157</f>
        <v>0</v>
      </c>
    </row>
    <row r="124" spans="1:36" x14ac:dyDescent="0.25">
      <c r="A124" t="str">
        <f>'RESUMEN TOTAL'!A158</f>
        <v>DON JOSE</v>
      </c>
      <c r="B124" t="str">
        <f>'RESUMEN TOTAL'!B158</f>
        <v>DJ O6</v>
      </c>
      <c r="C124" t="str">
        <f>'RESUMEN TOTAL'!D158</f>
        <v>Calle 414 y El Indio</v>
      </c>
      <c r="D124" s="30" t="str">
        <f>'RESUMEN TOTAL'!E158</f>
        <v>Fija</v>
      </c>
      <c r="E124" s="30" t="str">
        <f>'RESUMEN TOTAL'!F158</f>
        <v>PTO A FO</v>
      </c>
      <c r="F124" s="70">
        <f>'RESUMEN TOTAL'!M158</f>
        <v>0</v>
      </c>
      <c r="G124" s="70">
        <f>'RESUMEN TOTAL'!N158</f>
        <v>0</v>
      </c>
      <c r="H124" s="70">
        <f>'RESUMEN TOTAL'!O158</f>
        <v>0</v>
      </c>
      <c r="I124" s="70">
        <f>'RESUMEN TOTAL'!P158</f>
        <v>0</v>
      </c>
      <c r="J124" s="70">
        <f>'RESUMEN TOTAL'!Q158</f>
        <v>0</v>
      </c>
      <c r="K124" s="70">
        <f>'RESUMEN TOTAL'!R158</f>
        <v>0</v>
      </c>
      <c r="L124" s="70">
        <f>'RESUMEN TOTAL'!S158</f>
        <v>0</v>
      </c>
      <c r="M124" s="70">
        <f>'RESUMEN TOTAL'!T158</f>
        <v>0</v>
      </c>
      <c r="N124" s="70">
        <f>'RESUMEN TOTAL'!U158</f>
        <v>0</v>
      </c>
      <c r="O124" s="70">
        <f>'RESUMEN TOTAL'!V158</f>
        <v>0</v>
      </c>
      <c r="P124" s="70">
        <f>'RESUMEN TOTAL'!W158</f>
        <v>0</v>
      </c>
      <c r="Q124" s="70">
        <f>'RESUMEN TOTAL'!X158</f>
        <v>0</v>
      </c>
      <c r="R124" s="70">
        <f>'RESUMEN TOTAL'!Y158</f>
        <v>0</v>
      </c>
      <c r="S124" s="70">
        <f>'RESUMEN TOTAL'!Z158</f>
        <v>0</v>
      </c>
      <c r="T124" s="70">
        <f>'RESUMEN TOTAL'!AA158</f>
        <v>0</v>
      </c>
      <c r="U124" s="70">
        <f>'RESUMEN TOTAL'!AB158</f>
        <v>0</v>
      </c>
      <c r="V124" s="70">
        <f>'RESUMEN TOTAL'!AC158</f>
        <v>0</v>
      </c>
      <c r="W124" s="70">
        <f>'RESUMEN TOTAL'!AD158</f>
        <v>0</v>
      </c>
      <c r="X124" s="70">
        <f>'RESUMEN TOTAL'!AE158</f>
        <v>0</v>
      </c>
      <c r="Y124" s="70">
        <f>'RESUMEN TOTAL'!AF158</f>
        <v>0</v>
      </c>
      <c r="Z124" s="70">
        <f>'RESUMEN TOTAL'!AG158</f>
        <v>0</v>
      </c>
      <c r="AA124" s="70">
        <f>'RESUMEN TOTAL'!AH158</f>
        <v>0</v>
      </c>
      <c r="AB124" s="70">
        <f>'RESUMEN TOTAL'!AI158</f>
        <v>0</v>
      </c>
      <c r="AC124" s="70">
        <f>'RESUMEN TOTAL'!AJ158</f>
        <v>0</v>
      </c>
      <c r="AD124" s="70">
        <f>'RESUMEN TOTAL'!AK158</f>
        <v>0</v>
      </c>
      <c r="AE124" s="70">
        <f>'RESUMEN TOTAL'!AL158</f>
        <v>0</v>
      </c>
      <c r="AF124" s="70">
        <f>'RESUMEN TOTAL'!AM158</f>
        <v>0</v>
      </c>
      <c r="AG124" s="70">
        <f>'RESUMEN TOTAL'!AN158</f>
        <v>0</v>
      </c>
      <c r="AH124" s="70">
        <f>'RESUMEN TOTAL'!AO158</f>
        <v>0</v>
      </c>
      <c r="AI124" s="70">
        <f>'RESUMEN TOTAL'!AP158</f>
        <v>0</v>
      </c>
      <c r="AJ124" s="70">
        <f>'RESUMEN TOTAL'!AQ158</f>
        <v>0</v>
      </c>
    </row>
    <row r="125" spans="1:36" x14ac:dyDescent="0.25">
      <c r="A125" t="str">
        <f>'RESUMEN TOTAL'!A159</f>
        <v>DON JOSE</v>
      </c>
      <c r="B125" t="str">
        <f>'RESUMEN TOTAL'!B159</f>
        <v>DJ 07</v>
      </c>
      <c r="C125" t="str">
        <f>'RESUMEN TOTAL'!D159</f>
        <v>Calle 414 y El Indio</v>
      </c>
      <c r="D125" s="30" t="str">
        <f>'RESUMEN TOTAL'!E159</f>
        <v>Fija</v>
      </c>
      <c r="E125" s="30" t="str">
        <f>'RESUMEN TOTAL'!F159</f>
        <v>PTO A FO</v>
      </c>
      <c r="F125" s="70">
        <f>'RESUMEN TOTAL'!M159</f>
        <v>0</v>
      </c>
      <c r="G125" s="70">
        <f>'RESUMEN TOTAL'!N159</f>
        <v>0</v>
      </c>
      <c r="H125" s="70">
        <f>'RESUMEN TOTAL'!O159</f>
        <v>0</v>
      </c>
      <c r="I125" s="70">
        <f>'RESUMEN TOTAL'!P159</f>
        <v>0</v>
      </c>
      <c r="J125" s="70">
        <f>'RESUMEN TOTAL'!Q159</f>
        <v>0</v>
      </c>
      <c r="K125" s="70">
        <f>'RESUMEN TOTAL'!R159</f>
        <v>0</v>
      </c>
      <c r="L125" s="70">
        <f>'RESUMEN TOTAL'!S159</f>
        <v>0</v>
      </c>
      <c r="M125" s="70">
        <f>'RESUMEN TOTAL'!T159</f>
        <v>0</v>
      </c>
      <c r="N125" s="70">
        <f>'RESUMEN TOTAL'!U159</f>
        <v>0</v>
      </c>
      <c r="O125" s="70">
        <f>'RESUMEN TOTAL'!V159</f>
        <v>0</v>
      </c>
      <c r="P125" s="70">
        <f>'RESUMEN TOTAL'!W159</f>
        <v>0</v>
      </c>
      <c r="Q125" s="70">
        <f>'RESUMEN TOTAL'!X159</f>
        <v>0</v>
      </c>
      <c r="R125" s="70">
        <f>'RESUMEN TOTAL'!Y159</f>
        <v>0</v>
      </c>
      <c r="S125" s="70">
        <f>'RESUMEN TOTAL'!Z159</f>
        <v>0</v>
      </c>
      <c r="T125" s="70">
        <f>'RESUMEN TOTAL'!AA159</f>
        <v>0</v>
      </c>
      <c r="U125" s="70">
        <f>'RESUMEN TOTAL'!AB159</f>
        <v>0</v>
      </c>
      <c r="V125" s="70">
        <f>'RESUMEN TOTAL'!AC159</f>
        <v>0</v>
      </c>
      <c r="W125" s="70">
        <f>'RESUMEN TOTAL'!AD159</f>
        <v>0</v>
      </c>
      <c r="X125" s="70">
        <f>'RESUMEN TOTAL'!AE159</f>
        <v>0</v>
      </c>
      <c r="Y125" s="70">
        <f>'RESUMEN TOTAL'!AF159</f>
        <v>0</v>
      </c>
      <c r="Z125" s="70">
        <f>'RESUMEN TOTAL'!AG159</f>
        <v>0</v>
      </c>
      <c r="AA125" s="70">
        <f>'RESUMEN TOTAL'!AH159</f>
        <v>0</v>
      </c>
      <c r="AB125" s="70">
        <f>'RESUMEN TOTAL'!AI159</f>
        <v>0</v>
      </c>
      <c r="AC125" s="70">
        <f>'RESUMEN TOTAL'!AJ159</f>
        <v>0</v>
      </c>
      <c r="AD125" s="70">
        <f>'RESUMEN TOTAL'!AK159</f>
        <v>0</v>
      </c>
      <c r="AE125" s="70">
        <f>'RESUMEN TOTAL'!AL159</f>
        <v>0</v>
      </c>
      <c r="AF125" s="70">
        <f>'RESUMEN TOTAL'!AM159</f>
        <v>0</v>
      </c>
      <c r="AG125" s="70">
        <f>'RESUMEN TOTAL'!AN159</f>
        <v>0</v>
      </c>
      <c r="AH125" s="70">
        <f>'RESUMEN TOTAL'!AO159</f>
        <v>0</v>
      </c>
      <c r="AI125" s="70">
        <f>'RESUMEN TOTAL'!AP159</f>
        <v>0</v>
      </c>
      <c r="AJ125" s="70">
        <f>'RESUMEN TOTAL'!AQ159</f>
        <v>0</v>
      </c>
    </row>
    <row r="126" spans="1:36" x14ac:dyDescent="0.25">
      <c r="A126" t="str">
        <f>'RESUMEN TOTAL'!A164</f>
        <v>EL PARQUE</v>
      </c>
      <c r="B126" t="str">
        <f>'RESUMEN TOTAL'!B164</f>
        <v>EPQ 01</v>
      </c>
      <c r="C126" t="str">
        <f>'RESUMEN TOTAL'!D164</f>
        <v>1282 Y GRIERSON</v>
      </c>
      <c r="D126" s="30" t="str">
        <f>'RESUMEN TOTAL'!E164</f>
        <v>DOMO</v>
      </c>
      <c r="E126" s="30" t="str">
        <f>'RESUMEN TOTAL'!F164</f>
        <v>Fibra Optica</v>
      </c>
      <c r="F126" s="70">
        <f>'RESUMEN TOTAL'!M164</f>
        <v>0</v>
      </c>
      <c r="G126" s="70">
        <f>'RESUMEN TOTAL'!N164</f>
        <v>0</v>
      </c>
      <c r="H126" s="70">
        <f>'RESUMEN TOTAL'!O164</f>
        <v>0</v>
      </c>
      <c r="I126" s="70">
        <f>'RESUMEN TOTAL'!P164</f>
        <v>0</v>
      </c>
      <c r="J126" s="70">
        <f>'RESUMEN TOTAL'!Q164</f>
        <v>0</v>
      </c>
      <c r="K126" s="70">
        <f>'RESUMEN TOTAL'!R164</f>
        <v>0</v>
      </c>
      <c r="L126" s="70">
        <f>'RESUMEN TOTAL'!S164</f>
        <v>0</v>
      </c>
      <c r="M126" s="70">
        <f>'RESUMEN TOTAL'!T164</f>
        <v>0</v>
      </c>
      <c r="N126" s="70">
        <f>'RESUMEN TOTAL'!U164</f>
        <v>0</v>
      </c>
      <c r="O126" s="70">
        <f>'RESUMEN TOTAL'!V164</f>
        <v>0</v>
      </c>
      <c r="P126" s="70">
        <f>'RESUMEN TOTAL'!W164</f>
        <v>0</v>
      </c>
      <c r="Q126" s="70">
        <f>'RESUMEN TOTAL'!X164</f>
        <v>0</v>
      </c>
      <c r="R126" s="70">
        <f>'RESUMEN TOTAL'!Y164</f>
        <v>0</v>
      </c>
      <c r="S126" s="70">
        <f>'RESUMEN TOTAL'!Z164</f>
        <v>0</v>
      </c>
      <c r="T126" s="70">
        <f>'RESUMEN TOTAL'!AA164</f>
        <v>0</v>
      </c>
      <c r="U126" s="70">
        <f>'RESUMEN TOTAL'!AB164</f>
        <v>0</v>
      </c>
      <c r="V126" s="70">
        <f>'RESUMEN TOTAL'!AC164</f>
        <v>0</v>
      </c>
      <c r="W126" s="70">
        <f>'RESUMEN TOTAL'!AD164</f>
        <v>0</v>
      </c>
      <c r="X126" s="70">
        <f>'RESUMEN TOTAL'!AE164</f>
        <v>0</v>
      </c>
      <c r="Y126" s="70">
        <f>'RESUMEN TOTAL'!AF164</f>
        <v>0</v>
      </c>
      <c r="Z126" s="70">
        <f>'RESUMEN TOTAL'!AG164</f>
        <v>0</v>
      </c>
      <c r="AA126" s="70">
        <f>'RESUMEN TOTAL'!AH164</f>
        <v>0</v>
      </c>
      <c r="AB126" s="70">
        <f>'RESUMEN TOTAL'!AI164</f>
        <v>0</v>
      </c>
      <c r="AC126" s="70">
        <f>'RESUMEN TOTAL'!AJ164</f>
        <v>0</v>
      </c>
      <c r="AD126" s="70">
        <f>'RESUMEN TOTAL'!AK164</f>
        <v>0</v>
      </c>
      <c r="AE126" s="70">
        <f>'RESUMEN TOTAL'!AL164</f>
        <v>0</v>
      </c>
      <c r="AF126" s="70">
        <f>'RESUMEN TOTAL'!AM164</f>
        <v>0</v>
      </c>
      <c r="AG126" s="70">
        <f>'RESUMEN TOTAL'!AN164</f>
        <v>0</v>
      </c>
      <c r="AH126" s="70">
        <f>'RESUMEN TOTAL'!AO164</f>
        <v>0</v>
      </c>
      <c r="AI126" s="70">
        <f>'RESUMEN TOTAL'!AP164</f>
        <v>0</v>
      </c>
      <c r="AJ126" s="70">
        <f>'RESUMEN TOTAL'!AQ164</f>
        <v>0</v>
      </c>
    </row>
    <row r="127" spans="1:36" x14ac:dyDescent="0.25">
      <c r="A127" t="str">
        <f>'RESUMEN TOTAL'!A165</f>
        <v>EL PARQUE</v>
      </c>
      <c r="B127" t="str">
        <f>'RESUMEN TOTAL'!B165</f>
        <v>EPQ 02</v>
      </c>
      <c r="C127" t="str">
        <f>'RESUMEN TOTAL'!D165</f>
        <v>1282 Y MASSE</v>
      </c>
      <c r="D127" s="30" t="str">
        <f>'RESUMEN TOTAL'!E165</f>
        <v>DOMO</v>
      </c>
      <c r="E127" s="30" t="str">
        <f>'RESUMEN TOTAL'!F165</f>
        <v>Fibra Optica</v>
      </c>
      <c r="F127" s="70">
        <f>'RESUMEN TOTAL'!M165</f>
        <v>0</v>
      </c>
      <c r="G127" s="70">
        <f>'RESUMEN TOTAL'!N165</f>
        <v>0</v>
      </c>
      <c r="H127" s="70">
        <f>'RESUMEN TOTAL'!O165</f>
        <v>0</v>
      </c>
      <c r="I127" s="70">
        <f>'RESUMEN TOTAL'!P165</f>
        <v>0</v>
      </c>
      <c r="J127" s="70">
        <f>'RESUMEN TOTAL'!Q165</f>
        <v>0</v>
      </c>
      <c r="K127" s="70">
        <f>'RESUMEN TOTAL'!R165</f>
        <v>0</v>
      </c>
      <c r="L127" s="70">
        <f>'RESUMEN TOTAL'!S165</f>
        <v>0</v>
      </c>
      <c r="M127" s="70">
        <f>'RESUMEN TOTAL'!T165</f>
        <v>0</v>
      </c>
      <c r="N127" s="70">
        <f>'RESUMEN TOTAL'!U165</f>
        <v>0</v>
      </c>
      <c r="O127" s="70">
        <f>'RESUMEN TOTAL'!V165</f>
        <v>0</v>
      </c>
      <c r="P127" s="70">
        <f>'RESUMEN TOTAL'!W165</f>
        <v>0</v>
      </c>
      <c r="Q127" s="70">
        <f>'RESUMEN TOTAL'!X165</f>
        <v>0</v>
      </c>
      <c r="R127" s="70">
        <f>'RESUMEN TOTAL'!Y165</f>
        <v>0</v>
      </c>
      <c r="S127" s="70">
        <f>'RESUMEN TOTAL'!Z165</f>
        <v>0</v>
      </c>
      <c r="T127" s="70">
        <f>'RESUMEN TOTAL'!AA165</f>
        <v>0</v>
      </c>
      <c r="U127" s="70">
        <f>'RESUMEN TOTAL'!AB165</f>
        <v>0</v>
      </c>
      <c r="V127" s="70">
        <f>'RESUMEN TOTAL'!AC165</f>
        <v>0</v>
      </c>
      <c r="W127" s="70">
        <f>'RESUMEN TOTAL'!AD165</f>
        <v>0</v>
      </c>
      <c r="X127" s="70">
        <f>'RESUMEN TOTAL'!AE165</f>
        <v>0</v>
      </c>
      <c r="Y127" s="70">
        <f>'RESUMEN TOTAL'!AF165</f>
        <v>0</v>
      </c>
      <c r="Z127" s="70">
        <f>'RESUMEN TOTAL'!AG165</f>
        <v>0</v>
      </c>
      <c r="AA127" s="70">
        <f>'RESUMEN TOTAL'!AH165</f>
        <v>0</v>
      </c>
      <c r="AB127" s="70">
        <f>'RESUMEN TOTAL'!AI165</f>
        <v>0</v>
      </c>
      <c r="AC127" s="70">
        <f>'RESUMEN TOTAL'!AJ165</f>
        <v>0</v>
      </c>
      <c r="AD127" s="70">
        <f>'RESUMEN TOTAL'!AK165</f>
        <v>0</v>
      </c>
      <c r="AE127" s="70">
        <f>'RESUMEN TOTAL'!AL165</f>
        <v>0</v>
      </c>
      <c r="AF127" s="70">
        <f>'RESUMEN TOTAL'!AM165</f>
        <v>0</v>
      </c>
      <c r="AG127" s="70">
        <f>'RESUMEN TOTAL'!AN165</f>
        <v>0</v>
      </c>
      <c r="AH127" s="70">
        <f>'RESUMEN TOTAL'!AO165</f>
        <v>0</v>
      </c>
      <c r="AI127" s="70">
        <f>'RESUMEN TOTAL'!AP165</f>
        <v>0</v>
      </c>
      <c r="AJ127" s="70">
        <f>'RESUMEN TOTAL'!AQ165</f>
        <v>0</v>
      </c>
    </row>
    <row r="128" spans="1:36" x14ac:dyDescent="0.25">
      <c r="A128" t="str">
        <f>'RESUMEN TOTAL'!A166</f>
        <v>EL PARQUE</v>
      </c>
      <c r="B128" t="str">
        <f>'RESUMEN TOTAL'!B166</f>
        <v>EPQ 03</v>
      </c>
      <c r="C128" t="str">
        <f>'RESUMEN TOTAL'!D166</f>
        <v>1282 Y RP 36</v>
      </c>
      <c r="D128" s="30" t="str">
        <f>'RESUMEN TOTAL'!E166</f>
        <v>Domo</v>
      </c>
      <c r="E128" s="30" t="str">
        <f>'RESUMEN TOTAL'!F166</f>
        <v>Fibra Optica</v>
      </c>
      <c r="F128" s="70">
        <f>'RESUMEN TOTAL'!M166</f>
        <v>0</v>
      </c>
      <c r="G128" s="70">
        <f>'RESUMEN TOTAL'!N166</f>
        <v>0</v>
      </c>
      <c r="H128" s="70">
        <f>'RESUMEN TOTAL'!O166</f>
        <v>0</v>
      </c>
      <c r="I128" s="70">
        <f>'RESUMEN TOTAL'!P166</f>
        <v>0</v>
      </c>
      <c r="J128" s="70">
        <f>'RESUMEN TOTAL'!Q166</f>
        <v>0</v>
      </c>
      <c r="K128" s="70">
        <f>'RESUMEN TOTAL'!R166</f>
        <v>0</v>
      </c>
      <c r="L128" s="70">
        <f>'RESUMEN TOTAL'!S166</f>
        <v>0</v>
      </c>
      <c r="M128" s="70">
        <f>'RESUMEN TOTAL'!T166</f>
        <v>0</v>
      </c>
      <c r="N128" s="70">
        <f>'RESUMEN TOTAL'!U166</f>
        <v>0</v>
      </c>
      <c r="O128" s="70">
        <f>'RESUMEN TOTAL'!V166</f>
        <v>0</v>
      </c>
      <c r="P128" s="70">
        <f>'RESUMEN TOTAL'!W166</f>
        <v>0</v>
      </c>
      <c r="Q128" s="70">
        <f>'RESUMEN TOTAL'!X166</f>
        <v>0</v>
      </c>
      <c r="R128" s="70">
        <f>'RESUMEN TOTAL'!Y166</f>
        <v>0</v>
      </c>
      <c r="S128" s="70">
        <f>'RESUMEN TOTAL'!Z166</f>
        <v>0</v>
      </c>
      <c r="T128" s="70">
        <f>'RESUMEN TOTAL'!AA166</f>
        <v>0</v>
      </c>
      <c r="U128" s="70">
        <f>'RESUMEN TOTAL'!AB166</f>
        <v>0</v>
      </c>
      <c r="V128" s="70">
        <f>'RESUMEN TOTAL'!AC166</f>
        <v>0</v>
      </c>
      <c r="W128" s="70">
        <f>'RESUMEN TOTAL'!AD166</f>
        <v>0</v>
      </c>
      <c r="X128" s="70">
        <f>'RESUMEN TOTAL'!AE166</f>
        <v>0</v>
      </c>
      <c r="Y128" s="70">
        <f>'RESUMEN TOTAL'!AF166</f>
        <v>0</v>
      </c>
      <c r="Z128" s="70">
        <f>'RESUMEN TOTAL'!AG166</f>
        <v>0</v>
      </c>
      <c r="AA128" s="70">
        <f>'RESUMEN TOTAL'!AH166</f>
        <v>0</v>
      </c>
      <c r="AB128" s="70">
        <f>'RESUMEN TOTAL'!AI166</f>
        <v>0</v>
      </c>
      <c r="AC128" s="70">
        <f>'RESUMEN TOTAL'!AJ166</f>
        <v>0</v>
      </c>
      <c r="AD128" s="70">
        <f>'RESUMEN TOTAL'!AK166</f>
        <v>0</v>
      </c>
      <c r="AE128" s="70">
        <f>'RESUMEN TOTAL'!AL166</f>
        <v>0</v>
      </c>
      <c r="AF128" s="70">
        <f>'RESUMEN TOTAL'!AM166</f>
        <v>0</v>
      </c>
      <c r="AG128" s="70">
        <f>'RESUMEN TOTAL'!AN166</f>
        <v>0</v>
      </c>
      <c r="AH128" s="70">
        <f>'RESUMEN TOTAL'!AO166</f>
        <v>0</v>
      </c>
      <c r="AI128" s="70">
        <f>'RESUMEN TOTAL'!AP166</f>
        <v>0</v>
      </c>
      <c r="AJ128" s="70">
        <f>'RESUMEN TOTAL'!AQ166</f>
        <v>0</v>
      </c>
    </row>
    <row r="129" spans="1:36" x14ac:dyDescent="0.25">
      <c r="A129" t="str">
        <f>'RESUMEN TOTAL'!A167</f>
        <v>EL PARQUE</v>
      </c>
      <c r="B129" t="str">
        <f>'RESUMEN TOTAL'!B167</f>
        <v>EPQ 04</v>
      </c>
      <c r="C129" t="str">
        <f>'RESUMEN TOTAL'!D167</f>
        <v>1282 Y MORENO</v>
      </c>
      <c r="D129" s="30" t="str">
        <f>'RESUMEN TOTAL'!E167</f>
        <v>DOMO</v>
      </c>
      <c r="E129" s="30" t="str">
        <f>'RESUMEN TOTAL'!F167</f>
        <v>Fibra Optica</v>
      </c>
      <c r="F129" s="70">
        <f>'RESUMEN TOTAL'!M167</f>
        <v>0</v>
      </c>
      <c r="G129" s="70">
        <f>'RESUMEN TOTAL'!N167</f>
        <v>0</v>
      </c>
      <c r="H129" s="70">
        <f>'RESUMEN TOTAL'!O167</f>
        <v>0</v>
      </c>
      <c r="I129" s="70">
        <f>'RESUMEN TOTAL'!P167</f>
        <v>0</v>
      </c>
      <c r="J129" s="70">
        <f>'RESUMEN TOTAL'!Q167</f>
        <v>0</v>
      </c>
      <c r="K129" s="70">
        <f>'RESUMEN TOTAL'!R167</f>
        <v>0</v>
      </c>
      <c r="L129" s="70">
        <f>'RESUMEN TOTAL'!S167</f>
        <v>0</v>
      </c>
      <c r="M129" s="70">
        <f>'RESUMEN TOTAL'!T167</f>
        <v>0</v>
      </c>
      <c r="N129" s="70">
        <f>'RESUMEN TOTAL'!U167</f>
        <v>0</v>
      </c>
      <c r="O129" s="70">
        <f>'RESUMEN TOTAL'!V167</f>
        <v>0</v>
      </c>
      <c r="P129" s="70">
        <f>'RESUMEN TOTAL'!W167</f>
        <v>0</v>
      </c>
      <c r="Q129" s="70">
        <f>'RESUMEN TOTAL'!X167</f>
        <v>0</v>
      </c>
      <c r="R129" s="70">
        <f>'RESUMEN TOTAL'!Y167</f>
        <v>0</v>
      </c>
      <c r="S129" s="70">
        <f>'RESUMEN TOTAL'!Z167</f>
        <v>0</v>
      </c>
      <c r="T129" s="70">
        <f>'RESUMEN TOTAL'!AA167</f>
        <v>0</v>
      </c>
      <c r="U129" s="70">
        <f>'RESUMEN TOTAL'!AB167</f>
        <v>0</v>
      </c>
      <c r="V129" s="70">
        <f>'RESUMEN TOTAL'!AC167</f>
        <v>0</v>
      </c>
      <c r="W129" s="70">
        <f>'RESUMEN TOTAL'!AD167</f>
        <v>0</v>
      </c>
      <c r="X129" s="70">
        <f>'RESUMEN TOTAL'!AE167</f>
        <v>0</v>
      </c>
      <c r="Y129" s="70">
        <f>'RESUMEN TOTAL'!AF167</f>
        <v>0</v>
      </c>
      <c r="Z129" s="70">
        <f>'RESUMEN TOTAL'!AG167</f>
        <v>0</v>
      </c>
      <c r="AA129" s="70">
        <f>'RESUMEN TOTAL'!AH167</f>
        <v>0</v>
      </c>
      <c r="AB129" s="70">
        <f>'RESUMEN TOTAL'!AI167</f>
        <v>0</v>
      </c>
      <c r="AC129" s="70">
        <f>'RESUMEN TOTAL'!AJ167</f>
        <v>0</v>
      </c>
      <c r="AD129" s="70">
        <f>'RESUMEN TOTAL'!AK167</f>
        <v>0</v>
      </c>
      <c r="AE129" s="70">
        <f>'RESUMEN TOTAL'!AL167</f>
        <v>0</v>
      </c>
      <c r="AF129" s="70">
        <f>'RESUMEN TOTAL'!AM167</f>
        <v>0</v>
      </c>
      <c r="AG129" s="70">
        <f>'RESUMEN TOTAL'!AN167</f>
        <v>0</v>
      </c>
      <c r="AH129" s="70">
        <f>'RESUMEN TOTAL'!AO167</f>
        <v>0</v>
      </c>
      <c r="AI129" s="70">
        <f>'RESUMEN TOTAL'!AP167</f>
        <v>0</v>
      </c>
      <c r="AJ129" s="70">
        <f>'RESUMEN TOTAL'!AQ167</f>
        <v>0</v>
      </c>
    </row>
    <row r="130" spans="1:36" x14ac:dyDescent="0.25">
      <c r="A130" t="str">
        <f>'RESUMEN TOTAL'!A170</f>
        <v>LA ESMERALDA</v>
      </c>
      <c r="B130" t="str">
        <f>'RESUMEN TOTAL'!B170</f>
        <v>ESM01</v>
      </c>
      <c r="C130" t="str">
        <f>'RESUMEN TOTAL'!D170</f>
        <v>Cabello y Brasil</v>
      </c>
      <c r="D130" s="30" t="str">
        <f>'RESUMEN TOTAL'!E170</f>
        <v>Domo</v>
      </c>
      <c r="E130" s="30" t="str">
        <f>'RESUMEN TOTAL'!F170</f>
        <v>PTO A FO</v>
      </c>
      <c r="F130" s="70">
        <f>'RESUMEN TOTAL'!M170</f>
        <v>0</v>
      </c>
      <c r="G130" s="70">
        <f>'RESUMEN TOTAL'!N170</f>
        <v>0</v>
      </c>
      <c r="H130" s="70">
        <f>'RESUMEN TOTAL'!O170</f>
        <v>0</v>
      </c>
      <c r="I130" s="70">
        <f>'RESUMEN TOTAL'!P170</f>
        <v>0</v>
      </c>
      <c r="J130" s="70">
        <f>'RESUMEN TOTAL'!Q170</f>
        <v>0</v>
      </c>
      <c r="K130" s="70">
        <f>'RESUMEN TOTAL'!R170</f>
        <v>0</v>
      </c>
      <c r="L130" s="70">
        <f>'RESUMEN TOTAL'!S170</f>
        <v>0</v>
      </c>
      <c r="M130" s="70">
        <f>'RESUMEN TOTAL'!T170</f>
        <v>0</v>
      </c>
      <c r="N130" s="70">
        <f>'RESUMEN TOTAL'!U170</f>
        <v>0</v>
      </c>
      <c r="O130" s="70">
        <f>'RESUMEN TOTAL'!V170</f>
        <v>0</v>
      </c>
      <c r="P130" s="70">
        <f>'RESUMEN TOTAL'!W170</f>
        <v>0</v>
      </c>
      <c r="Q130" s="70">
        <f>'RESUMEN TOTAL'!X170</f>
        <v>0</v>
      </c>
      <c r="R130" s="70">
        <f>'RESUMEN TOTAL'!Y170</f>
        <v>0</v>
      </c>
      <c r="S130" s="70">
        <f>'RESUMEN TOTAL'!Z170</f>
        <v>0</v>
      </c>
      <c r="T130" s="70">
        <f>'RESUMEN TOTAL'!AA170</f>
        <v>0</v>
      </c>
      <c r="U130" s="70">
        <f>'RESUMEN TOTAL'!AB170</f>
        <v>0</v>
      </c>
      <c r="V130" s="70">
        <f>'RESUMEN TOTAL'!AC170</f>
        <v>0</v>
      </c>
      <c r="W130" s="70">
        <f>'RESUMEN TOTAL'!AD170</f>
        <v>0</v>
      </c>
      <c r="X130" s="70">
        <f>'RESUMEN TOTAL'!AE170</f>
        <v>0</v>
      </c>
      <c r="Y130" s="70">
        <f>'RESUMEN TOTAL'!AF170</f>
        <v>0</v>
      </c>
      <c r="Z130" s="70">
        <f>'RESUMEN TOTAL'!AG170</f>
        <v>0</v>
      </c>
      <c r="AA130" s="70">
        <f>'RESUMEN TOTAL'!AH170</f>
        <v>0</v>
      </c>
      <c r="AB130" s="70">
        <f>'RESUMEN TOTAL'!AI170</f>
        <v>0</v>
      </c>
      <c r="AC130" s="70">
        <f>'RESUMEN TOTAL'!AJ170</f>
        <v>0</v>
      </c>
      <c r="AD130" s="70">
        <f>'RESUMEN TOTAL'!AK170</f>
        <v>0</v>
      </c>
      <c r="AE130" s="70">
        <f>'RESUMEN TOTAL'!AL170</f>
        <v>0</v>
      </c>
      <c r="AF130" s="70">
        <f>'RESUMEN TOTAL'!AM170</f>
        <v>0</v>
      </c>
      <c r="AG130" s="70">
        <f>'RESUMEN TOTAL'!AN170</f>
        <v>0</v>
      </c>
      <c r="AH130" s="70">
        <f>'RESUMEN TOTAL'!AO170</f>
        <v>0</v>
      </c>
      <c r="AI130" s="70">
        <f>'RESUMEN TOTAL'!AP170</f>
        <v>0</v>
      </c>
      <c r="AJ130" s="70">
        <f>'RESUMEN TOTAL'!AQ170</f>
        <v>0</v>
      </c>
    </row>
    <row r="131" spans="1:36" x14ac:dyDescent="0.25">
      <c r="A131" t="str">
        <f>'RESUMEN TOTAL'!A171</f>
        <v>SAN JORGE</v>
      </c>
      <c r="B131" t="str">
        <f>'RESUMEN TOTAL'!B171</f>
        <v>ESM02</v>
      </c>
      <c r="C131" t="str">
        <f>'RESUMEN TOTAL'!D171</f>
        <v>Novak y Cabello</v>
      </c>
      <c r="D131" s="30" t="str">
        <f>'RESUMEN TOTAL'!E171</f>
        <v>Domo</v>
      </c>
      <c r="E131" s="30" t="str">
        <f>'RESUMEN TOTAL'!F171</f>
        <v>PTO A FO</v>
      </c>
      <c r="F131" s="70">
        <f>'RESUMEN TOTAL'!M171</f>
        <v>0</v>
      </c>
      <c r="G131" s="70">
        <f>'RESUMEN TOTAL'!N171</f>
        <v>0</v>
      </c>
      <c r="H131" s="70">
        <f>'RESUMEN TOTAL'!O171</f>
        <v>0</v>
      </c>
      <c r="I131" s="70">
        <f>'RESUMEN TOTAL'!P171</f>
        <v>0</v>
      </c>
      <c r="J131" s="70">
        <f>'RESUMEN TOTAL'!Q171</f>
        <v>0</v>
      </c>
      <c r="K131" s="70">
        <f>'RESUMEN TOTAL'!R171</f>
        <v>0</v>
      </c>
      <c r="L131" s="70">
        <f>'RESUMEN TOTAL'!S171</f>
        <v>0</v>
      </c>
      <c r="M131" s="70">
        <f>'RESUMEN TOTAL'!T171</f>
        <v>0</v>
      </c>
      <c r="N131" s="70">
        <f>'RESUMEN TOTAL'!U171</f>
        <v>0</v>
      </c>
      <c r="O131" s="70">
        <f>'RESUMEN TOTAL'!V171</f>
        <v>0</v>
      </c>
      <c r="P131" s="70">
        <f>'RESUMEN TOTAL'!W171</f>
        <v>0</v>
      </c>
      <c r="Q131" s="70">
        <f>'RESUMEN TOTAL'!X171</f>
        <v>0</v>
      </c>
      <c r="R131" s="70">
        <f>'RESUMEN TOTAL'!Y171</f>
        <v>0</v>
      </c>
      <c r="S131" s="70">
        <f>'RESUMEN TOTAL'!Z171</f>
        <v>0</v>
      </c>
      <c r="T131" s="70">
        <f>'RESUMEN TOTAL'!AA171</f>
        <v>0</v>
      </c>
      <c r="U131" s="70">
        <f>'RESUMEN TOTAL'!AB171</f>
        <v>0</v>
      </c>
      <c r="V131" s="70">
        <f>'RESUMEN TOTAL'!AC171</f>
        <v>0</v>
      </c>
      <c r="W131" s="70">
        <f>'RESUMEN TOTAL'!AD171</f>
        <v>0</v>
      </c>
      <c r="X131" s="70">
        <f>'RESUMEN TOTAL'!AE171</f>
        <v>0</v>
      </c>
      <c r="Y131" s="70">
        <f>'RESUMEN TOTAL'!AF171</f>
        <v>0</v>
      </c>
      <c r="Z131" s="70">
        <f>'RESUMEN TOTAL'!AG171</f>
        <v>0</v>
      </c>
      <c r="AA131" s="70">
        <f>'RESUMEN TOTAL'!AH171</f>
        <v>0</v>
      </c>
      <c r="AB131" s="70">
        <f>'RESUMEN TOTAL'!AI171</f>
        <v>0</v>
      </c>
      <c r="AC131" s="70">
        <f>'RESUMEN TOTAL'!AJ171</f>
        <v>0</v>
      </c>
      <c r="AD131" s="70">
        <f>'RESUMEN TOTAL'!AK171</f>
        <v>0</v>
      </c>
      <c r="AE131" s="70">
        <f>'RESUMEN TOTAL'!AL171</f>
        <v>0</v>
      </c>
      <c r="AF131" s="70">
        <f>'RESUMEN TOTAL'!AM171</f>
        <v>0</v>
      </c>
      <c r="AG131" s="70">
        <f>'RESUMEN TOTAL'!AN171</f>
        <v>0</v>
      </c>
      <c r="AH131" s="70">
        <f>'RESUMEN TOTAL'!AO171</f>
        <v>0</v>
      </c>
      <c r="AI131" s="70">
        <f>'RESUMEN TOTAL'!AP171</f>
        <v>0</v>
      </c>
      <c r="AJ131" s="70">
        <f>'RESUMEN TOTAL'!AQ171</f>
        <v>0</v>
      </c>
    </row>
    <row r="132" spans="1:36" x14ac:dyDescent="0.25">
      <c r="A132" t="str">
        <f>'RESUMEN TOTAL'!A172</f>
        <v>SAN JORGE</v>
      </c>
      <c r="B132" t="str">
        <f>'RESUMEN TOTAL'!B172</f>
        <v>ESM03</v>
      </c>
      <c r="C132" t="str">
        <f>'RESUMEN TOTAL'!D172</f>
        <v>Novak y Humahuaca</v>
      </c>
      <c r="D132" s="30" t="str">
        <f>'RESUMEN TOTAL'!E172</f>
        <v>DOMO</v>
      </c>
      <c r="E132" s="30" t="str">
        <f>'RESUMEN TOTAL'!F172</f>
        <v>PTO A FO</v>
      </c>
      <c r="F132" s="70">
        <f>'RESUMEN TOTAL'!M172</f>
        <v>0</v>
      </c>
      <c r="G132" s="70">
        <f>'RESUMEN TOTAL'!N172</f>
        <v>0</v>
      </c>
      <c r="H132" s="70">
        <f>'RESUMEN TOTAL'!O172</f>
        <v>0</v>
      </c>
      <c r="I132" s="70">
        <f>'RESUMEN TOTAL'!P172</f>
        <v>0</v>
      </c>
      <c r="J132" s="70">
        <f>'RESUMEN TOTAL'!Q172</f>
        <v>0</v>
      </c>
      <c r="K132" s="70">
        <f>'RESUMEN TOTAL'!R172</f>
        <v>0</v>
      </c>
      <c r="L132" s="70">
        <f>'RESUMEN TOTAL'!S172</f>
        <v>0</v>
      </c>
      <c r="M132" s="70">
        <f>'RESUMEN TOTAL'!T172</f>
        <v>0</v>
      </c>
      <c r="N132" s="70">
        <f>'RESUMEN TOTAL'!U172</f>
        <v>0</v>
      </c>
      <c r="O132" s="70">
        <f>'RESUMEN TOTAL'!V172</f>
        <v>0</v>
      </c>
      <c r="P132" s="70">
        <f>'RESUMEN TOTAL'!W172</f>
        <v>0</v>
      </c>
      <c r="Q132" s="70">
        <f>'RESUMEN TOTAL'!X172</f>
        <v>0</v>
      </c>
      <c r="R132" s="70">
        <f>'RESUMEN TOTAL'!Y172</f>
        <v>0</v>
      </c>
      <c r="S132" s="70">
        <f>'RESUMEN TOTAL'!Z172</f>
        <v>0</v>
      </c>
      <c r="T132" s="70">
        <f>'RESUMEN TOTAL'!AA172</f>
        <v>0</v>
      </c>
      <c r="U132" s="70">
        <f>'RESUMEN TOTAL'!AB172</f>
        <v>0</v>
      </c>
      <c r="V132" s="70">
        <f>'RESUMEN TOTAL'!AC172</f>
        <v>0</v>
      </c>
      <c r="W132" s="70">
        <f>'RESUMEN TOTAL'!AD172</f>
        <v>0</v>
      </c>
      <c r="X132" s="70">
        <f>'RESUMEN TOTAL'!AE172</f>
        <v>0</v>
      </c>
      <c r="Y132" s="70">
        <f>'RESUMEN TOTAL'!AF172</f>
        <v>0</v>
      </c>
      <c r="Z132" s="70">
        <f>'RESUMEN TOTAL'!AG172</f>
        <v>0</v>
      </c>
      <c r="AA132" s="70">
        <f>'RESUMEN TOTAL'!AH172</f>
        <v>0</v>
      </c>
      <c r="AB132" s="70">
        <f>'RESUMEN TOTAL'!AI172</f>
        <v>0</v>
      </c>
      <c r="AC132" s="70">
        <f>'RESUMEN TOTAL'!AJ172</f>
        <v>0</v>
      </c>
      <c r="AD132" s="70">
        <f>'RESUMEN TOTAL'!AK172</f>
        <v>0</v>
      </c>
      <c r="AE132" s="70">
        <f>'RESUMEN TOTAL'!AL172</f>
        <v>0</v>
      </c>
      <c r="AF132" s="70">
        <f>'RESUMEN TOTAL'!AM172</f>
        <v>0</v>
      </c>
      <c r="AG132" s="70">
        <f>'RESUMEN TOTAL'!AN172</f>
        <v>0</v>
      </c>
      <c r="AH132" s="70">
        <f>'RESUMEN TOTAL'!AO172</f>
        <v>0</v>
      </c>
      <c r="AI132" s="70">
        <f>'RESUMEN TOTAL'!AP172</f>
        <v>0</v>
      </c>
      <c r="AJ132" s="70">
        <f>'RESUMEN TOTAL'!AQ172</f>
        <v>0</v>
      </c>
    </row>
    <row r="133" spans="1:36" x14ac:dyDescent="0.25">
      <c r="A133" t="str">
        <f>'RESUMEN TOTAL'!A173</f>
        <v>LA ESMERALDA</v>
      </c>
      <c r="B133" t="str">
        <f>'RESUMEN TOTAL'!B173</f>
        <v>ESM04</v>
      </c>
      <c r="C133" t="str">
        <f>'RESUMEN TOTAL'!D173</f>
        <v>Basualdo y Bengochea</v>
      </c>
      <c r="D133" s="30" t="str">
        <f>'RESUMEN TOTAL'!E173</f>
        <v>Domo</v>
      </c>
      <c r="E133" s="30" t="str">
        <f>'RESUMEN TOTAL'!F173</f>
        <v>Fibra Optica</v>
      </c>
      <c r="F133" s="70">
        <f>'RESUMEN TOTAL'!M173</f>
        <v>0</v>
      </c>
      <c r="G133" s="70">
        <f>'RESUMEN TOTAL'!N173</f>
        <v>0</v>
      </c>
      <c r="H133" s="70">
        <f>'RESUMEN TOTAL'!O173</f>
        <v>0</v>
      </c>
      <c r="I133" s="70">
        <f>'RESUMEN TOTAL'!P173</f>
        <v>0</v>
      </c>
      <c r="J133" s="70">
        <f>'RESUMEN TOTAL'!Q173</f>
        <v>0</v>
      </c>
      <c r="K133" s="70">
        <f>'RESUMEN TOTAL'!R173</f>
        <v>0</v>
      </c>
      <c r="L133" s="70">
        <f>'RESUMEN TOTAL'!S173</f>
        <v>0</v>
      </c>
      <c r="M133" s="70">
        <f>'RESUMEN TOTAL'!T173</f>
        <v>0</v>
      </c>
      <c r="N133" s="70">
        <f>'RESUMEN TOTAL'!U173</f>
        <v>0</v>
      </c>
      <c r="O133" s="70">
        <f>'RESUMEN TOTAL'!V173</f>
        <v>0</v>
      </c>
      <c r="P133" s="70">
        <f>'RESUMEN TOTAL'!W173</f>
        <v>0</v>
      </c>
      <c r="Q133" s="70">
        <f>'RESUMEN TOTAL'!X173</f>
        <v>0</v>
      </c>
      <c r="R133" s="70">
        <f>'RESUMEN TOTAL'!Y173</f>
        <v>0</v>
      </c>
      <c r="S133" s="70">
        <f>'RESUMEN TOTAL'!Z173</f>
        <v>0</v>
      </c>
      <c r="T133" s="70">
        <f>'RESUMEN TOTAL'!AA173</f>
        <v>0</v>
      </c>
      <c r="U133" s="70">
        <f>'RESUMEN TOTAL'!AB173</f>
        <v>0</v>
      </c>
      <c r="V133" s="70">
        <f>'RESUMEN TOTAL'!AC173</f>
        <v>0</v>
      </c>
      <c r="W133" s="70">
        <f>'RESUMEN TOTAL'!AD173</f>
        <v>0</v>
      </c>
      <c r="X133" s="70">
        <f>'RESUMEN TOTAL'!AE173</f>
        <v>0</v>
      </c>
      <c r="Y133" s="70">
        <f>'RESUMEN TOTAL'!AF173</f>
        <v>0</v>
      </c>
      <c r="Z133" s="70">
        <f>'RESUMEN TOTAL'!AG173</f>
        <v>0</v>
      </c>
      <c r="AA133" s="70">
        <f>'RESUMEN TOTAL'!AH173</f>
        <v>0</v>
      </c>
      <c r="AB133" s="70">
        <f>'RESUMEN TOTAL'!AI173</f>
        <v>0</v>
      </c>
      <c r="AC133" s="70">
        <f>'RESUMEN TOTAL'!AJ173</f>
        <v>0</v>
      </c>
      <c r="AD133" s="70">
        <f>'RESUMEN TOTAL'!AK173</f>
        <v>0</v>
      </c>
      <c r="AE133" s="70">
        <f>'RESUMEN TOTAL'!AL173</f>
        <v>0</v>
      </c>
      <c r="AF133" s="70">
        <f>'RESUMEN TOTAL'!AM173</f>
        <v>0</v>
      </c>
      <c r="AG133" s="70">
        <f>'RESUMEN TOTAL'!AN173</f>
        <v>0</v>
      </c>
      <c r="AH133" s="70">
        <f>'RESUMEN TOTAL'!AO173</f>
        <v>0</v>
      </c>
      <c r="AI133" s="70">
        <f>'RESUMEN TOTAL'!AP173</f>
        <v>0</v>
      </c>
      <c r="AJ133" s="70">
        <f>'RESUMEN TOTAL'!AQ173</f>
        <v>0</v>
      </c>
    </row>
    <row r="134" spans="1:36" x14ac:dyDescent="0.25">
      <c r="A134" t="str">
        <f>'RESUMEN TOTAL'!A174</f>
        <v>LA ESMERALDA</v>
      </c>
      <c r="B134" t="str">
        <f>'RESUMEN TOTAL'!B174</f>
        <v>ESM05</v>
      </c>
      <c r="C134" t="str">
        <f>'RESUMEN TOTAL'!D174</f>
        <v>Aniceto Diaz y Villar</v>
      </c>
      <c r="D134" s="30" t="str">
        <f>'RESUMEN TOTAL'!E174</f>
        <v>Domo</v>
      </c>
      <c r="E134" s="30" t="str">
        <f>'RESUMEN TOTAL'!F174</f>
        <v>Fibra Optica</v>
      </c>
      <c r="F134" s="70">
        <f>'RESUMEN TOTAL'!M174</f>
        <v>0</v>
      </c>
      <c r="G134" s="70">
        <f>'RESUMEN TOTAL'!N174</f>
        <v>0</v>
      </c>
      <c r="H134" s="70">
        <f>'RESUMEN TOTAL'!O174</f>
        <v>0</v>
      </c>
      <c r="I134" s="70">
        <f>'RESUMEN TOTAL'!P174</f>
        <v>0</v>
      </c>
      <c r="J134" s="70">
        <f>'RESUMEN TOTAL'!Q174</f>
        <v>0</v>
      </c>
      <c r="K134" s="70">
        <f>'RESUMEN TOTAL'!R174</f>
        <v>0</v>
      </c>
      <c r="L134" s="70">
        <f>'RESUMEN TOTAL'!S174</f>
        <v>0</v>
      </c>
      <c r="M134" s="70">
        <f>'RESUMEN TOTAL'!T174</f>
        <v>0</v>
      </c>
      <c r="N134" s="70">
        <f>'RESUMEN TOTAL'!U174</f>
        <v>0</v>
      </c>
      <c r="O134" s="70">
        <f>'RESUMEN TOTAL'!V174</f>
        <v>0</v>
      </c>
      <c r="P134" s="70">
        <f>'RESUMEN TOTAL'!W174</f>
        <v>0</v>
      </c>
      <c r="Q134" s="70">
        <f>'RESUMEN TOTAL'!X174</f>
        <v>0</v>
      </c>
      <c r="R134" s="70">
        <f>'RESUMEN TOTAL'!Y174</f>
        <v>0</v>
      </c>
      <c r="S134" s="70">
        <f>'RESUMEN TOTAL'!Z174</f>
        <v>0</v>
      </c>
      <c r="T134" s="70">
        <f>'RESUMEN TOTAL'!AA174</f>
        <v>0</v>
      </c>
      <c r="U134" s="70">
        <f>'RESUMEN TOTAL'!AB174</f>
        <v>0</v>
      </c>
      <c r="V134" s="70">
        <f>'RESUMEN TOTAL'!AC174</f>
        <v>0</v>
      </c>
      <c r="W134" s="70">
        <f>'RESUMEN TOTAL'!AD174</f>
        <v>0</v>
      </c>
      <c r="X134" s="70">
        <f>'RESUMEN TOTAL'!AE174</f>
        <v>0</v>
      </c>
      <c r="Y134" s="70">
        <f>'RESUMEN TOTAL'!AF174</f>
        <v>0</v>
      </c>
      <c r="Z134" s="70">
        <f>'RESUMEN TOTAL'!AG174</f>
        <v>0</v>
      </c>
      <c r="AA134" s="70">
        <f>'RESUMEN TOTAL'!AH174</f>
        <v>0</v>
      </c>
      <c r="AB134" s="70">
        <f>'RESUMEN TOTAL'!AI174</f>
        <v>0</v>
      </c>
      <c r="AC134" s="70">
        <f>'RESUMEN TOTAL'!AJ174</f>
        <v>0</v>
      </c>
      <c r="AD134" s="70">
        <f>'RESUMEN TOTAL'!AK174</f>
        <v>0</v>
      </c>
      <c r="AE134" s="70">
        <f>'RESUMEN TOTAL'!AL174</f>
        <v>0</v>
      </c>
      <c r="AF134" s="70">
        <f>'RESUMEN TOTAL'!AM174</f>
        <v>0</v>
      </c>
      <c r="AG134" s="70">
        <f>'RESUMEN TOTAL'!AN174</f>
        <v>0</v>
      </c>
      <c r="AH134" s="70">
        <f>'RESUMEN TOTAL'!AO174</f>
        <v>0</v>
      </c>
      <c r="AI134" s="70">
        <f>'RESUMEN TOTAL'!AP174</f>
        <v>0</v>
      </c>
      <c r="AJ134" s="70">
        <f>'RESUMEN TOTAL'!AQ174</f>
        <v>0</v>
      </c>
    </row>
    <row r="135" spans="1:36" x14ac:dyDescent="0.25">
      <c r="A135" t="str">
        <f>'RESUMEN TOTAL'!A175</f>
        <v>LA ESMERALDA</v>
      </c>
      <c r="B135" t="str">
        <f>'RESUMEN TOTAL'!B175</f>
        <v>ESM06</v>
      </c>
      <c r="C135" t="str">
        <f>'RESUMEN TOTAL'!D175</f>
        <v>Roselli y Cabello</v>
      </c>
      <c r="D135" s="30" t="str">
        <f>'RESUMEN TOTAL'!E175</f>
        <v>Domo</v>
      </c>
      <c r="E135" s="30" t="str">
        <f>'RESUMEN TOTAL'!F175</f>
        <v>GPON</v>
      </c>
      <c r="F135" s="70">
        <f>'RESUMEN TOTAL'!M175</f>
        <v>0</v>
      </c>
      <c r="G135" s="70">
        <f>'RESUMEN TOTAL'!N175</f>
        <v>0</v>
      </c>
      <c r="H135" s="70">
        <f>'RESUMEN TOTAL'!O175</f>
        <v>0</v>
      </c>
      <c r="I135" s="70">
        <f>'RESUMEN TOTAL'!P175</f>
        <v>0</v>
      </c>
      <c r="J135" s="70">
        <f>'RESUMEN TOTAL'!Q175</f>
        <v>0</v>
      </c>
      <c r="K135" s="70">
        <f>'RESUMEN TOTAL'!R175</f>
        <v>0</v>
      </c>
      <c r="L135" s="70">
        <f>'RESUMEN TOTAL'!S175</f>
        <v>0</v>
      </c>
      <c r="M135" s="70">
        <f>'RESUMEN TOTAL'!T175</f>
        <v>0</v>
      </c>
      <c r="N135" s="70">
        <f>'RESUMEN TOTAL'!U175</f>
        <v>0</v>
      </c>
      <c r="O135" s="70">
        <f>'RESUMEN TOTAL'!V175</f>
        <v>0</v>
      </c>
      <c r="P135" s="70">
        <f>'RESUMEN TOTAL'!W175</f>
        <v>0</v>
      </c>
      <c r="Q135" s="70">
        <f>'RESUMEN TOTAL'!X175</f>
        <v>0</v>
      </c>
      <c r="R135" s="70">
        <f>'RESUMEN TOTAL'!Y175</f>
        <v>0</v>
      </c>
      <c r="S135" s="70">
        <f>'RESUMEN TOTAL'!Z175</f>
        <v>0</v>
      </c>
      <c r="T135" s="70">
        <f>'RESUMEN TOTAL'!AA175</f>
        <v>0</v>
      </c>
      <c r="U135" s="70">
        <f>'RESUMEN TOTAL'!AB175</f>
        <v>0</v>
      </c>
      <c r="V135" s="70">
        <f>'RESUMEN TOTAL'!AC175</f>
        <v>0</v>
      </c>
      <c r="W135" s="70">
        <f>'RESUMEN TOTAL'!AD175</f>
        <v>0</v>
      </c>
      <c r="X135" s="70">
        <f>'RESUMEN TOTAL'!AE175</f>
        <v>0</v>
      </c>
      <c r="Y135" s="70">
        <f>'RESUMEN TOTAL'!AF175</f>
        <v>0</v>
      </c>
      <c r="Z135" s="70">
        <f>'RESUMEN TOTAL'!AG175</f>
        <v>0</v>
      </c>
      <c r="AA135" s="70">
        <f>'RESUMEN TOTAL'!AH175</f>
        <v>0</v>
      </c>
      <c r="AB135" s="70">
        <f>'RESUMEN TOTAL'!AI175</f>
        <v>0</v>
      </c>
      <c r="AC135" s="70">
        <f>'RESUMEN TOTAL'!AJ175</f>
        <v>0</v>
      </c>
      <c r="AD135" s="70">
        <f>'RESUMEN TOTAL'!AK175</f>
        <v>0</v>
      </c>
      <c r="AE135" s="70">
        <f>'RESUMEN TOTAL'!AL175</f>
        <v>0</v>
      </c>
      <c r="AF135" s="70">
        <f>'RESUMEN TOTAL'!AM175</f>
        <v>0</v>
      </c>
      <c r="AG135" s="70">
        <f>'RESUMEN TOTAL'!AN175</f>
        <v>0</v>
      </c>
      <c r="AH135" s="70">
        <f>'RESUMEN TOTAL'!AO175</f>
        <v>0</v>
      </c>
      <c r="AI135" s="70">
        <f>'RESUMEN TOTAL'!AP175</f>
        <v>0</v>
      </c>
      <c r="AJ135" s="70">
        <f>'RESUMEN TOTAL'!AQ175</f>
        <v>0</v>
      </c>
    </row>
    <row r="136" spans="1:36" x14ac:dyDescent="0.25">
      <c r="A136" t="str">
        <f>'RESUMEN TOTAL'!A176</f>
        <v>LA ESMERALDA</v>
      </c>
      <c r="B136" t="str">
        <f>'RESUMEN TOTAL'!B176</f>
        <v>ESM07</v>
      </c>
      <c r="C136" t="str">
        <f>'RESUMEN TOTAL'!D176</f>
        <v>AV. NOVAK Y SERRANO</v>
      </c>
      <c r="D136" s="30" t="str">
        <f>'RESUMEN TOTAL'!E176</f>
        <v>DOMO</v>
      </c>
      <c r="E136" s="30" t="str">
        <f>'RESUMEN TOTAL'!F176</f>
        <v>PTO A FO</v>
      </c>
      <c r="F136" s="70">
        <f>'RESUMEN TOTAL'!M176</f>
        <v>0</v>
      </c>
      <c r="G136" s="70">
        <f>'RESUMEN TOTAL'!N176</f>
        <v>0</v>
      </c>
      <c r="H136" s="70">
        <f>'RESUMEN TOTAL'!O176</f>
        <v>0</v>
      </c>
      <c r="I136" s="70">
        <f>'RESUMEN TOTAL'!P176</f>
        <v>0</v>
      </c>
      <c r="J136" s="70">
        <f>'RESUMEN TOTAL'!Q176</f>
        <v>0</v>
      </c>
      <c r="K136" s="70">
        <f>'RESUMEN TOTAL'!R176</f>
        <v>0</v>
      </c>
      <c r="L136" s="70">
        <f>'RESUMEN TOTAL'!S176</f>
        <v>0</v>
      </c>
      <c r="M136" s="70">
        <f>'RESUMEN TOTAL'!T176</f>
        <v>0</v>
      </c>
      <c r="N136" s="70">
        <f>'RESUMEN TOTAL'!U176</f>
        <v>0</v>
      </c>
      <c r="O136" s="70">
        <f>'RESUMEN TOTAL'!V176</f>
        <v>0</v>
      </c>
      <c r="P136" s="70">
        <f>'RESUMEN TOTAL'!W176</f>
        <v>0</v>
      </c>
      <c r="Q136" s="70">
        <f>'RESUMEN TOTAL'!X176</f>
        <v>0</v>
      </c>
      <c r="R136" s="70">
        <f>'RESUMEN TOTAL'!Y176</f>
        <v>0</v>
      </c>
      <c r="S136" s="70">
        <f>'RESUMEN TOTAL'!Z176</f>
        <v>0</v>
      </c>
      <c r="T136" s="70">
        <f>'RESUMEN TOTAL'!AA176</f>
        <v>0</v>
      </c>
      <c r="U136" s="70">
        <f>'RESUMEN TOTAL'!AB176</f>
        <v>0</v>
      </c>
      <c r="V136" s="70">
        <f>'RESUMEN TOTAL'!AC176</f>
        <v>0</v>
      </c>
      <c r="W136" s="70">
        <f>'RESUMEN TOTAL'!AD176</f>
        <v>0</v>
      </c>
      <c r="X136" s="70">
        <f>'RESUMEN TOTAL'!AE176</f>
        <v>0</v>
      </c>
      <c r="Y136" s="70">
        <f>'RESUMEN TOTAL'!AF176</f>
        <v>0</v>
      </c>
      <c r="Z136" s="70">
        <f>'RESUMEN TOTAL'!AG176</f>
        <v>0</v>
      </c>
      <c r="AA136" s="70">
        <f>'RESUMEN TOTAL'!AH176</f>
        <v>0</v>
      </c>
      <c r="AB136" s="70">
        <f>'RESUMEN TOTAL'!AI176</f>
        <v>0</v>
      </c>
      <c r="AC136" s="70">
        <f>'RESUMEN TOTAL'!AJ176</f>
        <v>0</v>
      </c>
      <c r="AD136" s="70">
        <f>'RESUMEN TOTAL'!AK176</f>
        <v>0</v>
      </c>
      <c r="AE136" s="70">
        <f>'RESUMEN TOTAL'!AL176</f>
        <v>0</v>
      </c>
      <c r="AF136" s="70">
        <f>'RESUMEN TOTAL'!AM176</f>
        <v>0</v>
      </c>
      <c r="AG136" s="70">
        <f>'RESUMEN TOTAL'!AN176</f>
        <v>0</v>
      </c>
      <c r="AH136" s="70">
        <f>'RESUMEN TOTAL'!AO176</f>
        <v>0</v>
      </c>
      <c r="AI136" s="70">
        <f>'RESUMEN TOTAL'!AP176</f>
        <v>0</v>
      </c>
      <c r="AJ136" s="70">
        <f>'RESUMEN TOTAL'!AQ176</f>
        <v>0</v>
      </c>
    </row>
    <row r="137" spans="1:36" x14ac:dyDescent="0.25">
      <c r="A137" t="str">
        <f>'RESUMEN TOTAL'!A177</f>
        <v>LA ESMERALDA</v>
      </c>
      <c r="B137" t="str">
        <f>'RESUMEN TOTAL'!B177</f>
        <v>ESM 08</v>
      </c>
      <c r="C137" t="str">
        <f>'RESUMEN TOTAL'!D177</f>
        <v>DAVINSON Y MORANCHEL</v>
      </c>
      <c r="D137" s="30" t="str">
        <f>'RESUMEN TOTAL'!E177</f>
        <v>FIJA</v>
      </c>
      <c r="E137" s="30" t="str">
        <f>'RESUMEN TOTAL'!F177</f>
        <v>Radio</v>
      </c>
      <c r="F137" s="70">
        <f>'RESUMEN TOTAL'!M177</f>
        <v>0</v>
      </c>
      <c r="G137" s="70">
        <f>'RESUMEN TOTAL'!N177</f>
        <v>0</v>
      </c>
      <c r="H137" s="70">
        <f>'RESUMEN TOTAL'!O177</f>
        <v>0</v>
      </c>
      <c r="I137" s="70">
        <f>'RESUMEN TOTAL'!P177</f>
        <v>0</v>
      </c>
      <c r="J137" s="70">
        <f>'RESUMEN TOTAL'!Q177</f>
        <v>0</v>
      </c>
      <c r="K137" s="70">
        <f>'RESUMEN TOTAL'!R177</f>
        <v>0</v>
      </c>
      <c r="L137" s="70">
        <f>'RESUMEN TOTAL'!S177</f>
        <v>0</v>
      </c>
      <c r="M137" s="70">
        <f>'RESUMEN TOTAL'!T177</f>
        <v>0</v>
      </c>
      <c r="N137" s="70">
        <f>'RESUMEN TOTAL'!U177</f>
        <v>0</v>
      </c>
      <c r="O137" s="70">
        <f>'RESUMEN TOTAL'!V177</f>
        <v>0</v>
      </c>
      <c r="P137" s="70">
        <f>'RESUMEN TOTAL'!W177</f>
        <v>0</v>
      </c>
      <c r="Q137" s="70">
        <f>'RESUMEN TOTAL'!X177</f>
        <v>0</v>
      </c>
      <c r="R137" s="70">
        <f>'RESUMEN TOTAL'!Y177</f>
        <v>0</v>
      </c>
      <c r="S137" s="70">
        <f>'RESUMEN TOTAL'!Z177</f>
        <v>0</v>
      </c>
      <c r="T137" s="70">
        <f>'RESUMEN TOTAL'!AA177</f>
        <v>0</v>
      </c>
      <c r="U137" s="70">
        <f>'RESUMEN TOTAL'!AB177</f>
        <v>0</v>
      </c>
      <c r="V137" s="70">
        <f>'RESUMEN TOTAL'!AC177</f>
        <v>0</v>
      </c>
      <c r="W137" s="70">
        <f>'RESUMEN TOTAL'!AD177</f>
        <v>0</v>
      </c>
      <c r="X137" s="70">
        <f>'RESUMEN TOTAL'!AE177</f>
        <v>0</v>
      </c>
      <c r="Y137" s="70">
        <f>'RESUMEN TOTAL'!AF177</f>
        <v>0</v>
      </c>
      <c r="Z137" s="70">
        <f>'RESUMEN TOTAL'!AG177</f>
        <v>0</v>
      </c>
      <c r="AA137" s="70">
        <f>'RESUMEN TOTAL'!AH177</f>
        <v>0</v>
      </c>
      <c r="AB137" s="70">
        <f>'RESUMEN TOTAL'!AI177</f>
        <v>0</v>
      </c>
      <c r="AC137" s="70">
        <f>'RESUMEN TOTAL'!AJ177</f>
        <v>0</v>
      </c>
      <c r="AD137" s="70">
        <f>'RESUMEN TOTAL'!AK177</f>
        <v>0</v>
      </c>
      <c r="AE137" s="70">
        <f>'RESUMEN TOTAL'!AL177</f>
        <v>0</v>
      </c>
      <c r="AF137" s="70">
        <f>'RESUMEN TOTAL'!AM177</f>
        <v>0</v>
      </c>
      <c r="AG137" s="70">
        <f>'RESUMEN TOTAL'!AN177</f>
        <v>0</v>
      </c>
      <c r="AH137" s="70">
        <f>'RESUMEN TOTAL'!AO177</f>
        <v>0</v>
      </c>
      <c r="AI137" s="70">
        <f>'RESUMEN TOTAL'!AP177</f>
        <v>0</v>
      </c>
      <c r="AJ137" s="70">
        <f>'RESUMEN TOTAL'!AQ177</f>
        <v>0</v>
      </c>
    </row>
    <row r="138" spans="1:36" x14ac:dyDescent="0.25">
      <c r="A138" t="str">
        <f>'RESUMEN TOTAL'!A178</f>
        <v>LA ESMERALDA</v>
      </c>
      <c r="B138" t="str">
        <f>'RESUMEN TOTAL'!B178</f>
        <v>ESM09 (fija 1)</v>
      </c>
      <c r="C138" t="str">
        <f>'RESUMEN TOTAL'!D178</f>
        <v>EEUU Y CABELLO</v>
      </c>
      <c r="D138" s="30" t="str">
        <f>'RESUMEN TOTAL'!E178</f>
        <v>Fija</v>
      </c>
      <c r="E138" s="30" t="str">
        <f>'RESUMEN TOTAL'!F178</f>
        <v>Fibra Optica</v>
      </c>
      <c r="F138" s="70">
        <f>'RESUMEN TOTAL'!M178</f>
        <v>0</v>
      </c>
      <c r="G138" s="70">
        <f>'RESUMEN TOTAL'!N178</f>
        <v>0</v>
      </c>
      <c r="H138" s="70">
        <f>'RESUMEN TOTAL'!O178</f>
        <v>0</v>
      </c>
      <c r="I138" s="70">
        <f>'RESUMEN TOTAL'!P178</f>
        <v>0</v>
      </c>
      <c r="J138" s="70">
        <f>'RESUMEN TOTAL'!Q178</f>
        <v>0</v>
      </c>
      <c r="K138" s="70">
        <f>'RESUMEN TOTAL'!R178</f>
        <v>0</v>
      </c>
      <c r="L138" s="70">
        <f>'RESUMEN TOTAL'!S178</f>
        <v>0</v>
      </c>
      <c r="M138" s="70">
        <f>'RESUMEN TOTAL'!T178</f>
        <v>0</v>
      </c>
      <c r="N138" s="70">
        <f>'RESUMEN TOTAL'!U178</f>
        <v>0</v>
      </c>
      <c r="O138" s="70">
        <f>'RESUMEN TOTAL'!V178</f>
        <v>0</v>
      </c>
      <c r="P138" s="70">
        <f>'RESUMEN TOTAL'!W178</f>
        <v>0</v>
      </c>
      <c r="Q138" s="70">
        <f>'RESUMEN TOTAL'!X178</f>
        <v>0</v>
      </c>
      <c r="R138" s="70">
        <f>'RESUMEN TOTAL'!Y178</f>
        <v>0</v>
      </c>
      <c r="S138" s="70">
        <f>'RESUMEN TOTAL'!Z178</f>
        <v>0</v>
      </c>
      <c r="T138" s="70">
        <f>'RESUMEN TOTAL'!AA178</f>
        <v>0</v>
      </c>
      <c r="U138" s="70">
        <f>'RESUMEN TOTAL'!AB178</f>
        <v>0</v>
      </c>
      <c r="V138" s="70">
        <f>'RESUMEN TOTAL'!AC178</f>
        <v>0</v>
      </c>
      <c r="W138" s="70">
        <f>'RESUMEN TOTAL'!AD178</f>
        <v>0</v>
      </c>
      <c r="X138" s="70">
        <f>'RESUMEN TOTAL'!AE178</f>
        <v>0</v>
      </c>
      <c r="Y138" s="70">
        <f>'RESUMEN TOTAL'!AF178</f>
        <v>0</v>
      </c>
      <c r="Z138" s="70">
        <f>'RESUMEN TOTAL'!AG178</f>
        <v>0</v>
      </c>
      <c r="AA138" s="70">
        <f>'RESUMEN TOTAL'!AH178</f>
        <v>0</v>
      </c>
      <c r="AB138" s="70">
        <f>'RESUMEN TOTAL'!AI178</f>
        <v>0</v>
      </c>
      <c r="AC138" s="70">
        <f>'RESUMEN TOTAL'!AJ178</f>
        <v>0</v>
      </c>
      <c r="AD138" s="70">
        <f>'RESUMEN TOTAL'!AK178</f>
        <v>0</v>
      </c>
      <c r="AE138" s="70">
        <f>'RESUMEN TOTAL'!AL178</f>
        <v>0</v>
      </c>
      <c r="AF138" s="70">
        <f>'RESUMEN TOTAL'!AM178</f>
        <v>0</v>
      </c>
      <c r="AG138" s="70">
        <f>'RESUMEN TOTAL'!AN178</f>
        <v>0</v>
      </c>
      <c r="AH138" s="70">
        <f>'RESUMEN TOTAL'!AO178</f>
        <v>0</v>
      </c>
      <c r="AI138" s="70">
        <f>'RESUMEN TOTAL'!AP178</f>
        <v>0</v>
      </c>
      <c r="AJ138" s="70">
        <f>'RESUMEN TOTAL'!AQ178</f>
        <v>0</v>
      </c>
    </row>
    <row r="139" spans="1:36" x14ac:dyDescent="0.25">
      <c r="A139" t="str">
        <f>'RESUMEN TOTAL'!A179</f>
        <v>LA ESMERALDA</v>
      </c>
      <c r="B139" t="str">
        <f>'RESUMEN TOTAL'!B179</f>
        <v>ESM10 (fija 2)</v>
      </c>
      <c r="C139" t="str">
        <f>'RESUMEN TOTAL'!D179</f>
        <v>EEUU Y CABELLO</v>
      </c>
      <c r="D139" s="30" t="str">
        <f>'RESUMEN TOTAL'!E179</f>
        <v>Fija</v>
      </c>
      <c r="E139" s="30" t="str">
        <f>'RESUMEN TOTAL'!F179</f>
        <v>Fibra Optica</v>
      </c>
      <c r="F139" s="70">
        <f>'RESUMEN TOTAL'!M179</f>
        <v>0</v>
      </c>
      <c r="G139" s="70">
        <f>'RESUMEN TOTAL'!N179</f>
        <v>0</v>
      </c>
      <c r="H139" s="70">
        <f>'RESUMEN TOTAL'!O179</f>
        <v>0</v>
      </c>
      <c r="I139" s="70">
        <f>'RESUMEN TOTAL'!P179</f>
        <v>0</v>
      </c>
      <c r="J139" s="70">
        <f>'RESUMEN TOTAL'!Q179</f>
        <v>0</v>
      </c>
      <c r="K139" s="70">
        <f>'RESUMEN TOTAL'!R179</f>
        <v>0</v>
      </c>
      <c r="L139" s="70">
        <f>'RESUMEN TOTAL'!S179</f>
        <v>0</v>
      </c>
      <c r="M139" s="70">
        <f>'RESUMEN TOTAL'!T179</f>
        <v>0</v>
      </c>
      <c r="N139" s="70">
        <f>'RESUMEN TOTAL'!U179</f>
        <v>0</v>
      </c>
      <c r="O139" s="70">
        <f>'RESUMEN TOTAL'!V179</f>
        <v>0</v>
      </c>
      <c r="P139" s="70">
        <f>'RESUMEN TOTAL'!W179</f>
        <v>0</v>
      </c>
      <c r="Q139" s="70">
        <f>'RESUMEN TOTAL'!X179</f>
        <v>0</v>
      </c>
      <c r="R139" s="70">
        <f>'RESUMEN TOTAL'!Y179</f>
        <v>0</v>
      </c>
      <c r="S139" s="70">
        <f>'RESUMEN TOTAL'!Z179</f>
        <v>0</v>
      </c>
      <c r="T139" s="70">
        <f>'RESUMEN TOTAL'!AA179</f>
        <v>0</v>
      </c>
      <c r="U139" s="70">
        <f>'RESUMEN TOTAL'!AB179</f>
        <v>0</v>
      </c>
      <c r="V139" s="70">
        <f>'RESUMEN TOTAL'!AC179</f>
        <v>0</v>
      </c>
      <c r="W139" s="70">
        <f>'RESUMEN TOTAL'!AD179</f>
        <v>0</v>
      </c>
      <c r="X139" s="70">
        <f>'RESUMEN TOTAL'!AE179</f>
        <v>0</v>
      </c>
      <c r="Y139" s="70">
        <f>'RESUMEN TOTAL'!AF179</f>
        <v>0</v>
      </c>
      <c r="Z139" s="70">
        <f>'RESUMEN TOTAL'!AG179</f>
        <v>0</v>
      </c>
      <c r="AA139" s="70">
        <f>'RESUMEN TOTAL'!AH179</f>
        <v>0</v>
      </c>
      <c r="AB139" s="70">
        <f>'RESUMEN TOTAL'!AI179</f>
        <v>0</v>
      </c>
      <c r="AC139" s="70">
        <f>'RESUMEN TOTAL'!AJ179</f>
        <v>0</v>
      </c>
      <c r="AD139" s="70">
        <f>'RESUMEN TOTAL'!AK179</f>
        <v>0</v>
      </c>
      <c r="AE139" s="70">
        <f>'RESUMEN TOTAL'!AL179</f>
        <v>0</v>
      </c>
      <c r="AF139" s="70">
        <f>'RESUMEN TOTAL'!AM179</f>
        <v>0</v>
      </c>
      <c r="AG139" s="70">
        <f>'RESUMEN TOTAL'!AN179</f>
        <v>0</v>
      </c>
      <c r="AH139" s="70">
        <f>'RESUMEN TOTAL'!AO179</f>
        <v>0</v>
      </c>
      <c r="AI139" s="70">
        <f>'RESUMEN TOTAL'!AP179</f>
        <v>0</v>
      </c>
      <c r="AJ139" s="70">
        <f>'RESUMEN TOTAL'!AQ179</f>
        <v>0</v>
      </c>
    </row>
    <row r="140" spans="1:36" x14ac:dyDescent="0.25">
      <c r="A140" t="str">
        <f>'RESUMEN TOTAL'!A180</f>
        <v>LA ESMERALDA</v>
      </c>
      <c r="B140" t="str">
        <f>'RESUMEN TOTAL'!B180</f>
        <v>ESM11 (fija 1)</v>
      </c>
      <c r="C140" t="str">
        <f>'RESUMEN TOTAL'!D180</f>
        <v>NOVAK Y LAMBARDI</v>
      </c>
      <c r="D140" s="30" t="str">
        <f>'RESUMEN TOTAL'!E180</f>
        <v>Fija</v>
      </c>
      <c r="E140" s="30" t="str">
        <f>'RESUMEN TOTAL'!F180</f>
        <v>Fibra Optica</v>
      </c>
      <c r="F140" s="70">
        <f>'RESUMEN TOTAL'!M180</f>
        <v>0</v>
      </c>
      <c r="G140" s="70">
        <f>'RESUMEN TOTAL'!N180</f>
        <v>0</v>
      </c>
      <c r="H140" s="70">
        <f>'RESUMEN TOTAL'!O180</f>
        <v>0</v>
      </c>
      <c r="I140" s="70">
        <f>'RESUMEN TOTAL'!P180</f>
        <v>0</v>
      </c>
      <c r="J140" s="70">
        <f>'RESUMEN TOTAL'!Q180</f>
        <v>0</v>
      </c>
      <c r="K140" s="70">
        <f>'RESUMEN TOTAL'!R180</f>
        <v>0</v>
      </c>
      <c r="L140" s="70">
        <f>'RESUMEN TOTAL'!S180</f>
        <v>0</v>
      </c>
      <c r="M140" s="70">
        <f>'RESUMEN TOTAL'!T180</f>
        <v>0</v>
      </c>
      <c r="N140" s="70">
        <f>'RESUMEN TOTAL'!U180</f>
        <v>0</v>
      </c>
      <c r="O140" s="70">
        <f>'RESUMEN TOTAL'!V180</f>
        <v>0</v>
      </c>
      <c r="P140" s="70">
        <f>'RESUMEN TOTAL'!W180</f>
        <v>0</v>
      </c>
      <c r="Q140" s="70">
        <f>'RESUMEN TOTAL'!X180</f>
        <v>0</v>
      </c>
      <c r="R140" s="70">
        <f>'RESUMEN TOTAL'!Y180</f>
        <v>0</v>
      </c>
      <c r="S140" s="70">
        <f>'RESUMEN TOTAL'!Z180</f>
        <v>0</v>
      </c>
      <c r="T140" s="70">
        <f>'RESUMEN TOTAL'!AA180</f>
        <v>0</v>
      </c>
      <c r="U140" s="70">
        <f>'RESUMEN TOTAL'!AB180</f>
        <v>0</v>
      </c>
      <c r="V140" s="70">
        <f>'RESUMEN TOTAL'!AC180</f>
        <v>0</v>
      </c>
      <c r="W140" s="70">
        <f>'RESUMEN TOTAL'!AD180</f>
        <v>0</v>
      </c>
      <c r="X140" s="70">
        <f>'RESUMEN TOTAL'!AE180</f>
        <v>0</v>
      </c>
      <c r="Y140" s="70">
        <f>'RESUMEN TOTAL'!AF180</f>
        <v>0</v>
      </c>
      <c r="Z140" s="70">
        <f>'RESUMEN TOTAL'!AG180</f>
        <v>0</v>
      </c>
      <c r="AA140" s="70">
        <f>'RESUMEN TOTAL'!AH180</f>
        <v>0</v>
      </c>
      <c r="AB140" s="70">
        <f>'RESUMEN TOTAL'!AI180</f>
        <v>0</v>
      </c>
      <c r="AC140" s="70">
        <f>'RESUMEN TOTAL'!AJ180</f>
        <v>0</v>
      </c>
      <c r="AD140" s="70">
        <f>'RESUMEN TOTAL'!AK180</f>
        <v>0</v>
      </c>
      <c r="AE140" s="70">
        <f>'RESUMEN TOTAL'!AL180</f>
        <v>0</v>
      </c>
      <c r="AF140" s="70">
        <f>'RESUMEN TOTAL'!AM180</f>
        <v>0</v>
      </c>
      <c r="AG140" s="70">
        <f>'RESUMEN TOTAL'!AN180</f>
        <v>0</v>
      </c>
      <c r="AH140" s="70">
        <f>'RESUMEN TOTAL'!AO180</f>
        <v>0</v>
      </c>
      <c r="AI140" s="70">
        <f>'RESUMEN TOTAL'!AP180</f>
        <v>0</v>
      </c>
      <c r="AJ140" s="70">
        <f>'RESUMEN TOTAL'!AQ180</f>
        <v>0</v>
      </c>
    </row>
    <row r="141" spans="1:36" x14ac:dyDescent="0.25">
      <c r="A141" t="str">
        <f>'RESUMEN TOTAL'!A181</f>
        <v>LA ESMERALDA</v>
      </c>
      <c r="B141" t="str">
        <f>'RESUMEN TOTAL'!B181</f>
        <v>ESM12 (fija 2)</v>
      </c>
      <c r="C141" t="str">
        <f>'RESUMEN TOTAL'!D181</f>
        <v>NOVAK Y LAMBARDI</v>
      </c>
      <c r="D141" s="30" t="str">
        <f>'RESUMEN TOTAL'!E181</f>
        <v>Fija</v>
      </c>
      <c r="E141" s="30" t="str">
        <f>'RESUMEN TOTAL'!F181</f>
        <v>Fibra Optica</v>
      </c>
      <c r="F141" s="70">
        <f>'RESUMEN TOTAL'!M181</f>
        <v>0</v>
      </c>
      <c r="G141" s="70">
        <f>'RESUMEN TOTAL'!N181</f>
        <v>0</v>
      </c>
      <c r="H141" s="70">
        <f>'RESUMEN TOTAL'!O181</f>
        <v>0</v>
      </c>
      <c r="I141" s="70">
        <f>'RESUMEN TOTAL'!P181</f>
        <v>0</v>
      </c>
      <c r="J141" s="70">
        <f>'RESUMEN TOTAL'!Q181</f>
        <v>0</v>
      </c>
      <c r="K141" s="70">
        <f>'RESUMEN TOTAL'!R181</f>
        <v>0</v>
      </c>
      <c r="L141" s="70">
        <f>'RESUMEN TOTAL'!S181</f>
        <v>0</v>
      </c>
      <c r="M141" s="70">
        <f>'RESUMEN TOTAL'!T181</f>
        <v>0</v>
      </c>
      <c r="N141" s="70">
        <f>'RESUMEN TOTAL'!U181</f>
        <v>0</v>
      </c>
      <c r="O141" s="70">
        <f>'RESUMEN TOTAL'!V181</f>
        <v>0</v>
      </c>
      <c r="P141" s="70">
        <f>'RESUMEN TOTAL'!W181</f>
        <v>0</v>
      </c>
      <c r="Q141" s="70">
        <f>'RESUMEN TOTAL'!X181</f>
        <v>0</v>
      </c>
      <c r="R141" s="70">
        <f>'RESUMEN TOTAL'!Y181</f>
        <v>0</v>
      </c>
      <c r="S141" s="70">
        <f>'RESUMEN TOTAL'!Z181</f>
        <v>0</v>
      </c>
      <c r="T141" s="70">
        <f>'RESUMEN TOTAL'!AA181</f>
        <v>0</v>
      </c>
      <c r="U141" s="70">
        <f>'RESUMEN TOTAL'!AB181</f>
        <v>0</v>
      </c>
      <c r="V141" s="70">
        <f>'RESUMEN TOTAL'!AC181</f>
        <v>0</v>
      </c>
      <c r="W141" s="70">
        <f>'RESUMEN TOTAL'!AD181</f>
        <v>0</v>
      </c>
      <c r="X141" s="70">
        <f>'RESUMEN TOTAL'!AE181</f>
        <v>0</v>
      </c>
      <c r="Y141" s="70">
        <f>'RESUMEN TOTAL'!AF181</f>
        <v>0</v>
      </c>
      <c r="Z141" s="70">
        <f>'RESUMEN TOTAL'!AG181</f>
        <v>0</v>
      </c>
      <c r="AA141" s="70">
        <f>'RESUMEN TOTAL'!AH181</f>
        <v>0</v>
      </c>
      <c r="AB141" s="70">
        <f>'RESUMEN TOTAL'!AI181</f>
        <v>0</v>
      </c>
      <c r="AC141" s="70">
        <f>'RESUMEN TOTAL'!AJ181</f>
        <v>0</v>
      </c>
      <c r="AD141" s="70">
        <f>'RESUMEN TOTAL'!AK181</f>
        <v>0</v>
      </c>
      <c r="AE141" s="70">
        <f>'RESUMEN TOTAL'!AL181</f>
        <v>0</v>
      </c>
      <c r="AF141" s="70">
        <f>'RESUMEN TOTAL'!AM181</f>
        <v>0</v>
      </c>
      <c r="AG141" s="70">
        <f>'RESUMEN TOTAL'!AN181</f>
        <v>0</v>
      </c>
      <c r="AH141" s="70">
        <f>'RESUMEN TOTAL'!AO181</f>
        <v>0</v>
      </c>
      <c r="AI141" s="70">
        <f>'RESUMEN TOTAL'!AP181</f>
        <v>0</v>
      </c>
      <c r="AJ141" s="70">
        <f>'RESUMEN TOTAL'!AQ181</f>
        <v>0</v>
      </c>
    </row>
    <row r="142" spans="1:36" x14ac:dyDescent="0.25">
      <c r="A142" t="str">
        <f>'RESUMEN TOTAL'!A182</f>
        <v>LA ESMERALDA</v>
      </c>
      <c r="B142" t="str">
        <f>'RESUMEN TOTAL'!B182</f>
        <v>ESM 13</v>
      </c>
      <c r="C142" t="str">
        <f>'RESUMEN TOTAL'!D182</f>
        <v>Barzi y Serrano</v>
      </c>
      <c r="D142" s="30" t="str">
        <f>'RESUMEN TOTAL'!E182</f>
        <v>fija</v>
      </c>
      <c r="E142" s="30" t="str">
        <f>'RESUMEN TOTAL'!F182</f>
        <v>Fibra Optica</v>
      </c>
      <c r="F142" s="70">
        <f>'RESUMEN TOTAL'!M182</f>
        <v>0</v>
      </c>
      <c r="G142" s="70">
        <f>'RESUMEN TOTAL'!N182</f>
        <v>0</v>
      </c>
      <c r="H142" s="70">
        <f>'RESUMEN TOTAL'!O182</f>
        <v>0</v>
      </c>
      <c r="I142" s="70">
        <f>'RESUMEN TOTAL'!P182</f>
        <v>0</v>
      </c>
      <c r="J142" s="70">
        <f>'RESUMEN TOTAL'!Q182</f>
        <v>0</v>
      </c>
      <c r="K142" s="70">
        <f>'RESUMEN TOTAL'!R182</f>
        <v>0</v>
      </c>
      <c r="L142" s="70">
        <f>'RESUMEN TOTAL'!S182</f>
        <v>0</v>
      </c>
      <c r="M142" s="70">
        <f>'RESUMEN TOTAL'!T182</f>
        <v>0</v>
      </c>
      <c r="N142" s="70">
        <f>'RESUMEN TOTAL'!U182</f>
        <v>0</v>
      </c>
      <c r="O142" s="70">
        <f>'RESUMEN TOTAL'!V182</f>
        <v>0</v>
      </c>
      <c r="P142" s="70">
        <f>'RESUMEN TOTAL'!W182</f>
        <v>0</v>
      </c>
      <c r="Q142" s="70">
        <f>'RESUMEN TOTAL'!X182</f>
        <v>0</v>
      </c>
      <c r="R142" s="70">
        <f>'RESUMEN TOTAL'!Y182</f>
        <v>0</v>
      </c>
      <c r="S142" s="70">
        <f>'RESUMEN TOTAL'!Z182</f>
        <v>0</v>
      </c>
      <c r="T142" s="70">
        <f>'RESUMEN TOTAL'!AA182</f>
        <v>0</v>
      </c>
      <c r="U142" s="70">
        <f>'RESUMEN TOTAL'!AB182</f>
        <v>0</v>
      </c>
      <c r="V142" s="70">
        <f>'RESUMEN TOTAL'!AC182</f>
        <v>0</v>
      </c>
      <c r="W142" s="70">
        <f>'RESUMEN TOTAL'!AD182</f>
        <v>0</v>
      </c>
      <c r="X142" s="70">
        <f>'RESUMEN TOTAL'!AE182</f>
        <v>0</v>
      </c>
      <c r="Y142" s="70">
        <f>'RESUMEN TOTAL'!AF182</f>
        <v>0</v>
      </c>
      <c r="Z142" s="70">
        <f>'RESUMEN TOTAL'!AG182</f>
        <v>0</v>
      </c>
      <c r="AA142" s="70">
        <f>'RESUMEN TOTAL'!AH182</f>
        <v>0</v>
      </c>
      <c r="AB142" s="70">
        <f>'RESUMEN TOTAL'!AI182</f>
        <v>0</v>
      </c>
      <c r="AC142" s="70">
        <f>'RESUMEN TOTAL'!AJ182</f>
        <v>0</v>
      </c>
      <c r="AD142" s="70">
        <f>'RESUMEN TOTAL'!AK182</f>
        <v>0</v>
      </c>
      <c r="AE142" s="70">
        <f>'RESUMEN TOTAL'!AL182</f>
        <v>0</v>
      </c>
      <c r="AF142" s="70">
        <f>'RESUMEN TOTAL'!AM182</f>
        <v>0</v>
      </c>
      <c r="AG142" s="70">
        <f>'RESUMEN TOTAL'!AN182</f>
        <v>0</v>
      </c>
      <c r="AH142" s="70">
        <f>'RESUMEN TOTAL'!AO182</f>
        <v>0</v>
      </c>
      <c r="AI142" s="70">
        <f>'RESUMEN TOTAL'!AP182</f>
        <v>0</v>
      </c>
      <c r="AJ142" s="70">
        <f>'RESUMEN TOTAL'!AQ182</f>
        <v>0</v>
      </c>
    </row>
    <row r="143" spans="1:36" x14ac:dyDescent="0.25">
      <c r="A143" t="str">
        <f>'RESUMEN TOTAL'!A183</f>
        <v>LA ESMERALDA</v>
      </c>
      <c r="B143" t="str">
        <f>'RESUMEN TOTAL'!B183</f>
        <v>ESM 14</v>
      </c>
      <c r="C143" t="str">
        <f>'RESUMEN TOTAL'!D183</f>
        <v>Barzi y Serrano</v>
      </c>
      <c r="D143" s="30" t="str">
        <f>'RESUMEN TOTAL'!E183</f>
        <v>fija</v>
      </c>
      <c r="E143" s="30" t="str">
        <f>'RESUMEN TOTAL'!F183</f>
        <v>Fibra Optica</v>
      </c>
      <c r="F143" s="70" t="str">
        <f>'RESUMEN TOTAL'!M183</f>
        <v>APAGADO</v>
      </c>
      <c r="G143" s="70" t="str">
        <f>'RESUMEN TOTAL'!N183</f>
        <v>APAGADO</v>
      </c>
      <c r="H143" s="70">
        <f>'RESUMEN TOTAL'!O183</f>
        <v>0</v>
      </c>
      <c r="I143" s="70">
        <f>'RESUMEN TOTAL'!P183</f>
        <v>0</v>
      </c>
      <c r="J143" s="70">
        <f>'RESUMEN TOTAL'!Q183</f>
        <v>0</v>
      </c>
      <c r="K143" s="70">
        <f>'RESUMEN TOTAL'!R183</f>
        <v>0</v>
      </c>
      <c r="L143" s="70">
        <f>'RESUMEN TOTAL'!S183</f>
        <v>0</v>
      </c>
      <c r="M143" s="70">
        <f>'RESUMEN TOTAL'!T183</f>
        <v>0</v>
      </c>
      <c r="N143" s="70">
        <f>'RESUMEN TOTAL'!U183</f>
        <v>0</v>
      </c>
      <c r="O143" s="70">
        <f>'RESUMEN TOTAL'!V183</f>
        <v>0</v>
      </c>
      <c r="P143" s="70">
        <f>'RESUMEN TOTAL'!W183</f>
        <v>0</v>
      </c>
      <c r="Q143" s="70">
        <f>'RESUMEN TOTAL'!X183</f>
        <v>0</v>
      </c>
      <c r="R143" s="70">
        <f>'RESUMEN TOTAL'!Y183</f>
        <v>0</v>
      </c>
      <c r="S143" s="70">
        <f>'RESUMEN TOTAL'!Z183</f>
        <v>0</v>
      </c>
      <c r="T143" s="70">
        <f>'RESUMEN TOTAL'!AA183</f>
        <v>0</v>
      </c>
      <c r="U143" s="70">
        <f>'RESUMEN TOTAL'!AB183</f>
        <v>0</v>
      </c>
      <c r="V143" s="70">
        <f>'RESUMEN TOTAL'!AC183</f>
        <v>0</v>
      </c>
      <c r="W143" s="70">
        <f>'RESUMEN TOTAL'!AD183</f>
        <v>0</v>
      </c>
      <c r="X143" s="70">
        <f>'RESUMEN TOTAL'!AE183</f>
        <v>0</v>
      </c>
      <c r="Y143" s="70">
        <f>'RESUMEN TOTAL'!AF183</f>
        <v>0</v>
      </c>
      <c r="Z143" s="70">
        <f>'RESUMEN TOTAL'!AG183</f>
        <v>0</v>
      </c>
      <c r="AA143" s="70">
        <f>'RESUMEN TOTAL'!AH183</f>
        <v>0</v>
      </c>
      <c r="AB143" s="70">
        <f>'RESUMEN TOTAL'!AI183</f>
        <v>0</v>
      </c>
      <c r="AC143" s="70">
        <f>'RESUMEN TOTAL'!AJ183</f>
        <v>0</v>
      </c>
      <c r="AD143" s="70">
        <f>'RESUMEN TOTAL'!AK183</f>
        <v>0</v>
      </c>
      <c r="AE143" s="70">
        <f>'RESUMEN TOTAL'!AL183</f>
        <v>0</v>
      </c>
      <c r="AF143" s="70">
        <f>'RESUMEN TOTAL'!AM183</f>
        <v>0</v>
      </c>
      <c r="AG143" s="70">
        <f>'RESUMEN TOTAL'!AN183</f>
        <v>0</v>
      </c>
      <c r="AH143" s="70">
        <f>'RESUMEN TOTAL'!AO183</f>
        <v>0</v>
      </c>
      <c r="AI143" s="70">
        <f>'RESUMEN TOTAL'!AP183</f>
        <v>0</v>
      </c>
      <c r="AJ143" s="70">
        <f>'RESUMEN TOTAL'!AQ183</f>
        <v>0</v>
      </c>
    </row>
    <row r="144" spans="1:36" x14ac:dyDescent="0.25">
      <c r="A144" t="str">
        <f>'RESUMEN TOTAL'!A184</f>
        <v>LA ESMERALDA</v>
      </c>
      <c r="B144" t="str">
        <f>'RESUMEN TOTAL'!B184</f>
        <v>ESM 15</v>
      </c>
      <c r="C144" t="str">
        <f>'RESUMEN TOTAL'!D184</f>
        <v>Basualdo y Lieja</v>
      </c>
      <c r="D144" s="30" t="str">
        <f>'RESUMEN TOTAL'!E184</f>
        <v>Fija</v>
      </c>
      <c r="E144" s="30" t="str">
        <f>'RESUMEN TOTAL'!F184</f>
        <v>Fibra Optica</v>
      </c>
      <c r="F144" s="70">
        <f>'RESUMEN TOTAL'!M184</f>
        <v>0</v>
      </c>
      <c r="G144" s="70">
        <f>'RESUMEN TOTAL'!N184</f>
        <v>0</v>
      </c>
      <c r="H144" s="70">
        <f>'RESUMEN TOTAL'!O184</f>
        <v>0</v>
      </c>
      <c r="I144" s="70">
        <f>'RESUMEN TOTAL'!P184</f>
        <v>0</v>
      </c>
      <c r="J144" s="70">
        <f>'RESUMEN TOTAL'!Q184</f>
        <v>0</v>
      </c>
      <c r="K144" s="70">
        <f>'RESUMEN TOTAL'!R184</f>
        <v>0</v>
      </c>
      <c r="L144" s="70">
        <f>'RESUMEN TOTAL'!S184</f>
        <v>0</v>
      </c>
      <c r="M144" s="70">
        <f>'RESUMEN TOTAL'!T184</f>
        <v>0</v>
      </c>
      <c r="N144" s="70">
        <f>'RESUMEN TOTAL'!U184</f>
        <v>0</v>
      </c>
      <c r="O144" s="70">
        <f>'RESUMEN TOTAL'!V184</f>
        <v>0</v>
      </c>
      <c r="P144" s="70">
        <f>'RESUMEN TOTAL'!W184</f>
        <v>0</v>
      </c>
      <c r="Q144" s="70">
        <f>'RESUMEN TOTAL'!X184</f>
        <v>0</v>
      </c>
      <c r="R144" s="70">
        <f>'RESUMEN TOTAL'!Y184</f>
        <v>0</v>
      </c>
      <c r="S144" s="70">
        <f>'RESUMEN TOTAL'!Z184</f>
        <v>0</v>
      </c>
      <c r="T144" s="70">
        <f>'RESUMEN TOTAL'!AA184</f>
        <v>0</v>
      </c>
      <c r="U144" s="70">
        <f>'RESUMEN TOTAL'!AB184</f>
        <v>0</v>
      </c>
      <c r="V144" s="70">
        <f>'RESUMEN TOTAL'!AC184</f>
        <v>0</v>
      </c>
      <c r="W144" s="70">
        <f>'RESUMEN TOTAL'!AD184</f>
        <v>0</v>
      </c>
      <c r="X144" s="70">
        <f>'RESUMEN TOTAL'!AE184</f>
        <v>0</v>
      </c>
      <c r="Y144" s="70">
        <f>'RESUMEN TOTAL'!AF184</f>
        <v>0</v>
      </c>
      <c r="Z144" s="70">
        <f>'RESUMEN TOTAL'!AG184</f>
        <v>0</v>
      </c>
      <c r="AA144" s="70">
        <f>'RESUMEN TOTAL'!AH184</f>
        <v>0</v>
      </c>
      <c r="AB144" s="70">
        <f>'RESUMEN TOTAL'!AI184</f>
        <v>0</v>
      </c>
      <c r="AC144" s="70">
        <f>'RESUMEN TOTAL'!AJ184</f>
        <v>0</v>
      </c>
      <c r="AD144" s="70">
        <f>'RESUMEN TOTAL'!AK184</f>
        <v>0</v>
      </c>
      <c r="AE144" s="70">
        <f>'RESUMEN TOTAL'!AL184</f>
        <v>0</v>
      </c>
      <c r="AF144" s="70">
        <f>'RESUMEN TOTAL'!AM184</f>
        <v>0</v>
      </c>
      <c r="AG144" s="70">
        <f>'RESUMEN TOTAL'!AN184</f>
        <v>0</v>
      </c>
      <c r="AH144" s="70">
        <f>'RESUMEN TOTAL'!AO184</f>
        <v>0</v>
      </c>
      <c r="AI144" s="70">
        <f>'RESUMEN TOTAL'!AP184</f>
        <v>0</v>
      </c>
      <c r="AJ144" s="70">
        <f>'RESUMEN TOTAL'!AQ184</f>
        <v>0</v>
      </c>
    </row>
    <row r="145" spans="1:36" x14ac:dyDescent="0.25">
      <c r="A145" t="str">
        <f>'RESUMEN TOTAL'!A185</f>
        <v>LA ESMERALDA</v>
      </c>
      <c r="B145" t="str">
        <f>'RESUMEN TOTAL'!B185</f>
        <v>ESM 16</v>
      </c>
      <c r="C145" t="str">
        <f>'RESUMEN TOTAL'!D185</f>
        <v>Basualdo y Lieja</v>
      </c>
      <c r="D145" s="30" t="str">
        <f>'RESUMEN TOTAL'!E185</f>
        <v>Fija</v>
      </c>
      <c r="E145" s="30" t="str">
        <f>'RESUMEN TOTAL'!F185</f>
        <v>Fibra Optica</v>
      </c>
      <c r="F145" s="70">
        <f>'RESUMEN TOTAL'!M185</f>
        <v>0</v>
      </c>
      <c r="G145" s="70">
        <f>'RESUMEN TOTAL'!N185</f>
        <v>0</v>
      </c>
      <c r="H145" s="70">
        <f>'RESUMEN TOTAL'!O185</f>
        <v>0</v>
      </c>
      <c r="I145" s="70">
        <f>'RESUMEN TOTAL'!P185</f>
        <v>0</v>
      </c>
      <c r="J145" s="70">
        <f>'RESUMEN TOTAL'!Q185</f>
        <v>0</v>
      </c>
      <c r="K145" s="70">
        <f>'RESUMEN TOTAL'!R185</f>
        <v>0</v>
      </c>
      <c r="L145" s="70">
        <f>'RESUMEN TOTAL'!S185</f>
        <v>0</v>
      </c>
      <c r="M145" s="70">
        <f>'RESUMEN TOTAL'!T185</f>
        <v>0</v>
      </c>
      <c r="N145" s="70">
        <f>'RESUMEN TOTAL'!U185</f>
        <v>0</v>
      </c>
      <c r="O145" s="70">
        <f>'RESUMEN TOTAL'!V185</f>
        <v>0</v>
      </c>
      <c r="P145" s="70">
        <f>'RESUMEN TOTAL'!W185</f>
        <v>0</v>
      </c>
      <c r="Q145" s="70">
        <f>'RESUMEN TOTAL'!X185</f>
        <v>0</v>
      </c>
      <c r="R145" s="70">
        <f>'RESUMEN TOTAL'!Y185</f>
        <v>0</v>
      </c>
      <c r="S145" s="70">
        <f>'RESUMEN TOTAL'!Z185</f>
        <v>0</v>
      </c>
      <c r="T145" s="70">
        <f>'RESUMEN TOTAL'!AA185</f>
        <v>0</v>
      </c>
      <c r="U145" s="70">
        <f>'RESUMEN TOTAL'!AB185</f>
        <v>0</v>
      </c>
      <c r="V145" s="70">
        <f>'RESUMEN TOTAL'!AC185</f>
        <v>0</v>
      </c>
      <c r="W145" s="70">
        <f>'RESUMEN TOTAL'!AD185</f>
        <v>0</v>
      </c>
      <c r="X145" s="70">
        <f>'RESUMEN TOTAL'!AE185</f>
        <v>0</v>
      </c>
      <c r="Y145" s="70">
        <f>'RESUMEN TOTAL'!AF185</f>
        <v>0</v>
      </c>
      <c r="Z145" s="70">
        <f>'RESUMEN TOTAL'!AG185</f>
        <v>0</v>
      </c>
      <c r="AA145" s="70">
        <f>'RESUMEN TOTAL'!AH185</f>
        <v>0</v>
      </c>
      <c r="AB145" s="70">
        <f>'RESUMEN TOTAL'!AI185</f>
        <v>0</v>
      </c>
      <c r="AC145" s="70">
        <f>'RESUMEN TOTAL'!AJ185</f>
        <v>0</v>
      </c>
      <c r="AD145" s="70">
        <f>'RESUMEN TOTAL'!AK185</f>
        <v>0</v>
      </c>
      <c r="AE145" s="70">
        <f>'RESUMEN TOTAL'!AL185</f>
        <v>0</v>
      </c>
      <c r="AF145" s="70">
        <f>'RESUMEN TOTAL'!AM185</f>
        <v>0</v>
      </c>
      <c r="AG145" s="70">
        <f>'RESUMEN TOTAL'!AN185</f>
        <v>0</v>
      </c>
      <c r="AH145" s="70">
        <f>'RESUMEN TOTAL'!AO185</f>
        <v>0</v>
      </c>
      <c r="AI145" s="70">
        <f>'RESUMEN TOTAL'!AP185</f>
        <v>0</v>
      </c>
      <c r="AJ145" s="70">
        <f>'RESUMEN TOTAL'!AQ185</f>
        <v>0</v>
      </c>
    </row>
    <row r="146" spans="1:36" x14ac:dyDescent="0.25">
      <c r="A146" t="str">
        <f>'RESUMEN TOTAL'!A191</f>
        <v>INGENIERO ALLAN</v>
      </c>
      <c r="B146" t="str">
        <f>'RESUMEN TOTAL'!B191</f>
        <v>INA 01</v>
      </c>
      <c r="C146" t="str">
        <f>'RESUMEN TOTAL'!D191</f>
        <v>1138 Y 1155</v>
      </c>
      <c r="D146" s="30" t="str">
        <f>'RESUMEN TOTAL'!E191</f>
        <v>DOMO</v>
      </c>
      <c r="E146" s="30" t="str">
        <f>'RESUMEN TOTAL'!F191</f>
        <v>Fibra Optica</v>
      </c>
      <c r="F146" s="70">
        <f>'RESUMEN TOTAL'!M191</f>
        <v>0</v>
      </c>
      <c r="G146" s="70">
        <f>'RESUMEN TOTAL'!N191</f>
        <v>0</v>
      </c>
      <c r="H146" s="70">
        <f>'RESUMEN TOTAL'!O191</f>
        <v>0</v>
      </c>
      <c r="I146" s="70">
        <f>'RESUMEN TOTAL'!P191</f>
        <v>0</v>
      </c>
      <c r="J146" s="70">
        <f>'RESUMEN TOTAL'!Q191</f>
        <v>0</v>
      </c>
      <c r="K146" s="70">
        <f>'RESUMEN TOTAL'!R191</f>
        <v>0</v>
      </c>
      <c r="L146" s="70">
        <f>'RESUMEN TOTAL'!S191</f>
        <v>0</v>
      </c>
      <c r="M146" s="70">
        <f>'RESUMEN TOTAL'!T191</f>
        <v>0</v>
      </c>
      <c r="N146" s="70">
        <f>'RESUMEN TOTAL'!U191</f>
        <v>0</v>
      </c>
      <c r="O146" s="70">
        <f>'RESUMEN TOTAL'!V191</f>
        <v>0</v>
      </c>
      <c r="P146" s="70">
        <f>'RESUMEN TOTAL'!W191</f>
        <v>0</v>
      </c>
      <c r="Q146" s="70">
        <f>'RESUMEN TOTAL'!X191</f>
        <v>0</v>
      </c>
      <c r="R146" s="70">
        <f>'RESUMEN TOTAL'!Y191</f>
        <v>0</v>
      </c>
      <c r="S146" s="70">
        <f>'RESUMEN TOTAL'!Z191</f>
        <v>0</v>
      </c>
      <c r="T146" s="70">
        <f>'RESUMEN TOTAL'!AA191</f>
        <v>0</v>
      </c>
      <c r="U146" s="70">
        <f>'RESUMEN TOTAL'!AB191</f>
        <v>0</v>
      </c>
      <c r="V146" s="70">
        <f>'RESUMEN TOTAL'!AC191</f>
        <v>0</v>
      </c>
      <c r="W146" s="70">
        <f>'RESUMEN TOTAL'!AD191</f>
        <v>0</v>
      </c>
      <c r="X146" s="70">
        <f>'RESUMEN TOTAL'!AE191</f>
        <v>0</v>
      </c>
      <c r="Y146" s="70">
        <f>'RESUMEN TOTAL'!AF191</f>
        <v>0</v>
      </c>
      <c r="Z146" s="70">
        <f>'RESUMEN TOTAL'!AG191</f>
        <v>0</v>
      </c>
      <c r="AA146" s="70">
        <f>'RESUMEN TOTAL'!AH191</f>
        <v>0</v>
      </c>
      <c r="AB146" s="70">
        <f>'RESUMEN TOTAL'!AI191</f>
        <v>0</v>
      </c>
      <c r="AC146" s="70">
        <f>'RESUMEN TOTAL'!AJ191</f>
        <v>0</v>
      </c>
      <c r="AD146" s="70">
        <f>'RESUMEN TOTAL'!AK191</f>
        <v>0</v>
      </c>
      <c r="AE146" s="70">
        <f>'RESUMEN TOTAL'!AL191</f>
        <v>0</v>
      </c>
      <c r="AF146" s="70">
        <f>'RESUMEN TOTAL'!AM191</f>
        <v>0</v>
      </c>
      <c r="AG146" s="70">
        <f>'RESUMEN TOTAL'!AN191</f>
        <v>0</v>
      </c>
      <c r="AH146" s="70">
        <f>'RESUMEN TOTAL'!AO191</f>
        <v>0</v>
      </c>
      <c r="AI146" s="70">
        <f>'RESUMEN TOTAL'!AP191</f>
        <v>0</v>
      </c>
      <c r="AJ146" s="70">
        <f>'RESUMEN TOTAL'!AQ191</f>
        <v>0</v>
      </c>
    </row>
    <row r="147" spans="1:36" x14ac:dyDescent="0.25">
      <c r="A147" t="str">
        <f>'RESUMEN TOTAL'!A192</f>
        <v>INGENIERO ALLAN</v>
      </c>
      <c r="B147" t="str">
        <f>'RESUMEN TOTAL'!B192</f>
        <v>INA 02</v>
      </c>
      <c r="C147" t="str">
        <f>'RESUMEN TOTAL'!D192</f>
        <v>1144 Y 1155</v>
      </c>
      <c r="D147" s="30" t="str">
        <f>'RESUMEN TOTAL'!E192</f>
        <v>DOMO</v>
      </c>
      <c r="E147" s="30" t="str">
        <f>'RESUMEN TOTAL'!F192</f>
        <v>Fibra Optica</v>
      </c>
      <c r="F147" s="70">
        <f>'RESUMEN TOTAL'!M192</f>
        <v>0</v>
      </c>
      <c r="G147" s="70">
        <f>'RESUMEN TOTAL'!N192</f>
        <v>0</v>
      </c>
      <c r="H147" s="70">
        <f>'RESUMEN TOTAL'!O192</f>
        <v>0</v>
      </c>
      <c r="I147" s="70">
        <f>'RESUMEN TOTAL'!P192</f>
        <v>0</v>
      </c>
      <c r="J147" s="70">
        <f>'RESUMEN TOTAL'!Q192</f>
        <v>0</v>
      </c>
      <c r="K147" s="70">
        <f>'RESUMEN TOTAL'!R192</f>
        <v>0</v>
      </c>
      <c r="L147" s="70">
        <f>'RESUMEN TOTAL'!S192</f>
        <v>0</v>
      </c>
      <c r="M147" s="70">
        <f>'RESUMEN TOTAL'!T192</f>
        <v>0</v>
      </c>
      <c r="N147" s="70">
        <f>'RESUMEN TOTAL'!U192</f>
        <v>0</v>
      </c>
      <c r="O147" s="70">
        <f>'RESUMEN TOTAL'!V192</f>
        <v>0</v>
      </c>
      <c r="P147" s="70">
        <f>'RESUMEN TOTAL'!W192</f>
        <v>0</v>
      </c>
      <c r="Q147" s="70">
        <f>'RESUMEN TOTAL'!X192</f>
        <v>0</v>
      </c>
      <c r="R147" s="70">
        <f>'RESUMEN TOTAL'!Y192</f>
        <v>0</v>
      </c>
      <c r="S147" s="70">
        <f>'RESUMEN TOTAL'!Z192</f>
        <v>0</v>
      </c>
      <c r="T147" s="70">
        <f>'RESUMEN TOTAL'!AA192</f>
        <v>0</v>
      </c>
      <c r="U147" s="70">
        <f>'RESUMEN TOTAL'!AB192</f>
        <v>0</v>
      </c>
      <c r="V147" s="70">
        <f>'RESUMEN TOTAL'!AC192</f>
        <v>0</v>
      </c>
      <c r="W147" s="70">
        <f>'RESUMEN TOTAL'!AD192</f>
        <v>0</v>
      </c>
      <c r="X147" s="70">
        <f>'RESUMEN TOTAL'!AE192</f>
        <v>0</v>
      </c>
      <c r="Y147" s="70">
        <f>'RESUMEN TOTAL'!AF192</f>
        <v>0</v>
      </c>
      <c r="Z147" s="70">
        <f>'RESUMEN TOTAL'!AG192</f>
        <v>0</v>
      </c>
      <c r="AA147" s="70">
        <f>'RESUMEN TOTAL'!AH192</f>
        <v>0</v>
      </c>
      <c r="AB147" s="70">
        <f>'RESUMEN TOTAL'!AI192</f>
        <v>0</v>
      </c>
      <c r="AC147" s="70">
        <f>'RESUMEN TOTAL'!AJ192</f>
        <v>0</v>
      </c>
      <c r="AD147" s="70">
        <f>'RESUMEN TOTAL'!AK192</f>
        <v>0</v>
      </c>
      <c r="AE147" s="70">
        <f>'RESUMEN TOTAL'!AL192</f>
        <v>0</v>
      </c>
      <c r="AF147" s="70">
        <f>'RESUMEN TOTAL'!AM192</f>
        <v>0</v>
      </c>
      <c r="AG147" s="70">
        <f>'RESUMEN TOTAL'!AN192</f>
        <v>0</v>
      </c>
      <c r="AH147" s="70">
        <f>'RESUMEN TOTAL'!AO192</f>
        <v>0</v>
      </c>
      <c r="AI147" s="70">
        <f>'RESUMEN TOTAL'!AP192</f>
        <v>0</v>
      </c>
      <c r="AJ147" s="70">
        <f>'RESUMEN TOTAL'!AQ192</f>
        <v>0</v>
      </c>
    </row>
    <row r="148" spans="1:36" x14ac:dyDescent="0.25">
      <c r="A148" t="str">
        <f>'RESUMEN TOTAL'!A193</f>
        <v>INFICO</v>
      </c>
      <c r="B148" t="str">
        <f>'RESUMEN TOTAL'!B193</f>
        <v>INF 01</v>
      </c>
      <c r="C148" t="str">
        <f>'RESUMEN TOTAL'!D193</f>
        <v>AV. HUDSON Y CARIBONI</v>
      </c>
      <c r="D148" s="30" t="str">
        <f>'RESUMEN TOTAL'!E193</f>
        <v>Domo</v>
      </c>
      <c r="E148" s="30" t="str">
        <f>'RESUMEN TOTAL'!F193</f>
        <v>Fibra Optica</v>
      </c>
      <c r="F148" s="70" t="str">
        <f>'RESUMEN TOTAL'!M193</f>
        <v>APAGADO</v>
      </c>
      <c r="G148" s="70" t="str">
        <f>'RESUMEN TOTAL'!N193</f>
        <v>APAGADO</v>
      </c>
      <c r="H148" s="70" t="str">
        <f>'RESUMEN TOTAL'!O193</f>
        <v>APAGADO</v>
      </c>
      <c r="I148" s="70" t="str">
        <f>'RESUMEN TOTAL'!P193</f>
        <v>APAGADO</v>
      </c>
      <c r="J148" s="70" t="str">
        <f>'RESUMEN TOTAL'!Q193</f>
        <v>APAGADO</v>
      </c>
      <c r="K148" s="70" t="str">
        <f>'RESUMEN TOTAL'!R193</f>
        <v>APAGADO</v>
      </c>
      <c r="L148" s="70" t="str">
        <f>'RESUMEN TOTAL'!S193</f>
        <v>APAGADO</v>
      </c>
      <c r="M148" s="70" t="str">
        <f>'RESUMEN TOTAL'!T193</f>
        <v>APAGADO</v>
      </c>
      <c r="N148" s="70">
        <f>'RESUMEN TOTAL'!U193</f>
        <v>0</v>
      </c>
      <c r="O148" s="70">
        <f>'RESUMEN TOTAL'!V193</f>
        <v>0</v>
      </c>
      <c r="P148" s="70">
        <f>'RESUMEN TOTAL'!W193</f>
        <v>0</v>
      </c>
      <c r="Q148" s="70">
        <f>'RESUMEN TOTAL'!X193</f>
        <v>0</v>
      </c>
      <c r="R148" s="70">
        <f>'RESUMEN TOTAL'!Y193</f>
        <v>0</v>
      </c>
      <c r="S148" s="70">
        <f>'RESUMEN TOTAL'!Z193</f>
        <v>0</v>
      </c>
      <c r="T148" s="70">
        <f>'RESUMEN TOTAL'!AA193</f>
        <v>0</v>
      </c>
      <c r="U148" s="70">
        <f>'RESUMEN TOTAL'!AB193</f>
        <v>0</v>
      </c>
      <c r="V148" s="70">
        <f>'RESUMEN TOTAL'!AC193</f>
        <v>0</v>
      </c>
      <c r="W148" s="70">
        <f>'RESUMEN TOTAL'!AD193</f>
        <v>0</v>
      </c>
      <c r="X148" s="70">
        <f>'RESUMEN TOTAL'!AE193</f>
        <v>0</v>
      </c>
      <c r="Y148" s="70">
        <f>'RESUMEN TOTAL'!AF193</f>
        <v>0</v>
      </c>
      <c r="Z148" s="70">
        <f>'RESUMEN TOTAL'!AG193</f>
        <v>0</v>
      </c>
      <c r="AA148" s="70">
        <f>'RESUMEN TOTAL'!AH193</f>
        <v>0</v>
      </c>
      <c r="AB148" s="70">
        <f>'RESUMEN TOTAL'!AI193</f>
        <v>0</v>
      </c>
      <c r="AC148" s="70">
        <f>'RESUMEN TOTAL'!AJ193</f>
        <v>0</v>
      </c>
      <c r="AD148" s="70">
        <f>'RESUMEN TOTAL'!AK193</f>
        <v>0</v>
      </c>
      <c r="AE148" s="70">
        <f>'RESUMEN TOTAL'!AL193</f>
        <v>0</v>
      </c>
      <c r="AF148" s="70">
        <f>'RESUMEN TOTAL'!AM193</f>
        <v>0</v>
      </c>
      <c r="AG148" s="70">
        <f>'RESUMEN TOTAL'!AN193</f>
        <v>0</v>
      </c>
      <c r="AH148" s="70">
        <f>'RESUMEN TOTAL'!AO193</f>
        <v>0</v>
      </c>
      <c r="AI148" s="70">
        <f>'RESUMEN TOTAL'!AP193</f>
        <v>0</v>
      </c>
      <c r="AJ148" s="70">
        <f>'RESUMEN TOTAL'!AQ193</f>
        <v>0</v>
      </c>
    </row>
    <row r="149" spans="1:36" x14ac:dyDescent="0.25">
      <c r="A149" t="str">
        <f>'RESUMEN TOTAL'!A194</f>
        <v>VILLA ARGENTINA</v>
      </c>
      <c r="B149" t="str">
        <f>'RESUMEN TOTAL'!B194</f>
        <v>KM01</v>
      </c>
      <c r="C149" t="str">
        <f>'RESUMEN TOTAL'!D194</f>
        <v>Vias FFCC y La Pulperia</v>
      </c>
      <c r="D149" s="30" t="str">
        <f>'RESUMEN TOTAL'!E194</f>
        <v>DOMO</v>
      </c>
      <c r="E149" s="30" t="str">
        <f>'RESUMEN TOTAL'!F194</f>
        <v>GPON</v>
      </c>
      <c r="F149" s="70">
        <f>'RESUMEN TOTAL'!M194</f>
        <v>0</v>
      </c>
      <c r="G149" s="70">
        <f>'RESUMEN TOTAL'!N194</f>
        <v>0</v>
      </c>
      <c r="H149" s="70">
        <f>'RESUMEN TOTAL'!O194</f>
        <v>0</v>
      </c>
      <c r="I149" s="70">
        <f>'RESUMEN TOTAL'!P194</f>
        <v>0</v>
      </c>
      <c r="J149" s="70">
        <f>'RESUMEN TOTAL'!Q194</f>
        <v>0</v>
      </c>
      <c r="K149" s="70">
        <f>'RESUMEN TOTAL'!R194</f>
        <v>0</v>
      </c>
      <c r="L149" s="70">
        <f>'RESUMEN TOTAL'!S194</f>
        <v>0</v>
      </c>
      <c r="M149" s="70">
        <f>'RESUMEN TOTAL'!T194</f>
        <v>0</v>
      </c>
      <c r="N149" s="70">
        <f>'RESUMEN TOTAL'!U194</f>
        <v>0</v>
      </c>
      <c r="O149" s="70">
        <f>'RESUMEN TOTAL'!V194</f>
        <v>0</v>
      </c>
      <c r="P149" s="70">
        <f>'RESUMEN TOTAL'!W194</f>
        <v>0</v>
      </c>
      <c r="Q149" s="70">
        <f>'RESUMEN TOTAL'!X194</f>
        <v>0</v>
      </c>
      <c r="R149" s="70">
        <f>'RESUMEN TOTAL'!Y194</f>
        <v>0</v>
      </c>
      <c r="S149" s="70">
        <f>'RESUMEN TOTAL'!Z194</f>
        <v>0</v>
      </c>
      <c r="T149" s="70">
        <f>'RESUMEN TOTAL'!AA194</f>
        <v>0</v>
      </c>
      <c r="U149" s="70">
        <f>'RESUMEN TOTAL'!AB194</f>
        <v>0</v>
      </c>
      <c r="V149" s="70">
        <f>'RESUMEN TOTAL'!AC194</f>
        <v>0</v>
      </c>
      <c r="W149" s="70">
        <f>'RESUMEN TOTAL'!AD194</f>
        <v>0</v>
      </c>
      <c r="X149" s="70">
        <f>'RESUMEN TOTAL'!AE194</f>
        <v>0</v>
      </c>
      <c r="Y149" s="70">
        <f>'RESUMEN TOTAL'!AF194</f>
        <v>0</v>
      </c>
      <c r="Z149" s="70">
        <f>'RESUMEN TOTAL'!AG194</f>
        <v>0</v>
      </c>
      <c r="AA149" s="70">
        <f>'RESUMEN TOTAL'!AH194</f>
        <v>0</v>
      </c>
      <c r="AB149" s="70">
        <f>'RESUMEN TOTAL'!AI194</f>
        <v>0</v>
      </c>
      <c r="AC149" s="70">
        <f>'RESUMEN TOTAL'!AJ194</f>
        <v>0</v>
      </c>
      <c r="AD149" s="70">
        <f>'RESUMEN TOTAL'!AK194</f>
        <v>0</v>
      </c>
      <c r="AE149" s="70">
        <f>'RESUMEN TOTAL'!AL194</f>
        <v>0</v>
      </c>
      <c r="AF149" s="70">
        <f>'RESUMEN TOTAL'!AM194</f>
        <v>0</v>
      </c>
      <c r="AG149" s="70">
        <f>'RESUMEN TOTAL'!AN194</f>
        <v>0</v>
      </c>
      <c r="AH149" s="70">
        <f>'RESUMEN TOTAL'!AO194</f>
        <v>0</v>
      </c>
      <c r="AI149" s="70">
        <f>'RESUMEN TOTAL'!AP194</f>
        <v>0</v>
      </c>
      <c r="AJ149" s="70">
        <f>'RESUMEN TOTAL'!AQ194</f>
        <v>0</v>
      </c>
    </row>
    <row r="150" spans="1:36" x14ac:dyDescent="0.25">
      <c r="A150" t="str">
        <f>'RESUMEN TOTAL'!A195</f>
        <v>CHACABUCO</v>
      </c>
      <c r="B150" t="str">
        <f>'RESUMEN TOTAL'!B195</f>
        <v>KM02</v>
      </c>
      <c r="C150" t="str">
        <f>'RESUMEN TOTAL'!D195</f>
        <v>Novak e/El Overo y el Mangrullo</v>
      </c>
      <c r="D150" s="30" t="str">
        <f>'RESUMEN TOTAL'!E195</f>
        <v>Domo</v>
      </c>
      <c r="E150" s="30" t="str">
        <f>'RESUMEN TOTAL'!F195</f>
        <v>GPON</v>
      </c>
      <c r="F150" s="70" t="str">
        <f>'RESUMEN TOTAL'!M195</f>
        <v>APAGADO</v>
      </c>
      <c r="G150" s="70" t="str">
        <f>'RESUMEN TOTAL'!N195</f>
        <v>APAGADO</v>
      </c>
      <c r="H150" s="70" t="str">
        <f>'RESUMEN TOTAL'!O195</f>
        <v>APAGADO</v>
      </c>
      <c r="I150" s="70">
        <f>'RESUMEN TOTAL'!P195</f>
        <v>0</v>
      </c>
      <c r="J150" s="70">
        <f>'RESUMEN TOTAL'!Q195</f>
        <v>0</v>
      </c>
      <c r="K150" s="70">
        <f>'RESUMEN TOTAL'!R195</f>
        <v>0</v>
      </c>
      <c r="L150" s="70" t="str">
        <f>'RESUMEN TOTAL'!S195</f>
        <v>APAGADO</v>
      </c>
      <c r="M150" s="70" t="str">
        <f>'RESUMEN TOTAL'!T195</f>
        <v>APAGADO</v>
      </c>
      <c r="N150" s="70">
        <f>'RESUMEN TOTAL'!U195</f>
        <v>0</v>
      </c>
      <c r="O150" s="70">
        <f>'RESUMEN TOTAL'!V195</f>
        <v>0</v>
      </c>
      <c r="P150" s="70">
        <f>'RESUMEN TOTAL'!W195</f>
        <v>0</v>
      </c>
      <c r="Q150" s="70">
        <f>'RESUMEN TOTAL'!X195</f>
        <v>0</v>
      </c>
      <c r="R150" s="70">
        <f>'RESUMEN TOTAL'!Y195</f>
        <v>0</v>
      </c>
      <c r="S150" s="70">
        <f>'RESUMEN TOTAL'!Z195</f>
        <v>0</v>
      </c>
      <c r="T150" s="70">
        <f>'RESUMEN TOTAL'!AA195</f>
        <v>0</v>
      </c>
      <c r="U150" s="70">
        <f>'RESUMEN TOTAL'!AB195</f>
        <v>0</v>
      </c>
      <c r="V150" s="70">
        <f>'RESUMEN TOTAL'!AC195</f>
        <v>0</v>
      </c>
      <c r="W150" s="70">
        <f>'RESUMEN TOTAL'!AD195</f>
        <v>0</v>
      </c>
      <c r="X150" s="70">
        <f>'RESUMEN TOTAL'!AE195</f>
        <v>0</v>
      </c>
      <c r="Y150" s="70">
        <f>'RESUMEN TOTAL'!AF195</f>
        <v>0</v>
      </c>
      <c r="Z150" s="70">
        <f>'RESUMEN TOTAL'!AG195</f>
        <v>0</v>
      </c>
      <c r="AA150" s="70">
        <f>'RESUMEN TOTAL'!AH195</f>
        <v>0</v>
      </c>
      <c r="AB150" s="70">
        <f>'RESUMEN TOTAL'!AI195</f>
        <v>0</v>
      </c>
      <c r="AC150" s="70">
        <f>'RESUMEN TOTAL'!AJ195</f>
        <v>0</v>
      </c>
      <c r="AD150" s="70">
        <f>'RESUMEN TOTAL'!AK195</f>
        <v>0</v>
      </c>
      <c r="AE150" s="70">
        <f>'RESUMEN TOTAL'!AL195</f>
        <v>0</v>
      </c>
      <c r="AF150" s="70">
        <f>'RESUMEN TOTAL'!AM195</f>
        <v>0</v>
      </c>
      <c r="AG150" s="70">
        <f>'RESUMEN TOTAL'!AN195</f>
        <v>0</v>
      </c>
      <c r="AH150" s="70">
        <f>'RESUMEN TOTAL'!AO195</f>
        <v>0</v>
      </c>
      <c r="AI150" s="70">
        <f>'RESUMEN TOTAL'!AP195</f>
        <v>0</v>
      </c>
      <c r="AJ150" s="70">
        <f>'RESUMEN TOTAL'!AQ195</f>
        <v>0</v>
      </c>
    </row>
    <row r="151" spans="1:36" x14ac:dyDescent="0.25">
      <c r="A151" t="str">
        <f>'RESUMEN TOTAL'!A196</f>
        <v>KM 26700 (JULIO A. COSTA)</v>
      </c>
      <c r="B151" t="str">
        <f>'RESUMEN TOTAL'!B196</f>
        <v>KM03</v>
      </c>
      <c r="C151" t="str">
        <f>'RESUMEN TOTAL'!D196</f>
        <v>Novak y La Pulperia</v>
      </c>
      <c r="D151" s="30" t="str">
        <f>'RESUMEN TOTAL'!E196</f>
        <v>Domo</v>
      </c>
      <c r="E151" s="30" t="str">
        <f>'RESUMEN TOTAL'!F196</f>
        <v>PTO A FO</v>
      </c>
      <c r="F151" s="70">
        <f>'RESUMEN TOTAL'!M196</f>
        <v>0</v>
      </c>
      <c r="G151" s="70">
        <f>'RESUMEN TOTAL'!N196</f>
        <v>0</v>
      </c>
      <c r="H151" s="70">
        <f>'RESUMEN TOTAL'!O196</f>
        <v>0</v>
      </c>
      <c r="I151" s="70">
        <f>'RESUMEN TOTAL'!P196</f>
        <v>0</v>
      </c>
      <c r="J151" s="70">
        <f>'RESUMEN TOTAL'!Q196</f>
        <v>0</v>
      </c>
      <c r="K151" s="70">
        <f>'RESUMEN TOTAL'!R196</f>
        <v>0</v>
      </c>
      <c r="L151" s="70">
        <f>'RESUMEN TOTAL'!S196</f>
        <v>0</v>
      </c>
      <c r="M151" s="70">
        <f>'RESUMEN TOTAL'!T196</f>
        <v>0</v>
      </c>
      <c r="N151" s="70">
        <f>'RESUMEN TOTAL'!U196</f>
        <v>0</v>
      </c>
      <c r="O151" s="70">
        <f>'RESUMEN TOTAL'!V196</f>
        <v>0</v>
      </c>
      <c r="P151" s="70">
        <f>'RESUMEN TOTAL'!W196</f>
        <v>0</v>
      </c>
      <c r="Q151" s="70">
        <f>'RESUMEN TOTAL'!X196</f>
        <v>0</v>
      </c>
      <c r="R151" s="70">
        <f>'RESUMEN TOTAL'!Y196</f>
        <v>0</v>
      </c>
      <c r="S151" s="70">
        <f>'RESUMEN TOTAL'!Z196</f>
        <v>0</v>
      </c>
      <c r="T151" s="70">
        <f>'RESUMEN TOTAL'!AA196</f>
        <v>0</v>
      </c>
      <c r="U151" s="70">
        <f>'RESUMEN TOTAL'!AB196</f>
        <v>0</v>
      </c>
      <c r="V151" s="70">
        <f>'RESUMEN TOTAL'!AC196</f>
        <v>0</v>
      </c>
      <c r="W151" s="70">
        <f>'RESUMEN TOTAL'!AD196</f>
        <v>0</v>
      </c>
      <c r="X151" s="70">
        <f>'RESUMEN TOTAL'!AE196</f>
        <v>0</v>
      </c>
      <c r="Y151" s="70">
        <f>'RESUMEN TOTAL'!AF196</f>
        <v>0</v>
      </c>
      <c r="Z151" s="70">
        <f>'RESUMEN TOTAL'!AG196</f>
        <v>0</v>
      </c>
      <c r="AA151" s="70">
        <f>'RESUMEN TOTAL'!AH196</f>
        <v>0</v>
      </c>
      <c r="AB151" s="70">
        <f>'RESUMEN TOTAL'!AI196</f>
        <v>0</v>
      </c>
      <c r="AC151" s="70">
        <f>'RESUMEN TOTAL'!AJ196</f>
        <v>0</v>
      </c>
      <c r="AD151" s="70">
        <f>'RESUMEN TOTAL'!AK196</f>
        <v>0</v>
      </c>
      <c r="AE151" s="70">
        <f>'RESUMEN TOTAL'!AL196</f>
        <v>0</v>
      </c>
      <c r="AF151" s="70">
        <f>'RESUMEN TOTAL'!AM196</f>
        <v>0</v>
      </c>
      <c r="AG151" s="70">
        <f>'RESUMEN TOTAL'!AN196</f>
        <v>0</v>
      </c>
      <c r="AH151" s="70">
        <f>'RESUMEN TOTAL'!AO196</f>
        <v>0</v>
      </c>
      <c r="AI151" s="70">
        <f>'RESUMEN TOTAL'!AP196</f>
        <v>0</v>
      </c>
      <c r="AJ151" s="70">
        <f>'RESUMEN TOTAL'!AQ196</f>
        <v>0</v>
      </c>
    </row>
    <row r="152" spans="1:36" x14ac:dyDescent="0.25">
      <c r="A152" t="str">
        <f>'RESUMEN TOTAL'!A197</f>
        <v>KM 26700 (JULIO A. COSTA)</v>
      </c>
      <c r="B152" t="str">
        <f>'RESUMEN TOTAL'!B197</f>
        <v>KM04</v>
      </c>
      <c r="C152" t="str">
        <f>'RESUMEN TOTAL'!D197</f>
        <v>El Ombu y El Zonda</v>
      </c>
      <c r="D152" s="30" t="str">
        <f>'RESUMEN TOTAL'!E197</f>
        <v>Domo</v>
      </c>
      <c r="E152" s="30" t="str">
        <f>'RESUMEN TOTAL'!F197</f>
        <v>PTO A FO</v>
      </c>
      <c r="F152" s="70" t="str">
        <f>'RESUMEN TOTAL'!M197</f>
        <v>APAGADO</v>
      </c>
      <c r="G152" s="70">
        <f>'RESUMEN TOTAL'!N197</f>
        <v>0</v>
      </c>
      <c r="H152" s="70">
        <f>'RESUMEN TOTAL'!O197</f>
        <v>0</v>
      </c>
      <c r="I152" s="70">
        <f>'RESUMEN TOTAL'!P197</f>
        <v>0</v>
      </c>
      <c r="J152" s="70">
        <f>'RESUMEN TOTAL'!Q197</f>
        <v>0</v>
      </c>
      <c r="K152" s="70">
        <f>'RESUMEN TOTAL'!R197</f>
        <v>0</v>
      </c>
      <c r="L152" s="70">
        <f>'RESUMEN TOTAL'!S197</f>
        <v>0</v>
      </c>
      <c r="M152" s="70">
        <f>'RESUMEN TOTAL'!T197</f>
        <v>0</v>
      </c>
      <c r="N152" s="70">
        <f>'RESUMEN TOTAL'!U197</f>
        <v>0</v>
      </c>
      <c r="O152" s="70">
        <f>'RESUMEN TOTAL'!V197</f>
        <v>0</v>
      </c>
      <c r="P152" s="70">
        <f>'RESUMEN TOTAL'!W197</f>
        <v>0</v>
      </c>
      <c r="Q152" s="70">
        <f>'RESUMEN TOTAL'!X197</f>
        <v>0</v>
      </c>
      <c r="R152" s="70">
        <f>'RESUMEN TOTAL'!Y197</f>
        <v>0</v>
      </c>
      <c r="S152" s="70">
        <f>'RESUMEN TOTAL'!Z197</f>
        <v>0</v>
      </c>
      <c r="T152" s="70">
        <f>'RESUMEN TOTAL'!AA197</f>
        <v>0</v>
      </c>
      <c r="U152" s="70">
        <f>'RESUMEN TOTAL'!AB197</f>
        <v>0</v>
      </c>
      <c r="V152" s="70">
        <f>'RESUMEN TOTAL'!AC197</f>
        <v>0</v>
      </c>
      <c r="W152" s="70">
        <f>'RESUMEN TOTAL'!AD197</f>
        <v>0</v>
      </c>
      <c r="X152" s="70">
        <f>'RESUMEN TOTAL'!AE197</f>
        <v>0</v>
      </c>
      <c r="Y152" s="70">
        <f>'RESUMEN TOTAL'!AF197</f>
        <v>0</v>
      </c>
      <c r="Z152" s="70">
        <f>'RESUMEN TOTAL'!AG197</f>
        <v>0</v>
      </c>
      <c r="AA152" s="70">
        <f>'RESUMEN TOTAL'!AH197</f>
        <v>0</v>
      </c>
      <c r="AB152" s="70">
        <f>'RESUMEN TOTAL'!AI197</f>
        <v>0</v>
      </c>
      <c r="AC152" s="70">
        <f>'RESUMEN TOTAL'!AJ197</f>
        <v>0</v>
      </c>
      <c r="AD152" s="70">
        <f>'RESUMEN TOTAL'!AK197</f>
        <v>0</v>
      </c>
      <c r="AE152" s="70">
        <f>'RESUMEN TOTAL'!AL197</f>
        <v>0</v>
      </c>
      <c r="AF152" s="70">
        <f>'RESUMEN TOTAL'!AM197</f>
        <v>0</v>
      </c>
      <c r="AG152" s="70">
        <f>'RESUMEN TOTAL'!AN197</f>
        <v>0</v>
      </c>
      <c r="AH152" s="70">
        <f>'RESUMEN TOTAL'!AO197</f>
        <v>0</v>
      </c>
      <c r="AI152" s="70">
        <f>'RESUMEN TOTAL'!AP197</f>
        <v>0</v>
      </c>
      <c r="AJ152" s="70">
        <f>'RESUMEN TOTAL'!AQ197</f>
        <v>0</v>
      </c>
    </row>
    <row r="153" spans="1:36" x14ac:dyDescent="0.25">
      <c r="A153" t="str">
        <f>'RESUMEN TOTAL'!A198</f>
        <v>KM 26700 (JULIO A. COSTA)</v>
      </c>
      <c r="B153" t="str">
        <f>'RESUMEN TOTAL'!B198</f>
        <v>KM05</v>
      </c>
      <c r="C153" t="str">
        <f>'RESUMEN TOTAL'!D198</f>
        <v>El Ombu y Los Charruas</v>
      </c>
      <c r="D153" s="30" t="str">
        <f>'RESUMEN TOTAL'!E198</f>
        <v>Domo</v>
      </c>
      <c r="E153" s="30" t="str">
        <f>'RESUMEN TOTAL'!F198</f>
        <v>PTO A FO</v>
      </c>
      <c r="F153" s="70" t="str">
        <f>'RESUMEN TOTAL'!M198</f>
        <v>APAGADO</v>
      </c>
      <c r="G153" s="70">
        <f>'RESUMEN TOTAL'!N198</f>
        <v>0</v>
      </c>
      <c r="H153" s="70">
        <f>'RESUMEN TOTAL'!O198</f>
        <v>0</v>
      </c>
      <c r="I153" s="70">
        <f>'RESUMEN TOTAL'!P198</f>
        <v>0</v>
      </c>
      <c r="J153" s="70">
        <f>'RESUMEN TOTAL'!Q198</f>
        <v>0</v>
      </c>
      <c r="K153" s="70">
        <f>'RESUMEN TOTAL'!R198</f>
        <v>0</v>
      </c>
      <c r="L153" s="70">
        <f>'RESUMEN TOTAL'!S198</f>
        <v>0</v>
      </c>
      <c r="M153" s="70">
        <f>'RESUMEN TOTAL'!T198</f>
        <v>0</v>
      </c>
      <c r="N153" s="70">
        <f>'RESUMEN TOTAL'!U198</f>
        <v>0</v>
      </c>
      <c r="O153" s="70">
        <f>'RESUMEN TOTAL'!V198</f>
        <v>0</v>
      </c>
      <c r="P153" s="70">
        <f>'RESUMEN TOTAL'!W198</f>
        <v>0</v>
      </c>
      <c r="Q153" s="70">
        <f>'RESUMEN TOTAL'!X198</f>
        <v>0</v>
      </c>
      <c r="R153" s="70">
        <f>'RESUMEN TOTAL'!Y198</f>
        <v>0</v>
      </c>
      <c r="S153" s="70">
        <f>'RESUMEN TOTAL'!Z198</f>
        <v>0</v>
      </c>
      <c r="T153" s="70">
        <f>'RESUMEN TOTAL'!AA198</f>
        <v>0</v>
      </c>
      <c r="U153" s="70">
        <f>'RESUMEN TOTAL'!AB198</f>
        <v>0</v>
      </c>
      <c r="V153" s="70">
        <f>'RESUMEN TOTAL'!AC198</f>
        <v>0</v>
      </c>
      <c r="W153" s="70">
        <f>'RESUMEN TOTAL'!AD198</f>
        <v>0</v>
      </c>
      <c r="X153" s="70">
        <f>'RESUMEN TOTAL'!AE198</f>
        <v>0</v>
      </c>
      <c r="Y153" s="70">
        <f>'RESUMEN TOTAL'!AF198</f>
        <v>0</v>
      </c>
      <c r="Z153" s="70">
        <f>'RESUMEN TOTAL'!AG198</f>
        <v>0</v>
      </c>
      <c r="AA153" s="70">
        <f>'RESUMEN TOTAL'!AH198</f>
        <v>0</v>
      </c>
      <c r="AB153" s="70">
        <f>'RESUMEN TOTAL'!AI198</f>
        <v>0</v>
      </c>
      <c r="AC153" s="70">
        <f>'RESUMEN TOTAL'!AJ198</f>
        <v>0</v>
      </c>
      <c r="AD153" s="70">
        <f>'RESUMEN TOTAL'!AK198</f>
        <v>0</v>
      </c>
      <c r="AE153" s="70">
        <f>'RESUMEN TOTAL'!AL198</f>
        <v>0</v>
      </c>
      <c r="AF153" s="70">
        <f>'RESUMEN TOTAL'!AM198</f>
        <v>0</v>
      </c>
      <c r="AG153" s="70">
        <f>'RESUMEN TOTAL'!AN198</f>
        <v>0</v>
      </c>
      <c r="AH153" s="70">
        <f>'RESUMEN TOTAL'!AO198</f>
        <v>0</v>
      </c>
      <c r="AI153" s="70">
        <f>'RESUMEN TOTAL'!AP198</f>
        <v>0</v>
      </c>
      <c r="AJ153" s="70">
        <f>'RESUMEN TOTAL'!AQ198</f>
        <v>0</v>
      </c>
    </row>
    <row r="154" spans="1:36" x14ac:dyDescent="0.25">
      <c r="A154" t="str">
        <f>'RESUMEN TOTAL'!A199</f>
        <v>KM 26700 (JULIO A. COSTA)</v>
      </c>
      <c r="B154" t="str">
        <f>'RESUMEN TOTAL'!B199</f>
        <v>KM06</v>
      </c>
      <c r="C154" t="str">
        <f>'RESUMEN TOTAL'!D199</f>
        <v>El Ombu y La Cautiva</v>
      </c>
      <c r="D154" s="30" t="str">
        <f>'RESUMEN TOTAL'!E199</f>
        <v>DOMO</v>
      </c>
      <c r="E154" s="30" t="str">
        <f>'RESUMEN TOTAL'!F199</f>
        <v>Radio</v>
      </c>
      <c r="F154" s="70">
        <f>'RESUMEN TOTAL'!M199</f>
        <v>0</v>
      </c>
      <c r="G154" s="70">
        <f>'RESUMEN TOTAL'!N199</f>
        <v>0</v>
      </c>
      <c r="H154" s="70">
        <f>'RESUMEN TOTAL'!O199</f>
        <v>0</v>
      </c>
      <c r="I154" s="70">
        <f>'RESUMEN TOTAL'!P199</f>
        <v>0</v>
      </c>
      <c r="J154" s="70">
        <f>'RESUMEN TOTAL'!Q199</f>
        <v>0</v>
      </c>
      <c r="K154" s="70">
        <f>'RESUMEN TOTAL'!R199</f>
        <v>0</v>
      </c>
      <c r="L154" s="70">
        <f>'RESUMEN TOTAL'!S199</f>
        <v>0</v>
      </c>
      <c r="M154" s="70">
        <f>'RESUMEN TOTAL'!T199</f>
        <v>0</v>
      </c>
      <c r="N154" s="70">
        <f>'RESUMEN TOTAL'!U199</f>
        <v>0</v>
      </c>
      <c r="O154" s="70">
        <f>'RESUMEN TOTAL'!V199</f>
        <v>0</v>
      </c>
      <c r="P154" s="70">
        <f>'RESUMEN TOTAL'!W199</f>
        <v>0</v>
      </c>
      <c r="Q154" s="70">
        <f>'RESUMEN TOTAL'!X199</f>
        <v>0</v>
      </c>
      <c r="R154" s="70">
        <f>'RESUMEN TOTAL'!Y199</f>
        <v>0</v>
      </c>
      <c r="S154" s="70">
        <f>'RESUMEN TOTAL'!Z199</f>
        <v>0</v>
      </c>
      <c r="T154" s="70">
        <f>'RESUMEN TOTAL'!AA199</f>
        <v>0</v>
      </c>
      <c r="U154" s="70">
        <f>'RESUMEN TOTAL'!AB199</f>
        <v>0</v>
      </c>
      <c r="V154" s="70">
        <f>'RESUMEN TOTAL'!AC199</f>
        <v>0</v>
      </c>
      <c r="W154" s="70">
        <f>'RESUMEN TOTAL'!AD199</f>
        <v>0</v>
      </c>
      <c r="X154" s="70">
        <f>'RESUMEN TOTAL'!AE199</f>
        <v>0</v>
      </c>
      <c r="Y154" s="70">
        <f>'RESUMEN TOTAL'!AF199</f>
        <v>0</v>
      </c>
      <c r="Z154" s="70">
        <f>'RESUMEN TOTAL'!AG199</f>
        <v>0</v>
      </c>
      <c r="AA154" s="70">
        <f>'RESUMEN TOTAL'!AH199</f>
        <v>0</v>
      </c>
      <c r="AB154" s="70">
        <f>'RESUMEN TOTAL'!AI199</f>
        <v>0</v>
      </c>
      <c r="AC154" s="70">
        <f>'RESUMEN TOTAL'!AJ199</f>
        <v>0</v>
      </c>
      <c r="AD154" s="70">
        <f>'RESUMEN TOTAL'!AK199</f>
        <v>0</v>
      </c>
      <c r="AE154" s="70">
        <f>'RESUMEN TOTAL'!AL199</f>
        <v>0</v>
      </c>
      <c r="AF154" s="70">
        <f>'RESUMEN TOTAL'!AM199</f>
        <v>0</v>
      </c>
      <c r="AG154" s="70">
        <f>'RESUMEN TOTAL'!AN199</f>
        <v>0</v>
      </c>
      <c r="AH154" s="70">
        <f>'RESUMEN TOTAL'!AO199</f>
        <v>0</v>
      </c>
      <c r="AI154" s="70">
        <f>'RESUMEN TOTAL'!AP199</f>
        <v>0</v>
      </c>
      <c r="AJ154" s="70">
        <f>'RESUMEN TOTAL'!AQ199</f>
        <v>0</v>
      </c>
    </row>
    <row r="155" spans="1:36" x14ac:dyDescent="0.25">
      <c r="A155" t="str">
        <f>'RESUMEN TOTAL'!A200</f>
        <v>KM 26700 (JULIO A. COSTA)</v>
      </c>
      <c r="B155" t="str">
        <f>'RESUMEN TOTAL'!B200</f>
        <v>KM 07</v>
      </c>
      <c r="C155" t="str">
        <f>'RESUMEN TOTAL'!D200</f>
        <v>EL ALJIBE E/ EL ZONDA Y DON SEGUNDO SOMBRA</v>
      </c>
      <c r="D155" s="30" t="str">
        <f>'RESUMEN TOTAL'!E200</f>
        <v>DOMO</v>
      </c>
      <c r="E155" s="30" t="str">
        <f>'RESUMEN TOTAL'!F200</f>
        <v>GPON</v>
      </c>
      <c r="F155" s="70">
        <f>'RESUMEN TOTAL'!M200</f>
        <v>0</v>
      </c>
      <c r="G155" s="70">
        <f>'RESUMEN TOTAL'!N200</f>
        <v>0</v>
      </c>
      <c r="H155" s="70" t="str">
        <f>'RESUMEN TOTAL'!O200</f>
        <v>APAGADO</v>
      </c>
      <c r="I155" s="70">
        <f>'RESUMEN TOTAL'!P200</f>
        <v>0</v>
      </c>
      <c r="J155" s="70">
        <f>'RESUMEN TOTAL'!Q200</f>
        <v>0</v>
      </c>
      <c r="K155" s="70">
        <f>'RESUMEN TOTAL'!R200</f>
        <v>0</v>
      </c>
      <c r="L155" s="70">
        <f>'RESUMEN TOTAL'!S200</f>
        <v>0</v>
      </c>
      <c r="M155" s="70">
        <f>'RESUMEN TOTAL'!T200</f>
        <v>0</v>
      </c>
      <c r="N155" s="70">
        <f>'RESUMEN TOTAL'!U200</f>
        <v>0</v>
      </c>
      <c r="O155" s="70">
        <f>'RESUMEN TOTAL'!V200</f>
        <v>0</v>
      </c>
      <c r="P155" s="70">
        <f>'RESUMEN TOTAL'!W200</f>
        <v>0</v>
      </c>
      <c r="Q155" s="70">
        <f>'RESUMEN TOTAL'!X200</f>
        <v>0</v>
      </c>
      <c r="R155" s="70">
        <f>'RESUMEN TOTAL'!Y200</f>
        <v>0</v>
      </c>
      <c r="S155" s="70">
        <f>'RESUMEN TOTAL'!Z200</f>
        <v>0</v>
      </c>
      <c r="T155" s="70">
        <f>'RESUMEN TOTAL'!AA200</f>
        <v>0</v>
      </c>
      <c r="U155" s="70">
        <f>'RESUMEN TOTAL'!AB200</f>
        <v>0</v>
      </c>
      <c r="V155" s="70">
        <f>'RESUMEN TOTAL'!AC200</f>
        <v>0</v>
      </c>
      <c r="W155" s="70">
        <f>'RESUMEN TOTAL'!AD200</f>
        <v>0</v>
      </c>
      <c r="X155" s="70">
        <f>'RESUMEN TOTAL'!AE200</f>
        <v>0</v>
      </c>
      <c r="Y155" s="70">
        <f>'RESUMEN TOTAL'!AF200</f>
        <v>0</v>
      </c>
      <c r="Z155" s="70">
        <f>'RESUMEN TOTAL'!AG200</f>
        <v>0</v>
      </c>
      <c r="AA155" s="70">
        <f>'RESUMEN TOTAL'!AH200</f>
        <v>0</v>
      </c>
      <c r="AB155" s="70">
        <f>'RESUMEN TOTAL'!AI200</f>
        <v>0</v>
      </c>
      <c r="AC155" s="70">
        <f>'RESUMEN TOTAL'!AJ200</f>
        <v>0</v>
      </c>
      <c r="AD155" s="70">
        <f>'RESUMEN TOTAL'!AK200</f>
        <v>0</v>
      </c>
      <c r="AE155" s="70">
        <f>'RESUMEN TOTAL'!AL200</f>
        <v>0</v>
      </c>
      <c r="AF155" s="70">
        <f>'RESUMEN TOTAL'!AM200</f>
        <v>0</v>
      </c>
      <c r="AG155" s="70">
        <f>'RESUMEN TOTAL'!AN200</f>
        <v>0</v>
      </c>
      <c r="AH155" s="70">
        <f>'RESUMEN TOTAL'!AO200</f>
        <v>0</v>
      </c>
      <c r="AI155" s="70">
        <f>'RESUMEN TOTAL'!AP200</f>
        <v>0</v>
      </c>
      <c r="AJ155" s="70">
        <f>'RESUMEN TOTAL'!AQ200</f>
        <v>0</v>
      </c>
    </row>
    <row r="156" spans="1:36" x14ac:dyDescent="0.25">
      <c r="A156" t="str">
        <f>'RESUMEN TOTAL'!A201</f>
        <v>KM 26700 (JULIO A. COSTA)</v>
      </c>
      <c r="B156" t="str">
        <f>'RESUMEN TOTAL'!B201</f>
        <v>KM08 / UPA 03</v>
      </c>
      <c r="C156" t="str">
        <f>'RESUMEN TOTAL'!D201</f>
        <v>LOS CHARRUAS Y BLANDENGUES</v>
      </c>
      <c r="D156" s="30" t="str">
        <f>'RESUMEN TOTAL'!E201</f>
        <v>DOMO</v>
      </c>
      <c r="E156" s="30" t="str">
        <f>'RESUMEN TOTAL'!F201</f>
        <v>GPON</v>
      </c>
      <c r="F156" s="70" t="str">
        <f>'RESUMEN TOTAL'!M201</f>
        <v>APAGADO</v>
      </c>
      <c r="G156" s="70" t="str">
        <f>'RESUMEN TOTAL'!N201</f>
        <v>APAGADO</v>
      </c>
      <c r="H156" s="70" t="str">
        <f>'RESUMEN TOTAL'!O201</f>
        <v>APAGADO</v>
      </c>
      <c r="I156" s="70" t="str">
        <f>'RESUMEN TOTAL'!P201</f>
        <v>APAGADO</v>
      </c>
      <c r="J156" s="70" t="str">
        <f>'RESUMEN TOTAL'!Q201</f>
        <v>APAGADO</v>
      </c>
      <c r="K156" s="70" t="str">
        <f>'RESUMEN TOTAL'!R201</f>
        <v>APAGADO</v>
      </c>
      <c r="L156" s="70" t="str">
        <f>'RESUMEN TOTAL'!S201</f>
        <v>APAGADO</v>
      </c>
      <c r="M156" s="70" t="str">
        <f>'RESUMEN TOTAL'!T201</f>
        <v>APAGADO</v>
      </c>
      <c r="N156" s="70">
        <f>'RESUMEN TOTAL'!U201</f>
        <v>0</v>
      </c>
      <c r="O156" s="70">
        <f>'RESUMEN TOTAL'!V201</f>
        <v>0</v>
      </c>
      <c r="P156" s="70">
        <f>'RESUMEN TOTAL'!W201</f>
        <v>0</v>
      </c>
      <c r="Q156" s="70">
        <f>'RESUMEN TOTAL'!X201</f>
        <v>0</v>
      </c>
      <c r="R156" s="70">
        <f>'RESUMEN TOTAL'!Y201</f>
        <v>0</v>
      </c>
      <c r="S156" s="70">
        <f>'RESUMEN TOTAL'!Z201</f>
        <v>0</v>
      </c>
      <c r="T156" s="70">
        <f>'RESUMEN TOTAL'!AA201</f>
        <v>0</v>
      </c>
      <c r="U156" s="70">
        <f>'RESUMEN TOTAL'!AB201</f>
        <v>0</v>
      </c>
      <c r="V156" s="70">
        <f>'RESUMEN TOTAL'!AC201</f>
        <v>0</v>
      </c>
      <c r="W156" s="70">
        <f>'RESUMEN TOTAL'!AD201</f>
        <v>0</v>
      </c>
      <c r="X156" s="70">
        <f>'RESUMEN TOTAL'!AE201</f>
        <v>0</v>
      </c>
      <c r="Y156" s="70">
        <f>'RESUMEN TOTAL'!AF201</f>
        <v>0</v>
      </c>
      <c r="Z156" s="70">
        <f>'RESUMEN TOTAL'!AG201</f>
        <v>0</v>
      </c>
      <c r="AA156" s="70">
        <f>'RESUMEN TOTAL'!AH201</f>
        <v>0</v>
      </c>
      <c r="AB156" s="70">
        <f>'RESUMEN TOTAL'!AI201</f>
        <v>0</v>
      </c>
      <c r="AC156" s="70">
        <f>'RESUMEN TOTAL'!AJ201</f>
        <v>0</v>
      </c>
      <c r="AD156" s="70">
        <f>'RESUMEN TOTAL'!AK201</f>
        <v>0</v>
      </c>
      <c r="AE156" s="70">
        <f>'RESUMEN TOTAL'!AL201</f>
        <v>0</v>
      </c>
      <c r="AF156" s="70">
        <f>'RESUMEN TOTAL'!AM201</f>
        <v>0</v>
      </c>
      <c r="AG156" s="70">
        <f>'RESUMEN TOTAL'!AN201</f>
        <v>0</v>
      </c>
      <c r="AH156" s="70">
        <f>'RESUMEN TOTAL'!AO201</f>
        <v>0</v>
      </c>
      <c r="AI156" s="70">
        <f>'RESUMEN TOTAL'!AP201</f>
        <v>0</v>
      </c>
      <c r="AJ156" s="70">
        <f>'RESUMEN TOTAL'!AQ201</f>
        <v>0</v>
      </c>
    </row>
    <row r="157" spans="1:36" x14ac:dyDescent="0.25">
      <c r="A157" t="str">
        <f>'RESUMEN TOTAL'!A202</f>
        <v>KM 26700 (JULIO A. COSTA)</v>
      </c>
      <c r="B157" t="str">
        <f>'RESUMEN TOTAL'!B202</f>
        <v>KM09 / UPA 1</v>
      </c>
      <c r="C157" t="str">
        <f>'RESUMEN TOTAL'!D202</f>
        <v>NOVAK Y LA POSTA</v>
      </c>
      <c r="D157" s="30" t="str">
        <f>'RESUMEN TOTAL'!E202</f>
        <v>DOMO</v>
      </c>
      <c r="E157" s="30" t="str">
        <f>'RESUMEN TOTAL'!F202</f>
        <v>PTO A FO</v>
      </c>
      <c r="F157" s="70">
        <f>'RESUMEN TOTAL'!M202</f>
        <v>0</v>
      </c>
      <c r="G157" s="70">
        <f>'RESUMEN TOTAL'!N202</f>
        <v>0</v>
      </c>
      <c r="H157" s="70">
        <f>'RESUMEN TOTAL'!O202</f>
        <v>0</v>
      </c>
      <c r="I157" s="70">
        <f>'RESUMEN TOTAL'!P202</f>
        <v>0</v>
      </c>
      <c r="J157" s="70">
        <f>'RESUMEN TOTAL'!Q202</f>
        <v>0</v>
      </c>
      <c r="K157" s="70">
        <f>'RESUMEN TOTAL'!R202</f>
        <v>0</v>
      </c>
      <c r="L157" s="70">
        <f>'RESUMEN TOTAL'!S202</f>
        <v>0</v>
      </c>
      <c r="M157" s="70">
        <f>'RESUMEN TOTAL'!T202</f>
        <v>0</v>
      </c>
      <c r="N157" s="70">
        <f>'RESUMEN TOTAL'!U202</f>
        <v>0</v>
      </c>
      <c r="O157" s="70">
        <f>'RESUMEN TOTAL'!V202</f>
        <v>0</v>
      </c>
      <c r="P157" s="70">
        <f>'RESUMEN TOTAL'!W202</f>
        <v>0</v>
      </c>
      <c r="Q157" s="70">
        <f>'RESUMEN TOTAL'!X202</f>
        <v>0</v>
      </c>
      <c r="R157" s="70">
        <f>'RESUMEN TOTAL'!Y202</f>
        <v>0</v>
      </c>
      <c r="S157" s="70">
        <f>'RESUMEN TOTAL'!Z202</f>
        <v>0</v>
      </c>
      <c r="T157" s="70">
        <f>'RESUMEN TOTAL'!AA202</f>
        <v>0</v>
      </c>
      <c r="U157" s="70">
        <f>'RESUMEN TOTAL'!AB202</f>
        <v>0</v>
      </c>
      <c r="V157" s="70">
        <f>'RESUMEN TOTAL'!AC202</f>
        <v>0</v>
      </c>
      <c r="W157" s="70">
        <f>'RESUMEN TOTAL'!AD202</f>
        <v>0</v>
      </c>
      <c r="X157" s="70">
        <f>'RESUMEN TOTAL'!AE202</f>
        <v>0</v>
      </c>
      <c r="Y157" s="70">
        <f>'RESUMEN TOTAL'!AF202</f>
        <v>0</v>
      </c>
      <c r="Z157" s="70">
        <f>'RESUMEN TOTAL'!AG202</f>
        <v>0</v>
      </c>
      <c r="AA157" s="70">
        <f>'RESUMEN TOTAL'!AH202</f>
        <v>0</v>
      </c>
      <c r="AB157" s="70">
        <f>'RESUMEN TOTAL'!AI202</f>
        <v>0</v>
      </c>
      <c r="AC157" s="70">
        <f>'RESUMEN TOTAL'!AJ202</f>
        <v>0</v>
      </c>
      <c r="AD157" s="70">
        <f>'RESUMEN TOTAL'!AK202</f>
        <v>0</v>
      </c>
      <c r="AE157" s="70">
        <f>'RESUMEN TOTAL'!AL202</f>
        <v>0</v>
      </c>
      <c r="AF157" s="70">
        <f>'RESUMEN TOTAL'!AM202</f>
        <v>0</v>
      </c>
      <c r="AG157" s="70">
        <f>'RESUMEN TOTAL'!AN202</f>
        <v>0</v>
      </c>
      <c r="AH157" s="70">
        <f>'RESUMEN TOTAL'!AO202</f>
        <v>0</v>
      </c>
      <c r="AI157" s="70">
        <f>'RESUMEN TOTAL'!AP202</f>
        <v>0</v>
      </c>
      <c r="AJ157" s="70">
        <f>'RESUMEN TOTAL'!AQ202</f>
        <v>0</v>
      </c>
    </row>
    <row r="158" spans="1:36" x14ac:dyDescent="0.25">
      <c r="A158" t="str">
        <f>'RESUMEN TOTAL'!A203</f>
        <v>KM 26700 (JULIO A. COSTA)</v>
      </c>
      <c r="B158" t="str">
        <f>'RESUMEN TOTAL'!B203</f>
        <v>KM 10 / UPA 2</v>
      </c>
      <c r="C158" t="str">
        <f>'RESUMEN TOTAL'!D203</f>
        <v>PLAYA DE ESTACIONAMIENTO INTERNA E/ HOSP. MODULAR Y UPA 11.</v>
      </c>
      <c r="D158" s="30" t="str">
        <f>'RESUMEN TOTAL'!E203</f>
        <v>DOMO</v>
      </c>
      <c r="E158" s="30" t="str">
        <f>'RESUMEN TOTAL'!F203</f>
        <v>GPON</v>
      </c>
      <c r="F158" s="70">
        <f>'RESUMEN TOTAL'!M203</f>
        <v>0</v>
      </c>
      <c r="G158" s="70">
        <f>'RESUMEN TOTAL'!N203</f>
        <v>0</v>
      </c>
      <c r="H158" s="70">
        <f>'RESUMEN TOTAL'!O203</f>
        <v>0</v>
      </c>
      <c r="I158" s="70">
        <f>'RESUMEN TOTAL'!P203</f>
        <v>0</v>
      </c>
      <c r="J158" s="70">
        <f>'RESUMEN TOTAL'!Q203</f>
        <v>0</v>
      </c>
      <c r="K158" s="70">
        <f>'RESUMEN TOTAL'!R203</f>
        <v>0</v>
      </c>
      <c r="L158" s="70">
        <f>'RESUMEN TOTAL'!S203</f>
        <v>0</v>
      </c>
      <c r="M158" s="70">
        <f>'RESUMEN TOTAL'!T203</f>
        <v>0</v>
      </c>
      <c r="N158" s="70">
        <f>'RESUMEN TOTAL'!U203</f>
        <v>0</v>
      </c>
      <c r="O158" s="70">
        <f>'RESUMEN TOTAL'!V203</f>
        <v>0</v>
      </c>
      <c r="P158" s="70">
        <f>'RESUMEN TOTAL'!W203</f>
        <v>0</v>
      </c>
      <c r="Q158" s="70">
        <f>'RESUMEN TOTAL'!X203</f>
        <v>0</v>
      </c>
      <c r="R158" s="70">
        <f>'RESUMEN TOTAL'!Y203</f>
        <v>0</v>
      </c>
      <c r="S158" s="70">
        <f>'RESUMEN TOTAL'!Z203</f>
        <v>0</v>
      </c>
      <c r="T158" s="70">
        <f>'RESUMEN TOTAL'!AA203</f>
        <v>0</v>
      </c>
      <c r="U158" s="70">
        <f>'RESUMEN TOTAL'!AB203</f>
        <v>0</v>
      </c>
      <c r="V158" s="70">
        <f>'RESUMEN TOTAL'!AC203</f>
        <v>0</v>
      </c>
      <c r="W158" s="70">
        <f>'RESUMEN TOTAL'!AD203</f>
        <v>0</v>
      </c>
      <c r="X158" s="70">
        <f>'RESUMEN TOTAL'!AE203</f>
        <v>0</v>
      </c>
      <c r="Y158" s="70">
        <f>'RESUMEN TOTAL'!AF203</f>
        <v>0</v>
      </c>
      <c r="Z158" s="70">
        <f>'RESUMEN TOTAL'!AG203</f>
        <v>0</v>
      </c>
      <c r="AA158" s="70">
        <f>'RESUMEN TOTAL'!AH203</f>
        <v>0</v>
      </c>
      <c r="AB158" s="70">
        <f>'RESUMEN TOTAL'!AI203</f>
        <v>0</v>
      </c>
      <c r="AC158" s="70">
        <f>'RESUMEN TOTAL'!AJ203</f>
        <v>0</v>
      </c>
      <c r="AD158" s="70">
        <f>'RESUMEN TOTAL'!AK203</f>
        <v>0</v>
      </c>
      <c r="AE158" s="70">
        <f>'RESUMEN TOTAL'!AL203</f>
        <v>0</v>
      </c>
      <c r="AF158" s="70">
        <f>'RESUMEN TOTAL'!AM203</f>
        <v>0</v>
      </c>
      <c r="AG158" s="70">
        <f>'RESUMEN TOTAL'!AN203</f>
        <v>0</v>
      </c>
      <c r="AH158" s="70">
        <f>'RESUMEN TOTAL'!AO203</f>
        <v>0</v>
      </c>
      <c r="AI158" s="70">
        <f>'RESUMEN TOTAL'!AP203</f>
        <v>0</v>
      </c>
      <c r="AJ158" s="70">
        <f>'RESUMEN TOTAL'!AQ203</f>
        <v>0</v>
      </c>
    </row>
    <row r="159" spans="1:36" x14ac:dyDescent="0.25">
      <c r="A159" t="str">
        <f>'RESUMEN TOTAL'!A204</f>
        <v>KM 26700 (JULIO A. COSTA)</v>
      </c>
      <c r="B159" t="str">
        <f>'RESUMEN TOTAL'!B204</f>
        <v>KM11</v>
      </c>
      <c r="C159" t="str">
        <f>'RESUMEN TOTAL'!D204</f>
        <v>NOVAK Y EL OVERO</v>
      </c>
      <c r="D159" s="30" t="str">
        <f>'RESUMEN TOTAL'!E204</f>
        <v>DOMO</v>
      </c>
      <c r="E159" s="30" t="str">
        <f>'RESUMEN TOTAL'!F204</f>
        <v>Fibra Optica</v>
      </c>
      <c r="F159" s="70">
        <f>'RESUMEN TOTAL'!M204</f>
        <v>0</v>
      </c>
      <c r="G159" s="70">
        <f>'RESUMEN TOTAL'!N204</f>
        <v>0</v>
      </c>
      <c r="H159" s="70">
        <f>'RESUMEN TOTAL'!O204</f>
        <v>0</v>
      </c>
      <c r="I159" s="70">
        <f>'RESUMEN TOTAL'!P204</f>
        <v>0</v>
      </c>
      <c r="J159" s="70">
        <f>'RESUMEN TOTAL'!Q204</f>
        <v>0</v>
      </c>
      <c r="K159" s="70">
        <f>'RESUMEN TOTAL'!R204</f>
        <v>0</v>
      </c>
      <c r="L159" s="70">
        <f>'RESUMEN TOTAL'!S204</f>
        <v>0</v>
      </c>
      <c r="M159" s="70">
        <f>'RESUMEN TOTAL'!T204</f>
        <v>0</v>
      </c>
      <c r="N159" s="70">
        <f>'RESUMEN TOTAL'!U204</f>
        <v>0</v>
      </c>
      <c r="O159" s="70">
        <f>'RESUMEN TOTAL'!V204</f>
        <v>0</v>
      </c>
      <c r="P159" s="70">
        <f>'RESUMEN TOTAL'!W204</f>
        <v>0</v>
      </c>
      <c r="Q159" s="70">
        <f>'RESUMEN TOTAL'!X204</f>
        <v>0</v>
      </c>
      <c r="R159" s="70">
        <f>'RESUMEN TOTAL'!Y204</f>
        <v>0</v>
      </c>
      <c r="S159" s="70">
        <f>'RESUMEN TOTAL'!Z204</f>
        <v>0</v>
      </c>
      <c r="T159" s="70">
        <f>'RESUMEN TOTAL'!AA204</f>
        <v>0</v>
      </c>
      <c r="U159" s="70">
        <f>'RESUMEN TOTAL'!AB204</f>
        <v>0</v>
      </c>
      <c r="V159" s="70">
        <f>'RESUMEN TOTAL'!AC204</f>
        <v>0</v>
      </c>
      <c r="W159" s="70">
        <f>'RESUMEN TOTAL'!AD204</f>
        <v>0</v>
      </c>
      <c r="X159" s="70">
        <f>'RESUMEN TOTAL'!AE204</f>
        <v>0</v>
      </c>
      <c r="Y159" s="70">
        <f>'RESUMEN TOTAL'!AF204</f>
        <v>0</v>
      </c>
      <c r="Z159" s="70">
        <f>'RESUMEN TOTAL'!AG204</f>
        <v>0</v>
      </c>
      <c r="AA159" s="70">
        <f>'RESUMEN TOTAL'!AH204</f>
        <v>0</v>
      </c>
      <c r="AB159" s="70">
        <f>'RESUMEN TOTAL'!AI204</f>
        <v>0</v>
      </c>
      <c r="AC159" s="70">
        <f>'RESUMEN TOTAL'!AJ204</f>
        <v>0</v>
      </c>
      <c r="AD159" s="70">
        <f>'RESUMEN TOTAL'!AK204</f>
        <v>0</v>
      </c>
      <c r="AE159" s="70">
        <f>'RESUMEN TOTAL'!AL204</f>
        <v>0</v>
      </c>
      <c r="AF159" s="70">
        <f>'RESUMEN TOTAL'!AM204</f>
        <v>0</v>
      </c>
      <c r="AG159" s="70">
        <f>'RESUMEN TOTAL'!AN204</f>
        <v>0</v>
      </c>
      <c r="AH159" s="70">
        <f>'RESUMEN TOTAL'!AO204</f>
        <v>0</v>
      </c>
      <c r="AI159" s="70">
        <f>'RESUMEN TOTAL'!AP204</f>
        <v>0</v>
      </c>
      <c r="AJ159" s="70">
        <f>'RESUMEN TOTAL'!AQ204</f>
        <v>0</v>
      </c>
    </row>
    <row r="160" spans="1:36" x14ac:dyDescent="0.25">
      <c r="A160" t="str">
        <f>'RESUMEN TOTAL'!A205</f>
        <v>KM 26700 (JULIO A. COSTA)</v>
      </c>
      <c r="B160" t="str">
        <f>'RESUMEN TOTAL'!B205</f>
        <v>KM 12 FIJA 1</v>
      </c>
      <c r="C160" t="str">
        <f>'RESUMEN TOTAL'!D205</f>
        <v>BLANDENGUES Y LA ZAMBA</v>
      </c>
      <c r="D160" s="30" t="str">
        <f>'RESUMEN TOTAL'!E205</f>
        <v>Fija</v>
      </c>
      <c r="E160" s="30" t="str">
        <f>'RESUMEN TOTAL'!F205</f>
        <v>PTO A FO</v>
      </c>
      <c r="F160" s="70">
        <f>'RESUMEN TOTAL'!M205</f>
        <v>0</v>
      </c>
      <c r="G160" s="70">
        <f>'RESUMEN TOTAL'!N205</f>
        <v>0</v>
      </c>
      <c r="H160" s="70">
        <f>'RESUMEN TOTAL'!O205</f>
        <v>0</v>
      </c>
      <c r="I160" s="70" t="str">
        <f>'RESUMEN TOTAL'!P205</f>
        <v>APAGADO</v>
      </c>
      <c r="J160" s="70">
        <f>'RESUMEN TOTAL'!Q205</f>
        <v>0</v>
      </c>
      <c r="K160" s="70">
        <f>'RESUMEN TOTAL'!R205</f>
        <v>0</v>
      </c>
      <c r="L160" s="70">
        <f>'RESUMEN TOTAL'!S205</f>
        <v>0</v>
      </c>
      <c r="M160" s="70">
        <f>'RESUMEN TOTAL'!T205</f>
        <v>0</v>
      </c>
      <c r="N160" s="70">
        <f>'RESUMEN TOTAL'!U205</f>
        <v>0</v>
      </c>
      <c r="O160" s="70">
        <f>'RESUMEN TOTAL'!V205</f>
        <v>0</v>
      </c>
      <c r="P160" s="70">
        <f>'RESUMEN TOTAL'!W205</f>
        <v>0</v>
      </c>
      <c r="Q160" s="70">
        <f>'RESUMEN TOTAL'!X205</f>
        <v>0</v>
      </c>
      <c r="R160" s="70">
        <f>'RESUMEN TOTAL'!Y205</f>
        <v>0</v>
      </c>
      <c r="S160" s="70">
        <f>'RESUMEN TOTAL'!Z205</f>
        <v>0</v>
      </c>
      <c r="T160" s="70">
        <f>'RESUMEN TOTAL'!AA205</f>
        <v>0</v>
      </c>
      <c r="U160" s="70">
        <f>'RESUMEN TOTAL'!AB205</f>
        <v>0</v>
      </c>
      <c r="V160" s="70">
        <f>'RESUMEN TOTAL'!AC205</f>
        <v>0</v>
      </c>
      <c r="W160" s="70">
        <f>'RESUMEN TOTAL'!AD205</f>
        <v>0</v>
      </c>
      <c r="X160" s="70">
        <f>'RESUMEN TOTAL'!AE205</f>
        <v>0</v>
      </c>
      <c r="Y160" s="70">
        <f>'RESUMEN TOTAL'!AF205</f>
        <v>0</v>
      </c>
      <c r="Z160" s="70">
        <f>'RESUMEN TOTAL'!AG205</f>
        <v>0</v>
      </c>
      <c r="AA160" s="70">
        <f>'RESUMEN TOTAL'!AH205</f>
        <v>0</v>
      </c>
      <c r="AB160" s="70">
        <f>'RESUMEN TOTAL'!AI205</f>
        <v>0</v>
      </c>
      <c r="AC160" s="70">
        <f>'RESUMEN TOTAL'!AJ205</f>
        <v>0</v>
      </c>
      <c r="AD160" s="70">
        <f>'RESUMEN TOTAL'!AK205</f>
        <v>0</v>
      </c>
      <c r="AE160" s="70">
        <f>'RESUMEN TOTAL'!AL205</f>
        <v>0</v>
      </c>
      <c r="AF160" s="70">
        <f>'RESUMEN TOTAL'!AM205</f>
        <v>0</v>
      </c>
      <c r="AG160" s="70">
        <f>'RESUMEN TOTAL'!AN205</f>
        <v>0</v>
      </c>
      <c r="AH160" s="70">
        <f>'RESUMEN TOTAL'!AO205</f>
        <v>0</v>
      </c>
      <c r="AI160" s="70">
        <f>'RESUMEN TOTAL'!AP205</f>
        <v>0</v>
      </c>
      <c r="AJ160" s="70">
        <f>'RESUMEN TOTAL'!AQ205</f>
        <v>0</v>
      </c>
    </row>
    <row r="161" spans="1:36" x14ac:dyDescent="0.25">
      <c r="A161" t="str">
        <f>'RESUMEN TOTAL'!A206</f>
        <v>KM 26700 (JULIO A. COSTA)</v>
      </c>
      <c r="B161" t="str">
        <f>'RESUMEN TOTAL'!B206</f>
        <v>KM 13 FIJA 2</v>
      </c>
      <c r="C161" t="str">
        <f>'RESUMEN TOTAL'!D206</f>
        <v>BLANDENGUES Y LA ZAMBA</v>
      </c>
      <c r="D161" s="30" t="str">
        <f>'RESUMEN TOTAL'!E206</f>
        <v>Fija</v>
      </c>
      <c r="E161" s="30" t="str">
        <f>'RESUMEN TOTAL'!F206</f>
        <v>PTO A FO</v>
      </c>
      <c r="F161" s="70">
        <f>'RESUMEN TOTAL'!M206</f>
        <v>0</v>
      </c>
      <c r="G161" s="70">
        <f>'RESUMEN TOTAL'!N206</f>
        <v>0</v>
      </c>
      <c r="H161" s="70">
        <f>'RESUMEN TOTAL'!O206</f>
        <v>0</v>
      </c>
      <c r="I161" s="70" t="str">
        <f>'RESUMEN TOTAL'!P206</f>
        <v>APAGADO</v>
      </c>
      <c r="J161" s="70">
        <f>'RESUMEN TOTAL'!Q206</f>
        <v>0</v>
      </c>
      <c r="K161" s="70">
        <f>'RESUMEN TOTAL'!R206</f>
        <v>0</v>
      </c>
      <c r="L161" s="70">
        <f>'RESUMEN TOTAL'!S206</f>
        <v>0</v>
      </c>
      <c r="M161" s="70">
        <f>'RESUMEN TOTAL'!T206</f>
        <v>0</v>
      </c>
      <c r="N161" s="70">
        <f>'RESUMEN TOTAL'!U206</f>
        <v>0</v>
      </c>
      <c r="O161" s="70">
        <f>'RESUMEN TOTAL'!V206</f>
        <v>0</v>
      </c>
      <c r="P161" s="70">
        <f>'RESUMEN TOTAL'!W206</f>
        <v>0</v>
      </c>
      <c r="Q161" s="70">
        <f>'RESUMEN TOTAL'!X206</f>
        <v>0</v>
      </c>
      <c r="R161" s="70">
        <f>'RESUMEN TOTAL'!Y206</f>
        <v>0</v>
      </c>
      <c r="S161" s="70">
        <f>'RESUMEN TOTAL'!Z206</f>
        <v>0</v>
      </c>
      <c r="T161" s="70">
        <f>'RESUMEN TOTAL'!AA206</f>
        <v>0</v>
      </c>
      <c r="U161" s="70">
        <f>'RESUMEN TOTAL'!AB206</f>
        <v>0</v>
      </c>
      <c r="V161" s="70">
        <f>'RESUMEN TOTAL'!AC206</f>
        <v>0</v>
      </c>
      <c r="W161" s="70">
        <f>'RESUMEN TOTAL'!AD206</f>
        <v>0</v>
      </c>
      <c r="X161" s="70">
        <f>'RESUMEN TOTAL'!AE206</f>
        <v>0</v>
      </c>
      <c r="Y161" s="70">
        <f>'RESUMEN TOTAL'!AF206</f>
        <v>0</v>
      </c>
      <c r="Z161" s="70">
        <f>'RESUMEN TOTAL'!AG206</f>
        <v>0</v>
      </c>
      <c r="AA161" s="70">
        <f>'RESUMEN TOTAL'!AH206</f>
        <v>0</v>
      </c>
      <c r="AB161" s="70">
        <f>'RESUMEN TOTAL'!AI206</f>
        <v>0</v>
      </c>
      <c r="AC161" s="70">
        <f>'RESUMEN TOTAL'!AJ206</f>
        <v>0</v>
      </c>
      <c r="AD161" s="70">
        <f>'RESUMEN TOTAL'!AK206</f>
        <v>0</v>
      </c>
      <c r="AE161" s="70">
        <f>'RESUMEN TOTAL'!AL206</f>
        <v>0</v>
      </c>
      <c r="AF161" s="70">
        <f>'RESUMEN TOTAL'!AM206</f>
        <v>0</v>
      </c>
      <c r="AG161" s="70">
        <f>'RESUMEN TOTAL'!AN206</f>
        <v>0</v>
      </c>
      <c r="AH161" s="70">
        <f>'RESUMEN TOTAL'!AO206</f>
        <v>0</v>
      </c>
      <c r="AI161" s="70">
        <f>'RESUMEN TOTAL'!AP206</f>
        <v>0</v>
      </c>
      <c r="AJ161" s="70">
        <f>'RESUMEN TOTAL'!AQ206</f>
        <v>0</v>
      </c>
    </row>
    <row r="162" spans="1:36" x14ac:dyDescent="0.25">
      <c r="A162" t="str">
        <f>'RESUMEN TOTAL'!A207</f>
        <v>KM 26700 (JULIO A. COSTA)</v>
      </c>
      <c r="B162" t="str">
        <f>'RESUMEN TOTAL'!B207</f>
        <v>KM 14 (fija 1)</v>
      </c>
      <c r="C162" t="str">
        <f>'RESUMEN TOTAL'!D207</f>
        <v>EL GAUCHO Y EL ZONDA</v>
      </c>
      <c r="D162" s="30" t="str">
        <f>'RESUMEN TOTAL'!E207</f>
        <v>Fija</v>
      </c>
      <c r="E162" s="30" t="str">
        <f>'RESUMEN TOTAL'!F207</f>
        <v>PTO A FO</v>
      </c>
      <c r="F162" s="70">
        <f>'RESUMEN TOTAL'!M207</f>
        <v>0</v>
      </c>
      <c r="G162" s="70">
        <f>'RESUMEN TOTAL'!N207</f>
        <v>0</v>
      </c>
      <c r="H162" s="70">
        <f>'RESUMEN TOTAL'!O207</f>
        <v>0</v>
      </c>
      <c r="I162" s="70">
        <f>'RESUMEN TOTAL'!P207</f>
        <v>0</v>
      </c>
      <c r="J162" s="70">
        <f>'RESUMEN TOTAL'!Q207</f>
        <v>0</v>
      </c>
      <c r="K162" s="70">
        <f>'RESUMEN TOTAL'!R207</f>
        <v>0</v>
      </c>
      <c r="L162" s="70">
        <f>'RESUMEN TOTAL'!S207</f>
        <v>0</v>
      </c>
      <c r="M162" s="70">
        <f>'RESUMEN TOTAL'!T207</f>
        <v>0</v>
      </c>
      <c r="N162" s="70">
        <f>'RESUMEN TOTAL'!U207</f>
        <v>0</v>
      </c>
      <c r="O162" s="70">
        <f>'RESUMEN TOTAL'!V207</f>
        <v>0</v>
      </c>
      <c r="P162" s="70">
        <f>'RESUMEN TOTAL'!W207</f>
        <v>0</v>
      </c>
      <c r="Q162" s="70">
        <f>'RESUMEN TOTAL'!X207</f>
        <v>0</v>
      </c>
      <c r="R162" s="70">
        <f>'RESUMEN TOTAL'!Y207</f>
        <v>0</v>
      </c>
      <c r="S162" s="70">
        <f>'RESUMEN TOTAL'!Z207</f>
        <v>0</v>
      </c>
      <c r="T162" s="70">
        <f>'RESUMEN TOTAL'!AA207</f>
        <v>0</v>
      </c>
      <c r="U162" s="70">
        <f>'RESUMEN TOTAL'!AB207</f>
        <v>0</v>
      </c>
      <c r="V162" s="70">
        <f>'RESUMEN TOTAL'!AC207</f>
        <v>0</v>
      </c>
      <c r="W162" s="70">
        <f>'RESUMEN TOTAL'!AD207</f>
        <v>0</v>
      </c>
      <c r="X162" s="70">
        <f>'RESUMEN TOTAL'!AE207</f>
        <v>0</v>
      </c>
      <c r="Y162" s="70">
        <f>'RESUMEN TOTAL'!AF207</f>
        <v>0</v>
      </c>
      <c r="Z162" s="70">
        <f>'RESUMEN TOTAL'!AG207</f>
        <v>0</v>
      </c>
      <c r="AA162" s="70">
        <f>'RESUMEN TOTAL'!AH207</f>
        <v>0</v>
      </c>
      <c r="AB162" s="70">
        <f>'RESUMEN TOTAL'!AI207</f>
        <v>0</v>
      </c>
      <c r="AC162" s="70">
        <f>'RESUMEN TOTAL'!AJ207</f>
        <v>0</v>
      </c>
      <c r="AD162" s="70">
        <f>'RESUMEN TOTAL'!AK207</f>
        <v>0</v>
      </c>
      <c r="AE162" s="70">
        <f>'RESUMEN TOTAL'!AL207</f>
        <v>0</v>
      </c>
      <c r="AF162" s="70">
        <f>'RESUMEN TOTAL'!AM207</f>
        <v>0</v>
      </c>
      <c r="AG162" s="70">
        <f>'RESUMEN TOTAL'!AN207</f>
        <v>0</v>
      </c>
      <c r="AH162" s="70">
        <f>'RESUMEN TOTAL'!AO207</f>
        <v>0</v>
      </c>
      <c r="AI162" s="70">
        <f>'RESUMEN TOTAL'!AP207</f>
        <v>0</v>
      </c>
      <c r="AJ162" s="70">
        <f>'RESUMEN TOTAL'!AQ207</f>
        <v>0</v>
      </c>
    </row>
    <row r="163" spans="1:36" x14ac:dyDescent="0.25">
      <c r="A163" t="str">
        <f>'RESUMEN TOTAL'!A208</f>
        <v>KM 26700 (JULIO A. COSTA)</v>
      </c>
      <c r="B163" t="str">
        <f>'RESUMEN TOTAL'!B208</f>
        <v>KM 15 (fija 2)</v>
      </c>
      <c r="C163" t="str">
        <f>'RESUMEN TOTAL'!D208</f>
        <v>EL GAUCHO Y EL ZONDA</v>
      </c>
      <c r="D163" s="30" t="str">
        <f>'RESUMEN TOTAL'!E208</f>
        <v>Fija</v>
      </c>
      <c r="E163" s="30" t="str">
        <f>'RESUMEN TOTAL'!F208</f>
        <v>PTO A FO</v>
      </c>
      <c r="F163" s="70">
        <f>'RESUMEN TOTAL'!M208</f>
        <v>0</v>
      </c>
      <c r="G163" s="70">
        <f>'RESUMEN TOTAL'!N208</f>
        <v>0</v>
      </c>
      <c r="H163" s="70">
        <f>'RESUMEN TOTAL'!O208</f>
        <v>0</v>
      </c>
      <c r="I163" s="70">
        <f>'RESUMEN TOTAL'!P208</f>
        <v>0</v>
      </c>
      <c r="J163" s="70">
        <f>'RESUMEN TOTAL'!Q208</f>
        <v>0</v>
      </c>
      <c r="K163" s="70">
        <f>'RESUMEN TOTAL'!R208</f>
        <v>0</v>
      </c>
      <c r="L163" s="70">
        <f>'RESUMEN TOTAL'!S208</f>
        <v>0</v>
      </c>
      <c r="M163" s="70">
        <f>'RESUMEN TOTAL'!T208</f>
        <v>0</v>
      </c>
      <c r="N163" s="70">
        <f>'RESUMEN TOTAL'!U208</f>
        <v>0</v>
      </c>
      <c r="O163" s="70">
        <f>'RESUMEN TOTAL'!V208</f>
        <v>0</v>
      </c>
      <c r="P163" s="70">
        <f>'RESUMEN TOTAL'!W208</f>
        <v>0</v>
      </c>
      <c r="Q163" s="70">
        <f>'RESUMEN TOTAL'!X208</f>
        <v>0</v>
      </c>
      <c r="R163" s="70">
        <f>'RESUMEN TOTAL'!Y208</f>
        <v>0</v>
      </c>
      <c r="S163" s="70">
        <f>'RESUMEN TOTAL'!Z208</f>
        <v>0</v>
      </c>
      <c r="T163" s="70">
        <f>'RESUMEN TOTAL'!AA208</f>
        <v>0</v>
      </c>
      <c r="U163" s="70">
        <f>'RESUMEN TOTAL'!AB208</f>
        <v>0</v>
      </c>
      <c r="V163" s="70">
        <f>'RESUMEN TOTAL'!AC208</f>
        <v>0</v>
      </c>
      <c r="W163" s="70">
        <f>'RESUMEN TOTAL'!AD208</f>
        <v>0</v>
      </c>
      <c r="X163" s="70">
        <f>'RESUMEN TOTAL'!AE208</f>
        <v>0</v>
      </c>
      <c r="Y163" s="70">
        <f>'RESUMEN TOTAL'!AF208</f>
        <v>0</v>
      </c>
      <c r="Z163" s="70">
        <f>'RESUMEN TOTAL'!AG208</f>
        <v>0</v>
      </c>
      <c r="AA163" s="70">
        <f>'RESUMEN TOTAL'!AH208</f>
        <v>0</v>
      </c>
      <c r="AB163" s="70">
        <f>'RESUMEN TOTAL'!AI208</f>
        <v>0</v>
      </c>
      <c r="AC163" s="70">
        <f>'RESUMEN TOTAL'!AJ208</f>
        <v>0</v>
      </c>
      <c r="AD163" s="70">
        <f>'RESUMEN TOTAL'!AK208</f>
        <v>0</v>
      </c>
      <c r="AE163" s="70">
        <f>'RESUMEN TOTAL'!AL208</f>
        <v>0</v>
      </c>
      <c r="AF163" s="70">
        <f>'RESUMEN TOTAL'!AM208</f>
        <v>0</v>
      </c>
      <c r="AG163" s="70">
        <f>'RESUMEN TOTAL'!AN208</f>
        <v>0</v>
      </c>
      <c r="AH163" s="70">
        <f>'RESUMEN TOTAL'!AO208</f>
        <v>0</v>
      </c>
      <c r="AI163" s="70">
        <f>'RESUMEN TOTAL'!AP208</f>
        <v>0</v>
      </c>
      <c r="AJ163" s="70">
        <f>'RESUMEN TOTAL'!AQ208</f>
        <v>0</v>
      </c>
    </row>
    <row r="164" spans="1:36" x14ac:dyDescent="0.25">
      <c r="A164" t="str">
        <f>'RESUMEN TOTAL'!A209</f>
        <v>KM 26700 (JULIO A. COSTA)</v>
      </c>
      <c r="B164" t="str">
        <f>'RESUMEN TOTAL'!B209</f>
        <v>KM 16 (fija 1)</v>
      </c>
      <c r="C164" t="str">
        <f>'RESUMEN TOTAL'!D209</f>
        <v>EL GAUCHO Y MARTIN FIERRO</v>
      </c>
      <c r="D164" s="30" t="str">
        <f>'RESUMEN TOTAL'!E209</f>
        <v>Fija</v>
      </c>
      <c r="E164" s="30" t="str">
        <f>'RESUMEN TOTAL'!F209</f>
        <v>PTO A FO</v>
      </c>
      <c r="F164" s="70">
        <f>'RESUMEN TOTAL'!M209</f>
        <v>0</v>
      </c>
      <c r="G164" s="70">
        <f>'RESUMEN TOTAL'!N209</f>
        <v>0</v>
      </c>
      <c r="H164" s="70">
        <f>'RESUMEN TOTAL'!O209</f>
        <v>0</v>
      </c>
      <c r="I164" s="70">
        <f>'RESUMEN TOTAL'!P209</f>
        <v>0</v>
      </c>
      <c r="J164" s="70">
        <f>'RESUMEN TOTAL'!Q209</f>
        <v>0</v>
      </c>
      <c r="K164" s="70">
        <f>'RESUMEN TOTAL'!R209</f>
        <v>0</v>
      </c>
      <c r="L164" s="70">
        <f>'RESUMEN TOTAL'!S209</f>
        <v>0</v>
      </c>
      <c r="M164" s="70">
        <f>'RESUMEN TOTAL'!T209</f>
        <v>0</v>
      </c>
      <c r="N164" s="70">
        <f>'RESUMEN TOTAL'!U209</f>
        <v>0</v>
      </c>
      <c r="O164" s="70">
        <f>'RESUMEN TOTAL'!V209</f>
        <v>0</v>
      </c>
      <c r="P164" s="70">
        <f>'RESUMEN TOTAL'!W209</f>
        <v>0</v>
      </c>
      <c r="Q164" s="70">
        <f>'RESUMEN TOTAL'!X209</f>
        <v>0</v>
      </c>
      <c r="R164" s="70">
        <f>'RESUMEN TOTAL'!Y209</f>
        <v>0</v>
      </c>
      <c r="S164" s="70">
        <f>'RESUMEN TOTAL'!Z209</f>
        <v>0</v>
      </c>
      <c r="T164" s="70">
        <f>'RESUMEN TOTAL'!AA209</f>
        <v>0</v>
      </c>
      <c r="U164" s="70">
        <f>'RESUMEN TOTAL'!AB209</f>
        <v>0</v>
      </c>
      <c r="V164" s="70">
        <f>'RESUMEN TOTAL'!AC209</f>
        <v>0</v>
      </c>
      <c r="W164" s="70">
        <f>'RESUMEN TOTAL'!AD209</f>
        <v>0</v>
      </c>
      <c r="X164" s="70">
        <f>'RESUMEN TOTAL'!AE209</f>
        <v>0</v>
      </c>
      <c r="Y164" s="70">
        <f>'RESUMEN TOTAL'!AF209</f>
        <v>0</v>
      </c>
      <c r="Z164" s="70">
        <f>'RESUMEN TOTAL'!AG209</f>
        <v>0</v>
      </c>
      <c r="AA164" s="70">
        <f>'RESUMEN TOTAL'!AH209</f>
        <v>0</v>
      </c>
      <c r="AB164" s="70">
        <f>'RESUMEN TOTAL'!AI209</f>
        <v>0</v>
      </c>
      <c r="AC164" s="70">
        <f>'RESUMEN TOTAL'!AJ209</f>
        <v>0</v>
      </c>
      <c r="AD164" s="70">
        <f>'RESUMEN TOTAL'!AK209</f>
        <v>0</v>
      </c>
      <c r="AE164" s="70">
        <f>'RESUMEN TOTAL'!AL209</f>
        <v>0</v>
      </c>
      <c r="AF164" s="70">
        <f>'RESUMEN TOTAL'!AM209</f>
        <v>0</v>
      </c>
      <c r="AG164" s="70">
        <f>'RESUMEN TOTAL'!AN209</f>
        <v>0</v>
      </c>
      <c r="AH164" s="70">
        <f>'RESUMEN TOTAL'!AO209</f>
        <v>0</v>
      </c>
      <c r="AI164" s="70">
        <f>'RESUMEN TOTAL'!AP209</f>
        <v>0</v>
      </c>
      <c r="AJ164" s="70">
        <f>'RESUMEN TOTAL'!AQ209</f>
        <v>0</v>
      </c>
    </row>
    <row r="165" spans="1:36" x14ac:dyDescent="0.25">
      <c r="A165" t="str">
        <f>'RESUMEN TOTAL'!A210</f>
        <v>KM 26700 (JULIO A. COSTA)</v>
      </c>
      <c r="B165" t="str">
        <f>'RESUMEN TOTAL'!B210</f>
        <v>KM 17 (fija 2)</v>
      </c>
      <c r="C165" t="str">
        <f>'RESUMEN TOTAL'!D210</f>
        <v>EL GAUCHO Y MARTIN FIERRO</v>
      </c>
      <c r="D165" s="30" t="str">
        <f>'RESUMEN TOTAL'!E210</f>
        <v>Fija</v>
      </c>
      <c r="E165" s="30" t="str">
        <f>'RESUMEN TOTAL'!F210</f>
        <v>PTO A FO</v>
      </c>
      <c r="F165" s="70">
        <f>'RESUMEN TOTAL'!M210</f>
        <v>0</v>
      </c>
      <c r="G165" s="70">
        <f>'RESUMEN TOTAL'!N210</f>
        <v>0</v>
      </c>
      <c r="H165" s="70">
        <f>'RESUMEN TOTAL'!O210</f>
        <v>0</v>
      </c>
      <c r="I165" s="70">
        <f>'RESUMEN TOTAL'!P210</f>
        <v>0</v>
      </c>
      <c r="J165" s="70">
        <f>'RESUMEN TOTAL'!Q210</f>
        <v>0</v>
      </c>
      <c r="K165" s="70">
        <f>'RESUMEN TOTAL'!R210</f>
        <v>0</v>
      </c>
      <c r="L165" s="70">
        <f>'RESUMEN TOTAL'!S210</f>
        <v>0</v>
      </c>
      <c r="M165" s="70">
        <f>'RESUMEN TOTAL'!T210</f>
        <v>0</v>
      </c>
      <c r="N165" s="70">
        <f>'RESUMEN TOTAL'!U210</f>
        <v>0</v>
      </c>
      <c r="O165" s="70">
        <f>'RESUMEN TOTAL'!V210</f>
        <v>0</v>
      </c>
      <c r="P165" s="70">
        <f>'RESUMEN TOTAL'!W210</f>
        <v>0</v>
      </c>
      <c r="Q165" s="70">
        <f>'RESUMEN TOTAL'!X210</f>
        <v>0</v>
      </c>
      <c r="R165" s="70">
        <f>'RESUMEN TOTAL'!Y210</f>
        <v>0</v>
      </c>
      <c r="S165" s="70">
        <f>'RESUMEN TOTAL'!Z210</f>
        <v>0</v>
      </c>
      <c r="T165" s="70">
        <f>'RESUMEN TOTAL'!AA210</f>
        <v>0</v>
      </c>
      <c r="U165" s="70">
        <f>'RESUMEN TOTAL'!AB210</f>
        <v>0</v>
      </c>
      <c r="V165" s="70">
        <f>'RESUMEN TOTAL'!AC210</f>
        <v>0</v>
      </c>
      <c r="W165" s="70">
        <f>'RESUMEN TOTAL'!AD210</f>
        <v>0</v>
      </c>
      <c r="X165" s="70">
        <f>'RESUMEN TOTAL'!AE210</f>
        <v>0</v>
      </c>
      <c r="Y165" s="70">
        <f>'RESUMEN TOTAL'!AF210</f>
        <v>0</v>
      </c>
      <c r="Z165" s="70">
        <f>'RESUMEN TOTAL'!AG210</f>
        <v>0</v>
      </c>
      <c r="AA165" s="70">
        <f>'RESUMEN TOTAL'!AH210</f>
        <v>0</v>
      </c>
      <c r="AB165" s="70">
        <f>'RESUMEN TOTAL'!AI210</f>
        <v>0</v>
      </c>
      <c r="AC165" s="70">
        <f>'RESUMEN TOTAL'!AJ210</f>
        <v>0</v>
      </c>
      <c r="AD165" s="70">
        <f>'RESUMEN TOTAL'!AK210</f>
        <v>0</v>
      </c>
      <c r="AE165" s="70">
        <f>'RESUMEN TOTAL'!AL210</f>
        <v>0</v>
      </c>
      <c r="AF165" s="70">
        <f>'RESUMEN TOTAL'!AM210</f>
        <v>0</v>
      </c>
      <c r="AG165" s="70">
        <f>'RESUMEN TOTAL'!AN210</f>
        <v>0</v>
      </c>
      <c r="AH165" s="70">
        <f>'RESUMEN TOTAL'!AO210</f>
        <v>0</v>
      </c>
      <c r="AI165" s="70">
        <f>'RESUMEN TOTAL'!AP210</f>
        <v>0</v>
      </c>
      <c r="AJ165" s="70">
        <f>'RESUMEN TOTAL'!AQ210</f>
        <v>0</v>
      </c>
    </row>
    <row r="166" spans="1:36" x14ac:dyDescent="0.25">
      <c r="A166" t="str">
        <f>'RESUMEN TOTAL'!A211</f>
        <v>KM 26700 (JULIO A. COSTA)</v>
      </c>
      <c r="B166" t="str">
        <f>'RESUMEN TOTAL'!B211</f>
        <v>KM 18</v>
      </c>
      <c r="C166" t="str">
        <f>'RESUMEN TOTAL'!D211</f>
        <v>PULPERIA Y EL ALJIBE</v>
      </c>
      <c r="D166" s="30" t="str">
        <f>'RESUMEN TOTAL'!E211</f>
        <v>Domo</v>
      </c>
      <c r="E166" s="30" t="str">
        <f>'RESUMEN TOTAL'!F211</f>
        <v>GPON</v>
      </c>
      <c r="F166" s="70">
        <f>'RESUMEN TOTAL'!M211</f>
        <v>0</v>
      </c>
      <c r="G166" s="70">
        <f>'RESUMEN TOTAL'!N211</f>
        <v>0</v>
      </c>
      <c r="H166" s="70">
        <f>'RESUMEN TOTAL'!O211</f>
        <v>0</v>
      </c>
      <c r="I166" s="70">
        <f>'RESUMEN TOTAL'!P211</f>
        <v>0</v>
      </c>
      <c r="J166" s="70">
        <f>'RESUMEN TOTAL'!Q211</f>
        <v>0</v>
      </c>
      <c r="K166" s="70">
        <f>'RESUMEN TOTAL'!R211</f>
        <v>0</v>
      </c>
      <c r="L166" s="70">
        <f>'RESUMEN TOTAL'!S211</f>
        <v>0</v>
      </c>
      <c r="M166" s="70">
        <f>'RESUMEN TOTAL'!T211</f>
        <v>0</v>
      </c>
      <c r="N166" s="70">
        <f>'RESUMEN TOTAL'!U211</f>
        <v>0</v>
      </c>
      <c r="O166" s="70">
        <f>'RESUMEN TOTAL'!V211</f>
        <v>0</v>
      </c>
      <c r="P166" s="70">
        <f>'RESUMEN TOTAL'!W211</f>
        <v>0</v>
      </c>
      <c r="Q166" s="70">
        <f>'RESUMEN TOTAL'!X211</f>
        <v>0</v>
      </c>
      <c r="R166" s="70">
        <f>'RESUMEN TOTAL'!Y211</f>
        <v>0</v>
      </c>
      <c r="S166" s="70">
        <f>'RESUMEN TOTAL'!Z211</f>
        <v>0</v>
      </c>
      <c r="T166" s="70">
        <f>'RESUMEN TOTAL'!AA211</f>
        <v>0</v>
      </c>
      <c r="U166" s="70">
        <f>'RESUMEN TOTAL'!AB211</f>
        <v>0</v>
      </c>
      <c r="V166" s="70">
        <f>'RESUMEN TOTAL'!AC211</f>
        <v>0</v>
      </c>
      <c r="W166" s="70">
        <f>'RESUMEN TOTAL'!AD211</f>
        <v>0</v>
      </c>
      <c r="X166" s="70">
        <f>'RESUMEN TOTAL'!AE211</f>
        <v>0</v>
      </c>
      <c r="Y166" s="70">
        <f>'RESUMEN TOTAL'!AF211</f>
        <v>0</v>
      </c>
      <c r="Z166" s="70">
        <f>'RESUMEN TOTAL'!AG211</f>
        <v>0</v>
      </c>
      <c r="AA166" s="70">
        <f>'RESUMEN TOTAL'!AH211</f>
        <v>0</v>
      </c>
      <c r="AB166" s="70">
        <f>'RESUMEN TOTAL'!AI211</f>
        <v>0</v>
      </c>
      <c r="AC166" s="70">
        <f>'RESUMEN TOTAL'!AJ211</f>
        <v>0</v>
      </c>
      <c r="AD166" s="70">
        <f>'RESUMEN TOTAL'!AK211</f>
        <v>0</v>
      </c>
      <c r="AE166" s="70">
        <f>'RESUMEN TOTAL'!AL211</f>
        <v>0</v>
      </c>
      <c r="AF166" s="70">
        <f>'RESUMEN TOTAL'!AM211</f>
        <v>0</v>
      </c>
      <c r="AG166" s="70">
        <f>'RESUMEN TOTAL'!AN211</f>
        <v>0</v>
      </c>
      <c r="AH166" s="70">
        <f>'RESUMEN TOTAL'!AO211</f>
        <v>0</v>
      </c>
      <c r="AI166" s="70">
        <f>'RESUMEN TOTAL'!AP211</f>
        <v>0</v>
      </c>
      <c r="AJ166" s="70">
        <f>'RESUMEN TOTAL'!AQ211</f>
        <v>0</v>
      </c>
    </row>
    <row r="167" spans="1:36" x14ac:dyDescent="0.25">
      <c r="A167" t="str">
        <f>'RESUMEN TOTAL'!A214</f>
        <v>LOMAS DE MONTEVERDE</v>
      </c>
      <c r="B167" t="str">
        <f>'RESUMEN TOTAL'!B214</f>
        <v>LDM 01</v>
      </c>
      <c r="C167" t="str">
        <f>'RESUMEN TOTAL'!D214</f>
        <v>ILLIA Y BOUREL</v>
      </c>
      <c r="D167" s="30" t="str">
        <f>'RESUMEN TOTAL'!E214</f>
        <v>DOMO</v>
      </c>
      <c r="E167" s="30" t="str">
        <f>'RESUMEN TOTAL'!F214</f>
        <v>PTO A FO</v>
      </c>
      <c r="F167" s="70">
        <f>'RESUMEN TOTAL'!M214</f>
        <v>0</v>
      </c>
      <c r="G167" s="70">
        <f>'RESUMEN TOTAL'!N214</f>
        <v>0</v>
      </c>
      <c r="H167" s="70">
        <f>'RESUMEN TOTAL'!O214</f>
        <v>0</v>
      </c>
      <c r="I167" s="70">
        <f>'RESUMEN TOTAL'!P214</f>
        <v>0</v>
      </c>
      <c r="J167" s="70">
        <f>'RESUMEN TOTAL'!Q214</f>
        <v>0</v>
      </c>
      <c r="K167" s="70">
        <f>'RESUMEN TOTAL'!R214</f>
        <v>0</v>
      </c>
      <c r="L167" s="70">
        <f>'RESUMEN TOTAL'!S214</f>
        <v>0</v>
      </c>
      <c r="M167" s="70">
        <f>'RESUMEN TOTAL'!T214</f>
        <v>0</v>
      </c>
      <c r="N167" s="70">
        <f>'RESUMEN TOTAL'!U214</f>
        <v>0</v>
      </c>
      <c r="O167" s="70">
        <f>'RESUMEN TOTAL'!V214</f>
        <v>0</v>
      </c>
      <c r="P167" s="70">
        <f>'RESUMEN TOTAL'!W214</f>
        <v>0</v>
      </c>
      <c r="Q167" s="70">
        <f>'RESUMEN TOTAL'!X214</f>
        <v>0</v>
      </c>
      <c r="R167" s="70">
        <f>'RESUMEN TOTAL'!Y214</f>
        <v>0</v>
      </c>
      <c r="S167" s="70">
        <f>'RESUMEN TOTAL'!Z214</f>
        <v>0</v>
      </c>
      <c r="T167" s="70">
        <f>'RESUMEN TOTAL'!AA214</f>
        <v>0</v>
      </c>
      <c r="U167" s="70">
        <f>'RESUMEN TOTAL'!AB214</f>
        <v>0</v>
      </c>
      <c r="V167" s="70">
        <f>'RESUMEN TOTAL'!AC214</f>
        <v>0</v>
      </c>
      <c r="W167" s="70">
        <f>'RESUMEN TOTAL'!AD214</f>
        <v>0</v>
      </c>
      <c r="X167" s="70">
        <f>'RESUMEN TOTAL'!AE214</f>
        <v>0</v>
      </c>
      <c r="Y167" s="70">
        <f>'RESUMEN TOTAL'!AF214</f>
        <v>0</v>
      </c>
      <c r="Z167" s="70">
        <f>'RESUMEN TOTAL'!AG214</f>
        <v>0</v>
      </c>
      <c r="AA167" s="70">
        <f>'RESUMEN TOTAL'!AH214</f>
        <v>0</v>
      </c>
      <c r="AB167" s="70">
        <f>'RESUMEN TOTAL'!AI214</f>
        <v>0</v>
      </c>
      <c r="AC167" s="70">
        <f>'RESUMEN TOTAL'!AJ214</f>
        <v>0</v>
      </c>
      <c r="AD167" s="70">
        <f>'RESUMEN TOTAL'!AK214</f>
        <v>0</v>
      </c>
      <c r="AE167" s="70">
        <f>'RESUMEN TOTAL'!AL214</f>
        <v>0</v>
      </c>
      <c r="AF167" s="70">
        <f>'RESUMEN TOTAL'!AM214</f>
        <v>0</v>
      </c>
      <c r="AG167" s="70">
        <f>'RESUMEN TOTAL'!AN214</f>
        <v>0</v>
      </c>
      <c r="AH167" s="70">
        <f>'RESUMEN TOTAL'!AO214</f>
        <v>0</v>
      </c>
      <c r="AI167" s="70">
        <f>'RESUMEN TOTAL'!AP214</f>
        <v>0</v>
      </c>
      <c r="AJ167" s="70">
        <f>'RESUMEN TOTAL'!AQ214</f>
        <v>0</v>
      </c>
    </row>
    <row r="168" spans="1:36" x14ac:dyDescent="0.25">
      <c r="A168" t="str">
        <f>'RESUMEN TOTAL'!A215</f>
        <v>LOMAS DE MONTEVERDE</v>
      </c>
      <c r="B168" t="str">
        <f>'RESUMEN TOTAL'!B215</f>
        <v>LDM 02</v>
      </c>
      <c r="C168" t="str">
        <f>'RESUMEN TOTAL'!D215</f>
        <v>LAS HERAS Y EDISON</v>
      </c>
      <c r="D168" s="30" t="str">
        <f>'RESUMEN TOTAL'!E215</f>
        <v>DOMO</v>
      </c>
      <c r="E168" s="30" t="str">
        <f>'RESUMEN TOTAL'!F215</f>
        <v>GPON</v>
      </c>
      <c r="F168" s="70">
        <f>'RESUMEN TOTAL'!M215</f>
        <v>0</v>
      </c>
      <c r="G168" s="70">
        <f>'RESUMEN TOTAL'!N215</f>
        <v>0</v>
      </c>
      <c r="H168" s="70">
        <f>'RESUMEN TOTAL'!O215</f>
        <v>0</v>
      </c>
      <c r="I168" s="70">
        <f>'RESUMEN TOTAL'!P215</f>
        <v>0</v>
      </c>
      <c r="J168" s="70">
        <f>'RESUMEN TOTAL'!Q215</f>
        <v>0</v>
      </c>
      <c r="K168" s="70">
        <f>'RESUMEN TOTAL'!R215</f>
        <v>0</v>
      </c>
      <c r="L168" s="70">
        <f>'RESUMEN TOTAL'!S215</f>
        <v>0</v>
      </c>
      <c r="M168" s="70">
        <f>'RESUMEN TOTAL'!T215</f>
        <v>0</v>
      </c>
      <c r="N168" s="70">
        <f>'RESUMEN TOTAL'!U215</f>
        <v>0</v>
      </c>
      <c r="O168" s="70">
        <f>'RESUMEN TOTAL'!V215</f>
        <v>0</v>
      </c>
      <c r="P168" s="70">
        <f>'RESUMEN TOTAL'!W215</f>
        <v>0</v>
      </c>
      <c r="Q168" s="70">
        <f>'RESUMEN TOTAL'!X215</f>
        <v>0</v>
      </c>
      <c r="R168" s="70">
        <f>'RESUMEN TOTAL'!Y215</f>
        <v>0</v>
      </c>
      <c r="S168" s="70">
        <f>'RESUMEN TOTAL'!Z215</f>
        <v>0</v>
      </c>
      <c r="T168" s="70">
        <f>'RESUMEN TOTAL'!AA215</f>
        <v>0</v>
      </c>
      <c r="U168" s="70">
        <f>'RESUMEN TOTAL'!AB215</f>
        <v>0</v>
      </c>
      <c r="V168" s="70">
        <f>'RESUMEN TOTAL'!AC215</f>
        <v>0</v>
      </c>
      <c r="W168" s="70">
        <f>'RESUMEN TOTAL'!AD215</f>
        <v>0</v>
      </c>
      <c r="X168" s="70">
        <f>'RESUMEN TOTAL'!AE215</f>
        <v>0</v>
      </c>
      <c r="Y168" s="70">
        <f>'RESUMEN TOTAL'!AF215</f>
        <v>0</v>
      </c>
      <c r="Z168" s="70">
        <f>'RESUMEN TOTAL'!AG215</f>
        <v>0</v>
      </c>
      <c r="AA168" s="70">
        <f>'RESUMEN TOTAL'!AH215</f>
        <v>0</v>
      </c>
      <c r="AB168" s="70">
        <f>'RESUMEN TOTAL'!AI215</f>
        <v>0</v>
      </c>
      <c r="AC168" s="70">
        <f>'RESUMEN TOTAL'!AJ215</f>
        <v>0</v>
      </c>
      <c r="AD168" s="70">
        <f>'RESUMEN TOTAL'!AK215</f>
        <v>0</v>
      </c>
      <c r="AE168" s="70">
        <f>'RESUMEN TOTAL'!AL215</f>
        <v>0</v>
      </c>
      <c r="AF168" s="70">
        <f>'RESUMEN TOTAL'!AM215</f>
        <v>0</v>
      </c>
      <c r="AG168" s="70">
        <f>'RESUMEN TOTAL'!AN215</f>
        <v>0</v>
      </c>
      <c r="AH168" s="70">
        <f>'RESUMEN TOTAL'!AO215</f>
        <v>0</v>
      </c>
      <c r="AI168" s="70">
        <f>'RESUMEN TOTAL'!AP215</f>
        <v>0</v>
      </c>
      <c r="AJ168" s="70">
        <f>'RESUMEN TOTAL'!AQ215</f>
        <v>0</v>
      </c>
    </row>
    <row r="169" spans="1:36" x14ac:dyDescent="0.25">
      <c r="A169" t="str">
        <f>'RESUMEN TOTAL'!A216</f>
        <v>LOMAS DE MONTEVERDE</v>
      </c>
      <c r="B169" t="str">
        <f>'RESUMEN TOTAL'!B216</f>
        <v>LDM 03</v>
      </c>
      <c r="C169" t="str">
        <f>'RESUMEN TOTAL'!D216</f>
        <v>LAS HERAS Y FRANKLIN</v>
      </c>
      <c r="D169" s="30" t="str">
        <f>'RESUMEN TOTAL'!E216</f>
        <v>DOMO</v>
      </c>
      <c r="E169" s="30" t="str">
        <f>'RESUMEN TOTAL'!F216</f>
        <v>GPON</v>
      </c>
      <c r="F169" s="70">
        <f>'RESUMEN TOTAL'!M216</f>
        <v>0</v>
      </c>
      <c r="G169" s="70">
        <f>'RESUMEN TOTAL'!N216</f>
        <v>0</v>
      </c>
      <c r="H169" s="70">
        <f>'RESUMEN TOTAL'!O216</f>
        <v>0</v>
      </c>
      <c r="I169" s="70">
        <f>'RESUMEN TOTAL'!P216</f>
        <v>0</v>
      </c>
      <c r="J169" s="70">
        <f>'RESUMEN TOTAL'!Q216</f>
        <v>0</v>
      </c>
      <c r="K169" s="70">
        <f>'RESUMEN TOTAL'!R216</f>
        <v>0</v>
      </c>
      <c r="L169" s="70">
        <f>'RESUMEN TOTAL'!S216</f>
        <v>0</v>
      </c>
      <c r="M169" s="70">
        <f>'RESUMEN TOTAL'!T216</f>
        <v>0</v>
      </c>
      <c r="N169" s="70">
        <f>'RESUMEN TOTAL'!U216</f>
        <v>0</v>
      </c>
      <c r="O169" s="70">
        <f>'RESUMEN TOTAL'!V216</f>
        <v>0</v>
      </c>
      <c r="P169" s="70">
        <f>'RESUMEN TOTAL'!W216</f>
        <v>0</v>
      </c>
      <c r="Q169" s="70">
        <f>'RESUMEN TOTAL'!X216</f>
        <v>0</v>
      </c>
      <c r="R169" s="70">
        <f>'RESUMEN TOTAL'!Y216</f>
        <v>0</v>
      </c>
      <c r="S169" s="70">
        <f>'RESUMEN TOTAL'!Z216</f>
        <v>0</v>
      </c>
      <c r="T169" s="70">
        <f>'RESUMEN TOTAL'!AA216</f>
        <v>0</v>
      </c>
      <c r="U169" s="70">
        <f>'RESUMEN TOTAL'!AB216</f>
        <v>0</v>
      </c>
      <c r="V169" s="70">
        <f>'RESUMEN TOTAL'!AC216</f>
        <v>0</v>
      </c>
      <c r="W169" s="70">
        <f>'RESUMEN TOTAL'!AD216</f>
        <v>0</v>
      </c>
      <c r="X169" s="70">
        <f>'RESUMEN TOTAL'!AE216</f>
        <v>0</v>
      </c>
      <c r="Y169" s="70">
        <f>'RESUMEN TOTAL'!AF216</f>
        <v>0</v>
      </c>
      <c r="Z169" s="70">
        <f>'RESUMEN TOTAL'!AG216</f>
        <v>0</v>
      </c>
      <c r="AA169" s="70">
        <f>'RESUMEN TOTAL'!AH216</f>
        <v>0</v>
      </c>
      <c r="AB169" s="70">
        <f>'RESUMEN TOTAL'!AI216</f>
        <v>0</v>
      </c>
      <c r="AC169" s="70">
        <f>'RESUMEN TOTAL'!AJ216</f>
        <v>0</v>
      </c>
      <c r="AD169" s="70">
        <f>'RESUMEN TOTAL'!AK216</f>
        <v>0</v>
      </c>
      <c r="AE169" s="70">
        <f>'RESUMEN TOTAL'!AL216</f>
        <v>0</v>
      </c>
      <c r="AF169" s="70">
        <f>'RESUMEN TOTAL'!AM216</f>
        <v>0</v>
      </c>
      <c r="AG169" s="70">
        <f>'RESUMEN TOTAL'!AN216</f>
        <v>0</v>
      </c>
      <c r="AH169" s="70">
        <f>'RESUMEN TOTAL'!AO216</f>
        <v>0</v>
      </c>
      <c r="AI169" s="70">
        <f>'RESUMEN TOTAL'!AP216</f>
        <v>0</v>
      </c>
      <c r="AJ169" s="70">
        <f>'RESUMEN TOTAL'!AQ216</f>
        <v>0</v>
      </c>
    </row>
    <row r="170" spans="1:36" x14ac:dyDescent="0.25">
      <c r="A170" t="str">
        <f>'RESUMEN TOTAL'!A219</f>
        <v>LIBERTAD</v>
      </c>
      <c r="B170" t="str">
        <f>'RESUMEN TOTAL'!B219</f>
        <v>LIBER 01</v>
      </c>
      <c r="C170" t="str">
        <f>'RESUMEN TOTAL'!D219</f>
        <v>511 Y 574 FIJA 01</v>
      </c>
      <c r="D170" s="30" t="str">
        <f>'RESUMEN TOTAL'!E219</f>
        <v>Fija</v>
      </c>
      <c r="E170" s="30" t="str">
        <f>'RESUMEN TOTAL'!F219</f>
        <v>RADIO</v>
      </c>
      <c r="F170" s="70" t="str">
        <f>'RESUMEN TOTAL'!M219</f>
        <v>APAGADO</v>
      </c>
      <c r="G170" s="70" t="str">
        <f>'RESUMEN TOTAL'!N219</f>
        <v>APAGADO</v>
      </c>
      <c r="H170" s="70" t="str">
        <f>'RESUMEN TOTAL'!O219</f>
        <v>APAGADO</v>
      </c>
      <c r="I170" s="70" t="str">
        <f>'RESUMEN TOTAL'!P219</f>
        <v>APAGADO</v>
      </c>
      <c r="J170" s="70" t="str">
        <f>'RESUMEN TOTAL'!Q219</f>
        <v>APAGADO</v>
      </c>
      <c r="K170" s="70" t="str">
        <f>'RESUMEN TOTAL'!R219</f>
        <v>APAGADO</v>
      </c>
      <c r="L170" s="70" t="str">
        <f>'RESUMEN TOTAL'!S219</f>
        <v>APAGADO</v>
      </c>
      <c r="M170" s="70" t="str">
        <f>'RESUMEN TOTAL'!T219</f>
        <v>APAGADO</v>
      </c>
      <c r="N170" s="70">
        <f>'RESUMEN TOTAL'!U219</f>
        <v>0</v>
      </c>
      <c r="O170" s="70">
        <f>'RESUMEN TOTAL'!V219</f>
        <v>0</v>
      </c>
      <c r="P170" s="70">
        <f>'RESUMEN TOTAL'!W219</f>
        <v>0</v>
      </c>
      <c r="Q170" s="70">
        <f>'RESUMEN TOTAL'!X219</f>
        <v>0</v>
      </c>
      <c r="R170" s="70">
        <f>'RESUMEN TOTAL'!Y219</f>
        <v>0</v>
      </c>
      <c r="S170" s="70">
        <f>'RESUMEN TOTAL'!Z219</f>
        <v>0</v>
      </c>
      <c r="T170" s="70">
        <f>'RESUMEN TOTAL'!AA219</f>
        <v>0</v>
      </c>
      <c r="U170" s="70">
        <f>'RESUMEN TOTAL'!AB219</f>
        <v>0</v>
      </c>
      <c r="V170" s="70">
        <f>'RESUMEN TOTAL'!AC219</f>
        <v>0</v>
      </c>
      <c r="W170" s="70">
        <f>'RESUMEN TOTAL'!AD219</f>
        <v>0</v>
      </c>
      <c r="X170" s="70">
        <f>'RESUMEN TOTAL'!AE219</f>
        <v>0</v>
      </c>
      <c r="Y170" s="70">
        <f>'RESUMEN TOTAL'!AF219</f>
        <v>0</v>
      </c>
      <c r="Z170" s="70">
        <f>'RESUMEN TOTAL'!AG219</f>
        <v>0</v>
      </c>
      <c r="AA170" s="70">
        <f>'RESUMEN TOTAL'!AH219</f>
        <v>0</v>
      </c>
      <c r="AB170" s="70">
        <f>'RESUMEN TOTAL'!AI219</f>
        <v>0</v>
      </c>
      <c r="AC170" s="70">
        <f>'RESUMEN TOTAL'!AJ219</f>
        <v>0</v>
      </c>
      <c r="AD170" s="70">
        <f>'RESUMEN TOTAL'!AK219</f>
        <v>0</v>
      </c>
      <c r="AE170" s="70">
        <f>'RESUMEN TOTAL'!AL219</f>
        <v>0</v>
      </c>
      <c r="AF170" s="70">
        <f>'RESUMEN TOTAL'!AM219</f>
        <v>0</v>
      </c>
      <c r="AG170" s="70">
        <f>'RESUMEN TOTAL'!AN219</f>
        <v>0</v>
      </c>
      <c r="AH170" s="70">
        <f>'RESUMEN TOTAL'!AO219</f>
        <v>0</v>
      </c>
      <c r="AI170" s="70">
        <f>'RESUMEN TOTAL'!AP219</f>
        <v>0</v>
      </c>
      <c r="AJ170" s="70">
        <f>'RESUMEN TOTAL'!AQ219</f>
        <v>0</v>
      </c>
    </row>
    <row r="171" spans="1:36" x14ac:dyDescent="0.25">
      <c r="A171" t="str">
        <f>'RESUMEN TOTAL'!A220</f>
        <v>LIBERTAD</v>
      </c>
      <c r="B171" t="str">
        <f>'RESUMEN TOTAL'!B220</f>
        <v>LIBER 02</v>
      </c>
      <c r="C171" t="str">
        <f>'RESUMEN TOTAL'!D220</f>
        <v>511 Y 574 FIJA 02</v>
      </c>
      <c r="D171" s="30" t="str">
        <f>'RESUMEN TOTAL'!E220</f>
        <v>Fija</v>
      </c>
      <c r="E171" s="30" t="str">
        <f>'RESUMEN TOTAL'!F220</f>
        <v>Radio</v>
      </c>
      <c r="F171" s="70" t="str">
        <f>'RESUMEN TOTAL'!M220</f>
        <v>APAGADO</v>
      </c>
      <c r="G171" s="70" t="str">
        <f>'RESUMEN TOTAL'!N220</f>
        <v>APAGADO</v>
      </c>
      <c r="H171" s="70" t="str">
        <f>'RESUMEN TOTAL'!O220</f>
        <v>APAGADO</v>
      </c>
      <c r="I171" s="70" t="str">
        <f>'RESUMEN TOTAL'!P220</f>
        <v>APAGADO</v>
      </c>
      <c r="J171" s="70" t="str">
        <f>'RESUMEN TOTAL'!Q220</f>
        <v>APAGADO</v>
      </c>
      <c r="K171" s="70" t="str">
        <f>'RESUMEN TOTAL'!R220</f>
        <v>APAGADO</v>
      </c>
      <c r="L171" s="70" t="str">
        <f>'RESUMEN TOTAL'!S220</f>
        <v>APAGADO</v>
      </c>
      <c r="M171" s="70" t="str">
        <f>'RESUMEN TOTAL'!T220</f>
        <v>APAGADO</v>
      </c>
      <c r="N171" s="70">
        <f>'RESUMEN TOTAL'!U220</f>
        <v>0</v>
      </c>
      <c r="O171" s="70">
        <f>'RESUMEN TOTAL'!V220</f>
        <v>0</v>
      </c>
      <c r="P171" s="70">
        <f>'RESUMEN TOTAL'!W220</f>
        <v>0</v>
      </c>
      <c r="Q171" s="70">
        <f>'RESUMEN TOTAL'!X220</f>
        <v>0</v>
      </c>
      <c r="R171" s="70">
        <f>'RESUMEN TOTAL'!Y220</f>
        <v>0</v>
      </c>
      <c r="S171" s="70">
        <f>'RESUMEN TOTAL'!Z220</f>
        <v>0</v>
      </c>
      <c r="T171" s="70">
        <f>'RESUMEN TOTAL'!AA220</f>
        <v>0</v>
      </c>
      <c r="U171" s="70">
        <f>'RESUMEN TOTAL'!AB220</f>
        <v>0</v>
      </c>
      <c r="V171" s="70">
        <f>'RESUMEN TOTAL'!AC220</f>
        <v>0</v>
      </c>
      <c r="W171" s="70">
        <f>'RESUMEN TOTAL'!AD220</f>
        <v>0</v>
      </c>
      <c r="X171" s="70">
        <f>'RESUMEN TOTAL'!AE220</f>
        <v>0</v>
      </c>
      <c r="Y171" s="70">
        <f>'RESUMEN TOTAL'!AF220</f>
        <v>0</v>
      </c>
      <c r="Z171" s="70">
        <f>'RESUMEN TOTAL'!AG220</f>
        <v>0</v>
      </c>
      <c r="AA171" s="70">
        <f>'RESUMEN TOTAL'!AH220</f>
        <v>0</v>
      </c>
      <c r="AB171" s="70">
        <f>'RESUMEN TOTAL'!AI220</f>
        <v>0</v>
      </c>
      <c r="AC171" s="70">
        <f>'RESUMEN TOTAL'!AJ220</f>
        <v>0</v>
      </c>
      <c r="AD171" s="70">
        <f>'RESUMEN TOTAL'!AK220</f>
        <v>0</v>
      </c>
      <c r="AE171" s="70">
        <f>'RESUMEN TOTAL'!AL220</f>
        <v>0</v>
      </c>
      <c r="AF171" s="70">
        <f>'RESUMEN TOTAL'!AM220</f>
        <v>0</v>
      </c>
      <c r="AG171" s="70">
        <f>'RESUMEN TOTAL'!AN220</f>
        <v>0</v>
      </c>
      <c r="AH171" s="70">
        <f>'RESUMEN TOTAL'!AO220</f>
        <v>0</v>
      </c>
      <c r="AI171" s="70">
        <f>'RESUMEN TOTAL'!AP220</f>
        <v>0</v>
      </c>
      <c r="AJ171" s="70">
        <f>'RESUMEN TOTAL'!AQ220</f>
        <v>0</v>
      </c>
    </row>
    <row r="172" spans="1:36" x14ac:dyDescent="0.25">
      <c r="A172" t="str">
        <f>'RESUMEN TOTAL'!A221</f>
        <v>z</v>
      </c>
      <c r="B172" t="str">
        <f>'RESUMEN TOTAL'!B221</f>
        <v>LPI 01</v>
      </c>
      <c r="C172" t="str">
        <f>'RESUMEN TOTAL'!D221</f>
        <v>Maipu y Posadas</v>
      </c>
      <c r="D172" s="30" t="str">
        <f>'RESUMEN TOTAL'!E221</f>
        <v>Domo</v>
      </c>
      <c r="E172" s="30" t="str">
        <f>'RESUMEN TOTAL'!F221</f>
        <v>PTO A FO</v>
      </c>
      <c r="F172" s="70">
        <f>'RESUMEN TOTAL'!M221</f>
        <v>0</v>
      </c>
      <c r="G172" s="70">
        <f>'RESUMEN TOTAL'!N221</f>
        <v>0</v>
      </c>
      <c r="H172" s="70">
        <f>'RESUMEN TOTAL'!O221</f>
        <v>0</v>
      </c>
      <c r="I172" s="70">
        <f>'RESUMEN TOTAL'!P221</f>
        <v>0</v>
      </c>
      <c r="J172" s="70">
        <f>'RESUMEN TOTAL'!Q221</f>
        <v>0</v>
      </c>
      <c r="K172" s="70">
        <f>'RESUMEN TOTAL'!R221</f>
        <v>0</v>
      </c>
      <c r="L172" s="70">
        <f>'RESUMEN TOTAL'!S221</f>
        <v>0</v>
      </c>
      <c r="M172" s="70">
        <f>'RESUMEN TOTAL'!T221</f>
        <v>0</v>
      </c>
      <c r="N172" s="70">
        <f>'RESUMEN TOTAL'!U221</f>
        <v>0</v>
      </c>
      <c r="O172" s="70">
        <f>'RESUMEN TOTAL'!V221</f>
        <v>0</v>
      </c>
      <c r="P172" s="70">
        <f>'RESUMEN TOTAL'!W221</f>
        <v>0</v>
      </c>
      <c r="Q172" s="70">
        <f>'RESUMEN TOTAL'!X221</f>
        <v>0</v>
      </c>
      <c r="R172" s="70">
        <f>'RESUMEN TOTAL'!Y221</f>
        <v>0</v>
      </c>
      <c r="S172" s="70">
        <f>'RESUMEN TOTAL'!Z221</f>
        <v>0</v>
      </c>
      <c r="T172" s="70">
        <f>'RESUMEN TOTAL'!AA221</f>
        <v>0</v>
      </c>
      <c r="U172" s="70">
        <f>'RESUMEN TOTAL'!AB221</f>
        <v>0</v>
      </c>
      <c r="V172" s="70">
        <f>'RESUMEN TOTAL'!AC221</f>
        <v>0</v>
      </c>
      <c r="W172" s="70">
        <f>'RESUMEN TOTAL'!AD221</f>
        <v>0</v>
      </c>
      <c r="X172" s="70">
        <f>'RESUMEN TOTAL'!AE221</f>
        <v>0</v>
      </c>
      <c r="Y172" s="70">
        <f>'RESUMEN TOTAL'!AF221</f>
        <v>0</v>
      </c>
      <c r="Z172" s="70">
        <f>'RESUMEN TOTAL'!AG221</f>
        <v>0</v>
      </c>
      <c r="AA172" s="70">
        <f>'RESUMEN TOTAL'!AH221</f>
        <v>0</v>
      </c>
      <c r="AB172" s="70">
        <f>'RESUMEN TOTAL'!AI221</f>
        <v>0</v>
      </c>
      <c r="AC172" s="70">
        <f>'RESUMEN TOTAL'!AJ221</f>
        <v>0</v>
      </c>
      <c r="AD172" s="70">
        <f>'RESUMEN TOTAL'!AK221</f>
        <v>0</v>
      </c>
      <c r="AE172" s="70">
        <f>'RESUMEN TOTAL'!AL221</f>
        <v>0</v>
      </c>
      <c r="AF172" s="70">
        <f>'RESUMEN TOTAL'!AM221</f>
        <v>0</v>
      </c>
      <c r="AG172" s="70">
        <f>'RESUMEN TOTAL'!AN221</f>
        <v>0</v>
      </c>
      <c r="AH172" s="70">
        <f>'RESUMEN TOTAL'!AO221</f>
        <v>0</v>
      </c>
      <c r="AI172" s="70">
        <f>'RESUMEN TOTAL'!AP221</f>
        <v>0</v>
      </c>
      <c r="AJ172" s="70">
        <f>'RESUMEN TOTAL'!AQ221</f>
        <v>0</v>
      </c>
    </row>
    <row r="173" spans="1:36" x14ac:dyDescent="0.25">
      <c r="A173" t="str">
        <f>'RESUMEN TOTAL'!A222</f>
        <v>CHACABUCO</v>
      </c>
      <c r="B173" t="str">
        <f>'RESUMEN TOTAL'!B222</f>
        <v>LPI02</v>
      </c>
      <c r="C173" t="str">
        <f>'RESUMEN TOTAL'!D222</f>
        <v>EE.UU y Ayacucho</v>
      </c>
      <c r="D173" s="30" t="str">
        <f>'RESUMEN TOTAL'!E222</f>
        <v>Domo</v>
      </c>
      <c r="E173" s="30" t="str">
        <f>'RESUMEN TOTAL'!F222</f>
        <v>GPON</v>
      </c>
      <c r="F173" s="70">
        <f>'RESUMEN TOTAL'!M222</f>
        <v>0</v>
      </c>
      <c r="G173" s="70">
        <f>'RESUMEN TOTAL'!N222</f>
        <v>0</v>
      </c>
      <c r="H173" s="70">
        <f>'RESUMEN TOTAL'!O222</f>
        <v>0</v>
      </c>
      <c r="I173" s="70">
        <f>'RESUMEN TOTAL'!P222</f>
        <v>0</v>
      </c>
      <c r="J173" s="70">
        <f>'RESUMEN TOTAL'!Q222</f>
        <v>0</v>
      </c>
      <c r="K173" s="70">
        <f>'RESUMEN TOTAL'!R222</f>
        <v>0</v>
      </c>
      <c r="L173" s="70">
        <f>'RESUMEN TOTAL'!S222</f>
        <v>0</v>
      </c>
      <c r="M173" s="70">
        <f>'RESUMEN TOTAL'!T222</f>
        <v>0</v>
      </c>
      <c r="N173" s="70">
        <f>'RESUMEN TOTAL'!U222</f>
        <v>0</v>
      </c>
      <c r="O173" s="70">
        <f>'RESUMEN TOTAL'!V222</f>
        <v>0</v>
      </c>
      <c r="P173" s="70">
        <f>'RESUMEN TOTAL'!W222</f>
        <v>0</v>
      </c>
      <c r="Q173" s="70">
        <f>'RESUMEN TOTAL'!X222</f>
        <v>0</v>
      </c>
      <c r="R173" s="70">
        <f>'RESUMEN TOTAL'!Y222</f>
        <v>0</v>
      </c>
      <c r="S173" s="70">
        <f>'RESUMEN TOTAL'!Z222</f>
        <v>0</v>
      </c>
      <c r="T173" s="70">
        <f>'RESUMEN TOTAL'!AA222</f>
        <v>0</v>
      </c>
      <c r="U173" s="70">
        <f>'RESUMEN TOTAL'!AB222</f>
        <v>0</v>
      </c>
      <c r="V173" s="70">
        <f>'RESUMEN TOTAL'!AC222</f>
        <v>0</v>
      </c>
      <c r="W173" s="70">
        <f>'RESUMEN TOTAL'!AD222</f>
        <v>0</v>
      </c>
      <c r="X173" s="70">
        <f>'RESUMEN TOTAL'!AE222</f>
        <v>0</v>
      </c>
      <c r="Y173" s="70">
        <f>'RESUMEN TOTAL'!AF222</f>
        <v>0</v>
      </c>
      <c r="Z173" s="70">
        <f>'RESUMEN TOTAL'!AG222</f>
        <v>0</v>
      </c>
      <c r="AA173" s="70">
        <f>'RESUMEN TOTAL'!AH222</f>
        <v>0</v>
      </c>
      <c r="AB173" s="70">
        <f>'RESUMEN TOTAL'!AI222</f>
        <v>0</v>
      </c>
      <c r="AC173" s="70">
        <f>'RESUMEN TOTAL'!AJ222</f>
        <v>0</v>
      </c>
      <c r="AD173" s="70">
        <f>'RESUMEN TOTAL'!AK222</f>
        <v>0</v>
      </c>
      <c r="AE173" s="70">
        <f>'RESUMEN TOTAL'!AL222</f>
        <v>0</v>
      </c>
      <c r="AF173" s="70">
        <f>'RESUMEN TOTAL'!AM222</f>
        <v>0</v>
      </c>
      <c r="AG173" s="70">
        <f>'RESUMEN TOTAL'!AN222</f>
        <v>0</v>
      </c>
      <c r="AH173" s="70">
        <f>'RESUMEN TOTAL'!AO222</f>
        <v>0</v>
      </c>
      <c r="AI173" s="70">
        <f>'RESUMEN TOTAL'!AP222</f>
        <v>0</v>
      </c>
      <c r="AJ173" s="70">
        <f>'RESUMEN TOTAL'!AQ222</f>
        <v>0</v>
      </c>
    </row>
    <row r="174" spans="1:36" x14ac:dyDescent="0.25">
      <c r="A174" t="str">
        <f>'RESUMEN TOTAL'!A223</f>
        <v>LA PILETA</v>
      </c>
      <c r="B174" t="str">
        <f>'RESUMEN TOTAL'!B223</f>
        <v>LPI03 (fija 2)</v>
      </c>
      <c r="C174" t="str">
        <f>'RESUMEN TOTAL'!D223</f>
        <v>MAIPU Y POSADAS</v>
      </c>
      <c r="D174" s="30" t="str">
        <f>'RESUMEN TOTAL'!E223</f>
        <v>Fija</v>
      </c>
      <c r="E174" s="30" t="str">
        <f>'RESUMEN TOTAL'!F223</f>
        <v>Fibra Optica</v>
      </c>
      <c r="F174" s="70">
        <f>'RESUMEN TOTAL'!M223</f>
        <v>0</v>
      </c>
      <c r="G174" s="70">
        <f>'RESUMEN TOTAL'!N223</f>
        <v>0</v>
      </c>
      <c r="H174" s="70">
        <f>'RESUMEN TOTAL'!O223</f>
        <v>0</v>
      </c>
      <c r="I174" s="70">
        <f>'RESUMEN TOTAL'!P223</f>
        <v>0</v>
      </c>
      <c r="J174" s="70">
        <f>'RESUMEN TOTAL'!Q223</f>
        <v>0</v>
      </c>
      <c r="K174" s="70">
        <f>'RESUMEN TOTAL'!R223</f>
        <v>0</v>
      </c>
      <c r="L174" s="70">
        <f>'RESUMEN TOTAL'!S223</f>
        <v>0</v>
      </c>
      <c r="M174" s="70">
        <f>'RESUMEN TOTAL'!T223</f>
        <v>0</v>
      </c>
      <c r="N174" s="70">
        <f>'RESUMEN TOTAL'!U223</f>
        <v>0</v>
      </c>
      <c r="O174" s="70">
        <f>'RESUMEN TOTAL'!V223</f>
        <v>0</v>
      </c>
      <c r="P174" s="70">
        <f>'RESUMEN TOTAL'!W223</f>
        <v>0</v>
      </c>
      <c r="Q174" s="70">
        <f>'RESUMEN TOTAL'!X223</f>
        <v>0</v>
      </c>
      <c r="R174" s="70">
        <f>'RESUMEN TOTAL'!Y223</f>
        <v>0</v>
      </c>
      <c r="S174" s="70">
        <f>'RESUMEN TOTAL'!Z223</f>
        <v>0</v>
      </c>
      <c r="T174" s="70">
        <f>'RESUMEN TOTAL'!AA223</f>
        <v>0</v>
      </c>
      <c r="U174" s="70">
        <f>'RESUMEN TOTAL'!AB223</f>
        <v>0</v>
      </c>
      <c r="V174" s="70">
        <f>'RESUMEN TOTAL'!AC223</f>
        <v>0</v>
      </c>
      <c r="W174" s="70">
        <f>'RESUMEN TOTAL'!AD223</f>
        <v>0</v>
      </c>
      <c r="X174" s="70">
        <f>'RESUMEN TOTAL'!AE223</f>
        <v>0</v>
      </c>
      <c r="Y174" s="70">
        <f>'RESUMEN TOTAL'!AF223</f>
        <v>0</v>
      </c>
      <c r="Z174" s="70">
        <f>'RESUMEN TOTAL'!AG223</f>
        <v>0</v>
      </c>
      <c r="AA174" s="70">
        <f>'RESUMEN TOTAL'!AH223</f>
        <v>0</v>
      </c>
      <c r="AB174" s="70">
        <f>'RESUMEN TOTAL'!AI223</f>
        <v>0</v>
      </c>
      <c r="AC174" s="70">
        <f>'RESUMEN TOTAL'!AJ223</f>
        <v>0</v>
      </c>
      <c r="AD174" s="70">
        <f>'RESUMEN TOTAL'!AK223</f>
        <v>0</v>
      </c>
      <c r="AE174" s="70">
        <f>'RESUMEN TOTAL'!AL223</f>
        <v>0</v>
      </c>
      <c r="AF174" s="70">
        <f>'RESUMEN TOTAL'!AM223</f>
        <v>0</v>
      </c>
      <c r="AG174" s="70">
        <f>'RESUMEN TOTAL'!AN223</f>
        <v>0</v>
      </c>
      <c r="AH174" s="70">
        <f>'RESUMEN TOTAL'!AO223</f>
        <v>0</v>
      </c>
      <c r="AI174" s="70">
        <f>'RESUMEN TOTAL'!AP223</f>
        <v>0</v>
      </c>
      <c r="AJ174" s="70">
        <f>'RESUMEN TOTAL'!AQ223</f>
        <v>0</v>
      </c>
    </row>
    <row r="175" spans="1:36" x14ac:dyDescent="0.25">
      <c r="A175" t="str">
        <f>'RESUMEN TOTAL'!A224</f>
        <v>LA PILETA</v>
      </c>
      <c r="B175" t="str">
        <f>'RESUMEN TOTAL'!B224</f>
        <v>LPI04 (fija 1)</v>
      </c>
      <c r="C175" t="str">
        <f>'RESUMEN TOTAL'!D224</f>
        <v>MAIPU Y POSADAS</v>
      </c>
      <c r="D175" s="30" t="str">
        <f>'RESUMEN TOTAL'!E224</f>
        <v>FIJA</v>
      </c>
      <c r="E175" s="30" t="str">
        <f>'RESUMEN TOTAL'!F224</f>
        <v>Fibra Optica</v>
      </c>
      <c r="F175" s="70">
        <f>'RESUMEN TOTAL'!M224</f>
        <v>0</v>
      </c>
      <c r="G175" s="70">
        <f>'RESUMEN TOTAL'!N224</f>
        <v>0</v>
      </c>
      <c r="H175" s="70">
        <f>'RESUMEN TOTAL'!O224</f>
        <v>0</v>
      </c>
      <c r="I175" s="70">
        <f>'RESUMEN TOTAL'!P224</f>
        <v>0</v>
      </c>
      <c r="J175" s="70">
        <f>'RESUMEN TOTAL'!Q224</f>
        <v>0</v>
      </c>
      <c r="K175" s="70">
        <f>'RESUMEN TOTAL'!R224</f>
        <v>0</v>
      </c>
      <c r="L175" s="70">
        <f>'RESUMEN TOTAL'!S224</f>
        <v>0</v>
      </c>
      <c r="M175" s="70">
        <f>'RESUMEN TOTAL'!T224</f>
        <v>0</v>
      </c>
      <c r="N175" s="70">
        <f>'RESUMEN TOTAL'!U224</f>
        <v>0</v>
      </c>
      <c r="O175" s="70">
        <f>'RESUMEN TOTAL'!V224</f>
        <v>0</v>
      </c>
      <c r="P175" s="70">
        <f>'RESUMEN TOTAL'!W224</f>
        <v>0</v>
      </c>
      <c r="Q175" s="70">
        <f>'RESUMEN TOTAL'!X224</f>
        <v>0</v>
      </c>
      <c r="R175" s="70">
        <f>'RESUMEN TOTAL'!Y224</f>
        <v>0</v>
      </c>
      <c r="S175" s="70">
        <f>'RESUMEN TOTAL'!Z224</f>
        <v>0</v>
      </c>
      <c r="T175" s="70">
        <f>'RESUMEN TOTAL'!AA224</f>
        <v>0</v>
      </c>
      <c r="U175" s="70">
        <f>'RESUMEN TOTAL'!AB224</f>
        <v>0</v>
      </c>
      <c r="V175" s="70">
        <f>'RESUMEN TOTAL'!AC224</f>
        <v>0</v>
      </c>
      <c r="W175" s="70">
        <f>'RESUMEN TOTAL'!AD224</f>
        <v>0</v>
      </c>
      <c r="X175" s="70">
        <f>'RESUMEN TOTAL'!AE224</f>
        <v>0</v>
      </c>
      <c r="Y175" s="70">
        <f>'RESUMEN TOTAL'!AF224</f>
        <v>0</v>
      </c>
      <c r="Z175" s="70">
        <f>'RESUMEN TOTAL'!AG224</f>
        <v>0</v>
      </c>
      <c r="AA175" s="70">
        <f>'RESUMEN TOTAL'!AH224</f>
        <v>0</v>
      </c>
      <c r="AB175" s="70">
        <f>'RESUMEN TOTAL'!AI224</f>
        <v>0</v>
      </c>
      <c r="AC175" s="70">
        <f>'RESUMEN TOTAL'!AJ224</f>
        <v>0</v>
      </c>
      <c r="AD175" s="70">
        <f>'RESUMEN TOTAL'!AK224</f>
        <v>0</v>
      </c>
      <c r="AE175" s="70">
        <f>'RESUMEN TOTAL'!AL224</f>
        <v>0</v>
      </c>
      <c r="AF175" s="70">
        <f>'RESUMEN TOTAL'!AM224</f>
        <v>0</v>
      </c>
      <c r="AG175" s="70">
        <f>'RESUMEN TOTAL'!AN224</f>
        <v>0</v>
      </c>
      <c r="AH175" s="70">
        <f>'RESUMEN TOTAL'!AO224</f>
        <v>0</v>
      </c>
      <c r="AI175" s="70">
        <f>'RESUMEN TOTAL'!AP224</f>
        <v>0</v>
      </c>
      <c r="AJ175" s="70">
        <f>'RESUMEN TOTAL'!AQ224</f>
        <v>0</v>
      </c>
    </row>
    <row r="176" spans="1:36" x14ac:dyDescent="0.25">
      <c r="A176" t="str">
        <f>'RESUMEN TOTAL'!A228</f>
        <v>LOS PILARES</v>
      </c>
      <c r="B176" t="str">
        <f>'RESUMEN TOTAL'!B228</f>
        <v>LPR 01</v>
      </c>
      <c r="C176" t="str">
        <f>'RESUMEN TOTAL'!D228</f>
        <v>EVA PERON E/ CACHEUTA Y 1406</v>
      </c>
      <c r="D176" s="30" t="str">
        <f>'RESUMEN TOTAL'!E228</f>
        <v>DOMO</v>
      </c>
      <c r="E176" s="30" t="str">
        <f>'RESUMEN TOTAL'!F228</f>
        <v>GPON</v>
      </c>
      <c r="F176" s="70">
        <f>'RESUMEN TOTAL'!M228</f>
        <v>0</v>
      </c>
      <c r="G176" s="70">
        <f>'RESUMEN TOTAL'!N228</f>
        <v>0</v>
      </c>
      <c r="H176" s="70">
        <f>'RESUMEN TOTAL'!O228</f>
        <v>0</v>
      </c>
      <c r="I176" s="70">
        <f>'RESUMEN TOTAL'!P228</f>
        <v>0</v>
      </c>
      <c r="J176" s="70">
        <f>'RESUMEN TOTAL'!Q228</f>
        <v>0</v>
      </c>
      <c r="K176" s="70">
        <f>'RESUMEN TOTAL'!R228</f>
        <v>0</v>
      </c>
      <c r="L176" s="70">
        <f>'RESUMEN TOTAL'!S228</f>
        <v>0</v>
      </c>
      <c r="M176" s="70">
        <f>'RESUMEN TOTAL'!T228</f>
        <v>0</v>
      </c>
      <c r="N176" s="70">
        <f>'RESUMEN TOTAL'!U228</f>
        <v>0</v>
      </c>
      <c r="O176" s="70">
        <f>'RESUMEN TOTAL'!V228</f>
        <v>0</v>
      </c>
      <c r="P176" s="70">
        <f>'RESUMEN TOTAL'!W228</f>
        <v>0</v>
      </c>
      <c r="Q176" s="70">
        <f>'RESUMEN TOTAL'!X228</f>
        <v>0</v>
      </c>
      <c r="R176" s="70">
        <f>'RESUMEN TOTAL'!Y228</f>
        <v>0</v>
      </c>
      <c r="S176" s="70">
        <f>'RESUMEN TOTAL'!Z228</f>
        <v>0</v>
      </c>
      <c r="T176" s="70">
        <f>'RESUMEN TOTAL'!AA228</f>
        <v>0</v>
      </c>
      <c r="U176" s="70">
        <f>'RESUMEN TOTAL'!AB228</f>
        <v>0</v>
      </c>
      <c r="V176" s="70">
        <f>'RESUMEN TOTAL'!AC228</f>
        <v>0</v>
      </c>
      <c r="W176" s="70">
        <f>'RESUMEN TOTAL'!AD228</f>
        <v>0</v>
      </c>
      <c r="X176" s="70">
        <f>'RESUMEN TOTAL'!AE228</f>
        <v>0</v>
      </c>
      <c r="Y176" s="70">
        <f>'RESUMEN TOTAL'!AF228</f>
        <v>0</v>
      </c>
      <c r="Z176" s="70">
        <f>'RESUMEN TOTAL'!AG228</f>
        <v>0</v>
      </c>
      <c r="AA176" s="70">
        <f>'RESUMEN TOTAL'!AH228</f>
        <v>0</v>
      </c>
      <c r="AB176" s="70">
        <f>'RESUMEN TOTAL'!AI228</f>
        <v>0</v>
      </c>
      <c r="AC176" s="70">
        <f>'RESUMEN TOTAL'!AJ228</f>
        <v>0</v>
      </c>
      <c r="AD176" s="70">
        <f>'RESUMEN TOTAL'!AK228</f>
        <v>0</v>
      </c>
      <c r="AE176" s="70">
        <f>'RESUMEN TOTAL'!AL228</f>
        <v>0</v>
      </c>
      <c r="AF176" s="70">
        <f>'RESUMEN TOTAL'!AM228</f>
        <v>0</v>
      </c>
      <c r="AG176" s="70">
        <f>'RESUMEN TOTAL'!AN228</f>
        <v>0</v>
      </c>
      <c r="AH176" s="70">
        <f>'RESUMEN TOTAL'!AO228</f>
        <v>0</v>
      </c>
      <c r="AI176" s="70">
        <f>'RESUMEN TOTAL'!AP228</f>
        <v>0</v>
      </c>
      <c r="AJ176" s="70">
        <f>'RESUMEN TOTAL'!AQ228</f>
        <v>0</v>
      </c>
    </row>
    <row r="177" spans="1:36" x14ac:dyDescent="0.25">
      <c r="A177" t="str">
        <f>'RESUMEN TOTAL'!A229</f>
        <v>LOS PILARES</v>
      </c>
      <c r="B177" t="str">
        <f>'RESUMEN TOTAL'!B229</f>
        <v>LPR02 (fija 1)</v>
      </c>
      <c r="C177" t="str">
        <f>'RESUMEN TOTAL'!D229</f>
        <v>EVA PERON Y CACHEUTA</v>
      </c>
      <c r="D177" s="30" t="str">
        <f>'RESUMEN TOTAL'!E229</f>
        <v>Fija</v>
      </c>
      <c r="E177" s="30" t="str">
        <f>'RESUMEN TOTAL'!F229</f>
        <v>GPON</v>
      </c>
      <c r="F177" s="70">
        <f>'RESUMEN TOTAL'!M229</f>
        <v>0</v>
      </c>
      <c r="G177" s="70">
        <f>'RESUMEN TOTAL'!N229</f>
        <v>0</v>
      </c>
      <c r="H177" s="70">
        <f>'RESUMEN TOTAL'!O229</f>
        <v>0</v>
      </c>
      <c r="I177" s="70">
        <f>'RESUMEN TOTAL'!P229</f>
        <v>0</v>
      </c>
      <c r="J177" s="70">
        <f>'RESUMEN TOTAL'!Q229</f>
        <v>0</v>
      </c>
      <c r="K177" s="70">
        <f>'RESUMEN TOTAL'!R229</f>
        <v>0</v>
      </c>
      <c r="L177" s="70">
        <f>'RESUMEN TOTAL'!S229</f>
        <v>0</v>
      </c>
      <c r="M177" s="70">
        <f>'RESUMEN TOTAL'!T229</f>
        <v>0</v>
      </c>
      <c r="N177" s="70">
        <f>'RESUMEN TOTAL'!U229</f>
        <v>0</v>
      </c>
      <c r="O177" s="70">
        <f>'RESUMEN TOTAL'!V229</f>
        <v>0</v>
      </c>
      <c r="P177" s="70">
        <f>'RESUMEN TOTAL'!W229</f>
        <v>0</v>
      </c>
      <c r="Q177" s="70">
        <f>'RESUMEN TOTAL'!X229</f>
        <v>0</v>
      </c>
      <c r="R177" s="70">
        <f>'RESUMEN TOTAL'!Y229</f>
        <v>0</v>
      </c>
      <c r="S177" s="70">
        <f>'RESUMEN TOTAL'!Z229</f>
        <v>0</v>
      </c>
      <c r="T177" s="70">
        <f>'RESUMEN TOTAL'!AA229</f>
        <v>0</v>
      </c>
      <c r="U177" s="70">
        <f>'RESUMEN TOTAL'!AB229</f>
        <v>0</v>
      </c>
      <c r="V177" s="70">
        <f>'RESUMEN TOTAL'!AC229</f>
        <v>0</v>
      </c>
      <c r="W177" s="70">
        <f>'RESUMEN TOTAL'!AD229</f>
        <v>0</v>
      </c>
      <c r="X177" s="70">
        <f>'RESUMEN TOTAL'!AE229</f>
        <v>0</v>
      </c>
      <c r="Y177" s="70">
        <f>'RESUMEN TOTAL'!AF229</f>
        <v>0</v>
      </c>
      <c r="Z177" s="70">
        <f>'RESUMEN TOTAL'!AG229</f>
        <v>0</v>
      </c>
      <c r="AA177" s="70">
        <f>'RESUMEN TOTAL'!AH229</f>
        <v>0</v>
      </c>
      <c r="AB177" s="70">
        <f>'RESUMEN TOTAL'!AI229</f>
        <v>0</v>
      </c>
      <c r="AC177" s="70">
        <f>'RESUMEN TOTAL'!AJ229</f>
        <v>0</v>
      </c>
      <c r="AD177" s="70">
        <f>'RESUMEN TOTAL'!AK229</f>
        <v>0</v>
      </c>
      <c r="AE177" s="70">
        <f>'RESUMEN TOTAL'!AL229</f>
        <v>0</v>
      </c>
      <c r="AF177" s="70">
        <f>'RESUMEN TOTAL'!AM229</f>
        <v>0</v>
      </c>
      <c r="AG177" s="70">
        <f>'RESUMEN TOTAL'!AN229</f>
        <v>0</v>
      </c>
      <c r="AH177" s="70">
        <f>'RESUMEN TOTAL'!AO229</f>
        <v>0</v>
      </c>
      <c r="AI177" s="70">
        <f>'RESUMEN TOTAL'!AP229</f>
        <v>0</v>
      </c>
      <c r="AJ177" s="70">
        <f>'RESUMEN TOTAL'!AQ229</f>
        <v>0</v>
      </c>
    </row>
    <row r="178" spans="1:36" x14ac:dyDescent="0.25">
      <c r="A178" t="str">
        <f>'RESUMEN TOTAL'!A230</f>
        <v>LOS PILARES</v>
      </c>
      <c r="B178" t="str">
        <f>'RESUMEN TOTAL'!B230</f>
        <v>LPR03 (fija 2)</v>
      </c>
      <c r="C178" t="str">
        <f>'RESUMEN TOTAL'!D230</f>
        <v>EVA PERON Y CACHEUTA</v>
      </c>
      <c r="D178" s="30" t="str">
        <f>'RESUMEN TOTAL'!E230</f>
        <v>Fija</v>
      </c>
      <c r="E178" s="30" t="str">
        <f>'RESUMEN TOTAL'!F230</f>
        <v>GPON</v>
      </c>
      <c r="F178" s="70">
        <f>'RESUMEN TOTAL'!M230</f>
        <v>0</v>
      </c>
      <c r="G178" s="70">
        <f>'RESUMEN TOTAL'!N230</f>
        <v>0</v>
      </c>
      <c r="H178" s="70">
        <f>'RESUMEN TOTAL'!O230</f>
        <v>0</v>
      </c>
      <c r="I178" s="70">
        <f>'RESUMEN TOTAL'!P230</f>
        <v>0</v>
      </c>
      <c r="J178" s="70">
        <f>'RESUMEN TOTAL'!Q230</f>
        <v>0</v>
      </c>
      <c r="K178" s="70">
        <f>'RESUMEN TOTAL'!R230</f>
        <v>0</v>
      </c>
      <c r="L178" s="70">
        <f>'RESUMEN TOTAL'!S230</f>
        <v>0</v>
      </c>
      <c r="M178" s="70">
        <f>'RESUMEN TOTAL'!T230</f>
        <v>0</v>
      </c>
      <c r="N178" s="70">
        <f>'RESUMEN TOTAL'!U230</f>
        <v>0</v>
      </c>
      <c r="O178" s="70">
        <f>'RESUMEN TOTAL'!V230</f>
        <v>0</v>
      </c>
      <c r="P178" s="70">
        <f>'RESUMEN TOTAL'!W230</f>
        <v>0</v>
      </c>
      <c r="Q178" s="70">
        <f>'RESUMEN TOTAL'!X230</f>
        <v>0</v>
      </c>
      <c r="R178" s="70">
        <f>'RESUMEN TOTAL'!Y230</f>
        <v>0</v>
      </c>
      <c r="S178" s="70">
        <f>'RESUMEN TOTAL'!Z230</f>
        <v>0</v>
      </c>
      <c r="T178" s="70">
        <f>'RESUMEN TOTAL'!AA230</f>
        <v>0</v>
      </c>
      <c r="U178" s="70">
        <f>'RESUMEN TOTAL'!AB230</f>
        <v>0</v>
      </c>
      <c r="V178" s="70">
        <f>'RESUMEN TOTAL'!AC230</f>
        <v>0</v>
      </c>
      <c r="W178" s="70">
        <f>'RESUMEN TOTAL'!AD230</f>
        <v>0</v>
      </c>
      <c r="X178" s="70">
        <f>'RESUMEN TOTAL'!AE230</f>
        <v>0</v>
      </c>
      <c r="Y178" s="70">
        <f>'RESUMEN TOTAL'!AF230</f>
        <v>0</v>
      </c>
      <c r="Z178" s="70">
        <f>'RESUMEN TOTAL'!AG230</f>
        <v>0</v>
      </c>
      <c r="AA178" s="70">
        <f>'RESUMEN TOTAL'!AH230</f>
        <v>0</v>
      </c>
      <c r="AB178" s="70">
        <f>'RESUMEN TOTAL'!AI230</f>
        <v>0</v>
      </c>
      <c r="AC178" s="70">
        <f>'RESUMEN TOTAL'!AJ230</f>
        <v>0</v>
      </c>
      <c r="AD178" s="70">
        <f>'RESUMEN TOTAL'!AK230</f>
        <v>0</v>
      </c>
      <c r="AE178" s="70">
        <f>'RESUMEN TOTAL'!AL230</f>
        <v>0</v>
      </c>
      <c r="AF178" s="70">
        <f>'RESUMEN TOTAL'!AM230</f>
        <v>0</v>
      </c>
      <c r="AG178" s="70">
        <f>'RESUMEN TOTAL'!AN230</f>
        <v>0</v>
      </c>
      <c r="AH178" s="70">
        <f>'RESUMEN TOTAL'!AO230</f>
        <v>0</v>
      </c>
      <c r="AI178" s="70">
        <f>'RESUMEN TOTAL'!AP230</f>
        <v>0</v>
      </c>
      <c r="AJ178" s="70">
        <f>'RESUMEN TOTAL'!AQ230</f>
        <v>0</v>
      </c>
    </row>
    <row r="179" spans="1:36" x14ac:dyDescent="0.25">
      <c r="A179" t="str">
        <f>'RESUMEN TOTAL'!A231</f>
        <v>LOPEZ ROMERO</v>
      </c>
      <c r="B179" t="str">
        <f>'RESUMEN TOTAL'!B231</f>
        <v>LRO 05</v>
      </c>
      <c r="C179" t="str">
        <f>'RESUMEN TOTAL'!D231</f>
        <v>Calchaqui y Las Americas</v>
      </c>
      <c r="D179" s="30" t="str">
        <f>'RESUMEN TOTAL'!E231</f>
        <v>Fija</v>
      </c>
      <c r="E179" s="30" t="str">
        <f>'RESUMEN TOTAL'!F231</f>
        <v>Fibra Optica</v>
      </c>
      <c r="F179" s="70" t="str">
        <f>'RESUMEN TOTAL'!M231</f>
        <v>APAGADO</v>
      </c>
      <c r="G179" s="70" t="str">
        <f>'RESUMEN TOTAL'!N231</f>
        <v>APAGADO</v>
      </c>
      <c r="H179" s="70" t="str">
        <f>'RESUMEN TOTAL'!O231</f>
        <v>APAGADO</v>
      </c>
      <c r="I179" s="70" t="str">
        <f>'RESUMEN TOTAL'!P231</f>
        <v>APAGADO</v>
      </c>
      <c r="J179" s="70" t="str">
        <f>'RESUMEN TOTAL'!Q231</f>
        <v>APAGADO</v>
      </c>
      <c r="K179" s="70">
        <f>'RESUMEN TOTAL'!R231</f>
        <v>0</v>
      </c>
      <c r="L179" s="70">
        <f>'RESUMEN TOTAL'!S231</f>
        <v>0</v>
      </c>
      <c r="M179" s="70">
        <f>'RESUMEN TOTAL'!T231</f>
        <v>0</v>
      </c>
      <c r="N179" s="70">
        <f>'RESUMEN TOTAL'!U231</f>
        <v>0</v>
      </c>
      <c r="O179" s="70">
        <f>'RESUMEN TOTAL'!V231</f>
        <v>0</v>
      </c>
      <c r="P179" s="70">
        <f>'RESUMEN TOTAL'!W231</f>
        <v>0</v>
      </c>
      <c r="Q179" s="70">
        <f>'RESUMEN TOTAL'!X231</f>
        <v>0</v>
      </c>
      <c r="R179" s="70">
        <f>'RESUMEN TOTAL'!Y231</f>
        <v>0</v>
      </c>
      <c r="S179" s="70">
        <f>'RESUMEN TOTAL'!Z231</f>
        <v>0</v>
      </c>
      <c r="T179" s="70">
        <f>'RESUMEN TOTAL'!AA231</f>
        <v>0</v>
      </c>
      <c r="U179" s="70">
        <f>'RESUMEN TOTAL'!AB231</f>
        <v>0</v>
      </c>
      <c r="V179" s="70">
        <f>'RESUMEN TOTAL'!AC231</f>
        <v>0</v>
      </c>
      <c r="W179" s="70">
        <f>'RESUMEN TOTAL'!AD231</f>
        <v>0</v>
      </c>
      <c r="X179" s="70">
        <f>'RESUMEN TOTAL'!AE231</f>
        <v>0</v>
      </c>
      <c r="Y179" s="70">
        <f>'RESUMEN TOTAL'!AF231</f>
        <v>0</v>
      </c>
      <c r="Z179" s="70">
        <f>'RESUMEN TOTAL'!AG231</f>
        <v>0</v>
      </c>
      <c r="AA179" s="70">
        <f>'RESUMEN TOTAL'!AH231</f>
        <v>0</v>
      </c>
      <c r="AB179" s="70">
        <f>'RESUMEN TOTAL'!AI231</f>
        <v>0</v>
      </c>
      <c r="AC179" s="70">
        <f>'RESUMEN TOTAL'!AJ231</f>
        <v>0</v>
      </c>
      <c r="AD179" s="70">
        <f>'RESUMEN TOTAL'!AK231</f>
        <v>0</v>
      </c>
      <c r="AE179" s="70">
        <f>'RESUMEN TOTAL'!AL231</f>
        <v>0</v>
      </c>
      <c r="AF179" s="70">
        <f>'RESUMEN TOTAL'!AM231</f>
        <v>0</v>
      </c>
      <c r="AG179" s="70">
        <f>'RESUMEN TOTAL'!AN231</f>
        <v>0</v>
      </c>
      <c r="AH179" s="70">
        <f>'RESUMEN TOTAL'!AO231</f>
        <v>0</v>
      </c>
      <c r="AI179" s="70">
        <f>'RESUMEN TOTAL'!AP231</f>
        <v>0</v>
      </c>
      <c r="AJ179" s="70">
        <f>'RESUMEN TOTAL'!AQ231</f>
        <v>0</v>
      </c>
    </row>
    <row r="180" spans="1:36" x14ac:dyDescent="0.25">
      <c r="A180" t="str">
        <f>'RESUMEN TOTAL'!A232</f>
        <v>LOPEZ ROMERO</v>
      </c>
      <c r="B180" t="str">
        <f>'RESUMEN TOTAL'!B232</f>
        <v>LRO 09</v>
      </c>
      <c r="C180" t="str">
        <f>'RESUMEN TOTAL'!D232</f>
        <v>Las Americas y Braile</v>
      </c>
      <c r="D180" s="30" t="str">
        <f>'RESUMEN TOTAL'!E232</f>
        <v>Domo</v>
      </c>
      <c r="E180" s="30" t="str">
        <f>'RESUMEN TOTAL'!F232</f>
        <v>Fibra Optica</v>
      </c>
      <c r="F180" s="70">
        <f>'RESUMEN TOTAL'!M232</f>
        <v>0</v>
      </c>
      <c r="G180" s="70">
        <f>'RESUMEN TOTAL'!N232</f>
        <v>0</v>
      </c>
      <c r="H180" s="70">
        <f>'RESUMEN TOTAL'!O232</f>
        <v>0</v>
      </c>
      <c r="I180" s="70">
        <f>'RESUMEN TOTAL'!P232</f>
        <v>0</v>
      </c>
      <c r="J180" s="70">
        <f>'RESUMEN TOTAL'!Q232</f>
        <v>0</v>
      </c>
      <c r="K180" s="70">
        <f>'RESUMEN TOTAL'!R232</f>
        <v>0</v>
      </c>
      <c r="L180" s="70">
        <f>'RESUMEN TOTAL'!S232</f>
        <v>0</v>
      </c>
      <c r="M180" s="70">
        <f>'RESUMEN TOTAL'!T232</f>
        <v>0</v>
      </c>
      <c r="N180" s="70">
        <f>'RESUMEN TOTAL'!U232</f>
        <v>0</v>
      </c>
      <c r="O180" s="70">
        <f>'RESUMEN TOTAL'!V232</f>
        <v>0</v>
      </c>
      <c r="P180" s="70">
        <f>'RESUMEN TOTAL'!W232</f>
        <v>0</v>
      </c>
      <c r="Q180" s="70">
        <f>'RESUMEN TOTAL'!X232</f>
        <v>0</v>
      </c>
      <c r="R180" s="70">
        <f>'RESUMEN TOTAL'!Y232</f>
        <v>0</v>
      </c>
      <c r="S180" s="70">
        <f>'RESUMEN TOTAL'!Z232</f>
        <v>0</v>
      </c>
      <c r="T180" s="70">
        <f>'RESUMEN TOTAL'!AA232</f>
        <v>0</v>
      </c>
      <c r="U180" s="70">
        <f>'RESUMEN TOTAL'!AB232</f>
        <v>0</v>
      </c>
      <c r="V180" s="70">
        <f>'RESUMEN TOTAL'!AC232</f>
        <v>0</v>
      </c>
      <c r="W180" s="70">
        <f>'RESUMEN TOTAL'!AD232</f>
        <v>0</v>
      </c>
      <c r="X180" s="70">
        <f>'RESUMEN TOTAL'!AE232</f>
        <v>0</v>
      </c>
      <c r="Y180" s="70">
        <f>'RESUMEN TOTAL'!AF232</f>
        <v>0</v>
      </c>
      <c r="Z180" s="70">
        <f>'RESUMEN TOTAL'!AG232</f>
        <v>0</v>
      </c>
      <c r="AA180" s="70">
        <f>'RESUMEN TOTAL'!AH232</f>
        <v>0</v>
      </c>
      <c r="AB180" s="70">
        <f>'RESUMEN TOTAL'!AI232</f>
        <v>0</v>
      </c>
      <c r="AC180" s="70">
        <f>'RESUMEN TOTAL'!AJ232</f>
        <v>0</v>
      </c>
      <c r="AD180" s="70">
        <f>'RESUMEN TOTAL'!AK232</f>
        <v>0</v>
      </c>
      <c r="AE180" s="70">
        <f>'RESUMEN TOTAL'!AL232</f>
        <v>0</v>
      </c>
      <c r="AF180" s="70">
        <f>'RESUMEN TOTAL'!AM232</f>
        <v>0</v>
      </c>
      <c r="AG180" s="70">
        <f>'RESUMEN TOTAL'!AN232</f>
        <v>0</v>
      </c>
      <c r="AH180" s="70">
        <f>'RESUMEN TOTAL'!AO232</f>
        <v>0</v>
      </c>
      <c r="AI180" s="70">
        <f>'RESUMEN TOTAL'!AP232</f>
        <v>0</v>
      </c>
      <c r="AJ180" s="70">
        <f>'RESUMEN TOTAL'!AQ232</f>
        <v>0</v>
      </c>
    </row>
    <row r="181" spans="1:36" x14ac:dyDescent="0.25">
      <c r="A181" t="str">
        <f>'RESUMEN TOTAL'!A233</f>
        <v>LOPEZ ROMERO</v>
      </c>
      <c r="B181" t="str">
        <f>'RESUMEN TOTAL'!B233</f>
        <v>LRO 10</v>
      </c>
      <c r="C181" t="str">
        <f>'RESUMEN TOTAL'!D233</f>
        <v>Con. Gral. Belgrano y Balcarce</v>
      </c>
      <c r="D181" s="30" t="str">
        <f>'RESUMEN TOTAL'!E233</f>
        <v>Domo</v>
      </c>
      <c r="E181" s="30" t="str">
        <f>'RESUMEN TOTAL'!F233</f>
        <v>Fibra Optica</v>
      </c>
      <c r="F181" s="70" t="str">
        <f>'RESUMEN TOTAL'!M233</f>
        <v>APAGADO</v>
      </c>
      <c r="G181" s="70" t="str">
        <f>'RESUMEN TOTAL'!N233</f>
        <v>APAGADO</v>
      </c>
      <c r="H181" s="70" t="str">
        <f>'RESUMEN TOTAL'!O233</f>
        <v>APAGADO</v>
      </c>
      <c r="I181" s="70" t="str">
        <f>'RESUMEN TOTAL'!P233</f>
        <v>APAGADO</v>
      </c>
      <c r="J181" s="70" t="str">
        <f>'RESUMEN TOTAL'!Q233</f>
        <v>APAGADO</v>
      </c>
      <c r="K181" s="70" t="str">
        <f>'RESUMEN TOTAL'!R233</f>
        <v>APAGADO</v>
      </c>
      <c r="L181" s="70" t="str">
        <f>'RESUMEN TOTAL'!S233</f>
        <v>APAGADO</v>
      </c>
      <c r="M181" s="70" t="str">
        <f>'RESUMEN TOTAL'!T233</f>
        <v>APAGADO</v>
      </c>
      <c r="N181" s="70">
        <f>'RESUMEN TOTAL'!U233</f>
        <v>0</v>
      </c>
      <c r="O181" s="70">
        <f>'RESUMEN TOTAL'!V233</f>
        <v>0</v>
      </c>
      <c r="P181" s="70">
        <f>'RESUMEN TOTAL'!W233</f>
        <v>0</v>
      </c>
      <c r="Q181" s="70">
        <f>'RESUMEN TOTAL'!X233</f>
        <v>0</v>
      </c>
      <c r="R181" s="70">
        <f>'RESUMEN TOTAL'!Y233</f>
        <v>0</v>
      </c>
      <c r="S181" s="70">
        <f>'RESUMEN TOTAL'!Z233</f>
        <v>0</v>
      </c>
      <c r="T181" s="70">
        <f>'RESUMEN TOTAL'!AA233</f>
        <v>0</v>
      </c>
      <c r="U181" s="70">
        <f>'RESUMEN TOTAL'!AB233</f>
        <v>0</v>
      </c>
      <c r="V181" s="70">
        <f>'RESUMEN TOTAL'!AC233</f>
        <v>0</v>
      </c>
      <c r="W181" s="70">
        <f>'RESUMEN TOTAL'!AD233</f>
        <v>0</v>
      </c>
      <c r="X181" s="70">
        <f>'RESUMEN TOTAL'!AE233</f>
        <v>0</v>
      </c>
      <c r="Y181" s="70">
        <f>'RESUMEN TOTAL'!AF233</f>
        <v>0</v>
      </c>
      <c r="Z181" s="70">
        <f>'RESUMEN TOTAL'!AG233</f>
        <v>0</v>
      </c>
      <c r="AA181" s="70">
        <f>'RESUMEN TOTAL'!AH233</f>
        <v>0</v>
      </c>
      <c r="AB181" s="70">
        <f>'RESUMEN TOTAL'!AI233</f>
        <v>0</v>
      </c>
      <c r="AC181" s="70">
        <f>'RESUMEN TOTAL'!AJ233</f>
        <v>0</v>
      </c>
      <c r="AD181" s="70">
        <f>'RESUMEN TOTAL'!AK233</f>
        <v>0</v>
      </c>
      <c r="AE181" s="70">
        <f>'RESUMEN TOTAL'!AL233</f>
        <v>0</v>
      </c>
      <c r="AF181" s="70">
        <f>'RESUMEN TOTAL'!AM233</f>
        <v>0</v>
      </c>
      <c r="AG181" s="70">
        <f>'RESUMEN TOTAL'!AN233</f>
        <v>0</v>
      </c>
      <c r="AH181" s="70">
        <f>'RESUMEN TOTAL'!AO233</f>
        <v>0</v>
      </c>
      <c r="AI181" s="70">
        <f>'RESUMEN TOTAL'!AP233</f>
        <v>0</v>
      </c>
      <c r="AJ181" s="70">
        <f>'RESUMEN TOTAL'!AQ233</f>
        <v>0</v>
      </c>
    </row>
    <row r="182" spans="1:36" x14ac:dyDescent="0.25">
      <c r="A182" t="str">
        <f>'RESUMEN TOTAL'!A234</f>
        <v>LOPEZ ROMERO</v>
      </c>
      <c r="B182" t="str">
        <f>'RESUMEN TOTAL'!B234</f>
        <v>LRO 12 (fija 1)</v>
      </c>
      <c r="C182" t="str">
        <f>'RESUMEN TOTAL'!D234</f>
        <v>LAS AMERICAS E/ BRAILLE Y ALVARADO</v>
      </c>
      <c r="D182" s="30" t="str">
        <f>'RESUMEN TOTAL'!E234</f>
        <v>Fija</v>
      </c>
      <c r="E182" s="30" t="str">
        <f>'RESUMEN TOTAL'!F234</f>
        <v>Fibra Optica</v>
      </c>
      <c r="F182" s="70">
        <f>'RESUMEN TOTAL'!M234</f>
        <v>0</v>
      </c>
      <c r="G182" s="70">
        <f>'RESUMEN TOTAL'!N234</f>
        <v>0</v>
      </c>
      <c r="H182" s="70">
        <f>'RESUMEN TOTAL'!O234</f>
        <v>0</v>
      </c>
      <c r="I182" s="70">
        <f>'RESUMEN TOTAL'!P234</f>
        <v>0</v>
      </c>
      <c r="J182" s="70">
        <f>'RESUMEN TOTAL'!Q234</f>
        <v>0</v>
      </c>
      <c r="K182" s="70">
        <f>'RESUMEN TOTAL'!R234</f>
        <v>0</v>
      </c>
      <c r="L182" s="70">
        <f>'RESUMEN TOTAL'!S234</f>
        <v>0</v>
      </c>
      <c r="M182" s="70">
        <f>'RESUMEN TOTAL'!T234</f>
        <v>0</v>
      </c>
      <c r="N182" s="70">
        <f>'RESUMEN TOTAL'!U234</f>
        <v>0</v>
      </c>
      <c r="O182" s="70">
        <f>'RESUMEN TOTAL'!V234</f>
        <v>0</v>
      </c>
      <c r="P182" s="70">
        <f>'RESUMEN TOTAL'!W234</f>
        <v>0</v>
      </c>
      <c r="Q182" s="70">
        <f>'RESUMEN TOTAL'!X234</f>
        <v>0</v>
      </c>
      <c r="R182" s="70">
        <f>'RESUMEN TOTAL'!Y234</f>
        <v>0</v>
      </c>
      <c r="S182" s="70">
        <f>'RESUMEN TOTAL'!Z234</f>
        <v>0</v>
      </c>
      <c r="T182" s="70">
        <f>'RESUMEN TOTAL'!AA234</f>
        <v>0</v>
      </c>
      <c r="U182" s="70">
        <f>'RESUMEN TOTAL'!AB234</f>
        <v>0</v>
      </c>
      <c r="V182" s="70">
        <f>'RESUMEN TOTAL'!AC234</f>
        <v>0</v>
      </c>
      <c r="W182" s="70">
        <f>'RESUMEN TOTAL'!AD234</f>
        <v>0</v>
      </c>
      <c r="X182" s="70">
        <f>'RESUMEN TOTAL'!AE234</f>
        <v>0</v>
      </c>
      <c r="Y182" s="70">
        <f>'RESUMEN TOTAL'!AF234</f>
        <v>0</v>
      </c>
      <c r="Z182" s="70">
        <f>'RESUMEN TOTAL'!AG234</f>
        <v>0</v>
      </c>
      <c r="AA182" s="70">
        <f>'RESUMEN TOTAL'!AH234</f>
        <v>0</v>
      </c>
      <c r="AB182" s="70">
        <f>'RESUMEN TOTAL'!AI234</f>
        <v>0</v>
      </c>
      <c r="AC182" s="70">
        <f>'RESUMEN TOTAL'!AJ234</f>
        <v>0</v>
      </c>
      <c r="AD182" s="70">
        <f>'RESUMEN TOTAL'!AK234</f>
        <v>0</v>
      </c>
      <c r="AE182" s="70">
        <f>'RESUMEN TOTAL'!AL234</f>
        <v>0</v>
      </c>
      <c r="AF182" s="70">
        <f>'RESUMEN TOTAL'!AM234</f>
        <v>0</v>
      </c>
      <c r="AG182" s="70">
        <f>'RESUMEN TOTAL'!AN234</f>
        <v>0</v>
      </c>
      <c r="AH182" s="70">
        <f>'RESUMEN TOTAL'!AO234</f>
        <v>0</v>
      </c>
      <c r="AI182" s="70">
        <f>'RESUMEN TOTAL'!AP234</f>
        <v>0</v>
      </c>
      <c r="AJ182" s="70">
        <f>'RESUMEN TOTAL'!AQ234</f>
        <v>0</v>
      </c>
    </row>
    <row r="183" spans="1:36" x14ac:dyDescent="0.25">
      <c r="A183" t="str">
        <f>'RESUMEN TOTAL'!A235</f>
        <v>LOPEZ ROMERO</v>
      </c>
      <c r="B183" t="str">
        <f>'RESUMEN TOTAL'!B235</f>
        <v>LRO 13 (fija 2)</v>
      </c>
      <c r="C183" t="str">
        <f>'RESUMEN TOTAL'!D235</f>
        <v>LAS AMERICAS E/ BRAILLE Y ALVARADO</v>
      </c>
      <c r="D183" s="30" t="str">
        <f>'RESUMEN TOTAL'!E235</f>
        <v>Fija</v>
      </c>
      <c r="E183" s="30" t="str">
        <f>'RESUMEN TOTAL'!F235</f>
        <v>Fibra Optica</v>
      </c>
      <c r="F183" s="70">
        <f>'RESUMEN TOTAL'!M235</f>
        <v>0</v>
      </c>
      <c r="G183" s="70">
        <f>'RESUMEN TOTAL'!N235</f>
        <v>0</v>
      </c>
      <c r="H183" s="70">
        <f>'RESUMEN TOTAL'!O235</f>
        <v>0</v>
      </c>
      <c r="I183" s="70">
        <f>'RESUMEN TOTAL'!P235</f>
        <v>0</v>
      </c>
      <c r="J183" s="70">
        <f>'RESUMEN TOTAL'!Q235</f>
        <v>0</v>
      </c>
      <c r="K183" s="70">
        <f>'RESUMEN TOTAL'!R235</f>
        <v>0</v>
      </c>
      <c r="L183" s="70">
        <f>'RESUMEN TOTAL'!S235</f>
        <v>0</v>
      </c>
      <c r="M183" s="70">
        <f>'RESUMEN TOTAL'!T235</f>
        <v>0</v>
      </c>
      <c r="N183" s="70">
        <f>'RESUMEN TOTAL'!U235</f>
        <v>0</v>
      </c>
      <c r="O183" s="70">
        <f>'RESUMEN TOTAL'!V235</f>
        <v>0</v>
      </c>
      <c r="P183" s="70">
        <f>'RESUMEN TOTAL'!W235</f>
        <v>0</v>
      </c>
      <c r="Q183" s="70">
        <f>'RESUMEN TOTAL'!X235</f>
        <v>0</v>
      </c>
      <c r="R183" s="70">
        <f>'RESUMEN TOTAL'!Y235</f>
        <v>0</v>
      </c>
      <c r="S183" s="70">
        <f>'RESUMEN TOTAL'!Z235</f>
        <v>0</v>
      </c>
      <c r="T183" s="70">
        <f>'RESUMEN TOTAL'!AA235</f>
        <v>0</v>
      </c>
      <c r="U183" s="70">
        <f>'RESUMEN TOTAL'!AB235</f>
        <v>0</v>
      </c>
      <c r="V183" s="70">
        <f>'RESUMEN TOTAL'!AC235</f>
        <v>0</v>
      </c>
      <c r="W183" s="70">
        <f>'RESUMEN TOTAL'!AD235</f>
        <v>0</v>
      </c>
      <c r="X183" s="70">
        <f>'RESUMEN TOTAL'!AE235</f>
        <v>0</v>
      </c>
      <c r="Y183" s="70">
        <f>'RESUMEN TOTAL'!AF235</f>
        <v>0</v>
      </c>
      <c r="Z183" s="70">
        <f>'RESUMEN TOTAL'!AG235</f>
        <v>0</v>
      </c>
      <c r="AA183" s="70">
        <f>'RESUMEN TOTAL'!AH235</f>
        <v>0</v>
      </c>
      <c r="AB183" s="70">
        <f>'RESUMEN TOTAL'!AI235</f>
        <v>0</v>
      </c>
      <c r="AC183" s="70">
        <f>'RESUMEN TOTAL'!AJ235</f>
        <v>0</v>
      </c>
      <c r="AD183" s="70">
        <f>'RESUMEN TOTAL'!AK235</f>
        <v>0</v>
      </c>
      <c r="AE183" s="70">
        <f>'RESUMEN TOTAL'!AL235</f>
        <v>0</v>
      </c>
      <c r="AF183" s="70">
        <f>'RESUMEN TOTAL'!AM235</f>
        <v>0</v>
      </c>
      <c r="AG183" s="70">
        <f>'RESUMEN TOTAL'!AN235</f>
        <v>0</v>
      </c>
      <c r="AH183" s="70">
        <f>'RESUMEN TOTAL'!AO235</f>
        <v>0</v>
      </c>
      <c r="AI183" s="70">
        <f>'RESUMEN TOTAL'!AP235</f>
        <v>0</v>
      </c>
      <c r="AJ183" s="70">
        <f>'RESUMEN TOTAL'!AQ235</f>
        <v>0</v>
      </c>
    </row>
    <row r="184" spans="1:36" x14ac:dyDescent="0.25">
      <c r="A184" t="str">
        <f>'RESUMEN TOTAL'!A236</f>
        <v>LOPEZ ROMERO</v>
      </c>
      <c r="B184" t="str">
        <f>'RESUMEN TOTAL'!B236</f>
        <v>LRO01</v>
      </c>
      <c r="C184" t="str">
        <f>'RESUMEN TOTAL'!D236</f>
        <v>H. IRIGOYEN Y BRAILE</v>
      </c>
      <c r="D184" s="30" t="str">
        <f>'RESUMEN TOTAL'!E236</f>
        <v>FIJA</v>
      </c>
      <c r="E184" s="30" t="str">
        <f>'RESUMEN TOTAL'!F236</f>
        <v>Fibra Optica</v>
      </c>
      <c r="F184" s="70">
        <f>'RESUMEN TOTAL'!M236</f>
        <v>0</v>
      </c>
      <c r="G184" s="70">
        <f>'RESUMEN TOTAL'!N236</f>
        <v>0</v>
      </c>
      <c r="H184" s="70">
        <f>'RESUMEN TOTAL'!O236</f>
        <v>0</v>
      </c>
      <c r="I184" s="70">
        <f>'RESUMEN TOTAL'!P236</f>
        <v>0</v>
      </c>
      <c r="J184" s="70">
        <f>'RESUMEN TOTAL'!Q236</f>
        <v>0</v>
      </c>
      <c r="K184" s="70">
        <f>'RESUMEN TOTAL'!R236</f>
        <v>0</v>
      </c>
      <c r="L184" s="70">
        <f>'RESUMEN TOTAL'!S236</f>
        <v>0</v>
      </c>
      <c r="M184" s="70">
        <f>'RESUMEN TOTAL'!T236</f>
        <v>0</v>
      </c>
      <c r="N184" s="70">
        <f>'RESUMEN TOTAL'!U236</f>
        <v>0</v>
      </c>
      <c r="O184" s="70">
        <f>'RESUMEN TOTAL'!V236</f>
        <v>0</v>
      </c>
      <c r="P184" s="70">
        <f>'RESUMEN TOTAL'!W236</f>
        <v>0</v>
      </c>
      <c r="Q184" s="70">
        <f>'RESUMEN TOTAL'!X236</f>
        <v>0</v>
      </c>
      <c r="R184" s="70">
        <f>'RESUMEN TOTAL'!Y236</f>
        <v>0</v>
      </c>
      <c r="S184" s="70">
        <f>'RESUMEN TOTAL'!Z236</f>
        <v>0</v>
      </c>
      <c r="T184" s="70">
        <f>'RESUMEN TOTAL'!AA236</f>
        <v>0</v>
      </c>
      <c r="U184" s="70">
        <f>'RESUMEN TOTAL'!AB236</f>
        <v>0</v>
      </c>
      <c r="V184" s="70">
        <f>'RESUMEN TOTAL'!AC236</f>
        <v>0</v>
      </c>
      <c r="W184" s="70">
        <f>'RESUMEN TOTAL'!AD236</f>
        <v>0</v>
      </c>
      <c r="X184" s="70">
        <f>'RESUMEN TOTAL'!AE236</f>
        <v>0</v>
      </c>
      <c r="Y184" s="70">
        <f>'RESUMEN TOTAL'!AF236</f>
        <v>0</v>
      </c>
      <c r="Z184" s="70">
        <f>'RESUMEN TOTAL'!AG236</f>
        <v>0</v>
      </c>
      <c r="AA184" s="70">
        <f>'RESUMEN TOTAL'!AH236</f>
        <v>0</v>
      </c>
      <c r="AB184" s="70">
        <f>'RESUMEN TOTAL'!AI236</f>
        <v>0</v>
      </c>
      <c r="AC184" s="70">
        <f>'RESUMEN TOTAL'!AJ236</f>
        <v>0</v>
      </c>
      <c r="AD184" s="70">
        <f>'RESUMEN TOTAL'!AK236</f>
        <v>0</v>
      </c>
      <c r="AE184" s="70">
        <f>'RESUMEN TOTAL'!AL236</f>
        <v>0</v>
      </c>
      <c r="AF184" s="70">
        <f>'RESUMEN TOTAL'!AM236</f>
        <v>0</v>
      </c>
      <c r="AG184" s="70">
        <f>'RESUMEN TOTAL'!AN236</f>
        <v>0</v>
      </c>
      <c r="AH184" s="70">
        <f>'RESUMEN TOTAL'!AO236</f>
        <v>0</v>
      </c>
      <c r="AI184" s="70">
        <f>'RESUMEN TOTAL'!AP236</f>
        <v>0</v>
      </c>
      <c r="AJ184" s="70">
        <f>'RESUMEN TOTAL'!AQ236</f>
        <v>0</v>
      </c>
    </row>
    <row r="185" spans="1:36" x14ac:dyDescent="0.25">
      <c r="A185" t="str">
        <f>'RESUMEN TOTAL'!A237</f>
        <v>PRESIDENTE SARMIENTO</v>
      </c>
      <c r="B185" t="str">
        <f>'RESUMEN TOTAL'!B237</f>
        <v>LRO02</v>
      </c>
      <c r="C185" t="str">
        <f>'RESUMEN TOTAL'!D237</f>
        <v>H. Irigoyen e Islas Orcadas</v>
      </c>
      <c r="D185" s="30" t="str">
        <f>'RESUMEN TOTAL'!E237</f>
        <v>Domo</v>
      </c>
      <c r="E185" s="30" t="str">
        <f>'RESUMEN TOTAL'!F237</f>
        <v>Fibra Optica</v>
      </c>
      <c r="F185" s="70">
        <f>'RESUMEN TOTAL'!M237</f>
        <v>0</v>
      </c>
      <c r="G185" s="70">
        <f>'RESUMEN TOTAL'!N237</f>
        <v>0</v>
      </c>
      <c r="H185" s="70">
        <f>'RESUMEN TOTAL'!O237</f>
        <v>0</v>
      </c>
      <c r="I185" s="70">
        <f>'RESUMEN TOTAL'!P237</f>
        <v>0</v>
      </c>
      <c r="J185" s="70">
        <f>'RESUMEN TOTAL'!Q237</f>
        <v>0</v>
      </c>
      <c r="K185" s="70">
        <f>'RESUMEN TOTAL'!R237</f>
        <v>0</v>
      </c>
      <c r="L185" s="70">
        <f>'RESUMEN TOTAL'!S237</f>
        <v>0</v>
      </c>
      <c r="M185" s="70">
        <f>'RESUMEN TOTAL'!T237</f>
        <v>0</v>
      </c>
      <c r="N185" s="70">
        <f>'RESUMEN TOTAL'!U237</f>
        <v>0</v>
      </c>
      <c r="O185" s="70">
        <f>'RESUMEN TOTAL'!V237</f>
        <v>0</v>
      </c>
      <c r="P185" s="70">
        <f>'RESUMEN TOTAL'!W237</f>
        <v>0</v>
      </c>
      <c r="Q185" s="70">
        <f>'RESUMEN TOTAL'!X237</f>
        <v>0</v>
      </c>
      <c r="R185" s="70">
        <f>'RESUMEN TOTAL'!Y237</f>
        <v>0</v>
      </c>
      <c r="S185" s="70">
        <f>'RESUMEN TOTAL'!Z237</f>
        <v>0</v>
      </c>
      <c r="T185" s="70">
        <f>'RESUMEN TOTAL'!AA237</f>
        <v>0</v>
      </c>
      <c r="U185" s="70">
        <f>'RESUMEN TOTAL'!AB237</f>
        <v>0</v>
      </c>
      <c r="V185" s="70">
        <f>'RESUMEN TOTAL'!AC237</f>
        <v>0</v>
      </c>
      <c r="W185" s="70">
        <f>'RESUMEN TOTAL'!AD237</f>
        <v>0</v>
      </c>
      <c r="X185" s="70">
        <f>'RESUMEN TOTAL'!AE237</f>
        <v>0</v>
      </c>
      <c r="Y185" s="70">
        <f>'RESUMEN TOTAL'!AF237</f>
        <v>0</v>
      </c>
      <c r="Z185" s="70">
        <f>'RESUMEN TOTAL'!AG237</f>
        <v>0</v>
      </c>
      <c r="AA185" s="70">
        <f>'RESUMEN TOTAL'!AH237</f>
        <v>0</v>
      </c>
      <c r="AB185" s="70">
        <f>'RESUMEN TOTAL'!AI237</f>
        <v>0</v>
      </c>
      <c r="AC185" s="70">
        <f>'RESUMEN TOTAL'!AJ237</f>
        <v>0</v>
      </c>
      <c r="AD185" s="70">
        <f>'RESUMEN TOTAL'!AK237</f>
        <v>0</v>
      </c>
      <c r="AE185" s="70">
        <f>'RESUMEN TOTAL'!AL237</f>
        <v>0</v>
      </c>
      <c r="AF185" s="70">
        <f>'RESUMEN TOTAL'!AM237</f>
        <v>0</v>
      </c>
      <c r="AG185" s="70">
        <f>'RESUMEN TOTAL'!AN237</f>
        <v>0</v>
      </c>
      <c r="AH185" s="70">
        <f>'RESUMEN TOTAL'!AO237</f>
        <v>0</v>
      </c>
      <c r="AI185" s="70">
        <f>'RESUMEN TOTAL'!AP237</f>
        <v>0</v>
      </c>
      <c r="AJ185" s="70">
        <f>'RESUMEN TOTAL'!AQ237</f>
        <v>0</v>
      </c>
    </row>
    <row r="186" spans="1:36" x14ac:dyDescent="0.25">
      <c r="A186" t="str">
        <f>'RESUMEN TOTAL'!A238</f>
        <v>LOPEZ ROMERO</v>
      </c>
      <c r="B186" t="str">
        <f>'RESUMEN TOTAL'!B238</f>
        <v>LRO03</v>
      </c>
      <c r="C186" t="str">
        <f>'RESUMEN TOTAL'!D238</f>
        <v>H. Irigoyen y Parravicini</v>
      </c>
      <c r="D186" s="30" t="str">
        <f>'RESUMEN TOTAL'!E238</f>
        <v>Fija</v>
      </c>
      <c r="E186" s="30" t="str">
        <f>'RESUMEN TOTAL'!F238</f>
        <v>Fibra Optica</v>
      </c>
      <c r="F186" s="70">
        <f>'RESUMEN TOTAL'!M238</f>
        <v>0</v>
      </c>
      <c r="G186" s="70">
        <f>'RESUMEN TOTAL'!N238</f>
        <v>0</v>
      </c>
      <c r="H186" s="70">
        <f>'RESUMEN TOTAL'!O238</f>
        <v>0</v>
      </c>
      <c r="I186" s="70">
        <f>'RESUMEN TOTAL'!P238</f>
        <v>0</v>
      </c>
      <c r="J186" s="70">
        <f>'RESUMEN TOTAL'!Q238</f>
        <v>0</v>
      </c>
      <c r="K186" s="70">
        <f>'RESUMEN TOTAL'!R238</f>
        <v>0</v>
      </c>
      <c r="L186" s="70">
        <f>'RESUMEN TOTAL'!S238</f>
        <v>0</v>
      </c>
      <c r="M186" s="70">
        <f>'RESUMEN TOTAL'!T238</f>
        <v>0</v>
      </c>
      <c r="N186" s="70">
        <f>'RESUMEN TOTAL'!U238</f>
        <v>0</v>
      </c>
      <c r="O186" s="70">
        <f>'RESUMEN TOTAL'!V238</f>
        <v>0</v>
      </c>
      <c r="P186" s="70">
        <f>'RESUMEN TOTAL'!W238</f>
        <v>0</v>
      </c>
      <c r="Q186" s="70">
        <f>'RESUMEN TOTAL'!X238</f>
        <v>0</v>
      </c>
      <c r="R186" s="70">
        <f>'RESUMEN TOTAL'!Y238</f>
        <v>0</v>
      </c>
      <c r="S186" s="70">
        <f>'RESUMEN TOTAL'!Z238</f>
        <v>0</v>
      </c>
      <c r="T186" s="70">
        <f>'RESUMEN TOTAL'!AA238</f>
        <v>0</v>
      </c>
      <c r="U186" s="70">
        <f>'RESUMEN TOTAL'!AB238</f>
        <v>0</v>
      </c>
      <c r="V186" s="70">
        <f>'RESUMEN TOTAL'!AC238</f>
        <v>0</v>
      </c>
      <c r="W186" s="70">
        <f>'RESUMEN TOTAL'!AD238</f>
        <v>0</v>
      </c>
      <c r="X186" s="70">
        <f>'RESUMEN TOTAL'!AE238</f>
        <v>0</v>
      </c>
      <c r="Y186" s="70">
        <f>'RESUMEN TOTAL'!AF238</f>
        <v>0</v>
      </c>
      <c r="Z186" s="70">
        <f>'RESUMEN TOTAL'!AG238</f>
        <v>0</v>
      </c>
      <c r="AA186" s="70">
        <f>'RESUMEN TOTAL'!AH238</f>
        <v>0</v>
      </c>
      <c r="AB186" s="70">
        <f>'RESUMEN TOTAL'!AI238</f>
        <v>0</v>
      </c>
      <c r="AC186" s="70">
        <f>'RESUMEN TOTAL'!AJ238</f>
        <v>0</v>
      </c>
      <c r="AD186" s="70">
        <f>'RESUMEN TOTAL'!AK238</f>
        <v>0</v>
      </c>
      <c r="AE186" s="70">
        <f>'RESUMEN TOTAL'!AL238</f>
        <v>0</v>
      </c>
      <c r="AF186" s="70">
        <f>'RESUMEN TOTAL'!AM238</f>
        <v>0</v>
      </c>
      <c r="AG186" s="70">
        <f>'RESUMEN TOTAL'!AN238</f>
        <v>0</v>
      </c>
      <c r="AH186" s="70">
        <f>'RESUMEN TOTAL'!AO238</f>
        <v>0</v>
      </c>
      <c r="AI186" s="70">
        <f>'RESUMEN TOTAL'!AP238</f>
        <v>0</v>
      </c>
      <c r="AJ186" s="70">
        <f>'RESUMEN TOTAL'!AQ238</f>
        <v>0</v>
      </c>
    </row>
    <row r="187" spans="1:36" x14ac:dyDescent="0.25">
      <c r="A187" t="str">
        <f>'RESUMEN TOTAL'!A239</f>
        <v>LOPEZ ROMERO</v>
      </c>
      <c r="B187" t="str">
        <f>'RESUMEN TOTAL'!B239</f>
        <v>LRO04</v>
      </c>
      <c r="C187" t="str">
        <f>'RESUMEN TOTAL'!D239</f>
        <v>H. Irigoyen y Alvarado</v>
      </c>
      <c r="D187" s="30" t="str">
        <f>'RESUMEN TOTAL'!E239</f>
        <v>FIJA</v>
      </c>
      <c r="E187" s="30" t="str">
        <f>'RESUMEN TOTAL'!F239</f>
        <v>Fibra Optica</v>
      </c>
      <c r="F187" s="70">
        <f>'RESUMEN TOTAL'!M239</f>
        <v>0</v>
      </c>
      <c r="G187" s="70">
        <f>'RESUMEN TOTAL'!N239</f>
        <v>0</v>
      </c>
      <c r="H187" s="70">
        <f>'RESUMEN TOTAL'!O239</f>
        <v>0</v>
      </c>
      <c r="I187" s="70">
        <f>'RESUMEN TOTAL'!P239</f>
        <v>0</v>
      </c>
      <c r="J187" s="70">
        <f>'RESUMEN TOTAL'!Q239</f>
        <v>0</v>
      </c>
      <c r="K187" s="70">
        <f>'RESUMEN TOTAL'!R239</f>
        <v>0</v>
      </c>
      <c r="L187" s="70">
        <f>'RESUMEN TOTAL'!S239</f>
        <v>0</v>
      </c>
      <c r="M187" s="70">
        <f>'RESUMEN TOTAL'!T239</f>
        <v>0</v>
      </c>
      <c r="N187" s="70">
        <f>'RESUMEN TOTAL'!U239</f>
        <v>0</v>
      </c>
      <c r="O187" s="70">
        <f>'RESUMEN TOTAL'!V239</f>
        <v>0</v>
      </c>
      <c r="P187" s="70">
        <f>'RESUMEN TOTAL'!W239</f>
        <v>0</v>
      </c>
      <c r="Q187" s="70">
        <f>'RESUMEN TOTAL'!X239</f>
        <v>0</v>
      </c>
      <c r="R187" s="70">
        <f>'RESUMEN TOTAL'!Y239</f>
        <v>0</v>
      </c>
      <c r="S187" s="70">
        <f>'RESUMEN TOTAL'!Z239</f>
        <v>0</v>
      </c>
      <c r="T187" s="70">
        <f>'RESUMEN TOTAL'!AA239</f>
        <v>0</v>
      </c>
      <c r="U187" s="70">
        <f>'RESUMEN TOTAL'!AB239</f>
        <v>0</v>
      </c>
      <c r="V187" s="70">
        <f>'RESUMEN TOTAL'!AC239</f>
        <v>0</v>
      </c>
      <c r="W187" s="70">
        <f>'RESUMEN TOTAL'!AD239</f>
        <v>0</v>
      </c>
      <c r="X187" s="70">
        <f>'RESUMEN TOTAL'!AE239</f>
        <v>0</v>
      </c>
      <c r="Y187" s="70">
        <f>'RESUMEN TOTAL'!AF239</f>
        <v>0</v>
      </c>
      <c r="Z187" s="70">
        <f>'RESUMEN TOTAL'!AG239</f>
        <v>0</v>
      </c>
      <c r="AA187" s="70">
        <f>'RESUMEN TOTAL'!AH239</f>
        <v>0</v>
      </c>
      <c r="AB187" s="70">
        <f>'RESUMEN TOTAL'!AI239</f>
        <v>0</v>
      </c>
      <c r="AC187" s="70">
        <f>'RESUMEN TOTAL'!AJ239</f>
        <v>0</v>
      </c>
      <c r="AD187" s="70">
        <f>'RESUMEN TOTAL'!AK239</f>
        <v>0</v>
      </c>
      <c r="AE187" s="70">
        <f>'RESUMEN TOTAL'!AL239</f>
        <v>0</v>
      </c>
      <c r="AF187" s="70">
        <f>'RESUMEN TOTAL'!AM239</f>
        <v>0</v>
      </c>
      <c r="AG187" s="70">
        <f>'RESUMEN TOTAL'!AN239</f>
        <v>0</v>
      </c>
      <c r="AH187" s="70">
        <f>'RESUMEN TOTAL'!AO239</f>
        <v>0</v>
      </c>
      <c r="AI187" s="70">
        <f>'RESUMEN TOTAL'!AP239</f>
        <v>0</v>
      </c>
      <c r="AJ187" s="70">
        <f>'RESUMEN TOTAL'!AQ239</f>
        <v>0</v>
      </c>
    </row>
    <row r="188" spans="1:36" x14ac:dyDescent="0.25">
      <c r="A188" t="str">
        <f>'RESUMEN TOTAL'!A240</f>
        <v>PRESIDENTE SARMIENTO</v>
      </c>
      <c r="B188" t="str">
        <f>'RESUMEN TOTAL'!B240</f>
        <v>LRO06</v>
      </c>
      <c r="C188" t="str">
        <f>'RESUMEN TOTAL'!D240</f>
        <v>H. Irigoyen y Belgrano</v>
      </c>
      <c r="D188" s="30" t="str">
        <f>'RESUMEN TOTAL'!E240</f>
        <v>Domo</v>
      </c>
      <c r="E188" s="30" t="str">
        <f>'RESUMEN TOTAL'!F240</f>
        <v>Fibra Optica</v>
      </c>
      <c r="F188" s="70">
        <f>'RESUMEN TOTAL'!M240</f>
        <v>0</v>
      </c>
      <c r="G188" s="70">
        <f>'RESUMEN TOTAL'!N240</f>
        <v>0</v>
      </c>
      <c r="H188" s="70">
        <f>'RESUMEN TOTAL'!O240</f>
        <v>0</v>
      </c>
      <c r="I188" s="70">
        <f>'RESUMEN TOTAL'!P240</f>
        <v>0</v>
      </c>
      <c r="J188" s="70">
        <f>'RESUMEN TOTAL'!Q240</f>
        <v>0</v>
      </c>
      <c r="K188" s="70">
        <f>'RESUMEN TOTAL'!R240</f>
        <v>0</v>
      </c>
      <c r="L188" s="70">
        <f>'RESUMEN TOTAL'!S240</f>
        <v>0</v>
      </c>
      <c r="M188" s="70">
        <f>'RESUMEN TOTAL'!T240</f>
        <v>0</v>
      </c>
      <c r="N188" s="70">
        <f>'RESUMEN TOTAL'!U240</f>
        <v>0</v>
      </c>
      <c r="O188" s="70">
        <f>'RESUMEN TOTAL'!V240</f>
        <v>0</v>
      </c>
      <c r="P188" s="70">
        <f>'RESUMEN TOTAL'!W240</f>
        <v>0</v>
      </c>
      <c r="Q188" s="70">
        <f>'RESUMEN TOTAL'!X240</f>
        <v>0</v>
      </c>
      <c r="R188" s="70">
        <f>'RESUMEN TOTAL'!Y240</f>
        <v>0</v>
      </c>
      <c r="S188" s="70">
        <f>'RESUMEN TOTAL'!Z240</f>
        <v>0</v>
      </c>
      <c r="T188" s="70">
        <f>'RESUMEN TOTAL'!AA240</f>
        <v>0</v>
      </c>
      <c r="U188" s="70">
        <f>'RESUMEN TOTAL'!AB240</f>
        <v>0</v>
      </c>
      <c r="V188" s="70">
        <f>'RESUMEN TOTAL'!AC240</f>
        <v>0</v>
      </c>
      <c r="W188" s="70">
        <f>'RESUMEN TOTAL'!AD240</f>
        <v>0</v>
      </c>
      <c r="X188" s="70">
        <f>'RESUMEN TOTAL'!AE240</f>
        <v>0</v>
      </c>
      <c r="Y188" s="70">
        <f>'RESUMEN TOTAL'!AF240</f>
        <v>0</v>
      </c>
      <c r="Z188" s="70">
        <f>'RESUMEN TOTAL'!AG240</f>
        <v>0</v>
      </c>
      <c r="AA188" s="70">
        <f>'RESUMEN TOTAL'!AH240</f>
        <v>0</v>
      </c>
      <c r="AB188" s="70">
        <f>'RESUMEN TOTAL'!AI240</f>
        <v>0</v>
      </c>
      <c r="AC188" s="70">
        <f>'RESUMEN TOTAL'!AJ240</f>
        <v>0</v>
      </c>
      <c r="AD188" s="70">
        <f>'RESUMEN TOTAL'!AK240</f>
        <v>0</v>
      </c>
      <c r="AE188" s="70">
        <f>'RESUMEN TOTAL'!AL240</f>
        <v>0</v>
      </c>
      <c r="AF188" s="70">
        <f>'RESUMEN TOTAL'!AM240</f>
        <v>0</v>
      </c>
      <c r="AG188" s="70">
        <f>'RESUMEN TOTAL'!AN240</f>
        <v>0</v>
      </c>
      <c r="AH188" s="70">
        <f>'RESUMEN TOTAL'!AO240</f>
        <v>0</v>
      </c>
      <c r="AI188" s="70">
        <f>'RESUMEN TOTAL'!AP240</f>
        <v>0</v>
      </c>
      <c r="AJ188" s="70">
        <f>'RESUMEN TOTAL'!AQ240</f>
        <v>0</v>
      </c>
    </row>
    <row r="189" spans="1:36" x14ac:dyDescent="0.25">
      <c r="A189" t="str">
        <f>'RESUMEN TOTAL'!A241</f>
        <v>LOPEZ ROMERO</v>
      </c>
      <c r="B189" t="str">
        <f>'RESUMEN TOTAL'!B241</f>
        <v>LRO07</v>
      </c>
      <c r="C189" t="str">
        <f>'RESUMEN TOTAL'!D241</f>
        <v>H. Irigoyen y Remedios de Escalada</v>
      </c>
      <c r="D189" s="30" t="str">
        <f>'RESUMEN TOTAL'!E241</f>
        <v>Domo</v>
      </c>
      <c r="E189" s="30" t="str">
        <f>'RESUMEN TOTAL'!F241</f>
        <v>Fibra Optica</v>
      </c>
      <c r="F189" s="70">
        <f>'RESUMEN TOTAL'!M241</f>
        <v>0</v>
      </c>
      <c r="G189" s="70">
        <f>'RESUMEN TOTAL'!N241</f>
        <v>0</v>
      </c>
      <c r="H189" s="70">
        <f>'RESUMEN TOTAL'!O241</f>
        <v>0</v>
      </c>
      <c r="I189" s="70">
        <f>'RESUMEN TOTAL'!P241</f>
        <v>0</v>
      </c>
      <c r="J189" s="70">
        <f>'RESUMEN TOTAL'!Q241</f>
        <v>0</v>
      </c>
      <c r="K189" s="70">
        <f>'RESUMEN TOTAL'!R241</f>
        <v>0</v>
      </c>
      <c r="L189" s="70">
        <f>'RESUMEN TOTAL'!S241</f>
        <v>0</v>
      </c>
      <c r="M189" s="70">
        <f>'RESUMEN TOTAL'!T241</f>
        <v>0</v>
      </c>
      <c r="N189" s="70">
        <f>'RESUMEN TOTAL'!U241</f>
        <v>0</v>
      </c>
      <c r="O189" s="70">
        <f>'RESUMEN TOTAL'!V241</f>
        <v>0</v>
      </c>
      <c r="P189" s="70">
        <f>'RESUMEN TOTAL'!W241</f>
        <v>0</v>
      </c>
      <c r="Q189" s="70">
        <f>'RESUMEN TOTAL'!X241</f>
        <v>0</v>
      </c>
      <c r="R189" s="70">
        <f>'RESUMEN TOTAL'!Y241</f>
        <v>0</v>
      </c>
      <c r="S189" s="70">
        <f>'RESUMEN TOTAL'!Z241</f>
        <v>0</v>
      </c>
      <c r="T189" s="70">
        <f>'RESUMEN TOTAL'!AA241</f>
        <v>0</v>
      </c>
      <c r="U189" s="70">
        <f>'RESUMEN TOTAL'!AB241</f>
        <v>0</v>
      </c>
      <c r="V189" s="70">
        <f>'RESUMEN TOTAL'!AC241</f>
        <v>0</v>
      </c>
      <c r="W189" s="70">
        <f>'RESUMEN TOTAL'!AD241</f>
        <v>0</v>
      </c>
      <c r="X189" s="70">
        <f>'RESUMEN TOTAL'!AE241</f>
        <v>0</v>
      </c>
      <c r="Y189" s="70">
        <f>'RESUMEN TOTAL'!AF241</f>
        <v>0</v>
      </c>
      <c r="Z189" s="70">
        <f>'RESUMEN TOTAL'!AG241</f>
        <v>0</v>
      </c>
      <c r="AA189" s="70">
        <f>'RESUMEN TOTAL'!AH241</f>
        <v>0</v>
      </c>
      <c r="AB189" s="70">
        <f>'RESUMEN TOTAL'!AI241</f>
        <v>0</v>
      </c>
      <c r="AC189" s="70">
        <f>'RESUMEN TOTAL'!AJ241</f>
        <v>0</v>
      </c>
      <c r="AD189" s="70">
        <f>'RESUMEN TOTAL'!AK241</f>
        <v>0</v>
      </c>
      <c r="AE189" s="70">
        <f>'RESUMEN TOTAL'!AL241</f>
        <v>0</v>
      </c>
      <c r="AF189" s="70">
        <f>'RESUMEN TOTAL'!AM241</f>
        <v>0</v>
      </c>
      <c r="AG189" s="70">
        <f>'RESUMEN TOTAL'!AN241</f>
        <v>0</v>
      </c>
      <c r="AH189" s="70">
        <f>'RESUMEN TOTAL'!AO241</f>
        <v>0</v>
      </c>
      <c r="AI189" s="70">
        <f>'RESUMEN TOTAL'!AP241</f>
        <v>0</v>
      </c>
      <c r="AJ189" s="70">
        <f>'RESUMEN TOTAL'!AQ241</f>
        <v>0</v>
      </c>
    </row>
    <row r="190" spans="1:36" x14ac:dyDescent="0.25">
      <c r="A190" t="str">
        <f>'RESUMEN TOTAL'!A242</f>
        <v>LOPEZ ROMERO</v>
      </c>
      <c r="B190" t="str">
        <f>'RESUMEN TOTAL'!B242</f>
        <v>LRO08</v>
      </c>
      <c r="C190" t="str">
        <f>'RESUMEN TOTAL'!D242</f>
        <v>Remedios de Escalada y Finochieto</v>
      </c>
      <c r="D190" s="30" t="str">
        <f>'RESUMEN TOTAL'!E242</f>
        <v>Domo</v>
      </c>
      <c r="E190" s="30" t="str">
        <f>'RESUMEN TOTAL'!F242</f>
        <v>Fibra Optica</v>
      </c>
      <c r="F190" s="70">
        <f>'RESUMEN TOTAL'!M242</f>
        <v>0</v>
      </c>
      <c r="G190" s="70">
        <f>'RESUMEN TOTAL'!N242</f>
        <v>0</v>
      </c>
      <c r="H190" s="70">
        <f>'RESUMEN TOTAL'!O242</f>
        <v>0</v>
      </c>
      <c r="I190" s="70">
        <f>'RESUMEN TOTAL'!P242</f>
        <v>0</v>
      </c>
      <c r="J190" s="70">
        <f>'RESUMEN TOTAL'!Q242</f>
        <v>0</v>
      </c>
      <c r="K190" s="70">
        <f>'RESUMEN TOTAL'!R242</f>
        <v>0</v>
      </c>
      <c r="L190" s="70">
        <f>'RESUMEN TOTAL'!S242</f>
        <v>0</v>
      </c>
      <c r="M190" s="70">
        <f>'RESUMEN TOTAL'!T242</f>
        <v>0</v>
      </c>
      <c r="N190" s="70">
        <f>'RESUMEN TOTAL'!U242</f>
        <v>0</v>
      </c>
      <c r="O190" s="70">
        <f>'RESUMEN TOTAL'!V242</f>
        <v>0</v>
      </c>
      <c r="P190" s="70">
        <f>'RESUMEN TOTAL'!W242</f>
        <v>0</v>
      </c>
      <c r="Q190" s="70">
        <f>'RESUMEN TOTAL'!X242</f>
        <v>0</v>
      </c>
      <c r="R190" s="70">
        <f>'RESUMEN TOTAL'!Y242</f>
        <v>0</v>
      </c>
      <c r="S190" s="70">
        <f>'RESUMEN TOTAL'!Z242</f>
        <v>0</v>
      </c>
      <c r="T190" s="70">
        <f>'RESUMEN TOTAL'!AA242</f>
        <v>0</v>
      </c>
      <c r="U190" s="70">
        <f>'RESUMEN TOTAL'!AB242</f>
        <v>0</v>
      </c>
      <c r="V190" s="70">
        <f>'RESUMEN TOTAL'!AC242</f>
        <v>0</v>
      </c>
      <c r="W190" s="70">
        <f>'RESUMEN TOTAL'!AD242</f>
        <v>0</v>
      </c>
      <c r="X190" s="70">
        <f>'RESUMEN TOTAL'!AE242</f>
        <v>0</v>
      </c>
      <c r="Y190" s="70">
        <f>'RESUMEN TOTAL'!AF242</f>
        <v>0</v>
      </c>
      <c r="Z190" s="70">
        <f>'RESUMEN TOTAL'!AG242</f>
        <v>0</v>
      </c>
      <c r="AA190" s="70">
        <f>'RESUMEN TOTAL'!AH242</f>
        <v>0</v>
      </c>
      <c r="AB190" s="70">
        <f>'RESUMEN TOTAL'!AI242</f>
        <v>0</v>
      </c>
      <c r="AC190" s="70">
        <f>'RESUMEN TOTAL'!AJ242</f>
        <v>0</v>
      </c>
      <c r="AD190" s="70">
        <f>'RESUMEN TOTAL'!AK242</f>
        <v>0</v>
      </c>
      <c r="AE190" s="70">
        <f>'RESUMEN TOTAL'!AL242</f>
        <v>0</v>
      </c>
      <c r="AF190" s="70">
        <f>'RESUMEN TOTAL'!AM242</f>
        <v>0</v>
      </c>
      <c r="AG190" s="70">
        <f>'RESUMEN TOTAL'!AN242</f>
        <v>0</v>
      </c>
      <c r="AH190" s="70">
        <f>'RESUMEN TOTAL'!AO242</f>
        <v>0</v>
      </c>
      <c r="AI190" s="70">
        <f>'RESUMEN TOTAL'!AP242</f>
        <v>0</v>
      </c>
      <c r="AJ190" s="70">
        <f>'RESUMEN TOTAL'!AQ242</f>
        <v>0</v>
      </c>
    </row>
    <row r="191" spans="1:36" x14ac:dyDescent="0.25">
      <c r="A191" t="str">
        <f>'RESUMEN TOTAL'!A243</f>
        <v>LOPEZ ROMERO</v>
      </c>
      <c r="B191" t="str">
        <f>'RESUMEN TOTAL'!B243</f>
        <v>LRO11</v>
      </c>
      <c r="C191" t="str">
        <f>'RESUMEN TOTAL'!D243</f>
        <v>Av. Yrigoyen y Braile</v>
      </c>
      <c r="D191" s="30" t="str">
        <f>'RESUMEN TOTAL'!E243</f>
        <v>Domo</v>
      </c>
      <c r="E191" s="30" t="str">
        <f>'RESUMEN TOTAL'!F243</f>
        <v>Fibra Optica</v>
      </c>
      <c r="F191" s="70" t="str">
        <f>'RESUMEN TOTAL'!M243</f>
        <v>APAGADO</v>
      </c>
      <c r="G191" s="70" t="str">
        <f>'RESUMEN TOTAL'!N243</f>
        <v>APAGADO</v>
      </c>
      <c r="H191" s="70">
        <f>'RESUMEN TOTAL'!O243</f>
        <v>0</v>
      </c>
      <c r="I191" s="70">
        <f>'RESUMEN TOTAL'!P243</f>
        <v>0</v>
      </c>
      <c r="J191" s="70">
        <f>'RESUMEN TOTAL'!Q243</f>
        <v>0</v>
      </c>
      <c r="K191" s="70">
        <f>'RESUMEN TOTAL'!R243</f>
        <v>0</v>
      </c>
      <c r="L191" s="70">
        <f>'RESUMEN TOTAL'!S243</f>
        <v>0</v>
      </c>
      <c r="M191" s="70">
        <f>'RESUMEN TOTAL'!T243</f>
        <v>0</v>
      </c>
      <c r="N191" s="70">
        <f>'RESUMEN TOTAL'!U243</f>
        <v>0</v>
      </c>
      <c r="O191" s="70">
        <f>'RESUMEN TOTAL'!V243</f>
        <v>0</v>
      </c>
      <c r="P191" s="70">
        <f>'RESUMEN TOTAL'!W243</f>
        <v>0</v>
      </c>
      <c r="Q191" s="70">
        <f>'RESUMEN TOTAL'!X243</f>
        <v>0</v>
      </c>
      <c r="R191" s="70">
        <f>'RESUMEN TOTAL'!Y243</f>
        <v>0</v>
      </c>
      <c r="S191" s="70">
        <f>'RESUMEN TOTAL'!Z243</f>
        <v>0</v>
      </c>
      <c r="T191" s="70">
        <f>'RESUMEN TOTAL'!AA243</f>
        <v>0</v>
      </c>
      <c r="U191" s="70">
        <f>'RESUMEN TOTAL'!AB243</f>
        <v>0</v>
      </c>
      <c r="V191" s="70">
        <f>'RESUMEN TOTAL'!AC243</f>
        <v>0</v>
      </c>
      <c r="W191" s="70">
        <f>'RESUMEN TOTAL'!AD243</f>
        <v>0</v>
      </c>
      <c r="X191" s="70">
        <f>'RESUMEN TOTAL'!AE243</f>
        <v>0</v>
      </c>
      <c r="Y191" s="70">
        <f>'RESUMEN TOTAL'!AF243</f>
        <v>0</v>
      </c>
      <c r="Z191" s="70">
        <f>'RESUMEN TOTAL'!AG243</f>
        <v>0</v>
      </c>
      <c r="AA191" s="70">
        <f>'RESUMEN TOTAL'!AH243</f>
        <v>0</v>
      </c>
      <c r="AB191" s="70">
        <f>'RESUMEN TOTAL'!AI243</f>
        <v>0</v>
      </c>
      <c r="AC191" s="70">
        <f>'RESUMEN TOTAL'!AJ243</f>
        <v>0</v>
      </c>
      <c r="AD191" s="70">
        <f>'RESUMEN TOTAL'!AK243</f>
        <v>0</v>
      </c>
      <c r="AE191" s="70">
        <f>'RESUMEN TOTAL'!AL243</f>
        <v>0</v>
      </c>
      <c r="AF191" s="70">
        <f>'RESUMEN TOTAL'!AM243</f>
        <v>0</v>
      </c>
      <c r="AG191" s="70">
        <f>'RESUMEN TOTAL'!AN243</f>
        <v>0</v>
      </c>
      <c r="AH191" s="70">
        <f>'RESUMEN TOTAL'!AO243</f>
        <v>0</v>
      </c>
      <c r="AI191" s="70">
        <f>'RESUMEN TOTAL'!AP243</f>
        <v>0</v>
      </c>
      <c r="AJ191" s="70">
        <f>'RESUMEN TOTAL'!AQ243</f>
        <v>0</v>
      </c>
    </row>
    <row r="192" spans="1:36" x14ac:dyDescent="0.25">
      <c r="A192" t="str">
        <f>'RESUMEN TOTAL'!A244</f>
        <v>LOPEZ ROMERO</v>
      </c>
      <c r="B192" t="str">
        <f>'RESUMEN TOTAL'!B244</f>
        <v>LRO14</v>
      </c>
      <c r="C192" t="str">
        <f>'RESUMEN TOTAL'!D244</f>
        <v>YRIGOYEN Y STORNI</v>
      </c>
      <c r="D192" s="30" t="str">
        <f>'RESUMEN TOTAL'!E244</f>
        <v>DOMO</v>
      </c>
      <c r="E192" s="30" t="str">
        <f>'RESUMEN TOTAL'!F244</f>
        <v>Fibra Optica</v>
      </c>
      <c r="F192" s="70">
        <f>'RESUMEN TOTAL'!M244</f>
        <v>0</v>
      </c>
      <c r="G192" s="70">
        <f>'RESUMEN TOTAL'!N244</f>
        <v>0</v>
      </c>
      <c r="H192" s="70">
        <f>'RESUMEN TOTAL'!O244</f>
        <v>0</v>
      </c>
      <c r="I192" s="70">
        <f>'RESUMEN TOTAL'!P244</f>
        <v>0</v>
      </c>
      <c r="J192" s="70">
        <f>'RESUMEN TOTAL'!Q244</f>
        <v>0</v>
      </c>
      <c r="K192" s="70">
        <f>'RESUMEN TOTAL'!R244</f>
        <v>0</v>
      </c>
      <c r="L192" s="70">
        <f>'RESUMEN TOTAL'!S244</f>
        <v>0</v>
      </c>
      <c r="M192" s="70">
        <f>'RESUMEN TOTAL'!T244</f>
        <v>0</v>
      </c>
      <c r="N192" s="70">
        <f>'RESUMEN TOTAL'!U244</f>
        <v>0</v>
      </c>
      <c r="O192" s="70">
        <f>'RESUMEN TOTAL'!V244</f>
        <v>0</v>
      </c>
      <c r="P192" s="70">
        <f>'RESUMEN TOTAL'!W244</f>
        <v>0</v>
      </c>
      <c r="Q192" s="70">
        <f>'RESUMEN TOTAL'!X244</f>
        <v>0</v>
      </c>
      <c r="R192" s="70">
        <f>'RESUMEN TOTAL'!Y244</f>
        <v>0</v>
      </c>
      <c r="S192" s="70">
        <f>'RESUMEN TOTAL'!Z244</f>
        <v>0</v>
      </c>
      <c r="T192" s="70">
        <f>'RESUMEN TOTAL'!AA244</f>
        <v>0</v>
      </c>
      <c r="U192" s="70">
        <f>'RESUMEN TOTAL'!AB244</f>
        <v>0</v>
      </c>
      <c r="V192" s="70">
        <f>'RESUMEN TOTAL'!AC244</f>
        <v>0</v>
      </c>
      <c r="W192" s="70">
        <f>'RESUMEN TOTAL'!AD244</f>
        <v>0</v>
      </c>
      <c r="X192" s="70">
        <f>'RESUMEN TOTAL'!AE244</f>
        <v>0</v>
      </c>
      <c r="Y192" s="70">
        <f>'RESUMEN TOTAL'!AF244</f>
        <v>0</v>
      </c>
      <c r="Z192" s="70">
        <f>'RESUMEN TOTAL'!AG244</f>
        <v>0</v>
      </c>
      <c r="AA192" s="70">
        <f>'RESUMEN TOTAL'!AH244</f>
        <v>0</v>
      </c>
      <c r="AB192" s="70">
        <f>'RESUMEN TOTAL'!AI244</f>
        <v>0</v>
      </c>
      <c r="AC192" s="70">
        <f>'RESUMEN TOTAL'!AJ244</f>
        <v>0</v>
      </c>
      <c r="AD192" s="70">
        <f>'RESUMEN TOTAL'!AK244</f>
        <v>0</v>
      </c>
      <c r="AE192" s="70">
        <f>'RESUMEN TOTAL'!AL244</f>
        <v>0</v>
      </c>
      <c r="AF192" s="70">
        <f>'RESUMEN TOTAL'!AM244</f>
        <v>0</v>
      </c>
      <c r="AG192" s="70">
        <f>'RESUMEN TOTAL'!AN244</f>
        <v>0</v>
      </c>
      <c r="AH192" s="70">
        <f>'RESUMEN TOTAL'!AO244</f>
        <v>0</v>
      </c>
      <c r="AI192" s="70">
        <f>'RESUMEN TOTAL'!AP244</f>
        <v>0</v>
      </c>
      <c r="AJ192" s="70">
        <f>'RESUMEN TOTAL'!AQ244</f>
        <v>0</v>
      </c>
    </row>
    <row r="193" spans="1:36" x14ac:dyDescent="0.25">
      <c r="A193" t="str">
        <f>'RESUMEN TOTAL'!A245</f>
        <v>LOPEZ ROMERO</v>
      </c>
      <c r="B193" t="str">
        <f>'RESUMEN TOTAL'!B245</f>
        <v>LRO15</v>
      </c>
      <c r="C193" t="str">
        <f>'RESUMEN TOTAL'!D245</f>
        <v>BRAILE Y FINOCCHIETTO</v>
      </c>
      <c r="D193" s="30" t="str">
        <f>'RESUMEN TOTAL'!E245</f>
        <v>DOMO</v>
      </c>
      <c r="E193" s="30" t="str">
        <f>'RESUMEN TOTAL'!F245</f>
        <v>Fibra Optica</v>
      </c>
      <c r="F193" s="70">
        <f>'RESUMEN TOTAL'!M245</f>
        <v>0</v>
      </c>
      <c r="G193" s="70">
        <f>'RESUMEN TOTAL'!N245</f>
        <v>0</v>
      </c>
      <c r="H193" s="70">
        <f>'RESUMEN TOTAL'!O245</f>
        <v>0</v>
      </c>
      <c r="I193" s="70">
        <f>'RESUMEN TOTAL'!P245</f>
        <v>0</v>
      </c>
      <c r="J193" s="70">
        <f>'RESUMEN TOTAL'!Q245</f>
        <v>0</v>
      </c>
      <c r="K193" s="70">
        <f>'RESUMEN TOTAL'!R245</f>
        <v>0</v>
      </c>
      <c r="L193" s="70">
        <f>'RESUMEN TOTAL'!S245</f>
        <v>0</v>
      </c>
      <c r="M193" s="70">
        <f>'RESUMEN TOTAL'!T245</f>
        <v>0</v>
      </c>
      <c r="N193" s="70">
        <f>'RESUMEN TOTAL'!U245</f>
        <v>0</v>
      </c>
      <c r="O193" s="70">
        <f>'RESUMEN TOTAL'!V245</f>
        <v>0</v>
      </c>
      <c r="P193" s="70">
        <f>'RESUMEN TOTAL'!W245</f>
        <v>0</v>
      </c>
      <c r="Q193" s="70">
        <f>'RESUMEN TOTAL'!X245</f>
        <v>0</v>
      </c>
      <c r="R193" s="70">
        <f>'RESUMEN TOTAL'!Y245</f>
        <v>0</v>
      </c>
      <c r="S193" s="70">
        <f>'RESUMEN TOTAL'!Z245</f>
        <v>0</v>
      </c>
      <c r="T193" s="70">
        <f>'RESUMEN TOTAL'!AA245</f>
        <v>0</v>
      </c>
      <c r="U193" s="70">
        <f>'RESUMEN TOTAL'!AB245</f>
        <v>0</v>
      </c>
      <c r="V193" s="70">
        <f>'RESUMEN TOTAL'!AC245</f>
        <v>0</v>
      </c>
      <c r="W193" s="70">
        <f>'RESUMEN TOTAL'!AD245</f>
        <v>0</v>
      </c>
      <c r="X193" s="70">
        <f>'RESUMEN TOTAL'!AE245</f>
        <v>0</v>
      </c>
      <c r="Y193" s="70">
        <f>'RESUMEN TOTAL'!AF245</f>
        <v>0</v>
      </c>
      <c r="Z193" s="70">
        <f>'RESUMEN TOTAL'!AG245</f>
        <v>0</v>
      </c>
      <c r="AA193" s="70">
        <f>'RESUMEN TOTAL'!AH245</f>
        <v>0</v>
      </c>
      <c r="AB193" s="70">
        <f>'RESUMEN TOTAL'!AI245</f>
        <v>0</v>
      </c>
      <c r="AC193" s="70">
        <f>'RESUMEN TOTAL'!AJ245</f>
        <v>0</v>
      </c>
      <c r="AD193" s="70">
        <f>'RESUMEN TOTAL'!AK245</f>
        <v>0</v>
      </c>
      <c r="AE193" s="70">
        <f>'RESUMEN TOTAL'!AL245</f>
        <v>0</v>
      </c>
      <c r="AF193" s="70">
        <f>'RESUMEN TOTAL'!AM245</f>
        <v>0</v>
      </c>
      <c r="AG193" s="70">
        <f>'RESUMEN TOTAL'!AN245</f>
        <v>0</v>
      </c>
      <c r="AH193" s="70">
        <f>'RESUMEN TOTAL'!AO245</f>
        <v>0</v>
      </c>
      <c r="AI193" s="70">
        <f>'RESUMEN TOTAL'!AP245</f>
        <v>0</v>
      </c>
      <c r="AJ193" s="70">
        <f>'RESUMEN TOTAL'!AQ245</f>
        <v>0</v>
      </c>
    </row>
    <row r="194" spans="1:36" x14ac:dyDescent="0.25">
      <c r="A194" t="str">
        <f>'RESUMEN TOTAL'!A246</f>
        <v>LUJAN</v>
      </c>
      <c r="B194" t="str">
        <f>'RESUMEN TOTAL'!B246</f>
        <v>LUJ 01</v>
      </c>
      <c r="C194" t="str">
        <f>'RESUMEN TOTAL'!D246</f>
        <v>ñandu y Los Pinos</v>
      </c>
      <c r="D194" s="30" t="str">
        <f>'RESUMEN TOTAL'!E246</f>
        <v>Domo</v>
      </c>
      <c r="E194" s="30" t="str">
        <f>'RESUMEN TOTAL'!F246</f>
        <v>GPON</v>
      </c>
      <c r="F194" s="70" t="str">
        <f>'RESUMEN TOTAL'!M246</f>
        <v>APAGADO</v>
      </c>
      <c r="G194" s="70" t="str">
        <f>'RESUMEN TOTAL'!N246</f>
        <v>APAGADO</v>
      </c>
      <c r="H194" s="70" t="str">
        <f>'RESUMEN TOTAL'!O246</f>
        <v>APAGADO</v>
      </c>
      <c r="I194" s="70" t="str">
        <f>'RESUMEN TOTAL'!P246</f>
        <v>APAGADO</v>
      </c>
      <c r="J194" s="70" t="str">
        <f>'RESUMEN TOTAL'!Q246</f>
        <v>APAGADO</v>
      </c>
      <c r="K194" s="70">
        <f>'RESUMEN TOTAL'!R246</f>
        <v>0</v>
      </c>
      <c r="L194" s="70">
        <f>'RESUMEN TOTAL'!S246</f>
        <v>0</v>
      </c>
      <c r="M194" s="70">
        <f>'RESUMEN TOTAL'!T246</f>
        <v>0</v>
      </c>
      <c r="N194" s="70">
        <f>'RESUMEN TOTAL'!U246</f>
        <v>0</v>
      </c>
      <c r="O194" s="70">
        <f>'RESUMEN TOTAL'!V246</f>
        <v>0</v>
      </c>
      <c r="P194" s="70">
        <f>'RESUMEN TOTAL'!W246</f>
        <v>0</v>
      </c>
      <c r="Q194" s="70">
        <f>'RESUMEN TOTAL'!X246</f>
        <v>0</v>
      </c>
      <c r="R194" s="70">
        <f>'RESUMEN TOTAL'!Y246</f>
        <v>0</v>
      </c>
      <c r="S194" s="70">
        <f>'RESUMEN TOTAL'!Z246</f>
        <v>0</v>
      </c>
      <c r="T194" s="70">
        <f>'RESUMEN TOTAL'!AA246</f>
        <v>0</v>
      </c>
      <c r="U194" s="70">
        <f>'RESUMEN TOTAL'!AB246</f>
        <v>0</v>
      </c>
      <c r="V194" s="70">
        <f>'RESUMEN TOTAL'!AC246</f>
        <v>0</v>
      </c>
      <c r="W194" s="70">
        <f>'RESUMEN TOTAL'!AD246</f>
        <v>0</v>
      </c>
      <c r="X194" s="70">
        <f>'RESUMEN TOTAL'!AE246</f>
        <v>0</v>
      </c>
      <c r="Y194" s="70">
        <f>'RESUMEN TOTAL'!AF246</f>
        <v>0</v>
      </c>
      <c r="Z194" s="70">
        <f>'RESUMEN TOTAL'!AG246</f>
        <v>0</v>
      </c>
      <c r="AA194" s="70">
        <f>'RESUMEN TOTAL'!AH246</f>
        <v>0</v>
      </c>
      <c r="AB194" s="70">
        <f>'RESUMEN TOTAL'!AI246</f>
        <v>0</v>
      </c>
      <c r="AC194" s="70">
        <f>'RESUMEN TOTAL'!AJ246</f>
        <v>0</v>
      </c>
      <c r="AD194" s="70">
        <f>'RESUMEN TOTAL'!AK246</f>
        <v>0</v>
      </c>
      <c r="AE194" s="70">
        <f>'RESUMEN TOTAL'!AL246</f>
        <v>0</v>
      </c>
      <c r="AF194" s="70">
        <f>'RESUMEN TOTAL'!AM246</f>
        <v>0</v>
      </c>
      <c r="AG194" s="70">
        <f>'RESUMEN TOTAL'!AN246</f>
        <v>0</v>
      </c>
      <c r="AH194" s="70">
        <f>'RESUMEN TOTAL'!AO246</f>
        <v>0</v>
      </c>
      <c r="AI194" s="70">
        <f>'RESUMEN TOTAL'!AP246</f>
        <v>0</v>
      </c>
      <c r="AJ194" s="70">
        <f>'RESUMEN TOTAL'!AQ246</f>
        <v>0</v>
      </c>
    </row>
    <row r="195" spans="1:36" x14ac:dyDescent="0.25">
      <c r="A195" t="str">
        <f>'RESUMEN TOTAL'!A247</f>
        <v>VILLA ARGENTINA</v>
      </c>
      <c r="B195" t="str">
        <f>'RESUMEN TOTAL'!B247</f>
        <v>LUJ 02</v>
      </c>
      <c r="C195" t="str">
        <f>'RESUMEN TOTAL'!D247</f>
        <v>DIAG. LOS TILOS Y 527</v>
      </c>
      <c r="D195" s="30" t="str">
        <f>'RESUMEN TOTAL'!E247</f>
        <v>DOMO</v>
      </c>
      <c r="E195" s="30" t="str">
        <f>'RESUMEN TOTAL'!F247</f>
        <v>PTO A FO</v>
      </c>
      <c r="F195" s="70" t="str">
        <f>'RESUMEN TOTAL'!M247</f>
        <v>APAGADO</v>
      </c>
      <c r="G195" s="70">
        <f>'RESUMEN TOTAL'!N247</f>
        <v>0</v>
      </c>
      <c r="H195" s="70">
        <f>'RESUMEN TOTAL'!O247</f>
        <v>0</v>
      </c>
      <c r="I195" s="70">
        <f>'RESUMEN TOTAL'!P247</f>
        <v>0</v>
      </c>
      <c r="J195" s="70">
        <f>'RESUMEN TOTAL'!Q247</f>
        <v>0</v>
      </c>
      <c r="K195" s="70">
        <f>'RESUMEN TOTAL'!R247</f>
        <v>0</v>
      </c>
      <c r="L195" s="70">
        <f>'RESUMEN TOTAL'!S247</f>
        <v>0</v>
      </c>
      <c r="M195" s="70">
        <f>'RESUMEN TOTAL'!T247</f>
        <v>0</v>
      </c>
      <c r="N195" s="70">
        <f>'RESUMEN TOTAL'!U247</f>
        <v>0</v>
      </c>
      <c r="O195" s="70">
        <f>'RESUMEN TOTAL'!V247</f>
        <v>0</v>
      </c>
      <c r="P195" s="70">
        <f>'RESUMEN TOTAL'!W247</f>
        <v>0</v>
      </c>
      <c r="Q195" s="70">
        <f>'RESUMEN TOTAL'!X247</f>
        <v>0</v>
      </c>
      <c r="R195" s="70">
        <f>'RESUMEN TOTAL'!Y247</f>
        <v>0</v>
      </c>
      <c r="S195" s="70">
        <f>'RESUMEN TOTAL'!Z247</f>
        <v>0</v>
      </c>
      <c r="T195" s="70">
        <f>'RESUMEN TOTAL'!AA247</f>
        <v>0</v>
      </c>
      <c r="U195" s="70">
        <f>'RESUMEN TOTAL'!AB247</f>
        <v>0</v>
      </c>
      <c r="V195" s="70">
        <f>'RESUMEN TOTAL'!AC247</f>
        <v>0</v>
      </c>
      <c r="W195" s="70">
        <f>'RESUMEN TOTAL'!AD247</f>
        <v>0</v>
      </c>
      <c r="X195" s="70">
        <f>'RESUMEN TOTAL'!AE247</f>
        <v>0</v>
      </c>
      <c r="Y195" s="70">
        <f>'RESUMEN TOTAL'!AF247</f>
        <v>0</v>
      </c>
      <c r="Z195" s="70">
        <f>'RESUMEN TOTAL'!AG247</f>
        <v>0</v>
      </c>
      <c r="AA195" s="70">
        <f>'RESUMEN TOTAL'!AH247</f>
        <v>0</v>
      </c>
      <c r="AB195" s="70">
        <f>'RESUMEN TOTAL'!AI247</f>
        <v>0</v>
      </c>
      <c r="AC195" s="70">
        <f>'RESUMEN TOTAL'!AJ247</f>
        <v>0</v>
      </c>
      <c r="AD195" s="70">
        <f>'RESUMEN TOTAL'!AK247</f>
        <v>0</v>
      </c>
      <c r="AE195" s="70">
        <f>'RESUMEN TOTAL'!AL247</f>
        <v>0</v>
      </c>
      <c r="AF195" s="70">
        <f>'RESUMEN TOTAL'!AM247</f>
        <v>0</v>
      </c>
      <c r="AG195" s="70">
        <f>'RESUMEN TOTAL'!AN247</f>
        <v>0</v>
      </c>
      <c r="AH195" s="70">
        <f>'RESUMEN TOTAL'!AO247</f>
        <v>0</v>
      </c>
      <c r="AI195" s="70">
        <f>'RESUMEN TOTAL'!AP247</f>
        <v>0</v>
      </c>
      <c r="AJ195" s="70">
        <f>'RESUMEN TOTAL'!AQ247</f>
        <v>0</v>
      </c>
    </row>
    <row r="196" spans="1:36" x14ac:dyDescent="0.25">
      <c r="A196" t="str">
        <f>'RESUMEN TOTAL'!A248</f>
        <v>LUJAN</v>
      </c>
      <c r="B196" t="str">
        <f>'RESUMEN TOTAL'!B248</f>
        <v>LUJ03</v>
      </c>
      <c r="C196" t="str">
        <f>'RESUMEN TOTAL'!D248</f>
        <v>LOS PINOS Y LOS TILOS</v>
      </c>
      <c r="D196" s="30" t="str">
        <f>'RESUMEN TOTAL'!E248</f>
        <v>DOMO</v>
      </c>
      <c r="E196" s="30" t="str">
        <f>'RESUMEN TOTAL'!F248</f>
        <v>Fibra Optica</v>
      </c>
      <c r="F196" s="70">
        <f>'RESUMEN TOTAL'!M248</f>
        <v>0</v>
      </c>
      <c r="G196" s="70">
        <f>'RESUMEN TOTAL'!N248</f>
        <v>0</v>
      </c>
      <c r="H196" s="70">
        <f>'RESUMEN TOTAL'!O248</f>
        <v>0</v>
      </c>
      <c r="I196" s="70">
        <f>'RESUMEN TOTAL'!P248</f>
        <v>0</v>
      </c>
      <c r="J196" s="70">
        <f>'RESUMEN TOTAL'!Q248</f>
        <v>0</v>
      </c>
      <c r="K196" s="70">
        <f>'RESUMEN TOTAL'!R248</f>
        <v>0</v>
      </c>
      <c r="L196" s="70">
        <f>'RESUMEN TOTAL'!S248</f>
        <v>0</v>
      </c>
      <c r="M196" s="70">
        <f>'RESUMEN TOTAL'!T248</f>
        <v>0</v>
      </c>
      <c r="N196" s="70">
        <f>'RESUMEN TOTAL'!U248</f>
        <v>0</v>
      </c>
      <c r="O196" s="70">
        <f>'RESUMEN TOTAL'!V248</f>
        <v>0</v>
      </c>
      <c r="P196" s="70">
        <f>'RESUMEN TOTAL'!W248</f>
        <v>0</v>
      </c>
      <c r="Q196" s="70">
        <f>'RESUMEN TOTAL'!X248</f>
        <v>0</v>
      </c>
      <c r="R196" s="70">
        <f>'RESUMEN TOTAL'!Y248</f>
        <v>0</v>
      </c>
      <c r="S196" s="70">
        <f>'RESUMEN TOTAL'!Z248</f>
        <v>0</v>
      </c>
      <c r="T196" s="70">
        <f>'RESUMEN TOTAL'!AA248</f>
        <v>0</v>
      </c>
      <c r="U196" s="70">
        <f>'RESUMEN TOTAL'!AB248</f>
        <v>0</v>
      </c>
      <c r="V196" s="70">
        <f>'RESUMEN TOTAL'!AC248</f>
        <v>0</v>
      </c>
      <c r="W196" s="70">
        <f>'RESUMEN TOTAL'!AD248</f>
        <v>0</v>
      </c>
      <c r="X196" s="70">
        <f>'RESUMEN TOTAL'!AE248</f>
        <v>0</v>
      </c>
      <c r="Y196" s="70">
        <f>'RESUMEN TOTAL'!AF248</f>
        <v>0</v>
      </c>
      <c r="Z196" s="70">
        <f>'RESUMEN TOTAL'!AG248</f>
        <v>0</v>
      </c>
      <c r="AA196" s="70">
        <f>'RESUMEN TOTAL'!AH248</f>
        <v>0</v>
      </c>
      <c r="AB196" s="70">
        <f>'RESUMEN TOTAL'!AI248</f>
        <v>0</v>
      </c>
      <c r="AC196" s="70">
        <f>'RESUMEN TOTAL'!AJ248</f>
        <v>0</v>
      </c>
      <c r="AD196" s="70">
        <f>'RESUMEN TOTAL'!AK248</f>
        <v>0</v>
      </c>
      <c r="AE196" s="70">
        <f>'RESUMEN TOTAL'!AL248</f>
        <v>0</v>
      </c>
      <c r="AF196" s="70">
        <f>'RESUMEN TOTAL'!AM248</f>
        <v>0</v>
      </c>
      <c r="AG196" s="70">
        <f>'RESUMEN TOTAL'!AN248</f>
        <v>0</v>
      </c>
      <c r="AH196" s="70">
        <f>'RESUMEN TOTAL'!AO248</f>
        <v>0</v>
      </c>
      <c r="AI196" s="70">
        <f>'RESUMEN TOTAL'!AP248</f>
        <v>0</v>
      </c>
      <c r="AJ196" s="70">
        <f>'RESUMEN TOTAL'!AQ248</f>
        <v>0</v>
      </c>
    </row>
    <row r="197" spans="1:36" x14ac:dyDescent="0.25">
      <c r="A197" t="str">
        <f>'RESUMEN TOTAL'!A249</f>
        <v>PRESIDENTE PERON (PEPSI)</v>
      </c>
      <c r="B197" t="str">
        <f>'RESUMEN TOTAL'!B249</f>
        <v>MAR 01</v>
      </c>
      <c r="C197" t="str">
        <f>'RESUMEN TOTAL'!D249</f>
        <v>RP36 Y LA ESMERALDA</v>
      </c>
      <c r="D197" s="30" t="str">
        <f>'RESUMEN TOTAL'!E249</f>
        <v>DOMO</v>
      </c>
      <c r="E197" s="30" t="str">
        <f>'RESUMEN TOTAL'!F249</f>
        <v>PTO A FO</v>
      </c>
      <c r="F197" s="70">
        <f>'RESUMEN TOTAL'!M249</f>
        <v>0</v>
      </c>
      <c r="G197" s="70">
        <f>'RESUMEN TOTAL'!N249</f>
        <v>0</v>
      </c>
      <c r="H197" s="70">
        <f>'RESUMEN TOTAL'!O249</f>
        <v>0</v>
      </c>
      <c r="I197" s="70">
        <f>'RESUMEN TOTAL'!P249</f>
        <v>0</v>
      </c>
      <c r="J197" s="70">
        <f>'RESUMEN TOTAL'!Q249</f>
        <v>0</v>
      </c>
      <c r="K197" s="70">
        <f>'RESUMEN TOTAL'!R249</f>
        <v>0</v>
      </c>
      <c r="L197" s="70">
        <f>'RESUMEN TOTAL'!S249</f>
        <v>0</v>
      </c>
      <c r="M197" s="70">
        <f>'RESUMEN TOTAL'!T249</f>
        <v>0</v>
      </c>
      <c r="N197" s="70">
        <f>'RESUMEN TOTAL'!U249</f>
        <v>0</v>
      </c>
      <c r="O197" s="70">
        <f>'RESUMEN TOTAL'!V249</f>
        <v>0</v>
      </c>
      <c r="P197" s="70">
        <f>'RESUMEN TOTAL'!W249</f>
        <v>0</v>
      </c>
      <c r="Q197" s="70">
        <f>'RESUMEN TOTAL'!X249</f>
        <v>0</v>
      </c>
      <c r="R197" s="70">
        <f>'RESUMEN TOTAL'!Y249</f>
        <v>0</v>
      </c>
      <c r="S197" s="70">
        <f>'RESUMEN TOTAL'!Z249</f>
        <v>0</v>
      </c>
      <c r="T197" s="70">
        <f>'RESUMEN TOTAL'!AA249</f>
        <v>0</v>
      </c>
      <c r="U197" s="70">
        <f>'RESUMEN TOTAL'!AB249</f>
        <v>0</v>
      </c>
      <c r="V197" s="70">
        <f>'RESUMEN TOTAL'!AC249</f>
        <v>0</v>
      </c>
      <c r="W197" s="70">
        <f>'RESUMEN TOTAL'!AD249</f>
        <v>0</v>
      </c>
      <c r="X197" s="70">
        <f>'RESUMEN TOTAL'!AE249</f>
        <v>0</v>
      </c>
      <c r="Y197" s="70">
        <f>'RESUMEN TOTAL'!AF249</f>
        <v>0</v>
      </c>
      <c r="Z197" s="70">
        <f>'RESUMEN TOTAL'!AG249</f>
        <v>0</v>
      </c>
      <c r="AA197" s="70">
        <f>'RESUMEN TOTAL'!AH249</f>
        <v>0</v>
      </c>
      <c r="AB197" s="70">
        <f>'RESUMEN TOTAL'!AI249</f>
        <v>0</v>
      </c>
      <c r="AC197" s="70">
        <f>'RESUMEN TOTAL'!AJ249</f>
        <v>0</v>
      </c>
      <c r="AD197" s="70">
        <f>'RESUMEN TOTAL'!AK249</f>
        <v>0</v>
      </c>
      <c r="AE197" s="70">
        <f>'RESUMEN TOTAL'!AL249</f>
        <v>0</v>
      </c>
      <c r="AF197" s="70">
        <f>'RESUMEN TOTAL'!AM249</f>
        <v>0</v>
      </c>
      <c r="AG197" s="70">
        <f>'RESUMEN TOTAL'!AN249</f>
        <v>0</v>
      </c>
      <c r="AH197" s="70">
        <f>'RESUMEN TOTAL'!AO249</f>
        <v>0</v>
      </c>
      <c r="AI197" s="70">
        <f>'RESUMEN TOTAL'!AP249</f>
        <v>0</v>
      </c>
      <c r="AJ197" s="70">
        <f>'RESUMEN TOTAL'!AQ249</f>
        <v>0</v>
      </c>
    </row>
    <row r="198" spans="1:36" x14ac:dyDescent="0.25">
      <c r="A198" t="str">
        <f>'RESUMEN TOTAL'!A250</f>
        <v>RICARDO ROJAS</v>
      </c>
      <c r="B198" t="str">
        <f>'RESUMEN TOTAL'!B250</f>
        <v>MAR 02 (FIJA1)</v>
      </c>
      <c r="C198" t="str">
        <f>'RESUMEN TOTAL'!D250</f>
        <v>LUJAN Y PATAGONES</v>
      </c>
      <c r="D198" s="30" t="str">
        <f>'RESUMEN TOTAL'!E250</f>
        <v>Fija</v>
      </c>
      <c r="E198" s="30" t="str">
        <f>'RESUMEN TOTAL'!F250</f>
        <v>Fibra Optica</v>
      </c>
      <c r="F198" s="70">
        <f>'RESUMEN TOTAL'!M250</f>
        <v>0</v>
      </c>
      <c r="G198" s="70">
        <f>'RESUMEN TOTAL'!N250</f>
        <v>0</v>
      </c>
      <c r="H198" s="70">
        <f>'RESUMEN TOTAL'!O250</f>
        <v>0</v>
      </c>
      <c r="I198" s="70">
        <f>'RESUMEN TOTAL'!P250</f>
        <v>0</v>
      </c>
      <c r="J198" s="70">
        <f>'RESUMEN TOTAL'!Q250</f>
        <v>0</v>
      </c>
      <c r="K198" s="70">
        <f>'RESUMEN TOTAL'!R250</f>
        <v>0</v>
      </c>
      <c r="L198" s="70">
        <f>'RESUMEN TOTAL'!S250</f>
        <v>0</v>
      </c>
      <c r="M198" s="70">
        <f>'RESUMEN TOTAL'!T250</f>
        <v>0</v>
      </c>
      <c r="N198" s="70">
        <f>'RESUMEN TOTAL'!U250</f>
        <v>0</v>
      </c>
      <c r="O198" s="70">
        <f>'RESUMEN TOTAL'!V250</f>
        <v>0</v>
      </c>
      <c r="P198" s="70">
        <f>'RESUMEN TOTAL'!W250</f>
        <v>0</v>
      </c>
      <c r="Q198" s="70">
        <f>'RESUMEN TOTAL'!X250</f>
        <v>0</v>
      </c>
      <c r="R198" s="70">
        <f>'RESUMEN TOTAL'!Y250</f>
        <v>0</v>
      </c>
      <c r="S198" s="70">
        <f>'RESUMEN TOTAL'!Z250</f>
        <v>0</v>
      </c>
      <c r="T198" s="70">
        <f>'RESUMEN TOTAL'!AA250</f>
        <v>0</v>
      </c>
      <c r="U198" s="70">
        <f>'RESUMEN TOTAL'!AB250</f>
        <v>0</v>
      </c>
      <c r="V198" s="70">
        <f>'RESUMEN TOTAL'!AC250</f>
        <v>0</v>
      </c>
      <c r="W198" s="70">
        <f>'RESUMEN TOTAL'!AD250</f>
        <v>0</v>
      </c>
      <c r="X198" s="70">
        <f>'RESUMEN TOTAL'!AE250</f>
        <v>0</v>
      </c>
      <c r="Y198" s="70">
        <f>'RESUMEN TOTAL'!AF250</f>
        <v>0</v>
      </c>
      <c r="Z198" s="70">
        <f>'RESUMEN TOTAL'!AG250</f>
        <v>0</v>
      </c>
      <c r="AA198" s="70">
        <f>'RESUMEN TOTAL'!AH250</f>
        <v>0</v>
      </c>
      <c r="AB198" s="70">
        <f>'RESUMEN TOTAL'!AI250</f>
        <v>0</v>
      </c>
      <c r="AC198" s="70">
        <f>'RESUMEN TOTAL'!AJ250</f>
        <v>0</v>
      </c>
      <c r="AD198" s="70">
        <f>'RESUMEN TOTAL'!AK250</f>
        <v>0</v>
      </c>
      <c r="AE198" s="70">
        <f>'RESUMEN TOTAL'!AL250</f>
        <v>0</v>
      </c>
      <c r="AF198" s="70">
        <f>'RESUMEN TOTAL'!AM250</f>
        <v>0</v>
      </c>
      <c r="AG198" s="70">
        <f>'RESUMEN TOTAL'!AN250</f>
        <v>0</v>
      </c>
      <c r="AH198" s="70">
        <f>'RESUMEN TOTAL'!AO250</f>
        <v>0</v>
      </c>
      <c r="AI198" s="70">
        <f>'RESUMEN TOTAL'!AP250</f>
        <v>0</v>
      </c>
      <c r="AJ198" s="70">
        <f>'RESUMEN TOTAL'!AQ250</f>
        <v>0</v>
      </c>
    </row>
    <row r="199" spans="1:36" x14ac:dyDescent="0.25">
      <c r="A199" t="str">
        <f>'RESUMEN TOTAL'!A251</f>
        <v>LAS MARGARITAS</v>
      </c>
      <c r="B199" t="str">
        <f>'RESUMEN TOTAL'!B251</f>
        <v>MAR 03(FIJA 2)</v>
      </c>
      <c r="C199" t="str">
        <f>'RESUMEN TOTAL'!D251</f>
        <v>LUJAN Y PATAGONES</v>
      </c>
      <c r="D199" s="30" t="str">
        <f>'RESUMEN TOTAL'!E251</f>
        <v>Fija</v>
      </c>
      <c r="E199" s="30" t="str">
        <f>'RESUMEN TOTAL'!F251</f>
        <v>Fibra Optica</v>
      </c>
      <c r="F199" s="70">
        <f>'RESUMEN TOTAL'!M251</f>
        <v>0</v>
      </c>
      <c r="G199" s="70">
        <f>'RESUMEN TOTAL'!N251</f>
        <v>0</v>
      </c>
      <c r="H199" s="70">
        <f>'RESUMEN TOTAL'!O251</f>
        <v>0</v>
      </c>
      <c r="I199" s="70">
        <f>'RESUMEN TOTAL'!P251</f>
        <v>0</v>
      </c>
      <c r="J199" s="70">
        <f>'RESUMEN TOTAL'!Q251</f>
        <v>0</v>
      </c>
      <c r="K199" s="70">
        <f>'RESUMEN TOTAL'!R251</f>
        <v>0</v>
      </c>
      <c r="L199" s="70">
        <f>'RESUMEN TOTAL'!S251</f>
        <v>0</v>
      </c>
      <c r="M199" s="70">
        <f>'RESUMEN TOTAL'!T251</f>
        <v>0</v>
      </c>
      <c r="N199" s="70">
        <f>'RESUMEN TOTAL'!U251</f>
        <v>0</v>
      </c>
      <c r="O199" s="70">
        <f>'RESUMEN TOTAL'!V251</f>
        <v>0</v>
      </c>
      <c r="P199" s="70">
        <f>'RESUMEN TOTAL'!W251</f>
        <v>0</v>
      </c>
      <c r="Q199" s="70">
        <f>'RESUMEN TOTAL'!X251</f>
        <v>0</v>
      </c>
      <c r="R199" s="70">
        <f>'RESUMEN TOTAL'!Y251</f>
        <v>0</v>
      </c>
      <c r="S199" s="70">
        <f>'RESUMEN TOTAL'!Z251</f>
        <v>0</v>
      </c>
      <c r="T199" s="70">
        <f>'RESUMEN TOTAL'!AA251</f>
        <v>0</v>
      </c>
      <c r="U199" s="70">
        <f>'RESUMEN TOTAL'!AB251</f>
        <v>0</v>
      </c>
      <c r="V199" s="70">
        <f>'RESUMEN TOTAL'!AC251</f>
        <v>0</v>
      </c>
      <c r="W199" s="70">
        <f>'RESUMEN TOTAL'!AD251</f>
        <v>0</v>
      </c>
      <c r="X199" s="70">
        <f>'RESUMEN TOTAL'!AE251</f>
        <v>0</v>
      </c>
      <c r="Y199" s="70">
        <f>'RESUMEN TOTAL'!AF251</f>
        <v>0</v>
      </c>
      <c r="Z199" s="70">
        <f>'RESUMEN TOTAL'!AG251</f>
        <v>0</v>
      </c>
      <c r="AA199" s="70">
        <f>'RESUMEN TOTAL'!AH251</f>
        <v>0</v>
      </c>
      <c r="AB199" s="70">
        <f>'RESUMEN TOTAL'!AI251</f>
        <v>0</v>
      </c>
      <c r="AC199" s="70">
        <f>'RESUMEN TOTAL'!AJ251</f>
        <v>0</v>
      </c>
      <c r="AD199" s="70">
        <f>'RESUMEN TOTAL'!AK251</f>
        <v>0</v>
      </c>
      <c r="AE199" s="70">
        <f>'RESUMEN TOTAL'!AL251</f>
        <v>0</v>
      </c>
      <c r="AF199" s="70">
        <f>'RESUMEN TOTAL'!AM251</f>
        <v>0</v>
      </c>
      <c r="AG199" s="70">
        <f>'RESUMEN TOTAL'!AN251</f>
        <v>0</v>
      </c>
      <c r="AH199" s="70">
        <f>'RESUMEN TOTAL'!AO251</f>
        <v>0</v>
      </c>
      <c r="AI199" s="70">
        <f>'RESUMEN TOTAL'!AP251</f>
        <v>0</v>
      </c>
      <c r="AJ199" s="70">
        <f>'RESUMEN TOTAL'!AQ251</f>
        <v>0</v>
      </c>
    </row>
    <row r="200" spans="1:36" x14ac:dyDescent="0.25">
      <c r="A200" t="str">
        <f>'RESUMEN TOTAL'!A252</f>
        <v>MAYOL</v>
      </c>
      <c r="B200" t="str">
        <f>'RESUMEN TOTAL'!B252</f>
        <v>MAY 01</v>
      </c>
      <c r="C200" t="str">
        <f>'RESUMEN TOTAL'!D252</f>
        <v>Eva Peron y Cabildo</v>
      </c>
      <c r="D200" s="30" t="str">
        <f>'RESUMEN TOTAL'!E252</f>
        <v>Domo</v>
      </c>
      <c r="E200" s="30" t="str">
        <f>'RESUMEN TOTAL'!F252</f>
        <v>GPON</v>
      </c>
      <c r="F200" s="70">
        <f>'RESUMEN TOTAL'!M252</f>
        <v>0</v>
      </c>
      <c r="G200" s="70">
        <f>'RESUMEN TOTAL'!N252</f>
        <v>0</v>
      </c>
      <c r="H200" s="70">
        <f>'RESUMEN TOTAL'!O252</f>
        <v>0</v>
      </c>
      <c r="I200" s="70">
        <f>'RESUMEN TOTAL'!P252</f>
        <v>0</v>
      </c>
      <c r="J200" s="70">
        <f>'RESUMEN TOTAL'!Q252</f>
        <v>0</v>
      </c>
      <c r="K200" s="70">
        <f>'RESUMEN TOTAL'!R252</f>
        <v>0</v>
      </c>
      <c r="L200" s="70">
        <f>'RESUMEN TOTAL'!S252</f>
        <v>0</v>
      </c>
      <c r="M200" s="70">
        <f>'RESUMEN TOTAL'!T252</f>
        <v>0</v>
      </c>
      <c r="N200" s="70">
        <f>'RESUMEN TOTAL'!U252</f>
        <v>0</v>
      </c>
      <c r="O200" s="70">
        <f>'RESUMEN TOTAL'!V252</f>
        <v>0</v>
      </c>
      <c r="P200" s="70">
        <f>'RESUMEN TOTAL'!W252</f>
        <v>0</v>
      </c>
      <c r="Q200" s="70">
        <f>'RESUMEN TOTAL'!X252</f>
        <v>0</v>
      </c>
      <c r="R200" s="70">
        <f>'RESUMEN TOTAL'!Y252</f>
        <v>0</v>
      </c>
      <c r="S200" s="70">
        <f>'RESUMEN TOTAL'!Z252</f>
        <v>0</v>
      </c>
      <c r="T200" s="70">
        <f>'RESUMEN TOTAL'!AA252</f>
        <v>0</v>
      </c>
      <c r="U200" s="70">
        <f>'RESUMEN TOTAL'!AB252</f>
        <v>0</v>
      </c>
      <c r="V200" s="70">
        <f>'RESUMEN TOTAL'!AC252</f>
        <v>0</v>
      </c>
      <c r="W200" s="70">
        <f>'RESUMEN TOTAL'!AD252</f>
        <v>0</v>
      </c>
      <c r="X200" s="70">
        <f>'RESUMEN TOTAL'!AE252</f>
        <v>0</v>
      </c>
      <c r="Y200" s="70">
        <f>'RESUMEN TOTAL'!AF252</f>
        <v>0</v>
      </c>
      <c r="Z200" s="70">
        <f>'RESUMEN TOTAL'!AG252</f>
        <v>0</v>
      </c>
      <c r="AA200" s="70">
        <f>'RESUMEN TOTAL'!AH252</f>
        <v>0</v>
      </c>
      <c r="AB200" s="70">
        <f>'RESUMEN TOTAL'!AI252</f>
        <v>0</v>
      </c>
      <c r="AC200" s="70">
        <f>'RESUMEN TOTAL'!AJ252</f>
        <v>0</v>
      </c>
      <c r="AD200" s="70">
        <f>'RESUMEN TOTAL'!AK252</f>
        <v>0</v>
      </c>
      <c r="AE200" s="70">
        <f>'RESUMEN TOTAL'!AL252</f>
        <v>0</v>
      </c>
      <c r="AF200" s="70">
        <f>'RESUMEN TOTAL'!AM252</f>
        <v>0</v>
      </c>
      <c r="AG200" s="70">
        <f>'RESUMEN TOTAL'!AN252</f>
        <v>0</v>
      </c>
      <c r="AH200" s="70">
        <f>'RESUMEN TOTAL'!AO252</f>
        <v>0</v>
      </c>
      <c r="AI200" s="70">
        <f>'RESUMEN TOTAL'!AP252</f>
        <v>0</v>
      </c>
      <c r="AJ200" s="70">
        <f>'RESUMEN TOTAL'!AQ252</f>
        <v>0</v>
      </c>
    </row>
    <row r="201" spans="1:36" x14ac:dyDescent="0.25">
      <c r="A201" t="str">
        <f>'RESUMEN TOTAL'!A253</f>
        <v>MAYOL</v>
      </c>
      <c r="B201" t="str">
        <f>'RESUMEN TOTAL'!B253</f>
        <v>MAY 02</v>
      </c>
      <c r="C201" t="str">
        <f>'RESUMEN TOTAL'!D253</f>
        <v>EVA PERON Y MONTEVIDEO</v>
      </c>
      <c r="D201" s="30" t="str">
        <f>'RESUMEN TOTAL'!E253</f>
        <v>Domo</v>
      </c>
      <c r="E201" s="30" t="str">
        <f>'RESUMEN TOTAL'!F253</f>
        <v>GPON</v>
      </c>
      <c r="F201" s="70">
        <f>'RESUMEN TOTAL'!M253</f>
        <v>0</v>
      </c>
      <c r="G201" s="70">
        <f>'RESUMEN TOTAL'!N253</f>
        <v>0</v>
      </c>
      <c r="H201" s="70">
        <f>'RESUMEN TOTAL'!O253</f>
        <v>0</v>
      </c>
      <c r="I201" s="70">
        <f>'RESUMEN TOTAL'!P253</f>
        <v>0</v>
      </c>
      <c r="J201" s="70">
        <f>'RESUMEN TOTAL'!Q253</f>
        <v>0</v>
      </c>
      <c r="K201" s="70">
        <f>'RESUMEN TOTAL'!R253</f>
        <v>0</v>
      </c>
      <c r="L201" s="70">
        <f>'RESUMEN TOTAL'!S253</f>
        <v>0</v>
      </c>
      <c r="M201" s="70">
        <f>'RESUMEN TOTAL'!T253</f>
        <v>0</v>
      </c>
      <c r="N201" s="70">
        <f>'RESUMEN TOTAL'!U253</f>
        <v>0</v>
      </c>
      <c r="O201" s="70">
        <f>'RESUMEN TOTAL'!V253</f>
        <v>0</v>
      </c>
      <c r="P201" s="70">
        <f>'RESUMEN TOTAL'!W253</f>
        <v>0</v>
      </c>
      <c r="Q201" s="70">
        <f>'RESUMEN TOTAL'!X253</f>
        <v>0</v>
      </c>
      <c r="R201" s="70">
        <f>'RESUMEN TOTAL'!Y253</f>
        <v>0</v>
      </c>
      <c r="S201" s="70">
        <f>'RESUMEN TOTAL'!Z253</f>
        <v>0</v>
      </c>
      <c r="T201" s="70">
        <f>'RESUMEN TOTAL'!AA253</f>
        <v>0</v>
      </c>
      <c r="U201" s="70">
        <f>'RESUMEN TOTAL'!AB253</f>
        <v>0</v>
      </c>
      <c r="V201" s="70">
        <f>'RESUMEN TOTAL'!AC253</f>
        <v>0</v>
      </c>
      <c r="W201" s="70">
        <f>'RESUMEN TOTAL'!AD253</f>
        <v>0</v>
      </c>
      <c r="X201" s="70">
        <f>'RESUMEN TOTAL'!AE253</f>
        <v>0</v>
      </c>
      <c r="Y201" s="70">
        <f>'RESUMEN TOTAL'!AF253</f>
        <v>0</v>
      </c>
      <c r="Z201" s="70">
        <f>'RESUMEN TOTAL'!AG253</f>
        <v>0</v>
      </c>
      <c r="AA201" s="70">
        <f>'RESUMEN TOTAL'!AH253</f>
        <v>0</v>
      </c>
      <c r="AB201" s="70">
        <f>'RESUMEN TOTAL'!AI253</f>
        <v>0</v>
      </c>
      <c r="AC201" s="70">
        <f>'RESUMEN TOTAL'!AJ253</f>
        <v>0</v>
      </c>
      <c r="AD201" s="70">
        <f>'RESUMEN TOTAL'!AK253</f>
        <v>0</v>
      </c>
      <c r="AE201" s="70">
        <f>'RESUMEN TOTAL'!AL253</f>
        <v>0</v>
      </c>
      <c r="AF201" s="70">
        <f>'RESUMEN TOTAL'!AM253</f>
        <v>0</v>
      </c>
      <c r="AG201" s="70">
        <f>'RESUMEN TOTAL'!AN253</f>
        <v>0</v>
      </c>
      <c r="AH201" s="70">
        <f>'RESUMEN TOTAL'!AO253</f>
        <v>0</v>
      </c>
      <c r="AI201" s="70">
        <f>'RESUMEN TOTAL'!AP253</f>
        <v>0</v>
      </c>
      <c r="AJ201" s="70">
        <f>'RESUMEN TOTAL'!AQ253</f>
        <v>0</v>
      </c>
    </row>
    <row r="202" spans="1:36" x14ac:dyDescent="0.25">
      <c r="A202" t="str">
        <f>'RESUMEN TOTAL'!A254</f>
        <v>MAYOL</v>
      </c>
      <c r="B202" t="str">
        <f>'RESUMEN TOTAL'!B254</f>
        <v>MAY 03</v>
      </c>
      <c r="C202" t="str">
        <f>'RESUMEN TOTAL'!D254</f>
        <v>CHAÑAR Y SAN NICOLAS</v>
      </c>
      <c r="D202" s="30" t="str">
        <f>'RESUMEN TOTAL'!E254</f>
        <v>DOMO</v>
      </c>
      <c r="E202" s="30" t="str">
        <f>'RESUMEN TOTAL'!F254</f>
        <v>PTO A FO</v>
      </c>
      <c r="F202" s="70">
        <f>'RESUMEN TOTAL'!M254</f>
        <v>0</v>
      </c>
      <c r="G202" s="70">
        <f>'RESUMEN TOTAL'!N254</f>
        <v>0</v>
      </c>
      <c r="H202" s="70">
        <f>'RESUMEN TOTAL'!O254</f>
        <v>0</v>
      </c>
      <c r="I202" s="70">
        <f>'RESUMEN TOTAL'!P254</f>
        <v>0</v>
      </c>
      <c r="J202" s="70">
        <f>'RESUMEN TOTAL'!Q254</f>
        <v>0</v>
      </c>
      <c r="K202" s="70">
        <f>'RESUMEN TOTAL'!R254</f>
        <v>0</v>
      </c>
      <c r="L202" s="70">
        <f>'RESUMEN TOTAL'!S254</f>
        <v>0</v>
      </c>
      <c r="M202" s="70">
        <f>'RESUMEN TOTAL'!T254</f>
        <v>0</v>
      </c>
      <c r="N202" s="70">
        <f>'RESUMEN TOTAL'!U254</f>
        <v>0</v>
      </c>
      <c r="O202" s="70">
        <f>'RESUMEN TOTAL'!V254</f>
        <v>0</v>
      </c>
      <c r="P202" s="70">
        <f>'RESUMEN TOTAL'!W254</f>
        <v>0</v>
      </c>
      <c r="Q202" s="70">
        <f>'RESUMEN TOTAL'!X254</f>
        <v>0</v>
      </c>
      <c r="R202" s="70">
        <f>'RESUMEN TOTAL'!Y254</f>
        <v>0</v>
      </c>
      <c r="S202" s="70">
        <f>'RESUMEN TOTAL'!Z254</f>
        <v>0</v>
      </c>
      <c r="T202" s="70">
        <f>'RESUMEN TOTAL'!AA254</f>
        <v>0</v>
      </c>
      <c r="U202" s="70">
        <f>'RESUMEN TOTAL'!AB254</f>
        <v>0</v>
      </c>
      <c r="V202" s="70">
        <f>'RESUMEN TOTAL'!AC254</f>
        <v>0</v>
      </c>
      <c r="W202" s="70">
        <f>'RESUMEN TOTAL'!AD254</f>
        <v>0</v>
      </c>
      <c r="X202" s="70">
        <f>'RESUMEN TOTAL'!AE254</f>
        <v>0</v>
      </c>
      <c r="Y202" s="70">
        <f>'RESUMEN TOTAL'!AF254</f>
        <v>0</v>
      </c>
      <c r="Z202" s="70">
        <f>'RESUMEN TOTAL'!AG254</f>
        <v>0</v>
      </c>
      <c r="AA202" s="70">
        <f>'RESUMEN TOTAL'!AH254</f>
        <v>0</v>
      </c>
      <c r="AB202" s="70">
        <f>'RESUMEN TOTAL'!AI254</f>
        <v>0</v>
      </c>
      <c r="AC202" s="70">
        <f>'RESUMEN TOTAL'!AJ254</f>
        <v>0</v>
      </c>
      <c r="AD202" s="70">
        <f>'RESUMEN TOTAL'!AK254</f>
        <v>0</v>
      </c>
      <c r="AE202" s="70">
        <f>'RESUMEN TOTAL'!AL254</f>
        <v>0</v>
      </c>
      <c r="AF202" s="70">
        <f>'RESUMEN TOTAL'!AM254</f>
        <v>0</v>
      </c>
      <c r="AG202" s="70">
        <f>'RESUMEN TOTAL'!AN254</f>
        <v>0</v>
      </c>
      <c r="AH202" s="70">
        <f>'RESUMEN TOTAL'!AO254</f>
        <v>0</v>
      </c>
      <c r="AI202" s="70">
        <f>'RESUMEN TOTAL'!AP254</f>
        <v>0</v>
      </c>
      <c r="AJ202" s="70">
        <f>'RESUMEN TOTAL'!AQ254</f>
        <v>0</v>
      </c>
    </row>
    <row r="203" spans="1:36" x14ac:dyDescent="0.25">
      <c r="A203" t="str">
        <f>'RESUMEN TOTAL'!A255</f>
        <v>MAYOL</v>
      </c>
      <c r="B203" t="str">
        <f>'RESUMEN TOTAL'!B255</f>
        <v>MAY 04</v>
      </c>
      <c r="C203" t="str">
        <f>'RESUMEN TOTAL'!D255</f>
        <v>MAR CHIQUITA Y RIO JACHAL</v>
      </c>
      <c r="D203" s="30" t="str">
        <f>'RESUMEN TOTAL'!E255</f>
        <v>DOMO</v>
      </c>
      <c r="E203" s="30" t="str">
        <f>'RESUMEN TOTAL'!F255</f>
        <v>Radio</v>
      </c>
      <c r="F203" s="70">
        <f>'RESUMEN TOTAL'!M255</f>
        <v>0</v>
      </c>
      <c r="G203" s="70">
        <f>'RESUMEN TOTAL'!N255</f>
        <v>0</v>
      </c>
      <c r="H203" s="70">
        <f>'RESUMEN TOTAL'!O255</f>
        <v>0</v>
      </c>
      <c r="I203" s="70">
        <f>'RESUMEN TOTAL'!P255</f>
        <v>0</v>
      </c>
      <c r="J203" s="70">
        <f>'RESUMEN TOTAL'!Q255</f>
        <v>0</v>
      </c>
      <c r="K203" s="70">
        <f>'RESUMEN TOTAL'!R255</f>
        <v>0</v>
      </c>
      <c r="L203" s="70">
        <f>'RESUMEN TOTAL'!S255</f>
        <v>0</v>
      </c>
      <c r="M203" s="70">
        <f>'RESUMEN TOTAL'!T255</f>
        <v>0</v>
      </c>
      <c r="N203" s="70">
        <f>'RESUMEN TOTAL'!U255</f>
        <v>0</v>
      </c>
      <c r="O203" s="70">
        <f>'RESUMEN TOTAL'!V255</f>
        <v>0</v>
      </c>
      <c r="P203" s="70">
        <f>'RESUMEN TOTAL'!W255</f>
        <v>0</v>
      </c>
      <c r="Q203" s="70">
        <f>'RESUMEN TOTAL'!X255</f>
        <v>0</v>
      </c>
      <c r="R203" s="70">
        <f>'RESUMEN TOTAL'!Y255</f>
        <v>0</v>
      </c>
      <c r="S203" s="70">
        <f>'RESUMEN TOTAL'!Z255</f>
        <v>0</v>
      </c>
      <c r="T203" s="70">
        <f>'RESUMEN TOTAL'!AA255</f>
        <v>0</v>
      </c>
      <c r="U203" s="70">
        <f>'RESUMEN TOTAL'!AB255</f>
        <v>0</v>
      </c>
      <c r="V203" s="70">
        <f>'RESUMEN TOTAL'!AC255</f>
        <v>0</v>
      </c>
      <c r="W203" s="70">
        <f>'RESUMEN TOTAL'!AD255</f>
        <v>0</v>
      </c>
      <c r="X203" s="70">
        <f>'RESUMEN TOTAL'!AE255</f>
        <v>0</v>
      </c>
      <c r="Y203" s="70">
        <f>'RESUMEN TOTAL'!AF255</f>
        <v>0</v>
      </c>
      <c r="Z203" s="70">
        <f>'RESUMEN TOTAL'!AG255</f>
        <v>0</v>
      </c>
      <c r="AA203" s="70">
        <f>'RESUMEN TOTAL'!AH255</f>
        <v>0</v>
      </c>
      <c r="AB203" s="70">
        <f>'RESUMEN TOTAL'!AI255</f>
        <v>0</v>
      </c>
      <c r="AC203" s="70">
        <f>'RESUMEN TOTAL'!AJ255</f>
        <v>0</v>
      </c>
      <c r="AD203" s="70">
        <f>'RESUMEN TOTAL'!AK255</f>
        <v>0</v>
      </c>
      <c r="AE203" s="70">
        <f>'RESUMEN TOTAL'!AL255</f>
        <v>0</v>
      </c>
      <c r="AF203" s="70">
        <f>'RESUMEN TOTAL'!AM255</f>
        <v>0</v>
      </c>
      <c r="AG203" s="70">
        <f>'RESUMEN TOTAL'!AN255</f>
        <v>0</v>
      </c>
      <c r="AH203" s="70">
        <f>'RESUMEN TOTAL'!AO255</f>
        <v>0</v>
      </c>
      <c r="AI203" s="70">
        <f>'RESUMEN TOTAL'!AP255</f>
        <v>0</v>
      </c>
      <c r="AJ203" s="70">
        <f>'RESUMEN TOTAL'!AQ255</f>
        <v>0</v>
      </c>
    </row>
    <row r="204" spans="1:36" x14ac:dyDescent="0.25">
      <c r="A204">
        <f>'RESUMEN TOTAL'!A256</f>
        <v>0</v>
      </c>
      <c r="B204" t="str">
        <f>'RESUMEN TOTAL'!B256</f>
        <v>MCUD 01</v>
      </c>
      <c r="C204" t="str">
        <f>'RESUMEN TOTAL'!D256</f>
        <v>TINOGASTA Y SAN LORENZO</v>
      </c>
      <c r="D204" s="30" t="str">
        <f>'RESUMEN TOTAL'!E256</f>
        <v>Domo</v>
      </c>
      <c r="E204" s="30" t="str">
        <f>'RESUMEN TOTAL'!F256</f>
        <v>Fibra Optica</v>
      </c>
      <c r="F204" s="70">
        <f>'RESUMEN TOTAL'!M256</f>
        <v>0</v>
      </c>
      <c r="G204" s="70">
        <f>'RESUMEN TOTAL'!N256</f>
        <v>0</v>
      </c>
      <c r="H204" s="70">
        <f>'RESUMEN TOTAL'!O256</f>
        <v>0</v>
      </c>
      <c r="I204" s="70">
        <f>'RESUMEN TOTAL'!P256</f>
        <v>0</v>
      </c>
      <c r="J204" s="70">
        <f>'RESUMEN TOTAL'!Q256</f>
        <v>0</v>
      </c>
      <c r="K204" s="70" t="str">
        <f>'RESUMEN TOTAL'!R256</f>
        <v>APAGADO</v>
      </c>
      <c r="L204" s="70" t="str">
        <f>'RESUMEN TOTAL'!S256</f>
        <v>APAGADO</v>
      </c>
      <c r="M204" s="70">
        <f>'RESUMEN TOTAL'!T256</f>
        <v>0</v>
      </c>
      <c r="N204" s="70">
        <f>'RESUMEN TOTAL'!U256</f>
        <v>0</v>
      </c>
      <c r="O204" s="70">
        <f>'RESUMEN TOTAL'!V256</f>
        <v>0</v>
      </c>
      <c r="P204" s="70">
        <f>'RESUMEN TOTAL'!W256</f>
        <v>0</v>
      </c>
      <c r="Q204" s="70">
        <f>'RESUMEN TOTAL'!X256</f>
        <v>0</v>
      </c>
      <c r="R204" s="70">
        <f>'RESUMEN TOTAL'!Y256</f>
        <v>0</v>
      </c>
      <c r="S204" s="70">
        <f>'RESUMEN TOTAL'!Z256</f>
        <v>0</v>
      </c>
      <c r="T204" s="70">
        <f>'RESUMEN TOTAL'!AA256</f>
        <v>0</v>
      </c>
      <c r="U204" s="70">
        <f>'RESUMEN TOTAL'!AB256</f>
        <v>0</v>
      </c>
      <c r="V204" s="70">
        <f>'RESUMEN TOTAL'!AC256</f>
        <v>0</v>
      </c>
      <c r="W204" s="70">
        <f>'RESUMEN TOTAL'!AD256</f>
        <v>0</v>
      </c>
      <c r="X204" s="70">
        <f>'RESUMEN TOTAL'!AE256</f>
        <v>0</v>
      </c>
      <c r="Y204" s="70">
        <f>'RESUMEN TOTAL'!AF256</f>
        <v>0</v>
      </c>
      <c r="Z204" s="70">
        <f>'RESUMEN TOTAL'!AG256</f>
        <v>0</v>
      </c>
      <c r="AA204" s="70">
        <f>'RESUMEN TOTAL'!AH256</f>
        <v>0</v>
      </c>
      <c r="AB204" s="70">
        <f>'RESUMEN TOTAL'!AI256</f>
        <v>0</v>
      </c>
      <c r="AC204" s="70">
        <f>'RESUMEN TOTAL'!AJ256</f>
        <v>0</v>
      </c>
      <c r="AD204" s="70">
        <f>'RESUMEN TOTAL'!AK256</f>
        <v>0</v>
      </c>
      <c r="AE204" s="70">
        <f>'RESUMEN TOTAL'!AL256</f>
        <v>0</v>
      </c>
      <c r="AF204" s="70">
        <f>'RESUMEN TOTAL'!AM256</f>
        <v>0</v>
      </c>
      <c r="AG204" s="70">
        <f>'RESUMEN TOTAL'!AN256</f>
        <v>0</v>
      </c>
      <c r="AH204" s="70">
        <f>'RESUMEN TOTAL'!AO256</f>
        <v>0</v>
      </c>
      <c r="AI204" s="70">
        <f>'RESUMEN TOTAL'!AP256</f>
        <v>0</v>
      </c>
      <c r="AJ204" s="70">
        <f>'RESUMEN TOTAL'!AQ256</f>
        <v>0</v>
      </c>
    </row>
    <row r="205" spans="1:36" x14ac:dyDescent="0.25">
      <c r="A205">
        <f>'RESUMEN TOTAL'!A257</f>
        <v>0</v>
      </c>
      <c r="B205" t="str">
        <f>'RESUMEN TOTAL'!B257</f>
        <v>MCUD 02</v>
      </c>
      <c r="C205" t="str">
        <f>'RESUMEN TOTAL'!D257</f>
        <v>CALLE 115 A Y 158</v>
      </c>
      <c r="D205" s="30" t="str">
        <f>'RESUMEN TOTAL'!E257</f>
        <v>DOMO</v>
      </c>
      <c r="E205" s="30" t="str">
        <f>'RESUMEN TOTAL'!F257</f>
        <v>Fibra Optica</v>
      </c>
      <c r="F205" s="70">
        <f>'RESUMEN TOTAL'!M257</f>
        <v>0</v>
      </c>
      <c r="G205" s="70">
        <f>'RESUMEN TOTAL'!N257</f>
        <v>0</v>
      </c>
      <c r="H205" s="70">
        <f>'RESUMEN TOTAL'!O257</f>
        <v>0</v>
      </c>
      <c r="I205" s="70" t="str">
        <f>'RESUMEN TOTAL'!P257</f>
        <v>APAGADO</v>
      </c>
      <c r="J205" s="70" t="str">
        <f>'RESUMEN TOTAL'!Q257</f>
        <v>APAGADO</v>
      </c>
      <c r="K205" s="70" t="str">
        <f>'RESUMEN TOTAL'!R257</f>
        <v>APAGADO</v>
      </c>
      <c r="L205" s="70" t="str">
        <f>'RESUMEN TOTAL'!S257</f>
        <v>APAGADO</v>
      </c>
      <c r="M205" s="70" t="str">
        <f>'RESUMEN TOTAL'!T257</f>
        <v>APAGADO</v>
      </c>
      <c r="N205" s="70">
        <f>'RESUMEN TOTAL'!U257</f>
        <v>0</v>
      </c>
      <c r="O205" s="70">
        <f>'RESUMEN TOTAL'!V257</f>
        <v>0</v>
      </c>
      <c r="P205" s="70">
        <f>'RESUMEN TOTAL'!W257</f>
        <v>0</v>
      </c>
      <c r="Q205" s="70">
        <f>'RESUMEN TOTAL'!X257</f>
        <v>0</v>
      </c>
      <c r="R205" s="70">
        <f>'RESUMEN TOTAL'!Y257</f>
        <v>0</v>
      </c>
      <c r="S205" s="70">
        <f>'RESUMEN TOTAL'!Z257</f>
        <v>0</v>
      </c>
      <c r="T205" s="70">
        <f>'RESUMEN TOTAL'!AA257</f>
        <v>0</v>
      </c>
      <c r="U205" s="70">
        <f>'RESUMEN TOTAL'!AB257</f>
        <v>0</v>
      </c>
      <c r="V205" s="70">
        <f>'RESUMEN TOTAL'!AC257</f>
        <v>0</v>
      </c>
      <c r="W205" s="70">
        <f>'RESUMEN TOTAL'!AD257</f>
        <v>0</v>
      </c>
      <c r="X205" s="70">
        <f>'RESUMEN TOTAL'!AE257</f>
        <v>0</v>
      </c>
      <c r="Y205" s="70">
        <f>'RESUMEN TOTAL'!AF257</f>
        <v>0</v>
      </c>
      <c r="Z205" s="70">
        <f>'RESUMEN TOTAL'!AG257</f>
        <v>0</v>
      </c>
      <c r="AA205" s="70">
        <f>'RESUMEN TOTAL'!AH257</f>
        <v>0</v>
      </c>
      <c r="AB205" s="70">
        <f>'RESUMEN TOTAL'!AI257</f>
        <v>0</v>
      </c>
      <c r="AC205" s="70">
        <f>'RESUMEN TOTAL'!AJ257</f>
        <v>0</v>
      </c>
      <c r="AD205" s="70">
        <f>'RESUMEN TOTAL'!AK257</f>
        <v>0</v>
      </c>
      <c r="AE205" s="70">
        <f>'RESUMEN TOTAL'!AL257</f>
        <v>0</v>
      </c>
      <c r="AF205" s="70">
        <f>'RESUMEN TOTAL'!AM257</f>
        <v>0</v>
      </c>
      <c r="AG205" s="70">
        <f>'RESUMEN TOTAL'!AN257</f>
        <v>0</v>
      </c>
      <c r="AH205" s="70">
        <f>'RESUMEN TOTAL'!AO257</f>
        <v>0</v>
      </c>
      <c r="AI205" s="70">
        <f>'RESUMEN TOTAL'!AP257</f>
        <v>0</v>
      </c>
      <c r="AJ205" s="70">
        <f>'RESUMEN TOTAL'!AQ257</f>
        <v>0</v>
      </c>
    </row>
    <row r="206" spans="1:36" x14ac:dyDescent="0.25">
      <c r="A206" t="str">
        <f>'RESUMEN TOTAL'!A258</f>
        <v>MARTIN FIERRO</v>
      </c>
      <c r="B206" t="str">
        <f>'RESUMEN TOTAL'!B258</f>
        <v>MFI 01</v>
      </c>
      <c r="C206" t="str">
        <f>'RESUMEN TOTAL'!D258</f>
        <v>Belgrano y Sgto. Cabral</v>
      </c>
      <c r="D206" s="30" t="str">
        <f>'RESUMEN TOTAL'!E258</f>
        <v>Fija</v>
      </c>
      <c r="E206" s="30" t="str">
        <f>'RESUMEN TOTAL'!F258</f>
        <v>GPON</v>
      </c>
      <c r="F206" s="70">
        <f>'RESUMEN TOTAL'!M258</f>
        <v>0</v>
      </c>
      <c r="G206" s="70">
        <f>'RESUMEN TOTAL'!N258</f>
        <v>0</v>
      </c>
      <c r="H206" s="70">
        <f>'RESUMEN TOTAL'!O258</f>
        <v>0</v>
      </c>
      <c r="I206" s="70">
        <f>'RESUMEN TOTAL'!P258</f>
        <v>0</v>
      </c>
      <c r="J206" s="70">
        <f>'RESUMEN TOTAL'!Q258</f>
        <v>0</v>
      </c>
      <c r="K206" s="70">
        <f>'RESUMEN TOTAL'!R258</f>
        <v>0</v>
      </c>
      <c r="L206" s="70">
        <f>'RESUMEN TOTAL'!S258</f>
        <v>0</v>
      </c>
      <c r="M206" s="70">
        <f>'RESUMEN TOTAL'!T258</f>
        <v>0</v>
      </c>
      <c r="N206" s="70">
        <f>'RESUMEN TOTAL'!U258</f>
        <v>0</v>
      </c>
      <c r="O206" s="70">
        <f>'RESUMEN TOTAL'!V258</f>
        <v>0</v>
      </c>
      <c r="P206" s="70">
        <f>'RESUMEN TOTAL'!W258</f>
        <v>0</v>
      </c>
      <c r="Q206" s="70">
        <f>'RESUMEN TOTAL'!X258</f>
        <v>0</v>
      </c>
      <c r="R206" s="70">
        <f>'RESUMEN TOTAL'!Y258</f>
        <v>0</v>
      </c>
      <c r="S206" s="70">
        <f>'RESUMEN TOTAL'!Z258</f>
        <v>0</v>
      </c>
      <c r="T206" s="70">
        <f>'RESUMEN TOTAL'!AA258</f>
        <v>0</v>
      </c>
      <c r="U206" s="70">
        <f>'RESUMEN TOTAL'!AB258</f>
        <v>0</v>
      </c>
      <c r="V206" s="70">
        <f>'RESUMEN TOTAL'!AC258</f>
        <v>0</v>
      </c>
      <c r="W206" s="70">
        <f>'RESUMEN TOTAL'!AD258</f>
        <v>0</v>
      </c>
      <c r="X206" s="70">
        <f>'RESUMEN TOTAL'!AE258</f>
        <v>0</v>
      </c>
      <c r="Y206" s="70">
        <f>'RESUMEN TOTAL'!AF258</f>
        <v>0</v>
      </c>
      <c r="Z206" s="70">
        <f>'RESUMEN TOTAL'!AG258</f>
        <v>0</v>
      </c>
      <c r="AA206" s="70">
        <f>'RESUMEN TOTAL'!AH258</f>
        <v>0</v>
      </c>
      <c r="AB206" s="70">
        <f>'RESUMEN TOTAL'!AI258</f>
        <v>0</v>
      </c>
      <c r="AC206" s="70">
        <f>'RESUMEN TOTAL'!AJ258</f>
        <v>0</v>
      </c>
      <c r="AD206" s="70">
        <f>'RESUMEN TOTAL'!AK258</f>
        <v>0</v>
      </c>
      <c r="AE206" s="70">
        <f>'RESUMEN TOTAL'!AL258</f>
        <v>0</v>
      </c>
      <c r="AF206" s="70">
        <f>'RESUMEN TOTAL'!AM258</f>
        <v>0</v>
      </c>
      <c r="AG206" s="70">
        <f>'RESUMEN TOTAL'!AN258</f>
        <v>0</v>
      </c>
      <c r="AH206" s="70">
        <f>'RESUMEN TOTAL'!AO258</f>
        <v>0</v>
      </c>
      <c r="AI206" s="70">
        <f>'RESUMEN TOTAL'!AP258</f>
        <v>0</v>
      </c>
      <c r="AJ206" s="70">
        <f>'RESUMEN TOTAL'!AQ258</f>
        <v>0</v>
      </c>
    </row>
    <row r="207" spans="1:36" x14ac:dyDescent="0.25">
      <c r="A207" t="str">
        <f>'RESUMEN TOTAL'!A259</f>
        <v>LOPEZ ROMERO</v>
      </c>
      <c r="B207" t="str">
        <f>'RESUMEN TOTAL'!B259</f>
        <v>MFI02</v>
      </c>
      <c r="C207" t="str">
        <f>'RESUMEN TOTAL'!D259</f>
        <v>Calchaqui y Balcarce</v>
      </c>
      <c r="D207" s="30" t="str">
        <f>'RESUMEN TOTAL'!E259</f>
        <v>Fija</v>
      </c>
      <c r="E207" s="30" t="str">
        <f>'RESUMEN TOTAL'!F259</f>
        <v>Fibra Optica</v>
      </c>
      <c r="F207" s="70" t="str">
        <f>'RESUMEN TOTAL'!M259</f>
        <v>APAGADO</v>
      </c>
      <c r="G207" s="70">
        <f>'RESUMEN TOTAL'!N259</f>
        <v>0</v>
      </c>
      <c r="H207" s="70">
        <f>'RESUMEN TOTAL'!O259</f>
        <v>0</v>
      </c>
      <c r="I207" s="70">
        <f>'RESUMEN TOTAL'!P259</f>
        <v>0</v>
      </c>
      <c r="J207" s="70">
        <f>'RESUMEN TOTAL'!Q259</f>
        <v>0</v>
      </c>
      <c r="K207" s="70">
        <f>'RESUMEN TOTAL'!R259</f>
        <v>0</v>
      </c>
      <c r="L207" s="70">
        <f>'RESUMEN TOTAL'!S259</f>
        <v>0</v>
      </c>
      <c r="M207" s="70">
        <f>'RESUMEN TOTAL'!T259</f>
        <v>0</v>
      </c>
      <c r="N207" s="70">
        <f>'RESUMEN TOTAL'!U259</f>
        <v>0</v>
      </c>
      <c r="O207" s="70">
        <f>'RESUMEN TOTAL'!V259</f>
        <v>0</v>
      </c>
      <c r="P207" s="70">
        <f>'RESUMEN TOTAL'!W259</f>
        <v>0</v>
      </c>
      <c r="Q207" s="70">
        <f>'RESUMEN TOTAL'!X259</f>
        <v>0</v>
      </c>
      <c r="R207" s="70">
        <f>'RESUMEN TOTAL'!Y259</f>
        <v>0</v>
      </c>
      <c r="S207" s="70">
        <f>'RESUMEN TOTAL'!Z259</f>
        <v>0</v>
      </c>
      <c r="T207" s="70">
        <f>'RESUMEN TOTAL'!AA259</f>
        <v>0</v>
      </c>
      <c r="U207" s="70">
        <f>'RESUMEN TOTAL'!AB259</f>
        <v>0</v>
      </c>
      <c r="V207" s="70">
        <f>'RESUMEN TOTAL'!AC259</f>
        <v>0</v>
      </c>
      <c r="W207" s="70">
        <f>'RESUMEN TOTAL'!AD259</f>
        <v>0</v>
      </c>
      <c r="X207" s="70">
        <f>'RESUMEN TOTAL'!AE259</f>
        <v>0</v>
      </c>
      <c r="Y207" s="70">
        <f>'RESUMEN TOTAL'!AF259</f>
        <v>0</v>
      </c>
      <c r="Z207" s="70">
        <f>'RESUMEN TOTAL'!AG259</f>
        <v>0</v>
      </c>
      <c r="AA207" s="70">
        <f>'RESUMEN TOTAL'!AH259</f>
        <v>0</v>
      </c>
      <c r="AB207" s="70">
        <f>'RESUMEN TOTAL'!AI259</f>
        <v>0</v>
      </c>
      <c r="AC207" s="70">
        <f>'RESUMEN TOTAL'!AJ259</f>
        <v>0</v>
      </c>
      <c r="AD207" s="70">
        <f>'RESUMEN TOTAL'!AK259</f>
        <v>0</v>
      </c>
      <c r="AE207" s="70">
        <f>'RESUMEN TOTAL'!AL259</f>
        <v>0</v>
      </c>
      <c r="AF207" s="70">
        <f>'RESUMEN TOTAL'!AM259</f>
        <v>0</v>
      </c>
      <c r="AG207" s="70">
        <f>'RESUMEN TOTAL'!AN259</f>
        <v>0</v>
      </c>
      <c r="AH207" s="70">
        <f>'RESUMEN TOTAL'!AO259</f>
        <v>0</v>
      </c>
      <c r="AI207" s="70">
        <f>'RESUMEN TOTAL'!AP259</f>
        <v>0</v>
      </c>
      <c r="AJ207" s="70">
        <f>'RESUMEN TOTAL'!AQ259</f>
        <v>0</v>
      </c>
    </row>
    <row r="208" spans="1:36" x14ac:dyDescent="0.25">
      <c r="A208" t="str">
        <f>'RESUMEN TOTAL'!A260</f>
        <v>SAN EMILIO</v>
      </c>
      <c r="B208" t="str">
        <f>'RESUMEN TOTAL'!B260</f>
        <v>MFI 03</v>
      </c>
      <c r="C208" t="str">
        <f>'RESUMEN TOTAL'!D260</f>
        <v>Cno. Gral. Belgrano y Av. del Trabajo</v>
      </c>
      <c r="D208" s="30" t="str">
        <f>'RESUMEN TOTAL'!E260</f>
        <v>Domo</v>
      </c>
      <c r="E208" s="30" t="str">
        <f>'RESUMEN TOTAL'!F260</f>
        <v>Fibra Optica</v>
      </c>
      <c r="F208" s="70">
        <f>'RESUMEN TOTAL'!M260</f>
        <v>0</v>
      </c>
      <c r="G208" s="70">
        <f>'RESUMEN TOTAL'!N260</f>
        <v>0</v>
      </c>
      <c r="H208" s="70">
        <f>'RESUMEN TOTAL'!O260</f>
        <v>0</v>
      </c>
      <c r="I208" s="70">
        <f>'RESUMEN TOTAL'!P260</f>
        <v>0</v>
      </c>
      <c r="J208" s="70">
        <f>'RESUMEN TOTAL'!Q260</f>
        <v>0</v>
      </c>
      <c r="K208" s="70">
        <f>'RESUMEN TOTAL'!R260</f>
        <v>0</v>
      </c>
      <c r="L208" s="70">
        <f>'RESUMEN TOTAL'!S260</f>
        <v>0</v>
      </c>
      <c r="M208" s="70">
        <f>'RESUMEN TOTAL'!T260</f>
        <v>0</v>
      </c>
      <c r="N208" s="70">
        <f>'RESUMEN TOTAL'!U260</f>
        <v>0</v>
      </c>
      <c r="O208" s="70">
        <f>'RESUMEN TOTAL'!V260</f>
        <v>0</v>
      </c>
      <c r="P208" s="70">
        <f>'RESUMEN TOTAL'!W260</f>
        <v>0</v>
      </c>
      <c r="Q208" s="70">
        <f>'RESUMEN TOTAL'!X260</f>
        <v>0</v>
      </c>
      <c r="R208" s="70">
        <f>'RESUMEN TOTAL'!Y260</f>
        <v>0</v>
      </c>
      <c r="S208" s="70">
        <f>'RESUMEN TOTAL'!Z260</f>
        <v>0</v>
      </c>
      <c r="T208" s="70">
        <f>'RESUMEN TOTAL'!AA260</f>
        <v>0</v>
      </c>
      <c r="U208" s="70">
        <f>'RESUMEN TOTAL'!AB260</f>
        <v>0</v>
      </c>
      <c r="V208" s="70">
        <f>'RESUMEN TOTAL'!AC260</f>
        <v>0</v>
      </c>
      <c r="W208" s="70">
        <f>'RESUMEN TOTAL'!AD260</f>
        <v>0</v>
      </c>
      <c r="X208" s="70">
        <f>'RESUMEN TOTAL'!AE260</f>
        <v>0</v>
      </c>
      <c r="Y208" s="70">
        <f>'RESUMEN TOTAL'!AF260</f>
        <v>0</v>
      </c>
      <c r="Z208" s="70">
        <f>'RESUMEN TOTAL'!AG260</f>
        <v>0</v>
      </c>
      <c r="AA208" s="70">
        <f>'RESUMEN TOTAL'!AH260</f>
        <v>0</v>
      </c>
      <c r="AB208" s="70">
        <f>'RESUMEN TOTAL'!AI260</f>
        <v>0</v>
      </c>
      <c r="AC208" s="70">
        <f>'RESUMEN TOTAL'!AJ260</f>
        <v>0</v>
      </c>
      <c r="AD208" s="70">
        <f>'RESUMEN TOTAL'!AK260</f>
        <v>0</v>
      </c>
      <c r="AE208" s="70">
        <f>'RESUMEN TOTAL'!AL260</f>
        <v>0</v>
      </c>
      <c r="AF208" s="70">
        <f>'RESUMEN TOTAL'!AM260</f>
        <v>0</v>
      </c>
      <c r="AG208" s="70">
        <f>'RESUMEN TOTAL'!AN260</f>
        <v>0</v>
      </c>
      <c r="AH208" s="70">
        <f>'RESUMEN TOTAL'!AO260</f>
        <v>0</v>
      </c>
      <c r="AI208" s="70">
        <f>'RESUMEN TOTAL'!AP260</f>
        <v>0</v>
      </c>
      <c r="AJ208" s="70">
        <f>'RESUMEN TOTAL'!AQ260</f>
        <v>0</v>
      </c>
    </row>
    <row r="209" spans="1:36" x14ac:dyDescent="0.25">
      <c r="A209" t="str">
        <f>'RESUMEN TOTAL'!A261</f>
        <v>MARTIN FIERRO</v>
      </c>
      <c r="B209" t="str">
        <f>'RESUMEN TOTAL'!B261</f>
        <v>MFI04</v>
      </c>
      <c r="C209" t="str">
        <f>'RESUMEN TOTAL'!D261</f>
        <v>Calchaqui y balcarce</v>
      </c>
      <c r="D209" s="30" t="str">
        <f>'RESUMEN TOTAL'!E261</f>
        <v>Domo</v>
      </c>
      <c r="E209" s="30" t="str">
        <f>'RESUMEN TOTAL'!F261</f>
        <v>Fibra Optica</v>
      </c>
      <c r="F209" s="70" t="str">
        <f>'RESUMEN TOTAL'!M261</f>
        <v>APAGADO</v>
      </c>
      <c r="G209" s="70">
        <f>'RESUMEN TOTAL'!N261</f>
        <v>0</v>
      </c>
      <c r="H209" s="70">
        <f>'RESUMEN TOTAL'!O261</f>
        <v>0</v>
      </c>
      <c r="I209" s="70">
        <f>'RESUMEN TOTAL'!P261</f>
        <v>0</v>
      </c>
      <c r="J209" s="70">
        <f>'RESUMEN TOTAL'!Q261</f>
        <v>0</v>
      </c>
      <c r="K209" s="70">
        <f>'RESUMEN TOTAL'!R261</f>
        <v>0</v>
      </c>
      <c r="L209" s="70">
        <f>'RESUMEN TOTAL'!S261</f>
        <v>0</v>
      </c>
      <c r="M209" s="70">
        <f>'RESUMEN TOTAL'!T261</f>
        <v>0</v>
      </c>
      <c r="N209" s="70">
        <f>'RESUMEN TOTAL'!U261</f>
        <v>0</v>
      </c>
      <c r="O209" s="70">
        <f>'RESUMEN TOTAL'!V261</f>
        <v>0</v>
      </c>
      <c r="P209" s="70">
        <f>'RESUMEN TOTAL'!W261</f>
        <v>0</v>
      </c>
      <c r="Q209" s="70">
        <f>'RESUMEN TOTAL'!X261</f>
        <v>0</v>
      </c>
      <c r="R209" s="70">
        <f>'RESUMEN TOTAL'!Y261</f>
        <v>0</v>
      </c>
      <c r="S209" s="70">
        <f>'RESUMEN TOTAL'!Z261</f>
        <v>0</v>
      </c>
      <c r="T209" s="70">
        <f>'RESUMEN TOTAL'!AA261</f>
        <v>0</v>
      </c>
      <c r="U209" s="70">
        <f>'RESUMEN TOTAL'!AB261</f>
        <v>0</v>
      </c>
      <c r="V209" s="70">
        <f>'RESUMEN TOTAL'!AC261</f>
        <v>0</v>
      </c>
      <c r="W209" s="70">
        <f>'RESUMEN TOTAL'!AD261</f>
        <v>0</v>
      </c>
      <c r="X209" s="70">
        <f>'RESUMEN TOTAL'!AE261</f>
        <v>0</v>
      </c>
      <c r="Y209" s="70">
        <f>'RESUMEN TOTAL'!AF261</f>
        <v>0</v>
      </c>
      <c r="Z209" s="70">
        <f>'RESUMEN TOTAL'!AG261</f>
        <v>0</v>
      </c>
      <c r="AA209" s="70">
        <f>'RESUMEN TOTAL'!AH261</f>
        <v>0</v>
      </c>
      <c r="AB209" s="70">
        <f>'RESUMEN TOTAL'!AI261</f>
        <v>0</v>
      </c>
      <c r="AC209" s="70">
        <f>'RESUMEN TOTAL'!AJ261</f>
        <v>0</v>
      </c>
      <c r="AD209" s="70">
        <f>'RESUMEN TOTAL'!AK261</f>
        <v>0</v>
      </c>
      <c r="AE209" s="70">
        <f>'RESUMEN TOTAL'!AL261</f>
        <v>0</v>
      </c>
      <c r="AF209" s="70">
        <f>'RESUMEN TOTAL'!AM261</f>
        <v>0</v>
      </c>
      <c r="AG209" s="70">
        <f>'RESUMEN TOTAL'!AN261</f>
        <v>0</v>
      </c>
      <c r="AH209" s="70">
        <f>'RESUMEN TOTAL'!AO261</f>
        <v>0</v>
      </c>
      <c r="AI209" s="70">
        <f>'RESUMEN TOTAL'!AP261</f>
        <v>0</v>
      </c>
      <c r="AJ209" s="70">
        <f>'RESUMEN TOTAL'!AQ261</f>
        <v>0</v>
      </c>
    </row>
    <row r="210" spans="1:36" x14ac:dyDescent="0.25">
      <c r="A210" t="str">
        <f>'RESUMEN TOTAL'!A262</f>
        <v>SAN EMILIO</v>
      </c>
      <c r="B210" t="str">
        <f>'RESUMEN TOTAL'!B262</f>
        <v>MFI 05</v>
      </c>
      <c r="C210" t="str">
        <f>'RESUMEN TOTAL'!D262</f>
        <v>Cno. Gral. Belgrano y Guayaquil</v>
      </c>
      <c r="D210" s="30" t="str">
        <f>'RESUMEN TOTAL'!E262</f>
        <v>Domo</v>
      </c>
      <c r="E210" s="30" t="str">
        <f>'RESUMEN TOTAL'!F262</f>
        <v>Fibra Optica</v>
      </c>
      <c r="F210" s="70">
        <f>'RESUMEN TOTAL'!M262</f>
        <v>0</v>
      </c>
      <c r="G210" s="70">
        <f>'RESUMEN TOTAL'!N262</f>
        <v>0</v>
      </c>
      <c r="H210" s="70">
        <f>'RESUMEN TOTAL'!O262</f>
        <v>0</v>
      </c>
      <c r="I210" s="70">
        <f>'RESUMEN TOTAL'!P262</f>
        <v>0</v>
      </c>
      <c r="J210" s="70">
        <f>'RESUMEN TOTAL'!Q262</f>
        <v>0</v>
      </c>
      <c r="K210" s="70">
        <f>'RESUMEN TOTAL'!R262</f>
        <v>0</v>
      </c>
      <c r="L210" s="70">
        <f>'RESUMEN TOTAL'!S262</f>
        <v>0</v>
      </c>
      <c r="M210" s="70">
        <f>'RESUMEN TOTAL'!T262</f>
        <v>0</v>
      </c>
      <c r="N210" s="70">
        <f>'RESUMEN TOTAL'!U262</f>
        <v>0</v>
      </c>
      <c r="O210" s="70">
        <f>'RESUMEN TOTAL'!V262</f>
        <v>0</v>
      </c>
      <c r="P210" s="70">
        <f>'RESUMEN TOTAL'!W262</f>
        <v>0</v>
      </c>
      <c r="Q210" s="70">
        <f>'RESUMEN TOTAL'!X262</f>
        <v>0</v>
      </c>
      <c r="R210" s="70">
        <f>'RESUMEN TOTAL'!Y262</f>
        <v>0</v>
      </c>
      <c r="S210" s="70">
        <f>'RESUMEN TOTAL'!Z262</f>
        <v>0</v>
      </c>
      <c r="T210" s="70">
        <f>'RESUMEN TOTAL'!AA262</f>
        <v>0</v>
      </c>
      <c r="U210" s="70">
        <f>'RESUMEN TOTAL'!AB262</f>
        <v>0</v>
      </c>
      <c r="V210" s="70">
        <f>'RESUMEN TOTAL'!AC262</f>
        <v>0</v>
      </c>
      <c r="W210" s="70">
        <f>'RESUMEN TOTAL'!AD262</f>
        <v>0</v>
      </c>
      <c r="X210" s="70">
        <f>'RESUMEN TOTAL'!AE262</f>
        <v>0</v>
      </c>
      <c r="Y210" s="70">
        <f>'RESUMEN TOTAL'!AF262</f>
        <v>0</v>
      </c>
      <c r="Z210" s="70">
        <f>'RESUMEN TOTAL'!AG262</f>
        <v>0</v>
      </c>
      <c r="AA210" s="70">
        <f>'RESUMEN TOTAL'!AH262</f>
        <v>0</v>
      </c>
      <c r="AB210" s="70">
        <f>'RESUMEN TOTAL'!AI262</f>
        <v>0</v>
      </c>
      <c r="AC210" s="70">
        <f>'RESUMEN TOTAL'!AJ262</f>
        <v>0</v>
      </c>
      <c r="AD210" s="70">
        <f>'RESUMEN TOTAL'!AK262</f>
        <v>0</v>
      </c>
      <c r="AE210" s="70">
        <f>'RESUMEN TOTAL'!AL262</f>
        <v>0</v>
      </c>
      <c r="AF210" s="70">
        <f>'RESUMEN TOTAL'!AM262</f>
        <v>0</v>
      </c>
      <c r="AG210" s="70">
        <f>'RESUMEN TOTAL'!AN262</f>
        <v>0</v>
      </c>
      <c r="AH210" s="70">
        <f>'RESUMEN TOTAL'!AO262</f>
        <v>0</v>
      </c>
      <c r="AI210" s="70">
        <f>'RESUMEN TOTAL'!AP262</f>
        <v>0</v>
      </c>
      <c r="AJ210" s="70">
        <f>'RESUMEN TOTAL'!AQ262</f>
        <v>0</v>
      </c>
    </row>
    <row r="211" spans="1:36" x14ac:dyDescent="0.25">
      <c r="A211" t="str">
        <f>'RESUMEN TOTAL'!A263</f>
        <v>SAN EMILIO</v>
      </c>
      <c r="B211" t="str">
        <f>'RESUMEN TOTAL'!B263</f>
        <v>MFI06</v>
      </c>
      <c r="C211" t="str">
        <f>'RESUMEN TOTAL'!D263</f>
        <v>Con. Gral. Belgrano y Bombero Galarza</v>
      </c>
      <c r="D211" s="30" t="str">
        <f>'RESUMEN TOTAL'!E263</f>
        <v>DOMO</v>
      </c>
      <c r="E211" s="30" t="str">
        <f>'RESUMEN TOTAL'!F263</f>
        <v>PTO A FO</v>
      </c>
      <c r="F211" s="70">
        <f>'RESUMEN TOTAL'!M263</f>
        <v>0</v>
      </c>
      <c r="G211" s="70">
        <f>'RESUMEN TOTAL'!N263</f>
        <v>0</v>
      </c>
      <c r="H211" s="70">
        <f>'RESUMEN TOTAL'!O263</f>
        <v>0</v>
      </c>
      <c r="I211" s="70">
        <f>'RESUMEN TOTAL'!P263</f>
        <v>0</v>
      </c>
      <c r="J211" s="70">
        <f>'RESUMEN TOTAL'!Q263</f>
        <v>0</v>
      </c>
      <c r="K211" s="70">
        <f>'RESUMEN TOTAL'!R263</f>
        <v>0</v>
      </c>
      <c r="L211" s="70">
        <f>'RESUMEN TOTAL'!S263</f>
        <v>0</v>
      </c>
      <c r="M211" s="70">
        <f>'RESUMEN TOTAL'!T263</f>
        <v>0</v>
      </c>
      <c r="N211" s="70">
        <f>'RESUMEN TOTAL'!U263</f>
        <v>0</v>
      </c>
      <c r="O211" s="70">
        <f>'RESUMEN TOTAL'!V263</f>
        <v>0</v>
      </c>
      <c r="P211" s="70">
        <f>'RESUMEN TOTAL'!W263</f>
        <v>0</v>
      </c>
      <c r="Q211" s="70">
        <f>'RESUMEN TOTAL'!X263</f>
        <v>0</v>
      </c>
      <c r="R211" s="70">
        <f>'RESUMEN TOTAL'!Y263</f>
        <v>0</v>
      </c>
      <c r="S211" s="70">
        <f>'RESUMEN TOTAL'!Z263</f>
        <v>0</v>
      </c>
      <c r="T211" s="70">
        <f>'RESUMEN TOTAL'!AA263</f>
        <v>0</v>
      </c>
      <c r="U211" s="70">
        <f>'RESUMEN TOTAL'!AB263</f>
        <v>0</v>
      </c>
      <c r="V211" s="70">
        <f>'RESUMEN TOTAL'!AC263</f>
        <v>0</v>
      </c>
      <c r="W211" s="70">
        <f>'RESUMEN TOTAL'!AD263</f>
        <v>0</v>
      </c>
      <c r="X211" s="70">
        <f>'RESUMEN TOTAL'!AE263</f>
        <v>0</v>
      </c>
      <c r="Y211" s="70">
        <f>'RESUMEN TOTAL'!AF263</f>
        <v>0</v>
      </c>
      <c r="Z211" s="70">
        <f>'RESUMEN TOTAL'!AG263</f>
        <v>0</v>
      </c>
      <c r="AA211" s="70">
        <f>'RESUMEN TOTAL'!AH263</f>
        <v>0</v>
      </c>
      <c r="AB211" s="70">
        <f>'RESUMEN TOTAL'!AI263</f>
        <v>0</v>
      </c>
      <c r="AC211" s="70">
        <f>'RESUMEN TOTAL'!AJ263</f>
        <v>0</v>
      </c>
      <c r="AD211" s="70">
        <f>'RESUMEN TOTAL'!AK263</f>
        <v>0</v>
      </c>
      <c r="AE211" s="70">
        <f>'RESUMEN TOTAL'!AL263</f>
        <v>0</v>
      </c>
      <c r="AF211" s="70">
        <f>'RESUMEN TOTAL'!AM263</f>
        <v>0</v>
      </c>
      <c r="AG211" s="70">
        <f>'RESUMEN TOTAL'!AN263</f>
        <v>0</v>
      </c>
      <c r="AH211" s="70">
        <f>'RESUMEN TOTAL'!AO263</f>
        <v>0</v>
      </c>
      <c r="AI211" s="70">
        <f>'RESUMEN TOTAL'!AP263</f>
        <v>0</v>
      </c>
      <c r="AJ211" s="70">
        <f>'RESUMEN TOTAL'!AQ263</f>
        <v>0</v>
      </c>
    </row>
    <row r="212" spans="1:36" x14ac:dyDescent="0.25">
      <c r="A212" t="str">
        <f>'RESUMEN TOTAL'!A264</f>
        <v>MARTIN FIERRO</v>
      </c>
      <c r="B212" t="str">
        <f>'RESUMEN TOTAL'!B264</f>
        <v>MFI 07</v>
      </c>
      <c r="C212" t="str">
        <f>'RESUMEN TOTAL'!D264</f>
        <v>Sargento Cabral y Carlos Gardel</v>
      </c>
      <c r="D212" s="30" t="str">
        <f>'RESUMEN TOTAL'!E264</f>
        <v>Domo</v>
      </c>
      <c r="E212" s="30" t="str">
        <f>'RESUMEN TOTAL'!F264</f>
        <v>GPON</v>
      </c>
      <c r="F212" s="70">
        <f>'RESUMEN TOTAL'!M264</f>
        <v>0</v>
      </c>
      <c r="G212" s="70">
        <f>'RESUMEN TOTAL'!N264</f>
        <v>0</v>
      </c>
      <c r="H212" s="70">
        <f>'RESUMEN TOTAL'!O264</f>
        <v>0</v>
      </c>
      <c r="I212" s="70">
        <f>'RESUMEN TOTAL'!P264</f>
        <v>0</v>
      </c>
      <c r="J212" s="70">
        <f>'RESUMEN TOTAL'!Q264</f>
        <v>0</v>
      </c>
      <c r="K212" s="70">
        <f>'RESUMEN TOTAL'!R264</f>
        <v>0</v>
      </c>
      <c r="L212" s="70">
        <f>'RESUMEN TOTAL'!S264</f>
        <v>0</v>
      </c>
      <c r="M212" s="70">
        <f>'RESUMEN TOTAL'!T264</f>
        <v>0</v>
      </c>
      <c r="N212" s="70">
        <f>'RESUMEN TOTAL'!U264</f>
        <v>0</v>
      </c>
      <c r="O212" s="70">
        <f>'RESUMEN TOTAL'!V264</f>
        <v>0</v>
      </c>
      <c r="P212" s="70">
        <f>'RESUMEN TOTAL'!W264</f>
        <v>0</v>
      </c>
      <c r="Q212" s="70">
        <f>'RESUMEN TOTAL'!X264</f>
        <v>0</v>
      </c>
      <c r="R212" s="70">
        <f>'RESUMEN TOTAL'!Y264</f>
        <v>0</v>
      </c>
      <c r="S212" s="70">
        <f>'RESUMEN TOTAL'!Z264</f>
        <v>0</v>
      </c>
      <c r="T212" s="70">
        <f>'RESUMEN TOTAL'!AA264</f>
        <v>0</v>
      </c>
      <c r="U212" s="70">
        <f>'RESUMEN TOTAL'!AB264</f>
        <v>0</v>
      </c>
      <c r="V212" s="70">
        <f>'RESUMEN TOTAL'!AC264</f>
        <v>0</v>
      </c>
      <c r="W212" s="70">
        <f>'RESUMEN TOTAL'!AD264</f>
        <v>0</v>
      </c>
      <c r="X212" s="70">
        <f>'RESUMEN TOTAL'!AE264</f>
        <v>0</v>
      </c>
      <c r="Y212" s="70">
        <f>'RESUMEN TOTAL'!AF264</f>
        <v>0</v>
      </c>
      <c r="Z212" s="70">
        <f>'RESUMEN TOTAL'!AG264</f>
        <v>0</v>
      </c>
      <c r="AA212" s="70">
        <f>'RESUMEN TOTAL'!AH264</f>
        <v>0</v>
      </c>
      <c r="AB212" s="70">
        <f>'RESUMEN TOTAL'!AI264</f>
        <v>0</v>
      </c>
      <c r="AC212" s="70">
        <f>'RESUMEN TOTAL'!AJ264</f>
        <v>0</v>
      </c>
      <c r="AD212" s="70">
        <f>'RESUMEN TOTAL'!AK264</f>
        <v>0</v>
      </c>
      <c r="AE212" s="70">
        <f>'RESUMEN TOTAL'!AL264</f>
        <v>0</v>
      </c>
      <c r="AF212" s="70">
        <f>'RESUMEN TOTAL'!AM264</f>
        <v>0</v>
      </c>
      <c r="AG212" s="70">
        <f>'RESUMEN TOTAL'!AN264</f>
        <v>0</v>
      </c>
      <c r="AH212" s="70">
        <f>'RESUMEN TOTAL'!AO264</f>
        <v>0</v>
      </c>
      <c r="AI212" s="70">
        <f>'RESUMEN TOTAL'!AP264</f>
        <v>0</v>
      </c>
      <c r="AJ212" s="70">
        <f>'RESUMEN TOTAL'!AQ264</f>
        <v>0</v>
      </c>
    </row>
    <row r="213" spans="1:36" x14ac:dyDescent="0.25">
      <c r="A213" t="str">
        <f>'RESUMEN TOTAL'!A265</f>
        <v>MARTIN FIERRO</v>
      </c>
      <c r="B213" t="str">
        <f>'RESUMEN TOTAL'!B265</f>
        <v>MFI 08</v>
      </c>
      <c r="C213" t="str">
        <f>'RESUMEN TOTAL'!D265</f>
        <v>Braile y Batalla de Callao</v>
      </c>
      <c r="D213" s="30" t="str">
        <f>'RESUMEN TOTAL'!E265</f>
        <v>Domo</v>
      </c>
      <c r="E213" s="30" t="str">
        <f>'RESUMEN TOTAL'!F265</f>
        <v>PTO A FO</v>
      </c>
      <c r="F213" s="70">
        <f>'RESUMEN TOTAL'!M265</f>
        <v>0</v>
      </c>
      <c r="G213" s="70">
        <f>'RESUMEN TOTAL'!N265</f>
        <v>0</v>
      </c>
      <c r="H213" s="70">
        <f>'RESUMEN TOTAL'!O265</f>
        <v>0</v>
      </c>
      <c r="I213" s="70">
        <f>'RESUMEN TOTAL'!P265</f>
        <v>0</v>
      </c>
      <c r="J213" s="70">
        <f>'RESUMEN TOTAL'!Q265</f>
        <v>0</v>
      </c>
      <c r="K213" s="70">
        <f>'RESUMEN TOTAL'!R265</f>
        <v>0</v>
      </c>
      <c r="L213" s="70">
        <f>'RESUMEN TOTAL'!S265</f>
        <v>0</v>
      </c>
      <c r="M213" s="70">
        <f>'RESUMEN TOTAL'!T265</f>
        <v>0</v>
      </c>
      <c r="N213" s="70">
        <f>'RESUMEN TOTAL'!U265</f>
        <v>0</v>
      </c>
      <c r="O213" s="70">
        <f>'RESUMEN TOTAL'!V265</f>
        <v>0</v>
      </c>
      <c r="P213" s="70">
        <f>'RESUMEN TOTAL'!W265</f>
        <v>0</v>
      </c>
      <c r="Q213" s="70">
        <f>'RESUMEN TOTAL'!X265</f>
        <v>0</v>
      </c>
      <c r="R213" s="70">
        <f>'RESUMEN TOTAL'!Y265</f>
        <v>0</v>
      </c>
      <c r="S213" s="70">
        <f>'RESUMEN TOTAL'!Z265</f>
        <v>0</v>
      </c>
      <c r="T213" s="70">
        <f>'RESUMEN TOTAL'!AA265</f>
        <v>0</v>
      </c>
      <c r="U213" s="70">
        <f>'RESUMEN TOTAL'!AB265</f>
        <v>0</v>
      </c>
      <c r="V213" s="70">
        <f>'RESUMEN TOTAL'!AC265</f>
        <v>0</v>
      </c>
      <c r="W213" s="70">
        <f>'RESUMEN TOTAL'!AD265</f>
        <v>0</v>
      </c>
      <c r="X213" s="70">
        <f>'RESUMEN TOTAL'!AE265</f>
        <v>0</v>
      </c>
      <c r="Y213" s="70">
        <f>'RESUMEN TOTAL'!AF265</f>
        <v>0</v>
      </c>
      <c r="Z213" s="70">
        <f>'RESUMEN TOTAL'!AG265</f>
        <v>0</v>
      </c>
      <c r="AA213" s="70">
        <f>'RESUMEN TOTAL'!AH265</f>
        <v>0</v>
      </c>
      <c r="AB213" s="70">
        <f>'RESUMEN TOTAL'!AI265</f>
        <v>0</v>
      </c>
      <c r="AC213" s="70">
        <f>'RESUMEN TOTAL'!AJ265</f>
        <v>0</v>
      </c>
      <c r="AD213" s="70">
        <f>'RESUMEN TOTAL'!AK265</f>
        <v>0</v>
      </c>
      <c r="AE213" s="70">
        <f>'RESUMEN TOTAL'!AL265</f>
        <v>0</v>
      </c>
      <c r="AF213" s="70">
        <f>'RESUMEN TOTAL'!AM265</f>
        <v>0</v>
      </c>
      <c r="AG213" s="70">
        <f>'RESUMEN TOTAL'!AN265</f>
        <v>0</v>
      </c>
      <c r="AH213" s="70">
        <f>'RESUMEN TOTAL'!AO265</f>
        <v>0</v>
      </c>
      <c r="AI213" s="70">
        <f>'RESUMEN TOTAL'!AP265</f>
        <v>0</v>
      </c>
      <c r="AJ213" s="70">
        <f>'RESUMEN TOTAL'!AQ265</f>
        <v>0</v>
      </c>
    </row>
    <row r="214" spans="1:36" x14ac:dyDescent="0.25">
      <c r="A214" t="str">
        <f>'RESUMEN TOTAL'!A266</f>
        <v>GOBERNADOR MONTEVERDE</v>
      </c>
      <c r="B214" t="str">
        <f>'RESUMEN TOTAL'!B266</f>
        <v>MON01</v>
      </c>
      <c r="C214" t="str">
        <f>'RESUMEN TOTAL'!D266</f>
        <v>San Martin y Patricias Argentinas</v>
      </c>
      <c r="D214" s="30" t="str">
        <f>'RESUMEN TOTAL'!E266</f>
        <v>Fija</v>
      </c>
      <c r="E214" s="30" t="str">
        <f>'RESUMEN TOTAL'!F266</f>
        <v>Fibra Optica</v>
      </c>
      <c r="F214" s="70">
        <f>'RESUMEN TOTAL'!M266</f>
        <v>0</v>
      </c>
      <c r="G214" s="70">
        <f>'RESUMEN TOTAL'!N266</f>
        <v>0</v>
      </c>
      <c r="H214" s="70">
        <f>'RESUMEN TOTAL'!O266</f>
        <v>0</v>
      </c>
      <c r="I214" s="70">
        <f>'RESUMEN TOTAL'!P266</f>
        <v>0</v>
      </c>
      <c r="J214" s="70">
        <f>'RESUMEN TOTAL'!Q266</f>
        <v>0</v>
      </c>
      <c r="K214" s="70">
        <f>'RESUMEN TOTAL'!R266</f>
        <v>0</v>
      </c>
      <c r="L214" s="70">
        <f>'RESUMEN TOTAL'!S266</f>
        <v>0</v>
      </c>
      <c r="M214" s="70">
        <f>'RESUMEN TOTAL'!T266</f>
        <v>0</v>
      </c>
      <c r="N214" s="70">
        <f>'RESUMEN TOTAL'!U266</f>
        <v>0</v>
      </c>
      <c r="O214" s="70">
        <f>'RESUMEN TOTAL'!V266</f>
        <v>0</v>
      </c>
      <c r="P214" s="70">
        <f>'RESUMEN TOTAL'!W266</f>
        <v>0</v>
      </c>
      <c r="Q214" s="70">
        <f>'RESUMEN TOTAL'!X266</f>
        <v>0</v>
      </c>
      <c r="R214" s="70">
        <f>'RESUMEN TOTAL'!Y266</f>
        <v>0</v>
      </c>
      <c r="S214" s="70">
        <f>'RESUMEN TOTAL'!Z266</f>
        <v>0</v>
      </c>
      <c r="T214" s="70">
        <f>'RESUMEN TOTAL'!AA266</f>
        <v>0</v>
      </c>
      <c r="U214" s="70">
        <f>'RESUMEN TOTAL'!AB266</f>
        <v>0</v>
      </c>
      <c r="V214" s="70">
        <f>'RESUMEN TOTAL'!AC266</f>
        <v>0</v>
      </c>
      <c r="W214" s="70">
        <f>'RESUMEN TOTAL'!AD266</f>
        <v>0</v>
      </c>
      <c r="X214" s="70">
        <f>'RESUMEN TOTAL'!AE266</f>
        <v>0</v>
      </c>
      <c r="Y214" s="70">
        <f>'RESUMEN TOTAL'!AF266</f>
        <v>0</v>
      </c>
      <c r="Z214" s="70">
        <f>'RESUMEN TOTAL'!AG266</f>
        <v>0</v>
      </c>
      <c r="AA214" s="70">
        <f>'RESUMEN TOTAL'!AH266</f>
        <v>0</v>
      </c>
      <c r="AB214" s="70">
        <f>'RESUMEN TOTAL'!AI266</f>
        <v>0</v>
      </c>
      <c r="AC214" s="70">
        <f>'RESUMEN TOTAL'!AJ266</f>
        <v>0</v>
      </c>
      <c r="AD214" s="70">
        <f>'RESUMEN TOTAL'!AK266</f>
        <v>0</v>
      </c>
      <c r="AE214" s="70">
        <f>'RESUMEN TOTAL'!AL266</f>
        <v>0</v>
      </c>
      <c r="AF214" s="70">
        <f>'RESUMEN TOTAL'!AM266</f>
        <v>0</v>
      </c>
      <c r="AG214" s="70">
        <f>'RESUMEN TOTAL'!AN266</f>
        <v>0</v>
      </c>
      <c r="AH214" s="70">
        <f>'RESUMEN TOTAL'!AO266</f>
        <v>0</v>
      </c>
      <c r="AI214" s="70">
        <f>'RESUMEN TOTAL'!AP266</f>
        <v>0</v>
      </c>
      <c r="AJ214" s="70">
        <f>'RESUMEN TOTAL'!AQ266</f>
        <v>0</v>
      </c>
    </row>
    <row r="215" spans="1:36" x14ac:dyDescent="0.25">
      <c r="A215" t="str">
        <f>'RESUMEN TOTAL'!A267</f>
        <v>GOBERNADOR MONTEVERDE</v>
      </c>
      <c r="B215" t="str">
        <f>'RESUMEN TOTAL'!B267</f>
        <v>MON02</v>
      </c>
      <c r="C215" t="str">
        <f>'RESUMEN TOTAL'!D267</f>
        <v>Senzabello y Famatina</v>
      </c>
      <c r="D215" s="30" t="str">
        <f>'RESUMEN TOTAL'!E267</f>
        <v>Domo</v>
      </c>
      <c r="E215" s="30" t="str">
        <f>'RESUMEN TOTAL'!F267</f>
        <v>Fibra Optica</v>
      </c>
      <c r="F215" s="70">
        <f>'RESUMEN TOTAL'!M267</f>
        <v>0</v>
      </c>
      <c r="G215" s="70">
        <f>'RESUMEN TOTAL'!N267</f>
        <v>0</v>
      </c>
      <c r="H215" s="70">
        <f>'RESUMEN TOTAL'!O267</f>
        <v>0</v>
      </c>
      <c r="I215" s="70">
        <f>'RESUMEN TOTAL'!P267</f>
        <v>0</v>
      </c>
      <c r="J215" s="70">
        <f>'RESUMEN TOTAL'!Q267</f>
        <v>0</v>
      </c>
      <c r="K215" s="70">
        <f>'RESUMEN TOTAL'!R267</f>
        <v>0</v>
      </c>
      <c r="L215" s="70">
        <f>'RESUMEN TOTAL'!S267</f>
        <v>0</v>
      </c>
      <c r="M215" s="70">
        <f>'RESUMEN TOTAL'!T267</f>
        <v>0</v>
      </c>
      <c r="N215" s="70">
        <f>'RESUMEN TOTAL'!U267</f>
        <v>0</v>
      </c>
      <c r="O215" s="70">
        <f>'RESUMEN TOTAL'!V267</f>
        <v>0</v>
      </c>
      <c r="P215" s="70">
        <f>'RESUMEN TOTAL'!W267</f>
        <v>0</v>
      </c>
      <c r="Q215" s="70">
        <f>'RESUMEN TOTAL'!X267</f>
        <v>0</v>
      </c>
      <c r="R215" s="70">
        <f>'RESUMEN TOTAL'!Y267</f>
        <v>0</v>
      </c>
      <c r="S215" s="70">
        <f>'RESUMEN TOTAL'!Z267</f>
        <v>0</v>
      </c>
      <c r="T215" s="70">
        <f>'RESUMEN TOTAL'!AA267</f>
        <v>0</v>
      </c>
      <c r="U215" s="70">
        <f>'RESUMEN TOTAL'!AB267</f>
        <v>0</v>
      </c>
      <c r="V215" s="70">
        <f>'RESUMEN TOTAL'!AC267</f>
        <v>0</v>
      </c>
      <c r="W215" s="70">
        <f>'RESUMEN TOTAL'!AD267</f>
        <v>0</v>
      </c>
      <c r="X215" s="70">
        <f>'RESUMEN TOTAL'!AE267</f>
        <v>0</v>
      </c>
      <c r="Y215" s="70">
        <f>'RESUMEN TOTAL'!AF267</f>
        <v>0</v>
      </c>
      <c r="Z215" s="70">
        <f>'RESUMEN TOTAL'!AG267</f>
        <v>0</v>
      </c>
      <c r="AA215" s="70">
        <f>'RESUMEN TOTAL'!AH267</f>
        <v>0</v>
      </c>
      <c r="AB215" s="70">
        <f>'RESUMEN TOTAL'!AI267</f>
        <v>0</v>
      </c>
      <c r="AC215" s="70">
        <f>'RESUMEN TOTAL'!AJ267</f>
        <v>0</v>
      </c>
      <c r="AD215" s="70">
        <f>'RESUMEN TOTAL'!AK267</f>
        <v>0</v>
      </c>
      <c r="AE215" s="70">
        <f>'RESUMEN TOTAL'!AL267</f>
        <v>0</v>
      </c>
      <c r="AF215" s="70">
        <f>'RESUMEN TOTAL'!AM267</f>
        <v>0</v>
      </c>
      <c r="AG215" s="70">
        <f>'RESUMEN TOTAL'!AN267</f>
        <v>0</v>
      </c>
      <c r="AH215" s="70">
        <f>'RESUMEN TOTAL'!AO267</f>
        <v>0</v>
      </c>
      <c r="AI215" s="70">
        <f>'RESUMEN TOTAL'!AP267</f>
        <v>0</v>
      </c>
      <c r="AJ215" s="70">
        <f>'RESUMEN TOTAL'!AQ267</f>
        <v>0</v>
      </c>
    </row>
    <row r="216" spans="1:36" x14ac:dyDescent="0.25">
      <c r="A216" t="str">
        <f>'RESUMEN TOTAL'!A268</f>
        <v>GOBERNADOR MONTEVERDE</v>
      </c>
      <c r="B216" t="str">
        <f>'RESUMEN TOTAL'!B268</f>
        <v>MON03</v>
      </c>
      <c r="C216" t="str">
        <f>'RESUMEN TOTAL'!D268</f>
        <v>Senzabello y Guemes</v>
      </c>
      <c r="D216" s="30" t="str">
        <f>'RESUMEN TOTAL'!E268</f>
        <v>Domo</v>
      </c>
      <c r="E216" s="30" t="str">
        <f>'RESUMEN TOTAL'!F268</f>
        <v>PTO A FO</v>
      </c>
      <c r="F216" s="70">
        <f>'RESUMEN TOTAL'!M268</f>
        <v>0</v>
      </c>
      <c r="G216" s="70">
        <f>'RESUMEN TOTAL'!N268</f>
        <v>0</v>
      </c>
      <c r="H216" s="70">
        <f>'RESUMEN TOTAL'!O268</f>
        <v>0</v>
      </c>
      <c r="I216" s="70">
        <f>'RESUMEN TOTAL'!P268</f>
        <v>0</v>
      </c>
      <c r="J216" s="70">
        <f>'RESUMEN TOTAL'!Q268</f>
        <v>0</v>
      </c>
      <c r="K216" s="70">
        <f>'RESUMEN TOTAL'!R268</f>
        <v>0</v>
      </c>
      <c r="L216" s="70">
        <f>'RESUMEN TOTAL'!S268</f>
        <v>0</v>
      </c>
      <c r="M216" s="70">
        <f>'RESUMEN TOTAL'!T268</f>
        <v>0</v>
      </c>
      <c r="N216" s="70">
        <f>'RESUMEN TOTAL'!U268</f>
        <v>0</v>
      </c>
      <c r="O216" s="70">
        <f>'RESUMEN TOTAL'!V268</f>
        <v>0</v>
      </c>
      <c r="P216" s="70">
        <f>'RESUMEN TOTAL'!W268</f>
        <v>0</v>
      </c>
      <c r="Q216" s="70">
        <f>'RESUMEN TOTAL'!X268</f>
        <v>0</v>
      </c>
      <c r="R216" s="70">
        <f>'RESUMEN TOTAL'!Y268</f>
        <v>0</v>
      </c>
      <c r="S216" s="70">
        <f>'RESUMEN TOTAL'!Z268</f>
        <v>0</v>
      </c>
      <c r="T216" s="70">
        <f>'RESUMEN TOTAL'!AA268</f>
        <v>0</v>
      </c>
      <c r="U216" s="70">
        <f>'RESUMEN TOTAL'!AB268</f>
        <v>0</v>
      </c>
      <c r="V216" s="70">
        <f>'RESUMEN TOTAL'!AC268</f>
        <v>0</v>
      </c>
      <c r="W216" s="70">
        <f>'RESUMEN TOTAL'!AD268</f>
        <v>0</v>
      </c>
      <c r="X216" s="70">
        <f>'RESUMEN TOTAL'!AE268</f>
        <v>0</v>
      </c>
      <c r="Y216" s="70">
        <f>'RESUMEN TOTAL'!AF268</f>
        <v>0</v>
      </c>
      <c r="Z216" s="70">
        <f>'RESUMEN TOTAL'!AG268</f>
        <v>0</v>
      </c>
      <c r="AA216" s="70">
        <f>'RESUMEN TOTAL'!AH268</f>
        <v>0</v>
      </c>
      <c r="AB216" s="70">
        <f>'RESUMEN TOTAL'!AI268</f>
        <v>0</v>
      </c>
      <c r="AC216" s="70">
        <f>'RESUMEN TOTAL'!AJ268</f>
        <v>0</v>
      </c>
      <c r="AD216" s="70">
        <f>'RESUMEN TOTAL'!AK268</f>
        <v>0</v>
      </c>
      <c r="AE216" s="70">
        <f>'RESUMEN TOTAL'!AL268</f>
        <v>0</v>
      </c>
      <c r="AF216" s="70">
        <f>'RESUMEN TOTAL'!AM268</f>
        <v>0</v>
      </c>
      <c r="AG216" s="70">
        <f>'RESUMEN TOTAL'!AN268</f>
        <v>0</v>
      </c>
      <c r="AH216" s="70">
        <f>'RESUMEN TOTAL'!AO268</f>
        <v>0</v>
      </c>
      <c r="AI216" s="70">
        <f>'RESUMEN TOTAL'!AP268</f>
        <v>0</v>
      </c>
      <c r="AJ216" s="70">
        <f>'RESUMEN TOTAL'!AQ268</f>
        <v>0</v>
      </c>
    </row>
    <row r="217" spans="1:36" x14ac:dyDescent="0.25">
      <c r="A217" t="str">
        <f>'RESUMEN TOTAL'!A269</f>
        <v>GOBERNADOR MONTEVERDE</v>
      </c>
      <c r="B217" t="str">
        <f>'RESUMEN TOTAL'!B269</f>
        <v>MON04</v>
      </c>
      <c r="C217" t="str">
        <f>'RESUMEN TOTAL'!D269</f>
        <v>Av. Yrigoyen y San Lorenzo</v>
      </c>
      <c r="D217" s="30" t="str">
        <f>'RESUMEN TOTAL'!E269</f>
        <v>Domo</v>
      </c>
      <c r="E217" s="30" t="str">
        <f>'RESUMEN TOTAL'!F269</f>
        <v>GPON</v>
      </c>
      <c r="F217" s="70">
        <f>'RESUMEN TOTAL'!M269</f>
        <v>0</v>
      </c>
      <c r="G217" s="70">
        <f>'RESUMEN TOTAL'!N269</f>
        <v>0</v>
      </c>
      <c r="H217" s="70">
        <f>'RESUMEN TOTAL'!O269</f>
        <v>0</v>
      </c>
      <c r="I217" s="70">
        <f>'RESUMEN TOTAL'!P269</f>
        <v>0</v>
      </c>
      <c r="J217" s="70">
        <f>'RESUMEN TOTAL'!Q269</f>
        <v>0</v>
      </c>
      <c r="K217" s="70">
        <f>'RESUMEN TOTAL'!R269</f>
        <v>0</v>
      </c>
      <c r="L217" s="70">
        <f>'RESUMEN TOTAL'!S269</f>
        <v>0</v>
      </c>
      <c r="M217" s="70">
        <f>'RESUMEN TOTAL'!T269</f>
        <v>0</v>
      </c>
      <c r="N217" s="70">
        <f>'RESUMEN TOTAL'!U269</f>
        <v>0</v>
      </c>
      <c r="O217" s="70">
        <f>'RESUMEN TOTAL'!V269</f>
        <v>0</v>
      </c>
      <c r="P217" s="70">
        <f>'RESUMEN TOTAL'!W269</f>
        <v>0</v>
      </c>
      <c r="Q217" s="70">
        <f>'RESUMEN TOTAL'!X269</f>
        <v>0</v>
      </c>
      <c r="R217" s="70">
        <f>'RESUMEN TOTAL'!Y269</f>
        <v>0</v>
      </c>
      <c r="S217" s="70">
        <f>'RESUMEN TOTAL'!Z269</f>
        <v>0</v>
      </c>
      <c r="T217" s="70">
        <f>'RESUMEN TOTAL'!AA269</f>
        <v>0</v>
      </c>
      <c r="U217" s="70">
        <f>'RESUMEN TOTAL'!AB269</f>
        <v>0</v>
      </c>
      <c r="V217" s="70">
        <f>'RESUMEN TOTAL'!AC269</f>
        <v>0</v>
      </c>
      <c r="W217" s="70">
        <f>'RESUMEN TOTAL'!AD269</f>
        <v>0</v>
      </c>
      <c r="X217" s="70">
        <f>'RESUMEN TOTAL'!AE269</f>
        <v>0</v>
      </c>
      <c r="Y217" s="70">
        <f>'RESUMEN TOTAL'!AF269</f>
        <v>0</v>
      </c>
      <c r="Z217" s="70">
        <f>'RESUMEN TOTAL'!AG269</f>
        <v>0</v>
      </c>
      <c r="AA217" s="70">
        <f>'RESUMEN TOTAL'!AH269</f>
        <v>0</v>
      </c>
      <c r="AB217" s="70">
        <f>'RESUMEN TOTAL'!AI269</f>
        <v>0</v>
      </c>
      <c r="AC217" s="70">
        <f>'RESUMEN TOTAL'!AJ269</f>
        <v>0</v>
      </c>
      <c r="AD217" s="70">
        <f>'RESUMEN TOTAL'!AK269</f>
        <v>0</v>
      </c>
      <c r="AE217" s="70">
        <f>'RESUMEN TOTAL'!AL269</f>
        <v>0</v>
      </c>
      <c r="AF217" s="70">
        <f>'RESUMEN TOTAL'!AM269</f>
        <v>0</v>
      </c>
      <c r="AG217" s="70">
        <f>'RESUMEN TOTAL'!AN269</f>
        <v>0</v>
      </c>
      <c r="AH217" s="70">
        <f>'RESUMEN TOTAL'!AO269</f>
        <v>0</v>
      </c>
      <c r="AI217" s="70">
        <f>'RESUMEN TOTAL'!AP269</f>
        <v>0</v>
      </c>
      <c r="AJ217" s="70">
        <f>'RESUMEN TOTAL'!AQ269</f>
        <v>0</v>
      </c>
    </row>
    <row r="218" spans="1:36" x14ac:dyDescent="0.25">
      <c r="A218" t="str">
        <f>'RESUMEN TOTAL'!A274</f>
        <v>9 DE JULIO</v>
      </c>
      <c r="B218" t="str">
        <f>'RESUMEN TOTAL'!B274</f>
        <v>NJU 01</v>
      </c>
      <c r="C218" t="str">
        <f>'RESUMEN TOTAL'!D274</f>
        <v>Sallares y Parrillo</v>
      </c>
      <c r="D218" s="30" t="str">
        <f>'RESUMEN TOTAL'!E274</f>
        <v>Domo</v>
      </c>
      <c r="E218" s="30" t="str">
        <f>'RESUMEN TOTAL'!F274</f>
        <v>Fibra Optica</v>
      </c>
      <c r="F218" s="70">
        <f>'RESUMEN TOTAL'!M274</f>
        <v>0</v>
      </c>
      <c r="G218" s="70">
        <f>'RESUMEN TOTAL'!N274</f>
        <v>0</v>
      </c>
      <c r="H218" s="70">
        <f>'RESUMEN TOTAL'!O274</f>
        <v>0</v>
      </c>
      <c r="I218" s="70">
        <f>'RESUMEN TOTAL'!P274</f>
        <v>0</v>
      </c>
      <c r="J218" s="70">
        <f>'RESUMEN TOTAL'!Q274</f>
        <v>0</v>
      </c>
      <c r="K218" s="70">
        <f>'RESUMEN TOTAL'!R274</f>
        <v>0</v>
      </c>
      <c r="L218" s="70">
        <f>'RESUMEN TOTAL'!S274</f>
        <v>0</v>
      </c>
      <c r="M218" s="70">
        <f>'RESUMEN TOTAL'!T274</f>
        <v>0</v>
      </c>
      <c r="N218" s="70">
        <f>'RESUMEN TOTAL'!U274</f>
        <v>0</v>
      </c>
      <c r="O218" s="70">
        <f>'RESUMEN TOTAL'!V274</f>
        <v>0</v>
      </c>
      <c r="P218" s="70">
        <f>'RESUMEN TOTAL'!W274</f>
        <v>0</v>
      </c>
      <c r="Q218" s="70">
        <f>'RESUMEN TOTAL'!X274</f>
        <v>0</v>
      </c>
      <c r="R218" s="70">
        <f>'RESUMEN TOTAL'!Y274</f>
        <v>0</v>
      </c>
      <c r="S218" s="70">
        <f>'RESUMEN TOTAL'!Z274</f>
        <v>0</v>
      </c>
      <c r="T218" s="70">
        <f>'RESUMEN TOTAL'!AA274</f>
        <v>0</v>
      </c>
      <c r="U218" s="70">
        <f>'RESUMEN TOTAL'!AB274</f>
        <v>0</v>
      </c>
      <c r="V218" s="70">
        <f>'RESUMEN TOTAL'!AC274</f>
        <v>0</v>
      </c>
      <c r="W218" s="70">
        <f>'RESUMEN TOTAL'!AD274</f>
        <v>0</v>
      </c>
      <c r="X218" s="70">
        <f>'RESUMEN TOTAL'!AE274</f>
        <v>0</v>
      </c>
      <c r="Y218" s="70">
        <f>'RESUMEN TOTAL'!AF274</f>
        <v>0</v>
      </c>
      <c r="Z218" s="70">
        <f>'RESUMEN TOTAL'!AG274</f>
        <v>0</v>
      </c>
      <c r="AA218" s="70">
        <f>'RESUMEN TOTAL'!AH274</f>
        <v>0</v>
      </c>
      <c r="AB218" s="70">
        <f>'RESUMEN TOTAL'!AI274</f>
        <v>0</v>
      </c>
      <c r="AC218" s="70">
        <f>'RESUMEN TOTAL'!AJ274</f>
        <v>0</v>
      </c>
      <c r="AD218" s="70">
        <f>'RESUMEN TOTAL'!AK274</f>
        <v>0</v>
      </c>
      <c r="AE218" s="70">
        <f>'RESUMEN TOTAL'!AL274</f>
        <v>0</v>
      </c>
      <c r="AF218" s="70">
        <f>'RESUMEN TOTAL'!AM274</f>
        <v>0</v>
      </c>
      <c r="AG218" s="70">
        <f>'RESUMEN TOTAL'!AN274</f>
        <v>0</v>
      </c>
      <c r="AH218" s="70">
        <f>'RESUMEN TOTAL'!AO274</f>
        <v>0</v>
      </c>
      <c r="AI218" s="70">
        <f>'RESUMEN TOTAL'!AP274</f>
        <v>0</v>
      </c>
      <c r="AJ218" s="70">
        <f>'RESUMEN TOTAL'!AQ274</f>
        <v>0</v>
      </c>
    </row>
    <row r="219" spans="1:36" x14ac:dyDescent="0.25">
      <c r="A219" t="str">
        <f>'RESUMEN TOTAL'!A275</f>
        <v>9 DE JULIO</v>
      </c>
      <c r="B219" t="str">
        <f>'RESUMEN TOTAL'!B275</f>
        <v>NJU02</v>
      </c>
      <c r="C219" t="str">
        <f>'RESUMEN TOTAL'!D275</f>
        <v>Ituzaingo y Boccuzzi</v>
      </c>
      <c r="D219" s="30" t="str">
        <f>'RESUMEN TOTAL'!E275</f>
        <v>Domo</v>
      </c>
      <c r="E219" s="30" t="str">
        <f>'RESUMEN TOTAL'!F275</f>
        <v>GPON</v>
      </c>
      <c r="F219" s="70">
        <f>'RESUMEN TOTAL'!M275</f>
        <v>0</v>
      </c>
      <c r="G219" s="70">
        <f>'RESUMEN TOTAL'!N275</f>
        <v>0</v>
      </c>
      <c r="H219" s="70">
        <f>'RESUMEN TOTAL'!O275</f>
        <v>0</v>
      </c>
      <c r="I219" s="70">
        <f>'RESUMEN TOTAL'!P275</f>
        <v>0</v>
      </c>
      <c r="J219" s="70">
        <f>'RESUMEN TOTAL'!Q275</f>
        <v>0</v>
      </c>
      <c r="K219" s="70">
        <f>'RESUMEN TOTAL'!R275</f>
        <v>0</v>
      </c>
      <c r="L219" s="70">
        <f>'RESUMEN TOTAL'!S275</f>
        <v>0</v>
      </c>
      <c r="M219" s="70">
        <f>'RESUMEN TOTAL'!T275</f>
        <v>0</v>
      </c>
      <c r="N219" s="70">
        <f>'RESUMEN TOTAL'!U275</f>
        <v>0</v>
      </c>
      <c r="O219" s="70">
        <f>'RESUMEN TOTAL'!V275</f>
        <v>0</v>
      </c>
      <c r="P219" s="70">
        <f>'RESUMEN TOTAL'!W275</f>
        <v>0</v>
      </c>
      <c r="Q219" s="70">
        <f>'RESUMEN TOTAL'!X275</f>
        <v>0</v>
      </c>
      <c r="R219" s="70">
        <f>'RESUMEN TOTAL'!Y275</f>
        <v>0</v>
      </c>
      <c r="S219" s="70">
        <f>'RESUMEN TOTAL'!Z275</f>
        <v>0</v>
      </c>
      <c r="T219" s="70">
        <f>'RESUMEN TOTAL'!AA275</f>
        <v>0</v>
      </c>
      <c r="U219" s="70">
        <f>'RESUMEN TOTAL'!AB275</f>
        <v>0</v>
      </c>
      <c r="V219" s="70">
        <f>'RESUMEN TOTAL'!AC275</f>
        <v>0</v>
      </c>
      <c r="W219" s="70">
        <f>'RESUMEN TOTAL'!AD275</f>
        <v>0</v>
      </c>
      <c r="X219" s="70">
        <f>'RESUMEN TOTAL'!AE275</f>
        <v>0</v>
      </c>
      <c r="Y219" s="70">
        <f>'RESUMEN TOTAL'!AF275</f>
        <v>0</v>
      </c>
      <c r="Z219" s="70">
        <f>'RESUMEN TOTAL'!AG275</f>
        <v>0</v>
      </c>
      <c r="AA219" s="70">
        <f>'RESUMEN TOTAL'!AH275</f>
        <v>0</v>
      </c>
      <c r="AB219" s="70">
        <f>'RESUMEN TOTAL'!AI275</f>
        <v>0</v>
      </c>
      <c r="AC219" s="70">
        <f>'RESUMEN TOTAL'!AJ275</f>
        <v>0</v>
      </c>
      <c r="AD219" s="70">
        <f>'RESUMEN TOTAL'!AK275</f>
        <v>0</v>
      </c>
      <c r="AE219" s="70">
        <f>'RESUMEN TOTAL'!AL275</f>
        <v>0</v>
      </c>
      <c r="AF219" s="70">
        <f>'RESUMEN TOTAL'!AM275</f>
        <v>0</v>
      </c>
      <c r="AG219" s="70">
        <f>'RESUMEN TOTAL'!AN275</f>
        <v>0</v>
      </c>
      <c r="AH219" s="70">
        <f>'RESUMEN TOTAL'!AO275</f>
        <v>0</v>
      </c>
      <c r="AI219" s="70">
        <f>'RESUMEN TOTAL'!AP275</f>
        <v>0</v>
      </c>
      <c r="AJ219" s="70">
        <f>'RESUMEN TOTAL'!AQ275</f>
        <v>0</v>
      </c>
    </row>
    <row r="220" spans="1:36" x14ac:dyDescent="0.25">
      <c r="A220" t="str">
        <f>'RESUMEN TOTAL'!A276</f>
        <v>9 DE JULIO</v>
      </c>
      <c r="B220" t="str">
        <f>'RESUMEN TOTAL'!B276</f>
        <v>NJU03</v>
      </c>
      <c r="C220" t="str">
        <f>'RESUMEN TOTAL'!D276</f>
        <v>San Juan y Parrillo</v>
      </c>
      <c r="D220" s="30" t="str">
        <f>'RESUMEN TOTAL'!E276</f>
        <v>Domo</v>
      </c>
      <c r="E220" s="30" t="str">
        <f>'RESUMEN TOTAL'!F276</f>
        <v>PTO A FO</v>
      </c>
      <c r="F220" s="70">
        <f>'RESUMEN TOTAL'!M276</f>
        <v>0</v>
      </c>
      <c r="G220" s="70">
        <f>'RESUMEN TOTAL'!N276</f>
        <v>0</v>
      </c>
      <c r="H220" s="70">
        <f>'RESUMEN TOTAL'!O276</f>
        <v>0</v>
      </c>
      <c r="I220" s="70">
        <f>'RESUMEN TOTAL'!P276</f>
        <v>0</v>
      </c>
      <c r="J220" s="70">
        <f>'RESUMEN TOTAL'!Q276</f>
        <v>0</v>
      </c>
      <c r="K220" s="70">
        <f>'RESUMEN TOTAL'!R276</f>
        <v>0</v>
      </c>
      <c r="L220" s="70">
        <f>'RESUMEN TOTAL'!S276</f>
        <v>0</v>
      </c>
      <c r="M220" s="70">
        <f>'RESUMEN TOTAL'!T276</f>
        <v>0</v>
      </c>
      <c r="N220" s="70">
        <f>'RESUMEN TOTAL'!U276</f>
        <v>0</v>
      </c>
      <c r="O220" s="70">
        <f>'RESUMEN TOTAL'!V276</f>
        <v>0</v>
      </c>
      <c r="P220" s="70">
        <f>'RESUMEN TOTAL'!W276</f>
        <v>0</v>
      </c>
      <c r="Q220" s="70">
        <f>'RESUMEN TOTAL'!X276</f>
        <v>0</v>
      </c>
      <c r="R220" s="70">
        <f>'RESUMEN TOTAL'!Y276</f>
        <v>0</v>
      </c>
      <c r="S220" s="70">
        <f>'RESUMEN TOTAL'!Z276</f>
        <v>0</v>
      </c>
      <c r="T220" s="70">
        <f>'RESUMEN TOTAL'!AA276</f>
        <v>0</v>
      </c>
      <c r="U220" s="70">
        <f>'RESUMEN TOTAL'!AB276</f>
        <v>0</v>
      </c>
      <c r="V220" s="70">
        <f>'RESUMEN TOTAL'!AC276</f>
        <v>0</v>
      </c>
      <c r="W220" s="70">
        <f>'RESUMEN TOTAL'!AD276</f>
        <v>0</v>
      </c>
      <c r="X220" s="70">
        <f>'RESUMEN TOTAL'!AE276</f>
        <v>0</v>
      </c>
      <c r="Y220" s="70">
        <f>'RESUMEN TOTAL'!AF276</f>
        <v>0</v>
      </c>
      <c r="Z220" s="70">
        <f>'RESUMEN TOTAL'!AG276</f>
        <v>0</v>
      </c>
      <c r="AA220" s="70">
        <f>'RESUMEN TOTAL'!AH276</f>
        <v>0</v>
      </c>
      <c r="AB220" s="70">
        <f>'RESUMEN TOTAL'!AI276</f>
        <v>0</v>
      </c>
      <c r="AC220" s="70">
        <f>'RESUMEN TOTAL'!AJ276</f>
        <v>0</v>
      </c>
      <c r="AD220" s="70">
        <f>'RESUMEN TOTAL'!AK276</f>
        <v>0</v>
      </c>
      <c r="AE220" s="70">
        <f>'RESUMEN TOTAL'!AL276</f>
        <v>0</v>
      </c>
      <c r="AF220" s="70">
        <f>'RESUMEN TOTAL'!AM276</f>
        <v>0</v>
      </c>
      <c r="AG220" s="70">
        <f>'RESUMEN TOTAL'!AN276</f>
        <v>0</v>
      </c>
      <c r="AH220" s="70">
        <f>'RESUMEN TOTAL'!AO276</f>
        <v>0</v>
      </c>
      <c r="AI220" s="70">
        <f>'RESUMEN TOTAL'!AP276</f>
        <v>0</v>
      </c>
      <c r="AJ220" s="70">
        <f>'RESUMEN TOTAL'!AQ276</f>
        <v>0</v>
      </c>
    </row>
    <row r="221" spans="1:36" x14ac:dyDescent="0.25">
      <c r="A221" t="str">
        <f>'RESUMEN TOTAL'!A277</f>
        <v>9 DE JULIO</v>
      </c>
      <c r="B221" t="str">
        <f>'RESUMEN TOTAL'!B277</f>
        <v>NJU04</v>
      </c>
      <c r="C221" t="str">
        <f>'RESUMEN TOTAL'!D277</f>
        <v>Ituzaingo y 214 A</v>
      </c>
      <c r="D221" s="30" t="str">
        <f>'RESUMEN TOTAL'!E277</f>
        <v>Domo</v>
      </c>
      <c r="E221" s="30" t="str">
        <f>'RESUMEN TOTAL'!F277</f>
        <v>GPON</v>
      </c>
      <c r="F221" s="70">
        <f>'RESUMEN TOTAL'!M277</f>
        <v>0</v>
      </c>
      <c r="G221" s="70">
        <f>'RESUMEN TOTAL'!N277</f>
        <v>0</v>
      </c>
      <c r="H221" s="70">
        <f>'RESUMEN TOTAL'!O277</f>
        <v>0</v>
      </c>
      <c r="I221" s="70">
        <f>'RESUMEN TOTAL'!P277</f>
        <v>0</v>
      </c>
      <c r="J221" s="70">
        <f>'RESUMEN TOTAL'!Q277</f>
        <v>0</v>
      </c>
      <c r="K221" s="70">
        <f>'RESUMEN TOTAL'!R277</f>
        <v>0</v>
      </c>
      <c r="L221" s="70">
        <f>'RESUMEN TOTAL'!S277</f>
        <v>0</v>
      </c>
      <c r="M221" s="70">
        <f>'RESUMEN TOTAL'!T277</f>
        <v>0</v>
      </c>
      <c r="N221" s="70">
        <f>'RESUMEN TOTAL'!U277</f>
        <v>0</v>
      </c>
      <c r="O221" s="70">
        <f>'RESUMEN TOTAL'!V277</f>
        <v>0</v>
      </c>
      <c r="P221" s="70">
        <f>'RESUMEN TOTAL'!W277</f>
        <v>0</v>
      </c>
      <c r="Q221" s="70">
        <f>'RESUMEN TOTAL'!X277</f>
        <v>0</v>
      </c>
      <c r="R221" s="70">
        <f>'RESUMEN TOTAL'!Y277</f>
        <v>0</v>
      </c>
      <c r="S221" s="70">
        <f>'RESUMEN TOTAL'!Z277</f>
        <v>0</v>
      </c>
      <c r="T221" s="70">
        <f>'RESUMEN TOTAL'!AA277</f>
        <v>0</v>
      </c>
      <c r="U221" s="70">
        <f>'RESUMEN TOTAL'!AB277</f>
        <v>0</v>
      </c>
      <c r="V221" s="70">
        <f>'RESUMEN TOTAL'!AC277</f>
        <v>0</v>
      </c>
      <c r="W221" s="70">
        <f>'RESUMEN TOTAL'!AD277</f>
        <v>0</v>
      </c>
      <c r="X221" s="70">
        <f>'RESUMEN TOTAL'!AE277</f>
        <v>0</v>
      </c>
      <c r="Y221" s="70">
        <f>'RESUMEN TOTAL'!AF277</f>
        <v>0</v>
      </c>
      <c r="Z221" s="70">
        <f>'RESUMEN TOTAL'!AG277</f>
        <v>0</v>
      </c>
      <c r="AA221" s="70">
        <f>'RESUMEN TOTAL'!AH277</f>
        <v>0</v>
      </c>
      <c r="AB221" s="70">
        <f>'RESUMEN TOTAL'!AI277</f>
        <v>0</v>
      </c>
      <c r="AC221" s="70">
        <f>'RESUMEN TOTAL'!AJ277</f>
        <v>0</v>
      </c>
      <c r="AD221" s="70">
        <f>'RESUMEN TOTAL'!AK277</f>
        <v>0</v>
      </c>
      <c r="AE221" s="70">
        <f>'RESUMEN TOTAL'!AL277</f>
        <v>0</v>
      </c>
      <c r="AF221" s="70">
        <f>'RESUMEN TOTAL'!AM277</f>
        <v>0</v>
      </c>
      <c r="AG221" s="70">
        <f>'RESUMEN TOTAL'!AN277</f>
        <v>0</v>
      </c>
      <c r="AH221" s="70">
        <f>'RESUMEN TOTAL'!AO277</f>
        <v>0</v>
      </c>
      <c r="AI221" s="70">
        <f>'RESUMEN TOTAL'!AP277</f>
        <v>0</v>
      </c>
      <c r="AJ221" s="70">
        <f>'RESUMEN TOTAL'!AQ277</f>
        <v>0</v>
      </c>
    </row>
    <row r="222" spans="1:36" x14ac:dyDescent="0.25">
      <c r="A222" t="str">
        <f>'RESUMEN TOTAL'!A278</f>
        <v>ZEBALLOS CENTRO</v>
      </c>
      <c r="B222" t="str">
        <f>'RESUMEN TOTAL'!B278</f>
        <v>NJU05</v>
      </c>
      <c r="C222" t="str">
        <f>'RESUMEN TOTAL'!D278</f>
        <v>Ituzaingo y Alem</v>
      </c>
      <c r="D222" s="30" t="str">
        <f>'RESUMEN TOTAL'!E278</f>
        <v>Domo</v>
      </c>
      <c r="E222" s="30" t="str">
        <f>'RESUMEN TOTAL'!F278</f>
        <v>GPON</v>
      </c>
      <c r="F222" s="70">
        <f>'RESUMEN TOTAL'!M278</f>
        <v>0</v>
      </c>
      <c r="G222" s="70">
        <f>'RESUMEN TOTAL'!N278</f>
        <v>0</v>
      </c>
      <c r="H222" s="70">
        <f>'RESUMEN TOTAL'!O278</f>
        <v>0</v>
      </c>
      <c r="I222" s="70">
        <f>'RESUMEN TOTAL'!P278</f>
        <v>0</v>
      </c>
      <c r="J222" s="70">
        <f>'RESUMEN TOTAL'!Q278</f>
        <v>0</v>
      </c>
      <c r="K222" s="70">
        <f>'RESUMEN TOTAL'!R278</f>
        <v>0</v>
      </c>
      <c r="L222" s="70">
        <f>'RESUMEN TOTAL'!S278</f>
        <v>0</v>
      </c>
      <c r="M222" s="70">
        <f>'RESUMEN TOTAL'!T278</f>
        <v>0</v>
      </c>
      <c r="N222" s="70">
        <f>'RESUMEN TOTAL'!U278</f>
        <v>0</v>
      </c>
      <c r="O222" s="70">
        <f>'RESUMEN TOTAL'!V278</f>
        <v>0</v>
      </c>
      <c r="P222" s="70">
        <f>'RESUMEN TOTAL'!W278</f>
        <v>0</v>
      </c>
      <c r="Q222" s="70">
        <f>'RESUMEN TOTAL'!X278</f>
        <v>0</v>
      </c>
      <c r="R222" s="70">
        <f>'RESUMEN TOTAL'!Y278</f>
        <v>0</v>
      </c>
      <c r="S222" s="70">
        <f>'RESUMEN TOTAL'!Z278</f>
        <v>0</v>
      </c>
      <c r="T222" s="70">
        <f>'RESUMEN TOTAL'!AA278</f>
        <v>0</v>
      </c>
      <c r="U222" s="70">
        <f>'RESUMEN TOTAL'!AB278</f>
        <v>0</v>
      </c>
      <c r="V222" s="70">
        <f>'RESUMEN TOTAL'!AC278</f>
        <v>0</v>
      </c>
      <c r="W222" s="70">
        <f>'RESUMEN TOTAL'!AD278</f>
        <v>0</v>
      </c>
      <c r="X222" s="70">
        <f>'RESUMEN TOTAL'!AE278</f>
        <v>0</v>
      </c>
      <c r="Y222" s="70">
        <f>'RESUMEN TOTAL'!AF278</f>
        <v>0</v>
      </c>
      <c r="Z222" s="70">
        <f>'RESUMEN TOTAL'!AG278</f>
        <v>0</v>
      </c>
      <c r="AA222" s="70">
        <f>'RESUMEN TOTAL'!AH278</f>
        <v>0</v>
      </c>
      <c r="AB222" s="70">
        <f>'RESUMEN TOTAL'!AI278</f>
        <v>0</v>
      </c>
      <c r="AC222" s="70">
        <f>'RESUMEN TOTAL'!AJ278</f>
        <v>0</v>
      </c>
      <c r="AD222" s="70">
        <f>'RESUMEN TOTAL'!AK278</f>
        <v>0</v>
      </c>
      <c r="AE222" s="70">
        <f>'RESUMEN TOTAL'!AL278</f>
        <v>0</v>
      </c>
      <c r="AF222" s="70">
        <f>'RESUMEN TOTAL'!AM278</f>
        <v>0</v>
      </c>
      <c r="AG222" s="70">
        <f>'RESUMEN TOTAL'!AN278</f>
        <v>0</v>
      </c>
      <c r="AH222" s="70">
        <f>'RESUMEN TOTAL'!AO278</f>
        <v>0</v>
      </c>
      <c r="AI222" s="70">
        <f>'RESUMEN TOTAL'!AP278</f>
        <v>0</v>
      </c>
      <c r="AJ222" s="70">
        <f>'RESUMEN TOTAL'!AQ278</f>
        <v>0</v>
      </c>
    </row>
    <row r="223" spans="1:36" x14ac:dyDescent="0.25">
      <c r="A223" t="str">
        <f>'RESUMEN TOTAL'!A279</f>
        <v>CENTRO</v>
      </c>
      <c r="B223" t="str">
        <f>'RESUMEN TOTAL'!B279</f>
        <v>NJU06</v>
      </c>
      <c r="C223" t="str">
        <f>'RESUMEN TOTAL'!D279</f>
        <v>Sallares y Rodo</v>
      </c>
      <c r="D223" s="30" t="str">
        <f>'RESUMEN TOTAL'!E279</f>
        <v>Domo</v>
      </c>
      <c r="E223" s="30" t="str">
        <f>'RESUMEN TOTAL'!F279</f>
        <v>Fibra Optica</v>
      </c>
      <c r="F223" s="70">
        <f>'RESUMEN TOTAL'!M279</f>
        <v>0</v>
      </c>
      <c r="G223" s="70">
        <f>'RESUMEN TOTAL'!N279</f>
        <v>0</v>
      </c>
      <c r="H223" s="70">
        <f>'RESUMEN TOTAL'!O279</f>
        <v>0</v>
      </c>
      <c r="I223" s="70">
        <f>'RESUMEN TOTAL'!P279</f>
        <v>0</v>
      </c>
      <c r="J223" s="70">
        <f>'RESUMEN TOTAL'!Q279</f>
        <v>0</v>
      </c>
      <c r="K223" s="70">
        <f>'RESUMEN TOTAL'!R279</f>
        <v>0</v>
      </c>
      <c r="L223" s="70">
        <f>'RESUMEN TOTAL'!S279</f>
        <v>0</v>
      </c>
      <c r="M223" s="70">
        <f>'RESUMEN TOTAL'!T279</f>
        <v>0</v>
      </c>
      <c r="N223" s="70">
        <f>'RESUMEN TOTAL'!U279</f>
        <v>0</v>
      </c>
      <c r="O223" s="70">
        <f>'RESUMEN TOTAL'!V279</f>
        <v>0</v>
      </c>
      <c r="P223" s="70">
        <f>'RESUMEN TOTAL'!W279</f>
        <v>0</v>
      </c>
      <c r="Q223" s="70">
        <f>'RESUMEN TOTAL'!X279</f>
        <v>0</v>
      </c>
      <c r="R223" s="70">
        <f>'RESUMEN TOTAL'!Y279</f>
        <v>0</v>
      </c>
      <c r="S223" s="70">
        <f>'RESUMEN TOTAL'!Z279</f>
        <v>0</v>
      </c>
      <c r="T223" s="70">
        <f>'RESUMEN TOTAL'!AA279</f>
        <v>0</v>
      </c>
      <c r="U223" s="70">
        <f>'RESUMEN TOTAL'!AB279</f>
        <v>0</v>
      </c>
      <c r="V223" s="70">
        <f>'RESUMEN TOTAL'!AC279</f>
        <v>0</v>
      </c>
      <c r="W223" s="70">
        <f>'RESUMEN TOTAL'!AD279</f>
        <v>0</v>
      </c>
      <c r="X223" s="70">
        <f>'RESUMEN TOTAL'!AE279</f>
        <v>0</v>
      </c>
      <c r="Y223" s="70">
        <f>'RESUMEN TOTAL'!AF279</f>
        <v>0</v>
      </c>
      <c r="Z223" s="70">
        <f>'RESUMEN TOTAL'!AG279</f>
        <v>0</v>
      </c>
      <c r="AA223" s="70">
        <f>'RESUMEN TOTAL'!AH279</f>
        <v>0</v>
      </c>
      <c r="AB223" s="70">
        <f>'RESUMEN TOTAL'!AI279</f>
        <v>0</v>
      </c>
      <c r="AC223" s="70">
        <f>'RESUMEN TOTAL'!AJ279</f>
        <v>0</v>
      </c>
      <c r="AD223" s="70">
        <f>'RESUMEN TOTAL'!AK279</f>
        <v>0</v>
      </c>
      <c r="AE223" s="70">
        <f>'RESUMEN TOTAL'!AL279</f>
        <v>0</v>
      </c>
      <c r="AF223" s="70">
        <f>'RESUMEN TOTAL'!AM279</f>
        <v>0</v>
      </c>
      <c r="AG223" s="70">
        <f>'RESUMEN TOTAL'!AN279</f>
        <v>0</v>
      </c>
      <c r="AH223" s="70">
        <f>'RESUMEN TOTAL'!AO279</f>
        <v>0</v>
      </c>
      <c r="AI223" s="70">
        <f>'RESUMEN TOTAL'!AP279</f>
        <v>0</v>
      </c>
      <c r="AJ223" s="70">
        <f>'RESUMEN TOTAL'!AQ279</f>
        <v>0</v>
      </c>
    </row>
    <row r="224" spans="1:36" x14ac:dyDescent="0.25">
      <c r="A224" t="str">
        <f>'RESUMEN TOTAL'!A280</f>
        <v>9 DE JULIO</v>
      </c>
      <c r="B224" t="str">
        <f>'RESUMEN TOTAL'!B280</f>
        <v>NJU07</v>
      </c>
      <c r="C224" t="str">
        <f>'RESUMEN TOTAL'!D280</f>
        <v>Gral. Juan Domingo Peron y Parrillo</v>
      </c>
      <c r="D224" s="30" t="str">
        <f>'RESUMEN TOTAL'!E280</f>
        <v>Domo</v>
      </c>
      <c r="E224" s="30" t="str">
        <f>'RESUMEN TOTAL'!F280</f>
        <v>Fibra Optica</v>
      </c>
      <c r="F224" s="70" t="str">
        <f>'RESUMEN TOTAL'!M280</f>
        <v>APAGADO</v>
      </c>
      <c r="G224" s="70" t="str">
        <f>'RESUMEN TOTAL'!N280</f>
        <v>APAGADO</v>
      </c>
      <c r="H224" s="70" t="str">
        <f>'RESUMEN TOTAL'!O280</f>
        <v>APAGADO</v>
      </c>
      <c r="I224" s="70" t="str">
        <f>'RESUMEN TOTAL'!P280</f>
        <v>APAGADO</v>
      </c>
      <c r="J224" s="70" t="str">
        <f>'RESUMEN TOTAL'!Q280</f>
        <v>APAGADO</v>
      </c>
      <c r="K224" s="70" t="str">
        <f>'RESUMEN TOTAL'!R280</f>
        <v>APAGADO</v>
      </c>
      <c r="L224" s="70" t="str">
        <f>'RESUMEN TOTAL'!S280</f>
        <v>APAGADO</v>
      </c>
      <c r="M224" s="70" t="str">
        <f>'RESUMEN TOTAL'!T280</f>
        <v>APAGADO</v>
      </c>
      <c r="N224" s="70">
        <f>'RESUMEN TOTAL'!U280</f>
        <v>0</v>
      </c>
      <c r="O224" s="70">
        <f>'RESUMEN TOTAL'!V280</f>
        <v>0</v>
      </c>
      <c r="P224" s="70">
        <f>'RESUMEN TOTAL'!W280</f>
        <v>0</v>
      </c>
      <c r="Q224" s="70">
        <f>'RESUMEN TOTAL'!X280</f>
        <v>0</v>
      </c>
      <c r="R224" s="70">
        <f>'RESUMEN TOTAL'!Y280</f>
        <v>0</v>
      </c>
      <c r="S224" s="70">
        <f>'RESUMEN TOTAL'!Z280</f>
        <v>0</v>
      </c>
      <c r="T224" s="70">
        <f>'RESUMEN TOTAL'!AA280</f>
        <v>0</v>
      </c>
      <c r="U224" s="70">
        <f>'RESUMEN TOTAL'!AB280</f>
        <v>0</v>
      </c>
      <c r="V224" s="70">
        <f>'RESUMEN TOTAL'!AC280</f>
        <v>0</v>
      </c>
      <c r="W224" s="70">
        <f>'RESUMEN TOTAL'!AD280</f>
        <v>0</v>
      </c>
      <c r="X224" s="70">
        <f>'RESUMEN TOTAL'!AE280</f>
        <v>0</v>
      </c>
      <c r="Y224" s="70">
        <f>'RESUMEN TOTAL'!AF280</f>
        <v>0</v>
      </c>
      <c r="Z224" s="70">
        <f>'RESUMEN TOTAL'!AG280</f>
        <v>0</v>
      </c>
      <c r="AA224" s="70">
        <f>'RESUMEN TOTAL'!AH280</f>
        <v>0</v>
      </c>
      <c r="AB224" s="70">
        <f>'RESUMEN TOTAL'!AI280</f>
        <v>0</v>
      </c>
      <c r="AC224" s="70">
        <f>'RESUMEN TOTAL'!AJ280</f>
        <v>0</v>
      </c>
      <c r="AD224" s="70">
        <f>'RESUMEN TOTAL'!AK280</f>
        <v>0</v>
      </c>
      <c r="AE224" s="70">
        <f>'RESUMEN TOTAL'!AL280</f>
        <v>0</v>
      </c>
      <c r="AF224" s="70">
        <f>'RESUMEN TOTAL'!AM280</f>
        <v>0</v>
      </c>
      <c r="AG224" s="70">
        <f>'RESUMEN TOTAL'!AN280</f>
        <v>0</v>
      </c>
      <c r="AH224" s="70">
        <f>'RESUMEN TOTAL'!AO280</f>
        <v>0</v>
      </c>
      <c r="AI224" s="70">
        <f>'RESUMEN TOTAL'!AP280</f>
        <v>0</v>
      </c>
      <c r="AJ224" s="70">
        <f>'RESUMEN TOTAL'!AQ280</f>
        <v>0</v>
      </c>
    </row>
    <row r="225" spans="1:36" x14ac:dyDescent="0.25">
      <c r="A225" t="str">
        <f>'RESUMEN TOTAL'!A281</f>
        <v>9 DE JULIO</v>
      </c>
      <c r="B225" t="str">
        <f>'RESUMEN TOTAL'!B281</f>
        <v>NJU 08</v>
      </c>
      <c r="C225" t="str">
        <f>'RESUMEN TOTAL'!D281</f>
        <v>BOCCUZZI Y O HIGGINS</v>
      </c>
      <c r="D225" s="30" t="str">
        <f>'RESUMEN TOTAL'!E281</f>
        <v>DOMO</v>
      </c>
      <c r="E225" s="30" t="str">
        <f>'RESUMEN TOTAL'!F281</f>
        <v>GPON</v>
      </c>
      <c r="F225" s="70">
        <f>'RESUMEN TOTAL'!M281</f>
        <v>0</v>
      </c>
      <c r="G225" s="70">
        <f>'RESUMEN TOTAL'!N281</f>
        <v>0</v>
      </c>
      <c r="H225" s="70">
        <f>'RESUMEN TOTAL'!O281</f>
        <v>0</v>
      </c>
      <c r="I225" s="70">
        <f>'RESUMEN TOTAL'!P281</f>
        <v>0</v>
      </c>
      <c r="J225" s="70">
        <f>'RESUMEN TOTAL'!Q281</f>
        <v>0</v>
      </c>
      <c r="K225" s="70">
        <f>'RESUMEN TOTAL'!R281</f>
        <v>0</v>
      </c>
      <c r="L225" s="70">
        <f>'RESUMEN TOTAL'!S281</f>
        <v>0</v>
      </c>
      <c r="M225" s="70">
        <f>'RESUMEN TOTAL'!T281</f>
        <v>0</v>
      </c>
      <c r="N225" s="70">
        <f>'RESUMEN TOTAL'!U281</f>
        <v>0</v>
      </c>
      <c r="O225" s="70">
        <f>'RESUMEN TOTAL'!V281</f>
        <v>0</v>
      </c>
      <c r="P225" s="70">
        <f>'RESUMEN TOTAL'!W281</f>
        <v>0</v>
      </c>
      <c r="Q225" s="70">
        <f>'RESUMEN TOTAL'!X281</f>
        <v>0</v>
      </c>
      <c r="R225" s="70">
        <f>'RESUMEN TOTAL'!Y281</f>
        <v>0</v>
      </c>
      <c r="S225" s="70">
        <f>'RESUMEN TOTAL'!Z281</f>
        <v>0</v>
      </c>
      <c r="T225" s="70">
        <f>'RESUMEN TOTAL'!AA281</f>
        <v>0</v>
      </c>
      <c r="U225" s="70">
        <f>'RESUMEN TOTAL'!AB281</f>
        <v>0</v>
      </c>
      <c r="V225" s="70">
        <f>'RESUMEN TOTAL'!AC281</f>
        <v>0</v>
      </c>
      <c r="W225" s="70">
        <f>'RESUMEN TOTAL'!AD281</f>
        <v>0</v>
      </c>
      <c r="X225" s="70">
        <f>'RESUMEN TOTAL'!AE281</f>
        <v>0</v>
      </c>
      <c r="Y225" s="70">
        <f>'RESUMEN TOTAL'!AF281</f>
        <v>0</v>
      </c>
      <c r="Z225" s="70">
        <f>'RESUMEN TOTAL'!AG281</f>
        <v>0</v>
      </c>
      <c r="AA225" s="70">
        <f>'RESUMEN TOTAL'!AH281</f>
        <v>0</v>
      </c>
      <c r="AB225" s="70">
        <f>'RESUMEN TOTAL'!AI281</f>
        <v>0</v>
      </c>
      <c r="AC225" s="70">
        <f>'RESUMEN TOTAL'!AJ281</f>
        <v>0</v>
      </c>
      <c r="AD225" s="70">
        <f>'RESUMEN TOTAL'!AK281</f>
        <v>0</v>
      </c>
      <c r="AE225" s="70">
        <f>'RESUMEN TOTAL'!AL281</f>
        <v>0</v>
      </c>
      <c r="AF225" s="70">
        <f>'RESUMEN TOTAL'!AM281</f>
        <v>0</v>
      </c>
      <c r="AG225" s="70">
        <f>'RESUMEN TOTAL'!AN281</f>
        <v>0</v>
      </c>
      <c r="AH225" s="70">
        <f>'RESUMEN TOTAL'!AO281</f>
        <v>0</v>
      </c>
      <c r="AI225" s="70">
        <f>'RESUMEN TOTAL'!AP281</f>
        <v>0</v>
      </c>
      <c r="AJ225" s="70">
        <f>'RESUMEN TOTAL'!AQ281</f>
        <v>0</v>
      </c>
    </row>
    <row r="226" spans="1:36" x14ac:dyDescent="0.25">
      <c r="A226" t="str">
        <f>'RESUMEN TOTAL'!A282</f>
        <v>9 DE JULIO</v>
      </c>
      <c r="B226" t="str">
        <f>'RESUMEN TOTAL'!B282</f>
        <v>NJU09</v>
      </c>
      <c r="C226" t="str">
        <f>'RESUMEN TOTAL'!D282</f>
        <v>PARRILLO Y CONTRERAS</v>
      </c>
      <c r="D226" s="30" t="str">
        <f>'RESUMEN TOTAL'!E282</f>
        <v>DOMO</v>
      </c>
      <c r="E226" s="30" t="str">
        <f>'RESUMEN TOTAL'!F282</f>
        <v>GPON</v>
      </c>
      <c r="F226" s="70">
        <f>'RESUMEN TOTAL'!M282</f>
        <v>0</v>
      </c>
      <c r="G226" s="70" t="str">
        <f>'RESUMEN TOTAL'!N282</f>
        <v>APAGADO</v>
      </c>
      <c r="H226" s="70">
        <f>'RESUMEN TOTAL'!O282</f>
        <v>0</v>
      </c>
      <c r="I226" s="70">
        <f>'RESUMEN TOTAL'!P282</f>
        <v>0</v>
      </c>
      <c r="J226" s="70">
        <f>'RESUMEN TOTAL'!Q282</f>
        <v>0</v>
      </c>
      <c r="K226" s="70">
        <f>'RESUMEN TOTAL'!R282</f>
        <v>0</v>
      </c>
      <c r="L226" s="70">
        <f>'RESUMEN TOTAL'!S282</f>
        <v>0</v>
      </c>
      <c r="M226" s="70">
        <f>'RESUMEN TOTAL'!T282</f>
        <v>0</v>
      </c>
      <c r="N226" s="70">
        <f>'RESUMEN TOTAL'!U282</f>
        <v>0</v>
      </c>
      <c r="O226" s="70">
        <f>'RESUMEN TOTAL'!V282</f>
        <v>0</v>
      </c>
      <c r="P226" s="70">
        <f>'RESUMEN TOTAL'!W282</f>
        <v>0</v>
      </c>
      <c r="Q226" s="70">
        <f>'RESUMEN TOTAL'!X282</f>
        <v>0</v>
      </c>
      <c r="R226" s="70">
        <f>'RESUMEN TOTAL'!Y282</f>
        <v>0</v>
      </c>
      <c r="S226" s="70">
        <f>'RESUMEN TOTAL'!Z282</f>
        <v>0</v>
      </c>
      <c r="T226" s="70">
        <f>'RESUMEN TOTAL'!AA282</f>
        <v>0</v>
      </c>
      <c r="U226" s="70">
        <f>'RESUMEN TOTAL'!AB282</f>
        <v>0</v>
      </c>
      <c r="V226" s="70">
        <f>'RESUMEN TOTAL'!AC282</f>
        <v>0</v>
      </c>
      <c r="W226" s="70">
        <f>'RESUMEN TOTAL'!AD282</f>
        <v>0</v>
      </c>
      <c r="X226" s="70">
        <f>'RESUMEN TOTAL'!AE282</f>
        <v>0</v>
      </c>
      <c r="Y226" s="70">
        <f>'RESUMEN TOTAL'!AF282</f>
        <v>0</v>
      </c>
      <c r="Z226" s="70">
        <f>'RESUMEN TOTAL'!AG282</f>
        <v>0</v>
      </c>
      <c r="AA226" s="70">
        <f>'RESUMEN TOTAL'!AH282</f>
        <v>0</v>
      </c>
      <c r="AB226" s="70">
        <f>'RESUMEN TOTAL'!AI282</f>
        <v>0</v>
      </c>
      <c r="AC226" s="70">
        <f>'RESUMEN TOTAL'!AJ282</f>
        <v>0</v>
      </c>
      <c r="AD226" s="70">
        <f>'RESUMEN TOTAL'!AK282</f>
        <v>0</v>
      </c>
      <c r="AE226" s="70">
        <f>'RESUMEN TOTAL'!AL282</f>
        <v>0</v>
      </c>
      <c r="AF226" s="70">
        <f>'RESUMEN TOTAL'!AM282</f>
        <v>0</v>
      </c>
      <c r="AG226" s="70">
        <f>'RESUMEN TOTAL'!AN282</f>
        <v>0</v>
      </c>
      <c r="AH226" s="70">
        <f>'RESUMEN TOTAL'!AO282</f>
        <v>0</v>
      </c>
      <c r="AI226" s="70">
        <f>'RESUMEN TOTAL'!AP282</f>
        <v>0</v>
      </c>
      <c r="AJ226" s="70">
        <f>'RESUMEN TOTAL'!AQ282</f>
        <v>0</v>
      </c>
    </row>
    <row r="227" spans="1:36" x14ac:dyDescent="0.25">
      <c r="A227" t="str">
        <f>'RESUMEN TOTAL'!A286</f>
        <v>PICO DE ORO</v>
      </c>
      <c r="B227" t="str">
        <f>'RESUMEN TOTAL'!B286</f>
        <v>PCO 01</v>
      </c>
      <c r="C227" t="str">
        <f>'RESUMEN TOTAL'!D286</f>
        <v>CEMENTERIO</v>
      </c>
      <c r="D227" s="30" t="str">
        <f>'RESUMEN TOTAL'!E286</f>
        <v>DOMO</v>
      </c>
      <c r="E227" s="30" t="str">
        <f>'RESUMEN TOTAL'!F286</f>
        <v>Fibra Optica</v>
      </c>
      <c r="F227" s="70">
        <f>'RESUMEN TOTAL'!M286</f>
        <v>0</v>
      </c>
      <c r="G227" s="70">
        <f>'RESUMEN TOTAL'!N286</f>
        <v>0</v>
      </c>
      <c r="H227" s="70">
        <f>'RESUMEN TOTAL'!O286</f>
        <v>0</v>
      </c>
      <c r="I227" s="70">
        <f>'RESUMEN TOTAL'!P286</f>
        <v>0</v>
      </c>
      <c r="J227" s="70">
        <f>'RESUMEN TOTAL'!Q286</f>
        <v>0</v>
      </c>
      <c r="K227" s="70">
        <f>'RESUMEN TOTAL'!R286</f>
        <v>0</v>
      </c>
      <c r="L227" s="70">
        <f>'RESUMEN TOTAL'!S286</f>
        <v>0</v>
      </c>
      <c r="M227" s="70">
        <f>'RESUMEN TOTAL'!T286</f>
        <v>0</v>
      </c>
      <c r="N227" s="70">
        <f>'RESUMEN TOTAL'!U286</f>
        <v>0</v>
      </c>
      <c r="O227" s="70">
        <f>'RESUMEN TOTAL'!V286</f>
        <v>0</v>
      </c>
      <c r="P227" s="70">
        <f>'RESUMEN TOTAL'!W286</f>
        <v>0</v>
      </c>
      <c r="Q227" s="70">
        <f>'RESUMEN TOTAL'!X286</f>
        <v>0</v>
      </c>
      <c r="R227" s="70">
        <f>'RESUMEN TOTAL'!Y286</f>
        <v>0</v>
      </c>
      <c r="S227" s="70">
        <f>'RESUMEN TOTAL'!Z286</f>
        <v>0</v>
      </c>
      <c r="T227" s="70">
        <f>'RESUMEN TOTAL'!AA286</f>
        <v>0</v>
      </c>
      <c r="U227" s="70">
        <f>'RESUMEN TOTAL'!AB286</f>
        <v>0</v>
      </c>
      <c r="V227" s="70">
        <f>'RESUMEN TOTAL'!AC286</f>
        <v>0</v>
      </c>
      <c r="W227" s="70">
        <f>'RESUMEN TOTAL'!AD286</f>
        <v>0</v>
      </c>
      <c r="X227" s="70">
        <f>'RESUMEN TOTAL'!AE286</f>
        <v>0</v>
      </c>
      <c r="Y227" s="70">
        <f>'RESUMEN TOTAL'!AF286</f>
        <v>0</v>
      </c>
      <c r="Z227" s="70">
        <f>'RESUMEN TOTAL'!AG286</f>
        <v>0</v>
      </c>
      <c r="AA227" s="70">
        <f>'RESUMEN TOTAL'!AH286</f>
        <v>0</v>
      </c>
      <c r="AB227" s="70">
        <f>'RESUMEN TOTAL'!AI286</f>
        <v>0</v>
      </c>
      <c r="AC227" s="70">
        <f>'RESUMEN TOTAL'!AJ286</f>
        <v>0</v>
      </c>
      <c r="AD227" s="70">
        <f>'RESUMEN TOTAL'!AK286</f>
        <v>0</v>
      </c>
      <c r="AE227" s="70">
        <f>'RESUMEN TOTAL'!AL286</f>
        <v>0</v>
      </c>
      <c r="AF227" s="70">
        <f>'RESUMEN TOTAL'!AM286</f>
        <v>0</v>
      </c>
      <c r="AG227" s="70">
        <f>'RESUMEN TOTAL'!AN286</f>
        <v>0</v>
      </c>
      <c r="AH227" s="70">
        <f>'RESUMEN TOTAL'!AO286</f>
        <v>0</v>
      </c>
      <c r="AI227" s="70">
        <f>'RESUMEN TOTAL'!AP286</f>
        <v>0</v>
      </c>
      <c r="AJ227" s="70">
        <f>'RESUMEN TOTAL'!AQ286</f>
        <v>0</v>
      </c>
    </row>
    <row r="228" spans="1:36" x14ac:dyDescent="0.25">
      <c r="A228" t="str">
        <f>'RESUMEN TOTAL'!A287</f>
        <v>PICO DE ORO</v>
      </c>
      <c r="B228" t="str">
        <f>'RESUMEN TOTAL'!B287</f>
        <v>PCO02 (fija 1)</v>
      </c>
      <c r="C228" t="str">
        <f>'RESUMEN TOTAL'!D287</f>
        <v>SICILIA E/ VIENA Y VARSOVIA</v>
      </c>
      <c r="D228" s="30" t="str">
        <f>'RESUMEN TOTAL'!E287</f>
        <v>Fija</v>
      </c>
      <c r="E228" s="30" t="str">
        <f>'RESUMEN TOTAL'!F287</f>
        <v>Fibra Optica</v>
      </c>
      <c r="F228" s="70">
        <f>'RESUMEN TOTAL'!M287</f>
        <v>0</v>
      </c>
      <c r="G228" s="70">
        <f>'RESUMEN TOTAL'!N287</f>
        <v>0</v>
      </c>
      <c r="H228" s="70">
        <f>'RESUMEN TOTAL'!O287</f>
        <v>0</v>
      </c>
      <c r="I228" s="70">
        <f>'RESUMEN TOTAL'!P287</f>
        <v>0</v>
      </c>
      <c r="J228" s="70">
        <f>'RESUMEN TOTAL'!Q287</f>
        <v>0</v>
      </c>
      <c r="K228" s="70">
        <f>'RESUMEN TOTAL'!R287</f>
        <v>0</v>
      </c>
      <c r="L228" s="70">
        <f>'RESUMEN TOTAL'!S287</f>
        <v>0</v>
      </c>
      <c r="M228" s="70">
        <f>'RESUMEN TOTAL'!T287</f>
        <v>0</v>
      </c>
      <c r="N228" s="70">
        <f>'RESUMEN TOTAL'!U287</f>
        <v>0</v>
      </c>
      <c r="O228" s="70">
        <f>'RESUMEN TOTAL'!V287</f>
        <v>0</v>
      </c>
      <c r="P228" s="70">
        <f>'RESUMEN TOTAL'!W287</f>
        <v>0</v>
      </c>
      <c r="Q228" s="70">
        <f>'RESUMEN TOTAL'!X287</f>
        <v>0</v>
      </c>
      <c r="R228" s="70">
        <f>'RESUMEN TOTAL'!Y287</f>
        <v>0</v>
      </c>
      <c r="S228" s="70">
        <f>'RESUMEN TOTAL'!Z287</f>
        <v>0</v>
      </c>
      <c r="T228" s="70">
        <f>'RESUMEN TOTAL'!AA287</f>
        <v>0</v>
      </c>
      <c r="U228" s="70">
        <f>'RESUMEN TOTAL'!AB287</f>
        <v>0</v>
      </c>
      <c r="V228" s="70">
        <f>'RESUMEN TOTAL'!AC287</f>
        <v>0</v>
      </c>
      <c r="W228" s="70">
        <f>'RESUMEN TOTAL'!AD287</f>
        <v>0</v>
      </c>
      <c r="X228" s="70">
        <f>'RESUMEN TOTAL'!AE287</f>
        <v>0</v>
      </c>
      <c r="Y228" s="70">
        <f>'RESUMEN TOTAL'!AF287</f>
        <v>0</v>
      </c>
      <c r="Z228" s="70">
        <f>'RESUMEN TOTAL'!AG287</f>
        <v>0</v>
      </c>
      <c r="AA228" s="70">
        <f>'RESUMEN TOTAL'!AH287</f>
        <v>0</v>
      </c>
      <c r="AB228" s="70">
        <f>'RESUMEN TOTAL'!AI287</f>
        <v>0</v>
      </c>
      <c r="AC228" s="70">
        <f>'RESUMEN TOTAL'!AJ287</f>
        <v>0</v>
      </c>
      <c r="AD228" s="70">
        <f>'RESUMEN TOTAL'!AK287</f>
        <v>0</v>
      </c>
      <c r="AE228" s="70">
        <f>'RESUMEN TOTAL'!AL287</f>
        <v>0</v>
      </c>
      <c r="AF228" s="70">
        <f>'RESUMEN TOTAL'!AM287</f>
        <v>0</v>
      </c>
      <c r="AG228" s="70">
        <f>'RESUMEN TOTAL'!AN287</f>
        <v>0</v>
      </c>
      <c r="AH228" s="70">
        <f>'RESUMEN TOTAL'!AO287</f>
        <v>0</v>
      </c>
      <c r="AI228" s="70">
        <f>'RESUMEN TOTAL'!AP287</f>
        <v>0</v>
      </c>
      <c r="AJ228" s="70">
        <f>'RESUMEN TOTAL'!AQ287</f>
        <v>0</v>
      </c>
    </row>
    <row r="229" spans="1:36" x14ac:dyDescent="0.25">
      <c r="A229" t="str">
        <f>'RESUMEN TOTAL'!A288</f>
        <v>PICO DE ORO</v>
      </c>
      <c r="B229" t="str">
        <f>'RESUMEN TOTAL'!B288</f>
        <v>PCO03 (fija 2)</v>
      </c>
      <c r="C229" t="str">
        <f>'RESUMEN TOTAL'!D288</f>
        <v>SICILIA E/ VIENA Y VARSOVIA</v>
      </c>
      <c r="D229" s="30" t="str">
        <f>'RESUMEN TOTAL'!E288</f>
        <v>Fija</v>
      </c>
      <c r="E229" s="30" t="str">
        <f>'RESUMEN TOTAL'!F288</f>
        <v>Fibra Optica</v>
      </c>
      <c r="F229" s="70">
        <f>'RESUMEN TOTAL'!M288</f>
        <v>0</v>
      </c>
      <c r="G229" s="70">
        <f>'RESUMEN TOTAL'!N288</f>
        <v>0</v>
      </c>
      <c r="H229" s="70">
        <f>'RESUMEN TOTAL'!O288</f>
        <v>0</v>
      </c>
      <c r="I229" s="70">
        <f>'RESUMEN TOTAL'!P288</f>
        <v>0</v>
      </c>
      <c r="J229" s="70">
        <f>'RESUMEN TOTAL'!Q288</f>
        <v>0</v>
      </c>
      <c r="K229" s="70">
        <f>'RESUMEN TOTAL'!R288</f>
        <v>0</v>
      </c>
      <c r="L229" s="70">
        <f>'RESUMEN TOTAL'!S288</f>
        <v>0</v>
      </c>
      <c r="M229" s="70">
        <f>'RESUMEN TOTAL'!T288</f>
        <v>0</v>
      </c>
      <c r="N229" s="70">
        <f>'RESUMEN TOTAL'!U288</f>
        <v>0</v>
      </c>
      <c r="O229" s="70">
        <f>'RESUMEN TOTAL'!V288</f>
        <v>0</v>
      </c>
      <c r="P229" s="70">
        <f>'RESUMEN TOTAL'!W288</f>
        <v>0</v>
      </c>
      <c r="Q229" s="70">
        <f>'RESUMEN TOTAL'!X288</f>
        <v>0</v>
      </c>
      <c r="R229" s="70">
        <f>'RESUMEN TOTAL'!Y288</f>
        <v>0</v>
      </c>
      <c r="S229" s="70">
        <f>'RESUMEN TOTAL'!Z288</f>
        <v>0</v>
      </c>
      <c r="T229" s="70">
        <f>'RESUMEN TOTAL'!AA288</f>
        <v>0</v>
      </c>
      <c r="U229" s="70">
        <f>'RESUMEN TOTAL'!AB288</f>
        <v>0</v>
      </c>
      <c r="V229" s="70">
        <f>'RESUMEN TOTAL'!AC288</f>
        <v>0</v>
      </c>
      <c r="W229" s="70">
        <f>'RESUMEN TOTAL'!AD288</f>
        <v>0</v>
      </c>
      <c r="X229" s="70">
        <f>'RESUMEN TOTAL'!AE288</f>
        <v>0</v>
      </c>
      <c r="Y229" s="70">
        <f>'RESUMEN TOTAL'!AF288</f>
        <v>0</v>
      </c>
      <c r="Z229" s="70">
        <f>'RESUMEN TOTAL'!AG288</f>
        <v>0</v>
      </c>
      <c r="AA229" s="70">
        <f>'RESUMEN TOTAL'!AH288</f>
        <v>0</v>
      </c>
      <c r="AB229" s="70">
        <f>'RESUMEN TOTAL'!AI288</f>
        <v>0</v>
      </c>
      <c r="AC229" s="70">
        <f>'RESUMEN TOTAL'!AJ288</f>
        <v>0</v>
      </c>
      <c r="AD229" s="70">
        <f>'RESUMEN TOTAL'!AK288</f>
        <v>0</v>
      </c>
      <c r="AE229" s="70">
        <f>'RESUMEN TOTAL'!AL288</f>
        <v>0</v>
      </c>
      <c r="AF229" s="70">
        <f>'RESUMEN TOTAL'!AM288</f>
        <v>0</v>
      </c>
      <c r="AG229" s="70">
        <f>'RESUMEN TOTAL'!AN288</f>
        <v>0</v>
      </c>
      <c r="AH229" s="70">
        <f>'RESUMEN TOTAL'!AO288</f>
        <v>0</v>
      </c>
      <c r="AI229" s="70">
        <f>'RESUMEN TOTAL'!AP288</f>
        <v>0</v>
      </c>
      <c r="AJ229" s="70">
        <f>'RESUMEN TOTAL'!AQ288</f>
        <v>0</v>
      </c>
    </row>
    <row r="230" spans="1:36" x14ac:dyDescent="0.25">
      <c r="A230" t="str">
        <f>'RESUMEN TOTAL'!A289</f>
        <v>PICO DE ORO</v>
      </c>
      <c r="B230" t="str">
        <f>'RESUMEN TOTAL'!B289</f>
        <v>PCO04 (fija 1)</v>
      </c>
      <c r="C230" t="str">
        <f>'RESUMEN TOTAL'!D289</f>
        <v>BERNA Y POLONIA</v>
      </c>
      <c r="D230" s="30" t="str">
        <f>'RESUMEN TOTAL'!E289</f>
        <v>Fija</v>
      </c>
      <c r="E230" s="30" t="str">
        <f>'RESUMEN TOTAL'!F289</f>
        <v>Fibra Optica</v>
      </c>
      <c r="F230" s="70">
        <f>'RESUMEN TOTAL'!M289</f>
        <v>0</v>
      </c>
      <c r="G230" s="70">
        <f>'RESUMEN TOTAL'!N289</f>
        <v>0</v>
      </c>
      <c r="H230" s="70">
        <f>'RESUMEN TOTAL'!O289</f>
        <v>0</v>
      </c>
      <c r="I230" s="70">
        <f>'RESUMEN TOTAL'!P289</f>
        <v>0</v>
      </c>
      <c r="J230" s="70">
        <f>'RESUMEN TOTAL'!Q289</f>
        <v>0</v>
      </c>
      <c r="K230" s="70">
        <f>'RESUMEN TOTAL'!R289</f>
        <v>0</v>
      </c>
      <c r="L230" s="70">
        <f>'RESUMEN TOTAL'!S289</f>
        <v>0</v>
      </c>
      <c r="M230" s="70">
        <f>'RESUMEN TOTAL'!T289</f>
        <v>0</v>
      </c>
      <c r="N230" s="70">
        <f>'RESUMEN TOTAL'!U289</f>
        <v>0</v>
      </c>
      <c r="O230" s="70">
        <f>'RESUMEN TOTAL'!V289</f>
        <v>0</v>
      </c>
      <c r="P230" s="70">
        <f>'RESUMEN TOTAL'!W289</f>
        <v>0</v>
      </c>
      <c r="Q230" s="70">
        <f>'RESUMEN TOTAL'!X289</f>
        <v>0</v>
      </c>
      <c r="R230" s="70">
        <f>'RESUMEN TOTAL'!Y289</f>
        <v>0</v>
      </c>
      <c r="S230" s="70">
        <f>'RESUMEN TOTAL'!Z289</f>
        <v>0</v>
      </c>
      <c r="T230" s="70">
        <f>'RESUMEN TOTAL'!AA289</f>
        <v>0</v>
      </c>
      <c r="U230" s="70">
        <f>'RESUMEN TOTAL'!AB289</f>
        <v>0</v>
      </c>
      <c r="V230" s="70">
        <f>'RESUMEN TOTAL'!AC289</f>
        <v>0</v>
      </c>
      <c r="W230" s="70">
        <f>'RESUMEN TOTAL'!AD289</f>
        <v>0</v>
      </c>
      <c r="X230" s="70">
        <f>'RESUMEN TOTAL'!AE289</f>
        <v>0</v>
      </c>
      <c r="Y230" s="70">
        <f>'RESUMEN TOTAL'!AF289</f>
        <v>0</v>
      </c>
      <c r="Z230" s="70">
        <f>'RESUMEN TOTAL'!AG289</f>
        <v>0</v>
      </c>
      <c r="AA230" s="70">
        <f>'RESUMEN TOTAL'!AH289</f>
        <v>0</v>
      </c>
      <c r="AB230" s="70">
        <f>'RESUMEN TOTAL'!AI289</f>
        <v>0</v>
      </c>
      <c r="AC230" s="70">
        <f>'RESUMEN TOTAL'!AJ289</f>
        <v>0</v>
      </c>
      <c r="AD230" s="70">
        <f>'RESUMEN TOTAL'!AK289</f>
        <v>0</v>
      </c>
      <c r="AE230" s="70">
        <f>'RESUMEN TOTAL'!AL289</f>
        <v>0</v>
      </c>
      <c r="AF230" s="70">
        <f>'RESUMEN TOTAL'!AM289</f>
        <v>0</v>
      </c>
      <c r="AG230" s="70">
        <f>'RESUMEN TOTAL'!AN289</f>
        <v>0</v>
      </c>
      <c r="AH230" s="70">
        <f>'RESUMEN TOTAL'!AO289</f>
        <v>0</v>
      </c>
      <c r="AI230" s="70">
        <f>'RESUMEN TOTAL'!AP289</f>
        <v>0</v>
      </c>
      <c r="AJ230" s="70">
        <f>'RESUMEN TOTAL'!AQ289</f>
        <v>0</v>
      </c>
    </row>
    <row r="231" spans="1:36" x14ac:dyDescent="0.25">
      <c r="A231" t="str">
        <f>'RESUMEN TOTAL'!A290</f>
        <v>PICO DE ORO</v>
      </c>
      <c r="B231" t="str">
        <f>'RESUMEN TOTAL'!B290</f>
        <v>PCO05 (fija 2)</v>
      </c>
      <c r="C231" t="str">
        <f>'RESUMEN TOTAL'!D290</f>
        <v>BERNA Y POLONIA</v>
      </c>
      <c r="D231" s="30" t="str">
        <f>'RESUMEN TOTAL'!E290</f>
        <v>Fija</v>
      </c>
      <c r="E231" s="30" t="str">
        <f>'RESUMEN TOTAL'!F290</f>
        <v>Fibra Optica</v>
      </c>
      <c r="F231" s="70">
        <f>'RESUMEN TOTAL'!M290</f>
        <v>0</v>
      </c>
      <c r="G231" s="70">
        <f>'RESUMEN TOTAL'!N290</f>
        <v>0</v>
      </c>
      <c r="H231" s="70">
        <f>'RESUMEN TOTAL'!O290</f>
        <v>0</v>
      </c>
      <c r="I231" s="70">
        <f>'RESUMEN TOTAL'!P290</f>
        <v>0</v>
      </c>
      <c r="J231" s="70">
        <f>'RESUMEN TOTAL'!Q290</f>
        <v>0</v>
      </c>
      <c r="K231" s="70">
        <f>'RESUMEN TOTAL'!R290</f>
        <v>0</v>
      </c>
      <c r="L231" s="70">
        <f>'RESUMEN TOTAL'!S290</f>
        <v>0</v>
      </c>
      <c r="M231" s="70">
        <f>'RESUMEN TOTAL'!T290</f>
        <v>0</v>
      </c>
      <c r="N231" s="70">
        <f>'RESUMEN TOTAL'!U290</f>
        <v>0</v>
      </c>
      <c r="O231" s="70">
        <f>'RESUMEN TOTAL'!V290</f>
        <v>0</v>
      </c>
      <c r="P231" s="70">
        <f>'RESUMEN TOTAL'!W290</f>
        <v>0</v>
      </c>
      <c r="Q231" s="70">
        <f>'RESUMEN TOTAL'!X290</f>
        <v>0</v>
      </c>
      <c r="R231" s="70">
        <f>'RESUMEN TOTAL'!Y290</f>
        <v>0</v>
      </c>
      <c r="S231" s="70">
        <f>'RESUMEN TOTAL'!Z290</f>
        <v>0</v>
      </c>
      <c r="T231" s="70">
        <f>'RESUMEN TOTAL'!AA290</f>
        <v>0</v>
      </c>
      <c r="U231" s="70">
        <f>'RESUMEN TOTAL'!AB290</f>
        <v>0</v>
      </c>
      <c r="V231" s="70">
        <f>'RESUMEN TOTAL'!AC290</f>
        <v>0</v>
      </c>
      <c r="W231" s="70">
        <f>'RESUMEN TOTAL'!AD290</f>
        <v>0</v>
      </c>
      <c r="X231" s="70">
        <f>'RESUMEN TOTAL'!AE290</f>
        <v>0</v>
      </c>
      <c r="Y231" s="70">
        <f>'RESUMEN TOTAL'!AF290</f>
        <v>0</v>
      </c>
      <c r="Z231" s="70">
        <f>'RESUMEN TOTAL'!AG290</f>
        <v>0</v>
      </c>
      <c r="AA231" s="70">
        <f>'RESUMEN TOTAL'!AH290</f>
        <v>0</v>
      </c>
      <c r="AB231" s="70">
        <f>'RESUMEN TOTAL'!AI290</f>
        <v>0</v>
      </c>
      <c r="AC231" s="70">
        <f>'RESUMEN TOTAL'!AJ290</f>
        <v>0</v>
      </c>
      <c r="AD231" s="70">
        <f>'RESUMEN TOTAL'!AK290</f>
        <v>0</v>
      </c>
      <c r="AE231" s="70">
        <f>'RESUMEN TOTAL'!AL290</f>
        <v>0</v>
      </c>
      <c r="AF231" s="70">
        <f>'RESUMEN TOTAL'!AM290</f>
        <v>0</v>
      </c>
      <c r="AG231" s="70">
        <f>'RESUMEN TOTAL'!AN290</f>
        <v>0</v>
      </c>
      <c r="AH231" s="70">
        <f>'RESUMEN TOTAL'!AO290</f>
        <v>0</v>
      </c>
      <c r="AI231" s="70">
        <f>'RESUMEN TOTAL'!AP290</f>
        <v>0</v>
      </c>
      <c r="AJ231" s="70">
        <f>'RESUMEN TOTAL'!AQ290</f>
        <v>0</v>
      </c>
    </row>
    <row r="232" spans="1:36" x14ac:dyDescent="0.25">
      <c r="A232" t="str">
        <f>'RESUMEN TOTAL'!A291</f>
        <v>AGUSTIN RAMIREZ</v>
      </c>
      <c r="B232" t="str">
        <f>'RESUMEN TOTAL'!B291</f>
        <v>PUNTO SEGURO - AGUSTIN RAMIREZ (domo)</v>
      </c>
      <c r="C232" t="str">
        <f>'RESUMEN TOTAL'!D291</f>
        <v>EL MALAMBO Y LA TRANQUERA</v>
      </c>
      <c r="D232" s="30" t="str">
        <f>'RESUMEN TOTAL'!E291</f>
        <v>DOMO</v>
      </c>
      <c r="E232" s="30" t="str">
        <f>'RESUMEN TOTAL'!F291</f>
        <v>Fibra Optica</v>
      </c>
      <c r="F232" s="70">
        <f>'RESUMEN TOTAL'!M291</f>
        <v>0</v>
      </c>
      <c r="G232" s="70">
        <f>'RESUMEN TOTAL'!N291</f>
        <v>0</v>
      </c>
      <c r="H232" s="70">
        <f>'RESUMEN TOTAL'!O291</f>
        <v>0</v>
      </c>
      <c r="I232" s="70">
        <f>'RESUMEN TOTAL'!P291</f>
        <v>0</v>
      </c>
      <c r="J232" s="70">
        <f>'RESUMEN TOTAL'!Q291</f>
        <v>0</v>
      </c>
      <c r="K232" s="70">
        <f>'RESUMEN TOTAL'!R291</f>
        <v>0</v>
      </c>
      <c r="L232" s="70">
        <f>'RESUMEN TOTAL'!S291</f>
        <v>0</v>
      </c>
      <c r="M232" s="70">
        <f>'RESUMEN TOTAL'!T291</f>
        <v>0</v>
      </c>
      <c r="N232" s="70">
        <f>'RESUMEN TOTAL'!U291</f>
        <v>0</v>
      </c>
      <c r="O232" s="70">
        <f>'RESUMEN TOTAL'!V291</f>
        <v>0</v>
      </c>
      <c r="P232" s="70">
        <f>'RESUMEN TOTAL'!W291</f>
        <v>0</v>
      </c>
      <c r="Q232" s="70">
        <f>'RESUMEN TOTAL'!X291</f>
        <v>0</v>
      </c>
      <c r="R232" s="70">
        <f>'RESUMEN TOTAL'!Y291</f>
        <v>0</v>
      </c>
      <c r="S232" s="70">
        <f>'RESUMEN TOTAL'!Z291</f>
        <v>0</v>
      </c>
      <c r="T232" s="70">
        <f>'RESUMEN TOTAL'!AA291</f>
        <v>0</v>
      </c>
      <c r="U232" s="70">
        <f>'RESUMEN TOTAL'!AB291</f>
        <v>0</v>
      </c>
      <c r="V232" s="70">
        <f>'RESUMEN TOTAL'!AC291</f>
        <v>0</v>
      </c>
      <c r="W232" s="70">
        <f>'RESUMEN TOTAL'!AD291</f>
        <v>0</v>
      </c>
      <c r="X232" s="70">
        <f>'RESUMEN TOTAL'!AE291</f>
        <v>0</v>
      </c>
      <c r="Y232" s="70">
        <f>'RESUMEN TOTAL'!AF291</f>
        <v>0</v>
      </c>
      <c r="Z232" s="70">
        <f>'RESUMEN TOTAL'!AG291</f>
        <v>0</v>
      </c>
      <c r="AA232" s="70">
        <f>'RESUMEN TOTAL'!AH291</f>
        <v>0</v>
      </c>
      <c r="AB232" s="70">
        <f>'RESUMEN TOTAL'!AI291</f>
        <v>0</v>
      </c>
      <c r="AC232" s="70">
        <f>'RESUMEN TOTAL'!AJ291</f>
        <v>0</v>
      </c>
      <c r="AD232" s="70">
        <f>'RESUMEN TOTAL'!AK291</f>
        <v>0</v>
      </c>
      <c r="AE232" s="70">
        <f>'RESUMEN TOTAL'!AL291</f>
        <v>0</v>
      </c>
      <c r="AF232" s="70">
        <f>'RESUMEN TOTAL'!AM291</f>
        <v>0</v>
      </c>
      <c r="AG232" s="70">
        <f>'RESUMEN TOTAL'!AN291</f>
        <v>0</v>
      </c>
      <c r="AH232" s="70">
        <f>'RESUMEN TOTAL'!AO291</f>
        <v>0</v>
      </c>
      <c r="AI232" s="70">
        <f>'RESUMEN TOTAL'!AP291</f>
        <v>0</v>
      </c>
      <c r="AJ232" s="70">
        <f>'RESUMEN TOTAL'!AQ291</f>
        <v>0</v>
      </c>
    </row>
    <row r="233" spans="1:36" x14ac:dyDescent="0.25">
      <c r="A233" t="str">
        <f>'RESUMEN TOTAL'!A292</f>
        <v>AGUSTIN RAMIREZ</v>
      </c>
      <c r="B233" t="str">
        <f>'RESUMEN TOTAL'!B292</f>
        <v>PUNTO SEGURO - AGUSTIN RAMIREZ (fija)</v>
      </c>
      <c r="C233" t="str">
        <f>'RESUMEN TOTAL'!D292</f>
        <v>EL MALAMBO Y LA TRANQUERA</v>
      </c>
      <c r="D233" s="30" t="str">
        <f>'RESUMEN TOTAL'!E292</f>
        <v>Fija</v>
      </c>
      <c r="E233" s="30" t="str">
        <f>'RESUMEN TOTAL'!F292</f>
        <v>Fibra Optica</v>
      </c>
      <c r="F233" s="70">
        <f>'RESUMEN TOTAL'!M292</f>
        <v>0</v>
      </c>
      <c r="G233" s="70">
        <f>'RESUMEN TOTAL'!N292</f>
        <v>0</v>
      </c>
      <c r="H233" s="70">
        <f>'RESUMEN TOTAL'!O292</f>
        <v>0</v>
      </c>
      <c r="I233" s="70">
        <f>'RESUMEN TOTAL'!P292</f>
        <v>0</v>
      </c>
      <c r="J233" s="70">
        <f>'RESUMEN TOTAL'!Q292</f>
        <v>0</v>
      </c>
      <c r="K233" s="70">
        <f>'RESUMEN TOTAL'!R292</f>
        <v>0</v>
      </c>
      <c r="L233" s="70">
        <f>'RESUMEN TOTAL'!S292</f>
        <v>0</v>
      </c>
      <c r="M233" s="70">
        <f>'RESUMEN TOTAL'!T292</f>
        <v>0</v>
      </c>
      <c r="N233" s="70">
        <f>'RESUMEN TOTAL'!U292</f>
        <v>0</v>
      </c>
      <c r="O233" s="70">
        <f>'RESUMEN TOTAL'!V292</f>
        <v>0</v>
      </c>
      <c r="P233" s="70">
        <f>'RESUMEN TOTAL'!W292</f>
        <v>0</v>
      </c>
      <c r="Q233" s="70">
        <f>'RESUMEN TOTAL'!X292</f>
        <v>0</v>
      </c>
      <c r="R233" s="70">
        <f>'RESUMEN TOTAL'!Y292</f>
        <v>0</v>
      </c>
      <c r="S233" s="70">
        <f>'RESUMEN TOTAL'!Z292</f>
        <v>0</v>
      </c>
      <c r="T233" s="70">
        <f>'RESUMEN TOTAL'!AA292</f>
        <v>0</v>
      </c>
      <c r="U233" s="70">
        <f>'RESUMEN TOTAL'!AB292</f>
        <v>0</v>
      </c>
      <c r="V233" s="70">
        <f>'RESUMEN TOTAL'!AC292</f>
        <v>0</v>
      </c>
      <c r="W233" s="70">
        <f>'RESUMEN TOTAL'!AD292</f>
        <v>0</v>
      </c>
      <c r="X233" s="70">
        <f>'RESUMEN TOTAL'!AE292</f>
        <v>0</v>
      </c>
      <c r="Y233" s="70">
        <f>'RESUMEN TOTAL'!AF292</f>
        <v>0</v>
      </c>
      <c r="Z233" s="70">
        <f>'RESUMEN TOTAL'!AG292</f>
        <v>0</v>
      </c>
      <c r="AA233" s="70">
        <f>'RESUMEN TOTAL'!AH292</f>
        <v>0</v>
      </c>
      <c r="AB233" s="70">
        <f>'RESUMEN TOTAL'!AI292</f>
        <v>0</v>
      </c>
      <c r="AC233" s="70">
        <f>'RESUMEN TOTAL'!AJ292</f>
        <v>0</v>
      </c>
      <c r="AD233" s="70">
        <f>'RESUMEN TOTAL'!AK292</f>
        <v>0</v>
      </c>
      <c r="AE233" s="70">
        <f>'RESUMEN TOTAL'!AL292</f>
        <v>0</v>
      </c>
      <c r="AF233" s="70">
        <f>'RESUMEN TOTAL'!AM292</f>
        <v>0</v>
      </c>
      <c r="AG233" s="70">
        <f>'RESUMEN TOTAL'!AN292</f>
        <v>0</v>
      </c>
      <c r="AH233" s="70">
        <f>'RESUMEN TOTAL'!AO292</f>
        <v>0</v>
      </c>
      <c r="AI233" s="70">
        <f>'RESUMEN TOTAL'!AP292</f>
        <v>0</v>
      </c>
      <c r="AJ233" s="70">
        <f>'RESUMEN TOTAL'!AQ292</f>
        <v>0</v>
      </c>
    </row>
    <row r="234" spans="1:36" x14ac:dyDescent="0.25">
      <c r="A234" t="str">
        <f>'RESUMEN TOTAL'!A293</f>
        <v>AGUSTIN RAMIREZ</v>
      </c>
      <c r="B234" t="str">
        <f>'RESUMEN TOTAL'!B293</f>
        <v>PUNTO SEGURO AGUSTIN RAMIREZ INTERCOMUNICADOR</v>
      </c>
      <c r="C234" t="str">
        <f>'RESUMEN TOTAL'!D293</f>
        <v>MALAMBO Y LA TRANQUERA</v>
      </c>
      <c r="D234" s="30" t="str">
        <f>'RESUMEN TOTAL'!E293</f>
        <v>Fija</v>
      </c>
      <c r="E234" s="30" t="str">
        <f>'RESUMEN TOTAL'!F293</f>
        <v>Fibra Optica</v>
      </c>
      <c r="F234" s="70">
        <f>'RESUMEN TOTAL'!M293</f>
        <v>0</v>
      </c>
      <c r="G234" s="70">
        <f>'RESUMEN TOTAL'!N293</f>
        <v>0</v>
      </c>
      <c r="H234" s="70">
        <f>'RESUMEN TOTAL'!O293</f>
        <v>0</v>
      </c>
      <c r="I234" s="70">
        <f>'RESUMEN TOTAL'!P293</f>
        <v>0</v>
      </c>
      <c r="J234" s="70">
        <f>'RESUMEN TOTAL'!Q293</f>
        <v>0</v>
      </c>
      <c r="K234" s="70">
        <f>'RESUMEN TOTAL'!R293</f>
        <v>0</v>
      </c>
      <c r="L234" s="70">
        <f>'RESUMEN TOTAL'!S293</f>
        <v>0</v>
      </c>
      <c r="M234" s="70">
        <f>'RESUMEN TOTAL'!T293</f>
        <v>0</v>
      </c>
      <c r="N234" s="70">
        <f>'RESUMEN TOTAL'!U293</f>
        <v>0</v>
      </c>
      <c r="O234" s="70">
        <f>'RESUMEN TOTAL'!V293</f>
        <v>0</v>
      </c>
      <c r="P234" s="70">
        <f>'RESUMEN TOTAL'!W293</f>
        <v>0</v>
      </c>
      <c r="Q234" s="70">
        <f>'RESUMEN TOTAL'!X293</f>
        <v>0</v>
      </c>
      <c r="R234" s="70">
        <f>'RESUMEN TOTAL'!Y293</f>
        <v>0</v>
      </c>
      <c r="S234" s="70">
        <f>'RESUMEN TOTAL'!Z293</f>
        <v>0</v>
      </c>
      <c r="T234" s="70">
        <f>'RESUMEN TOTAL'!AA293</f>
        <v>0</v>
      </c>
      <c r="U234" s="70">
        <f>'RESUMEN TOTAL'!AB293</f>
        <v>0</v>
      </c>
      <c r="V234" s="70">
        <f>'RESUMEN TOTAL'!AC293</f>
        <v>0</v>
      </c>
      <c r="W234" s="70">
        <f>'RESUMEN TOTAL'!AD293</f>
        <v>0</v>
      </c>
      <c r="X234" s="70">
        <f>'RESUMEN TOTAL'!AE293</f>
        <v>0</v>
      </c>
      <c r="Y234" s="70">
        <f>'RESUMEN TOTAL'!AF293</f>
        <v>0</v>
      </c>
      <c r="Z234" s="70">
        <f>'RESUMEN TOTAL'!AG293</f>
        <v>0</v>
      </c>
      <c r="AA234" s="70">
        <f>'RESUMEN TOTAL'!AH293</f>
        <v>0</v>
      </c>
      <c r="AB234" s="70">
        <f>'RESUMEN TOTAL'!AI293</f>
        <v>0</v>
      </c>
      <c r="AC234" s="70">
        <f>'RESUMEN TOTAL'!AJ293</f>
        <v>0</v>
      </c>
      <c r="AD234" s="70">
        <f>'RESUMEN TOTAL'!AK293</f>
        <v>0</v>
      </c>
      <c r="AE234" s="70">
        <f>'RESUMEN TOTAL'!AL293</f>
        <v>0</v>
      </c>
      <c r="AF234" s="70">
        <f>'RESUMEN TOTAL'!AM293</f>
        <v>0</v>
      </c>
      <c r="AG234" s="70">
        <f>'RESUMEN TOTAL'!AN293</f>
        <v>0</v>
      </c>
      <c r="AH234" s="70">
        <f>'RESUMEN TOTAL'!AO293</f>
        <v>0</v>
      </c>
      <c r="AI234" s="70">
        <f>'RESUMEN TOTAL'!AP293</f>
        <v>0</v>
      </c>
      <c r="AJ234" s="70">
        <f>'RESUMEN TOTAL'!AQ293</f>
        <v>0</v>
      </c>
    </row>
    <row r="235" spans="1:36" x14ac:dyDescent="0.25">
      <c r="A235" t="str">
        <f>'RESUMEN TOTAL'!A294</f>
        <v>EL PARQUE</v>
      </c>
      <c r="B235" t="str">
        <f>'RESUMEN TOTAL'!B294</f>
        <v>PUNTO SEGURO - EL PARQUE (domo)</v>
      </c>
      <c r="C235" t="str">
        <f>'RESUMEN TOTAL'!D294</f>
        <v>CALLE 1282 Y 1201</v>
      </c>
      <c r="D235" s="30" t="str">
        <f>'RESUMEN TOTAL'!E294</f>
        <v>DOMO</v>
      </c>
      <c r="E235" s="30" t="str">
        <f>'RESUMEN TOTAL'!F294</f>
        <v>Fibra Optica</v>
      </c>
      <c r="F235" s="70">
        <f>'RESUMEN TOTAL'!M294</f>
        <v>0</v>
      </c>
      <c r="G235" s="70">
        <f>'RESUMEN TOTAL'!N294</f>
        <v>0</v>
      </c>
      <c r="H235" s="70">
        <f>'RESUMEN TOTAL'!O294</f>
        <v>0</v>
      </c>
      <c r="I235" s="70">
        <f>'RESUMEN TOTAL'!P294</f>
        <v>0</v>
      </c>
      <c r="J235" s="70">
        <f>'RESUMEN TOTAL'!Q294</f>
        <v>0</v>
      </c>
      <c r="K235" s="70">
        <f>'RESUMEN TOTAL'!R294</f>
        <v>0</v>
      </c>
      <c r="L235" s="70">
        <f>'RESUMEN TOTAL'!S294</f>
        <v>0</v>
      </c>
      <c r="M235" s="70">
        <f>'RESUMEN TOTAL'!T294</f>
        <v>0</v>
      </c>
      <c r="N235" s="70">
        <f>'RESUMEN TOTAL'!U294</f>
        <v>0</v>
      </c>
      <c r="O235" s="70">
        <f>'RESUMEN TOTAL'!V294</f>
        <v>0</v>
      </c>
      <c r="P235" s="70">
        <f>'RESUMEN TOTAL'!W294</f>
        <v>0</v>
      </c>
      <c r="Q235" s="70">
        <f>'RESUMEN TOTAL'!X294</f>
        <v>0</v>
      </c>
      <c r="R235" s="70">
        <f>'RESUMEN TOTAL'!Y294</f>
        <v>0</v>
      </c>
      <c r="S235" s="70">
        <f>'RESUMEN TOTAL'!Z294</f>
        <v>0</v>
      </c>
      <c r="T235" s="70">
        <f>'RESUMEN TOTAL'!AA294</f>
        <v>0</v>
      </c>
      <c r="U235" s="70">
        <f>'RESUMEN TOTAL'!AB294</f>
        <v>0</v>
      </c>
      <c r="V235" s="70">
        <f>'RESUMEN TOTAL'!AC294</f>
        <v>0</v>
      </c>
      <c r="W235" s="70">
        <f>'RESUMEN TOTAL'!AD294</f>
        <v>0</v>
      </c>
      <c r="X235" s="70">
        <f>'RESUMEN TOTAL'!AE294</f>
        <v>0</v>
      </c>
      <c r="Y235" s="70">
        <f>'RESUMEN TOTAL'!AF294</f>
        <v>0</v>
      </c>
      <c r="Z235" s="70">
        <f>'RESUMEN TOTAL'!AG294</f>
        <v>0</v>
      </c>
      <c r="AA235" s="70">
        <f>'RESUMEN TOTAL'!AH294</f>
        <v>0</v>
      </c>
      <c r="AB235" s="70">
        <f>'RESUMEN TOTAL'!AI294</f>
        <v>0</v>
      </c>
      <c r="AC235" s="70">
        <f>'RESUMEN TOTAL'!AJ294</f>
        <v>0</v>
      </c>
      <c r="AD235" s="70">
        <f>'RESUMEN TOTAL'!AK294</f>
        <v>0</v>
      </c>
      <c r="AE235" s="70">
        <f>'RESUMEN TOTAL'!AL294</f>
        <v>0</v>
      </c>
      <c r="AF235" s="70">
        <f>'RESUMEN TOTAL'!AM294</f>
        <v>0</v>
      </c>
      <c r="AG235" s="70">
        <f>'RESUMEN TOTAL'!AN294</f>
        <v>0</v>
      </c>
      <c r="AH235" s="70">
        <f>'RESUMEN TOTAL'!AO294</f>
        <v>0</v>
      </c>
      <c r="AI235" s="70">
        <f>'RESUMEN TOTAL'!AP294</f>
        <v>0</v>
      </c>
      <c r="AJ235" s="70">
        <f>'RESUMEN TOTAL'!AQ294</f>
        <v>0</v>
      </c>
    </row>
    <row r="236" spans="1:36" x14ac:dyDescent="0.25">
      <c r="A236" t="str">
        <f>'RESUMEN TOTAL'!A295</f>
        <v>EL PARQUE</v>
      </c>
      <c r="B236" t="str">
        <f>'RESUMEN TOTAL'!B295</f>
        <v>PUNTO SEGURO - EL PARQUE (fija)</v>
      </c>
      <c r="C236" t="str">
        <f>'RESUMEN TOTAL'!D295</f>
        <v>CALLE 1282 Y 1201</v>
      </c>
      <c r="D236" s="30" t="str">
        <f>'RESUMEN TOTAL'!E295</f>
        <v>Fija</v>
      </c>
      <c r="E236" s="30" t="str">
        <f>'RESUMEN TOTAL'!F295</f>
        <v>Fibra Optica</v>
      </c>
      <c r="F236" s="70" t="str">
        <f>'RESUMEN TOTAL'!M295</f>
        <v>APAGADO</v>
      </c>
      <c r="G236" s="70" t="str">
        <f>'RESUMEN TOTAL'!N295</f>
        <v>APAGADO</v>
      </c>
      <c r="H236" s="70" t="str">
        <f>'RESUMEN TOTAL'!O295</f>
        <v>APAGADO</v>
      </c>
      <c r="I236" s="70" t="str">
        <f>'RESUMEN TOTAL'!P295</f>
        <v>APAGADO</v>
      </c>
      <c r="J236" s="70" t="str">
        <f>'RESUMEN TOTAL'!Q295</f>
        <v>APAGADO</v>
      </c>
      <c r="K236" s="70" t="str">
        <f>'RESUMEN TOTAL'!R295</f>
        <v>APAGADO</v>
      </c>
      <c r="L236" s="70" t="str">
        <f>'RESUMEN TOTAL'!S295</f>
        <v>APAGADO</v>
      </c>
      <c r="M236" s="70" t="str">
        <f>'RESUMEN TOTAL'!T295</f>
        <v>APAGADO</v>
      </c>
      <c r="N236" s="70">
        <f>'RESUMEN TOTAL'!U295</f>
        <v>0</v>
      </c>
      <c r="O236" s="70">
        <f>'RESUMEN TOTAL'!V295</f>
        <v>0</v>
      </c>
      <c r="P236" s="70">
        <f>'RESUMEN TOTAL'!W295</f>
        <v>0</v>
      </c>
      <c r="Q236" s="70">
        <f>'RESUMEN TOTAL'!X295</f>
        <v>0</v>
      </c>
      <c r="R236" s="70">
        <f>'RESUMEN TOTAL'!Y295</f>
        <v>0</v>
      </c>
      <c r="S236" s="70">
        <f>'RESUMEN TOTAL'!Z295</f>
        <v>0</v>
      </c>
      <c r="T236" s="70">
        <f>'RESUMEN TOTAL'!AA295</f>
        <v>0</v>
      </c>
      <c r="U236" s="70">
        <f>'RESUMEN TOTAL'!AB295</f>
        <v>0</v>
      </c>
      <c r="V236" s="70">
        <f>'RESUMEN TOTAL'!AC295</f>
        <v>0</v>
      </c>
      <c r="W236" s="70">
        <f>'RESUMEN TOTAL'!AD295</f>
        <v>0</v>
      </c>
      <c r="X236" s="70">
        <f>'RESUMEN TOTAL'!AE295</f>
        <v>0</v>
      </c>
      <c r="Y236" s="70">
        <f>'RESUMEN TOTAL'!AF295</f>
        <v>0</v>
      </c>
      <c r="Z236" s="70">
        <f>'RESUMEN TOTAL'!AG295</f>
        <v>0</v>
      </c>
      <c r="AA236" s="70">
        <f>'RESUMEN TOTAL'!AH295</f>
        <v>0</v>
      </c>
      <c r="AB236" s="70">
        <f>'RESUMEN TOTAL'!AI295</f>
        <v>0</v>
      </c>
      <c r="AC236" s="70">
        <f>'RESUMEN TOTAL'!AJ295</f>
        <v>0</v>
      </c>
      <c r="AD236" s="70">
        <f>'RESUMEN TOTAL'!AK295</f>
        <v>0</v>
      </c>
      <c r="AE236" s="70">
        <f>'RESUMEN TOTAL'!AL295</f>
        <v>0</v>
      </c>
      <c r="AF236" s="70">
        <f>'RESUMEN TOTAL'!AM295</f>
        <v>0</v>
      </c>
      <c r="AG236" s="70">
        <f>'RESUMEN TOTAL'!AN295</f>
        <v>0</v>
      </c>
      <c r="AH236" s="70">
        <f>'RESUMEN TOTAL'!AO295</f>
        <v>0</v>
      </c>
      <c r="AI236" s="70">
        <f>'RESUMEN TOTAL'!AP295</f>
        <v>0</v>
      </c>
      <c r="AJ236" s="70">
        <f>'RESUMEN TOTAL'!AQ295</f>
        <v>0</v>
      </c>
    </row>
    <row r="237" spans="1:36" x14ac:dyDescent="0.25">
      <c r="A237" t="str">
        <f>'RESUMEN TOTAL'!A296</f>
        <v>EL PARQUE</v>
      </c>
      <c r="B237" t="str">
        <f>'RESUMEN TOTAL'!B296</f>
        <v>PUNTO SEGURO - EL PARQUE INTERCOMUNICADOR</v>
      </c>
      <c r="C237" t="str">
        <f>'RESUMEN TOTAL'!D296</f>
        <v>1282 Y 1201</v>
      </c>
      <c r="D237" s="30" t="str">
        <f>'RESUMEN TOTAL'!E296</f>
        <v>Fija</v>
      </c>
      <c r="E237" s="30" t="str">
        <f>'RESUMEN TOTAL'!F296</f>
        <v>Fibra Optica</v>
      </c>
      <c r="F237" s="70" t="str">
        <f>'RESUMEN TOTAL'!M296</f>
        <v>APAGADO</v>
      </c>
      <c r="G237" s="70" t="str">
        <f>'RESUMEN TOTAL'!N296</f>
        <v>APAGADO</v>
      </c>
      <c r="H237" s="70" t="str">
        <f>'RESUMEN TOTAL'!O296</f>
        <v>APAGADO</v>
      </c>
      <c r="I237" s="70" t="str">
        <f>'RESUMEN TOTAL'!P296</f>
        <v>APAGADO</v>
      </c>
      <c r="J237" s="70" t="str">
        <f>'RESUMEN TOTAL'!Q296</f>
        <v>APAGADO</v>
      </c>
      <c r="K237" s="70" t="str">
        <f>'RESUMEN TOTAL'!R296</f>
        <v>APAGADO</v>
      </c>
      <c r="L237" s="70" t="str">
        <f>'RESUMEN TOTAL'!S296</f>
        <v>APAGADO</v>
      </c>
      <c r="M237" s="70" t="str">
        <f>'RESUMEN TOTAL'!T296</f>
        <v>APAGADO</v>
      </c>
      <c r="N237" s="70">
        <f>'RESUMEN TOTAL'!U296</f>
        <v>0</v>
      </c>
      <c r="O237" s="70">
        <f>'RESUMEN TOTAL'!V296</f>
        <v>0</v>
      </c>
      <c r="P237" s="70">
        <f>'RESUMEN TOTAL'!W296</f>
        <v>0</v>
      </c>
      <c r="Q237" s="70">
        <f>'RESUMEN TOTAL'!X296</f>
        <v>0</v>
      </c>
      <c r="R237" s="70">
        <f>'RESUMEN TOTAL'!Y296</f>
        <v>0</v>
      </c>
      <c r="S237" s="70">
        <f>'RESUMEN TOTAL'!Z296</f>
        <v>0</v>
      </c>
      <c r="T237" s="70">
        <f>'RESUMEN TOTAL'!AA296</f>
        <v>0</v>
      </c>
      <c r="U237" s="70">
        <f>'RESUMEN TOTAL'!AB296</f>
        <v>0</v>
      </c>
      <c r="V237" s="70">
        <f>'RESUMEN TOTAL'!AC296</f>
        <v>0</v>
      </c>
      <c r="W237" s="70">
        <f>'RESUMEN TOTAL'!AD296</f>
        <v>0</v>
      </c>
      <c r="X237" s="70">
        <f>'RESUMEN TOTAL'!AE296</f>
        <v>0</v>
      </c>
      <c r="Y237" s="70">
        <f>'RESUMEN TOTAL'!AF296</f>
        <v>0</v>
      </c>
      <c r="Z237" s="70">
        <f>'RESUMEN TOTAL'!AG296</f>
        <v>0</v>
      </c>
      <c r="AA237" s="70">
        <f>'RESUMEN TOTAL'!AH296</f>
        <v>0</v>
      </c>
      <c r="AB237" s="70">
        <f>'RESUMEN TOTAL'!AI296</f>
        <v>0</v>
      </c>
      <c r="AC237" s="70">
        <f>'RESUMEN TOTAL'!AJ296</f>
        <v>0</v>
      </c>
      <c r="AD237" s="70">
        <f>'RESUMEN TOTAL'!AK296</f>
        <v>0</v>
      </c>
      <c r="AE237" s="70">
        <f>'RESUMEN TOTAL'!AL296</f>
        <v>0</v>
      </c>
      <c r="AF237" s="70">
        <f>'RESUMEN TOTAL'!AM296</f>
        <v>0</v>
      </c>
      <c r="AG237" s="70">
        <f>'RESUMEN TOTAL'!AN296</f>
        <v>0</v>
      </c>
      <c r="AH237" s="70">
        <f>'RESUMEN TOTAL'!AO296</f>
        <v>0</v>
      </c>
      <c r="AI237" s="70">
        <f>'RESUMEN TOTAL'!AP296</f>
        <v>0</v>
      </c>
      <c r="AJ237" s="70">
        <f>'RESUMEN TOTAL'!AQ296</f>
        <v>0</v>
      </c>
    </row>
    <row r="238" spans="1:36" x14ac:dyDescent="0.25">
      <c r="A238" t="str">
        <f>'RESUMEN TOTAL'!A297</f>
        <v>INGENIERO ALLAN</v>
      </c>
      <c r="B238" t="str">
        <f>'RESUMEN TOTAL'!B297</f>
        <v>PUNTO SEGURO - ING. ALLAN (domo)</v>
      </c>
      <c r="C238" t="str">
        <f>'RESUMEN TOTAL'!D297</f>
        <v>DIAG. LOS YAGANES Y 1148</v>
      </c>
      <c r="D238" s="30" t="str">
        <f>'RESUMEN TOTAL'!E297</f>
        <v>DOMO</v>
      </c>
      <c r="E238" s="30" t="str">
        <f>'RESUMEN TOTAL'!F297</f>
        <v>Fibra Optica</v>
      </c>
      <c r="F238" s="70">
        <f>'RESUMEN TOTAL'!M297</f>
        <v>0</v>
      </c>
      <c r="G238" s="70">
        <f>'RESUMEN TOTAL'!N297</f>
        <v>0</v>
      </c>
      <c r="H238" s="70">
        <f>'RESUMEN TOTAL'!O297</f>
        <v>0</v>
      </c>
      <c r="I238" s="70">
        <f>'RESUMEN TOTAL'!P297</f>
        <v>0</v>
      </c>
      <c r="J238" s="70" t="str">
        <f>'RESUMEN TOTAL'!Q297</f>
        <v>APAGADO</v>
      </c>
      <c r="K238" s="70">
        <f>'RESUMEN TOTAL'!R297</f>
        <v>0</v>
      </c>
      <c r="L238" s="70">
        <f>'RESUMEN TOTAL'!S297</f>
        <v>0</v>
      </c>
      <c r="M238" s="70">
        <f>'RESUMEN TOTAL'!T297</f>
        <v>0</v>
      </c>
      <c r="N238" s="70">
        <f>'RESUMEN TOTAL'!U297</f>
        <v>0</v>
      </c>
      <c r="O238" s="70">
        <f>'RESUMEN TOTAL'!V297</f>
        <v>0</v>
      </c>
      <c r="P238" s="70">
        <f>'RESUMEN TOTAL'!W297</f>
        <v>0</v>
      </c>
      <c r="Q238" s="70">
        <f>'RESUMEN TOTAL'!X297</f>
        <v>0</v>
      </c>
      <c r="R238" s="70">
        <f>'RESUMEN TOTAL'!Y297</f>
        <v>0</v>
      </c>
      <c r="S238" s="70">
        <f>'RESUMEN TOTAL'!Z297</f>
        <v>0</v>
      </c>
      <c r="T238" s="70">
        <f>'RESUMEN TOTAL'!AA297</f>
        <v>0</v>
      </c>
      <c r="U238" s="70">
        <f>'RESUMEN TOTAL'!AB297</f>
        <v>0</v>
      </c>
      <c r="V238" s="70">
        <f>'RESUMEN TOTAL'!AC297</f>
        <v>0</v>
      </c>
      <c r="W238" s="70">
        <f>'RESUMEN TOTAL'!AD297</f>
        <v>0</v>
      </c>
      <c r="X238" s="70">
        <f>'RESUMEN TOTAL'!AE297</f>
        <v>0</v>
      </c>
      <c r="Y238" s="70">
        <f>'RESUMEN TOTAL'!AF297</f>
        <v>0</v>
      </c>
      <c r="Z238" s="70">
        <f>'RESUMEN TOTAL'!AG297</f>
        <v>0</v>
      </c>
      <c r="AA238" s="70">
        <f>'RESUMEN TOTAL'!AH297</f>
        <v>0</v>
      </c>
      <c r="AB238" s="70">
        <f>'RESUMEN TOTAL'!AI297</f>
        <v>0</v>
      </c>
      <c r="AC238" s="70">
        <f>'RESUMEN TOTAL'!AJ297</f>
        <v>0</v>
      </c>
      <c r="AD238" s="70">
        <f>'RESUMEN TOTAL'!AK297</f>
        <v>0</v>
      </c>
      <c r="AE238" s="70">
        <f>'RESUMEN TOTAL'!AL297</f>
        <v>0</v>
      </c>
      <c r="AF238" s="70">
        <f>'RESUMEN TOTAL'!AM297</f>
        <v>0</v>
      </c>
      <c r="AG238" s="70">
        <f>'RESUMEN TOTAL'!AN297</f>
        <v>0</v>
      </c>
      <c r="AH238" s="70">
        <f>'RESUMEN TOTAL'!AO297</f>
        <v>0</v>
      </c>
      <c r="AI238" s="70">
        <f>'RESUMEN TOTAL'!AP297</f>
        <v>0</v>
      </c>
      <c r="AJ238" s="70">
        <f>'RESUMEN TOTAL'!AQ297</f>
        <v>0</v>
      </c>
    </row>
    <row r="239" spans="1:36" x14ac:dyDescent="0.25">
      <c r="A239" t="str">
        <f>'RESUMEN TOTAL'!A298</f>
        <v>INGENIERO ALLAN</v>
      </c>
      <c r="B239" t="str">
        <f>'RESUMEN TOTAL'!B298</f>
        <v>PUNTO SEGURO - ING. ALLAN (fija)</v>
      </c>
      <c r="C239" t="str">
        <f>'RESUMEN TOTAL'!D298</f>
        <v>DIAG. LOS YAGANES Y 1148</v>
      </c>
      <c r="D239" s="30" t="str">
        <f>'RESUMEN TOTAL'!E298</f>
        <v>Fija</v>
      </c>
      <c r="E239" s="30" t="str">
        <f>'RESUMEN TOTAL'!F298</f>
        <v>Fibra Optica</v>
      </c>
      <c r="F239" s="70">
        <f>'RESUMEN TOTAL'!M298</f>
        <v>0</v>
      </c>
      <c r="G239" s="70">
        <f>'RESUMEN TOTAL'!N298</f>
        <v>0</v>
      </c>
      <c r="H239" s="70">
        <f>'RESUMEN TOTAL'!O298</f>
        <v>0</v>
      </c>
      <c r="I239" s="70">
        <f>'RESUMEN TOTAL'!P298</f>
        <v>0</v>
      </c>
      <c r="J239" s="70">
        <f>'RESUMEN TOTAL'!Q298</f>
        <v>0</v>
      </c>
      <c r="K239" s="70">
        <f>'RESUMEN TOTAL'!R298</f>
        <v>0</v>
      </c>
      <c r="L239" s="70">
        <f>'RESUMEN TOTAL'!S298</f>
        <v>0</v>
      </c>
      <c r="M239" s="70">
        <f>'RESUMEN TOTAL'!T298</f>
        <v>0</v>
      </c>
      <c r="N239" s="70">
        <f>'RESUMEN TOTAL'!U298</f>
        <v>0</v>
      </c>
      <c r="O239" s="70">
        <f>'RESUMEN TOTAL'!V298</f>
        <v>0</v>
      </c>
      <c r="P239" s="70">
        <f>'RESUMEN TOTAL'!W298</f>
        <v>0</v>
      </c>
      <c r="Q239" s="70">
        <f>'RESUMEN TOTAL'!X298</f>
        <v>0</v>
      </c>
      <c r="R239" s="70">
        <f>'RESUMEN TOTAL'!Y298</f>
        <v>0</v>
      </c>
      <c r="S239" s="70">
        <f>'RESUMEN TOTAL'!Z298</f>
        <v>0</v>
      </c>
      <c r="T239" s="70">
        <f>'RESUMEN TOTAL'!AA298</f>
        <v>0</v>
      </c>
      <c r="U239" s="70">
        <f>'RESUMEN TOTAL'!AB298</f>
        <v>0</v>
      </c>
      <c r="V239" s="70">
        <f>'RESUMEN TOTAL'!AC298</f>
        <v>0</v>
      </c>
      <c r="W239" s="70">
        <f>'RESUMEN TOTAL'!AD298</f>
        <v>0</v>
      </c>
      <c r="X239" s="70">
        <f>'RESUMEN TOTAL'!AE298</f>
        <v>0</v>
      </c>
      <c r="Y239" s="70">
        <f>'RESUMEN TOTAL'!AF298</f>
        <v>0</v>
      </c>
      <c r="Z239" s="70">
        <f>'RESUMEN TOTAL'!AG298</f>
        <v>0</v>
      </c>
      <c r="AA239" s="70">
        <f>'RESUMEN TOTAL'!AH298</f>
        <v>0</v>
      </c>
      <c r="AB239" s="70">
        <f>'RESUMEN TOTAL'!AI298</f>
        <v>0</v>
      </c>
      <c r="AC239" s="70">
        <f>'RESUMEN TOTAL'!AJ298</f>
        <v>0</v>
      </c>
      <c r="AD239" s="70">
        <f>'RESUMEN TOTAL'!AK298</f>
        <v>0</v>
      </c>
      <c r="AE239" s="70">
        <f>'RESUMEN TOTAL'!AL298</f>
        <v>0</v>
      </c>
      <c r="AF239" s="70">
        <f>'RESUMEN TOTAL'!AM298</f>
        <v>0</v>
      </c>
      <c r="AG239" s="70">
        <f>'RESUMEN TOTAL'!AN298</f>
        <v>0</v>
      </c>
      <c r="AH239" s="70">
        <f>'RESUMEN TOTAL'!AO298</f>
        <v>0</v>
      </c>
      <c r="AI239" s="70">
        <f>'RESUMEN TOTAL'!AP298</f>
        <v>0</v>
      </c>
      <c r="AJ239" s="70">
        <f>'RESUMEN TOTAL'!AQ298</f>
        <v>0</v>
      </c>
    </row>
    <row r="240" spans="1:36" x14ac:dyDescent="0.25">
      <c r="A240" t="str">
        <f>'RESUMEN TOTAL'!A299</f>
        <v>INGENIERO ALLAN</v>
      </c>
      <c r="B240" t="str">
        <f>'RESUMEN TOTAL'!B299</f>
        <v>PUNTO SEGURO - ING ALLAN INTERCOMUNICADOR</v>
      </c>
      <c r="C240" t="str">
        <f>'RESUMEN TOTAL'!D299</f>
        <v>DIAG LOS YAGANES Y 1148</v>
      </c>
      <c r="D240" s="30" t="str">
        <f>'RESUMEN TOTAL'!E299</f>
        <v>Domo</v>
      </c>
      <c r="E240" s="30" t="str">
        <f>'RESUMEN TOTAL'!F299</f>
        <v>Fibra Optica</v>
      </c>
      <c r="F240" s="70">
        <f>'RESUMEN TOTAL'!M299</f>
        <v>0</v>
      </c>
      <c r="G240" s="70">
        <f>'RESUMEN TOTAL'!N299</f>
        <v>0</v>
      </c>
      <c r="H240" s="70">
        <f>'RESUMEN TOTAL'!O299</f>
        <v>0</v>
      </c>
      <c r="I240" s="70">
        <f>'RESUMEN TOTAL'!P299</f>
        <v>0</v>
      </c>
      <c r="J240" s="70">
        <f>'RESUMEN TOTAL'!Q299</f>
        <v>0</v>
      </c>
      <c r="K240" s="70">
        <f>'RESUMEN TOTAL'!R299</f>
        <v>0</v>
      </c>
      <c r="L240" s="70">
        <f>'RESUMEN TOTAL'!S299</f>
        <v>0</v>
      </c>
      <c r="M240" s="70">
        <f>'RESUMEN TOTAL'!T299</f>
        <v>0</v>
      </c>
      <c r="N240" s="70">
        <f>'RESUMEN TOTAL'!U299</f>
        <v>0</v>
      </c>
      <c r="O240" s="70">
        <f>'RESUMEN TOTAL'!V299</f>
        <v>0</v>
      </c>
      <c r="P240" s="70">
        <f>'RESUMEN TOTAL'!W299</f>
        <v>0</v>
      </c>
      <c r="Q240" s="70">
        <f>'RESUMEN TOTAL'!X299</f>
        <v>0</v>
      </c>
      <c r="R240" s="70">
        <f>'RESUMEN TOTAL'!Y299</f>
        <v>0</v>
      </c>
      <c r="S240" s="70">
        <f>'RESUMEN TOTAL'!Z299</f>
        <v>0</v>
      </c>
      <c r="T240" s="70">
        <f>'RESUMEN TOTAL'!AA299</f>
        <v>0</v>
      </c>
      <c r="U240" s="70">
        <f>'RESUMEN TOTAL'!AB299</f>
        <v>0</v>
      </c>
      <c r="V240" s="70">
        <f>'RESUMEN TOTAL'!AC299</f>
        <v>0</v>
      </c>
      <c r="W240" s="70">
        <f>'RESUMEN TOTAL'!AD299</f>
        <v>0</v>
      </c>
      <c r="X240" s="70">
        <f>'RESUMEN TOTAL'!AE299</f>
        <v>0</v>
      </c>
      <c r="Y240" s="70">
        <f>'RESUMEN TOTAL'!AF299</f>
        <v>0</v>
      </c>
      <c r="Z240" s="70">
        <f>'RESUMEN TOTAL'!AG299</f>
        <v>0</v>
      </c>
      <c r="AA240" s="70">
        <f>'RESUMEN TOTAL'!AH299</f>
        <v>0</v>
      </c>
      <c r="AB240" s="70">
        <f>'RESUMEN TOTAL'!AI299</f>
        <v>0</v>
      </c>
      <c r="AC240" s="70">
        <f>'RESUMEN TOTAL'!AJ299</f>
        <v>0</v>
      </c>
      <c r="AD240" s="70">
        <f>'RESUMEN TOTAL'!AK299</f>
        <v>0</v>
      </c>
      <c r="AE240" s="70">
        <f>'RESUMEN TOTAL'!AL299</f>
        <v>0</v>
      </c>
      <c r="AF240" s="70">
        <f>'RESUMEN TOTAL'!AM299</f>
        <v>0</v>
      </c>
      <c r="AG240" s="70">
        <f>'RESUMEN TOTAL'!AN299</f>
        <v>0</v>
      </c>
      <c r="AH240" s="70">
        <f>'RESUMEN TOTAL'!AO299</f>
        <v>0</v>
      </c>
      <c r="AI240" s="70">
        <f>'RESUMEN TOTAL'!AP299</f>
        <v>0</v>
      </c>
      <c r="AJ240" s="70">
        <f>'RESUMEN TOTAL'!AQ299</f>
        <v>0</v>
      </c>
    </row>
    <row r="241" spans="1:36" x14ac:dyDescent="0.25">
      <c r="A241" t="str">
        <f>'RESUMEN TOTAL'!A300</f>
        <v>LUJAN</v>
      </c>
      <c r="B241" t="str">
        <f>'RESUMEN TOTAL'!B300</f>
        <v>PUNTO SEGURO - LUJAN (fija)</v>
      </c>
      <c r="C241" t="str">
        <f>'RESUMEN TOTAL'!D300</f>
        <v>DIAG. LOS TILOS Y LOS ALGARROBOS</v>
      </c>
      <c r="D241" s="30" t="str">
        <f>'RESUMEN TOTAL'!E300</f>
        <v>Fija</v>
      </c>
      <c r="E241" s="30" t="str">
        <f>'RESUMEN TOTAL'!F300</f>
        <v>Fibra Optica</v>
      </c>
      <c r="F241" s="70">
        <f>'RESUMEN TOTAL'!M300</f>
        <v>0</v>
      </c>
      <c r="G241" s="70">
        <f>'RESUMEN TOTAL'!N300</f>
        <v>0</v>
      </c>
      <c r="H241" s="70">
        <f>'RESUMEN TOTAL'!O300</f>
        <v>0</v>
      </c>
      <c r="I241" s="70">
        <f>'RESUMEN TOTAL'!P300</f>
        <v>0</v>
      </c>
      <c r="J241" s="70">
        <f>'RESUMEN TOTAL'!Q300</f>
        <v>0</v>
      </c>
      <c r="K241" s="70">
        <f>'RESUMEN TOTAL'!R300</f>
        <v>0</v>
      </c>
      <c r="L241" s="70">
        <f>'RESUMEN TOTAL'!S300</f>
        <v>0</v>
      </c>
      <c r="M241" s="70">
        <f>'RESUMEN TOTAL'!T300</f>
        <v>0</v>
      </c>
      <c r="N241" s="70">
        <f>'RESUMEN TOTAL'!U300</f>
        <v>0</v>
      </c>
      <c r="O241" s="70">
        <f>'RESUMEN TOTAL'!V300</f>
        <v>0</v>
      </c>
      <c r="P241" s="70">
        <f>'RESUMEN TOTAL'!W300</f>
        <v>0</v>
      </c>
      <c r="Q241" s="70">
        <f>'RESUMEN TOTAL'!X300</f>
        <v>0</v>
      </c>
      <c r="R241" s="70">
        <f>'RESUMEN TOTAL'!Y300</f>
        <v>0</v>
      </c>
      <c r="S241" s="70">
        <f>'RESUMEN TOTAL'!Z300</f>
        <v>0</v>
      </c>
      <c r="T241" s="70">
        <f>'RESUMEN TOTAL'!AA300</f>
        <v>0</v>
      </c>
      <c r="U241" s="70">
        <f>'RESUMEN TOTAL'!AB300</f>
        <v>0</v>
      </c>
      <c r="V241" s="70">
        <f>'RESUMEN TOTAL'!AC300</f>
        <v>0</v>
      </c>
      <c r="W241" s="70">
        <f>'RESUMEN TOTAL'!AD300</f>
        <v>0</v>
      </c>
      <c r="X241" s="70">
        <f>'RESUMEN TOTAL'!AE300</f>
        <v>0</v>
      </c>
      <c r="Y241" s="70">
        <f>'RESUMEN TOTAL'!AF300</f>
        <v>0</v>
      </c>
      <c r="Z241" s="70">
        <f>'RESUMEN TOTAL'!AG300</f>
        <v>0</v>
      </c>
      <c r="AA241" s="70">
        <f>'RESUMEN TOTAL'!AH300</f>
        <v>0</v>
      </c>
      <c r="AB241" s="70">
        <f>'RESUMEN TOTAL'!AI300</f>
        <v>0</v>
      </c>
      <c r="AC241" s="70">
        <f>'RESUMEN TOTAL'!AJ300</f>
        <v>0</v>
      </c>
      <c r="AD241" s="70">
        <f>'RESUMEN TOTAL'!AK300</f>
        <v>0</v>
      </c>
      <c r="AE241" s="70">
        <f>'RESUMEN TOTAL'!AL300</f>
        <v>0</v>
      </c>
      <c r="AF241" s="70">
        <f>'RESUMEN TOTAL'!AM300</f>
        <v>0</v>
      </c>
      <c r="AG241" s="70">
        <f>'RESUMEN TOTAL'!AN300</f>
        <v>0</v>
      </c>
      <c r="AH241" s="70">
        <f>'RESUMEN TOTAL'!AO300</f>
        <v>0</v>
      </c>
      <c r="AI241" s="70">
        <f>'RESUMEN TOTAL'!AP300</f>
        <v>0</v>
      </c>
      <c r="AJ241" s="70">
        <f>'RESUMEN TOTAL'!AQ300</f>
        <v>0</v>
      </c>
    </row>
    <row r="242" spans="1:36" x14ac:dyDescent="0.25">
      <c r="A242" t="str">
        <f>'RESUMEN TOTAL'!A301</f>
        <v>LUJAN</v>
      </c>
      <c r="B242" t="str">
        <f>'RESUMEN TOTAL'!B301</f>
        <v>PUNTO SEGURO LUJAN (domo)</v>
      </c>
      <c r="C242" t="str">
        <f>'RESUMEN TOTAL'!D301</f>
        <v>DIAG. LOS TILOS Y LOS ALGARROBOS</v>
      </c>
      <c r="D242" s="30" t="str">
        <f>'RESUMEN TOTAL'!E301</f>
        <v>DOMO</v>
      </c>
      <c r="E242" s="30" t="str">
        <f>'RESUMEN TOTAL'!F301</f>
        <v>Fibra Optica</v>
      </c>
      <c r="F242" s="70">
        <f>'RESUMEN TOTAL'!M301</f>
        <v>0</v>
      </c>
      <c r="G242" s="70">
        <f>'RESUMEN TOTAL'!N301</f>
        <v>0</v>
      </c>
      <c r="H242" s="70">
        <f>'RESUMEN TOTAL'!O301</f>
        <v>0</v>
      </c>
      <c r="I242" s="70">
        <f>'RESUMEN TOTAL'!P301</f>
        <v>0</v>
      </c>
      <c r="J242" s="70">
        <f>'RESUMEN TOTAL'!Q301</f>
        <v>0</v>
      </c>
      <c r="K242" s="70">
        <f>'RESUMEN TOTAL'!R301</f>
        <v>0</v>
      </c>
      <c r="L242" s="70">
        <f>'RESUMEN TOTAL'!S301</f>
        <v>0</v>
      </c>
      <c r="M242" s="70">
        <f>'RESUMEN TOTAL'!T301</f>
        <v>0</v>
      </c>
      <c r="N242" s="70">
        <f>'RESUMEN TOTAL'!U301</f>
        <v>0</v>
      </c>
      <c r="O242" s="70">
        <f>'RESUMEN TOTAL'!V301</f>
        <v>0</v>
      </c>
      <c r="P242" s="70">
        <f>'RESUMEN TOTAL'!W301</f>
        <v>0</v>
      </c>
      <c r="Q242" s="70">
        <f>'RESUMEN TOTAL'!X301</f>
        <v>0</v>
      </c>
      <c r="R242" s="70">
        <f>'RESUMEN TOTAL'!Y301</f>
        <v>0</v>
      </c>
      <c r="S242" s="70">
        <f>'RESUMEN TOTAL'!Z301</f>
        <v>0</v>
      </c>
      <c r="T242" s="70">
        <f>'RESUMEN TOTAL'!AA301</f>
        <v>0</v>
      </c>
      <c r="U242" s="70">
        <f>'RESUMEN TOTAL'!AB301</f>
        <v>0</v>
      </c>
      <c r="V242" s="70">
        <f>'RESUMEN TOTAL'!AC301</f>
        <v>0</v>
      </c>
      <c r="W242" s="70">
        <f>'RESUMEN TOTAL'!AD301</f>
        <v>0</v>
      </c>
      <c r="X242" s="70">
        <f>'RESUMEN TOTAL'!AE301</f>
        <v>0</v>
      </c>
      <c r="Y242" s="70">
        <f>'RESUMEN TOTAL'!AF301</f>
        <v>0</v>
      </c>
      <c r="Z242" s="70">
        <f>'RESUMEN TOTAL'!AG301</f>
        <v>0</v>
      </c>
      <c r="AA242" s="70">
        <f>'RESUMEN TOTAL'!AH301</f>
        <v>0</v>
      </c>
      <c r="AB242" s="70">
        <f>'RESUMEN TOTAL'!AI301</f>
        <v>0</v>
      </c>
      <c r="AC242" s="70">
        <f>'RESUMEN TOTAL'!AJ301</f>
        <v>0</v>
      </c>
      <c r="AD242" s="70">
        <f>'RESUMEN TOTAL'!AK301</f>
        <v>0</v>
      </c>
      <c r="AE242" s="70">
        <f>'RESUMEN TOTAL'!AL301</f>
        <v>0</v>
      </c>
      <c r="AF242" s="70">
        <f>'RESUMEN TOTAL'!AM301</f>
        <v>0</v>
      </c>
      <c r="AG242" s="70">
        <f>'RESUMEN TOTAL'!AN301</f>
        <v>0</v>
      </c>
      <c r="AH242" s="70">
        <f>'RESUMEN TOTAL'!AO301</f>
        <v>0</v>
      </c>
      <c r="AI242" s="70">
        <f>'RESUMEN TOTAL'!AP301</f>
        <v>0</v>
      </c>
      <c r="AJ242" s="70">
        <f>'RESUMEN TOTAL'!AQ301</f>
        <v>0</v>
      </c>
    </row>
    <row r="243" spans="1:36" x14ac:dyDescent="0.25">
      <c r="A243" t="str">
        <f>'RESUMEN TOTAL'!A302</f>
        <v>LUJAN</v>
      </c>
      <c r="B243" t="str">
        <f>'RESUMEN TOTAL'!B302</f>
        <v>PUNTO SEGURO LUJAN INTERCOMUNICADOR</v>
      </c>
      <c r="C243" t="str">
        <f>'RESUMEN TOTAL'!D302</f>
        <v>DIAG LOS TILOS Y LOS ALGARROBOS</v>
      </c>
      <c r="D243" s="30" t="str">
        <f>'RESUMEN TOTAL'!E302</f>
        <v>Fija</v>
      </c>
      <c r="E243" s="30" t="str">
        <f>'RESUMEN TOTAL'!F302</f>
        <v>Fibra Optica</v>
      </c>
      <c r="F243" s="70">
        <f>'RESUMEN TOTAL'!M302</f>
        <v>0</v>
      </c>
      <c r="G243" s="70">
        <f>'RESUMEN TOTAL'!N302</f>
        <v>0</v>
      </c>
      <c r="H243" s="70">
        <f>'RESUMEN TOTAL'!O302</f>
        <v>0</v>
      </c>
      <c r="I243" s="70">
        <f>'RESUMEN TOTAL'!P302</f>
        <v>0</v>
      </c>
      <c r="J243" s="70">
        <f>'RESUMEN TOTAL'!Q302</f>
        <v>0</v>
      </c>
      <c r="K243" s="70">
        <f>'RESUMEN TOTAL'!R302</f>
        <v>0</v>
      </c>
      <c r="L243" s="70">
        <f>'RESUMEN TOTAL'!S302</f>
        <v>0</v>
      </c>
      <c r="M243" s="70">
        <f>'RESUMEN TOTAL'!T302</f>
        <v>0</v>
      </c>
      <c r="N243" s="70">
        <f>'RESUMEN TOTAL'!U302</f>
        <v>0</v>
      </c>
      <c r="O243" s="70">
        <f>'RESUMEN TOTAL'!V302</f>
        <v>0</v>
      </c>
      <c r="P243" s="70">
        <f>'RESUMEN TOTAL'!W302</f>
        <v>0</v>
      </c>
      <c r="Q243" s="70">
        <f>'RESUMEN TOTAL'!X302</f>
        <v>0</v>
      </c>
      <c r="R243" s="70">
        <f>'RESUMEN TOTAL'!Y302</f>
        <v>0</v>
      </c>
      <c r="S243" s="70">
        <f>'RESUMEN TOTAL'!Z302</f>
        <v>0</v>
      </c>
      <c r="T243" s="70">
        <f>'RESUMEN TOTAL'!AA302</f>
        <v>0</v>
      </c>
      <c r="U243" s="70">
        <f>'RESUMEN TOTAL'!AB302</f>
        <v>0</v>
      </c>
      <c r="V243" s="70">
        <f>'RESUMEN TOTAL'!AC302</f>
        <v>0</v>
      </c>
      <c r="W243" s="70">
        <f>'RESUMEN TOTAL'!AD302</f>
        <v>0</v>
      </c>
      <c r="X243" s="70">
        <f>'RESUMEN TOTAL'!AE302</f>
        <v>0</v>
      </c>
      <c r="Y243" s="70">
        <f>'RESUMEN TOTAL'!AF302</f>
        <v>0</v>
      </c>
      <c r="Z243" s="70">
        <f>'RESUMEN TOTAL'!AG302</f>
        <v>0</v>
      </c>
      <c r="AA243" s="70">
        <f>'RESUMEN TOTAL'!AH302</f>
        <v>0</v>
      </c>
      <c r="AB243" s="70">
        <f>'RESUMEN TOTAL'!AI302</f>
        <v>0</v>
      </c>
      <c r="AC243" s="70">
        <f>'RESUMEN TOTAL'!AJ302</f>
        <v>0</v>
      </c>
      <c r="AD243" s="70">
        <f>'RESUMEN TOTAL'!AK302</f>
        <v>0</v>
      </c>
      <c r="AE243" s="70">
        <f>'RESUMEN TOTAL'!AL302</f>
        <v>0</v>
      </c>
      <c r="AF243" s="70">
        <f>'RESUMEN TOTAL'!AM302</f>
        <v>0</v>
      </c>
      <c r="AG243" s="70">
        <f>'RESUMEN TOTAL'!AN302</f>
        <v>0</v>
      </c>
      <c r="AH243" s="70">
        <f>'RESUMEN TOTAL'!AO302</f>
        <v>0</v>
      </c>
      <c r="AI243" s="70">
        <f>'RESUMEN TOTAL'!AP302</f>
        <v>0</v>
      </c>
      <c r="AJ243" s="70">
        <f>'RESUMEN TOTAL'!AQ302</f>
        <v>0</v>
      </c>
    </row>
    <row r="244" spans="1:36" x14ac:dyDescent="0.25">
      <c r="A244" t="str">
        <f>'RESUMEN TOTAL'!A303</f>
        <v>ZONA RURAL SANTA ROSA</v>
      </c>
      <c r="B244" t="str">
        <f>'RESUMEN TOTAL'!B303</f>
        <v>PUNTO SEGURO - PICO DE ORO (domo)</v>
      </c>
      <c r="C244" t="str">
        <f>'RESUMEN TOTAL'!D303</f>
        <v>PISANI Y BULGARIA</v>
      </c>
      <c r="D244" s="30" t="str">
        <f>'RESUMEN TOTAL'!E303</f>
        <v>DOMO</v>
      </c>
      <c r="E244" s="30" t="str">
        <f>'RESUMEN TOTAL'!F303</f>
        <v>Fibra Optica</v>
      </c>
      <c r="F244" s="70">
        <f>'RESUMEN TOTAL'!M303</f>
        <v>0</v>
      </c>
      <c r="G244" s="70">
        <f>'RESUMEN TOTAL'!N303</f>
        <v>0</v>
      </c>
      <c r="H244" s="70">
        <f>'RESUMEN TOTAL'!O303</f>
        <v>0</v>
      </c>
      <c r="I244" s="70">
        <f>'RESUMEN TOTAL'!P303</f>
        <v>0</v>
      </c>
      <c r="J244" s="70">
        <f>'RESUMEN TOTAL'!Q303</f>
        <v>0</v>
      </c>
      <c r="K244" s="70">
        <f>'RESUMEN TOTAL'!R303</f>
        <v>0</v>
      </c>
      <c r="L244" s="70">
        <f>'RESUMEN TOTAL'!S303</f>
        <v>0</v>
      </c>
      <c r="M244" s="70">
        <f>'RESUMEN TOTAL'!T303</f>
        <v>0</v>
      </c>
      <c r="N244" s="70">
        <f>'RESUMEN TOTAL'!U303</f>
        <v>0</v>
      </c>
      <c r="O244" s="70">
        <f>'RESUMEN TOTAL'!V303</f>
        <v>0</v>
      </c>
      <c r="P244" s="70">
        <f>'RESUMEN TOTAL'!W303</f>
        <v>0</v>
      </c>
      <c r="Q244" s="70">
        <f>'RESUMEN TOTAL'!X303</f>
        <v>0</v>
      </c>
      <c r="R244" s="70">
        <f>'RESUMEN TOTAL'!Y303</f>
        <v>0</v>
      </c>
      <c r="S244" s="70">
        <f>'RESUMEN TOTAL'!Z303</f>
        <v>0</v>
      </c>
      <c r="T244" s="70">
        <f>'RESUMEN TOTAL'!AA303</f>
        <v>0</v>
      </c>
      <c r="U244" s="70">
        <f>'RESUMEN TOTAL'!AB303</f>
        <v>0</v>
      </c>
      <c r="V244" s="70">
        <f>'RESUMEN TOTAL'!AC303</f>
        <v>0</v>
      </c>
      <c r="W244" s="70">
        <f>'RESUMEN TOTAL'!AD303</f>
        <v>0</v>
      </c>
      <c r="X244" s="70">
        <f>'RESUMEN TOTAL'!AE303</f>
        <v>0</v>
      </c>
      <c r="Y244" s="70">
        <f>'RESUMEN TOTAL'!AF303</f>
        <v>0</v>
      </c>
      <c r="Z244" s="70">
        <f>'RESUMEN TOTAL'!AG303</f>
        <v>0</v>
      </c>
      <c r="AA244" s="70">
        <f>'RESUMEN TOTAL'!AH303</f>
        <v>0</v>
      </c>
      <c r="AB244" s="70">
        <f>'RESUMEN TOTAL'!AI303</f>
        <v>0</v>
      </c>
      <c r="AC244" s="70">
        <f>'RESUMEN TOTAL'!AJ303</f>
        <v>0</v>
      </c>
      <c r="AD244" s="70">
        <f>'RESUMEN TOTAL'!AK303</f>
        <v>0</v>
      </c>
      <c r="AE244" s="70">
        <f>'RESUMEN TOTAL'!AL303</f>
        <v>0</v>
      </c>
      <c r="AF244" s="70">
        <f>'RESUMEN TOTAL'!AM303</f>
        <v>0</v>
      </c>
      <c r="AG244" s="70">
        <f>'RESUMEN TOTAL'!AN303</f>
        <v>0</v>
      </c>
      <c r="AH244" s="70">
        <f>'RESUMEN TOTAL'!AO303</f>
        <v>0</v>
      </c>
      <c r="AI244" s="70">
        <f>'RESUMEN TOTAL'!AP303</f>
        <v>0</v>
      </c>
      <c r="AJ244" s="70">
        <f>'RESUMEN TOTAL'!AQ303</f>
        <v>0</v>
      </c>
    </row>
    <row r="245" spans="1:36" x14ac:dyDescent="0.25">
      <c r="A245" t="str">
        <f>'RESUMEN TOTAL'!A304</f>
        <v>ZONA RURAL SANTA ROSA</v>
      </c>
      <c r="B245" t="str">
        <f>'RESUMEN TOTAL'!B304</f>
        <v>PUNTO SEGURO - PICO DE ORO (fija)</v>
      </c>
      <c r="C245" t="str">
        <f>'RESUMEN TOTAL'!D304</f>
        <v>PISANI Y BULGARIA</v>
      </c>
      <c r="D245" s="30" t="str">
        <f>'RESUMEN TOTAL'!E304</f>
        <v>Fija</v>
      </c>
      <c r="E245" s="30" t="str">
        <f>'RESUMEN TOTAL'!F304</f>
        <v>Fibra Optica</v>
      </c>
      <c r="F245" s="70">
        <f>'RESUMEN TOTAL'!M304</f>
        <v>0</v>
      </c>
      <c r="G245" s="70">
        <f>'RESUMEN TOTAL'!N304</f>
        <v>0</v>
      </c>
      <c r="H245" s="70">
        <f>'RESUMEN TOTAL'!O304</f>
        <v>0</v>
      </c>
      <c r="I245" s="70">
        <f>'RESUMEN TOTAL'!P304</f>
        <v>0</v>
      </c>
      <c r="J245" s="70">
        <f>'RESUMEN TOTAL'!Q304</f>
        <v>0</v>
      </c>
      <c r="K245" s="70">
        <f>'RESUMEN TOTAL'!R304</f>
        <v>0</v>
      </c>
      <c r="L245" s="70">
        <f>'RESUMEN TOTAL'!S304</f>
        <v>0</v>
      </c>
      <c r="M245" s="70">
        <f>'RESUMEN TOTAL'!T304</f>
        <v>0</v>
      </c>
      <c r="N245" s="70">
        <f>'RESUMEN TOTAL'!U304</f>
        <v>0</v>
      </c>
      <c r="O245" s="70">
        <f>'RESUMEN TOTAL'!V304</f>
        <v>0</v>
      </c>
      <c r="P245" s="70">
        <f>'RESUMEN TOTAL'!W304</f>
        <v>0</v>
      </c>
      <c r="Q245" s="70">
        <f>'RESUMEN TOTAL'!X304</f>
        <v>0</v>
      </c>
      <c r="R245" s="70">
        <f>'RESUMEN TOTAL'!Y304</f>
        <v>0</v>
      </c>
      <c r="S245" s="70">
        <f>'RESUMEN TOTAL'!Z304</f>
        <v>0</v>
      </c>
      <c r="T245" s="70">
        <f>'RESUMEN TOTAL'!AA304</f>
        <v>0</v>
      </c>
      <c r="U245" s="70">
        <f>'RESUMEN TOTAL'!AB304</f>
        <v>0</v>
      </c>
      <c r="V245" s="70">
        <f>'RESUMEN TOTAL'!AC304</f>
        <v>0</v>
      </c>
      <c r="W245" s="70">
        <f>'RESUMEN TOTAL'!AD304</f>
        <v>0</v>
      </c>
      <c r="X245" s="70">
        <f>'RESUMEN TOTAL'!AE304</f>
        <v>0</v>
      </c>
      <c r="Y245" s="70">
        <f>'RESUMEN TOTAL'!AF304</f>
        <v>0</v>
      </c>
      <c r="Z245" s="70">
        <f>'RESUMEN TOTAL'!AG304</f>
        <v>0</v>
      </c>
      <c r="AA245" s="70">
        <f>'RESUMEN TOTAL'!AH304</f>
        <v>0</v>
      </c>
      <c r="AB245" s="70">
        <f>'RESUMEN TOTAL'!AI304</f>
        <v>0</v>
      </c>
      <c r="AC245" s="70">
        <f>'RESUMEN TOTAL'!AJ304</f>
        <v>0</v>
      </c>
      <c r="AD245" s="70">
        <f>'RESUMEN TOTAL'!AK304</f>
        <v>0</v>
      </c>
      <c r="AE245" s="70">
        <f>'RESUMEN TOTAL'!AL304</f>
        <v>0</v>
      </c>
      <c r="AF245" s="70">
        <f>'RESUMEN TOTAL'!AM304</f>
        <v>0</v>
      </c>
      <c r="AG245" s="70">
        <f>'RESUMEN TOTAL'!AN304</f>
        <v>0</v>
      </c>
      <c r="AH245" s="70">
        <f>'RESUMEN TOTAL'!AO304</f>
        <v>0</v>
      </c>
      <c r="AI245" s="70">
        <f>'RESUMEN TOTAL'!AP304</f>
        <v>0</v>
      </c>
      <c r="AJ245" s="70">
        <f>'RESUMEN TOTAL'!AQ304</f>
        <v>0</v>
      </c>
    </row>
    <row r="246" spans="1:36" x14ac:dyDescent="0.25">
      <c r="A246" t="str">
        <f>'RESUMEN TOTAL'!A305</f>
        <v>ZONA RURAL SANTA ROSA</v>
      </c>
      <c r="B246" t="str">
        <f>'RESUMEN TOTAL'!B305</f>
        <v>PUNTO SEGURO PICO DE ORO INTERCOMUNICADOR</v>
      </c>
      <c r="C246" t="str">
        <f>'RESUMEN TOTAL'!D305</f>
        <v>PISANI Y BULGARIA</v>
      </c>
      <c r="D246" s="30" t="str">
        <f>'RESUMEN TOTAL'!E305</f>
        <v>Domo</v>
      </c>
      <c r="E246" s="30" t="str">
        <f>'RESUMEN TOTAL'!F305</f>
        <v>Fibra Optica</v>
      </c>
      <c r="F246" s="70">
        <f>'RESUMEN TOTAL'!M305</f>
        <v>0</v>
      </c>
      <c r="G246" s="70">
        <f>'RESUMEN TOTAL'!N305</f>
        <v>0</v>
      </c>
      <c r="H246" s="70">
        <f>'RESUMEN TOTAL'!O305</f>
        <v>0</v>
      </c>
      <c r="I246" s="70">
        <f>'RESUMEN TOTAL'!P305</f>
        <v>0</v>
      </c>
      <c r="J246" s="70">
        <f>'RESUMEN TOTAL'!Q305</f>
        <v>0</v>
      </c>
      <c r="K246" s="70">
        <f>'RESUMEN TOTAL'!R305</f>
        <v>0</v>
      </c>
      <c r="L246" s="70">
        <f>'RESUMEN TOTAL'!S305</f>
        <v>0</v>
      </c>
      <c r="M246" s="70">
        <f>'RESUMEN TOTAL'!T305</f>
        <v>0</v>
      </c>
      <c r="N246" s="70">
        <f>'RESUMEN TOTAL'!U305</f>
        <v>0</v>
      </c>
      <c r="O246" s="70">
        <f>'RESUMEN TOTAL'!V305</f>
        <v>0</v>
      </c>
      <c r="P246" s="70">
        <f>'RESUMEN TOTAL'!W305</f>
        <v>0</v>
      </c>
      <c r="Q246" s="70">
        <f>'RESUMEN TOTAL'!X305</f>
        <v>0</v>
      </c>
      <c r="R246" s="70">
        <f>'RESUMEN TOTAL'!Y305</f>
        <v>0</v>
      </c>
      <c r="S246" s="70">
        <f>'RESUMEN TOTAL'!Z305</f>
        <v>0</v>
      </c>
      <c r="T246" s="70">
        <f>'RESUMEN TOTAL'!AA305</f>
        <v>0</v>
      </c>
      <c r="U246" s="70">
        <f>'RESUMEN TOTAL'!AB305</f>
        <v>0</v>
      </c>
      <c r="V246" s="70">
        <f>'RESUMEN TOTAL'!AC305</f>
        <v>0</v>
      </c>
      <c r="W246" s="70">
        <f>'RESUMEN TOTAL'!AD305</f>
        <v>0</v>
      </c>
      <c r="X246" s="70">
        <f>'RESUMEN TOTAL'!AE305</f>
        <v>0</v>
      </c>
      <c r="Y246" s="70">
        <f>'RESUMEN TOTAL'!AF305</f>
        <v>0</v>
      </c>
      <c r="Z246" s="70">
        <f>'RESUMEN TOTAL'!AG305</f>
        <v>0</v>
      </c>
      <c r="AA246" s="70">
        <f>'RESUMEN TOTAL'!AH305</f>
        <v>0</v>
      </c>
      <c r="AB246" s="70">
        <f>'RESUMEN TOTAL'!AI305</f>
        <v>0</v>
      </c>
      <c r="AC246" s="70">
        <f>'RESUMEN TOTAL'!AJ305</f>
        <v>0</v>
      </c>
      <c r="AD246" s="70">
        <f>'RESUMEN TOTAL'!AK305</f>
        <v>0</v>
      </c>
      <c r="AE246" s="70">
        <f>'RESUMEN TOTAL'!AL305</f>
        <v>0</v>
      </c>
      <c r="AF246" s="70">
        <f>'RESUMEN TOTAL'!AM305</f>
        <v>0</v>
      </c>
      <c r="AG246" s="70">
        <f>'RESUMEN TOTAL'!AN305</f>
        <v>0</v>
      </c>
      <c r="AH246" s="70">
        <f>'RESUMEN TOTAL'!AO305</f>
        <v>0</v>
      </c>
      <c r="AI246" s="70">
        <f>'RESUMEN TOTAL'!AP305</f>
        <v>0</v>
      </c>
      <c r="AJ246" s="70">
        <f>'RESUMEN TOTAL'!AQ305</f>
        <v>0</v>
      </c>
    </row>
    <row r="247" spans="1:36" x14ac:dyDescent="0.25">
      <c r="A247" t="str">
        <f>'RESUMEN TOTAL'!A306</f>
        <v>SAN FRANCISCO ESTE (CHICO)</v>
      </c>
      <c r="B247" t="str">
        <f>'RESUMEN TOTAL'!B306</f>
        <v>PUNTO SEGURO - SAN FRANCISCO (domo)</v>
      </c>
      <c r="C247" t="str">
        <f>'RESUMEN TOTAL'!D306</f>
        <v>RP 53 Y 1332</v>
      </c>
      <c r="D247" s="30" t="str">
        <f>'RESUMEN TOTAL'!E306</f>
        <v>DOMO</v>
      </c>
      <c r="E247" s="30" t="str">
        <f>'RESUMEN TOTAL'!F306</f>
        <v>Fibra Optica</v>
      </c>
      <c r="F247" s="70">
        <f>'RESUMEN TOTAL'!M306</f>
        <v>0</v>
      </c>
      <c r="G247" s="70">
        <f>'RESUMEN TOTAL'!N306</f>
        <v>0</v>
      </c>
      <c r="H247" s="70">
        <f>'RESUMEN TOTAL'!O306</f>
        <v>0</v>
      </c>
      <c r="I247" s="70">
        <f>'RESUMEN TOTAL'!P306</f>
        <v>0</v>
      </c>
      <c r="J247" s="70">
        <f>'RESUMEN TOTAL'!Q306</f>
        <v>0</v>
      </c>
      <c r="K247" s="70">
        <f>'RESUMEN TOTAL'!R306</f>
        <v>0</v>
      </c>
      <c r="L247" s="70">
        <f>'RESUMEN TOTAL'!S306</f>
        <v>0</v>
      </c>
      <c r="M247" s="70">
        <f>'RESUMEN TOTAL'!T306</f>
        <v>0</v>
      </c>
      <c r="N247" s="70">
        <f>'RESUMEN TOTAL'!U306</f>
        <v>0</v>
      </c>
      <c r="O247" s="70">
        <f>'RESUMEN TOTAL'!V306</f>
        <v>0</v>
      </c>
      <c r="P247" s="70">
        <f>'RESUMEN TOTAL'!W306</f>
        <v>0</v>
      </c>
      <c r="Q247" s="70">
        <f>'RESUMEN TOTAL'!X306</f>
        <v>0</v>
      </c>
      <c r="R247" s="70">
        <f>'RESUMEN TOTAL'!Y306</f>
        <v>0</v>
      </c>
      <c r="S247" s="70">
        <f>'RESUMEN TOTAL'!Z306</f>
        <v>0</v>
      </c>
      <c r="T247" s="70">
        <f>'RESUMEN TOTAL'!AA306</f>
        <v>0</v>
      </c>
      <c r="U247" s="70">
        <f>'RESUMEN TOTAL'!AB306</f>
        <v>0</v>
      </c>
      <c r="V247" s="70">
        <f>'RESUMEN TOTAL'!AC306</f>
        <v>0</v>
      </c>
      <c r="W247" s="70">
        <f>'RESUMEN TOTAL'!AD306</f>
        <v>0</v>
      </c>
      <c r="X247" s="70">
        <f>'RESUMEN TOTAL'!AE306</f>
        <v>0</v>
      </c>
      <c r="Y247" s="70">
        <f>'RESUMEN TOTAL'!AF306</f>
        <v>0</v>
      </c>
      <c r="Z247" s="70">
        <f>'RESUMEN TOTAL'!AG306</f>
        <v>0</v>
      </c>
      <c r="AA247" s="70">
        <f>'RESUMEN TOTAL'!AH306</f>
        <v>0</v>
      </c>
      <c r="AB247" s="70">
        <f>'RESUMEN TOTAL'!AI306</f>
        <v>0</v>
      </c>
      <c r="AC247" s="70">
        <f>'RESUMEN TOTAL'!AJ306</f>
        <v>0</v>
      </c>
      <c r="AD247" s="70">
        <f>'RESUMEN TOTAL'!AK306</f>
        <v>0</v>
      </c>
      <c r="AE247" s="70">
        <f>'RESUMEN TOTAL'!AL306</f>
        <v>0</v>
      </c>
      <c r="AF247" s="70">
        <f>'RESUMEN TOTAL'!AM306</f>
        <v>0</v>
      </c>
      <c r="AG247" s="70">
        <f>'RESUMEN TOTAL'!AN306</f>
        <v>0</v>
      </c>
      <c r="AH247" s="70">
        <f>'RESUMEN TOTAL'!AO306</f>
        <v>0</v>
      </c>
      <c r="AI247" s="70">
        <f>'RESUMEN TOTAL'!AP306</f>
        <v>0</v>
      </c>
      <c r="AJ247" s="70">
        <f>'RESUMEN TOTAL'!AQ306</f>
        <v>0</v>
      </c>
    </row>
    <row r="248" spans="1:36" x14ac:dyDescent="0.25">
      <c r="A248" t="str">
        <f>'RESUMEN TOTAL'!A307</f>
        <v>SAN JORGE</v>
      </c>
      <c r="B248" t="str">
        <f>'RESUMEN TOTAL'!B307</f>
        <v>Punto Seguro - San Jorge (Domo)</v>
      </c>
      <c r="C248" t="str">
        <f>'RESUMEN TOTAL'!D307</f>
        <v>CALLE 523 E/ 554 Y 556</v>
      </c>
      <c r="D248" s="30" t="str">
        <f>'RESUMEN TOTAL'!E307</f>
        <v>DOMO</v>
      </c>
      <c r="E248" s="30" t="str">
        <f>'RESUMEN TOTAL'!F307</f>
        <v>GPON</v>
      </c>
      <c r="F248" s="70" t="str">
        <f>'RESUMEN TOTAL'!M307</f>
        <v>APAGADO</v>
      </c>
      <c r="G248" s="70" t="str">
        <f>'RESUMEN TOTAL'!N307</f>
        <v>APAGADO</v>
      </c>
      <c r="H248" s="70" t="str">
        <f>'RESUMEN TOTAL'!O307</f>
        <v>APAGADO</v>
      </c>
      <c r="I248" s="70" t="str">
        <f>'RESUMEN TOTAL'!P307</f>
        <v>APAGADO</v>
      </c>
      <c r="J248" s="70" t="str">
        <f>'RESUMEN TOTAL'!Q307</f>
        <v>APAGADO</v>
      </c>
      <c r="K248" s="70" t="str">
        <f>'RESUMEN TOTAL'!R307</f>
        <v>APAGADO</v>
      </c>
      <c r="L248" s="70" t="str">
        <f>'RESUMEN TOTAL'!S307</f>
        <v>APAGADO</v>
      </c>
      <c r="M248" s="70" t="str">
        <f>'RESUMEN TOTAL'!T307</f>
        <v>APAGADO</v>
      </c>
      <c r="N248" s="70">
        <f>'RESUMEN TOTAL'!U307</f>
        <v>0</v>
      </c>
      <c r="O248" s="70">
        <f>'RESUMEN TOTAL'!V307</f>
        <v>0</v>
      </c>
      <c r="P248" s="70">
        <f>'RESUMEN TOTAL'!W307</f>
        <v>0</v>
      </c>
      <c r="Q248" s="70">
        <f>'RESUMEN TOTAL'!X307</f>
        <v>0</v>
      </c>
      <c r="R248" s="70">
        <f>'RESUMEN TOTAL'!Y307</f>
        <v>0</v>
      </c>
      <c r="S248" s="70">
        <f>'RESUMEN TOTAL'!Z307</f>
        <v>0</v>
      </c>
      <c r="T248" s="70">
        <f>'RESUMEN TOTAL'!AA307</f>
        <v>0</v>
      </c>
      <c r="U248" s="70">
        <f>'RESUMEN TOTAL'!AB307</f>
        <v>0</v>
      </c>
      <c r="V248" s="70">
        <f>'RESUMEN TOTAL'!AC307</f>
        <v>0</v>
      </c>
      <c r="W248" s="70">
        <f>'RESUMEN TOTAL'!AD307</f>
        <v>0</v>
      </c>
      <c r="X248" s="70">
        <f>'RESUMEN TOTAL'!AE307</f>
        <v>0</v>
      </c>
      <c r="Y248" s="70">
        <f>'RESUMEN TOTAL'!AF307</f>
        <v>0</v>
      </c>
      <c r="Z248" s="70">
        <f>'RESUMEN TOTAL'!AG307</f>
        <v>0</v>
      </c>
      <c r="AA248" s="70">
        <f>'RESUMEN TOTAL'!AH307</f>
        <v>0</v>
      </c>
      <c r="AB248" s="70">
        <f>'RESUMEN TOTAL'!AI307</f>
        <v>0</v>
      </c>
      <c r="AC248" s="70">
        <f>'RESUMEN TOTAL'!AJ307</f>
        <v>0</v>
      </c>
      <c r="AD248" s="70">
        <f>'RESUMEN TOTAL'!AK307</f>
        <v>0</v>
      </c>
      <c r="AE248" s="70">
        <f>'RESUMEN TOTAL'!AL307</f>
        <v>0</v>
      </c>
      <c r="AF248" s="70">
        <f>'RESUMEN TOTAL'!AM307</f>
        <v>0</v>
      </c>
      <c r="AG248" s="70">
        <f>'RESUMEN TOTAL'!AN307</f>
        <v>0</v>
      </c>
      <c r="AH248" s="70">
        <f>'RESUMEN TOTAL'!AO307</f>
        <v>0</v>
      </c>
      <c r="AI248" s="70">
        <f>'RESUMEN TOTAL'!AP307</f>
        <v>0</v>
      </c>
      <c r="AJ248" s="70">
        <f>'RESUMEN TOTAL'!AQ307</f>
        <v>0</v>
      </c>
    </row>
    <row r="249" spans="1:36" x14ac:dyDescent="0.25">
      <c r="A249" t="str">
        <f>'RESUMEN TOTAL'!A308</f>
        <v>SAN JORGE</v>
      </c>
      <c r="B249" t="str">
        <f>'RESUMEN TOTAL'!B308</f>
        <v>Punto Seguro - San Jorge (Fija)</v>
      </c>
      <c r="C249" t="str">
        <f>'RESUMEN TOTAL'!D308</f>
        <v>CALLE 523 E/ 554 Y 556</v>
      </c>
      <c r="D249" s="30" t="str">
        <f>'RESUMEN TOTAL'!E308</f>
        <v>Fija</v>
      </c>
      <c r="E249" s="30" t="str">
        <f>'RESUMEN TOTAL'!F308</f>
        <v>GPON</v>
      </c>
      <c r="F249" s="70">
        <f>'RESUMEN TOTAL'!M308</f>
        <v>0</v>
      </c>
      <c r="G249" s="70">
        <f>'RESUMEN TOTAL'!N308</f>
        <v>0</v>
      </c>
      <c r="H249" s="70">
        <f>'RESUMEN TOTAL'!O308</f>
        <v>0</v>
      </c>
      <c r="I249" s="70">
        <f>'RESUMEN TOTAL'!P308</f>
        <v>0</v>
      </c>
      <c r="J249" s="70">
        <f>'RESUMEN TOTAL'!Q308</f>
        <v>0</v>
      </c>
      <c r="K249" s="70">
        <f>'RESUMEN TOTAL'!R308</f>
        <v>0</v>
      </c>
      <c r="L249" s="70">
        <f>'RESUMEN TOTAL'!S308</f>
        <v>0</v>
      </c>
      <c r="M249" s="70">
        <f>'RESUMEN TOTAL'!T308</f>
        <v>0</v>
      </c>
      <c r="N249" s="70">
        <f>'RESUMEN TOTAL'!U308</f>
        <v>0</v>
      </c>
      <c r="O249" s="70">
        <f>'RESUMEN TOTAL'!V308</f>
        <v>0</v>
      </c>
      <c r="P249" s="70">
        <f>'RESUMEN TOTAL'!W308</f>
        <v>0</v>
      </c>
      <c r="Q249" s="70">
        <f>'RESUMEN TOTAL'!X308</f>
        <v>0</v>
      </c>
      <c r="R249" s="70">
        <f>'RESUMEN TOTAL'!Y308</f>
        <v>0</v>
      </c>
      <c r="S249" s="70">
        <f>'RESUMEN TOTAL'!Z308</f>
        <v>0</v>
      </c>
      <c r="T249" s="70">
        <f>'RESUMEN TOTAL'!AA308</f>
        <v>0</v>
      </c>
      <c r="U249" s="70">
        <f>'RESUMEN TOTAL'!AB308</f>
        <v>0</v>
      </c>
      <c r="V249" s="70">
        <f>'RESUMEN TOTAL'!AC308</f>
        <v>0</v>
      </c>
      <c r="W249" s="70">
        <f>'RESUMEN TOTAL'!AD308</f>
        <v>0</v>
      </c>
      <c r="X249" s="70">
        <f>'RESUMEN TOTAL'!AE308</f>
        <v>0</v>
      </c>
      <c r="Y249" s="70">
        <f>'RESUMEN TOTAL'!AF308</f>
        <v>0</v>
      </c>
      <c r="Z249" s="70">
        <f>'RESUMEN TOTAL'!AG308</f>
        <v>0</v>
      </c>
      <c r="AA249" s="70">
        <f>'RESUMEN TOTAL'!AH308</f>
        <v>0</v>
      </c>
      <c r="AB249" s="70">
        <f>'RESUMEN TOTAL'!AI308</f>
        <v>0</v>
      </c>
      <c r="AC249" s="70">
        <f>'RESUMEN TOTAL'!AJ308</f>
        <v>0</v>
      </c>
      <c r="AD249" s="70">
        <f>'RESUMEN TOTAL'!AK308</f>
        <v>0</v>
      </c>
      <c r="AE249" s="70">
        <f>'RESUMEN TOTAL'!AL308</f>
        <v>0</v>
      </c>
      <c r="AF249" s="70">
        <f>'RESUMEN TOTAL'!AM308</f>
        <v>0</v>
      </c>
      <c r="AG249" s="70">
        <f>'RESUMEN TOTAL'!AN308</f>
        <v>0</v>
      </c>
      <c r="AH249" s="70">
        <f>'RESUMEN TOTAL'!AO308</f>
        <v>0</v>
      </c>
      <c r="AI249" s="70">
        <f>'RESUMEN TOTAL'!AP308</f>
        <v>0</v>
      </c>
      <c r="AJ249" s="70">
        <f>'RESUMEN TOTAL'!AQ308</f>
        <v>0</v>
      </c>
    </row>
    <row r="250" spans="1:36" x14ac:dyDescent="0.25">
      <c r="A250" t="str">
        <f>'RESUMEN TOTAL'!A309</f>
        <v>SAN JORGE</v>
      </c>
      <c r="B250" t="str">
        <f>'RESUMEN TOTAL'!B309</f>
        <v>PUNTO SEGURO SAN JORGE INTERCOMUNICADOR</v>
      </c>
      <c r="C250" t="str">
        <f>'RESUMEN TOTAL'!D309</f>
        <v>CALLE 554 Y 523</v>
      </c>
      <c r="D250" s="30" t="str">
        <f>'RESUMEN TOTAL'!E309</f>
        <v>Fija</v>
      </c>
      <c r="E250" s="30" t="str">
        <f>'RESUMEN TOTAL'!F309</f>
        <v>GPON</v>
      </c>
      <c r="F250" s="70" t="str">
        <f>'RESUMEN TOTAL'!M309</f>
        <v>APAGADO</v>
      </c>
      <c r="G250" s="70" t="str">
        <f>'RESUMEN TOTAL'!N309</f>
        <v>APAGADO</v>
      </c>
      <c r="H250" s="70" t="str">
        <f>'RESUMEN TOTAL'!O309</f>
        <v>APAGADO</v>
      </c>
      <c r="I250" s="70" t="str">
        <f>'RESUMEN TOTAL'!P309</f>
        <v>APAGADO</v>
      </c>
      <c r="J250" s="70" t="str">
        <f>'RESUMEN TOTAL'!Q309</f>
        <v>APAGADO</v>
      </c>
      <c r="K250" s="70" t="str">
        <f>'RESUMEN TOTAL'!R309</f>
        <v>APAGADO</v>
      </c>
      <c r="L250" s="70" t="str">
        <f>'RESUMEN TOTAL'!S309</f>
        <v>APAGADO</v>
      </c>
      <c r="M250" s="70" t="str">
        <f>'RESUMEN TOTAL'!T309</f>
        <v>APAGADO</v>
      </c>
      <c r="N250" s="70">
        <f>'RESUMEN TOTAL'!U309</f>
        <v>0</v>
      </c>
      <c r="O250" s="70">
        <f>'RESUMEN TOTAL'!V309</f>
        <v>0</v>
      </c>
      <c r="P250" s="70">
        <f>'RESUMEN TOTAL'!W309</f>
        <v>0</v>
      </c>
      <c r="Q250" s="70">
        <f>'RESUMEN TOTAL'!X309</f>
        <v>0</v>
      </c>
      <c r="R250" s="70">
        <f>'RESUMEN TOTAL'!Y309</f>
        <v>0</v>
      </c>
      <c r="S250" s="70">
        <f>'RESUMEN TOTAL'!Z309</f>
        <v>0</v>
      </c>
      <c r="T250" s="70">
        <f>'RESUMEN TOTAL'!AA309</f>
        <v>0</v>
      </c>
      <c r="U250" s="70">
        <f>'RESUMEN TOTAL'!AB309</f>
        <v>0</v>
      </c>
      <c r="V250" s="70">
        <f>'RESUMEN TOTAL'!AC309</f>
        <v>0</v>
      </c>
      <c r="W250" s="70">
        <f>'RESUMEN TOTAL'!AD309</f>
        <v>0</v>
      </c>
      <c r="X250" s="70">
        <f>'RESUMEN TOTAL'!AE309</f>
        <v>0</v>
      </c>
      <c r="Y250" s="70">
        <f>'RESUMEN TOTAL'!AF309</f>
        <v>0</v>
      </c>
      <c r="Z250" s="70">
        <f>'RESUMEN TOTAL'!AG309</f>
        <v>0</v>
      </c>
      <c r="AA250" s="70">
        <f>'RESUMEN TOTAL'!AH309</f>
        <v>0</v>
      </c>
      <c r="AB250" s="70">
        <f>'RESUMEN TOTAL'!AI309</f>
        <v>0</v>
      </c>
      <c r="AC250" s="70">
        <f>'RESUMEN TOTAL'!AJ309</f>
        <v>0</v>
      </c>
      <c r="AD250" s="70">
        <f>'RESUMEN TOTAL'!AK309</f>
        <v>0</v>
      </c>
      <c r="AE250" s="70">
        <f>'RESUMEN TOTAL'!AL309</f>
        <v>0</v>
      </c>
      <c r="AF250" s="70">
        <f>'RESUMEN TOTAL'!AM309</f>
        <v>0</v>
      </c>
      <c r="AG250" s="70">
        <f>'RESUMEN TOTAL'!AN309</f>
        <v>0</v>
      </c>
      <c r="AH250" s="70">
        <f>'RESUMEN TOTAL'!AO309</f>
        <v>0</v>
      </c>
      <c r="AI250" s="70">
        <f>'RESUMEN TOTAL'!AP309</f>
        <v>0</v>
      </c>
      <c r="AJ250" s="70">
        <f>'RESUMEN TOTAL'!AQ309</f>
        <v>0</v>
      </c>
    </row>
    <row r="251" spans="1:36" x14ac:dyDescent="0.25">
      <c r="A251" t="str">
        <f>'RESUMEN TOTAL'!A310</f>
        <v>SAN RUDECINDO</v>
      </c>
      <c r="B251" t="str">
        <f>'RESUMEN TOTAL'!B310</f>
        <v>PUNTO SEGURO- SAN RUDECINDO (domo)</v>
      </c>
      <c r="C251" t="str">
        <f>'RESUMEN TOTAL'!D310</f>
        <v>SANTA SOFIA Y ALVAR NUÑEZ</v>
      </c>
      <c r="D251" s="30" t="str">
        <f>'RESUMEN TOTAL'!E310</f>
        <v>DOMO</v>
      </c>
      <c r="E251" s="30" t="str">
        <f>'RESUMEN TOTAL'!F310</f>
        <v>GPON</v>
      </c>
      <c r="F251" s="70" t="str">
        <f>'RESUMEN TOTAL'!M310</f>
        <v>APAGADO</v>
      </c>
      <c r="G251" s="70" t="str">
        <f>'RESUMEN TOTAL'!N310</f>
        <v>APAGADO</v>
      </c>
      <c r="H251" s="70" t="str">
        <f>'RESUMEN TOTAL'!O310</f>
        <v>APAGADO</v>
      </c>
      <c r="I251" s="70" t="str">
        <f>'RESUMEN TOTAL'!P310</f>
        <v>APAGADO</v>
      </c>
      <c r="J251" s="70" t="str">
        <f>'RESUMEN TOTAL'!Q310</f>
        <v>APAGADO</v>
      </c>
      <c r="K251" s="70" t="str">
        <f>'RESUMEN TOTAL'!R310</f>
        <v>APAGADO</v>
      </c>
      <c r="L251" s="70" t="str">
        <f>'RESUMEN TOTAL'!S310</f>
        <v>APAGADO</v>
      </c>
      <c r="M251" s="70" t="str">
        <f>'RESUMEN TOTAL'!T310</f>
        <v>APAGADO</v>
      </c>
      <c r="N251" s="70">
        <f>'RESUMEN TOTAL'!U310</f>
        <v>0</v>
      </c>
      <c r="O251" s="70">
        <f>'RESUMEN TOTAL'!V310</f>
        <v>0</v>
      </c>
      <c r="P251" s="70">
        <f>'RESUMEN TOTAL'!W310</f>
        <v>0</v>
      </c>
      <c r="Q251" s="70">
        <f>'RESUMEN TOTAL'!X310</f>
        <v>0</v>
      </c>
      <c r="R251" s="70">
        <f>'RESUMEN TOTAL'!Y310</f>
        <v>0</v>
      </c>
      <c r="S251" s="70">
        <f>'RESUMEN TOTAL'!Z310</f>
        <v>0</v>
      </c>
      <c r="T251" s="70">
        <f>'RESUMEN TOTAL'!AA310</f>
        <v>0</v>
      </c>
      <c r="U251" s="70">
        <f>'RESUMEN TOTAL'!AB310</f>
        <v>0</v>
      </c>
      <c r="V251" s="70">
        <f>'RESUMEN TOTAL'!AC310</f>
        <v>0</v>
      </c>
      <c r="W251" s="70">
        <f>'RESUMEN TOTAL'!AD310</f>
        <v>0</v>
      </c>
      <c r="X251" s="70">
        <f>'RESUMEN TOTAL'!AE310</f>
        <v>0</v>
      </c>
      <c r="Y251" s="70">
        <f>'RESUMEN TOTAL'!AF310</f>
        <v>0</v>
      </c>
      <c r="Z251" s="70">
        <f>'RESUMEN TOTAL'!AG310</f>
        <v>0</v>
      </c>
      <c r="AA251" s="70">
        <f>'RESUMEN TOTAL'!AH310</f>
        <v>0</v>
      </c>
      <c r="AB251" s="70">
        <f>'RESUMEN TOTAL'!AI310</f>
        <v>0</v>
      </c>
      <c r="AC251" s="70">
        <f>'RESUMEN TOTAL'!AJ310</f>
        <v>0</v>
      </c>
      <c r="AD251" s="70">
        <f>'RESUMEN TOTAL'!AK310</f>
        <v>0</v>
      </c>
      <c r="AE251" s="70">
        <f>'RESUMEN TOTAL'!AL310</f>
        <v>0</v>
      </c>
      <c r="AF251" s="70">
        <f>'RESUMEN TOTAL'!AM310</f>
        <v>0</v>
      </c>
      <c r="AG251" s="70">
        <f>'RESUMEN TOTAL'!AN310</f>
        <v>0</v>
      </c>
      <c r="AH251" s="70">
        <f>'RESUMEN TOTAL'!AO310</f>
        <v>0</v>
      </c>
      <c r="AI251" s="70">
        <f>'RESUMEN TOTAL'!AP310</f>
        <v>0</v>
      </c>
      <c r="AJ251" s="70">
        <f>'RESUMEN TOTAL'!AQ310</f>
        <v>0</v>
      </c>
    </row>
    <row r="252" spans="1:36" x14ac:dyDescent="0.25">
      <c r="A252" t="str">
        <f>'RESUMEN TOTAL'!A311</f>
        <v>SAN RUDECINDO</v>
      </c>
      <c r="B252" t="str">
        <f>'RESUMEN TOTAL'!B311</f>
        <v>PUNTO SEGURO - SAN RUDECINDO (fija)</v>
      </c>
      <c r="C252" t="str">
        <f>'RESUMEN TOTAL'!D311</f>
        <v>SANTA SOFIA Y ALVAR NUÑEZ</v>
      </c>
      <c r="D252" s="30" t="str">
        <f>'RESUMEN TOTAL'!E311</f>
        <v>Fija</v>
      </c>
      <c r="E252" s="30" t="str">
        <f>'RESUMEN TOTAL'!F311</f>
        <v>GPON</v>
      </c>
      <c r="F252" s="70" t="str">
        <f>'RESUMEN TOTAL'!M311</f>
        <v>APAGADO</v>
      </c>
      <c r="G252" s="70" t="str">
        <f>'RESUMEN TOTAL'!N311</f>
        <v>APAGADO</v>
      </c>
      <c r="H252" s="70" t="str">
        <f>'RESUMEN TOTAL'!O311</f>
        <v>APAGADO</v>
      </c>
      <c r="I252" s="70" t="str">
        <f>'RESUMEN TOTAL'!P311</f>
        <v>APAGADO</v>
      </c>
      <c r="J252" s="70" t="str">
        <f>'RESUMEN TOTAL'!Q311</f>
        <v>APAGADO</v>
      </c>
      <c r="K252" s="70" t="str">
        <f>'RESUMEN TOTAL'!R311</f>
        <v>APAGADO</v>
      </c>
      <c r="L252" s="70" t="str">
        <f>'RESUMEN TOTAL'!S311</f>
        <v>APAGADO</v>
      </c>
      <c r="M252" s="70" t="str">
        <f>'RESUMEN TOTAL'!T311</f>
        <v>APAGADO</v>
      </c>
      <c r="N252" s="70">
        <f>'RESUMEN TOTAL'!U311</f>
        <v>0</v>
      </c>
      <c r="O252" s="70">
        <f>'RESUMEN TOTAL'!V311</f>
        <v>0</v>
      </c>
      <c r="P252" s="70">
        <f>'RESUMEN TOTAL'!W311</f>
        <v>0</v>
      </c>
      <c r="Q252" s="70">
        <f>'RESUMEN TOTAL'!X311</f>
        <v>0</v>
      </c>
      <c r="R252" s="70">
        <f>'RESUMEN TOTAL'!Y311</f>
        <v>0</v>
      </c>
      <c r="S252" s="70">
        <f>'RESUMEN TOTAL'!Z311</f>
        <v>0</v>
      </c>
      <c r="T252" s="70">
        <f>'RESUMEN TOTAL'!AA311</f>
        <v>0</v>
      </c>
      <c r="U252" s="70">
        <f>'RESUMEN TOTAL'!AB311</f>
        <v>0</v>
      </c>
      <c r="V252" s="70">
        <f>'RESUMEN TOTAL'!AC311</f>
        <v>0</v>
      </c>
      <c r="W252" s="70">
        <f>'RESUMEN TOTAL'!AD311</f>
        <v>0</v>
      </c>
      <c r="X252" s="70">
        <f>'RESUMEN TOTAL'!AE311</f>
        <v>0</v>
      </c>
      <c r="Y252" s="70">
        <f>'RESUMEN TOTAL'!AF311</f>
        <v>0</v>
      </c>
      <c r="Z252" s="70">
        <f>'RESUMEN TOTAL'!AG311</f>
        <v>0</v>
      </c>
      <c r="AA252" s="70">
        <f>'RESUMEN TOTAL'!AH311</f>
        <v>0</v>
      </c>
      <c r="AB252" s="70">
        <f>'RESUMEN TOTAL'!AI311</f>
        <v>0</v>
      </c>
      <c r="AC252" s="70">
        <f>'RESUMEN TOTAL'!AJ311</f>
        <v>0</v>
      </c>
      <c r="AD252" s="70">
        <f>'RESUMEN TOTAL'!AK311</f>
        <v>0</v>
      </c>
      <c r="AE252" s="70">
        <f>'RESUMEN TOTAL'!AL311</f>
        <v>0</v>
      </c>
      <c r="AF252" s="70">
        <f>'RESUMEN TOTAL'!AM311</f>
        <v>0</v>
      </c>
      <c r="AG252" s="70">
        <f>'RESUMEN TOTAL'!AN311</f>
        <v>0</v>
      </c>
      <c r="AH252" s="70">
        <f>'RESUMEN TOTAL'!AO311</f>
        <v>0</v>
      </c>
      <c r="AI252" s="70">
        <f>'RESUMEN TOTAL'!AP311</f>
        <v>0</v>
      </c>
      <c r="AJ252" s="70">
        <f>'RESUMEN TOTAL'!AQ311</f>
        <v>0</v>
      </c>
    </row>
    <row r="253" spans="1:36" x14ac:dyDescent="0.25">
      <c r="A253" t="str">
        <f>'RESUMEN TOTAL'!A312</f>
        <v>SAN RUDECINDO</v>
      </c>
      <c r="B253" t="str">
        <f>'RESUMEN TOTAL'!B312</f>
        <v>PUNTO SEGURO SAN RUDECINDO INTERCOMUNICADOR</v>
      </c>
      <c r="C253" t="str">
        <f>'RESUMEN TOTAL'!D312</f>
        <v>SABTA SOFIA Y ALVAR NUÃ‘EZ</v>
      </c>
      <c r="D253" s="30" t="str">
        <f>'RESUMEN TOTAL'!E312</f>
        <v>Domo</v>
      </c>
      <c r="E253" s="30" t="str">
        <f>'RESUMEN TOTAL'!F312</f>
        <v>GPON</v>
      </c>
      <c r="F253" s="70" t="str">
        <f>'RESUMEN TOTAL'!M312</f>
        <v>APAGADO</v>
      </c>
      <c r="G253" s="70" t="str">
        <f>'RESUMEN TOTAL'!N312</f>
        <v>APAGADO</v>
      </c>
      <c r="H253" s="70" t="str">
        <f>'RESUMEN TOTAL'!O312</f>
        <v>APAGADO</v>
      </c>
      <c r="I253" s="70" t="str">
        <f>'RESUMEN TOTAL'!P312</f>
        <v>APAGADO</v>
      </c>
      <c r="J253" s="70" t="str">
        <f>'RESUMEN TOTAL'!Q312</f>
        <v>APAGADO</v>
      </c>
      <c r="K253" s="70" t="str">
        <f>'RESUMEN TOTAL'!R312</f>
        <v>APAGADO</v>
      </c>
      <c r="L253" s="70" t="str">
        <f>'RESUMEN TOTAL'!S312</f>
        <v>APAGADO</v>
      </c>
      <c r="M253" s="70" t="str">
        <f>'RESUMEN TOTAL'!T312</f>
        <v>APAGADO</v>
      </c>
      <c r="N253" s="70">
        <f>'RESUMEN TOTAL'!U312</f>
        <v>0</v>
      </c>
      <c r="O253" s="70">
        <f>'RESUMEN TOTAL'!V312</f>
        <v>0</v>
      </c>
      <c r="P253" s="70">
        <f>'RESUMEN TOTAL'!W312</f>
        <v>0</v>
      </c>
      <c r="Q253" s="70">
        <f>'RESUMEN TOTAL'!X312</f>
        <v>0</v>
      </c>
      <c r="R253" s="70">
        <f>'RESUMEN TOTAL'!Y312</f>
        <v>0</v>
      </c>
      <c r="S253" s="70">
        <f>'RESUMEN TOTAL'!Z312</f>
        <v>0</v>
      </c>
      <c r="T253" s="70">
        <f>'RESUMEN TOTAL'!AA312</f>
        <v>0</v>
      </c>
      <c r="U253" s="70">
        <f>'RESUMEN TOTAL'!AB312</f>
        <v>0</v>
      </c>
      <c r="V253" s="70">
        <f>'RESUMEN TOTAL'!AC312</f>
        <v>0</v>
      </c>
      <c r="W253" s="70">
        <f>'RESUMEN TOTAL'!AD312</f>
        <v>0</v>
      </c>
      <c r="X253" s="70">
        <f>'RESUMEN TOTAL'!AE312</f>
        <v>0</v>
      </c>
      <c r="Y253" s="70">
        <f>'RESUMEN TOTAL'!AF312</f>
        <v>0</v>
      </c>
      <c r="Z253" s="70">
        <f>'RESUMEN TOTAL'!AG312</f>
        <v>0</v>
      </c>
      <c r="AA253" s="70">
        <f>'RESUMEN TOTAL'!AH312</f>
        <v>0</v>
      </c>
      <c r="AB253" s="70">
        <f>'RESUMEN TOTAL'!AI312</f>
        <v>0</v>
      </c>
      <c r="AC253" s="70">
        <f>'RESUMEN TOTAL'!AJ312</f>
        <v>0</v>
      </c>
      <c r="AD253" s="70">
        <f>'RESUMEN TOTAL'!AK312</f>
        <v>0</v>
      </c>
      <c r="AE253" s="70">
        <f>'RESUMEN TOTAL'!AL312</f>
        <v>0</v>
      </c>
      <c r="AF253" s="70">
        <f>'RESUMEN TOTAL'!AM312</f>
        <v>0</v>
      </c>
      <c r="AG253" s="70">
        <f>'RESUMEN TOTAL'!AN312</f>
        <v>0</v>
      </c>
      <c r="AH253" s="70">
        <f>'RESUMEN TOTAL'!AO312</f>
        <v>0</v>
      </c>
      <c r="AI253" s="70">
        <f>'RESUMEN TOTAL'!AP312</f>
        <v>0</v>
      </c>
      <c r="AJ253" s="70">
        <f>'RESUMEN TOTAL'!AQ312</f>
        <v>0</v>
      </c>
    </row>
    <row r="254" spans="1:36" x14ac:dyDescent="0.25">
      <c r="A254" t="str">
        <f>'RESUMEN TOTAL'!A313</f>
        <v>ZONA RURAL SANTA ROSA</v>
      </c>
      <c r="B254" t="str">
        <f>'RESUMEN TOTAL'!B313</f>
        <v>PUNTO SEGURO - SANTA ROSA (domo)</v>
      </c>
      <c r="C254" t="str">
        <f>'RESUMEN TOTAL'!D313</f>
        <v>BRUSELAS Y SICILIA</v>
      </c>
      <c r="D254" s="30" t="str">
        <f>'RESUMEN TOTAL'!E313</f>
        <v>DOMO</v>
      </c>
      <c r="E254" s="30" t="str">
        <f>'RESUMEN TOTAL'!F313</f>
        <v>Fibra Optica</v>
      </c>
      <c r="F254" s="70">
        <f>'RESUMEN TOTAL'!M313</f>
        <v>0</v>
      </c>
      <c r="G254" s="70" t="str">
        <f>'RESUMEN TOTAL'!N313</f>
        <v>APAGADO</v>
      </c>
      <c r="H254" s="70" t="str">
        <f>'RESUMEN TOTAL'!O313</f>
        <v>APAGADO</v>
      </c>
      <c r="I254" s="70" t="str">
        <f>'RESUMEN TOTAL'!P313</f>
        <v>APAGADO</v>
      </c>
      <c r="J254" s="70" t="str">
        <f>'RESUMEN TOTAL'!Q313</f>
        <v>APAGADO</v>
      </c>
      <c r="K254" s="70" t="str">
        <f>'RESUMEN TOTAL'!R313</f>
        <v>APAGADO</v>
      </c>
      <c r="L254" s="70" t="str">
        <f>'RESUMEN TOTAL'!S313</f>
        <v>APAGADO</v>
      </c>
      <c r="M254" s="70" t="str">
        <f>'RESUMEN TOTAL'!T313</f>
        <v>APAGADO</v>
      </c>
      <c r="N254" s="70">
        <f>'RESUMEN TOTAL'!U313</f>
        <v>0</v>
      </c>
      <c r="O254" s="70">
        <f>'RESUMEN TOTAL'!V313</f>
        <v>0</v>
      </c>
      <c r="P254" s="70">
        <f>'RESUMEN TOTAL'!W313</f>
        <v>0</v>
      </c>
      <c r="Q254" s="70">
        <f>'RESUMEN TOTAL'!X313</f>
        <v>0</v>
      </c>
      <c r="R254" s="70">
        <f>'RESUMEN TOTAL'!Y313</f>
        <v>0</v>
      </c>
      <c r="S254" s="70">
        <f>'RESUMEN TOTAL'!Z313</f>
        <v>0</v>
      </c>
      <c r="T254" s="70">
        <f>'RESUMEN TOTAL'!AA313</f>
        <v>0</v>
      </c>
      <c r="U254" s="70">
        <f>'RESUMEN TOTAL'!AB313</f>
        <v>0</v>
      </c>
      <c r="V254" s="70">
        <f>'RESUMEN TOTAL'!AC313</f>
        <v>0</v>
      </c>
      <c r="W254" s="70">
        <f>'RESUMEN TOTAL'!AD313</f>
        <v>0</v>
      </c>
      <c r="X254" s="70">
        <f>'RESUMEN TOTAL'!AE313</f>
        <v>0</v>
      </c>
      <c r="Y254" s="70">
        <f>'RESUMEN TOTAL'!AF313</f>
        <v>0</v>
      </c>
      <c r="Z254" s="70">
        <f>'RESUMEN TOTAL'!AG313</f>
        <v>0</v>
      </c>
      <c r="AA254" s="70">
        <f>'RESUMEN TOTAL'!AH313</f>
        <v>0</v>
      </c>
      <c r="AB254" s="70">
        <f>'RESUMEN TOTAL'!AI313</f>
        <v>0</v>
      </c>
      <c r="AC254" s="70">
        <f>'RESUMEN TOTAL'!AJ313</f>
        <v>0</v>
      </c>
      <c r="AD254" s="70">
        <f>'RESUMEN TOTAL'!AK313</f>
        <v>0</v>
      </c>
      <c r="AE254" s="70">
        <f>'RESUMEN TOTAL'!AL313</f>
        <v>0</v>
      </c>
      <c r="AF254" s="70">
        <f>'RESUMEN TOTAL'!AM313</f>
        <v>0</v>
      </c>
      <c r="AG254" s="70">
        <f>'RESUMEN TOTAL'!AN313</f>
        <v>0</v>
      </c>
      <c r="AH254" s="70">
        <f>'RESUMEN TOTAL'!AO313</f>
        <v>0</v>
      </c>
      <c r="AI254" s="70">
        <f>'RESUMEN TOTAL'!AP313</f>
        <v>0</v>
      </c>
      <c r="AJ254" s="70">
        <f>'RESUMEN TOTAL'!AQ313</f>
        <v>0</v>
      </c>
    </row>
    <row r="255" spans="1:36" x14ac:dyDescent="0.25">
      <c r="A255" t="str">
        <f>'RESUMEN TOTAL'!A314</f>
        <v>ZONA RURAL SANTA ROSA</v>
      </c>
      <c r="B255" t="str">
        <f>'RESUMEN TOTAL'!B314</f>
        <v>PUNTO SEGURO - SANTA ROSA (fija)</v>
      </c>
      <c r="C255" t="str">
        <f>'RESUMEN TOTAL'!D314</f>
        <v>BRUSELAS Y SICILIA</v>
      </c>
      <c r="D255" s="30" t="str">
        <f>'RESUMEN TOTAL'!E314</f>
        <v>Fija</v>
      </c>
      <c r="E255" s="30" t="str">
        <f>'RESUMEN TOTAL'!F314</f>
        <v>Fibra Optica</v>
      </c>
      <c r="F255" s="70">
        <f>'RESUMEN TOTAL'!M314</f>
        <v>0</v>
      </c>
      <c r="G255" s="70">
        <f>'RESUMEN TOTAL'!N314</f>
        <v>0</v>
      </c>
      <c r="H255" s="70">
        <f>'RESUMEN TOTAL'!O314</f>
        <v>0</v>
      </c>
      <c r="I255" s="70" t="str">
        <f>'RESUMEN TOTAL'!P314</f>
        <v>APAGADO</v>
      </c>
      <c r="J255" s="70">
        <f>'RESUMEN TOTAL'!Q314</f>
        <v>0</v>
      </c>
      <c r="K255" s="70" t="str">
        <f>'RESUMEN TOTAL'!R314</f>
        <v>APAGADO</v>
      </c>
      <c r="L255" s="70" t="str">
        <f>'RESUMEN TOTAL'!S314</f>
        <v>APAGADO</v>
      </c>
      <c r="M255" s="70" t="str">
        <f>'RESUMEN TOTAL'!T314</f>
        <v>APAGADO</v>
      </c>
      <c r="N255" s="70">
        <f>'RESUMEN TOTAL'!U314</f>
        <v>0</v>
      </c>
      <c r="O255" s="70">
        <f>'RESUMEN TOTAL'!V314</f>
        <v>0</v>
      </c>
      <c r="P255" s="70">
        <f>'RESUMEN TOTAL'!W314</f>
        <v>0</v>
      </c>
      <c r="Q255" s="70">
        <f>'RESUMEN TOTAL'!X314</f>
        <v>0</v>
      </c>
      <c r="R255" s="70">
        <f>'RESUMEN TOTAL'!Y314</f>
        <v>0</v>
      </c>
      <c r="S255" s="70">
        <f>'RESUMEN TOTAL'!Z314</f>
        <v>0</v>
      </c>
      <c r="T255" s="70">
        <f>'RESUMEN TOTAL'!AA314</f>
        <v>0</v>
      </c>
      <c r="U255" s="70">
        <f>'RESUMEN TOTAL'!AB314</f>
        <v>0</v>
      </c>
      <c r="V255" s="70">
        <f>'RESUMEN TOTAL'!AC314</f>
        <v>0</v>
      </c>
      <c r="W255" s="70">
        <f>'RESUMEN TOTAL'!AD314</f>
        <v>0</v>
      </c>
      <c r="X255" s="70">
        <f>'RESUMEN TOTAL'!AE314</f>
        <v>0</v>
      </c>
      <c r="Y255" s="70">
        <f>'RESUMEN TOTAL'!AF314</f>
        <v>0</v>
      </c>
      <c r="Z255" s="70">
        <f>'RESUMEN TOTAL'!AG314</f>
        <v>0</v>
      </c>
      <c r="AA255" s="70">
        <f>'RESUMEN TOTAL'!AH314</f>
        <v>0</v>
      </c>
      <c r="AB255" s="70">
        <f>'RESUMEN TOTAL'!AI314</f>
        <v>0</v>
      </c>
      <c r="AC255" s="70">
        <f>'RESUMEN TOTAL'!AJ314</f>
        <v>0</v>
      </c>
      <c r="AD255" s="70">
        <f>'RESUMEN TOTAL'!AK314</f>
        <v>0</v>
      </c>
      <c r="AE255" s="70">
        <f>'RESUMEN TOTAL'!AL314</f>
        <v>0</v>
      </c>
      <c r="AF255" s="70">
        <f>'RESUMEN TOTAL'!AM314</f>
        <v>0</v>
      </c>
      <c r="AG255" s="70">
        <f>'RESUMEN TOTAL'!AN314</f>
        <v>0</v>
      </c>
      <c r="AH255" s="70">
        <f>'RESUMEN TOTAL'!AO314</f>
        <v>0</v>
      </c>
      <c r="AI255" s="70">
        <f>'RESUMEN TOTAL'!AP314</f>
        <v>0</v>
      </c>
      <c r="AJ255" s="70">
        <f>'RESUMEN TOTAL'!AQ314</f>
        <v>0</v>
      </c>
    </row>
    <row r="256" spans="1:36" x14ac:dyDescent="0.25">
      <c r="A256" t="str">
        <f>'RESUMEN TOTAL'!A315</f>
        <v>ZONA RURAL SANTA ROSA</v>
      </c>
      <c r="B256" t="str">
        <f>'RESUMEN TOTAL'!B315</f>
        <v>PUNTO SEGURO SANTA ROSA INTERCOMUNICADOR</v>
      </c>
      <c r="C256" t="str">
        <f>'RESUMEN TOTAL'!D315</f>
        <v>Bruselas y sicilia</v>
      </c>
      <c r="D256" s="30" t="str">
        <f>'RESUMEN TOTAL'!E315</f>
        <v>Fija</v>
      </c>
      <c r="E256" s="30" t="str">
        <f>'RESUMEN TOTAL'!F315</f>
        <v>Fibra Optica</v>
      </c>
      <c r="F256" s="70">
        <f>'RESUMEN TOTAL'!M315</f>
        <v>0</v>
      </c>
      <c r="G256" s="70">
        <f>'RESUMEN TOTAL'!N315</f>
        <v>0</v>
      </c>
      <c r="H256" s="70">
        <f>'RESUMEN TOTAL'!O315</f>
        <v>0</v>
      </c>
      <c r="I256" s="70" t="str">
        <f>'RESUMEN TOTAL'!P315</f>
        <v>APAGADO</v>
      </c>
      <c r="J256" s="70">
        <f>'RESUMEN TOTAL'!Q315</f>
        <v>0</v>
      </c>
      <c r="K256" s="70">
        <f>'RESUMEN TOTAL'!R315</f>
        <v>0</v>
      </c>
      <c r="L256" s="70">
        <f>'RESUMEN TOTAL'!S315</f>
        <v>0</v>
      </c>
      <c r="M256" s="70">
        <f>'RESUMEN TOTAL'!T315</f>
        <v>0</v>
      </c>
      <c r="N256" s="70">
        <f>'RESUMEN TOTAL'!U315</f>
        <v>0</v>
      </c>
      <c r="O256" s="70">
        <f>'RESUMEN TOTAL'!V315</f>
        <v>0</v>
      </c>
      <c r="P256" s="70">
        <f>'RESUMEN TOTAL'!W315</f>
        <v>0</v>
      </c>
      <c r="Q256" s="70">
        <f>'RESUMEN TOTAL'!X315</f>
        <v>0</v>
      </c>
      <c r="R256" s="70">
        <f>'RESUMEN TOTAL'!Y315</f>
        <v>0</v>
      </c>
      <c r="S256" s="70">
        <f>'RESUMEN TOTAL'!Z315</f>
        <v>0</v>
      </c>
      <c r="T256" s="70">
        <f>'RESUMEN TOTAL'!AA315</f>
        <v>0</v>
      </c>
      <c r="U256" s="70">
        <f>'RESUMEN TOTAL'!AB315</f>
        <v>0</v>
      </c>
      <c r="V256" s="70">
        <f>'RESUMEN TOTAL'!AC315</f>
        <v>0</v>
      </c>
      <c r="W256" s="70">
        <f>'RESUMEN TOTAL'!AD315</f>
        <v>0</v>
      </c>
      <c r="X256" s="70">
        <f>'RESUMEN TOTAL'!AE315</f>
        <v>0</v>
      </c>
      <c r="Y256" s="70">
        <f>'RESUMEN TOTAL'!AF315</f>
        <v>0</v>
      </c>
      <c r="Z256" s="70">
        <f>'RESUMEN TOTAL'!AG315</f>
        <v>0</v>
      </c>
      <c r="AA256" s="70">
        <f>'RESUMEN TOTAL'!AH315</f>
        <v>0</v>
      </c>
      <c r="AB256" s="70">
        <f>'RESUMEN TOTAL'!AI315</f>
        <v>0</v>
      </c>
      <c r="AC256" s="70">
        <f>'RESUMEN TOTAL'!AJ315</f>
        <v>0</v>
      </c>
      <c r="AD256" s="70">
        <f>'RESUMEN TOTAL'!AK315</f>
        <v>0</v>
      </c>
      <c r="AE256" s="70">
        <f>'RESUMEN TOTAL'!AL315</f>
        <v>0</v>
      </c>
      <c r="AF256" s="70">
        <f>'RESUMEN TOTAL'!AM315</f>
        <v>0</v>
      </c>
      <c r="AG256" s="70">
        <f>'RESUMEN TOTAL'!AN315</f>
        <v>0</v>
      </c>
      <c r="AH256" s="70">
        <f>'RESUMEN TOTAL'!AO315</f>
        <v>0</v>
      </c>
      <c r="AI256" s="70">
        <f>'RESUMEN TOTAL'!AP315</f>
        <v>0</v>
      </c>
      <c r="AJ256" s="70">
        <f>'RESUMEN TOTAL'!AQ315</f>
        <v>0</v>
      </c>
    </row>
    <row r="257" spans="1:36" x14ac:dyDescent="0.25">
      <c r="A257" t="str">
        <f>'RESUMEN TOTAL'!A316</f>
        <v>VILLA ARGENTINA</v>
      </c>
      <c r="B257" t="str">
        <f>'RESUMEN TOTAL'!B316</f>
        <v>PUNTO SEGURO VILLA ARGENTINA domo</v>
      </c>
      <c r="C257" t="str">
        <f>'RESUMEN TOTAL'!D316</f>
        <v>CALLE 513 Y DIAG PORTELA</v>
      </c>
      <c r="D257" s="30" t="str">
        <f>'RESUMEN TOTAL'!E316</f>
        <v>Fija</v>
      </c>
      <c r="E257" s="30" t="str">
        <f>'RESUMEN TOTAL'!F316</f>
        <v>Fibra Optica</v>
      </c>
      <c r="F257" s="70" t="str">
        <f>'RESUMEN TOTAL'!M316</f>
        <v>APAGADO</v>
      </c>
      <c r="G257" s="70">
        <f>'RESUMEN TOTAL'!N316</f>
        <v>0</v>
      </c>
      <c r="H257" s="70">
        <f>'RESUMEN TOTAL'!O316</f>
        <v>0</v>
      </c>
      <c r="I257" s="70">
        <f>'RESUMEN TOTAL'!P316</f>
        <v>0</v>
      </c>
      <c r="J257" s="70">
        <f>'RESUMEN TOTAL'!Q316</f>
        <v>0</v>
      </c>
      <c r="K257" s="70">
        <f>'RESUMEN TOTAL'!R316</f>
        <v>0</v>
      </c>
      <c r="L257" s="70">
        <f>'RESUMEN TOTAL'!S316</f>
        <v>0</v>
      </c>
      <c r="M257" s="70">
        <f>'RESUMEN TOTAL'!T316</f>
        <v>0</v>
      </c>
      <c r="N257" s="70">
        <f>'RESUMEN TOTAL'!U316</f>
        <v>0</v>
      </c>
      <c r="O257" s="70">
        <f>'RESUMEN TOTAL'!V316</f>
        <v>0</v>
      </c>
      <c r="P257" s="70">
        <f>'RESUMEN TOTAL'!W316</f>
        <v>0</v>
      </c>
      <c r="Q257" s="70">
        <f>'RESUMEN TOTAL'!X316</f>
        <v>0</v>
      </c>
      <c r="R257" s="70">
        <f>'RESUMEN TOTAL'!Y316</f>
        <v>0</v>
      </c>
      <c r="S257" s="70">
        <f>'RESUMEN TOTAL'!Z316</f>
        <v>0</v>
      </c>
      <c r="T257" s="70">
        <f>'RESUMEN TOTAL'!AA316</f>
        <v>0</v>
      </c>
      <c r="U257" s="70">
        <f>'RESUMEN TOTAL'!AB316</f>
        <v>0</v>
      </c>
      <c r="V257" s="70">
        <f>'RESUMEN TOTAL'!AC316</f>
        <v>0</v>
      </c>
      <c r="W257" s="70">
        <f>'RESUMEN TOTAL'!AD316</f>
        <v>0</v>
      </c>
      <c r="X257" s="70">
        <f>'RESUMEN TOTAL'!AE316</f>
        <v>0</v>
      </c>
      <c r="Y257" s="70">
        <f>'RESUMEN TOTAL'!AF316</f>
        <v>0</v>
      </c>
      <c r="Z257" s="70">
        <f>'RESUMEN TOTAL'!AG316</f>
        <v>0</v>
      </c>
      <c r="AA257" s="70">
        <f>'RESUMEN TOTAL'!AH316</f>
        <v>0</v>
      </c>
      <c r="AB257" s="70">
        <f>'RESUMEN TOTAL'!AI316</f>
        <v>0</v>
      </c>
      <c r="AC257" s="70">
        <f>'RESUMEN TOTAL'!AJ316</f>
        <v>0</v>
      </c>
      <c r="AD257" s="70">
        <f>'RESUMEN TOTAL'!AK316</f>
        <v>0</v>
      </c>
      <c r="AE257" s="70">
        <f>'RESUMEN TOTAL'!AL316</f>
        <v>0</v>
      </c>
      <c r="AF257" s="70">
        <f>'RESUMEN TOTAL'!AM316</f>
        <v>0</v>
      </c>
      <c r="AG257" s="70">
        <f>'RESUMEN TOTAL'!AN316</f>
        <v>0</v>
      </c>
      <c r="AH257" s="70">
        <f>'RESUMEN TOTAL'!AO316</f>
        <v>0</v>
      </c>
      <c r="AI257" s="70">
        <f>'RESUMEN TOTAL'!AP316</f>
        <v>0</v>
      </c>
      <c r="AJ257" s="70">
        <f>'RESUMEN TOTAL'!AQ316</f>
        <v>0</v>
      </c>
    </row>
    <row r="258" spans="1:36" x14ac:dyDescent="0.25">
      <c r="A258" t="str">
        <f>'RESUMEN TOTAL'!A317</f>
        <v>VILLA ARGENTINA</v>
      </c>
      <c r="B258" t="str">
        <f>'RESUMEN TOTAL'!B317</f>
        <v>PUNTO SEGURO VILLA ARGENTINA fija</v>
      </c>
      <c r="C258" t="str">
        <f>'RESUMEN TOTAL'!D317</f>
        <v>CALLE 513 Y DIAG PORTELA</v>
      </c>
      <c r="D258" s="30" t="str">
        <f>'RESUMEN TOTAL'!E317</f>
        <v>Fija</v>
      </c>
      <c r="E258" s="30" t="str">
        <f>'RESUMEN TOTAL'!F317</f>
        <v>Fibra Optica</v>
      </c>
      <c r="F258" s="70" t="str">
        <f>'RESUMEN TOTAL'!M317</f>
        <v>APAGADO</v>
      </c>
      <c r="G258" s="70">
        <f>'RESUMEN TOTAL'!N317</f>
        <v>0</v>
      </c>
      <c r="H258" s="70">
        <f>'RESUMEN TOTAL'!O317</f>
        <v>0</v>
      </c>
      <c r="I258" s="70">
        <f>'RESUMEN TOTAL'!P317</f>
        <v>0</v>
      </c>
      <c r="J258" s="70">
        <f>'RESUMEN TOTAL'!Q317</f>
        <v>0</v>
      </c>
      <c r="K258" s="70">
        <f>'RESUMEN TOTAL'!R317</f>
        <v>0</v>
      </c>
      <c r="L258" s="70">
        <f>'RESUMEN TOTAL'!S317</f>
        <v>0</v>
      </c>
      <c r="M258" s="70">
        <f>'RESUMEN TOTAL'!T317</f>
        <v>0</v>
      </c>
      <c r="N258" s="70">
        <f>'RESUMEN TOTAL'!U317</f>
        <v>0</v>
      </c>
      <c r="O258" s="70">
        <f>'RESUMEN TOTAL'!V317</f>
        <v>0</v>
      </c>
      <c r="P258" s="70">
        <f>'RESUMEN TOTAL'!W317</f>
        <v>0</v>
      </c>
      <c r="Q258" s="70">
        <f>'RESUMEN TOTAL'!X317</f>
        <v>0</v>
      </c>
      <c r="R258" s="70">
        <f>'RESUMEN TOTAL'!Y317</f>
        <v>0</v>
      </c>
      <c r="S258" s="70">
        <f>'RESUMEN TOTAL'!Z317</f>
        <v>0</v>
      </c>
      <c r="T258" s="70">
        <f>'RESUMEN TOTAL'!AA317</f>
        <v>0</v>
      </c>
      <c r="U258" s="70">
        <f>'RESUMEN TOTAL'!AB317</f>
        <v>0</v>
      </c>
      <c r="V258" s="70">
        <f>'RESUMEN TOTAL'!AC317</f>
        <v>0</v>
      </c>
      <c r="W258" s="70">
        <f>'RESUMEN TOTAL'!AD317</f>
        <v>0</v>
      </c>
      <c r="X258" s="70">
        <f>'RESUMEN TOTAL'!AE317</f>
        <v>0</v>
      </c>
      <c r="Y258" s="70">
        <f>'RESUMEN TOTAL'!AF317</f>
        <v>0</v>
      </c>
      <c r="Z258" s="70">
        <f>'RESUMEN TOTAL'!AG317</f>
        <v>0</v>
      </c>
      <c r="AA258" s="70">
        <f>'RESUMEN TOTAL'!AH317</f>
        <v>0</v>
      </c>
      <c r="AB258" s="70">
        <f>'RESUMEN TOTAL'!AI317</f>
        <v>0</v>
      </c>
      <c r="AC258" s="70">
        <f>'RESUMEN TOTAL'!AJ317</f>
        <v>0</v>
      </c>
      <c r="AD258" s="70">
        <f>'RESUMEN TOTAL'!AK317</f>
        <v>0</v>
      </c>
      <c r="AE258" s="70">
        <f>'RESUMEN TOTAL'!AL317</f>
        <v>0</v>
      </c>
      <c r="AF258" s="70">
        <f>'RESUMEN TOTAL'!AM317</f>
        <v>0</v>
      </c>
      <c r="AG258" s="70">
        <f>'RESUMEN TOTAL'!AN317</f>
        <v>0</v>
      </c>
      <c r="AH258" s="70">
        <f>'RESUMEN TOTAL'!AO317</f>
        <v>0</v>
      </c>
      <c r="AI258" s="70">
        <f>'RESUMEN TOTAL'!AP317</f>
        <v>0</v>
      </c>
      <c r="AJ258" s="70">
        <f>'RESUMEN TOTAL'!AQ317</f>
        <v>0</v>
      </c>
    </row>
    <row r="259" spans="1:36" x14ac:dyDescent="0.25">
      <c r="A259" t="str">
        <f>'RESUMEN TOTAL'!A318</f>
        <v>VILLA ARGENTINA</v>
      </c>
      <c r="B259" t="str">
        <f>'RESUMEN TOTAL'!B318</f>
        <v>PUNTO SEGURO VILLA ARGENTINA INTERCOMUNICADOR</v>
      </c>
      <c r="C259" t="str">
        <f>'RESUMEN TOTAL'!D318</f>
        <v>CALLE 513 Y DIAG PORTELA</v>
      </c>
      <c r="D259" s="30" t="str">
        <f>'RESUMEN TOTAL'!E318</f>
        <v>Fija</v>
      </c>
      <c r="E259" s="30" t="str">
        <f>'RESUMEN TOTAL'!F318</f>
        <v>Fibra Optica</v>
      </c>
      <c r="F259" s="70" t="str">
        <f>'RESUMEN TOTAL'!M318</f>
        <v>APAGADO</v>
      </c>
      <c r="G259" s="70">
        <f>'RESUMEN TOTAL'!N318</f>
        <v>0</v>
      </c>
      <c r="H259" s="70">
        <f>'RESUMEN TOTAL'!O318</f>
        <v>0</v>
      </c>
      <c r="I259" s="70">
        <f>'RESUMEN TOTAL'!P318</f>
        <v>0</v>
      </c>
      <c r="J259" s="70">
        <f>'RESUMEN TOTAL'!Q318</f>
        <v>0</v>
      </c>
      <c r="K259" s="70">
        <f>'RESUMEN TOTAL'!R318</f>
        <v>0</v>
      </c>
      <c r="L259" s="70">
        <f>'RESUMEN TOTAL'!S318</f>
        <v>0</v>
      </c>
      <c r="M259" s="70">
        <f>'RESUMEN TOTAL'!T318</f>
        <v>0</v>
      </c>
      <c r="N259" s="70">
        <f>'RESUMEN TOTAL'!U318</f>
        <v>0</v>
      </c>
      <c r="O259" s="70">
        <f>'RESUMEN TOTAL'!V318</f>
        <v>0</v>
      </c>
      <c r="P259" s="70">
        <f>'RESUMEN TOTAL'!W318</f>
        <v>0</v>
      </c>
      <c r="Q259" s="70">
        <f>'RESUMEN TOTAL'!X318</f>
        <v>0</v>
      </c>
      <c r="R259" s="70">
        <f>'RESUMEN TOTAL'!Y318</f>
        <v>0</v>
      </c>
      <c r="S259" s="70">
        <f>'RESUMEN TOTAL'!Z318</f>
        <v>0</v>
      </c>
      <c r="T259" s="70">
        <f>'RESUMEN TOTAL'!AA318</f>
        <v>0</v>
      </c>
      <c r="U259" s="70">
        <f>'RESUMEN TOTAL'!AB318</f>
        <v>0</v>
      </c>
      <c r="V259" s="70">
        <f>'RESUMEN TOTAL'!AC318</f>
        <v>0</v>
      </c>
      <c r="W259" s="70">
        <f>'RESUMEN TOTAL'!AD318</f>
        <v>0</v>
      </c>
      <c r="X259" s="70">
        <f>'RESUMEN TOTAL'!AE318</f>
        <v>0</v>
      </c>
      <c r="Y259" s="70">
        <f>'RESUMEN TOTAL'!AF318</f>
        <v>0</v>
      </c>
      <c r="Z259" s="70">
        <f>'RESUMEN TOTAL'!AG318</f>
        <v>0</v>
      </c>
      <c r="AA259" s="70">
        <f>'RESUMEN TOTAL'!AH318</f>
        <v>0</v>
      </c>
      <c r="AB259" s="70">
        <f>'RESUMEN TOTAL'!AI318</f>
        <v>0</v>
      </c>
      <c r="AC259" s="70">
        <f>'RESUMEN TOTAL'!AJ318</f>
        <v>0</v>
      </c>
      <c r="AD259" s="70">
        <f>'RESUMEN TOTAL'!AK318</f>
        <v>0</v>
      </c>
      <c r="AE259" s="70">
        <f>'RESUMEN TOTAL'!AL318</f>
        <v>0</v>
      </c>
      <c r="AF259" s="70">
        <f>'RESUMEN TOTAL'!AM318</f>
        <v>0</v>
      </c>
      <c r="AG259" s="70">
        <f>'RESUMEN TOTAL'!AN318</f>
        <v>0</v>
      </c>
      <c r="AH259" s="70">
        <f>'RESUMEN TOTAL'!AO318</f>
        <v>0</v>
      </c>
      <c r="AI259" s="70">
        <f>'RESUMEN TOTAL'!AP318</f>
        <v>0</v>
      </c>
      <c r="AJ259" s="70">
        <f>'RESUMEN TOTAL'!AQ318</f>
        <v>0</v>
      </c>
    </row>
    <row r="260" spans="1:36" x14ac:dyDescent="0.25">
      <c r="A260" t="str">
        <f>'RESUMEN TOTAL'!A319</f>
        <v>EL ROCIO</v>
      </c>
      <c r="B260" t="str">
        <f>'RESUMEN TOTAL'!B319</f>
        <v>RCO 01</v>
      </c>
      <c r="C260" t="str">
        <f>'RESUMEN TOTAL'!D319</f>
        <v>AV. LUJAN Y LOBOS</v>
      </c>
      <c r="D260" s="30" t="str">
        <f>'RESUMEN TOTAL'!E319</f>
        <v>DOMO</v>
      </c>
      <c r="E260" s="30" t="str">
        <f>'RESUMEN TOTAL'!F319</f>
        <v>Fibra Optica</v>
      </c>
      <c r="F260" s="70">
        <f>'RESUMEN TOTAL'!M319</f>
        <v>0</v>
      </c>
      <c r="G260" s="70">
        <f>'RESUMEN TOTAL'!N319</f>
        <v>0</v>
      </c>
      <c r="H260" s="70">
        <f>'RESUMEN TOTAL'!O319</f>
        <v>0</v>
      </c>
      <c r="I260" s="70">
        <f>'RESUMEN TOTAL'!P319</f>
        <v>0</v>
      </c>
      <c r="J260" s="70">
        <f>'RESUMEN TOTAL'!Q319</f>
        <v>0</v>
      </c>
      <c r="K260" s="70">
        <f>'RESUMEN TOTAL'!R319</f>
        <v>0</v>
      </c>
      <c r="L260" s="70">
        <f>'RESUMEN TOTAL'!S319</f>
        <v>0</v>
      </c>
      <c r="M260" s="70">
        <f>'RESUMEN TOTAL'!T319</f>
        <v>0</v>
      </c>
      <c r="N260" s="70">
        <f>'RESUMEN TOTAL'!U319</f>
        <v>0</v>
      </c>
      <c r="O260" s="70">
        <f>'RESUMEN TOTAL'!V319</f>
        <v>0</v>
      </c>
      <c r="P260" s="70">
        <f>'RESUMEN TOTAL'!W319</f>
        <v>0</v>
      </c>
      <c r="Q260" s="70">
        <f>'RESUMEN TOTAL'!X319</f>
        <v>0</v>
      </c>
      <c r="R260" s="70">
        <f>'RESUMEN TOTAL'!Y319</f>
        <v>0</v>
      </c>
      <c r="S260" s="70">
        <f>'RESUMEN TOTAL'!Z319</f>
        <v>0</v>
      </c>
      <c r="T260" s="70">
        <f>'RESUMEN TOTAL'!AA319</f>
        <v>0</v>
      </c>
      <c r="U260" s="70">
        <f>'RESUMEN TOTAL'!AB319</f>
        <v>0</v>
      </c>
      <c r="V260" s="70">
        <f>'RESUMEN TOTAL'!AC319</f>
        <v>0</v>
      </c>
      <c r="W260" s="70">
        <f>'RESUMEN TOTAL'!AD319</f>
        <v>0</v>
      </c>
      <c r="X260" s="70">
        <f>'RESUMEN TOTAL'!AE319</f>
        <v>0</v>
      </c>
      <c r="Y260" s="70">
        <f>'RESUMEN TOTAL'!AF319</f>
        <v>0</v>
      </c>
      <c r="Z260" s="70">
        <f>'RESUMEN TOTAL'!AG319</f>
        <v>0</v>
      </c>
      <c r="AA260" s="70">
        <f>'RESUMEN TOTAL'!AH319</f>
        <v>0</v>
      </c>
      <c r="AB260" s="70">
        <f>'RESUMEN TOTAL'!AI319</f>
        <v>0</v>
      </c>
      <c r="AC260" s="70">
        <f>'RESUMEN TOTAL'!AJ319</f>
        <v>0</v>
      </c>
      <c r="AD260" s="70">
        <f>'RESUMEN TOTAL'!AK319</f>
        <v>0</v>
      </c>
      <c r="AE260" s="70">
        <f>'RESUMEN TOTAL'!AL319</f>
        <v>0</v>
      </c>
      <c r="AF260" s="70">
        <f>'RESUMEN TOTAL'!AM319</f>
        <v>0</v>
      </c>
      <c r="AG260" s="70">
        <f>'RESUMEN TOTAL'!AN319</f>
        <v>0</v>
      </c>
      <c r="AH260" s="70">
        <f>'RESUMEN TOTAL'!AO319</f>
        <v>0</v>
      </c>
      <c r="AI260" s="70">
        <f>'RESUMEN TOTAL'!AP319</f>
        <v>0</v>
      </c>
      <c r="AJ260" s="70">
        <f>'RESUMEN TOTAL'!AQ319</f>
        <v>0</v>
      </c>
    </row>
    <row r="261" spans="1:36" x14ac:dyDescent="0.25">
      <c r="A261" t="str">
        <f>'RESUMEN TOTAL'!A320</f>
        <v>EL ROCIO</v>
      </c>
      <c r="B261" t="str">
        <f>'RESUMEN TOTAL'!B320</f>
        <v>RCO02</v>
      </c>
      <c r="C261" t="str">
        <f>'RESUMEN TOTAL'!D320</f>
        <v>AV. LUJAN Y BRANDSEN</v>
      </c>
      <c r="D261" s="30" t="str">
        <f>'RESUMEN TOTAL'!E320</f>
        <v>DOMO</v>
      </c>
      <c r="E261" s="30" t="str">
        <f>'RESUMEN TOTAL'!F320</f>
        <v>Fibra Optica</v>
      </c>
      <c r="F261" s="70">
        <f>'RESUMEN TOTAL'!M320</f>
        <v>0</v>
      </c>
      <c r="G261" s="70">
        <f>'RESUMEN TOTAL'!N320</f>
        <v>0</v>
      </c>
      <c r="H261" s="70">
        <f>'RESUMEN TOTAL'!O320</f>
        <v>0</v>
      </c>
      <c r="I261" s="70">
        <f>'RESUMEN TOTAL'!P320</f>
        <v>0</v>
      </c>
      <c r="J261" s="70">
        <f>'RESUMEN TOTAL'!Q320</f>
        <v>0</v>
      </c>
      <c r="K261" s="70">
        <f>'RESUMEN TOTAL'!R320</f>
        <v>0</v>
      </c>
      <c r="L261" s="70">
        <f>'RESUMEN TOTAL'!S320</f>
        <v>0</v>
      </c>
      <c r="M261" s="70">
        <f>'RESUMEN TOTAL'!T320</f>
        <v>0</v>
      </c>
      <c r="N261" s="70">
        <f>'RESUMEN TOTAL'!U320</f>
        <v>0</v>
      </c>
      <c r="O261" s="70">
        <f>'RESUMEN TOTAL'!V320</f>
        <v>0</v>
      </c>
      <c r="P261" s="70">
        <f>'RESUMEN TOTAL'!W320</f>
        <v>0</v>
      </c>
      <c r="Q261" s="70">
        <f>'RESUMEN TOTAL'!X320</f>
        <v>0</v>
      </c>
      <c r="R261" s="70">
        <f>'RESUMEN TOTAL'!Y320</f>
        <v>0</v>
      </c>
      <c r="S261" s="70">
        <f>'RESUMEN TOTAL'!Z320</f>
        <v>0</v>
      </c>
      <c r="T261" s="70">
        <f>'RESUMEN TOTAL'!AA320</f>
        <v>0</v>
      </c>
      <c r="U261" s="70">
        <f>'RESUMEN TOTAL'!AB320</f>
        <v>0</v>
      </c>
      <c r="V261" s="70">
        <f>'RESUMEN TOTAL'!AC320</f>
        <v>0</v>
      </c>
      <c r="W261" s="70">
        <f>'RESUMEN TOTAL'!AD320</f>
        <v>0</v>
      </c>
      <c r="X261" s="70">
        <f>'RESUMEN TOTAL'!AE320</f>
        <v>0</v>
      </c>
      <c r="Y261" s="70">
        <f>'RESUMEN TOTAL'!AF320</f>
        <v>0</v>
      </c>
      <c r="Z261" s="70">
        <f>'RESUMEN TOTAL'!AG320</f>
        <v>0</v>
      </c>
      <c r="AA261" s="70">
        <f>'RESUMEN TOTAL'!AH320</f>
        <v>0</v>
      </c>
      <c r="AB261" s="70">
        <f>'RESUMEN TOTAL'!AI320</f>
        <v>0</v>
      </c>
      <c r="AC261" s="70">
        <f>'RESUMEN TOTAL'!AJ320</f>
        <v>0</v>
      </c>
      <c r="AD261" s="70">
        <f>'RESUMEN TOTAL'!AK320</f>
        <v>0</v>
      </c>
      <c r="AE261" s="70">
        <f>'RESUMEN TOTAL'!AL320</f>
        <v>0</v>
      </c>
      <c r="AF261" s="70">
        <f>'RESUMEN TOTAL'!AM320</f>
        <v>0</v>
      </c>
      <c r="AG261" s="70">
        <f>'RESUMEN TOTAL'!AN320</f>
        <v>0</v>
      </c>
      <c r="AH261" s="70">
        <f>'RESUMEN TOTAL'!AO320</f>
        <v>0</v>
      </c>
      <c r="AI261" s="70">
        <f>'RESUMEN TOTAL'!AP320</f>
        <v>0</v>
      </c>
      <c r="AJ261" s="70">
        <f>'RESUMEN TOTAL'!AQ320</f>
        <v>0</v>
      </c>
    </row>
    <row r="262" spans="1:36" x14ac:dyDescent="0.25">
      <c r="A262" t="str">
        <f>'RESUMEN TOTAL'!A321</f>
        <v>EL ROCIO</v>
      </c>
      <c r="B262" t="str">
        <f>'RESUMEN TOTAL'!B321</f>
        <v>RCO03 (fija 1)</v>
      </c>
      <c r="C262" t="str">
        <f>'RESUMEN TOTAL'!D321</f>
        <v>OLAVARRIA Y CONCORDIA</v>
      </c>
      <c r="D262" s="30" t="str">
        <f>'RESUMEN TOTAL'!E321</f>
        <v>Fija</v>
      </c>
      <c r="E262" s="30" t="str">
        <f>'RESUMEN TOTAL'!F321</f>
        <v>Fibra Optica</v>
      </c>
      <c r="F262" s="70">
        <f>'RESUMEN TOTAL'!M321</f>
        <v>0</v>
      </c>
      <c r="G262" s="70">
        <f>'RESUMEN TOTAL'!N321</f>
        <v>0</v>
      </c>
      <c r="H262" s="70">
        <f>'RESUMEN TOTAL'!O321</f>
        <v>0</v>
      </c>
      <c r="I262" s="70">
        <f>'RESUMEN TOTAL'!P321</f>
        <v>0</v>
      </c>
      <c r="J262" s="70">
        <f>'RESUMEN TOTAL'!Q321</f>
        <v>0</v>
      </c>
      <c r="K262" s="70">
        <f>'RESUMEN TOTAL'!R321</f>
        <v>0</v>
      </c>
      <c r="L262" s="70">
        <f>'RESUMEN TOTAL'!S321</f>
        <v>0</v>
      </c>
      <c r="M262" s="70">
        <f>'RESUMEN TOTAL'!T321</f>
        <v>0</v>
      </c>
      <c r="N262" s="70">
        <f>'RESUMEN TOTAL'!U321</f>
        <v>0</v>
      </c>
      <c r="O262" s="70">
        <f>'RESUMEN TOTAL'!V321</f>
        <v>0</v>
      </c>
      <c r="P262" s="70">
        <f>'RESUMEN TOTAL'!W321</f>
        <v>0</v>
      </c>
      <c r="Q262" s="70">
        <f>'RESUMEN TOTAL'!X321</f>
        <v>0</v>
      </c>
      <c r="R262" s="70">
        <f>'RESUMEN TOTAL'!Y321</f>
        <v>0</v>
      </c>
      <c r="S262" s="70">
        <f>'RESUMEN TOTAL'!Z321</f>
        <v>0</v>
      </c>
      <c r="T262" s="70">
        <f>'RESUMEN TOTAL'!AA321</f>
        <v>0</v>
      </c>
      <c r="U262" s="70">
        <f>'RESUMEN TOTAL'!AB321</f>
        <v>0</v>
      </c>
      <c r="V262" s="70">
        <f>'RESUMEN TOTAL'!AC321</f>
        <v>0</v>
      </c>
      <c r="W262" s="70">
        <f>'RESUMEN TOTAL'!AD321</f>
        <v>0</v>
      </c>
      <c r="X262" s="70">
        <f>'RESUMEN TOTAL'!AE321</f>
        <v>0</v>
      </c>
      <c r="Y262" s="70">
        <f>'RESUMEN TOTAL'!AF321</f>
        <v>0</v>
      </c>
      <c r="Z262" s="70">
        <f>'RESUMEN TOTAL'!AG321</f>
        <v>0</v>
      </c>
      <c r="AA262" s="70">
        <f>'RESUMEN TOTAL'!AH321</f>
        <v>0</v>
      </c>
      <c r="AB262" s="70">
        <f>'RESUMEN TOTAL'!AI321</f>
        <v>0</v>
      </c>
      <c r="AC262" s="70">
        <f>'RESUMEN TOTAL'!AJ321</f>
        <v>0</v>
      </c>
      <c r="AD262" s="70">
        <f>'RESUMEN TOTAL'!AK321</f>
        <v>0</v>
      </c>
      <c r="AE262" s="70">
        <f>'RESUMEN TOTAL'!AL321</f>
        <v>0</v>
      </c>
      <c r="AF262" s="70">
        <f>'RESUMEN TOTAL'!AM321</f>
        <v>0</v>
      </c>
      <c r="AG262" s="70">
        <f>'RESUMEN TOTAL'!AN321</f>
        <v>0</v>
      </c>
      <c r="AH262" s="70">
        <f>'RESUMEN TOTAL'!AO321</f>
        <v>0</v>
      </c>
      <c r="AI262" s="70">
        <f>'RESUMEN TOTAL'!AP321</f>
        <v>0</v>
      </c>
      <c r="AJ262" s="70">
        <f>'RESUMEN TOTAL'!AQ321</f>
        <v>0</v>
      </c>
    </row>
    <row r="263" spans="1:36" x14ac:dyDescent="0.25">
      <c r="A263" t="str">
        <f>'RESUMEN TOTAL'!A322</f>
        <v>EL ROCIO</v>
      </c>
      <c r="B263" t="str">
        <f>'RESUMEN TOTAL'!B322</f>
        <v>RCO04 (fija 2)</v>
      </c>
      <c r="C263" t="str">
        <f>'RESUMEN TOTAL'!D322</f>
        <v>OLAVARRIA Y CONCORDIA</v>
      </c>
      <c r="D263" s="30" t="str">
        <f>'RESUMEN TOTAL'!E322</f>
        <v>Fija</v>
      </c>
      <c r="E263" s="30" t="str">
        <f>'RESUMEN TOTAL'!F322</f>
        <v>Fibra Optica</v>
      </c>
      <c r="F263" s="70">
        <f>'RESUMEN TOTAL'!M322</f>
        <v>0</v>
      </c>
      <c r="G263" s="70">
        <f>'RESUMEN TOTAL'!N322</f>
        <v>0</v>
      </c>
      <c r="H263" s="70">
        <f>'RESUMEN TOTAL'!O322</f>
        <v>0</v>
      </c>
      <c r="I263" s="70">
        <f>'RESUMEN TOTAL'!P322</f>
        <v>0</v>
      </c>
      <c r="J263" s="70">
        <f>'RESUMEN TOTAL'!Q322</f>
        <v>0</v>
      </c>
      <c r="K263" s="70">
        <f>'RESUMEN TOTAL'!R322</f>
        <v>0</v>
      </c>
      <c r="L263" s="70">
        <f>'RESUMEN TOTAL'!S322</f>
        <v>0</v>
      </c>
      <c r="M263" s="70">
        <f>'RESUMEN TOTAL'!T322</f>
        <v>0</v>
      </c>
      <c r="N263" s="70">
        <f>'RESUMEN TOTAL'!U322</f>
        <v>0</v>
      </c>
      <c r="O263" s="70">
        <f>'RESUMEN TOTAL'!V322</f>
        <v>0</v>
      </c>
      <c r="P263" s="70">
        <f>'RESUMEN TOTAL'!W322</f>
        <v>0</v>
      </c>
      <c r="Q263" s="70">
        <f>'RESUMEN TOTAL'!X322</f>
        <v>0</v>
      </c>
      <c r="R263" s="70">
        <f>'RESUMEN TOTAL'!Y322</f>
        <v>0</v>
      </c>
      <c r="S263" s="70">
        <f>'RESUMEN TOTAL'!Z322</f>
        <v>0</v>
      </c>
      <c r="T263" s="70">
        <f>'RESUMEN TOTAL'!AA322</f>
        <v>0</v>
      </c>
      <c r="U263" s="70">
        <f>'RESUMEN TOTAL'!AB322</f>
        <v>0</v>
      </c>
      <c r="V263" s="70">
        <f>'RESUMEN TOTAL'!AC322</f>
        <v>0</v>
      </c>
      <c r="W263" s="70">
        <f>'RESUMEN TOTAL'!AD322</f>
        <v>0</v>
      </c>
      <c r="X263" s="70">
        <f>'RESUMEN TOTAL'!AE322</f>
        <v>0</v>
      </c>
      <c r="Y263" s="70">
        <f>'RESUMEN TOTAL'!AF322</f>
        <v>0</v>
      </c>
      <c r="Z263" s="70">
        <f>'RESUMEN TOTAL'!AG322</f>
        <v>0</v>
      </c>
      <c r="AA263" s="70">
        <f>'RESUMEN TOTAL'!AH322</f>
        <v>0</v>
      </c>
      <c r="AB263" s="70">
        <f>'RESUMEN TOTAL'!AI322</f>
        <v>0</v>
      </c>
      <c r="AC263" s="70">
        <f>'RESUMEN TOTAL'!AJ322</f>
        <v>0</v>
      </c>
      <c r="AD263" s="70">
        <f>'RESUMEN TOTAL'!AK322</f>
        <v>0</v>
      </c>
      <c r="AE263" s="70">
        <f>'RESUMEN TOTAL'!AL322</f>
        <v>0</v>
      </c>
      <c r="AF263" s="70">
        <f>'RESUMEN TOTAL'!AM322</f>
        <v>0</v>
      </c>
      <c r="AG263" s="70">
        <f>'RESUMEN TOTAL'!AN322</f>
        <v>0</v>
      </c>
      <c r="AH263" s="70">
        <f>'RESUMEN TOTAL'!AO322</f>
        <v>0</v>
      </c>
      <c r="AI263" s="70">
        <f>'RESUMEN TOTAL'!AP322</f>
        <v>0</v>
      </c>
      <c r="AJ263" s="70">
        <f>'RESUMEN TOTAL'!AQ322</f>
        <v>0</v>
      </c>
    </row>
    <row r="264" spans="1:36" x14ac:dyDescent="0.25">
      <c r="A264" t="str">
        <f>'RESUMEN TOTAL'!A323</f>
        <v>EL ROCIO</v>
      </c>
      <c r="B264" t="str">
        <f>'RESUMEN TOTAL'!B323</f>
        <v>RCO05 (fija 1)</v>
      </c>
      <c r="C264" t="str">
        <f>'RESUMEN TOTAL'!D323</f>
        <v>LOBOS Y CHASCOMUS</v>
      </c>
      <c r="D264" s="30" t="str">
        <f>'RESUMEN TOTAL'!E323</f>
        <v>Fija</v>
      </c>
      <c r="E264" s="30" t="str">
        <f>'RESUMEN TOTAL'!F323</f>
        <v>Fibra Optica</v>
      </c>
      <c r="F264" s="70">
        <f>'RESUMEN TOTAL'!M323</f>
        <v>0</v>
      </c>
      <c r="G264" s="70">
        <f>'RESUMEN TOTAL'!N323</f>
        <v>0</v>
      </c>
      <c r="H264" s="70">
        <f>'RESUMEN TOTAL'!O323</f>
        <v>0</v>
      </c>
      <c r="I264" s="70">
        <f>'RESUMEN TOTAL'!P323</f>
        <v>0</v>
      </c>
      <c r="J264" s="70">
        <f>'RESUMEN TOTAL'!Q323</f>
        <v>0</v>
      </c>
      <c r="K264" s="70">
        <f>'RESUMEN TOTAL'!R323</f>
        <v>0</v>
      </c>
      <c r="L264" s="70">
        <f>'RESUMEN TOTAL'!S323</f>
        <v>0</v>
      </c>
      <c r="M264" s="70">
        <f>'RESUMEN TOTAL'!T323</f>
        <v>0</v>
      </c>
      <c r="N264" s="70">
        <f>'RESUMEN TOTAL'!U323</f>
        <v>0</v>
      </c>
      <c r="O264" s="70">
        <f>'RESUMEN TOTAL'!V323</f>
        <v>0</v>
      </c>
      <c r="P264" s="70">
        <f>'RESUMEN TOTAL'!W323</f>
        <v>0</v>
      </c>
      <c r="Q264" s="70">
        <f>'RESUMEN TOTAL'!X323</f>
        <v>0</v>
      </c>
      <c r="R264" s="70">
        <f>'RESUMEN TOTAL'!Y323</f>
        <v>0</v>
      </c>
      <c r="S264" s="70">
        <f>'RESUMEN TOTAL'!Z323</f>
        <v>0</v>
      </c>
      <c r="T264" s="70">
        <f>'RESUMEN TOTAL'!AA323</f>
        <v>0</v>
      </c>
      <c r="U264" s="70">
        <f>'RESUMEN TOTAL'!AB323</f>
        <v>0</v>
      </c>
      <c r="V264" s="70">
        <f>'RESUMEN TOTAL'!AC323</f>
        <v>0</v>
      </c>
      <c r="W264" s="70">
        <f>'RESUMEN TOTAL'!AD323</f>
        <v>0</v>
      </c>
      <c r="X264" s="70">
        <f>'RESUMEN TOTAL'!AE323</f>
        <v>0</v>
      </c>
      <c r="Y264" s="70">
        <f>'RESUMEN TOTAL'!AF323</f>
        <v>0</v>
      </c>
      <c r="Z264" s="70">
        <f>'RESUMEN TOTAL'!AG323</f>
        <v>0</v>
      </c>
      <c r="AA264" s="70">
        <f>'RESUMEN TOTAL'!AH323</f>
        <v>0</v>
      </c>
      <c r="AB264" s="70">
        <f>'RESUMEN TOTAL'!AI323</f>
        <v>0</v>
      </c>
      <c r="AC264" s="70">
        <f>'RESUMEN TOTAL'!AJ323</f>
        <v>0</v>
      </c>
      <c r="AD264" s="70">
        <f>'RESUMEN TOTAL'!AK323</f>
        <v>0</v>
      </c>
      <c r="AE264" s="70">
        <f>'RESUMEN TOTAL'!AL323</f>
        <v>0</v>
      </c>
      <c r="AF264" s="70">
        <f>'RESUMEN TOTAL'!AM323</f>
        <v>0</v>
      </c>
      <c r="AG264" s="70">
        <f>'RESUMEN TOTAL'!AN323</f>
        <v>0</v>
      </c>
      <c r="AH264" s="70">
        <f>'RESUMEN TOTAL'!AO323</f>
        <v>0</v>
      </c>
      <c r="AI264" s="70">
        <f>'RESUMEN TOTAL'!AP323</f>
        <v>0</v>
      </c>
      <c r="AJ264" s="70">
        <f>'RESUMEN TOTAL'!AQ323</f>
        <v>0</v>
      </c>
    </row>
    <row r="265" spans="1:36" x14ac:dyDescent="0.25">
      <c r="A265" t="str">
        <f>'RESUMEN TOTAL'!A326</f>
        <v>EL ROCIO</v>
      </c>
      <c r="B265" t="str">
        <f>'RESUMEN TOTAL'!B324</f>
        <v>RCO06 (fija 2)</v>
      </c>
      <c r="C265" t="str">
        <f>'RESUMEN TOTAL'!D324</f>
        <v>LOBOS Y CHASCOMUS</v>
      </c>
      <c r="D265" s="30" t="str">
        <f>'RESUMEN TOTAL'!E324</f>
        <v>FIJA</v>
      </c>
      <c r="E265" s="30" t="str">
        <f>'RESUMEN TOTAL'!F324</f>
        <v>Fibra Optica</v>
      </c>
      <c r="F265" s="70">
        <f>'RESUMEN TOTAL'!M324</f>
        <v>0</v>
      </c>
      <c r="G265" s="70">
        <f>'RESUMEN TOTAL'!N324</f>
        <v>0</v>
      </c>
      <c r="H265" s="70">
        <f>'RESUMEN TOTAL'!O324</f>
        <v>0</v>
      </c>
      <c r="I265" s="70">
        <f>'RESUMEN TOTAL'!P324</f>
        <v>0</v>
      </c>
      <c r="J265" s="70">
        <f>'RESUMEN TOTAL'!Q324</f>
        <v>0</v>
      </c>
      <c r="K265" s="70">
        <f>'RESUMEN TOTAL'!R324</f>
        <v>0</v>
      </c>
      <c r="L265" s="70">
        <f>'RESUMEN TOTAL'!S324</f>
        <v>0</v>
      </c>
      <c r="M265" s="70">
        <f>'RESUMEN TOTAL'!T324</f>
        <v>0</v>
      </c>
      <c r="N265" s="70">
        <f>'RESUMEN TOTAL'!U324</f>
        <v>0</v>
      </c>
      <c r="O265" s="70">
        <f>'RESUMEN TOTAL'!V324</f>
        <v>0</v>
      </c>
      <c r="P265" s="70">
        <f>'RESUMEN TOTAL'!W324</f>
        <v>0</v>
      </c>
      <c r="Q265" s="70">
        <f>'RESUMEN TOTAL'!X324</f>
        <v>0</v>
      </c>
      <c r="R265" s="70">
        <f>'RESUMEN TOTAL'!Y324</f>
        <v>0</v>
      </c>
      <c r="S265" s="70">
        <f>'RESUMEN TOTAL'!Z324</f>
        <v>0</v>
      </c>
      <c r="T265" s="70">
        <f>'RESUMEN TOTAL'!AA324</f>
        <v>0</v>
      </c>
      <c r="U265" s="70">
        <f>'RESUMEN TOTAL'!AB324</f>
        <v>0</v>
      </c>
      <c r="V265" s="70">
        <f>'RESUMEN TOTAL'!AC324</f>
        <v>0</v>
      </c>
      <c r="W265" s="70">
        <f>'RESUMEN TOTAL'!AD324</f>
        <v>0</v>
      </c>
      <c r="X265" s="70">
        <f>'RESUMEN TOTAL'!AE324</f>
        <v>0</v>
      </c>
      <c r="Y265" s="70">
        <f>'RESUMEN TOTAL'!AF324</f>
        <v>0</v>
      </c>
      <c r="Z265" s="70">
        <f>'RESUMEN TOTAL'!AG324</f>
        <v>0</v>
      </c>
      <c r="AA265" s="70">
        <f>'RESUMEN TOTAL'!AH324</f>
        <v>0</v>
      </c>
      <c r="AB265" s="70">
        <f>'RESUMEN TOTAL'!AI324</f>
        <v>0</v>
      </c>
      <c r="AC265" s="70">
        <f>'RESUMEN TOTAL'!AJ324</f>
        <v>0</v>
      </c>
      <c r="AD265" s="70">
        <f>'RESUMEN TOTAL'!AK324</f>
        <v>0</v>
      </c>
      <c r="AE265" s="70">
        <f>'RESUMEN TOTAL'!AL324</f>
        <v>0</v>
      </c>
      <c r="AF265" s="70">
        <f>'RESUMEN TOTAL'!AM324</f>
        <v>0</v>
      </c>
      <c r="AG265" s="70">
        <f>'RESUMEN TOTAL'!AN324</f>
        <v>0</v>
      </c>
      <c r="AH265" s="70">
        <f>'RESUMEN TOTAL'!AO324</f>
        <v>0</v>
      </c>
      <c r="AI265" s="70">
        <f>'RESUMEN TOTAL'!AP324</f>
        <v>0</v>
      </c>
      <c r="AJ265" s="70">
        <f>'RESUMEN TOTAL'!AQ324</f>
        <v>0</v>
      </c>
    </row>
    <row r="266" spans="1:36" x14ac:dyDescent="0.25">
      <c r="A266" t="str">
        <f>'RESUMEN TOTAL'!A331</f>
        <v>RICARDO ROJAS</v>
      </c>
      <c r="B266" t="str">
        <f>'RESUMEN TOTAL'!B331</f>
        <v>RRJ01</v>
      </c>
      <c r="C266" t="str">
        <f>'RESUMEN TOTAL'!D331</f>
        <v>AV. LUJAN Y BRAGADO</v>
      </c>
      <c r="D266" s="30" t="str">
        <f>'RESUMEN TOTAL'!E331</f>
        <v>DOMO</v>
      </c>
      <c r="E266" s="30" t="str">
        <f>'RESUMEN TOTAL'!F331</f>
        <v>Fibra Optica</v>
      </c>
      <c r="F266" s="70">
        <f>'RESUMEN TOTAL'!M331</f>
        <v>0</v>
      </c>
      <c r="G266" s="70">
        <f>'RESUMEN TOTAL'!N331</f>
        <v>0</v>
      </c>
      <c r="H266" s="70">
        <f>'RESUMEN TOTAL'!O331</f>
        <v>0</v>
      </c>
      <c r="I266" s="70">
        <f>'RESUMEN TOTAL'!P331</f>
        <v>0</v>
      </c>
      <c r="J266" s="70">
        <f>'RESUMEN TOTAL'!Q331</f>
        <v>0</v>
      </c>
      <c r="K266" s="70">
        <f>'RESUMEN TOTAL'!R331</f>
        <v>0</v>
      </c>
      <c r="L266" s="70">
        <f>'RESUMEN TOTAL'!S331</f>
        <v>0</v>
      </c>
      <c r="M266" s="70">
        <f>'RESUMEN TOTAL'!T331</f>
        <v>0</v>
      </c>
      <c r="N266" s="70">
        <f>'RESUMEN TOTAL'!U331</f>
        <v>0</v>
      </c>
      <c r="O266" s="70">
        <f>'RESUMEN TOTAL'!V331</f>
        <v>0</v>
      </c>
      <c r="P266" s="70">
        <f>'RESUMEN TOTAL'!W331</f>
        <v>0</v>
      </c>
      <c r="Q266" s="70">
        <f>'RESUMEN TOTAL'!X331</f>
        <v>0</v>
      </c>
      <c r="R266" s="70">
        <f>'RESUMEN TOTAL'!Y331</f>
        <v>0</v>
      </c>
      <c r="S266" s="70">
        <f>'RESUMEN TOTAL'!Z331</f>
        <v>0</v>
      </c>
      <c r="T266" s="70">
        <f>'RESUMEN TOTAL'!AA331</f>
        <v>0</v>
      </c>
      <c r="U266" s="70">
        <f>'RESUMEN TOTAL'!AB331</f>
        <v>0</v>
      </c>
      <c r="V266" s="70">
        <f>'RESUMEN TOTAL'!AC331</f>
        <v>0</v>
      </c>
      <c r="W266" s="70">
        <f>'RESUMEN TOTAL'!AD331</f>
        <v>0</v>
      </c>
      <c r="X266" s="70">
        <f>'RESUMEN TOTAL'!AE331</f>
        <v>0</v>
      </c>
      <c r="Y266" s="70">
        <f>'RESUMEN TOTAL'!AF331</f>
        <v>0</v>
      </c>
      <c r="Z266" s="70">
        <f>'RESUMEN TOTAL'!AG331</f>
        <v>0</v>
      </c>
      <c r="AA266" s="70">
        <f>'RESUMEN TOTAL'!AH331</f>
        <v>0</v>
      </c>
      <c r="AB266" s="70">
        <f>'RESUMEN TOTAL'!AI331</f>
        <v>0</v>
      </c>
      <c r="AC266" s="70">
        <f>'RESUMEN TOTAL'!AJ331</f>
        <v>0</v>
      </c>
      <c r="AD266" s="70">
        <f>'RESUMEN TOTAL'!AK331</f>
        <v>0</v>
      </c>
      <c r="AE266" s="70">
        <f>'RESUMEN TOTAL'!AL331</f>
        <v>0</v>
      </c>
      <c r="AF266" s="70">
        <f>'RESUMEN TOTAL'!AM331</f>
        <v>0</v>
      </c>
      <c r="AG266" s="70">
        <f>'RESUMEN TOTAL'!AN331</f>
        <v>0</v>
      </c>
      <c r="AH266" s="70">
        <f>'RESUMEN TOTAL'!AO331</f>
        <v>0</v>
      </c>
      <c r="AI266" s="70">
        <f>'RESUMEN TOTAL'!AP331</f>
        <v>0</v>
      </c>
      <c r="AJ266" s="70">
        <f>'RESUMEN TOTAL'!AQ331</f>
        <v>0</v>
      </c>
    </row>
    <row r="267" spans="1:36" x14ac:dyDescent="0.25">
      <c r="A267" t="str">
        <f>'RESUMEN TOTAL'!A332</f>
        <v>RICARDO ROJAS</v>
      </c>
      <c r="B267" t="str">
        <f>'RESUMEN TOTAL'!B332</f>
        <v>RRJ02</v>
      </c>
      <c r="C267" t="str">
        <f>'RESUMEN TOTAL'!D332</f>
        <v>AV. LUJAN Y DIAG. LOS POETAS</v>
      </c>
      <c r="D267" s="30" t="str">
        <f>'RESUMEN TOTAL'!E332</f>
        <v>DOMO</v>
      </c>
      <c r="E267" s="30" t="str">
        <f>'RESUMEN TOTAL'!F332</f>
        <v>Fibra Optica</v>
      </c>
      <c r="F267" s="70" t="str">
        <f>'RESUMEN TOTAL'!M332</f>
        <v>APAGADO</v>
      </c>
      <c r="G267" s="70">
        <f>'RESUMEN TOTAL'!N332</f>
        <v>0</v>
      </c>
      <c r="H267" s="70">
        <f>'RESUMEN TOTAL'!O332</f>
        <v>0</v>
      </c>
      <c r="I267" s="70">
        <f>'RESUMEN TOTAL'!P332</f>
        <v>0</v>
      </c>
      <c r="J267" s="70">
        <f>'RESUMEN TOTAL'!Q332</f>
        <v>0</v>
      </c>
      <c r="K267" s="70">
        <f>'RESUMEN TOTAL'!R332</f>
        <v>0</v>
      </c>
      <c r="L267" s="70">
        <f>'RESUMEN TOTAL'!S332</f>
        <v>0</v>
      </c>
      <c r="M267" s="70">
        <f>'RESUMEN TOTAL'!T332</f>
        <v>0</v>
      </c>
      <c r="N267" s="70">
        <f>'RESUMEN TOTAL'!U332</f>
        <v>0</v>
      </c>
      <c r="O267" s="70">
        <f>'RESUMEN TOTAL'!V332</f>
        <v>0</v>
      </c>
      <c r="P267" s="70">
        <f>'RESUMEN TOTAL'!W332</f>
        <v>0</v>
      </c>
      <c r="Q267" s="70">
        <f>'RESUMEN TOTAL'!X332</f>
        <v>0</v>
      </c>
      <c r="R267" s="70">
        <f>'RESUMEN TOTAL'!Y332</f>
        <v>0</v>
      </c>
      <c r="S267" s="70">
        <f>'RESUMEN TOTAL'!Z332</f>
        <v>0</v>
      </c>
      <c r="T267" s="70">
        <f>'RESUMEN TOTAL'!AA332</f>
        <v>0</v>
      </c>
      <c r="U267" s="70">
        <f>'RESUMEN TOTAL'!AB332</f>
        <v>0</v>
      </c>
      <c r="V267" s="70">
        <f>'RESUMEN TOTAL'!AC332</f>
        <v>0</v>
      </c>
      <c r="W267" s="70">
        <f>'RESUMEN TOTAL'!AD332</f>
        <v>0</v>
      </c>
      <c r="X267" s="70">
        <f>'RESUMEN TOTAL'!AE332</f>
        <v>0</v>
      </c>
      <c r="Y267" s="70">
        <f>'RESUMEN TOTAL'!AF332</f>
        <v>0</v>
      </c>
      <c r="Z267" s="70">
        <f>'RESUMEN TOTAL'!AG332</f>
        <v>0</v>
      </c>
      <c r="AA267" s="70">
        <f>'RESUMEN TOTAL'!AH332</f>
        <v>0</v>
      </c>
      <c r="AB267" s="70">
        <f>'RESUMEN TOTAL'!AI332</f>
        <v>0</v>
      </c>
      <c r="AC267" s="70">
        <f>'RESUMEN TOTAL'!AJ332</f>
        <v>0</v>
      </c>
      <c r="AD267" s="70">
        <f>'RESUMEN TOTAL'!AK332</f>
        <v>0</v>
      </c>
      <c r="AE267" s="70">
        <f>'RESUMEN TOTAL'!AL332</f>
        <v>0</v>
      </c>
      <c r="AF267" s="70">
        <f>'RESUMEN TOTAL'!AM332</f>
        <v>0</v>
      </c>
      <c r="AG267" s="70">
        <f>'RESUMEN TOTAL'!AN332</f>
        <v>0</v>
      </c>
      <c r="AH267" s="70">
        <f>'RESUMEN TOTAL'!AO332</f>
        <v>0</v>
      </c>
      <c r="AI267" s="70">
        <f>'RESUMEN TOTAL'!AP332</f>
        <v>0</v>
      </c>
      <c r="AJ267" s="70">
        <f>'RESUMEN TOTAL'!AQ332</f>
        <v>0</v>
      </c>
    </row>
    <row r="268" spans="1:36" x14ac:dyDescent="0.25">
      <c r="A268" t="str">
        <f>'RESUMEN TOTAL'!A333</f>
        <v>RICARDO ROJAS</v>
      </c>
      <c r="B268" t="str">
        <f>'RESUMEN TOTAL'!B333</f>
        <v>RRJ03 (fija 1)</v>
      </c>
      <c r="C268" t="str">
        <f>'RESUMEN TOTAL'!D333</f>
        <v>RUBEN DARIO E/ FADER Y DIAG. LOS POETAS</v>
      </c>
      <c r="D268" s="30" t="str">
        <f>'RESUMEN TOTAL'!E333</f>
        <v>Fija</v>
      </c>
      <c r="E268" s="30" t="str">
        <f>'RESUMEN TOTAL'!F333</f>
        <v>Fibra Optica</v>
      </c>
      <c r="F268" s="70">
        <f>'RESUMEN TOTAL'!M333</f>
        <v>0</v>
      </c>
      <c r="G268" s="70">
        <f>'RESUMEN TOTAL'!N333</f>
        <v>0</v>
      </c>
      <c r="H268" s="70">
        <f>'RESUMEN TOTAL'!O333</f>
        <v>0</v>
      </c>
      <c r="I268" s="70">
        <f>'RESUMEN TOTAL'!P333</f>
        <v>0</v>
      </c>
      <c r="J268" s="70">
        <f>'RESUMEN TOTAL'!Q333</f>
        <v>0</v>
      </c>
      <c r="K268" s="70">
        <f>'RESUMEN TOTAL'!R333</f>
        <v>0</v>
      </c>
      <c r="L268" s="70">
        <f>'RESUMEN TOTAL'!S333</f>
        <v>0</v>
      </c>
      <c r="M268" s="70">
        <f>'RESUMEN TOTAL'!T333</f>
        <v>0</v>
      </c>
      <c r="N268" s="70">
        <f>'RESUMEN TOTAL'!U333</f>
        <v>0</v>
      </c>
      <c r="O268" s="70">
        <f>'RESUMEN TOTAL'!V333</f>
        <v>0</v>
      </c>
      <c r="P268" s="70">
        <f>'RESUMEN TOTAL'!W333</f>
        <v>0</v>
      </c>
      <c r="Q268" s="70">
        <f>'RESUMEN TOTAL'!X333</f>
        <v>0</v>
      </c>
      <c r="R268" s="70">
        <f>'RESUMEN TOTAL'!Y333</f>
        <v>0</v>
      </c>
      <c r="S268" s="70">
        <f>'RESUMEN TOTAL'!Z333</f>
        <v>0</v>
      </c>
      <c r="T268" s="70">
        <f>'RESUMEN TOTAL'!AA333</f>
        <v>0</v>
      </c>
      <c r="U268" s="70">
        <f>'RESUMEN TOTAL'!AB333</f>
        <v>0</v>
      </c>
      <c r="V268" s="70">
        <f>'RESUMEN TOTAL'!AC333</f>
        <v>0</v>
      </c>
      <c r="W268" s="70">
        <f>'RESUMEN TOTAL'!AD333</f>
        <v>0</v>
      </c>
      <c r="X268" s="70">
        <f>'RESUMEN TOTAL'!AE333</f>
        <v>0</v>
      </c>
      <c r="Y268" s="70">
        <f>'RESUMEN TOTAL'!AF333</f>
        <v>0</v>
      </c>
      <c r="Z268" s="70">
        <f>'RESUMEN TOTAL'!AG333</f>
        <v>0</v>
      </c>
      <c r="AA268" s="70">
        <f>'RESUMEN TOTAL'!AH333</f>
        <v>0</v>
      </c>
      <c r="AB268" s="70">
        <f>'RESUMEN TOTAL'!AI333</f>
        <v>0</v>
      </c>
      <c r="AC268" s="70">
        <f>'RESUMEN TOTAL'!AJ333</f>
        <v>0</v>
      </c>
      <c r="AD268" s="70">
        <f>'RESUMEN TOTAL'!AK333</f>
        <v>0</v>
      </c>
      <c r="AE268" s="70">
        <f>'RESUMEN TOTAL'!AL333</f>
        <v>0</v>
      </c>
      <c r="AF268" s="70">
        <f>'RESUMEN TOTAL'!AM333</f>
        <v>0</v>
      </c>
      <c r="AG268" s="70">
        <f>'RESUMEN TOTAL'!AN333</f>
        <v>0</v>
      </c>
      <c r="AH268" s="70">
        <f>'RESUMEN TOTAL'!AO333</f>
        <v>0</v>
      </c>
      <c r="AI268" s="70">
        <f>'RESUMEN TOTAL'!AP333</f>
        <v>0</v>
      </c>
      <c r="AJ268" s="70">
        <f>'RESUMEN TOTAL'!AQ333</f>
        <v>0</v>
      </c>
    </row>
    <row r="269" spans="1:36" x14ac:dyDescent="0.25">
      <c r="A269" t="str">
        <f>'RESUMEN TOTAL'!A334</f>
        <v>RICARDO ROJAS</v>
      </c>
      <c r="B269" t="str">
        <f>'RESUMEN TOTAL'!B334</f>
        <v>RRJ04 (fija 2)</v>
      </c>
      <c r="C269" t="str">
        <f>'RESUMEN TOTAL'!D334</f>
        <v>RUBEN DARIO E/ FADER Y DIAG. LOS POETAS</v>
      </c>
      <c r="D269" s="30" t="str">
        <f>'RESUMEN TOTAL'!E334</f>
        <v>Fija</v>
      </c>
      <c r="E269" s="30" t="str">
        <f>'RESUMEN TOTAL'!F334</f>
        <v>Fibra Optica</v>
      </c>
      <c r="F269" s="70">
        <f>'RESUMEN TOTAL'!M334</f>
        <v>0</v>
      </c>
      <c r="G269" s="70">
        <f>'RESUMEN TOTAL'!N334</f>
        <v>0</v>
      </c>
      <c r="H269" s="70">
        <f>'RESUMEN TOTAL'!O334</f>
        <v>0</v>
      </c>
      <c r="I269" s="70">
        <f>'RESUMEN TOTAL'!P334</f>
        <v>0</v>
      </c>
      <c r="J269" s="70">
        <f>'RESUMEN TOTAL'!Q334</f>
        <v>0</v>
      </c>
      <c r="K269" s="70">
        <f>'RESUMEN TOTAL'!R334</f>
        <v>0</v>
      </c>
      <c r="L269" s="70">
        <f>'RESUMEN TOTAL'!S334</f>
        <v>0</v>
      </c>
      <c r="M269" s="70">
        <f>'RESUMEN TOTAL'!T334</f>
        <v>0</v>
      </c>
      <c r="N269" s="70">
        <f>'RESUMEN TOTAL'!U334</f>
        <v>0</v>
      </c>
      <c r="O269" s="70">
        <f>'RESUMEN TOTAL'!V334</f>
        <v>0</v>
      </c>
      <c r="P269" s="70">
        <f>'RESUMEN TOTAL'!W334</f>
        <v>0</v>
      </c>
      <c r="Q269" s="70">
        <f>'RESUMEN TOTAL'!X334</f>
        <v>0</v>
      </c>
      <c r="R269" s="70">
        <f>'RESUMEN TOTAL'!Y334</f>
        <v>0</v>
      </c>
      <c r="S269" s="70">
        <f>'RESUMEN TOTAL'!Z334</f>
        <v>0</v>
      </c>
      <c r="T269" s="70">
        <f>'RESUMEN TOTAL'!AA334</f>
        <v>0</v>
      </c>
      <c r="U269" s="70">
        <f>'RESUMEN TOTAL'!AB334</f>
        <v>0</v>
      </c>
      <c r="V269" s="70">
        <f>'RESUMEN TOTAL'!AC334</f>
        <v>0</v>
      </c>
      <c r="W269" s="70">
        <f>'RESUMEN TOTAL'!AD334</f>
        <v>0</v>
      </c>
      <c r="X269" s="70">
        <f>'RESUMEN TOTAL'!AE334</f>
        <v>0</v>
      </c>
      <c r="Y269" s="70">
        <f>'RESUMEN TOTAL'!AF334</f>
        <v>0</v>
      </c>
      <c r="Z269" s="70">
        <f>'RESUMEN TOTAL'!AG334</f>
        <v>0</v>
      </c>
      <c r="AA269" s="70">
        <f>'RESUMEN TOTAL'!AH334</f>
        <v>0</v>
      </c>
      <c r="AB269" s="70">
        <f>'RESUMEN TOTAL'!AI334</f>
        <v>0</v>
      </c>
      <c r="AC269" s="70">
        <f>'RESUMEN TOTAL'!AJ334</f>
        <v>0</v>
      </c>
      <c r="AD269" s="70">
        <f>'RESUMEN TOTAL'!AK334</f>
        <v>0</v>
      </c>
      <c r="AE269" s="70">
        <f>'RESUMEN TOTAL'!AL334</f>
        <v>0</v>
      </c>
      <c r="AF269" s="70">
        <f>'RESUMEN TOTAL'!AM334</f>
        <v>0</v>
      </c>
      <c r="AG269" s="70">
        <f>'RESUMEN TOTAL'!AN334</f>
        <v>0</v>
      </c>
      <c r="AH269" s="70">
        <f>'RESUMEN TOTAL'!AO334</f>
        <v>0</v>
      </c>
      <c r="AI269" s="70">
        <f>'RESUMEN TOTAL'!AP334</f>
        <v>0</v>
      </c>
      <c r="AJ269" s="70">
        <f>'RESUMEN TOTAL'!AQ334</f>
        <v>0</v>
      </c>
    </row>
    <row r="270" spans="1:36" x14ac:dyDescent="0.25">
      <c r="A270" t="str">
        <f>'RESUMEN TOTAL'!A335</f>
        <v>RICARDO ROJAS</v>
      </c>
      <c r="B270" t="str">
        <f>'RESUMEN TOTAL'!B335</f>
        <v>RRJ 05</v>
      </c>
      <c r="C270" t="str">
        <f>'RESUMEN TOTAL'!D335</f>
        <v>LUJAN Y RUTA 36</v>
      </c>
      <c r="D270" s="30" t="str">
        <f>'RESUMEN TOTAL'!E335</f>
        <v>DOMO</v>
      </c>
      <c r="E270" s="30" t="str">
        <f>'RESUMEN TOTAL'!F335</f>
        <v>Fibra Optica</v>
      </c>
      <c r="F270" s="70">
        <f>'RESUMEN TOTAL'!M335</f>
        <v>0</v>
      </c>
      <c r="G270" s="70">
        <f>'RESUMEN TOTAL'!N335</f>
        <v>0</v>
      </c>
      <c r="H270" s="70">
        <f>'RESUMEN TOTAL'!O335</f>
        <v>0</v>
      </c>
      <c r="I270" s="70">
        <f>'RESUMEN TOTAL'!P335</f>
        <v>0</v>
      </c>
      <c r="J270" s="70">
        <f>'RESUMEN TOTAL'!Q335</f>
        <v>0</v>
      </c>
      <c r="K270" s="70">
        <f>'RESUMEN TOTAL'!R335</f>
        <v>0</v>
      </c>
      <c r="L270" s="70">
        <f>'RESUMEN TOTAL'!S335</f>
        <v>0</v>
      </c>
      <c r="M270" s="70">
        <f>'RESUMEN TOTAL'!T335</f>
        <v>0</v>
      </c>
      <c r="N270" s="70">
        <f>'RESUMEN TOTAL'!U335</f>
        <v>0</v>
      </c>
      <c r="O270" s="70">
        <f>'RESUMEN TOTAL'!V335</f>
        <v>0</v>
      </c>
      <c r="P270" s="70">
        <f>'RESUMEN TOTAL'!W335</f>
        <v>0</v>
      </c>
      <c r="Q270" s="70">
        <f>'RESUMEN TOTAL'!X335</f>
        <v>0</v>
      </c>
      <c r="R270" s="70">
        <f>'RESUMEN TOTAL'!Y335</f>
        <v>0</v>
      </c>
      <c r="S270" s="70">
        <f>'RESUMEN TOTAL'!Z335</f>
        <v>0</v>
      </c>
      <c r="T270" s="70">
        <f>'RESUMEN TOTAL'!AA335</f>
        <v>0</v>
      </c>
      <c r="U270" s="70">
        <f>'RESUMEN TOTAL'!AB335</f>
        <v>0</v>
      </c>
      <c r="V270" s="70">
        <f>'RESUMEN TOTAL'!AC335</f>
        <v>0</v>
      </c>
      <c r="W270" s="70">
        <f>'RESUMEN TOTAL'!AD335</f>
        <v>0</v>
      </c>
      <c r="X270" s="70">
        <f>'RESUMEN TOTAL'!AE335</f>
        <v>0</v>
      </c>
      <c r="Y270" s="70">
        <f>'RESUMEN TOTAL'!AF335</f>
        <v>0</v>
      </c>
      <c r="Z270" s="70">
        <f>'RESUMEN TOTAL'!AG335</f>
        <v>0</v>
      </c>
      <c r="AA270" s="70">
        <f>'RESUMEN TOTAL'!AH335</f>
        <v>0</v>
      </c>
      <c r="AB270" s="70">
        <f>'RESUMEN TOTAL'!AI335</f>
        <v>0</v>
      </c>
      <c r="AC270" s="70">
        <f>'RESUMEN TOTAL'!AJ335</f>
        <v>0</v>
      </c>
      <c r="AD270" s="70">
        <f>'RESUMEN TOTAL'!AK335</f>
        <v>0</v>
      </c>
      <c r="AE270" s="70">
        <f>'RESUMEN TOTAL'!AL335</f>
        <v>0</v>
      </c>
      <c r="AF270" s="70">
        <f>'RESUMEN TOTAL'!AM335</f>
        <v>0</v>
      </c>
      <c r="AG270" s="70">
        <f>'RESUMEN TOTAL'!AN335</f>
        <v>0</v>
      </c>
      <c r="AH270" s="70">
        <f>'RESUMEN TOTAL'!AO335</f>
        <v>0</v>
      </c>
      <c r="AI270" s="70">
        <f>'RESUMEN TOTAL'!AP335</f>
        <v>0</v>
      </c>
      <c r="AJ270" s="70">
        <f>'RESUMEN TOTAL'!AQ335</f>
        <v>0</v>
      </c>
    </row>
    <row r="271" spans="1:36" x14ac:dyDescent="0.25">
      <c r="A271" t="str">
        <f>'RESUMEN TOTAL'!A336</f>
        <v>RICARDO ROJAS</v>
      </c>
      <c r="B271" t="str">
        <f>'RESUMEN TOTAL'!B336</f>
        <v>RRJ 06</v>
      </c>
      <c r="C271" t="str">
        <f>'RESUMEN TOTAL'!D336</f>
        <v>Constancio Vigil y Pablo Groussac</v>
      </c>
      <c r="D271" s="30" t="str">
        <f>'RESUMEN TOTAL'!E336</f>
        <v>Domo</v>
      </c>
      <c r="E271" s="30" t="str">
        <f>'RESUMEN TOTAL'!F336</f>
        <v>Fibra Optica</v>
      </c>
      <c r="F271" s="70">
        <f>'RESUMEN TOTAL'!M336</f>
        <v>0</v>
      </c>
      <c r="G271" s="70">
        <f>'RESUMEN TOTAL'!N336</f>
        <v>0</v>
      </c>
      <c r="H271" s="70">
        <f>'RESUMEN TOTAL'!O336</f>
        <v>0</v>
      </c>
      <c r="I271" s="70">
        <f>'RESUMEN TOTAL'!P336</f>
        <v>0</v>
      </c>
      <c r="J271" s="70">
        <f>'RESUMEN TOTAL'!Q336</f>
        <v>0</v>
      </c>
      <c r="K271" s="70">
        <f>'RESUMEN TOTAL'!R336</f>
        <v>0</v>
      </c>
      <c r="L271" s="70">
        <f>'RESUMEN TOTAL'!S336</f>
        <v>0</v>
      </c>
      <c r="M271" s="70">
        <f>'RESUMEN TOTAL'!T336</f>
        <v>0</v>
      </c>
      <c r="N271" s="70">
        <f>'RESUMEN TOTAL'!U336</f>
        <v>0</v>
      </c>
      <c r="O271" s="70">
        <f>'RESUMEN TOTAL'!V336</f>
        <v>0</v>
      </c>
      <c r="P271" s="70">
        <f>'RESUMEN TOTAL'!W336</f>
        <v>0</v>
      </c>
      <c r="Q271" s="70">
        <f>'RESUMEN TOTAL'!X336</f>
        <v>0</v>
      </c>
      <c r="R271" s="70">
        <f>'RESUMEN TOTAL'!Y336</f>
        <v>0</v>
      </c>
      <c r="S271" s="70">
        <f>'RESUMEN TOTAL'!Z336</f>
        <v>0</v>
      </c>
      <c r="T271" s="70">
        <f>'RESUMEN TOTAL'!AA336</f>
        <v>0</v>
      </c>
      <c r="U271" s="70">
        <f>'RESUMEN TOTAL'!AB336</f>
        <v>0</v>
      </c>
      <c r="V271" s="70">
        <f>'RESUMEN TOTAL'!AC336</f>
        <v>0</v>
      </c>
      <c r="W271" s="70">
        <f>'RESUMEN TOTAL'!AD336</f>
        <v>0</v>
      </c>
      <c r="X271" s="70">
        <f>'RESUMEN TOTAL'!AE336</f>
        <v>0</v>
      </c>
      <c r="Y271" s="70">
        <f>'RESUMEN TOTAL'!AF336</f>
        <v>0</v>
      </c>
      <c r="Z271" s="70">
        <f>'RESUMEN TOTAL'!AG336</f>
        <v>0</v>
      </c>
      <c r="AA271" s="70">
        <f>'RESUMEN TOTAL'!AH336</f>
        <v>0</v>
      </c>
      <c r="AB271" s="70">
        <f>'RESUMEN TOTAL'!AI336</f>
        <v>0</v>
      </c>
      <c r="AC271" s="70">
        <f>'RESUMEN TOTAL'!AJ336</f>
        <v>0</v>
      </c>
      <c r="AD271" s="70">
        <f>'RESUMEN TOTAL'!AK336</f>
        <v>0</v>
      </c>
      <c r="AE271" s="70">
        <f>'RESUMEN TOTAL'!AL336</f>
        <v>0</v>
      </c>
      <c r="AF271" s="70">
        <f>'RESUMEN TOTAL'!AM336</f>
        <v>0</v>
      </c>
      <c r="AG271" s="70">
        <f>'RESUMEN TOTAL'!AN336</f>
        <v>0</v>
      </c>
      <c r="AH271" s="70">
        <f>'RESUMEN TOTAL'!AO336</f>
        <v>0</v>
      </c>
      <c r="AI271" s="70">
        <f>'RESUMEN TOTAL'!AP336</f>
        <v>0</v>
      </c>
      <c r="AJ271" s="70">
        <f>'RESUMEN TOTAL'!AQ336</f>
        <v>0</v>
      </c>
    </row>
    <row r="272" spans="1:36" x14ac:dyDescent="0.25">
      <c r="A272" t="str">
        <f>'RESUMEN TOTAL'!A337</f>
        <v>RICARDO ROJAS</v>
      </c>
      <c r="B272" t="str">
        <f>'RESUMEN TOTAL'!B337</f>
        <v>RRJ 07</v>
      </c>
      <c r="C272" t="str">
        <f>'RESUMEN TOTAL'!D337</f>
        <v>Constancio Vigil y Estanislao del Campo</v>
      </c>
      <c r="D272" s="30" t="str">
        <f>'RESUMEN TOTAL'!E337</f>
        <v>Domo</v>
      </c>
      <c r="E272" s="30" t="str">
        <f>'RESUMEN TOTAL'!F337</f>
        <v>Fibra Optica</v>
      </c>
      <c r="F272" s="70">
        <f>'RESUMEN TOTAL'!M337</f>
        <v>0</v>
      </c>
      <c r="G272" s="70">
        <f>'RESUMEN TOTAL'!N337</f>
        <v>0</v>
      </c>
      <c r="H272" s="70">
        <f>'RESUMEN TOTAL'!O337</f>
        <v>0</v>
      </c>
      <c r="I272" s="70">
        <f>'RESUMEN TOTAL'!P337</f>
        <v>0</v>
      </c>
      <c r="J272" s="70">
        <f>'RESUMEN TOTAL'!Q337</f>
        <v>0</v>
      </c>
      <c r="K272" s="70">
        <f>'RESUMEN TOTAL'!R337</f>
        <v>0</v>
      </c>
      <c r="L272" s="70">
        <f>'RESUMEN TOTAL'!S337</f>
        <v>0</v>
      </c>
      <c r="M272" s="70">
        <f>'RESUMEN TOTAL'!T337</f>
        <v>0</v>
      </c>
      <c r="N272" s="70">
        <f>'RESUMEN TOTAL'!U337</f>
        <v>0</v>
      </c>
      <c r="O272" s="70">
        <f>'RESUMEN TOTAL'!V337</f>
        <v>0</v>
      </c>
      <c r="P272" s="70">
        <f>'RESUMEN TOTAL'!W337</f>
        <v>0</v>
      </c>
      <c r="Q272" s="70">
        <f>'RESUMEN TOTAL'!X337</f>
        <v>0</v>
      </c>
      <c r="R272" s="70">
        <f>'RESUMEN TOTAL'!Y337</f>
        <v>0</v>
      </c>
      <c r="S272" s="70">
        <f>'RESUMEN TOTAL'!Z337</f>
        <v>0</v>
      </c>
      <c r="T272" s="70">
        <f>'RESUMEN TOTAL'!AA337</f>
        <v>0</v>
      </c>
      <c r="U272" s="70">
        <f>'RESUMEN TOTAL'!AB337</f>
        <v>0</v>
      </c>
      <c r="V272" s="70">
        <f>'RESUMEN TOTAL'!AC337</f>
        <v>0</v>
      </c>
      <c r="W272" s="70">
        <f>'RESUMEN TOTAL'!AD337</f>
        <v>0</v>
      </c>
      <c r="X272" s="70">
        <f>'RESUMEN TOTAL'!AE337</f>
        <v>0</v>
      </c>
      <c r="Y272" s="70">
        <f>'RESUMEN TOTAL'!AF337</f>
        <v>0</v>
      </c>
      <c r="Z272" s="70">
        <f>'RESUMEN TOTAL'!AG337</f>
        <v>0</v>
      </c>
      <c r="AA272" s="70">
        <f>'RESUMEN TOTAL'!AH337</f>
        <v>0</v>
      </c>
      <c r="AB272" s="70">
        <f>'RESUMEN TOTAL'!AI337</f>
        <v>0</v>
      </c>
      <c r="AC272" s="70">
        <f>'RESUMEN TOTAL'!AJ337</f>
        <v>0</v>
      </c>
      <c r="AD272" s="70">
        <f>'RESUMEN TOTAL'!AK337</f>
        <v>0</v>
      </c>
      <c r="AE272" s="70">
        <f>'RESUMEN TOTAL'!AL337</f>
        <v>0</v>
      </c>
      <c r="AF272" s="70">
        <f>'RESUMEN TOTAL'!AM337</f>
        <v>0</v>
      </c>
      <c r="AG272" s="70">
        <f>'RESUMEN TOTAL'!AN337</f>
        <v>0</v>
      </c>
      <c r="AH272" s="70">
        <f>'RESUMEN TOTAL'!AO337</f>
        <v>0</v>
      </c>
      <c r="AI272" s="70">
        <f>'RESUMEN TOTAL'!AP337</f>
        <v>0</v>
      </c>
      <c r="AJ272" s="70">
        <f>'RESUMEN TOTAL'!AQ337</f>
        <v>0</v>
      </c>
    </row>
    <row r="273" spans="1:36" x14ac:dyDescent="0.25">
      <c r="A273" t="str">
        <f>'RESUMEN TOTAL'!A338</f>
        <v>RICARDO ROJAS</v>
      </c>
      <c r="B273" t="str">
        <f>'RESUMEN TOTAL'!B338</f>
        <v>RRJ 08</v>
      </c>
      <c r="C273" t="str">
        <f>'RESUMEN TOTAL'!D338</f>
        <v>Constancio Vigil y Pablo Podesta</v>
      </c>
      <c r="D273" s="30" t="str">
        <f>'RESUMEN TOTAL'!E338</f>
        <v>Domo</v>
      </c>
      <c r="E273" s="30" t="str">
        <f>'RESUMEN TOTAL'!F338</f>
        <v>Fibra Optica</v>
      </c>
      <c r="F273" s="70">
        <f>'RESUMEN TOTAL'!M338</f>
        <v>0</v>
      </c>
      <c r="G273" s="70">
        <f>'RESUMEN TOTAL'!N338</f>
        <v>0</v>
      </c>
      <c r="H273" s="70">
        <f>'RESUMEN TOTAL'!O338</f>
        <v>0</v>
      </c>
      <c r="I273" s="70">
        <f>'RESUMEN TOTAL'!P338</f>
        <v>0</v>
      </c>
      <c r="J273" s="70">
        <f>'RESUMEN TOTAL'!Q338</f>
        <v>0</v>
      </c>
      <c r="K273" s="70">
        <f>'RESUMEN TOTAL'!R338</f>
        <v>0</v>
      </c>
      <c r="L273" s="70">
        <f>'RESUMEN TOTAL'!S338</f>
        <v>0</v>
      </c>
      <c r="M273" s="70">
        <f>'RESUMEN TOTAL'!T338</f>
        <v>0</v>
      </c>
      <c r="N273" s="70">
        <f>'RESUMEN TOTAL'!U338</f>
        <v>0</v>
      </c>
      <c r="O273" s="70">
        <f>'RESUMEN TOTAL'!V338</f>
        <v>0</v>
      </c>
      <c r="P273" s="70">
        <f>'RESUMEN TOTAL'!W338</f>
        <v>0</v>
      </c>
      <c r="Q273" s="70">
        <f>'RESUMEN TOTAL'!X338</f>
        <v>0</v>
      </c>
      <c r="R273" s="70">
        <f>'RESUMEN TOTAL'!Y338</f>
        <v>0</v>
      </c>
      <c r="S273" s="70">
        <f>'RESUMEN TOTAL'!Z338</f>
        <v>0</v>
      </c>
      <c r="T273" s="70">
        <f>'RESUMEN TOTAL'!AA338</f>
        <v>0</v>
      </c>
      <c r="U273" s="70">
        <f>'RESUMEN TOTAL'!AB338</f>
        <v>0</v>
      </c>
      <c r="V273" s="70">
        <f>'RESUMEN TOTAL'!AC339</f>
        <v>0</v>
      </c>
      <c r="W273" s="70">
        <f>'RESUMEN TOTAL'!AD338</f>
        <v>0</v>
      </c>
      <c r="X273" s="70">
        <f>'RESUMEN TOTAL'!AE338</f>
        <v>0</v>
      </c>
      <c r="Y273" s="70">
        <f>'RESUMEN TOTAL'!AF338</f>
        <v>0</v>
      </c>
      <c r="Z273" s="70">
        <f>'RESUMEN TOTAL'!AG338</f>
        <v>0</v>
      </c>
      <c r="AA273" s="70">
        <f>'RESUMEN TOTAL'!AH338</f>
        <v>0</v>
      </c>
      <c r="AB273" s="70">
        <f>'RESUMEN TOTAL'!AI338</f>
        <v>0</v>
      </c>
      <c r="AC273" s="70">
        <f>'RESUMEN TOTAL'!AJ338</f>
        <v>0</v>
      </c>
      <c r="AD273" s="70">
        <f>'RESUMEN TOTAL'!AK338</f>
        <v>0</v>
      </c>
      <c r="AE273" s="70">
        <f>'RESUMEN TOTAL'!AL338</f>
        <v>0</v>
      </c>
      <c r="AF273" s="70">
        <f>'RESUMEN TOTAL'!AM338</f>
        <v>0</v>
      </c>
      <c r="AG273" s="70">
        <f>'RESUMEN TOTAL'!AN338</f>
        <v>0</v>
      </c>
      <c r="AH273" s="70">
        <f>'RESUMEN TOTAL'!AO338</f>
        <v>0</v>
      </c>
      <c r="AI273" s="70">
        <f>'RESUMEN TOTAL'!AP338</f>
        <v>0</v>
      </c>
      <c r="AJ273" s="70">
        <f>'RESUMEN TOTAL'!AQ338</f>
        <v>0</v>
      </c>
    </row>
    <row r="274" spans="1:36" x14ac:dyDescent="0.25">
      <c r="A274" t="str">
        <f>'RESUMEN TOTAL'!A339</f>
        <v>RICARDO ROJAS</v>
      </c>
      <c r="B274" t="str">
        <f>'RESUMEN TOTAL'!B339</f>
        <v>RRJ 09</v>
      </c>
      <c r="C274" t="str">
        <f>'RESUMEN TOTAL'!D339</f>
        <v>Constancio Vigil y Jose Ingeniero</v>
      </c>
      <c r="D274" s="30" t="str">
        <f>'RESUMEN TOTAL'!E339</f>
        <v>Domo</v>
      </c>
      <c r="E274" s="30" t="str">
        <f>'RESUMEN TOTAL'!F339</f>
        <v>Fibra Optica</v>
      </c>
      <c r="F274" s="70">
        <f>'RESUMEN TOTAL'!M339</f>
        <v>0</v>
      </c>
      <c r="G274" s="70">
        <f>'RESUMEN TOTAL'!N339</f>
        <v>0</v>
      </c>
      <c r="H274" s="70">
        <f>'RESUMEN TOTAL'!O339</f>
        <v>0</v>
      </c>
      <c r="I274" s="70">
        <f>'RESUMEN TOTAL'!P339</f>
        <v>0</v>
      </c>
      <c r="J274" s="70">
        <f>'RESUMEN TOTAL'!Q339</f>
        <v>0</v>
      </c>
      <c r="K274" s="70">
        <f>'RESUMEN TOTAL'!R339</f>
        <v>0</v>
      </c>
      <c r="L274" s="70">
        <f>'RESUMEN TOTAL'!S339</f>
        <v>0</v>
      </c>
      <c r="M274" s="70">
        <f>'RESUMEN TOTAL'!T339</f>
        <v>0</v>
      </c>
      <c r="N274" s="70">
        <f>'RESUMEN TOTAL'!U339</f>
        <v>0</v>
      </c>
      <c r="O274" s="70">
        <f>'RESUMEN TOTAL'!V339</f>
        <v>0</v>
      </c>
      <c r="P274" s="70">
        <f>'RESUMEN TOTAL'!W339</f>
        <v>0</v>
      </c>
      <c r="Q274" s="70">
        <f>'RESUMEN TOTAL'!X339</f>
        <v>0</v>
      </c>
      <c r="R274" s="70">
        <f>'RESUMEN TOTAL'!Y339</f>
        <v>0</v>
      </c>
      <c r="S274" s="70">
        <f>'RESUMEN TOTAL'!Z339</f>
        <v>0</v>
      </c>
      <c r="T274" s="70">
        <f>'RESUMEN TOTAL'!AA339</f>
        <v>0</v>
      </c>
      <c r="U274" s="70">
        <f>'RESUMEN TOTAL'!AB339</f>
        <v>0</v>
      </c>
      <c r="V274" s="70" t="e">
        <f>'RESUMEN TOTAL'!#REF!</f>
        <v>#REF!</v>
      </c>
      <c r="W274" s="70">
        <f>'RESUMEN TOTAL'!AD339</f>
        <v>0</v>
      </c>
      <c r="X274" s="70">
        <f>'RESUMEN TOTAL'!AE339</f>
        <v>0</v>
      </c>
      <c r="Y274" s="70">
        <f>'RESUMEN TOTAL'!AF339</f>
        <v>0</v>
      </c>
      <c r="Z274" s="70">
        <f>'RESUMEN TOTAL'!AG339</f>
        <v>0</v>
      </c>
      <c r="AA274" s="70">
        <f>'RESUMEN TOTAL'!AH339</f>
        <v>0</v>
      </c>
      <c r="AB274" s="70">
        <f>'RESUMEN TOTAL'!AI339</f>
        <v>0</v>
      </c>
      <c r="AC274" s="70">
        <f>'RESUMEN TOTAL'!AJ339</f>
        <v>0</v>
      </c>
      <c r="AD274" s="70">
        <f>'RESUMEN TOTAL'!AK339</f>
        <v>0</v>
      </c>
      <c r="AE274" s="70">
        <f>'RESUMEN TOTAL'!AL339</f>
        <v>0</v>
      </c>
      <c r="AF274" s="70">
        <f>'RESUMEN TOTAL'!AM339</f>
        <v>0</v>
      </c>
      <c r="AG274" s="70">
        <f>'RESUMEN TOTAL'!AN339</f>
        <v>0</v>
      </c>
      <c r="AH274" s="70">
        <f>'RESUMEN TOTAL'!AO339</f>
        <v>0</v>
      </c>
      <c r="AI274" s="70">
        <f>'RESUMEN TOTAL'!AP339</f>
        <v>0</v>
      </c>
      <c r="AJ274" s="70">
        <f>'RESUMEN TOTAL'!AQ339</f>
        <v>0</v>
      </c>
    </row>
    <row r="275" spans="1:36" x14ac:dyDescent="0.25">
      <c r="A275" t="str">
        <f>'RESUMEN TOTAL'!A340</f>
        <v>RICARDO ROJAS</v>
      </c>
      <c r="B275" t="str">
        <f>'RESUMEN TOTAL'!B340</f>
        <v>RRJ 10</v>
      </c>
      <c r="C275" t="str">
        <f>'RESUMEN TOTAL'!D340</f>
        <v>LUGONES Y OBLIGADO</v>
      </c>
      <c r="D275" s="30" t="str">
        <f>'RESUMEN TOTAL'!E340</f>
        <v>Domo</v>
      </c>
      <c r="E275" s="30" t="str">
        <f>'RESUMEN TOTAL'!F340</f>
        <v>Fibra Optica</v>
      </c>
      <c r="F275" s="70">
        <f>'RESUMEN TOTAL'!M340</f>
        <v>0</v>
      </c>
      <c r="G275" s="70">
        <f>'RESUMEN TOTAL'!N340</f>
        <v>0</v>
      </c>
      <c r="H275" s="70">
        <f>'RESUMEN TOTAL'!O340</f>
        <v>0</v>
      </c>
      <c r="I275" s="70">
        <f>'RESUMEN TOTAL'!P340</f>
        <v>0</v>
      </c>
      <c r="J275" s="70">
        <f>'RESUMEN TOTAL'!Q340</f>
        <v>0</v>
      </c>
      <c r="K275" s="70">
        <f>'RESUMEN TOTAL'!R340</f>
        <v>0</v>
      </c>
      <c r="L275" s="70">
        <f>'RESUMEN TOTAL'!S340</f>
        <v>0</v>
      </c>
      <c r="M275" s="70">
        <f>'RESUMEN TOTAL'!T340</f>
        <v>0</v>
      </c>
      <c r="N275" s="70">
        <f>'RESUMEN TOTAL'!U340</f>
        <v>0</v>
      </c>
      <c r="O275" s="70">
        <f>'RESUMEN TOTAL'!V340</f>
        <v>0</v>
      </c>
      <c r="P275" s="70">
        <f>'RESUMEN TOTAL'!W340</f>
        <v>0</v>
      </c>
      <c r="Q275" s="70">
        <f>'RESUMEN TOTAL'!X340</f>
        <v>0</v>
      </c>
      <c r="R275" s="70">
        <f>'RESUMEN TOTAL'!Y340</f>
        <v>0</v>
      </c>
      <c r="S275" s="70">
        <f>'RESUMEN TOTAL'!Z340</f>
        <v>0</v>
      </c>
      <c r="T275" s="70">
        <f>'RESUMEN TOTAL'!AA340</f>
        <v>0</v>
      </c>
      <c r="U275" s="70">
        <f>'RESUMEN TOTAL'!AB340</f>
        <v>0</v>
      </c>
      <c r="V275" s="70">
        <f>'RESUMEN TOTAL'!AC340</f>
        <v>0</v>
      </c>
      <c r="W275" s="70">
        <f>'RESUMEN TOTAL'!AD340</f>
        <v>0</v>
      </c>
      <c r="X275" s="70">
        <f>'RESUMEN TOTAL'!AE340</f>
        <v>0</v>
      </c>
      <c r="Y275" s="70">
        <f>'RESUMEN TOTAL'!AF340</f>
        <v>0</v>
      </c>
      <c r="Z275" s="70">
        <f>'RESUMEN TOTAL'!AG340</f>
        <v>0</v>
      </c>
      <c r="AA275" s="70">
        <f>'RESUMEN TOTAL'!AH340</f>
        <v>0</v>
      </c>
      <c r="AB275" s="70">
        <f>'RESUMEN TOTAL'!AI340</f>
        <v>0</v>
      </c>
      <c r="AC275" s="70">
        <f>'RESUMEN TOTAL'!AJ340</f>
        <v>0</v>
      </c>
      <c r="AD275" s="70">
        <f>'RESUMEN TOTAL'!AK340</f>
        <v>0</v>
      </c>
      <c r="AE275" s="70">
        <f>'RESUMEN TOTAL'!AL340</f>
        <v>0</v>
      </c>
      <c r="AF275" s="70">
        <f>'RESUMEN TOTAL'!AM340</f>
        <v>0</v>
      </c>
      <c r="AG275" s="70">
        <f>'RESUMEN TOTAL'!AN340</f>
        <v>0</v>
      </c>
      <c r="AH275" s="70">
        <f>'RESUMEN TOTAL'!AO340</f>
        <v>0</v>
      </c>
      <c r="AI275" s="70">
        <f>'RESUMEN TOTAL'!AP340</f>
        <v>0</v>
      </c>
      <c r="AJ275" s="70">
        <f>'RESUMEN TOTAL'!AQ340</f>
        <v>0</v>
      </c>
    </row>
    <row r="276" spans="1:36" x14ac:dyDescent="0.25">
      <c r="A276" t="str">
        <f>'RESUMEN TOTAL'!A341</f>
        <v>RICARDO ROJAS</v>
      </c>
      <c r="B276" t="str">
        <f>'RESUMEN TOTAL'!B341</f>
        <v>RRJ 11</v>
      </c>
      <c r="C276" t="str">
        <f>'RESUMEN TOTAL'!D341</f>
        <v>LUGONES Y OBLIGADO</v>
      </c>
      <c r="D276" s="30" t="str">
        <f>'RESUMEN TOTAL'!E341</f>
        <v>Domo</v>
      </c>
      <c r="E276" s="30" t="str">
        <f>'RESUMEN TOTAL'!F341</f>
        <v>Fibra Optica</v>
      </c>
      <c r="F276" s="70">
        <f>'RESUMEN TOTAL'!M341</f>
        <v>0</v>
      </c>
      <c r="G276" s="70">
        <f>'RESUMEN TOTAL'!N341</f>
        <v>0</v>
      </c>
      <c r="H276" s="70">
        <f>'RESUMEN TOTAL'!O341</f>
        <v>0</v>
      </c>
      <c r="I276" s="70">
        <f>'RESUMEN TOTAL'!P341</f>
        <v>0</v>
      </c>
      <c r="J276" s="70">
        <f>'RESUMEN TOTAL'!Q341</f>
        <v>0</v>
      </c>
      <c r="K276" s="70">
        <f>'RESUMEN TOTAL'!R341</f>
        <v>0</v>
      </c>
      <c r="L276" s="70">
        <f>'RESUMEN TOTAL'!S341</f>
        <v>0</v>
      </c>
      <c r="M276" s="70">
        <f>'RESUMEN TOTAL'!T341</f>
        <v>0</v>
      </c>
      <c r="N276" s="70">
        <f>'RESUMEN TOTAL'!U341</f>
        <v>0</v>
      </c>
      <c r="O276" s="70">
        <f>'RESUMEN TOTAL'!V341</f>
        <v>0</v>
      </c>
      <c r="P276" s="70">
        <f>'RESUMEN TOTAL'!W341</f>
        <v>0</v>
      </c>
      <c r="Q276" s="70">
        <f>'RESUMEN TOTAL'!X341</f>
        <v>0</v>
      </c>
      <c r="R276" s="70">
        <f>'RESUMEN TOTAL'!Y341</f>
        <v>0</v>
      </c>
      <c r="S276" s="70">
        <f>'RESUMEN TOTAL'!Z341</f>
        <v>0</v>
      </c>
      <c r="T276" s="70">
        <f>'RESUMEN TOTAL'!AA341</f>
        <v>0</v>
      </c>
      <c r="U276" s="70">
        <f>'RESUMEN TOTAL'!AB341</f>
        <v>0</v>
      </c>
      <c r="V276" s="70">
        <f>'RESUMEN TOTAL'!AC341</f>
        <v>0</v>
      </c>
      <c r="W276" s="70">
        <f>'RESUMEN TOTAL'!AD341</f>
        <v>0</v>
      </c>
      <c r="X276" s="70">
        <f>'RESUMEN TOTAL'!AE341</f>
        <v>0</v>
      </c>
      <c r="Y276" s="70">
        <f>'RESUMEN TOTAL'!AF341</f>
        <v>0</v>
      </c>
      <c r="Z276" s="70">
        <f>'RESUMEN TOTAL'!AG341</f>
        <v>0</v>
      </c>
      <c r="AA276" s="70">
        <f>'RESUMEN TOTAL'!AH341</f>
        <v>0</v>
      </c>
      <c r="AB276" s="70">
        <f>'RESUMEN TOTAL'!AI341</f>
        <v>0</v>
      </c>
      <c r="AC276" s="70">
        <f>'RESUMEN TOTAL'!AJ341</f>
        <v>0</v>
      </c>
      <c r="AD276" s="70">
        <f>'RESUMEN TOTAL'!AK341</f>
        <v>0</v>
      </c>
      <c r="AE276" s="70">
        <f>'RESUMEN TOTAL'!AL341</f>
        <v>0</v>
      </c>
      <c r="AF276" s="70">
        <f>'RESUMEN TOTAL'!AM341</f>
        <v>0</v>
      </c>
      <c r="AG276" s="70">
        <f>'RESUMEN TOTAL'!AN341</f>
        <v>0</v>
      </c>
      <c r="AH276" s="70">
        <f>'RESUMEN TOTAL'!AO341</f>
        <v>0</v>
      </c>
      <c r="AI276" s="70">
        <f>'RESUMEN TOTAL'!AP341</f>
        <v>0</v>
      </c>
      <c r="AJ276" s="70">
        <f>'RESUMEN TOTAL'!AQ341</f>
        <v>0</v>
      </c>
    </row>
    <row r="277" spans="1:36" x14ac:dyDescent="0.25">
      <c r="A277" t="str">
        <f>'RESUMEN TOTAL'!A342</f>
        <v>RICARDO ROJAS</v>
      </c>
      <c r="B277" t="str">
        <f>'RESUMEN TOTAL'!B342</f>
        <v>RRJ 12</v>
      </c>
      <c r="C277" t="str">
        <f>'RESUMEN TOTAL'!D342</f>
        <v>FADER Y DIAGONAL LOS POETAS</v>
      </c>
      <c r="D277" s="30" t="str">
        <f>'RESUMEN TOTAL'!E342</f>
        <v>DOMO</v>
      </c>
      <c r="E277" s="30" t="str">
        <f>'RESUMEN TOTAL'!F342</f>
        <v>Fibra Optica</v>
      </c>
      <c r="F277" s="70">
        <f>'RESUMEN TOTAL'!M342</f>
        <v>0</v>
      </c>
      <c r="G277" s="70">
        <f>'RESUMEN TOTAL'!N342</f>
        <v>0</v>
      </c>
      <c r="H277" s="70">
        <f>'RESUMEN TOTAL'!O342</f>
        <v>0</v>
      </c>
      <c r="I277" s="70">
        <f>'RESUMEN TOTAL'!P342</f>
        <v>0</v>
      </c>
      <c r="J277" s="70">
        <f>'RESUMEN TOTAL'!Q342</f>
        <v>0</v>
      </c>
      <c r="K277" s="70">
        <f>'RESUMEN TOTAL'!R342</f>
        <v>0</v>
      </c>
      <c r="L277" s="70">
        <f>'RESUMEN TOTAL'!S342</f>
        <v>0</v>
      </c>
      <c r="M277" s="70">
        <f>'RESUMEN TOTAL'!T342</f>
        <v>0</v>
      </c>
      <c r="N277" s="70">
        <f>'RESUMEN TOTAL'!U342</f>
        <v>0</v>
      </c>
      <c r="O277" s="70">
        <f>'RESUMEN TOTAL'!V342</f>
        <v>0</v>
      </c>
      <c r="P277" s="70">
        <f>'RESUMEN TOTAL'!W342</f>
        <v>0</v>
      </c>
      <c r="Q277" s="70">
        <f>'RESUMEN TOTAL'!X342</f>
        <v>0</v>
      </c>
      <c r="R277" s="70">
        <f>'RESUMEN TOTAL'!Y342</f>
        <v>0</v>
      </c>
      <c r="S277" s="70">
        <f>'RESUMEN TOTAL'!Z342</f>
        <v>0</v>
      </c>
      <c r="T277" s="70">
        <f>'RESUMEN TOTAL'!AA342</f>
        <v>0</v>
      </c>
      <c r="U277" s="70">
        <f>'RESUMEN TOTAL'!AB342</f>
        <v>0</v>
      </c>
      <c r="V277" s="70">
        <f>'RESUMEN TOTAL'!AC342</f>
        <v>0</v>
      </c>
      <c r="W277" s="70">
        <f>'RESUMEN TOTAL'!AD342</f>
        <v>0</v>
      </c>
      <c r="X277" s="70">
        <f>'RESUMEN TOTAL'!AE342</f>
        <v>0</v>
      </c>
      <c r="Y277" s="70">
        <f>'RESUMEN TOTAL'!AF342</f>
        <v>0</v>
      </c>
      <c r="Z277" s="70">
        <f>'RESUMEN TOTAL'!AG342</f>
        <v>0</v>
      </c>
      <c r="AA277" s="70">
        <f>'RESUMEN TOTAL'!AH342</f>
        <v>0</v>
      </c>
      <c r="AB277" s="70">
        <f>'RESUMEN TOTAL'!AI342</f>
        <v>0</v>
      </c>
      <c r="AC277" s="70">
        <f>'RESUMEN TOTAL'!AJ342</f>
        <v>0</v>
      </c>
      <c r="AD277" s="70">
        <f>'RESUMEN TOTAL'!AK342</f>
        <v>0</v>
      </c>
      <c r="AE277" s="70">
        <f>'RESUMEN TOTAL'!AL342</f>
        <v>0</v>
      </c>
      <c r="AF277" s="70">
        <f>'RESUMEN TOTAL'!AM342</f>
        <v>0</v>
      </c>
      <c r="AG277" s="70">
        <f>'RESUMEN TOTAL'!AN342</f>
        <v>0</v>
      </c>
      <c r="AH277" s="70">
        <f>'RESUMEN TOTAL'!AO342</f>
        <v>0</v>
      </c>
      <c r="AI277" s="70">
        <f>'RESUMEN TOTAL'!AP342</f>
        <v>0</v>
      </c>
      <c r="AJ277" s="70">
        <f>'RESUMEN TOTAL'!AQ342</f>
        <v>0</v>
      </c>
    </row>
    <row r="278" spans="1:36" x14ac:dyDescent="0.25">
      <c r="A278" t="str">
        <f>'RESUMEN TOTAL'!A343</f>
        <v>RICARDO ROJAS</v>
      </c>
      <c r="B278" t="str">
        <f>'RESUMEN TOTAL'!B343</f>
        <v>RRJ 13</v>
      </c>
      <c r="C278" t="str">
        <f>'RESUMEN TOTAL'!D343</f>
        <v>LUJAN Y DIAGONAL LOS POETAS</v>
      </c>
      <c r="D278" s="30" t="str">
        <f>'RESUMEN TOTAL'!E343</f>
        <v>Fija</v>
      </c>
      <c r="E278" s="30" t="str">
        <f>'RESUMEN TOTAL'!F343</f>
        <v>Fibra Optica</v>
      </c>
      <c r="F278" s="70">
        <f>'RESUMEN TOTAL'!M343</f>
        <v>0</v>
      </c>
      <c r="G278" s="70">
        <f>'RESUMEN TOTAL'!N343</f>
        <v>0</v>
      </c>
      <c r="H278" s="70">
        <f>'RESUMEN TOTAL'!O343</f>
        <v>0</v>
      </c>
      <c r="I278" s="70">
        <f>'RESUMEN TOTAL'!P343</f>
        <v>0</v>
      </c>
      <c r="J278" s="70">
        <f>'RESUMEN TOTAL'!Q343</f>
        <v>0</v>
      </c>
      <c r="K278" s="70">
        <f>'RESUMEN TOTAL'!R343</f>
        <v>0</v>
      </c>
      <c r="L278" s="70">
        <f>'RESUMEN TOTAL'!S343</f>
        <v>0</v>
      </c>
      <c r="M278" s="70">
        <f>'RESUMEN TOTAL'!T343</f>
        <v>0</v>
      </c>
      <c r="N278" s="70">
        <f>'RESUMEN TOTAL'!U343</f>
        <v>0</v>
      </c>
      <c r="O278" s="70">
        <f>'RESUMEN TOTAL'!V343</f>
        <v>0</v>
      </c>
      <c r="P278" s="70">
        <f>'RESUMEN TOTAL'!W343</f>
        <v>0</v>
      </c>
      <c r="Q278" s="70">
        <f>'RESUMEN TOTAL'!X343</f>
        <v>0</v>
      </c>
      <c r="R278" s="70">
        <f>'RESUMEN TOTAL'!Y343</f>
        <v>0</v>
      </c>
      <c r="S278" s="70">
        <f>'RESUMEN TOTAL'!Z343</f>
        <v>0</v>
      </c>
      <c r="T278" s="70">
        <f>'RESUMEN TOTAL'!AA343</f>
        <v>0</v>
      </c>
      <c r="U278" s="70">
        <f>'RESUMEN TOTAL'!AB343</f>
        <v>0</v>
      </c>
      <c r="V278" s="70">
        <f>'RESUMEN TOTAL'!AC343</f>
        <v>0</v>
      </c>
      <c r="W278" s="70">
        <f>'RESUMEN TOTAL'!AD343</f>
        <v>0</v>
      </c>
      <c r="X278" s="70">
        <f>'RESUMEN TOTAL'!AE343</f>
        <v>0</v>
      </c>
      <c r="Y278" s="70">
        <f>'RESUMEN TOTAL'!AF343</f>
        <v>0</v>
      </c>
      <c r="Z278" s="70">
        <f>'RESUMEN TOTAL'!AG343</f>
        <v>0</v>
      </c>
      <c r="AA278" s="70">
        <f>'RESUMEN TOTAL'!AH343</f>
        <v>0</v>
      </c>
      <c r="AB278" s="70">
        <f>'RESUMEN TOTAL'!AI343</f>
        <v>0</v>
      </c>
      <c r="AC278" s="70">
        <f>'RESUMEN TOTAL'!AJ343</f>
        <v>0</v>
      </c>
      <c r="AD278" s="70">
        <f>'RESUMEN TOTAL'!AK343</f>
        <v>0</v>
      </c>
      <c r="AE278" s="70">
        <f>'RESUMEN TOTAL'!AL343</f>
        <v>0</v>
      </c>
      <c r="AF278" s="70">
        <f>'RESUMEN TOTAL'!AM343</f>
        <v>0</v>
      </c>
      <c r="AG278" s="70">
        <f>'RESUMEN TOTAL'!AN343</f>
        <v>0</v>
      </c>
      <c r="AH278" s="70">
        <f>'RESUMEN TOTAL'!AO343</f>
        <v>0</v>
      </c>
      <c r="AI278" s="70">
        <f>'RESUMEN TOTAL'!AP343</f>
        <v>0</v>
      </c>
      <c r="AJ278" s="70">
        <f>'RESUMEN TOTAL'!AQ343</f>
        <v>0</v>
      </c>
    </row>
    <row r="279" spans="1:36" x14ac:dyDescent="0.25">
      <c r="A279" t="str">
        <f>'RESUMEN TOTAL'!A347</f>
        <v>SANTA ANA</v>
      </c>
      <c r="B279" t="str">
        <f>'RESUMEN TOTAL'!B347</f>
        <v>SAN 02</v>
      </c>
      <c r="C279" t="str">
        <f>'RESUMEN TOTAL'!D347</f>
        <v>HUDSON Y SUIPACHA</v>
      </c>
      <c r="D279" s="30" t="str">
        <f>'RESUMEN TOTAL'!E347</f>
        <v>Fija 2</v>
      </c>
      <c r="E279" s="30" t="str">
        <f>'RESUMEN TOTAL'!F347</f>
        <v>GPON</v>
      </c>
      <c r="F279" s="70">
        <f>'RESUMEN TOTAL'!M347</f>
        <v>0</v>
      </c>
      <c r="G279" s="70">
        <f>'RESUMEN TOTAL'!N347</f>
        <v>0</v>
      </c>
      <c r="H279" s="70">
        <f>'RESUMEN TOTAL'!O347</f>
        <v>0</v>
      </c>
      <c r="I279" s="70" t="str">
        <f>'RESUMEN TOTAL'!P347</f>
        <v>APAGADO</v>
      </c>
      <c r="J279" s="70" t="str">
        <f>'RESUMEN TOTAL'!Q347</f>
        <v>APAGADO</v>
      </c>
      <c r="K279" s="70" t="str">
        <f>'RESUMEN TOTAL'!R347</f>
        <v>APAGADO</v>
      </c>
      <c r="L279" s="70" t="str">
        <f>'RESUMEN TOTAL'!S347</f>
        <v>APAGADO</v>
      </c>
      <c r="M279" s="70" t="str">
        <f>'RESUMEN TOTAL'!T347</f>
        <v>APAGADO</v>
      </c>
      <c r="N279" s="70">
        <f>'RESUMEN TOTAL'!U347</f>
        <v>0</v>
      </c>
      <c r="O279" s="70">
        <f>'RESUMEN TOTAL'!V347</f>
        <v>0</v>
      </c>
      <c r="P279" s="70">
        <f>'RESUMEN TOTAL'!W347</f>
        <v>0</v>
      </c>
      <c r="Q279" s="70">
        <f>'RESUMEN TOTAL'!X347</f>
        <v>0</v>
      </c>
      <c r="R279" s="70">
        <f>'RESUMEN TOTAL'!Y347</f>
        <v>0</v>
      </c>
      <c r="S279" s="70">
        <f>'RESUMEN TOTAL'!Z347</f>
        <v>0</v>
      </c>
      <c r="T279" s="70">
        <f>'RESUMEN TOTAL'!AA347</f>
        <v>0</v>
      </c>
      <c r="U279" s="70">
        <f>'RESUMEN TOTAL'!AB347</f>
        <v>0</v>
      </c>
      <c r="V279" s="70">
        <f>'RESUMEN TOTAL'!AC347</f>
        <v>0</v>
      </c>
      <c r="W279" s="70">
        <f>'RESUMEN TOTAL'!AD347</f>
        <v>0</v>
      </c>
      <c r="X279" s="70">
        <f>'RESUMEN TOTAL'!AE347</f>
        <v>0</v>
      </c>
      <c r="Y279" s="70">
        <f>'RESUMEN TOTAL'!AF347</f>
        <v>0</v>
      </c>
      <c r="Z279" s="70">
        <f>'RESUMEN TOTAL'!AG347</f>
        <v>0</v>
      </c>
      <c r="AA279" s="70">
        <f>'RESUMEN TOTAL'!AH347</f>
        <v>0</v>
      </c>
      <c r="AB279" s="70">
        <f>'RESUMEN TOTAL'!AI347</f>
        <v>0</v>
      </c>
      <c r="AC279" s="70">
        <f>'RESUMEN TOTAL'!AJ347</f>
        <v>0</v>
      </c>
      <c r="AD279" s="70">
        <f>'RESUMEN TOTAL'!AK347</f>
        <v>0</v>
      </c>
      <c r="AE279" s="70">
        <f>'RESUMEN TOTAL'!AL347</f>
        <v>0</v>
      </c>
      <c r="AF279" s="70">
        <f>'RESUMEN TOTAL'!AM347</f>
        <v>0</v>
      </c>
      <c r="AG279" s="70">
        <f>'RESUMEN TOTAL'!AN347</f>
        <v>0</v>
      </c>
      <c r="AH279" s="70">
        <f>'RESUMEN TOTAL'!AO347</f>
        <v>0</v>
      </c>
      <c r="AI279" s="70">
        <f>'RESUMEN TOTAL'!AP347</f>
        <v>0</v>
      </c>
      <c r="AJ279" s="70">
        <f>'RESUMEN TOTAL'!AQ347</f>
        <v>0</v>
      </c>
    </row>
    <row r="280" spans="1:36" x14ac:dyDescent="0.25">
      <c r="A280" t="str">
        <f>'RESUMEN TOTAL'!A348</f>
        <v>SANTA ANA</v>
      </c>
      <c r="B280" t="str">
        <f>'RESUMEN TOTAL'!B348</f>
        <v>SAN01</v>
      </c>
      <c r="C280" t="str">
        <f>'RESUMEN TOTAL'!D348</f>
        <v>HUDSON Y SUIPACHA</v>
      </c>
      <c r="D280" s="30" t="str">
        <f>'RESUMEN TOTAL'!E348</f>
        <v>Fija 1</v>
      </c>
      <c r="E280" s="30" t="str">
        <f>'RESUMEN TOTAL'!F348</f>
        <v>GPON</v>
      </c>
      <c r="F280" s="70">
        <f>'RESUMEN TOTAL'!M348</f>
        <v>0</v>
      </c>
      <c r="G280" s="70">
        <f>'RESUMEN TOTAL'!N348</f>
        <v>0</v>
      </c>
      <c r="H280" s="70">
        <f>'RESUMEN TOTAL'!O348</f>
        <v>0</v>
      </c>
      <c r="I280" s="70" t="str">
        <f>'RESUMEN TOTAL'!P348</f>
        <v>APAGADO</v>
      </c>
      <c r="J280" s="70" t="str">
        <f>'RESUMEN TOTAL'!Q348</f>
        <v>APAGADO</v>
      </c>
      <c r="K280" s="70" t="str">
        <f>'RESUMEN TOTAL'!R348</f>
        <v>APAGADO</v>
      </c>
      <c r="L280" s="70" t="str">
        <f>'RESUMEN TOTAL'!S348</f>
        <v>APAGADO</v>
      </c>
      <c r="M280" s="70" t="str">
        <f>'RESUMEN TOTAL'!T348</f>
        <v>APAGADO</v>
      </c>
      <c r="N280" s="70">
        <f>'RESUMEN TOTAL'!U348</f>
        <v>0</v>
      </c>
      <c r="O280" s="70">
        <f>'RESUMEN TOTAL'!V348</f>
        <v>0</v>
      </c>
      <c r="P280" s="70">
        <f>'RESUMEN TOTAL'!W348</f>
        <v>0</v>
      </c>
      <c r="Q280" s="70">
        <f>'RESUMEN TOTAL'!X348</f>
        <v>0</v>
      </c>
      <c r="R280" s="70">
        <f>'RESUMEN TOTAL'!Y348</f>
        <v>0</v>
      </c>
      <c r="S280" s="70">
        <f>'RESUMEN TOTAL'!Z348</f>
        <v>0</v>
      </c>
      <c r="T280" s="70">
        <f>'RESUMEN TOTAL'!AA348</f>
        <v>0</v>
      </c>
      <c r="U280" s="70">
        <f>'RESUMEN TOTAL'!AB348</f>
        <v>0</v>
      </c>
      <c r="V280" s="70">
        <f>'RESUMEN TOTAL'!AC348</f>
        <v>0</v>
      </c>
      <c r="W280" s="70">
        <f>'RESUMEN TOTAL'!AD348</f>
        <v>0</v>
      </c>
      <c r="X280" s="70">
        <f>'RESUMEN TOTAL'!AE348</f>
        <v>0</v>
      </c>
      <c r="Y280" s="70">
        <f>'RESUMEN TOTAL'!AF348</f>
        <v>0</v>
      </c>
      <c r="Z280" s="70">
        <f>'RESUMEN TOTAL'!AG348</f>
        <v>0</v>
      </c>
      <c r="AA280" s="70">
        <f>'RESUMEN TOTAL'!AH348</f>
        <v>0</v>
      </c>
      <c r="AB280" s="70">
        <f>'RESUMEN TOTAL'!AI348</f>
        <v>0</v>
      </c>
      <c r="AC280" s="70">
        <f>'RESUMEN TOTAL'!AJ348</f>
        <v>0</v>
      </c>
      <c r="AD280" s="70">
        <f>'RESUMEN TOTAL'!AK348</f>
        <v>0</v>
      </c>
      <c r="AE280" s="70">
        <f>'RESUMEN TOTAL'!AL348</f>
        <v>0</v>
      </c>
      <c r="AF280" s="70">
        <f>'RESUMEN TOTAL'!AM348</f>
        <v>0</v>
      </c>
      <c r="AG280" s="70">
        <f>'RESUMEN TOTAL'!AN348</f>
        <v>0</v>
      </c>
      <c r="AH280" s="70">
        <f>'RESUMEN TOTAL'!AO348</f>
        <v>0</v>
      </c>
      <c r="AI280" s="70">
        <f>'RESUMEN TOTAL'!AP348</f>
        <v>0</v>
      </c>
      <c r="AJ280" s="70">
        <f>'RESUMEN TOTAL'!AQ348</f>
        <v>0</v>
      </c>
    </row>
    <row r="281" spans="1:36" x14ac:dyDescent="0.25">
      <c r="A281" t="str">
        <f>'RESUMEN TOTAL'!A349</f>
        <v>PRESIDENTE SARMIENTO</v>
      </c>
      <c r="B281" t="str">
        <f>'RESUMEN TOTAL'!B349</f>
        <v>SAR01</v>
      </c>
      <c r="C281" t="str">
        <f>'RESUMEN TOTAL'!D349</f>
        <v>Storni Y Sanchez de Loria</v>
      </c>
      <c r="D281" s="30" t="str">
        <f>'RESUMEN TOTAL'!E349</f>
        <v>Domo</v>
      </c>
      <c r="E281" s="30" t="str">
        <f>'RESUMEN TOTAL'!F349</f>
        <v>Fibra Optica</v>
      </c>
      <c r="F281" s="70">
        <f>'RESUMEN TOTAL'!M349</f>
        <v>0</v>
      </c>
      <c r="G281" s="70">
        <f>'RESUMEN TOTAL'!N349</f>
        <v>0</v>
      </c>
      <c r="H281" s="70">
        <f>'RESUMEN TOTAL'!O349</f>
        <v>0</v>
      </c>
      <c r="I281" s="70">
        <f>'RESUMEN TOTAL'!P349</f>
        <v>0</v>
      </c>
      <c r="J281" s="70">
        <f>'RESUMEN TOTAL'!Q349</f>
        <v>0</v>
      </c>
      <c r="K281" s="70">
        <f>'RESUMEN TOTAL'!R349</f>
        <v>0</v>
      </c>
      <c r="L281" s="70">
        <f>'RESUMEN TOTAL'!S349</f>
        <v>0</v>
      </c>
      <c r="M281" s="70">
        <f>'RESUMEN TOTAL'!T349</f>
        <v>0</v>
      </c>
      <c r="N281" s="70">
        <f>'RESUMEN TOTAL'!U349</f>
        <v>0</v>
      </c>
      <c r="O281" s="70">
        <f>'RESUMEN TOTAL'!V349</f>
        <v>0</v>
      </c>
      <c r="P281" s="70">
        <f>'RESUMEN TOTAL'!W349</f>
        <v>0</v>
      </c>
      <c r="Q281" s="70">
        <f>'RESUMEN TOTAL'!X349</f>
        <v>0</v>
      </c>
      <c r="R281" s="70">
        <f>'RESUMEN TOTAL'!Y349</f>
        <v>0</v>
      </c>
      <c r="S281" s="70">
        <f>'RESUMEN TOTAL'!Z349</f>
        <v>0</v>
      </c>
      <c r="T281" s="70">
        <f>'RESUMEN TOTAL'!AA349</f>
        <v>0</v>
      </c>
      <c r="U281" s="70">
        <f>'RESUMEN TOTAL'!AB349</f>
        <v>0</v>
      </c>
      <c r="V281" s="70">
        <f>'RESUMEN TOTAL'!AC349</f>
        <v>0</v>
      </c>
      <c r="W281" s="70">
        <f>'RESUMEN TOTAL'!AD349</f>
        <v>0</v>
      </c>
      <c r="X281" s="70">
        <f>'RESUMEN TOTAL'!AE349</f>
        <v>0</v>
      </c>
      <c r="Y281" s="70">
        <f>'RESUMEN TOTAL'!AF349</f>
        <v>0</v>
      </c>
      <c r="Z281" s="70">
        <f>'RESUMEN TOTAL'!AG349</f>
        <v>0</v>
      </c>
      <c r="AA281" s="70">
        <f>'RESUMEN TOTAL'!AH349</f>
        <v>0</v>
      </c>
      <c r="AB281" s="70">
        <f>'RESUMEN TOTAL'!AI349</f>
        <v>0</v>
      </c>
      <c r="AC281" s="70">
        <f>'RESUMEN TOTAL'!AJ349</f>
        <v>0</v>
      </c>
      <c r="AD281" s="70">
        <f>'RESUMEN TOTAL'!AK349</f>
        <v>0</v>
      </c>
      <c r="AE281" s="70">
        <f>'RESUMEN TOTAL'!AL349</f>
        <v>0</v>
      </c>
      <c r="AF281" s="70">
        <f>'RESUMEN TOTAL'!AM349</f>
        <v>0</v>
      </c>
      <c r="AG281" s="70">
        <f>'RESUMEN TOTAL'!AN349</f>
        <v>0</v>
      </c>
      <c r="AH281" s="70">
        <f>'RESUMEN TOTAL'!AO349</f>
        <v>0</v>
      </c>
      <c r="AI281" s="70">
        <f>'RESUMEN TOTAL'!AP349</f>
        <v>0</v>
      </c>
      <c r="AJ281" s="70">
        <f>'RESUMEN TOTAL'!AQ349</f>
        <v>0</v>
      </c>
    </row>
    <row r="282" spans="1:36" x14ac:dyDescent="0.25">
      <c r="A282" t="str">
        <f>'RESUMEN TOTAL'!A350</f>
        <v>PRESIDENTE SARMIENTO</v>
      </c>
      <c r="B282" t="str">
        <f>'RESUMEN TOTAL'!B350</f>
        <v>SAR 02 (fija 1)</v>
      </c>
      <c r="C282" t="str">
        <f>'RESUMEN TOTAL'!D350</f>
        <v>DARDO ROCHA Y GABRIELA MISTRAL</v>
      </c>
      <c r="D282" s="30" t="str">
        <f>'RESUMEN TOTAL'!E350</f>
        <v>Fija</v>
      </c>
      <c r="E282" s="30" t="str">
        <f>'RESUMEN TOTAL'!F350</f>
        <v>GPON</v>
      </c>
      <c r="F282" s="70" t="str">
        <f>'RESUMEN TOTAL'!M350</f>
        <v>APAGADO</v>
      </c>
      <c r="G282" s="70" t="str">
        <f>'RESUMEN TOTAL'!N350</f>
        <v>APAGADO</v>
      </c>
      <c r="H282" s="70" t="str">
        <f>'RESUMEN TOTAL'!O350</f>
        <v>APAGADO</v>
      </c>
      <c r="I282" s="70" t="str">
        <f>'RESUMEN TOTAL'!P350</f>
        <v>APAGADO</v>
      </c>
      <c r="J282" s="70" t="str">
        <f>'RESUMEN TOTAL'!Q350</f>
        <v>APAGADO</v>
      </c>
      <c r="K282" s="70" t="str">
        <f>'RESUMEN TOTAL'!R350</f>
        <v>APAGADO</v>
      </c>
      <c r="L282" s="70" t="str">
        <f>'RESUMEN TOTAL'!S350</f>
        <v>APAGADO</v>
      </c>
      <c r="M282" s="70" t="str">
        <f>'RESUMEN TOTAL'!T350</f>
        <v>APAGADO</v>
      </c>
      <c r="N282" s="70">
        <f>'RESUMEN TOTAL'!U350</f>
        <v>0</v>
      </c>
      <c r="O282" s="70">
        <f>'RESUMEN TOTAL'!V350</f>
        <v>0</v>
      </c>
      <c r="P282" s="70">
        <f>'RESUMEN TOTAL'!W350</f>
        <v>0</v>
      </c>
      <c r="Q282" s="70">
        <f>'RESUMEN TOTAL'!X350</f>
        <v>0</v>
      </c>
      <c r="R282" s="70">
        <f>'RESUMEN TOTAL'!Y350</f>
        <v>0</v>
      </c>
      <c r="S282" s="70">
        <f>'RESUMEN TOTAL'!Z350</f>
        <v>0</v>
      </c>
      <c r="T282" s="70">
        <f>'RESUMEN TOTAL'!AA350</f>
        <v>0</v>
      </c>
      <c r="U282" s="70">
        <f>'RESUMEN TOTAL'!AB350</f>
        <v>0</v>
      </c>
      <c r="V282" s="70">
        <f>'RESUMEN TOTAL'!AC350</f>
        <v>0</v>
      </c>
      <c r="W282" s="70">
        <f>'RESUMEN TOTAL'!AD350</f>
        <v>0</v>
      </c>
      <c r="X282" s="70">
        <f>'RESUMEN TOTAL'!AE350</f>
        <v>0</v>
      </c>
      <c r="Y282" s="70">
        <f>'RESUMEN TOTAL'!AF350</f>
        <v>0</v>
      </c>
      <c r="Z282" s="70">
        <f>'RESUMEN TOTAL'!AG350</f>
        <v>0</v>
      </c>
      <c r="AA282" s="70">
        <f>'RESUMEN TOTAL'!AH350</f>
        <v>0</v>
      </c>
      <c r="AB282" s="70">
        <f>'RESUMEN TOTAL'!AI350</f>
        <v>0</v>
      </c>
      <c r="AC282" s="70">
        <f>'RESUMEN TOTAL'!AJ350</f>
        <v>0</v>
      </c>
      <c r="AD282" s="70">
        <f>'RESUMEN TOTAL'!AK350</f>
        <v>0</v>
      </c>
      <c r="AE282" s="70">
        <f>'RESUMEN TOTAL'!AL350</f>
        <v>0</v>
      </c>
      <c r="AF282" s="70">
        <f>'RESUMEN TOTAL'!AM350</f>
        <v>0</v>
      </c>
      <c r="AG282" s="70">
        <f>'RESUMEN TOTAL'!AN350</f>
        <v>0</v>
      </c>
      <c r="AH282" s="70">
        <f>'RESUMEN TOTAL'!AO350</f>
        <v>0</v>
      </c>
      <c r="AI282" s="70">
        <f>'RESUMEN TOTAL'!AP350</f>
        <v>0</v>
      </c>
      <c r="AJ282" s="70">
        <f>'RESUMEN TOTAL'!AQ350</f>
        <v>0</v>
      </c>
    </row>
    <row r="283" spans="1:36" x14ac:dyDescent="0.25">
      <c r="A283" t="str">
        <f>'RESUMEN TOTAL'!A351</f>
        <v>PRESIDENTE SARMIENTO</v>
      </c>
      <c r="B283" t="str">
        <f>'RESUMEN TOTAL'!B351</f>
        <v>SAR 03 (fija 2)</v>
      </c>
      <c r="C283" t="str">
        <f>'RESUMEN TOTAL'!D351</f>
        <v>DARDO ROCHA Y GABRIELA MISTRAL</v>
      </c>
      <c r="D283" s="30" t="str">
        <f>'RESUMEN TOTAL'!E351</f>
        <v>Fija</v>
      </c>
      <c r="E283" s="30" t="str">
        <f>'RESUMEN TOTAL'!F351</f>
        <v>GPON</v>
      </c>
      <c r="F283" s="70" t="str">
        <f>'RESUMEN TOTAL'!M351</f>
        <v>APAGADO</v>
      </c>
      <c r="G283" s="70" t="str">
        <f>'RESUMEN TOTAL'!N351</f>
        <v>APAGADO</v>
      </c>
      <c r="H283" s="70" t="str">
        <f>'RESUMEN TOTAL'!O351</f>
        <v>APAGADO</v>
      </c>
      <c r="I283" s="70" t="str">
        <f>'RESUMEN TOTAL'!P351</f>
        <v>APAGADO</v>
      </c>
      <c r="J283" s="70" t="str">
        <f>'RESUMEN TOTAL'!Q351</f>
        <v>APAGADO</v>
      </c>
      <c r="K283" s="70" t="str">
        <f>'RESUMEN TOTAL'!R351</f>
        <v>APAGADO</v>
      </c>
      <c r="L283" s="70" t="str">
        <f>'RESUMEN TOTAL'!S351</f>
        <v>APAGADO</v>
      </c>
      <c r="M283" s="70" t="str">
        <f>'RESUMEN TOTAL'!T351</f>
        <v>APAGADO</v>
      </c>
      <c r="N283" s="70">
        <f>'RESUMEN TOTAL'!U351</f>
        <v>0</v>
      </c>
      <c r="O283" s="70">
        <f>'RESUMEN TOTAL'!V351</f>
        <v>0</v>
      </c>
      <c r="P283" s="70">
        <f>'RESUMEN TOTAL'!W351</f>
        <v>0</v>
      </c>
      <c r="Q283" s="70">
        <f>'RESUMEN TOTAL'!X351</f>
        <v>0</v>
      </c>
      <c r="R283" s="70">
        <f>'RESUMEN TOTAL'!Y351</f>
        <v>0</v>
      </c>
      <c r="S283" s="70">
        <f>'RESUMEN TOTAL'!Z351</f>
        <v>0</v>
      </c>
      <c r="T283" s="70">
        <f>'RESUMEN TOTAL'!AA351</f>
        <v>0</v>
      </c>
      <c r="U283" s="70">
        <f>'RESUMEN TOTAL'!AB351</f>
        <v>0</v>
      </c>
      <c r="V283" s="70">
        <f>'RESUMEN TOTAL'!AC351</f>
        <v>0</v>
      </c>
      <c r="W283" s="70">
        <f>'RESUMEN TOTAL'!AD351</f>
        <v>0</v>
      </c>
      <c r="X283" s="70">
        <f>'RESUMEN TOTAL'!AE351</f>
        <v>0</v>
      </c>
      <c r="Y283" s="70">
        <f>'RESUMEN TOTAL'!AF351</f>
        <v>0</v>
      </c>
      <c r="Z283" s="70">
        <f>'RESUMEN TOTAL'!AG351</f>
        <v>0</v>
      </c>
      <c r="AA283" s="70">
        <f>'RESUMEN TOTAL'!AH351</f>
        <v>0</v>
      </c>
      <c r="AB283" s="70">
        <f>'RESUMEN TOTAL'!AI351</f>
        <v>0</v>
      </c>
      <c r="AC283" s="70">
        <f>'RESUMEN TOTAL'!AJ351</f>
        <v>0</v>
      </c>
      <c r="AD283" s="70">
        <f>'RESUMEN TOTAL'!AK351</f>
        <v>0</v>
      </c>
      <c r="AE283" s="70">
        <f>'RESUMEN TOTAL'!AL351</f>
        <v>0</v>
      </c>
      <c r="AF283" s="70">
        <f>'RESUMEN TOTAL'!AM351</f>
        <v>0</v>
      </c>
      <c r="AG283" s="70">
        <f>'RESUMEN TOTAL'!AN351</f>
        <v>0</v>
      </c>
      <c r="AH283" s="70">
        <f>'RESUMEN TOTAL'!AO351</f>
        <v>0</v>
      </c>
      <c r="AI283" s="70">
        <f>'RESUMEN TOTAL'!AP351</f>
        <v>0</v>
      </c>
      <c r="AJ283" s="70">
        <f>'RESUMEN TOTAL'!AQ351</f>
        <v>0</v>
      </c>
    </row>
    <row r="284" spans="1:36" x14ac:dyDescent="0.25">
      <c r="A284" t="str">
        <f>'RESUMEN TOTAL'!A352</f>
        <v>PRESIDENTE SARMIENTO</v>
      </c>
      <c r="B284" t="str">
        <f>'RESUMEN TOTAL'!B352</f>
        <v>SAR 04</v>
      </c>
      <c r="C284" t="str">
        <f>'RESUMEN TOTAL'!D352</f>
        <v>MONTES DE OCA Y ALVARADO</v>
      </c>
      <c r="D284" s="30" t="str">
        <f>'RESUMEN TOTAL'!E352</f>
        <v>Domo</v>
      </c>
      <c r="E284" s="30" t="str">
        <f>'RESUMEN TOTAL'!F352</f>
        <v>Fibra Optica</v>
      </c>
      <c r="F284" s="70">
        <f>'RESUMEN TOTAL'!M352</f>
        <v>0</v>
      </c>
      <c r="G284" s="70">
        <f>'RESUMEN TOTAL'!N352</f>
        <v>0</v>
      </c>
      <c r="H284" s="70">
        <f>'RESUMEN TOTAL'!O352</f>
        <v>0</v>
      </c>
      <c r="I284" s="70">
        <f>'RESUMEN TOTAL'!P352</f>
        <v>0</v>
      </c>
      <c r="J284" s="70">
        <f>'RESUMEN TOTAL'!Q352</f>
        <v>0</v>
      </c>
      <c r="K284" s="70">
        <f>'RESUMEN TOTAL'!R352</f>
        <v>0</v>
      </c>
      <c r="L284" s="70">
        <f>'RESUMEN TOTAL'!S352</f>
        <v>0</v>
      </c>
      <c r="M284" s="70">
        <f>'RESUMEN TOTAL'!T352</f>
        <v>0</v>
      </c>
      <c r="N284" s="70">
        <f>'RESUMEN TOTAL'!U352</f>
        <v>0</v>
      </c>
      <c r="O284" s="70">
        <f>'RESUMEN TOTAL'!V352</f>
        <v>0</v>
      </c>
      <c r="P284" s="70">
        <f>'RESUMEN TOTAL'!W352</f>
        <v>0</v>
      </c>
      <c r="Q284" s="70">
        <f>'RESUMEN TOTAL'!X352</f>
        <v>0</v>
      </c>
      <c r="R284" s="70">
        <f>'RESUMEN TOTAL'!Y352</f>
        <v>0</v>
      </c>
      <c r="S284" s="70">
        <f>'RESUMEN TOTAL'!Z352</f>
        <v>0</v>
      </c>
      <c r="T284" s="70">
        <f>'RESUMEN TOTAL'!AA352</f>
        <v>0</v>
      </c>
      <c r="U284" s="70">
        <f>'RESUMEN TOTAL'!AB352</f>
        <v>0</v>
      </c>
      <c r="V284" s="70">
        <f>'RESUMEN TOTAL'!AC352</f>
        <v>0</v>
      </c>
      <c r="W284" s="70">
        <f>'RESUMEN TOTAL'!AD352</f>
        <v>0</v>
      </c>
      <c r="X284" s="70">
        <f>'RESUMEN TOTAL'!AE352</f>
        <v>0</v>
      </c>
      <c r="Y284" s="70">
        <f>'RESUMEN TOTAL'!AF352</f>
        <v>0</v>
      </c>
      <c r="Z284" s="70">
        <f>'RESUMEN TOTAL'!AG352</f>
        <v>0</v>
      </c>
      <c r="AA284" s="70">
        <f>'RESUMEN TOTAL'!AH352</f>
        <v>0</v>
      </c>
      <c r="AB284" s="70">
        <f>'RESUMEN TOTAL'!AI352</f>
        <v>0</v>
      </c>
      <c r="AC284" s="70">
        <f>'RESUMEN TOTAL'!AJ352</f>
        <v>0</v>
      </c>
      <c r="AD284" s="70">
        <f>'RESUMEN TOTAL'!AK352</f>
        <v>0</v>
      </c>
      <c r="AE284" s="70">
        <f>'RESUMEN TOTAL'!AL352</f>
        <v>0</v>
      </c>
      <c r="AF284" s="70">
        <f>'RESUMEN TOTAL'!AM352</f>
        <v>0</v>
      </c>
      <c r="AG284" s="70">
        <f>'RESUMEN TOTAL'!AN352</f>
        <v>0</v>
      </c>
      <c r="AH284" s="70">
        <f>'RESUMEN TOTAL'!AO352</f>
        <v>0</v>
      </c>
      <c r="AI284" s="70">
        <f>'RESUMEN TOTAL'!AP352</f>
        <v>0</v>
      </c>
      <c r="AJ284" s="70">
        <f>'RESUMEN TOTAL'!AQ352</f>
        <v>0</v>
      </c>
    </row>
    <row r="285" spans="1:36" x14ac:dyDescent="0.25">
      <c r="A285" t="str">
        <f>'RESUMEN TOTAL'!A353</f>
        <v>PRESIDENTE SARMIENTO</v>
      </c>
      <c r="B285" t="str">
        <f>'RESUMEN TOTAL'!B353</f>
        <v>SAR 05</v>
      </c>
      <c r="C285" t="str">
        <f>'RESUMEN TOTAL'!D353</f>
        <v>ALVARADO Y ROCHA</v>
      </c>
      <c r="D285" s="30" t="str">
        <f>'RESUMEN TOTAL'!E353</f>
        <v>Domo</v>
      </c>
      <c r="E285" s="30" t="str">
        <f>'RESUMEN TOTAL'!F353</f>
        <v>Fibra Optica</v>
      </c>
      <c r="F285" s="70">
        <f>'RESUMEN TOTAL'!M353</f>
        <v>0</v>
      </c>
      <c r="G285" s="70">
        <f>'RESUMEN TOTAL'!N353</f>
        <v>0</v>
      </c>
      <c r="H285" s="70">
        <f>'RESUMEN TOTAL'!O353</f>
        <v>0</v>
      </c>
      <c r="I285" s="70">
        <f>'RESUMEN TOTAL'!P353</f>
        <v>0</v>
      </c>
      <c r="J285" s="70">
        <f>'RESUMEN TOTAL'!Q353</f>
        <v>0</v>
      </c>
      <c r="K285" s="70">
        <f>'RESUMEN TOTAL'!R353</f>
        <v>0</v>
      </c>
      <c r="L285" s="70">
        <f>'RESUMEN TOTAL'!S353</f>
        <v>0</v>
      </c>
      <c r="M285" s="70">
        <f>'RESUMEN TOTAL'!T353</f>
        <v>0</v>
      </c>
      <c r="N285" s="70">
        <f>'RESUMEN TOTAL'!U353</f>
        <v>0</v>
      </c>
      <c r="O285" s="70">
        <f>'RESUMEN TOTAL'!V353</f>
        <v>0</v>
      </c>
      <c r="P285" s="70">
        <f>'RESUMEN TOTAL'!W353</f>
        <v>0</v>
      </c>
      <c r="Q285" s="70">
        <f>'RESUMEN TOTAL'!X353</f>
        <v>0</v>
      </c>
      <c r="R285" s="70">
        <f>'RESUMEN TOTAL'!Y353</f>
        <v>0</v>
      </c>
      <c r="S285" s="70">
        <f>'RESUMEN TOTAL'!Z353</f>
        <v>0</v>
      </c>
      <c r="T285" s="70">
        <f>'RESUMEN TOTAL'!AA353</f>
        <v>0</v>
      </c>
      <c r="U285" s="70">
        <f>'RESUMEN TOTAL'!AB353</f>
        <v>0</v>
      </c>
      <c r="V285" s="70">
        <f>'RESUMEN TOTAL'!AC353</f>
        <v>0</v>
      </c>
      <c r="W285" s="70">
        <f>'RESUMEN TOTAL'!AD353</f>
        <v>0</v>
      </c>
      <c r="X285" s="70">
        <f>'RESUMEN TOTAL'!AE353</f>
        <v>0</v>
      </c>
      <c r="Y285" s="70">
        <f>'RESUMEN TOTAL'!AF353</f>
        <v>0</v>
      </c>
      <c r="Z285" s="70">
        <f>'RESUMEN TOTAL'!AG353</f>
        <v>0</v>
      </c>
      <c r="AA285" s="70">
        <f>'RESUMEN TOTAL'!AH353</f>
        <v>0</v>
      </c>
      <c r="AB285" s="70">
        <f>'RESUMEN TOTAL'!AI353</f>
        <v>0</v>
      </c>
      <c r="AC285" s="70">
        <f>'RESUMEN TOTAL'!AJ353</f>
        <v>0</v>
      </c>
      <c r="AD285" s="70">
        <f>'RESUMEN TOTAL'!AK353</f>
        <v>0</v>
      </c>
      <c r="AE285" s="70">
        <f>'RESUMEN TOTAL'!AL353</f>
        <v>0</v>
      </c>
      <c r="AF285" s="70">
        <f>'RESUMEN TOTAL'!AM353</f>
        <v>0</v>
      </c>
      <c r="AG285" s="70">
        <f>'RESUMEN TOTAL'!AN353</f>
        <v>0</v>
      </c>
      <c r="AH285" s="70">
        <f>'RESUMEN TOTAL'!AO353</f>
        <v>0</v>
      </c>
      <c r="AI285" s="70">
        <f>'RESUMEN TOTAL'!AP353</f>
        <v>0</v>
      </c>
      <c r="AJ285" s="70">
        <f>'RESUMEN TOTAL'!AQ353</f>
        <v>0</v>
      </c>
    </row>
    <row r="286" spans="1:36" x14ac:dyDescent="0.25">
      <c r="A286" t="str">
        <f>'RESUMEN TOTAL'!A354</f>
        <v>PRESIDENTE SARMIENTO</v>
      </c>
      <c r="B286" t="str">
        <f>'RESUMEN TOTAL'!B354</f>
        <v>SAR 06</v>
      </c>
      <c r="C286" t="str">
        <f>'RESUMEN TOTAL'!D354</f>
        <v>Necochea y Lorenzini</v>
      </c>
      <c r="D286" s="30" t="str">
        <f>'RESUMEN TOTAL'!E354</f>
        <v>Fija</v>
      </c>
      <c r="E286" s="30" t="str">
        <f>'RESUMEN TOTAL'!F354</f>
        <v>Fibra Optica</v>
      </c>
      <c r="F286" s="70">
        <f>'RESUMEN TOTAL'!M354</f>
        <v>0</v>
      </c>
      <c r="G286" s="70">
        <f>'RESUMEN TOTAL'!N354</f>
        <v>0</v>
      </c>
      <c r="H286" s="70">
        <f>'RESUMEN TOTAL'!O354</f>
        <v>0</v>
      </c>
      <c r="I286" s="70">
        <f>'RESUMEN TOTAL'!P354</f>
        <v>0</v>
      </c>
      <c r="J286" s="70">
        <f>'RESUMEN TOTAL'!Q354</f>
        <v>0</v>
      </c>
      <c r="K286" s="70">
        <f>'RESUMEN TOTAL'!R354</f>
        <v>0</v>
      </c>
      <c r="L286" s="70">
        <f>'RESUMEN TOTAL'!S354</f>
        <v>0</v>
      </c>
      <c r="M286" s="70">
        <f>'RESUMEN TOTAL'!T354</f>
        <v>0</v>
      </c>
      <c r="N286" s="70">
        <f>'RESUMEN TOTAL'!U354</f>
        <v>0</v>
      </c>
      <c r="O286" s="70">
        <f>'RESUMEN TOTAL'!V354</f>
        <v>0</v>
      </c>
      <c r="P286" s="70">
        <f>'RESUMEN TOTAL'!W354</f>
        <v>0</v>
      </c>
      <c r="Q286" s="70">
        <f>'RESUMEN TOTAL'!X354</f>
        <v>0</v>
      </c>
      <c r="R286" s="70">
        <f>'RESUMEN TOTAL'!Y354</f>
        <v>0</v>
      </c>
      <c r="S286" s="70">
        <f>'RESUMEN TOTAL'!Z354</f>
        <v>0</v>
      </c>
      <c r="T286" s="70">
        <f>'RESUMEN TOTAL'!AA354</f>
        <v>0</v>
      </c>
      <c r="U286" s="70">
        <f>'RESUMEN TOTAL'!AB354</f>
        <v>0</v>
      </c>
      <c r="V286" s="70">
        <f>'RESUMEN TOTAL'!AC354</f>
        <v>0</v>
      </c>
      <c r="W286" s="70">
        <f>'RESUMEN TOTAL'!AD354</f>
        <v>0</v>
      </c>
      <c r="X286" s="70">
        <f>'RESUMEN TOTAL'!AE354</f>
        <v>0</v>
      </c>
      <c r="Y286" s="70">
        <f>'RESUMEN TOTAL'!AF354</f>
        <v>0</v>
      </c>
      <c r="Z286" s="70">
        <f>'RESUMEN TOTAL'!AG354</f>
        <v>0</v>
      </c>
      <c r="AA286" s="70">
        <f>'RESUMEN TOTAL'!AH354</f>
        <v>0</v>
      </c>
      <c r="AB286" s="70">
        <f>'RESUMEN TOTAL'!AI354</f>
        <v>0</v>
      </c>
      <c r="AC286" s="70">
        <f>'RESUMEN TOTAL'!AJ354</f>
        <v>0</v>
      </c>
      <c r="AD286" s="70">
        <f>'RESUMEN TOTAL'!AK354</f>
        <v>0</v>
      </c>
      <c r="AE286" s="70">
        <f>'RESUMEN TOTAL'!AL354</f>
        <v>0</v>
      </c>
      <c r="AF286" s="70">
        <f>'RESUMEN TOTAL'!AM354</f>
        <v>0</v>
      </c>
      <c r="AG286" s="70">
        <f>'RESUMEN TOTAL'!AN354</f>
        <v>0</v>
      </c>
      <c r="AH286" s="70">
        <f>'RESUMEN TOTAL'!AO354</f>
        <v>0</v>
      </c>
      <c r="AI286" s="70">
        <f>'RESUMEN TOTAL'!AP354</f>
        <v>0</v>
      </c>
      <c r="AJ286" s="70">
        <f>'RESUMEN TOTAL'!AQ354</f>
        <v>0</v>
      </c>
    </row>
    <row r="287" spans="1:36" x14ac:dyDescent="0.25">
      <c r="A287" t="str">
        <f>'RESUMEN TOTAL'!A355</f>
        <v>PRESIDENTE SARMIENTO</v>
      </c>
      <c r="B287" t="str">
        <f>'RESUMEN TOTAL'!B355</f>
        <v>SAR 07</v>
      </c>
      <c r="C287" t="str">
        <f>'RESUMEN TOTAL'!D355</f>
        <v>Necochea y Lorenzini</v>
      </c>
      <c r="D287" s="30" t="str">
        <f>'RESUMEN TOTAL'!E355</f>
        <v>Fija</v>
      </c>
      <c r="E287" s="30" t="str">
        <f>'RESUMEN TOTAL'!F355</f>
        <v>Fibra Optica</v>
      </c>
      <c r="F287" s="70">
        <f>'RESUMEN TOTAL'!M355</f>
        <v>0</v>
      </c>
      <c r="G287" s="70">
        <f>'RESUMEN TOTAL'!N355</f>
        <v>0</v>
      </c>
      <c r="H287" s="70">
        <f>'RESUMEN TOTAL'!O355</f>
        <v>0</v>
      </c>
      <c r="I287" s="70">
        <f>'RESUMEN TOTAL'!P355</f>
        <v>0</v>
      </c>
      <c r="J287" s="70">
        <f>'RESUMEN TOTAL'!Q355</f>
        <v>0</v>
      </c>
      <c r="K287" s="70">
        <f>'RESUMEN TOTAL'!R355</f>
        <v>0</v>
      </c>
      <c r="L287" s="70">
        <f>'RESUMEN TOTAL'!S355</f>
        <v>0</v>
      </c>
      <c r="M287" s="70">
        <f>'RESUMEN TOTAL'!T355</f>
        <v>0</v>
      </c>
      <c r="N287" s="70">
        <f>'RESUMEN TOTAL'!U355</f>
        <v>0</v>
      </c>
      <c r="O287" s="70">
        <f>'RESUMEN TOTAL'!V355</f>
        <v>0</v>
      </c>
      <c r="P287" s="70">
        <f>'RESUMEN TOTAL'!W355</f>
        <v>0</v>
      </c>
      <c r="Q287" s="70">
        <f>'RESUMEN TOTAL'!X355</f>
        <v>0</v>
      </c>
      <c r="R287" s="70">
        <f>'RESUMEN TOTAL'!Y355</f>
        <v>0</v>
      </c>
      <c r="S287" s="70">
        <f>'RESUMEN TOTAL'!Z355</f>
        <v>0</v>
      </c>
      <c r="T287" s="70">
        <f>'RESUMEN TOTAL'!AA355</f>
        <v>0</v>
      </c>
      <c r="U287" s="70">
        <f>'RESUMEN TOTAL'!AB355</f>
        <v>0</v>
      </c>
      <c r="V287" s="70">
        <f>'RESUMEN TOTAL'!AC355</f>
        <v>0</v>
      </c>
      <c r="W287" s="70">
        <f>'RESUMEN TOTAL'!AD355</f>
        <v>0</v>
      </c>
      <c r="X287" s="70">
        <f>'RESUMEN TOTAL'!AE355</f>
        <v>0</v>
      </c>
      <c r="Y287" s="70">
        <f>'RESUMEN TOTAL'!AF355</f>
        <v>0</v>
      </c>
      <c r="Z287" s="70">
        <f>'RESUMEN TOTAL'!AG355</f>
        <v>0</v>
      </c>
      <c r="AA287" s="70">
        <f>'RESUMEN TOTAL'!AH355</f>
        <v>0</v>
      </c>
      <c r="AB287" s="70">
        <f>'RESUMEN TOTAL'!AI355</f>
        <v>0</v>
      </c>
      <c r="AC287" s="70">
        <f>'RESUMEN TOTAL'!AJ355</f>
        <v>0</v>
      </c>
      <c r="AD287" s="70">
        <f>'RESUMEN TOTAL'!AK355</f>
        <v>0</v>
      </c>
      <c r="AE287" s="70">
        <f>'RESUMEN TOTAL'!AL355</f>
        <v>0</v>
      </c>
      <c r="AF287" s="70">
        <f>'RESUMEN TOTAL'!AM355</f>
        <v>0</v>
      </c>
      <c r="AG287" s="70">
        <f>'RESUMEN TOTAL'!AN355</f>
        <v>0</v>
      </c>
      <c r="AH287" s="70">
        <f>'RESUMEN TOTAL'!AO355</f>
        <v>0</v>
      </c>
      <c r="AI287" s="70">
        <f>'RESUMEN TOTAL'!AP355</f>
        <v>0</v>
      </c>
      <c r="AJ287" s="70">
        <f>'RESUMEN TOTAL'!AQ355</f>
        <v>0</v>
      </c>
    </row>
    <row r="288" spans="1:36" x14ac:dyDescent="0.25">
      <c r="A288" t="str">
        <f>'RESUMEN TOTAL'!A356</f>
        <v>PRESIDENTE SARMIENTO</v>
      </c>
      <c r="B288" t="str">
        <f>'RESUMEN TOTAL'!B356</f>
        <v>SAR 08</v>
      </c>
      <c r="C288" t="str">
        <f>'RESUMEN TOTAL'!D356</f>
        <v>Necochea y Montes de Oca</v>
      </c>
      <c r="D288" s="30" t="str">
        <f>'RESUMEN TOTAL'!E356</f>
        <v>Fija</v>
      </c>
      <c r="E288" s="30" t="str">
        <f>'RESUMEN TOTAL'!F356</f>
        <v>Fibra Optica</v>
      </c>
      <c r="F288" s="70">
        <f>'RESUMEN TOTAL'!M356</f>
        <v>0</v>
      </c>
      <c r="G288" s="70">
        <f>'RESUMEN TOTAL'!N356</f>
        <v>0</v>
      </c>
      <c r="H288" s="70">
        <f>'RESUMEN TOTAL'!O356</f>
        <v>0</v>
      </c>
      <c r="I288" s="70">
        <f>'RESUMEN TOTAL'!P356</f>
        <v>0</v>
      </c>
      <c r="J288" s="70">
        <f>'RESUMEN TOTAL'!Q356</f>
        <v>0</v>
      </c>
      <c r="K288" s="70">
        <f>'RESUMEN TOTAL'!R356</f>
        <v>0</v>
      </c>
      <c r="L288" s="70">
        <f>'RESUMEN TOTAL'!S356</f>
        <v>0</v>
      </c>
      <c r="M288" s="70">
        <f>'RESUMEN TOTAL'!T356</f>
        <v>0</v>
      </c>
      <c r="N288" s="70">
        <f>'RESUMEN TOTAL'!U356</f>
        <v>0</v>
      </c>
      <c r="O288" s="70">
        <f>'RESUMEN TOTAL'!V356</f>
        <v>0</v>
      </c>
      <c r="P288" s="70">
        <f>'RESUMEN TOTAL'!W356</f>
        <v>0</v>
      </c>
      <c r="Q288" s="70">
        <f>'RESUMEN TOTAL'!X356</f>
        <v>0</v>
      </c>
      <c r="R288" s="70">
        <f>'RESUMEN TOTAL'!Y356</f>
        <v>0</v>
      </c>
      <c r="S288" s="70">
        <f>'RESUMEN TOTAL'!Z356</f>
        <v>0</v>
      </c>
      <c r="T288" s="70">
        <f>'RESUMEN TOTAL'!AA356</f>
        <v>0</v>
      </c>
      <c r="U288" s="70">
        <f>'RESUMEN TOTAL'!AB356</f>
        <v>0</v>
      </c>
      <c r="V288" s="70">
        <f>'RESUMEN TOTAL'!AC356</f>
        <v>0</v>
      </c>
      <c r="W288" s="70">
        <f>'RESUMEN TOTAL'!AD356</f>
        <v>0</v>
      </c>
      <c r="X288" s="70">
        <f>'RESUMEN TOTAL'!AE356</f>
        <v>0</v>
      </c>
      <c r="Y288" s="70">
        <f>'RESUMEN TOTAL'!AF356</f>
        <v>0</v>
      </c>
      <c r="Z288" s="70">
        <f>'RESUMEN TOTAL'!AG356</f>
        <v>0</v>
      </c>
      <c r="AA288" s="70">
        <f>'RESUMEN TOTAL'!AH356</f>
        <v>0</v>
      </c>
      <c r="AB288" s="70">
        <f>'RESUMEN TOTAL'!AI356</f>
        <v>0</v>
      </c>
      <c r="AC288" s="70">
        <f>'RESUMEN TOTAL'!AJ356</f>
        <v>0</v>
      </c>
      <c r="AD288" s="70">
        <f>'RESUMEN TOTAL'!AK356</f>
        <v>0</v>
      </c>
      <c r="AE288" s="70">
        <f>'RESUMEN TOTAL'!AL356</f>
        <v>0</v>
      </c>
      <c r="AF288" s="70">
        <f>'RESUMEN TOTAL'!AM356</f>
        <v>0</v>
      </c>
      <c r="AG288" s="70">
        <f>'RESUMEN TOTAL'!AN356</f>
        <v>0</v>
      </c>
      <c r="AH288" s="70">
        <f>'RESUMEN TOTAL'!AO356</f>
        <v>0</v>
      </c>
      <c r="AI288" s="70">
        <f>'RESUMEN TOTAL'!AP356</f>
        <v>0</v>
      </c>
      <c r="AJ288" s="70">
        <f>'RESUMEN TOTAL'!AQ356</f>
        <v>0</v>
      </c>
    </row>
    <row r="289" spans="1:36" x14ac:dyDescent="0.25">
      <c r="A289" t="str">
        <f>'RESUMEN TOTAL'!A357</f>
        <v>PRESIDENTE SARMIENTO</v>
      </c>
      <c r="B289" t="str">
        <f>'RESUMEN TOTAL'!B357</f>
        <v>SAR 09</v>
      </c>
      <c r="C289" t="str">
        <f>'RESUMEN TOTAL'!D357</f>
        <v>Necochea y Montes de Oca</v>
      </c>
      <c r="D289" s="30" t="str">
        <f>'RESUMEN TOTAL'!E357</f>
        <v>Fija</v>
      </c>
      <c r="E289" s="30" t="str">
        <f>'RESUMEN TOTAL'!F357</f>
        <v>Fibra Optica</v>
      </c>
      <c r="F289" s="70">
        <f>'RESUMEN TOTAL'!M357</f>
        <v>0</v>
      </c>
      <c r="G289" s="70">
        <f>'RESUMEN TOTAL'!N357</f>
        <v>0</v>
      </c>
      <c r="H289" s="70">
        <f>'RESUMEN TOTAL'!O357</f>
        <v>0</v>
      </c>
      <c r="I289" s="70">
        <f>'RESUMEN TOTAL'!P357</f>
        <v>0</v>
      </c>
      <c r="J289" s="70">
        <f>'RESUMEN TOTAL'!Q357</f>
        <v>0</v>
      </c>
      <c r="K289" s="70">
        <f>'RESUMEN TOTAL'!R357</f>
        <v>0</v>
      </c>
      <c r="L289" s="70">
        <f>'RESUMEN TOTAL'!S357</f>
        <v>0</v>
      </c>
      <c r="M289" s="70">
        <f>'RESUMEN TOTAL'!T357</f>
        <v>0</v>
      </c>
      <c r="N289" s="70">
        <f>'RESUMEN TOTAL'!U357</f>
        <v>0</v>
      </c>
      <c r="O289" s="70">
        <f>'RESUMEN TOTAL'!V357</f>
        <v>0</v>
      </c>
      <c r="P289" s="70">
        <f>'RESUMEN TOTAL'!W357</f>
        <v>0</v>
      </c>
      <c r="Q289" s="70">
        <f>'RESUMEN TOTAL'!X357</f>
        <v>0</v>
      </c>
      <c r="R289" s="70">
        <f>'RESUMEN TOTAL'!Y357</f>
        <v>0</v>
      </c>
      <c r="S289" s="70">
        <f>'RESUMEN TOTAL'!Z357</f>
        <v>0</v>
      </c>
      <c r="T289" s="70">
        <f>'RESUMEN TOTAL'!AA357</f>
        <v>0</v>
      </c>
      <c r="U289" s="70">
        <f>'RESUMEN TOTAL'!AB357</f>
        <v>0</v>
      </c>
      <c r="V289" s="70">
        <f>'RESUMEN TOTAL'!AC357</f>
        <v>0</v>
      </c>
      <c r="W289" s="70">
        <f>'RESUMEN TOTAL'!AD357</f>
        <v>0</v>
      </c>
      <c r="X289" s="70">
        <f>'RESUMEN TOTAL'!AE357</f>
        <v>0</v>
      </c>
      <c r="Y289" s="70">
        <f>'RESUMEN TOTAL'!AF357</f>
        <v>0</v>
      </c>
      <c r="Z289" s="70">
        <f>'RESUMEN TOTAL'!AG357</f>
        <v>0</v>
      </c>
      <c r="AA289" s="70">
        <f>'RESUMEN TOTAL'!AH357</f>
        <v>0</v>
      </c>
      <c r="AB289" s="70">
        <f>'RESUMEN TOTAL'!AI357</f>
        <v>0</v>
      </c>
      <c r="AC289" s="70">
        <f>'RESUMEN TOTAL'!AJ357</f>
        <v>0</v>
      </c>
      <c r="AD289" s="70">
        <f>'RESUMEN TOTAL'!AK357</f>
        <v>0</v>
      </c>
      <c r="AE289" s="70">
        <f>'RESUMEN TOTAL'!AL357</f>
        <v>0</v>
      </c>
      <c r="AF289" s="70">
        <f>'RESUMEN TOTAL'!AM357</f>
        <v>0</v>
      </c>
      <c r="AG289" s="70">
        <f>'RESUMEN TOTAL'!AN357</f>
        <v>0</v>
      </c>
      <c r="AH289" s="70">
        <f>'RESUMEN TOTAL'!AO357</f>
        <v>0</v>
      </c>
      <c r="AI289" s="70">
        <f>'RESUMEN TOTAL'!AP357</f>
        <v>0</v>
      </c>
      <c r="AJ289" s="70">
        <f>'RESUMEN TOTAL'!AQ357</f>
        <v>0</v>
      </c>
    </row>
    <row r="290" spans="1:36" x14ac:dyDescent="0.25">
      <c r="A290" t="str">
        <f>'RESUMEN TOTAL'!A358</f>
        <v>MONTE CUDINE</v>
      </c>
      <c r="B290" t="str">
        <f>'RESUMEN TOTAL'!B358</f>
        <v>SAR 10</v>
      </c>
      <c r="C290" t="str">
        <f>'RESUMEN TOTAL'!D358</f>
        <v>SENZABELLO Y TINOGASTA</v>
      </c>
      <c r="D290" s="30" t="str">
        <f>'RESUMEN TOTAL'!E358</f>
        <v>Domo</v>
      </c>
      <c r="E290" s="30" t="str">
        <f>'RESUMEN TOTAL'!F358</f>
        <v>Fibra Optica</v>
      </c>
      <c r="F290" s="70">
        <f>'RESUMEN TOTAL'!M358</f>
        <v>0</v>
      </c>
      <c r="G290" s="70">
        <f>'RESUMEN TOTAL'!N358</f>
        <v>0</v>
      </c>
      <c r="H290" s="70">
        <f>'RESUMEN TOTAL'!O358</f>
        <v>0</v>
      </c>
      <c r="I290" s="70">
        <f>'RESUMEN TOTAL'!P358</f>
        <v>0</v>
      </c>
      <c r="J290" s="70">
        <f>'RESUMEN TOTAL'!Q358</f>
        <v>0</v>
      </c>
      <c r="K290" s="70">
        <f>'RESUMEN TOTAL'!R358</f>
        <v>0</v>
      </c>
      <c r="L290" s="70">
        <f>'RESUMEN TOTAL'!S358</f>
        <v>0</v>
      </c>
      <c r="M290" s="70">
        <f>'RESUMEN TOTAL'!T358</f>
        <v>0</v>
      </c>
      <c r="N290" s="70">
        <f>'RESUMEN TOTAL'!U358</f>
        <v>0</v>
      </c>
      <c r="O290" s="70">
        <f>'RESUMEN TOTAL'!V358</f>
        <v>0</v>
      </c>
      <c r="P290" s="70">
        <f>'RESUMEN TOTAL'!W358</f>
        <v>0</v>
      </c>
      <c r="Q290" s="70">
        <f>'RESUMEN TOTAL'!X358</f>
        <v>0</v>
      </c>
      <c r="R290" s="70">
        <f>'RESUMEN TOTAL'!Y358</f>
        <v>0</v>
      </c>
      <c r="S290" s="70">
        <f>'RESUMEN TOTAL'!Z358</f>
        <v>0</v>
      </c>
      <c r="T290" s="70">
        <f>'RESUMEN TOTAL'!AA358</f>
        <v>0</v>
      </c>
      <c r="U290" s="70">
        <f>'RESUMEN TOTAL'!AB358</f>
        <v>0</v>
      </c>
      <c r="V290" s="70">
        <f>'RESUMEN TOTAL'!AC358</f>
        <v>0</v>
      </c>
      <c r="W290" s="70">
        <f>'RESUMEN TOTAL'!AD358</f>
        <v>0</v>
      </c>
      <c r="X290" s="70">
        <f>'RESUMEN TOTAL'!AE358</f>
        <v>0</v>
      </c>
      <c r="Y290" s="70">
        <f>'RESUMEN TOTAL'!AF358</f>
        <v>0</v>
      </c>
      <c r="Z290" s="70">
        <f>'RESUMEN TOTAL'!AG358</f>
        <v>0</v>
      </c>
      <c r="AA290" s="70">
        <f>'RESUMEN TOTAL'!AH358</f>
        <v>0</v>
      </c>
      <c r="AB290" s="70">
        <f>'RESUMEN TOTAL'!AI358</f>
        <v>0</v>
      </c>
      <c r="AC290" s="70">
        <f>'RESUMEN TOTAL'!AJ358</f>
        <v>0</v>
      </c>
      <c r="AD290" s="70">
        <f>'RESUMEN TOTAL'!AK358</f>
        <v>0</v>
      </c>
      <c r="AE290" s="70">
        <f>'RESUMEN TOTAL'!AL358</f>
        <v>0</v>
      </c>
      <c r="AF290" s="70">
        <f>'RESUMEN TOTAL'!AM358</f>
        <v>0</v>
      </c>
      <c r="AG290" s="70">
        <f>'RESUMEN TOTAL'!AN358</f>
        <v>0</v>
      </c>
      <c r="AH290" s="70">
        <f>'RESUMEN TOTAL'!AO358</f>
        <v>0</v>
      </c>
      <c r="AI290" s="70">
        <f>'RESUMEN TOTAL'!AP358</f>
        <v>0</v>
      </c>
      <c r="AJ290" s="70">
        <f>'RESUMEN TOTAL'!AQ358</f>
        <v>0</v>
      </c>
    </row>
    <row r="291" spans="1:36" x14ac:dyDescent="0.25">
      <c r="A291" t="str">
        <f>'RESUMEN TOTAL'!A359</f>
        <v>MONTE CUDINE</v>
      </c>
      <c r="B291" t="str">
        <f>'RESUMEN TOTAL'!B359</f>
        <v>SAR 11</v>
      </c>
      <c r="C291" t="str">
        <f>'RESUMEN TOTAL'!D359</f>
        <v>SENSABELLO Y BRAILLE</v>
      </c>
      <c r="D291" s="30" t="str">
        <f>'RESUMEN TOTAL'!E359</f>
        <v>Domo</v>
      </c>
      <c r="E291" s="30" t="str">
        <f>'RESUMEN TOTAL'!F359</f>
        <v>Fibra Optica</v>
      </c>
      <c r="F291" s="70">
        <f>'RESUMEN TOTAL'!M359</f>
        <v>0</v>
      </c>
      <c r="G291" s="70">
        <f>'RESUMEN TOTAL'!N359</f>
        <v>0</v>
      </c>
      <c r="H291" s="70">
        <f>'RESUMEN TOTAL'!O359</f>
        <v>0</v>
      </c>
      <c r="I291" s="70">
        <f>'RESUMEN TOTAL'!P359</f>
        <v>0</v>
      </c>
      <c r="J291" s="70">
        <f>'RESUMEN TOTAL'!Q359</f>
        <v>0</v>
      </c>
      <c r="K291" s="70">
        <f>'RESUMEN TOTAL'!R359</f>
        <v>0</v>
      </c>
      <c r="L291" s="70">
        <f>'RESUMEN TOTAL'!S359</f>
        <v>0</v>
      </c>
      <c r="M291" s="70">
        <f>'RESUMEN TOTAL'!T359</f>
        <v>0</v>
      </c>
      <c r="N291" s="70">
        <f>'RESUMEN TOTAL'!U359</f>
        <v>0</v>
      </c>
      <c r="O291" s="70">
        <f>'RESUMEN TOTAL'!V359</f>
        <v>0</v>
      </c>
      <c r="P291" s="70">
        <f>'RESUMEN TOTAL'!W359</f>
        <v>0</v>
      </c>
      <c r="Q291" s="70">
        <f>'RESUMEN TOTAL'!X359</f>
        <v>0</v>
      </c>
      <c r="R291" s="70">
        <f>'RESUMEN TOTAL'!Y359</f>
        <v>0</v>
      </c>
      <c r="S291" s="70">
        <f>'RESUMEN TOTAL'!Z359</f>
        <v>0</v>
      </c>
      <c r="T291" s="70">
        <f>'RESUMEN TOTAL'!AA359</f>
        <v>0</v>
      </c>
      <c r="U291" s="70">
        <f>'RESUMEN TOTAL'!AB359</f>
        <v>0</v>
      </c>
      <c r="V291" s="70">
        <f>'RESUMEN TOTAL'!AC359</f>
        <v>0</v>
      </c>
      <c r="W291" s="70">
        <f>'RESUMEN TOTAL'!AD359</f>
        <v>0</v>
      </c>
      <c r="X291" s="70">
        <f>'RESUMEN TOTAL'!AE359</f>
        <v>0</v>
      </c>
      <c r="Y291" s="70">
        <f>'RESUMEN TOTAL'!AF359</f>
        <v>0</v>
      </c>
      <c r="Z291" s="70">
        <f>'RESUMEN TOTAL'!AG359</f>
        <v>0</v>
      </c>
      <c r="AA291" s="70">
        <f>'RESUMEN TOTAL'!AH359</f>
        <v>0</v>
      </c>
      <c r="AB291" s="70">
        <f>'RESUMEN TOTAL'!AI359</f>
        <v>0</v>
      </c>
      <c r="AC291" s="70">
        <f>'RESUMEN TOTAL'!AJ359</f>
        <v>0</v>
      </c>
      <c r="AD291" s="70">
        <f>'RESUMEN TOTAL'!AK359</f>
        <v>0</v>
      </c>
      <c r="AE291" s="70">
        <f>'RESUMEN TOTAL'!AL359</f>
        <v>0</v>
      </c>
      <c r="AF291" s="70">
        <f>'RESUMEN TOTAL'!AM359</f>
        <v>0</v>
      </c>
      <c r="AG291" s="70">
        <f>'RESUMEN TOTAL'!AN359</f>
        <v>0</v>
      </c>
      <c r="AH291" s="70">
        <f>'RESUMEN TOTAL'!AO359</f>
        <v>0</v>
      </c>
      <c r="AI291" s="70">
        <f>'RESUMEN TOTAL'!AP359</f>
        <v>0</v>
      </c>
      <c r="AJ291" s="70">
        <f>'RESUMEN TOTAL'!AQ359</f>
        <v>0</v>
      </c>
    </row>
    <row r="292" spans="1:36" x14ac:dyDescent="0.25">
      <c r="A292" t="str">
        <f>'RESUMEN TOTAL'!A364</f>
        <v>SAN EDUARDO</v>
      </c>
      <c r="B292" t="str">
        <f>'RESUMEN TOTAL'!B364</f>
        <v>SEDU01</v>
      </c>
      <c r="C292" t="str">
        <f>'RESUMEN TOTAL'!D364</f>
        <v>San Martin y Sperandio</v>
      </c>
      <c r="D292" s="30" t="str">
        <f>'RESUMEN TOTAL'!E364</f>
        <v>Domo</v>
      </c>
      <c r="E292" s="30" t="str">
        <f>'RESUMEN TOTAL'!F364</f>
        <v>Fibra Optica</v>
      </c>
      <c r="F292" s="70">
        <f>'RESUMEN TOTAL'!M364</f>
        <v>0</v>
      </c>
      <c r="G292" s="70">
        <f>'RESUMEN TOTAL'!N364</f>
        <v>0</v>
      </c>
      <c r="H292" s="70">
        <f>'RESUMEN TOTAL'!O364</f>
        <v>0</v>
      </c>
      <c r="I292" s="70">
        <f>'RESUMEN TOTAL'!P364</f>
        <v>0</v>
      </c>
      <c r="J292" s="70">
        <f>'RESUMEN TOTAL'!Q364</f>
        <v>0</v>
      </c>
      <c r="K292" s="70">
        <f>'RESUMEN TOTAL'!R364</f>
        <v>0</v>
      </c>
      <c r="L292" s="70">
        <f>'RESUMEN TOTAL'!S364</f>
        <v>0</v>
      </c>
      <c r="M292" s="70">
        <f>'RESUMEN TOTAL'!T364</f>
        <v>0</v>
      </c>
      <c r="N292" s="70">
        <f>'RESUMEN TOTAL'!U364</f>
        <v>0</v>
      </c>
      <c r="O292" s="70">
        <f>'RESUMEN TOTAL'!V364</f>
        <v>0</v>
      </c>
      <c r="P292" s="70">
        <f>'RESUMEN TOTAL'!W364</f>
        <v>0</v>
      </c>
      <c r="Q292" s="70">
        <f>'RESUMEN TOTAL'!X364</f>
        <v>0</v>
      </c>
      <c r="R292" s="70">
        <f>'RESUMEN TOTAL'!Y364</f>
        <v>0</v>
      </c>
      <c r="S292" s="70">
        <f>'RESUMEN TOTAL'!Z364</f>
        <v>0</v>
      </c>
      <c r="T292" s="70">
        <f>'RESUMEN TOTAL'!AA364</f>
        <v>0</v>
      </c>
      <c r="U292" s="70">
        <f>'RESUMEN TOTAL'!AB364</f>
        <v>0</v>
      </c>
      <c r="V292" s="70">
        <f>'RESUMEN TOTAL'!AC364</f>
        <v>0</v>
      </c>
      <c r="W292" s="70">
        <f>'RESUMEN TOTAL'!AD364</f>
        <v>0</v>
      </c>
      <c r="X292" s="70">
        <f>'RESUMEN TOTAL'!AE364</f>
        <v>0</v>
      </c>
      <c r="Y292" s="70">
        <f>'RESUMEN TOTAL'!AF364</f>
        <v>0</v>
      </c>
      <c r="Z292" s="70">
        <f>'RESUMEN TOTAL'!AG364</f>
        <v>0</v>
      </c>
      <c r="AA292" s="70">
        <f>'RESUMEN TOTAL'!AH364</f>
        <v>0</v>
      </c>
      <c r="AB292" s="70">
        <f>'RESUMEN TOTAL'!AI364</f>
        <v>0</v>
      </c>
      <c r="AC292" s="70">
        <f>'RESUMEN TOTAL'!AJ364</f>
        <v>0</v>
      </c>
      <c r="AD292" s="70">
        <f>'RESUMEN TOTAL'!AK364</f>
        <v>0</v>
      </c>
      <c r="AE292" s="70">
        <f>'RESUMEN TOTAL'!AL364</f>
        <v>0</v>
      </c>
      <c r="AF292" s="70">
        <f>'RESUMEN TOTAL'!AM364</f>
        <v>0</v>
      </c>
      <c r="AG292" s="70">
        <f>'RESUMEN TOTAL'!AN364</f>
        <v>0</v>
      </c>
      <c r="AH292" s="70">
        <f>'RESUMEN TOTAL'!AO364</f>
        <v>0</v>
      </c>
      <c r="AI292" s="70">
        <f>'RESUMEN TOTAL'!AP364</f>
        <v>0</v>
      </c>
      <c r="AJ292" s="70">
        <f>'RESUMEN TOTAL'!AQ364</f>
        <v>0</v>
      </c>
    </row>
    <row r="293" spans="1:36" x14ac:dyDescent="0.25">
      <c r="A293" t="str">
        <f>'RESUMEN TOTAL'!A365</f>
        <v>SAN EDUARDO</v>
      </c>
      <c r="B293" t="str">
        <f>'RESUMEN TOTAL'!B365</f>
        <v>SEDU02</v>
      </c>
      <c r="C293" t="str">
        <f>'RESUMEN TOTAL'!D365</f>
        <v>Curva de Berraymundo</v>
      </c>
      <c r="D293" s="30" t="str">
        <f>'RESUMEN TOTAL'!E365</f>
        <v>Domo</v>
      </c>
      <c r="E293" s="30" t="str">
        <f>'RESUMEN TOTAL'!F365</f>
        <v>Fibra Optica</v>
      </c>
      <c r="F293" s="70">
        <f>'RESUMEN TOTAL'!M365</f>
        <v>0</v>
      </c>
      <c r="G293" s="70">
        <f>'RESUMEN TOTAL'!N365</f>
        <v>0</v>
      </c>
      <c r="H293" s="70">
        <f>'RESUMEN TOTAL'!O365</f>
        <v>0</v>
      </c>
      <c r="I293" s="70">
        <f>'RESUMEN TOTAL'!P365</f>
        <v>0</v>
      </c>
      <c r="J293" s="70">
        <f>'RESUMEN TOTAL'!Q365</f>
        <v>0</v>
      </c>
      <c r="K293" s="70">
        <f>'RESUMEN TOTAL'!R365</f>
        <v>0</v>
      </c>
      <c r="L293" s="70">
        <f>'RESUMEN TOTAL'!S365</f>
        <v>0</v>
      </c>
      <c r="M293" s="70">
        <f>'RESUMEN TOTAL'!T365</f>
        <v>0</v>
      </c>
      <c r="N293" s="70">
        <f>'RESUMEN TOTAL'!U365</f>
        <v>0</v>
      </c>
      <c r="O293" s="70">
        <f>'RESUMEN TOTAL'!V365</f>
        <v>0</v>
      </c>
      <c r="P293" s="70">
        <f>'RESUMEN TOTAL'!W365</f>
        <v>0</v>
      </c>
      <c r="Q293" s="70">
        <f>'RESUMEN TOTAL'!X365</f>
        <v>0</v>
      </c>
      <c r="R293" s="70">
        <f>'RESUMEN TOTAL'!Y365</f>
        <v>0</v>
      </c>
      <c r="S293" s="70">
        <f>'RESUMEN TOTAL'!Z365</f>
        <v>0</v>
      </c>
      <c r="T293" s="70">
        <f>'RESUMEN TOTAL'!AA365</f>
        <v>0</v>
      </c>
      <c r="U293" s="70">
        <f>'RESUMEN TOTAL'!AB365</f>
        <v>0</v>
      </c>
      <c r="V293" s="70">
        <f>'RESUMEN TOTAL'!AC365</f>
        <v>0</v>
      </c>
      <c r="W293" s="70">
        <f>'RESUMEN TOTAL'!AD365</f>
        <v>0</v>
      </c>
      <c r="X293" s="70">
        <f>'RESUMEN TOTAL'!AE365</f>
        <v>0</v>
      </c>
      <c r="Y293" s="70">
        <f>'RESUMEN TOTAL'!AF365</f>
        <v>0</v>
      </c>
      <c r="Z293" s="70">
        <f>'RESUMEN TOTAL'!AG365</f>
        <v>0</v>
      </c>
      <c r="AA293" s="70">
        <f>'RESUMEN TOTAL'!AH365</f>
        <v>0</v>
      </c>
      <c r="AB293" s="70">
        <f>'RESUMEN TOTAL'!AI365</f>
        <v>0</v>
      </c>
      <c r="AC293" s="70">
        <f>'RESUMEN TOTAL'!AJ365</f>
        <v>0</v>
      </c>
      <c r="AD293" s="70">
        <f>'RESUMEN TOTAL'!AK365</f>
        <v>0</v>
      </c>
      <c r="AE293" s="70">
        <f>'RESUMEN TOTAL'!AL365</f>
        <v>0</v>
      </c>
      <c r="AF293" s="70">
        <f>'RESUMEN TOTAL'!AM365</f>
        <v>0</v>
      </c>
      <c r="AG293" s="70">
        <f>'RESUMEN TOTAL'!AN365</f>
        <v>0</v>
      </c>
      <c r="AH293" s="70">
        <f>'RESUMEN TOTAL'!AO365</f>
        <v>0</v>
      </c>
      <c r="AI293" s="70">
        <f>'RESUMEN TOTAL'!AP365</f>
        <v>0</v>
      </c>
      <c r="AJ293" s="70">
        <f>'RESUMEN TOTAL'!AQ365</f>
        <v>0</v>
      </c>
    </row>
    <row r="294" spans="1:36" x14ac:dyDescent="0.25">
      <c r="A294" t="str">
        <f>'RESUMEN TOTAL'!A366</f>
        <v>VILLA CIRIO</v>
      </c>
      <c r="B294" t="str">
        <f>'RESUMEN TOTAL'!B366</f>
        <v>SEDU03</v>
      </c>
      <c r="C294" t="str">
        <f>'RESUMEN TOTAL'!D366</f>
        <v>Av. San Martin y Las Americas</v>
      </c>
      <c r="D294" s="30" t="str">
        <f>'RESUMEN TOTAL'!E366</f>
        <v>Domo</v>
      </c>
      <c r="E294" s="30" t="str">
        <f>'RESUMEN TOTAL'!F366</f>
        <v>GPON</v>
      </c>
      <c r="F294" s="70">
        <f>'RESUMEN TOTAL'!M366</f>
        <v>0</v>
      </c>
      <c r="G294" s="70">
        <f>'RESUMEN TOTAL'!N366</f>
        <v>0</v>
      </c>
      <c r="H294" s="70">
        <f>'RESUMEN TOTAL'!O366</f>
        <v>0</v>
      </c>
      <c r="I294" s="70">
        <f>'RESUMEN TOTAL'!P366</f>
        <v>0</v>
      </c>
      <c r="J294" s="70">
        <f>'RESUMEN TOTAL'!Q366</f>
        <v>0</v>
      </c>
      <c r="K294" s="70">
        <f>'RESUMEN TOTAL'!R366</f>
        <v>0</v>
      </c>
      <c r="L294" s="70">
        <f>'RESUMEN TOTAL'!S366</f>
        <v>0</v>
      </c>
      <c r="M294" s="70">
        <f>'RESUMEN TOTAL'!T366</f>
        <v>0</v>
      </c>
      <c r="N294" s="70">
        <f>'RESUMEN TOTAL'!U366</f>
        <v>0</v>
      </c>
      <c r="O294" s="70">
        <f>'RESUMEN TOTAL'!V366</f>
        <v>0</v>
      </c>
      <c r="P294" s="70">
        <f>'RESUMEN TOTAL'!W366</f>
        <v>0</v>
      </c>
      <c r="Q294" s="70">
        <f>'RESUMEN TOTAL'!X366</f>
        <v>0</v>
      </c>
      <c r="R294" s="70">
        <f>'RESUMEN TOTAL'!Y366</f>
        <v>0</v>
      </c>
      <c r="S294" s="70">
        <f>'RESUMEN TOTAL'!Z366</f>
        <v>0</v>
      </c>
      <c r="T294" s="70">
        <f>'RESUMEN TOTAL'!AA366</f>
        <v>0</v>
      </c>
      <c r="U294" s="70">
        <f>'RESUMEN TOTAL'!AB366</f>
        <v>0</v>
      </c>
      <c r="V294" s="70">
        <f>'RESUMEN TOTAL'!AC366</f>
        <v>0</v>
      </c>
      <c r="W294" s="70">
        <f>'RESUMEN TOTAL'!AD366</f>
        <v>0</v>
      </c>
      <c r="X294" s="70">
        <f>'RESUMEN TOTAL'!AE366</f>
        <v>0</v>
      </c>
      <c r="Y294" s="70">
        <f>'RESUMEN TOTAL'!AF366</f>
        <v>0</v>
      </c>
      <c r="Z294" s="70">
        <f>'RESUMEN TOTAL'!AG366</f>
        <v>0</v>
      </c>
      <c r="AA294" s="70">
        <f>'RESUMEN TOTAL'!AH366</f>
        <v>0</v>
      </c>
      <c r="AB294" s="70">
        <f>'RESUMEN TOTAL'!AI366</f>
        <v>0</v>
      </c>
      <c r="AC294" s="70">
        <f>'RESUMEN TOTAL'!AJ366</f>
        <v>0</v>
      </c>
      <c r="AD294" s="70">
        <f>'RESUMEN TOTAL'!AK366</f>
        <v>0</v>
      </c>
      <c r="AE294" s="70">
        <f>'RESUMEN TOTAL'!AL366</f>
        <v>0</v>
      </c>
      <c r="AF294" s="70">
        <f>'RESUMEN TOTAL'!AM366</f>
        <v>0</v>
      </c>
      <c r="AG294" s="70">
        <f>'RESUMEN TOTAL'!AN366</f>
        <v>0</v>
      </c>
      <c r="AH294" s="70">
        <f>'RESUMEN TOTAL'!AO366</f>
        <v>0</v>
      </c>
      <c r="AI294" s="70">
        <f>'RESUMEN TOTAL'!AP366</f>
        <v>0</v>
      </c>
      <c r="AJ294" s="70">
        <f>'RESUMEN TOTAL'!AQ366</f>
        <v>0</v>
      </c>
    </row>
    <row r="295" spans="1:36" x14ac:dyDescent="0.25">
      <c r="A295" t="str">
        <f>'RESUMEN TOTAL'!A368</f>
        <v>SAN EMILIO</v>
      </c>
      <c r="B295" t="str">
        <f>'RESUMEN TOTAL'!B368</f>
        <v>SEMI01</v>
      </c>
      <c r="C295" t="str">
        <f>'RESUMEN TOTAL'!D368</f>
        <v>San Martin y Av. del Trabajo</v>
      </c>
      <c r="D295" s="30" t="str">
        <f>'RESUMEN TOTAL'!E368</f>
        <v>Domo</v>
      </c>
      <c r="E295" s="30" t="str">
        <f>'RESUMEN TOTAL'!F368</f>
        <v>Fibra Optica</v>
      </c>
      <c r="F295" s="70" t="str">
        <f>'RESUMEN TOTAL'!M368</f>
        <v>APAGADO</v>
      </c>
      <c r="G295" s="70">
        <f>'RESUMEN TOTAL'!N368</f>
        <v>0</v>
      </c>
      <c r="H295" s="70">
        <f>'RESUMEN TOTAL'!O368</f>
        <v>0</v>
      </c>
      <c r="I295" s="70">
        <f>'RESUMEN TOTAL'!P368</f>
        <v>0</v>
      </c>
      <c r="J295" s="70">
        <f>'RESUMEN TOTAL'!Q368</f>
        <v>0</v>
      </c>
      <c r="K295" s="70">
        <f>'RESUMEN TOTAL'!R368</f>
        <v>0</v>
      </c>
      <c r="L295" s="70">
        <f>'RESUMEN TOTAL'!S368</f>
        <v>0</v>
      </c>
      <c r="M295" s="70">
        <f>'RESUMEN TOTAL'!T368</f>
        <v>0</v>
      </c>
      <c r="N295" s="70">
        <f>'RESUMEN TOTAL'!U368</f>
        <v>0</v>
      </c>
      <c r="O295" s="70">
        <f>'RESUMEN TOTAL'!V368</f>
        <v>0</v>
      </c>
      <c r="P295" s="70">
        <f>'RESUMEN TOTAL'!W368</f>
        <v>0</v>
      </c>
      <c r="Q295" s="70">
        <f>'RESUMEN TOTAL'!X368</f>
        <v>0</v>
      </c>
      <c r="R295" s="70">
        <f>'RESUMEN TOTAL'!Y368</f>
        <v>0</v>
      </c>
      <c r="S295" s="70">
        <f>'RESUMEN TOTAL'!Z368</f>
        <v>0</v>
      </c>
      <c r="T295" s="70">
        <f>'RESUMEN TOTAL'!AA368</f>
        <v>0</v>
      </c>
      <c r="U295" s="70">
        <f>'RESUMEN TOTAL'!AB368</f>
        <v>0</v>
      </c>
      <c r="V295" s="70">
        <f>'RESUMEN TOTAL'!AC368</f>
        <v>0</v>
      </c>
      <c r="W295" s="70">
        <f>'RESUMEN TOTAL'!AD368</f>
        <v>0</v>
      </c>
      <c r="X295" s="70">
        <f>'RESUMEN TOTAL'!AE368</f>
        <v>0</v>
      </c>
      <c r="Y295" s="70">
        <f>'RESUMEN TOTAL'!AF368</f>
        <v>0</v>
      </c>
      <c r="Z295" s="70">
        <f>'RESUMEN TOTAL'!AG368</f>
        <v>0</v>
      </c>
      <c r="AA295" s="70">
        <f>'RESUMEN TOTAL'!AH368</f>
        <v>0</v>
      </c>
      <c r="AB295" s="70">
        <f>'RESUMEN TOTAL'!AI368</f>
        <v>0</v>
      </c>
      <c r="AC295" s="70">
        <f>'RESUMEN TOTAL'!AJ368</f>
        <v>0</v>
      </c>
      <c r="AD295" s="70">
        <f>'RESUMEN TOTAL'!AK368</f>
        <v>0</v>
      </c>
      <c r="AE295" s="70">
        <f>'RESUMEN TOTAL'!AL368</f>
        <v>0</v>
      </c>
      <c r="AF295" s="70">
        <f>'RESUMEN TOTAL'!AM368</f>
        <v>0</v>
      </c>
      <c r="AG295" s="70">
        <f>'RESUMEN TOTAL'!AN368</f>
        <v>0</v>
      </c>
      <c r="AH295" s="70">
        <f>'RESUMEN TOTAL'!AO368</f>
        <v>0</v>
      </c>
      <c r="AI295" s="70">
        <f>'RESUMEN TOTAL'!AP368</f>
        <v>0</v>
      </c>
      <c r="AJ295" s="70">
        <f>'RESUMEN TOTAL'!AQ368</f>
        <v>0</v>
      </c>
    </row>
    <row r="296" spans="1:36" x14ac:dyDescent="0.25">
      <c r="A296" t="str">
        <f>'RESUMEN TOTAL'!A369</f>
        <v>SAN EMILIO</v>
      </c>
      <c r="B296" t="str">
        <f>'RESUMEN TOTAL'!B369</f>
        <v>SEMI 02</v>
      </c>
      <c r="C296" t="str">
        <f>'RESUMEN TOTAL'!D369</f>
        <v>Cno. Gral. Belgrano y Francia</v>
      </c>
      <c r="D296" s="30" t="str">
        <f>'RESUMEN TOTAL'!E369</f>
        <v>Domo</v>
      </c>
      <c r="E296" s="30" t="str">
        <f>'RESUMEN TOTAL'!F369</f>
        <v>Fibra Optica</v>
      </c>
      <c r="F296" s="70">
        <f>'RESUMEN TOTAL'!M369</f>
        <v>0</v>
      </c>
      <c r="G296" s="70">
        <f>'RESUMEN TOTAL'!N369</f>
        <v>0</v>
      </c>
      <c r="H296" s="70">
        <f>'RESUMEN TOTAL'!O369</f>
        <v>0</v>
      </c>
      <c r="I296" s="70">
        <f>'RESUMEN TOTAL'!P369</f>
        <v>0</v>
      </c>
      <c r="J296" s="70">
        <f>'RESUMEN TOTAL'!Q369</f>
        <v>0</v>
      </c>
      <c r="K296" s="70">
        <f>'RESUMEN TOTAL'!R369</f>
        <v>0</v>
      </c>
      <c r="L296" s="70">
        <f>'RESUMEN TOTAL'!S369</f>
        <v>0</v>
      </c>
      <c r="M296" s="70">
        <f>'RESUMEN TOTAL'!T369</f>
        <v>0</v>
      </c>
      <c r="N296" s="70">
        <f>'RESUMEN TOTAL'!U369</f>
        <v>0</v>
      </c>
      <c r="O296" s="70">
        <f>'RESUMEN TOTAL'!V369</f>
        <v>0</v>
      </c>
      <c r="P296" s="70">
        <f>'RESUMEN TOTAL'!W369</f>
        <v>0</v>
      </c>
      <c r="Q296" s="70">
        <f>'RESUMEN TOTAL'!X369</f>
        <v>0</v>
      </c>
      <c r="R296" s="70">
        <f>'RESUMEN TOTAL'!Y369</f>
        <v>0</v>
      </c>
      <c r="S296" s="70">
        <f>'RESUMEN TOTAL'!Z369</f>
        <v>0</v>
      </c>
      <c r="T296" s="70">
        <f>'RESUMEN TOTAL'!AA369</f>
        <v>0</v>
      </c>
      <c r="U296" s="70">
        <f>'RESUMEN TOTAL'!AB369</f>
        <v>0</v>
      </c>
      <c r="V296" s="70">
        <f>'RESUMEN TOTAL'!AC369</f>
        <v>0</v>
      </c>
      <c r="W296" s="70">
        <f>'RESUMEN TOTAL'!AD369</f>
        <v>0</v>
      </c>
      <c r="X296" s="70">
        <f>'RESUMEN TOTAL'!AE369</f>
        <v>0</v>
      </c>
      <c r="Y296" s="70">
        <f>'RESUMEN TOTAL'!AF369</f>
        <v>0</v>
      </c>
      <c r="Z296" s="70">
        <f>'RESUMEN TOTAL'!AG369</f>
        <v>0</v>
      </c>
      <c r="AA296" s="70">
        <f>'RESUMEN TOTAL'!AH369</f>
        <v>0</v>
      </c>
      <c r="AB296" s="70">
        <f>'RESUMEN TOTAL'!AI369</f>
        <v>0</v>
      </c>
      <c r="AC296" s="70">
        <f>'RESUMEN TOTAL'!AJ369</f>
        <v>0</v>
      </c>
      <c r="AD296" s="70">
        <f>'RESUMEN TOTAL'!AK369</f>
        <v>0</v>
      </c>
      <c r="AE296" s="70">
        <f>'RESUMEN TOTAL'!AL369</f>
        <v>0</v>
      </c>
      <c r="AF296" s="70">
        <f>'RESUMEN TOTAL'!AM369</f>
        <v>0</v>
      </c>
      <c r="AG296" s="70">
        <f>'RESUMEN TOTAL'!AN369</f>
        <v>0</v>
      </c>
      <c r="AH296" s="70">
        <f>'RESUMEN TOTAL'!AO369</f>
        <v>0</v>
      </c>
      <c r="AI296" s="70">
        <f>'RESUMEN TOTAL'!AP369</f>
        <v>0</v>
      </c>
      <c r="AJ296" s="70">
        <f>'RESUMEN TOTAL'!AQ369</f>
        <v>0</v>
      </c>
    </row>
    <row r="297" spans="1:36" x14ac:dyDescent="0.25">
      <c r="A297" t="str">
        <f>'RESUMEN TOTAL'!A370</f>
        <v>SAN EMILIO</v>
      </c>
      <c r="B297" t="str">
        <f>'RESUMEN TOTAL'!B370</f>
        <v>SEMI03 (fija 1)</v>
      </c>
      <c r="C297" t="str">
        <f>'RESUMEN TOTAL'!D370</f>
        <v>GORRITI E/ GALARZA Y LOPE DE VEGA</v>
      </c>
      <c r="D297" s="30" t="str">
        <f>'RESUMEN TOTAL'!E370</f>
        <v>Fija</v>
      </c>
      <c r="E297" s="30" t="str">
        <f>'RESUMEN TOTAL'!F370</f>
        <v>Fibra Optica</v>
      </c>
      <c r="F297" s="70">
        <f>'RESUMEN TOTAL'!M370</f>
        <v>0</v>
      </c>
      <c r="G297" s="70">
        <f>'RESUMEN TOTAL'!N370</f>
        <v>0</v>
      </c>
      <c r="H297" s="70" t="str">
        <f>'RESUMEN TOTAL'!O370</f>
        <v>APAGADO</v>
      </c>
      <c r="I297" s="70" t="str">
        <f>'RESUMEN TOTAL'!P370</f>
        <v>APAGADO</v>
      </c>
      <c r="J297" s="70" t="str">
        <f>'RESUMEN TOTAL'!Q370</f>
        <v>APAGADO</v>
      </c>
      <c r="K297" s="70">
        <f>'RESUMEN TOTAL'!R370</f>
        <v>0</v>
      </c>
      <c r="L297" s="70">
        <f>'RESUMEN TOTAL'!S370</f>
        <v>0</v>
      </c>
      <c r="M297" s="70">
        <f>'RESUMEN TOTAL'!T370</f>
        <v>0</v>
      </c>
      <c r="N297" s="70">
        <f>'RESUMEN TOTAL'!U370</f>
        <v>0</v>
      </c>
      <c r="O297" s="70">
        <f>'RESUMEN TOTAL'!V370</f>
        <v>0</v>
      </c>
      <c r="P297" s="70">
        <f>'RESUMEN TOTAL'!W370</f>
        <v>0</v>
      </c>
      <c r="Q297" s="70">
        <f>'RESUMEN TOTAL'!X370</f>
        <v>0</v>
      </c>
      <c r="R297" s="70">
        <f>'RESUMEN TOTAL'!Y370</f>
        <v>0</v>
      </c>
      <c r="S297" s="70">
        <f>'RESUMEN TOTAL'!Z370</f>
        <v>0</v>
      </c>
      <c r="T297" s="70">
        <f>'RESUMEN TOTAL'!AA370</f>
        <v>0</v>
      </c>
      <c r="U297" s="70">
        <f>'RESUMEN TOTAL'!AB370</f>
        <v>0</v>
      </c>
      <c r="V297" s="70">
        <f>'RESUMEN TOTAL'!AC370</f>
        <v>0</v>
      </c>
      <c r="W297" s="70">
        <f>'RESUMEN TOTAL'!AD370</f>
        <v>0</v>
      </c>
      <c r="X297" s="70">
        <f>'RESUMEN TOTAL'!AE370</f>
        <v>0</v>
      </c>
      <c r="Y297" s="70">
        <f>'RESUMEN TOTAL'!AF370</f>
        <v>0</v>
      </c>
      <c r="Z297" s="70">
        <f>'RESUMEN TOTAL'!AG370</f>
        <v>0</v>
      </c>
      <c r="AA297" s="70">
        <f>'RESUMEN TOTAL'!AH370</f>
        <v>0</v>
      </c>
      <c r="AB297" s="70">
        <f>'RESUMEN TOTAL'!AI370</f>
        <v>0</v>
      </c>
      <c r="AC297" s="70">
        <f>'RESUMEN TOTAL'!AJ370</f>
        <v>0</v>
      </c>
      <c r="AD297" s="70">
        <f>'RESUMEN TOTAL'!AK370</f>
        <v>0</v>
      </c>
      <c r="AE297" s="70">
        <f>'RESUMEN TOTAL'!AL370</f>
        <v>0</v>
      </c>
      <c r="AF297" s="70">
        <f>'RESUMEN TOTAL'!AM370</f>
        <v>0</v>
      </c>
      <c r="AG297" s="70">
        <f>'RESUMEN TOTAL'!AN370</f>
        <v>0</v>
      </c>
      <c r="AH297" s="70">
        <f>'RESUMEN TOTAL'!AO370</f>
        <v>0</v>
      </c>
      <c r="AI297" s="70">
        <f>'RESUMEN TOTAL'!AP370</f>
        <v>0</v>
      </c>
      <c r="AJ297" s="70">
        <f>'RESUMEN TOTAL'!AQ370</f>
        <v>0</v>
      </c>
    </row>
    <row r="298" spans="1:36" x14ac:dyDescent="0.25">
      <c r="A298" t="str">
        <f>'RESUMEN TOTAL'!A371</f>
        <v>SAN EMILIO</v>
      </c>
      <c r="B298" t="str">
        <f>'RESUMEN TOTAL'!B371</f>
        <v>SEMI04 (fija 2)</v>
      </c>
      <c r="C298" t="str">
        <f>'RESUMEN TOTAL'!D371</f>
        <v>GORRITI E/ GALARZA Y LOPE DE VEGA</v>
      </c>
      <c r="D298" s="30" t="str">
        <f>'RESUMEN TOTAL'!E371</f>
        <v>Fija</v>
      </c>
      <c r="E298" s="30" t="str">
        <f>'RESUMEN TOTAL'!F371</f>
        <v>Fibra Optica</v>
      </c>
      <c r="F298" s="70">
        <f>'RESUMEN TOTAL'!M371</f>
        <v>0</v>
      </c>
      <c r="G298" s="70">
        <f>'RESUMEN TOTAL'!N371</f>
        <v>0</v>
      </c>
      <c r="H298" s="70" t="str">
        <f>'RESUMEN TOTAL'!O371</f>
        <v>APAGADO</v>
      </c>
      <c r="I298" s="70" t="str">
        <f>'RESUMEN TOTAL'!P371</f>
        <v>APAGADO</v>
      </c>
      <c r="J298" s="70" t="str">
        <f>'RESUMEN TOTAL'!Q371</f>
        <v>APAGADO</v>
      </c>
      <c r="K298" s="70">
        <f>'RESUMEN TOTAL'!R371</f>
        <v>0</v>
      </c>
      <c r="L298" s="70">
        <f>'RESUMEN TOTAL'!S371</f>
        <v>0</v>
      </c>
      <c r="M298" s="70">
        <f>'RESUMEN TOTAL'!T371</f>
        <v>0</v>
      </c>
      <c r="N298" s="70">
        <f>'RESUMEN TOTAL'!U371</f>
        <v>0</v>
      </c>
      <c r="O298" s="70">
        <f>'RESUMEN TOTAL'!V371</f>
        <v>0</v>
      </c>
      <c r="P298" s="70">
        <f>'RESUMEN TOTAL'!W371</f>
        <v>0</v>
      </c>
      <c r="Q298" s="70">
        <f>'RESUMEN TOTAL'!X371</f>
        <v>0</v>
      </c>
      <c r="R298" s="70">
        <f>'RESUMEN TOTAL'!Y371</f>
        <v>0</v>
      </c>
      <c r="S298" s="70">
        <f>'RESUMEN TOTAL'!Z371</f>
        <v>0</v>
      </c>
      <c r="T298" s="70">
        <f>'RESUMEN TOTAL'!AA371</f>
        <v>0</v>
      </c>
      <c r="U298" s="70">
        <f>'RESUMEN TOTAL'!AB371</f>
        <v>0</v>
      </c>
      <c r="V298" s="70">
        <f>'RESUMEN TOTAL'!AC371</f>
        <v>0</v>
      </c>
      <c r="W298" s="70">
        <f>'RESUMEN TOTAL'!AD371</f>
        <v>0</v>
      </c>
      <c r="X298" s="70">
        <f>'RESUMEN TOTAL'!AE371</f>
        <v>0</v>
      </c>
      <c r="Y298" s="70">
        <f>'RESUMEN TOTAL'!AF371</f>
        <v>0</v>
      </c>
      <c r="Z298" s="70">
        <f>'RESUMEN TOTAL'!AG371</f>
        <v>0</v>
      </c>
      <c r="AA298" s="70">
        <f>'RESUMEN TOTAL'!AH371</f>
        <v>0</v>
      </c>
      <c r="AB298" s="70">
        <f>'RESUMEN TOTAL'!AI371</f>
        <v>0</v>
      </c>
      <c r="AC298" s="70">
        <f>'RESUMEN TOTAL'!AJ371</f>
        <v>0</v>
      </c>
      <c r="AD298" s="70">
        <f>'RESUMEN TOTAL'!AK371</f>
        <v>0</v>
      </c>
      <c r="AE298" s="70">
        <f>'RESUMEN TOTAL'!AL371</f>
        <v>0</v>
      </c>
      <c r="AF298" s="70">
        <f>'RESUMEN TOTAL'!AM371</f>
        <v>0</v>
      </c>
      <c r="AG298" s="70">
        <f>'RESUMEN TOTAL'!AN371</f>
        <v>0</v>
      </c>
      <c r="AH298" s="70">
        <f>'RESUMEN TOTAL'!AO371</f>
        <v>0</v>
      </c>
      <c r="AI298" s="70">
        <f>'RESUMEN TOTAL'!AP371</f>
        <v>0</v>
      </c>
      <c r="AJ298" s="70">
        <f>'RESUMEN TOTAL'!AQ371</f>
        <v>0</v>
      </c>
    </row>
    <row r="299" spans="1:36" x14ac:dyDescent="0.25">
      <c r="A299" t="str">
        <f>'RESUMEN TOTAL'!A372</f>
        <v>SAN EMILIO</v>
      </c>
      <c r="B299" t="str">
        <f>'RESUMEN TOTAL'!B372</f>
        <v xml:space="preserve">SEMI05 </v>
      </c>
      <c r="C299" t="str">
        <f>'RESUMEN TOTAL'!D372</f>
        <v xml:space="preserve">Av Del Trabajo y Carlos Gardel </v>
      </c>
      <c r="D299" s="30" t="str">
        <f>'RESUMEN TOTAL'!E372</f>
        <v>DOMO</v>
      </c>
      <c r="E299" s="30" t="str">
        <f>'RESUMEN TOTAL'!F372</f>
        <v>PTO A FO</v>
      </c>
      <c r="F299" s="70" t="str">
        <f>'RESUMEN TOTAL'!M372</f>
        <v>APAGADO</v>
      </c>
      <c r="G299" s="70">
        <f>'RESUMEN TOTAL'!N372</f>
        <v>0</v>
      </c>
      <c r="H299" s="70">
        <f>'RESUMEN TOTAL'!O372</f>
        <v>0</v>
      </c>
      <c r="I299" s="70">
        <f>'RESUMEN TOTAL'!P372</f>
        <v>0</v>
      </c>
      <c r="J299" s="70">
        <f>'RESUMEN TOTAL'!Q372</f>
        <v>0</v>
      </c>
      <c r="K299" s="70">
        <f>'RESUMEN TOTAL'!R372</f>
        <v>0</v>
      </c>
      <c r="L299" s="70">
        <f>'RESUMEN TOTAL'!S372</f>
        <v>0</v>
      </c>
      <c r="M299" s="70">
        <f>'RESUMEN TOTAL'!T372</f>
        <v>0</v>
      </c>
      <c r="N299" s="70">
        <f>'RESUMEN TOTAL'!U372</f>
        <v>0</v>
      </c>
      <c r="O299" s="70">
        <f>'RESUMEN TOTAL'!V372</f>
        <v>0</v>
      </c>
      <c r="P299" s="70">
        <f>'RESUMEN TOTAL'!W372</f>
        <v>0</v>
      </c>
      <c r="Q299" s="70">
        <f>'RESUMEN TOTAL'!X372</f>
        <v>0</v>
      </c>
      <c r="R299" s="70">
        <f>'RESUMEN TOTAL'!Y372</f>
        <v>0</v>
      </c>
      <c r="S299" s="70">
        <f>'RESUMEN TOTAL'!Z372</f>
        <v>0</v>
      </c>
      <c r="T299" s="70">
        <f>'RESUMEN TOTAL'!AA372</f>
        <v>0</v>
      </c>
      <c r="U299" s="70">
        <f>'RESUMEN TOTAL'!AB372</f>
        <v>0</v>
      </c>
      <c r="V299" s="70">
        <f>'RESUMEN TOTAL'!AC372</f>
        <v>0</v>
      </c>
      <c r="W299" s="70">
        <f>'RESUMEN TOTAL'!AD372</f>
        <v>0</v>
      </c>
      <c r="X299" s="70">
        <f>'RESUMEN TOTAL'!AE372</f>
        <v>0</v>
      </c>
      <c r="Y299" s="70">
        <f>'RESUMEN TOTAL'!AF372</f>
        <v>0</v>
      </c>
      <c r="Z299" s="70">
        <f>'RESUMEN TOTAL'!AG372</f>
        <v>0</v>
      </c>
      <c r="AA299" s="70">
        <f>'RESUMEN TOTAL'!AH372</f>
        <v>0</v>
      </c>
      <c r="AB299" s="70">
        <f>'RESUMEN TOTAL'!AI372</f>
        <v>0</v>
      </c>
      <c r="AC299" s="70">
        <f>'RESUMEN TOTAL'!AJ372</f>
        <v>0</v>
      </c>
      <c r="AD299" s="70">
        <f>'RESUMEN TOTAL'!AK372</f>
        <v>0</v>
      </c>
      <c r="AE299" s="70">
        <f>'RESUMEN TOTAL'!AL372</f>
        <v>0</v>
      </c>
      <c r="AF299" s="70">
        <f>'RESUMEN TOTAL'!AM372</f>
        <v>0</v>
      </c>
      <c r="AG299" s="70">
        <f>'RESUMEN TOTAL'!AN372</f>
        <v>0</v>
      </c>
      <c r="AH299" s="70">
        <f>'RESUMEN TOTAL'!AO372</f>
        <v>0</v>
      </c>
      <c r="AI299" s="70">
        <f>'RESUMEN TOTAL'!AP372</f>
        <v>0</v>
      </c>
      <c r="AJ299" s="70">
        <f>'RESUMEN TOTAL'!AQ372</f>
        <v>0</v>
      </c>
    </row>
    <row r="300" spans="1:36" x14ac:dyDescent="0.25">
      <c r="A300" t="str">
        <f>'RESUMEN TOTAL'!A373</f>
        <v>SAN EMILIO</v>
      </c>
      <c r="B300" t="str">
        <f>'RESUMEN TOTAL'!B373</f>
        <v>SMAT01</v>
      </c>
      <c r="C300" t="str">
        <f>'RESUMEN TOTAL'!D373</f>
        <v xml:space="preserve">AV BOSQUES Y CANTU </v>
      </c>
      <c r="D300" s="30" t="str">
        <f>'RESUMEN TOTAL'!E373</f>
        <v>DOMO</v>
      </c>
      <c r="E300" s="30" t="str">
        <f>'RESUMEN TOTAL'!F373</f>
        <v>GPON</v>
      </c>
      <c r="F300" s="70" t="str">
        <f>'RESUMEN TOTAL'!M373</f>
        <v>APAGADO</v>
      </c>
      <c r="G300" s="70">
        <f>'RESUMEN TOTAL'!N373</f>
        <v>0</v>
      </c>
      <c r="H300" s="70">
        <f>'RESUMEN TOTAL'!O373</f>
        <v>0</v>
      </c>
      <c r="I300" s="70">
        <f>'RESUMEN TOTAL'!P373</f>
        <v>0</v>
      </c>
      <c r="J300" s="70">
        <f>'RESUMEN TOTAL'!Q373</f>
        <v>0</v>
      </c>
      <c r="K300" s="70">
        <f>'RESUMEN TOTAL'!R373</f>
        <v>0</v>
      </c>
      <c r="L300" s="70">
        <f>'RESUMEN TOTAL'!S373</f>
        <v>0</v>
      </c>
      <c r="M300" s="70">
        <f>'RESUMEN TOTAL'!T373</f>
        <v>0</v>
      </c>
      <c r="N300" s="70">
        <f>'RESUMEN TOTAL'!U373</f>
        <v>0</v>
      </c>
      <c r="O300" s="70">
        <f>'RESUMEN TOTAL'!V373</f>
        <v>0</v>
      </c>
      <c r="P300" s="70">
        <f>'RESUMEN TOTAL'!W373</f>
        <v>0</v>
      </c>
      <c r="Q300" s="70">
        <f>'RESUMEN TOTAL'!X373</f>
        <v>0</v>
      </c>
      <c r="R300" s="70">
        <f>'RESUMEN TOTAL'!Y373</f>
        <v>0</v>
      </c>
      <c r="S300" s="70">
        <f>'RESUMEN TOTAL'!Z373</f>
        <v>0</v>
      </c>
      <c r="T300" s="70">
        <f>'RESUMEN TOTAL'!AA373</f>
        <v>0</v>
      </c>
      <c r="U300" s="70">
        <f>'RESUMEN TOTAL'!AB373</f>
        <v>0</v>
      </c>
      <c r="V300" s="70">
        <f>'RESUMEN TOTAL'!AC373</f>
        <v>0</v>
      </c>
      <c r="W300" s="70">
        <f>'RESUMEN TOTAL'!AD373</f>
        <v>0</v>
      </c>
      <c r="X300" s="70">
        <f>'RESUMEN TOTAL'!AE373</f>
        <v>0</v>
      </c>
      <c r="Y300" s="70">
        <f>'RESUMEN TOTAL'!AF373</f>
        <v>0</v>
      </c>
      <c r="Z300" s="70">
        <f>'RESUMEN TOTAL'!AG373</f>
        <v>0</v>
      </c>
      <c r="AA300" s="70">
        <f>'RESUMEN TOTAL'!AH373</f>
        <v>0</v>
      </c>
      <c r="AB300" s="70">
        <f>'RESUMEN TOTAL'!AI373</f>
        <v>0</v>
      </c>
      <c r="AC300" s="70">
        <f>'RESUMEN TOTAL'!AJ373</f>
        <v>0</v>
      </c>
      <c r="AD300" s="70">
        <f>'RESUMEN TOTAL'!AK373</f>
        <v>0</v>
      </c>
      <c r="AE300" s="70">
        <f>'RESUMEN TOTAL'!AL373</f>
        <v>0</v>
      </c>
      <c r="AF300" s="70">
        <f>'RESUMEN TOTAL'!AM373</f>
        <v>0</v>
      </c>
      <c r="AG300" s="70">
        <f>'RESUMEN TOTAL'!AN373</f>
        <v>0</v>
      </c>
      <c r="AH300" s="70">
        <f>'RESUMEN TOTAL'!AO373</f>
        <v>0</v>
      </c>
      <c r="AI300" s="70">
        <f>'RESUMEN TOTAL'!AP373</f>
        <v>0</v>
      </c>
      <c r="AJ300" s="70">
        <f>'RESUMEN TOTAL'!AQ373</f>
        <v>0</v>
      </c>
    </row>
    <row r="301" spans="1:36" x14ac:dyDescent="0.25">
      <c r="A301" t="str">
        <f>'RESUMEN TOTAL'!A374</f>
        <v>LA SIRENA</v>
      </c>
      <c r="B301" t="str">
        <f>'RESUMEN TOTAL'!B374</f>
        <v>SIR01</v>
      </c>
      <c r="C301" t="str">
        <f>'RESUMEN TOTAL'!D374</f>
        <v>Moran y Calle 14</v>
      </c>
      <c r="D301" s="30" t="str">
        <f>'RESUMEN TOTAL'!E374</f>
        <v>DOMO</v>
      </c>
      <c r="E301" s="30" t="str">
        <f>'RESUMEN TOTAL'!F374</f>
        <v>Radio</v>
      </c>
      <c r="F301" s="70">
        <f>'RESUMEN TOTAL'!M374</f>
        <v>0</v>
      </c>
      <c r="G301" s="70" t="str">
        <f>'RESUMEN TOTAL'!N374</f>
        <v>APAGADO</v>
      </c>
      <c r="H301" s="70" t="str">
        <f>'RESUMEN TOTAL'!O374</f>
        <v>APAGADO</v>
      </c>
      <c r="I301" s="70" t="str">
        <f>'RESUMEN TOTAL'!P374</f>
        <v>APAGADO</v>
      </c>
      <c r="J301" s="70" t="str">
        <f>'RESUMEN TOTAL'!Q374</f>
        <v>APAGADO</v>
      </c>
      <c r="K301" s="70" t="str">
        <f>'RESUMEN TOTAL'!R374</f>
        <v>APAGADO</v>
      </c>
      <c r="L301" s="70" t="str">
        <f>'RESUMEN TOTAL'!S374</f>
        <v>APAGADO</v>
      </c>
      <c r="M301" s="70" t="str">
        <f>'RESUMEN TOTAL'!T374</f>
        <v>APAGADO</v>
      </c>
      <c r="N301" s="70">
        <f>'RESUMEN TOTAL'!U374</f>
        <v>0</v>
      </c>
      <c r="O301" s="70">
        <f>'RESUMEN TOTAL'!V374</f>
        <v>0</v>
      </c>
      <c r="P301" s="70">
        <f>'RESUMEN TOTAL'!W374</f>
        <v>0</v>
      </c>
      <c r="Q301" s="70">
        <f>'RESUMEN TOTAL'!X374</f>
        <v>0</v>
      </c>
      <c r="R301" s="70">
        <f>'RESUMEN TOTAL'!Y374</f>
        <v>0</v>
      </c>
      <c r="S301" s="70">
        <f>'RESUMEN TOTAL'!Z374</f>
        <v>0</v>
      </c>
      <c r="T301" s="70">
        <f>'RESUMEN TOTAL'!AA374</f>
        <v>0</v>
      </c>
      <c r="U301" s="70">
        <f>'RESUMEN TOTAL'!AB374</f>
        <v>0</v>
      </c>
      <c r="V301" s="70">
        <f>'RESUMEN TOTAL'!AC374</f>
        <v>0</v>
      </c>
      <c r="W301" s="70">
        <f>'RESUMEN TOTAL'!AD374</f>
        <v>0</v>
      </c>
      <c r="X301" s="70">
        <f>'RESUMEN TOTAL'!AE374</f>
        <v>0</v>
      </c>
      <c r="Y301" s="70">
        <f>'RESUMEN TOTAL'!AF374</f>
        <v>0</v>
      </c>
      <c r="Z301" s="70">
        <f>'RESUMEN TOTAL'!AG374</f>
        <v>0</v>
      </c>
      <c r="AA301" s="70">
        <f>'RESUMEN TOTAL'!AH374</f>
        <v>0</v>
      </c>
      <c r="AB301" s="70">
        <f>'RESUMEN TOTAL'!AI374</f>
        <v>0</v>
      </c>
      <c r="AC301" s="70">
        <f>'RESUMEN TOTAL'!AJ374</f>
        <v>0</v>
      </c>
      <c r="AD301" s="70">
        <f>'RESUMEN TOTAL'!AK374</f>
        <v>0</v>
      </c>
      <c r="AE301" s="70">
        <f>'RESUMEN TOTAL'!AL374</f>
        <v>0</v>
      </c>
      <c r="AF301" s="70">
        <f>'RESUMEN TOTAL'!AM374</f>
        <v>0</v>
      </c>
      <c r="AG301" s="70">
        <f>'RESUMEN TOTAL'!AN374</f>
        <v>0</v>
      </c>
      <c r="AH301" s="70">
        <f>'RESUMEN TOTAL'!AO374</f>
        <v>0</v>
      </c>
      <c r="AI301" s="70">
        <f>'RESUMEN TOTAL'!AP374</f>
        <v>0</v>
      </c>
      <c r="AJ301" s="70">
        <f>'RESUMEN TOTAL'!AQ374</f>
        <v>0</v>
      </c>
    </row>
    <row r="302" spans="1:36" x14ac:dyDescent="0.25">
      <c r="A302" t="str">
        <f>'RESUMEN TOTAL'!A375</f>
        <v>SAN EDUARDO</v>
      </c>
      <c r="B302" t="str">
        <f>'RESUMEN TOTAL'!B375</f>
        <v>SIR 02</v>
      </c>
      <c r="C302" t="str">
        <f>'RESUMEN TOTAL'!D375</f>
        <v>Victorino de la Plaza y Argentina</v>
      </c>
      <c r="D302" s="30" t="str">
        <f>'RESUMEN TOTAL'!E375</f>
        <v>Domo</v>
      </c>
      <c r="E302" s="30" t="str">
        <f>'RESUMEN TOTAL'!F375</f>
        <v>GPON</v>
      </c>
      <c r="F302" s="70">
        <f>'RESUMEN TOTAL'!M375</f>
        <v>0</v>
      </c>
      <c r="G302" s="70">
        <f>'RESUMEN TOTAL'!N375</f>
        <v>0</v>
      </c>
      <c r="H302" s="70">
        <f>'RESUMEN TOTAL'!O375</f>
        <v>0</v>
      </c>
      <c r="I302" s="70">
        <f>'RESUMEN TOTAL'!P375</f>
        <v>0</v>
      </c>
      <c r="J302" s="70">
        <f>'RESUMEN TOTAL'!Q375</f>
        <v>0</v>
      </c>
      <c r="K302" s="70">
        <f>'RESUMEN TOTAL'!R375</f>
        <v>0</v>
      </c>
      <c r="L302" s="70">
        <f>'RESUMEN TOTAL'!S375</f>
        <v>0</v>
      </c>
      <c r="M302" s="70">
        <f>'RESUMEN TOTAL'!T375</f>
        <v>0</v>
      </c>
      <c r="N302" s="70">
        <f>'RESUMEN TOTAL'!U375</f>
        <v>0</v>
      </c>
      <c r="O302" s="70">
        <f>'RESUMEN TOTAL'!V375</f>
        <v>0</v>
      </c>
      <c r="P302" s="70">
        <f>'RESUMEN TOTAL'!W375</f>
        <v>0</v>
      </c>
      <c r="Q302" s="70">
        <f>'RESUMEN TOTAL'!X375</f>
        <v>0</v>
      </c>
      <c r="R302" s="70">
        <f>'RESUMEN TOTAL'!Y375</f>
        <v>0</v>
      </c>
      <c r="S302" s="70">
        <f>'RESUMEN TOTAL'!Z375</f>
        <v>0</v>
      </c>
      <c r="T302" s="70">
        <f>'RESUMEN TOTAL'!AA375</f>
        <v>0</v>
      </c>
      <c r="U302" s="70">
        <f>'RESUMEN TOTAL'!AB375</f>
        <v>0</v>
      </c>
      <c r="V302" s="70">
        <f>'RESUMEN TOTAL'!AC375</f>
        <v>0</v>
      </c>
      <c r="W302" s="70">
        <f>'RESUMEN TOTAL'!AD375</f>
        <v>0</v>
      </c>
      <c r="X302" s="70">
        <f>'RESUMEN TOTAL'!AE375</f>
        <v>0</v>
      </c>
      <c r="Y302" s="70">
        <f>'RESUMEN TOTAL'!AF375</f>
        <v>0</v>
      </c>
      <c r="Z302" s="70">
        <f>'RESUMEN TOTAL'!AG375</f>
        <v>0</v>
      </c>
      <c r="AA302" s="70">
        <f>'RESUMEN TOTAL'!AH375</f>
        <v>0</v>
      </c>
      <c r="AB302" s="70">
        <f>'RESUMEN TOTAL'!AI375</f>
        <v>0</v>
      </c>
      <c r="AC302" s="70">
        <f>'RESUMEN TOTAL'!AJ375</f>
        <v>0</v>
      </c>
      <c r="AD302" s="70">
        <f>'RESUMEN TOTAL'!AK375</f>
        <v>0</v>
      </c>
      <c r="AE302" s="70">
        <f>'RESUMEN TOTAL'!AL375</f>
        <v>0</v>
      </c>
      <c r="AF302" s="70">
        <f>'RESUMEN TOTAL'!AM375</f>
        <v>0</v>
      </c>
      <c r="AG302" s="70">
        <f>'RESUMEN TOTAL'!AN375</f>
        <v>0</v>
      </c>
      <c r="AH302" s="70">
        <f>'RESUMEN TOTAL'!AO375</f>
        <v>0</v>
      </c>
      <c r="AI302" s="70">
        <f>'RESUMEN TOTAL'!AP375</f>
        <v>0</v>
      </c>
      <c r="AJ302" s="70">
        <f>'RESUMEN TOTAL'!AQ375</f>
        <v>0</v>
      </c>
    </row>
    <row r="303" spans="1:36" x14ac:dyDescent="0.25">
      <c r="A303" t="str">
        <f>'RESUMEN TOTAL'!A376</f>
        <v>SAN EDUARDO</v>
      </c>
      <c r="B303" t="str">
        <f>'RESUMEN TOTAL'!B376</f>
        <v>SIR 03</v>
      </c>
      <c r="C303" t="str">
        <f>'RESUMEN TOTAL'!D376</f>
        <v>MONTES Y LONARDI</v>
      </c>
      <c r="D303" s="30" t="str">
        <f>'RESUMEN TOTAL'!E376</f>
        <v>DOMO</v>
      </c>
      <c r="E303" s="30" t="str">
        <f>'RESUMEN TOTAL'!F376</f>
        <v>Fibra Optica</v>
      </c>
      <c r="F303" s="70">
        <f>'RESUMEN TOTAL'!M376</f>
        <v>0</v>
      </c>
      <c r="G303" s="70">
        <f>'RESUMEN TOTAL'!N376</f>
        <v>0</v>
      </c>
      <c r="H303" s="70">
        <f>'RESUMEN TOTAL'!O376</f>
        <v>0</v>
      </c>
      <c r="I303" s="70">
        <f>'RESUMEN TOTAL'!P376</f>
        <v>0</v>
      </c>
      <c r="J303" s="70">
        <f>'RESUMEN TOTAL'!Q376</f>
        <v>0</v>
      </c>
      <c r="K303" s="70">
        <f>'RESUMEN TOTAL'!R376</f>
        <v>0</v>
      </c>
      <c r="L303" s="70">
        <f>'RESUMEN TOTAL'!S376</f>
        <v>0</v>
      </c>
      <c r="M303" s="70">
        <f>'RESUMEN TOTAL'!T376</f>
        <v>0</v>
      </c>
      <c r="N303" s="70">
        <f>'RESUMEN TOTAL'!U376</f>
        <v>0</v>
      </c>
      <c r="O303" s="70">
        <f>'RESUMEN TOTAL'!V376</f>
        <v>0</v>
      </c>
      <c r="P303" s="70">
        <f>'RESUMEN TOTAL'!W376</f>
        <v>0</v>
      </c>
      <c r="Q303" s="70">
        <f>'RESUMEN TOTAL'!X376</f>
        <v>0</v>
      </c>
      <c r="R303" s="70">
        <f>'RESUMEN TOTAL'!Y376</f>
        <v>0</v>
      </c>
      <c r="S303" s="70">
        <f>'RESUMEN TOTAL'!Z376</f>
        <v>0</v>
      </c>
      <c r="T303" s="70">
        <f>'RESUMEN TOTAL'!AA376</f>
        <v>0</v>
      </c>
      <c r="U303" s="70">
        <f>'RESUMEN TOTAL'!AB376</f>
        <v>0</v>
      </c>
      <c r="V303" s="70">
        <f>'RESUMEN TOTAL'!AC376</f>
        <v>0</v>
      </c>
      <c r="W303" s="70">
        <f>'RESUMEN TOTAL'!AD376</f>
        <v>0</v>
      </c>
      <c r="X303" s="70">
        <f>'RESUMEN TOTAL'!AE376</f>
        <v>0</v>
      </c>
      <c r="Y303" s="70">
        <f>'RESUMEN TOTAL'!AF376</f>
        <v>0</v>
      </c>
      <c r="Z303" s="70">
        <f>'RESUMEN TOTAL'!AG376</f>
        <v>0</v>
      </c>
      <c r="AA303" s="70">
        <f>'RESUMEN TOTAL'!AH376</f>
        <v>0</v>
      </c>
      <c r="AB303" s="70">
        <f>'RESUMEN TOTAL'!AI376</f>
        <v>0</v>
      </c>
      <c r="AC303" s="70">
        <f>'RESUMEN TOTAL'!AJ376</f>
        <v>0</v>
      </c>
      <c r="AD303" s="70">
        <f>'RESUMEN TOTAL'!AK376</f>
        <v>0</v>
      </c>
      <c r="AE303" s="70">
        <f>'RESUMEN TOTAL'!AL376</f>
        <v>0</v>
      </c>
      <c r="AF303" s="70">
        <f>'RESUMEN TOTAL'!AM376</f>
        <v>0</v>
      </c>
      <c r="AG303" s="70">
        <f>'RESUMEN TOTAL'!AN376</f>
        <v>0</v>
      </c>
      <c r="AH303" s="70">
        <f>'RESUMEN TOTAL'!AO376</f>
        <v>0</v>
      </c>
      <c r="AI303" s="70">
        <f>'RESUMEN TOTAL'!AP376</f>
        <v>0</v>
      </c>
      <c r="AJ303" s="70">
        <f>'RESUMEN TOTAL'!AQ376</f>
        <v>0</v>
      </c>
    </row>
    <row r="304" spans="1:36" x14ac:dyDescent="0.25">
      <c r="A304" t="str">
        <f>'RESUMEN TOTAL'!A377</f>
        <v>LA SIRENA</v>
      </c>
      <c r="B304" t="str">
        <f>'RESUMEN TOTAL'!B377</f>
        <v>SIR 04</v>
      </c>
      <c r="C304" t="str">
        <f>'RESUMEN TOTAL'!D377</f>
        <v>AV. MONTEVERDE Y MORAN</v>
      </c>
      <c r="D304" s="30" t="str">
        <f>'RESUMEN TOTAL'!E377</f>
        <v>Domo</v>
      </c>
      <c r="E304" s="30" t="str">
        <f>'RESUMEN TOTAL'!F377</f>
        <v>Fibra Optica</v>
      </c>
      <c r="F304" s="70">
        <f>'RESUMEN TOTAL'!M377</f>
        <v>0</v>
      </c>
      <c r="G304" s="70">
        <f>'RESUMEN TOTAL'!N377</f>
        <v>0</v>
      </c>
      <c r="H304" s="70" t="str">
        <f>'RESUMEN TOTAL'!O377</f>
        <v>APAGADO</v>
      </c>
      <c r="I304" s="70" t="str">
        <f>'RESUMEN TOTAL'!P377</f>
        <v>APAGADO</v>
      </c>
      <c r="J304" s="70" t="str">
        <f>'RESUMEN TOTAL'!Q377</f>
        <v>APAGADO</v>
      </c>
      <c r="K304" s="70">
        <f>'RESUMEN TOTAL'!R377</f>
        <v>0</v>
      </c>
      <c r="L304" s="70">
        <f>'RESUMEN TOTAL'!S377</f>
        <v>0</v>
      </c>
      <c r="M304" s="70">
        <f>'RESUMEN TOTAL'!T377</f>
        <v>0</v>
      </c>
      <c r="N304" s="70">
        <f>'RESUMEN TOTAL'!U377</f>
        <v>0</v>
      </c>
      <c r="O304" s="70">
        <f>'RESUMEN TOTAL'!V377</f>
        <v>0</v>
      </c>
      <c r="P304" s="70">
        <f>'RESUMEN TOTAL'!W377</f>
        <v>0</v>
      </c>
      <c r="Q304" s="70">
        <f>'RESUMEN TOTAL'!X377</f>
        <v>0</v>
      </c>
      <c r="R304" s="70">
        <f>'RESUMEN TOTAL'!Y377</f>
        <v>0</v>
      </c>
      <c r="S304" s="70">
        <f>'RESUMEN TOTAL'!Z377</f>
        <v>0</v>
      </c>
      <c r="T304" s="70">
        <f>'RESUMEN TOTAL'!AA377</f>
        <v>0</v>
      </c>
      <c r="U304" s="70">
        <f>'RESUMEN TOTAL'!AB377</f>
        <v>0</v>
      </c>
      <c r="V304" s="70">
        <f>'RESUMEN TOTAL'!AC377</f>
        <v>0</v>
      </c>
      <c r="W304" s="70">
        <f>'RESUMEN TOTAL'!AD377</f>
        <v>0</v>
      </c>
      <c r="X304" s="70">
        <f>'RESUMEN TOTAL'!AE377</f>
        <v>0</v>
      </c>
      <c r="Y304" s="70">
        <f>'RESUMEN TOTAL'!AF377</f>
        <v>0</v>
      </c>
      <c r="Z304" s="70">
        <f>'RESUMEN TOTAL'!AG377</f>
        <v>0</v>
      </c>
      <c r="AA304" s="70">
        <f>'RESUMEN TOTAL'!AH377</f>
        <v>0</v>
      </c>
      <c r="AB304" s="70">
        <f>'RESUMEN TOTAL'!AI377</f>
        <v>0</v>
      </c>
      <c r="AC304" s="70">
        <f>'RESUMEN TOTAL'!AJ377</f>
        <v>0</v>
      </c>
      <c r="AD304" s="70">
        <f>'RESUMEN TOTAL'!AK377</f>
        <v>0</v>
      </c>
      <c r="AE304" s="70">
        <f>'RESUMEN TOTAL'!AL377</f>
        <v>0</v>
      </c>
      <c r="AF304" s="70">
        <f>'RESUMEN TOTAL'!AM377</f>
        <v>0</v>
      </c>
      <c r="AG304" s="70">
        <f>'RESUMEN TOTAL'!AN377</f>
        <v>0</v>
      </c>
      <c r="AH304" s="70">
        <f>'RESUMEN TOTAL'!AO377</f>
        <v>0</v>
      </c>
      <c r="AI304" s="70">
        <f>'RESUMEN TOTAL'!AP377</f>
        <v>0</v>
      </c>
      <c r="AJ304" s="70">
        <f>'RESUMEN TOTAL'!AQ377</f>
        <v>0</v>
      </c>
    </row>
    <row r="305" spans="1:36" x14ac:dyDescent="0.25">
      <c r="A305" t="str">
        <f>'RESUMEN TOTAL'!A378</f>
        <v>LA SIRENA</v>
      </c>
      <c r="B305" t="str">
        <f>'RESUMEN TOTAL'!B378</f>
        <v>SIR 05 (FIJA 01)</v>
      </c>
      <c r="C305" t="str">
        <f>'RESUMEN TOTAL'!D378</f>
        <v>AV. MONTEVERDE Y MORAN</v>
      </c>
      <c r="D305" s="30" t="str">
        <f>'RESUMEN TOTAL'!E378</f>
        <v>Fija</v>
      </c>
      <c r="E305" s="30" t="str">
        <f>'RESUMEN TOTAL'!F378</f>
        <v>Fibra Optica</v>
      </c>
      <c r="F305" s="70">
        <f>'RESUMEN TOTAL'!M378</f>
        <v>0</v>
      </c>
      <c r="G305" s="70">
        <f>'RESUMEN TOTAL'!N378</f>
        <v>0</v>
      </c>
      <c r="H305" s="70" t="str">
        <f>'RESUMEN TOTAL'!O378</f>
        <v>APAGADO</v>
      </c>
      <c r="I305" s="70" t="str">
        <f>'RESUMEN TOTAL'!P378</f>
        <v>APAGADO</v>
      </c>
      <c r="J305" s="70" t="str">
        <f>'RESUMEN TOTAL'!Q378</f>
        <v>APAGADO</v>
      </c>
      <c r="K305" s="70">
        <f>'RESUMEN TOTAL'!R378</f>
        <v>0</v>
      </c>
      <c r="L305" s="70">
        <f>'RESUMEN TOTAL'!S378</f>
        <v>0</v>
      </c>
      <c r="M305" s="70">
        <f>'RESUMEN TOTAL'!T378</f>
        <v>0</v>
      </c>
      <c r="N305" s="70">
        <f>'RESUMEN TOTAL'!U378</f>
        <v>0</v>
      </c>
      <c r="O305" s="70">
        <f>'RESUMEN TOTAL'!V378</f>
        <v>0</v>
      </c>
      <c r="P305" s="70">
        <f>'RESUMEN TOTAL'!W378</f>
        <v>0</v>
      </c>
      <c r="Q305" s="70">
        <f>'RESUMEN TOTAL'!X378</f>
        <v>0</v>
      </c>
      <c r="R305" s="70">
        <f>'RESUMEN TOTAL'!Y378</f>
        <v>0</v>
      </c>
      <c r="S305" s="70">
        <f>'RESUMEN TOTAL'!Z378</f>
        <v>0</v>
      </c>
      <c r="T305" s="70">
        <f>'RESUMEN TOTAL'!AA378</f>
        <v>0</v>
      </c>
      <c r="U305" s="70">
        <f>'RESUMEN TOTAL'!AB378</f>
        <v>0</v>
      </c>
      <c r="V305" s="70">
        <f>'RESUMEN TOTAL'!AC378</f>
        <v>0</v>
      </c>
      <c r="W305" s="70">
        <f>'RESUMEN TOTAL'!AD378</f>
        <v>0</v>
      </c>
      <c r="X305" s="70">
        <f>'RESUMEN TOTAL'!AE378</f>
        <v>0</v>
      </c>
      <c r="Y305" s="70">
        <f>'RESUMEN TOTAL'!AF378</f>
        <v>0</v>
      </c>
      <c r="Z305" s="70">
        <f>'RESUMEN TOTAL'!AG378</f>
        <v>0</v>
      </c>
      <c r="AA305" s="70">
        <f>'RESUMEN TOTAL'!AH378</f>
        <v>0</v>
      </c>
      <c r="AB305" s="70">
        <f>'RESUMEN TOTAL'!AI378</f>
        <v>0</v>
      </c>
      <c r="AC305" s="70">
        <f>'RESUMEN TOTAL'!AJ378</f>
        <v>0</v>
      </c>
      <c r="AD305" s="70">
        <f>'RESUMEN TOTAL'!AK378</f>
        <v>0</v>
      </c>
      <c r="AE305" s="70">
        <f>'RESUMEN TOTAL'!AL378</f>
        <v>0</v>
      </c>
      <c r="AF305" s="70">
        <f>'RESUMEN TOTAL'!AM378</f>
        <v>0</v>
      </c>
      <c r="AG305" s="70">
        <f>'RESUMEN TOTAL'!AN378</f>
        <v>0</v>
      </c>
      <c r="AH305" s="70">
        <f>'RESUMEN TOTAL'!AO378</f>
        <v>0</v>
      </c>
      <c r="AI305" s="70">
        <f>'RESUMEN TOTAL'!AP378</f>
        <v>0</v>
      </c>
      <c r="AJ305" s="70">
        <f>'RESUMEN TOTAL'!AQ378</f>
        <v>0</v>
      </c>
    </row>
    <row r="306" spans="1:36" x14ac:dyDescent="0.25">
      <c r="A306" t="str">
        <f>'RESUMEN TOTAL'!A379</f>
        <v>LA SIRENA</v>
      </c>
      <c r="B306" t="str">
        <f>'RESUMEN TOTAL'!B379</f>
        <v>SIR 06 (FIJA 02)</v>
      </c>
      <c r="C306" t="str">
        <f>'RESUMEN TOTAL'!D379</f>
        <v>AV. MONTEVERDE Y MORAN</v>
      </c>
      <c r="D306" s="30" t="str">
        <f>'RESUMEN TOTAL'!E379</f>
        <v>Fija</v>
      </c>
      <c r="E306" s="30" t="str">
        <f>'RESUMEN TOTAL'!F379</f>
        <v>Fibra Optica</v>
      </c>
      <c r="F306" s="70">
        <f>'RESUMEN TOTAL'!M379</f>
        <v>0</v>
      </c>
      <c r="G306" s="70">
        <f>'RESUMEN TOTAL'!N379</f>
        <v>0</v>
      </c>
      <c r="H306" s="70" t="str">
        <f>'RESUMEN TOTAL'!O379</f>
        <v>APAGADO</v>
      </c>
      <c r="I306" s="70" t="str">
        <f>'RESUMEN TOTAL'!P379</f>
        <v>APAGADO</v>
      </c>
      <c r="J306" s="70" t="str">
        <f>'RESUMEN TOTAL'!Q379</f>
        <v>APAGADO</v>
      </c>
      <c r="K306" s="70">
        <f>'RESUMEN TOTAL'!R379</f>
        <v>0</v>
      </c>
      <c r="L306" s="70">
        <f>'RESUMEN TOTAL'!S379</f>
        <v>0</v>
      </c>
      <c r="M306" s="70">
        <f>'RESUMEN TOTAL'!T379</f>
        <v>0</v>
      </c>
      <c r="N306" s="70">
        <f>'RESUMEN TOTAL'!U379</f>
        <v>0</v>
      </c>
      <c r="O306" s="70">
        <f>'RESUMEN TOTAL'!V379</f>
        <v>0</v>
      </c>
      <c r="P306" s="70">
        <f>'RESUMEN TOTAL'!W379</f>
        <v>0</v>
      </c>
      <c r="Q306" s="70">
        <f>'RESUMEN TOTAL'!X379</f>
        <v>0</v>
      </c>
      <c r="R306" s="70">
        <f>'RESUMEN TOTAL'!Y379</f>
        <v>0</v>
      </c>
      <c r="S306" s="70">
        <f>'RESUMEN TOTAL'!Z379</f>
        <v>0</v>
      </c>
      <c r="T306" s="70">
        <f>'RESUMEN TOTAL'!AA379</f>
        <v>0</v>
      </c>
      <c r="U306" s="70">
        <f>'RESUMEN TOTAL'!AB379</f>
        <v>0</v>
      </c>
      <c r="V306" s="70">
        <f>'RESUMEN TOTAL'!AC379</f>
        <v>0</v>
      </c>
      <c r="W306" s="70">
        <f>'RESUMEN TOTAL'!AD379</f>
        <v>0</v>
      </c>
      <c r="X306" s="70">
        <f>'RESUMEN TOTAL'!AE379</f>
        <v>0</v>
      </c>
      <c r="Y306" s="70">
        <f>'RESUMEN TOTAL'!AF379</f>
        <v>0</v>
      </c>
      <c r="Z306" s="70">
        <f>'RESUMEN TOTAL'!AG379</f>
        <v>0</v>
      </c>
      <c r="AA306" s="70">
        <f>'RESUMEN TOTAL'!AH379</f>
        <v>0</v>
      </c>
      <c r="AB306" s="70">
        <f>'RESUMEN TOTAL'!AI379</f>
        <v>0</v>
      </c>
      <c r="AC306" s="70">
        <f>'RESUMEN TOTAL'!AJ379</f>
        <v>0</v>
      </c>
      <c r="AD306" s="70">
        <f>'RESUMEN TOTAL'!AK379</f>
        <v>0</v>
      </c>
      <c r="AE306" s="70">
        <f>'RESUMEN TOTAL'!AL379</f>
        <v>0</v>
      </c>
      <c r="AF306" s="70">
        <f>'RESUMEN TOTAL'!AM379</f>
        <v>0</v>
      </c>
      <c r="AG306" s="70">
        <f>'RESUMEN TOTAL'!AN379</f>
        <v>0</v>
      </c>
      <c r="AH306" s="70">
        <f>'RESUMEN TOTAL'!AO379</f>
        <v>0</v>
      </c>
      <c r="AI306" s="70">
        <f>'RESUMEN TOTAL'!AP379</f>
        <v>0</v>
      </c>
      <c r="AJ306" s="70">
        <f>'RESUMEN TOTAL'!AQ379</f>
        <v>0</v>
      </c>
    </row>
    <row r="307" spans="1:36" x14ac:dyDescent="0.25">
      <c r="A307" t="str">
        <f>'RESUMEN TOTAL'!A380</f>
        <v>VILLA AURORA</v>
      </c>
      <c r="B307" t="str">
        <f>'RESUMEN TOTAL'!B380</f>
        <v>SIR07 (fija 1)</v>
      </c>
      <c r="C307" t="str">
        <f>'RESUMEN TOTAL'!D380</f>
        <v>MONTEVERDE Y URIBURU</v>
      </c>
      <c r="D307" s="30" t="str">
        <f>'RESUMEN TOTAL'!E380</f>
        <v>Fija</v>
      </c>
      <c r="E307" s="30" t="str">
        <f>'RESUMEN TOTAL'!F380</f>
        <v>Fibra Optica</v>
      </c>
      <c r="F307" s="70">
        <f>'RESUMEN TOTAL'!M380</f>
        <v>0</v>
      </c>
      <c r="G307" s="70">
        <f>'RESUMEN TOTAL'!N380</f>
        <v>0</v>
      </c>
      <c r="H307" s="70" t="str">
        <f>'RESUMEN TOTAL'!O380</f>
        <v>APAGADO</v>
      </c>
      <c r="I307" s="70" t="str">
        <f>'RESUMEN TOTAL'!P380</f>
        <v>APAGADO</v>
      </c>
      <c r="J307" s="70" t="str">
        <f>'RESUMEN TOTAL'!Q380</f>
        <v>APAGADO</v>
      </c>
      <c r="K307" s="70">
        <f>'RESUMEN TOTAL'!R380</f>
        <v>0</v>
      </c>
      <c r="L307" s="70">
        <f>'RESUMEN TOTAL'!S380</f>
        <v>0</v>
      </c>
      <c r="M307" s="70">
        <f>'RESUMEN TOTAL'!T380</f>
        <v>0</v>
      </c>
      <c r="N307" s="70">
        <f>'RESUMEN TOTAL'!U380</f>
        <v>0</v>
      </c>
      <c r="O307" s="70">
        <f>'RESUMEN TOTAL'!V380</f>
        <v>0</v>
      </c>
      <c r="P307" s="70">
        <f>'RESUMEN TOTAL'!W380</f>
        <v>0</v>
      </c>
      <c r="Q307" s="70">
        <f>'RESUMEN TOTAL'!X380</f>
        <v>0</v>
      </c>
      <c r="R307" s="70">
        <f>'RESUMEN TOTAL'!Y380</f>
        <v>0</v>
      </c>
      <c r="S307" s="70">
        <f>'RESUMEN TOTAL'!Z380</f>
        <v>0</v>
      </c>
      <c r="T307" s="70">
        <f>'RESUMEN TOTAL'!AA380</f>
        <v>0</v>
      </c>
      <c r="U307" s="70">
        <f>'RESUMEN TOTAL'!AB380</f>
        <v>0</v>
      </c>
      <c r="V307" s="70">
        <f>'RESUMEN TOTAL'!AC380</f>
        <v>0</v>
      </c>
      <c r="W307" s="70">
        <f>'RESUMEN TOTAL'!AD380</f>
        <v>0</v>
      </c>
      <c r="X307" s="70">
        <f>'RESUMEN TOTAL'!AE380</f>
        <v>0</v>
      </c>
      <c r="Y307" s="70">
        <f>'RESUMEN TOTAL'!AF380</f>
        <v>0</v>
      </c>
      <c r="Z307" s="70">
        <f>'RESUMEN TOTAL'!AG380</f>
        <v>0</v>
      </c>
      <c r="AA307" s="70">
        <f>'RESUMEN TOTAL'!AH380</f>
        <v>0</v>
      </c>
      <c r="AB307" s="70">
        <f>'RESUMEN TOTAL'!AI380</f>
        <v>0</v>
      </c>
      <c r="AC307" s="70">
        <f>'RESUMEN TOTAL'!AJ380</f>
        <v>0</v>
      </c>
      <c r="AD307" s="70">
        <f>'RESUMEN TOTAL'!AK380</f>
        <v>0</v>
      </c>
      <c r="AE307" s="70">
        <f>'RESUMEN TOTAL'!AL380</f>
        <v>0</v>
      </c>
      <c r="AF307" s="70">
        <f>'RESUMEN TOTAL'!AM380</f>
        <v>0</v>
      </c>
      <c r="AG307" s="70">
        <f>'RESUMEN TOTAL'!AN380</f>
        <v>0</v>
      </c>
      <c r="AH307" s="70">
        <f>'RESUMEN TOTAL'!AO380</f>
        <v>0</v>
      </c>
      <c r="AI307" s="70">
        <f>'RESUMEN TOTAL'!AP380</f>
        <v>0</v>
      </c>
      <c r="AJ307" s="70">
        <f>'RESUMEN TOTAL'!AQ380</f>
        <v>0</v>
      </c>
    </row>
    <row r="308" spans="1:36" x14ac:dyDescent="0.25">
      <c r="A308" t="str">
        <f>'RESUMEN TOTAL'!A381</f>
        <v>VILLA AURORA</v>
      </c>
      <c r="B308" t="str">
        <f>'RESUMEN TOTAL'!B381</f>
        <v>SIR08 (fija 2)</v>
      </c>
      <c r="C308" t="str">
        <f>'RESUMEN TOTAL'!D381</f>
        <v>MONTEVERDE Y URIBURU</v>
      </c>
      <c r="D308" s="30" t="str">
        <f>'RESUMEN TOTAL'!E381</f>
        <v>Fija</v>
      </c>
      <c r="E308" s="30" t="str">
        <f>'RESUMEN TOTAL'!F381</f>
        <v>Fibra Optica</v>
      </c>
      <c r="F308" s="70">
        <f>'RESUMEN TOTAL'!M381</f>
        <v>0</v>
      </c>
      <c r="G308" s="70">
        <f>'RESUMEN TOTAL'!N381</f>
        <v>0</v>
      </c>
      <c r="H308" s="70" t="str">
        <f>'RESUMEN TOTAL'!O381</f>
        <v>APAGADO</v>
      </c>
      <c r="I308" s="70" t="str">
        <f>'RESUMEN TOTAL'!P381</f>
        <v>APAGADO</v>
      </c>
      <c r="J308" s="70" t="str">
        <f>'RESUMEN TOTAL'!Q381</f>
        <v>APAGADO</v>
      </c>
      <c r="K308" s="70">
        <f>'RESUMEN TOTAL'!R381</f>
        <v>0</v>
      </c>
      <c r="L308" s="70">
        <f>'RESUMEN TOTAL'!S381</f>
        <v>0</v>
      </c>
      <c r="M308" s="70">
        <f>'RESUMEN TOTAL'!T381</f>
        <v>0</v>
      </c>
      <c r="N308" s="70">
        <f>'RESUMEN TOTAL'!U381</f>
        <v>0</v>
      </c>
      <c r="O308" s="70">
        <f>'RESUMEN TOTAL'!V381</f>
        <v>0</v>
      </c>
      <c r="P308" s="70">
        <f>'RESUMEN TOTAL'!W381</f>
        <v>0</v>
      </c>
      <c r="Q308" s="70">
        <f>'RESUMEN TOTAL'!X381</f>
        <v>0</v>
      </c>
      <c r="R308" s="70">
        <f>'RESUMEN TOTAL'!Y381</f>
        <v>0</v>
      </c>
      <c r="S308" s="70">
        <f>'RESUMEN TOTAL'!Z381</f>
        <v>0</v>
      </c>
      <c r="T308" s="70">
        <f>'RESUMEN TOTAL'!AA381</f>
        <v>0</v>
      </c>
      <c r="U308" s="70">
        <f>'RESUMEN TOTAL'!AB381</f>
        <v>0</v>
      </c>
      <c r="V308" s="70">
        <f>'RESUMEN TOTAL'!AC381</f>
        <v>0</v>
      </c>
      <c r="W308" s="70">
        <f>'RESUMEN TOTAL'!AD381</f>
        <v>0</v>
      </c>
      <c r="X308" s="70">
        <f>'RESUMEN TOTAL'!AE381</f>
        <v>0</v>
      </c>
      <c r="Y308" s="70">
        <f>'RESUMEN TOTAL'!AF381</f>
        <v>0</v>
      </c>
      <c r="Z308" s="70">
        <f>'RESUMEN TOTAL'!AG381</f>
        <v>0</v>
      </c>
      <c r="AA308" s="70">
        <f>'RESUMEN TOTAL'!AH381</f>
        <v>0</v>
      </c>
      <c r="AB308" s="70">
        <f>'RESUMEN TOTAL'!AI381</f>
        <v>0</v>
      </c>
      <c r="AC308" s="70">
        <f>'RESUMEN TOTAL'!AJ381</f>
        <v>0</v>
      </c>
      <c r="AD308" s="70">
        <f>'RESUMEN TOTAL'!AK381</f>
        <v>0</v>
      </c>
      <c r="AE308" s="70">
        <f>'RESUMEN TOTAL'!AL381</f>
        <v>0</v>
      </c>
      <c r="AF308" s="70">
        <f>'RESUMEN TOTAL'!AM381</f>
        <v>0</v>
      </c>
      <c r="AG308" s="70">
        <f>'RESUMEN TOTAL'!AN381</f>
        <v>0</v>
      </c>
      <c r="AH308" s="70">
        <f>'RESUMEN TOTAL'!AO381</f>
        <v>0</v>
      </c>
      <c r="AI308" s="70">
        <f>'RESUMEN TOTAL'!AP381</f>
        <v>0</v>
      </c>
      <c r="AJ308" s="70">
        <f>'RESUMEN TOTAL'!AQ381</f>
        <v>0</v>
      </c>
    </row>
    <row r="309" spans="1:36" x14ac:dyDescent="0.25">
      <c r="A309" t="str">
        <f>'RESUMEN TOTAL'!A382</f>
        <v>LA SIRENA</v>
      </c>
      <c r="B309" t="str">
        <f>'RESUMEN TOTAL'!B382</f>
        <v>SIR09 (fija 1)</v>
      </c>
      <c r="C309" t="str">
        <f>'RESUMEN TOTAL'!D382</f>
        <v>GUIDO SPANO Y MORAN</v>
      </c>
      <c r="D309" s="30" t="str">
        <f>'RESUMEN TOTAL'!E382</f>
        <v>Fija</v>
      </c>
      <c r="E309" s="30" t="str">
        <f>'RESUMEN TOTAL'!F382</f>
        <v>Fibra Optica</v>
      </c>
      <c r="F309" s="70">
        <f>'RESUMEN TOTAL'!M382</f>
        <v>0</v>
      </c>
      <c r="G309" s="70">
        <f>'RESUMEN TOTAL'!N382</f>
        <v>0</v>
      </c>
      <c r="H309" s="70" t="str">
        <f>'RESUMEN TOTAL'!O382</f>
        <v>APAGADO</v>
      </c>
      <c r="I309" s="70" t="str">
        <f>'RESUMEN TOTAL'!P382</f>
        <v>APAGADO</v>
      </c>
      <c r="J309" s="70" t="str">
        <f>'RESUMEN TOTAL'!Q382</f>
        <v>APAGADO</v>
      </c>
      <c r="K309" s="70">
        <f>'RESUMEN TOTAL'!R382</f>
        <v>0</v>
      </c>
      <c r="L309" s="70">
        <f>'RESUMEN TOTAL'!S382</f>
        <v>0</v>
      </c>
      <c r="M309" s="70" t="str">
        <f>'RESUMEN TOTAL'!T382</f>
        <v>APAGADO</v>
      </c>
      <c r="N309" s="70">
        <f>'RESUMEN TOTAL'!U382</f>
        <v>0</v>
      </c>
      <c r="O309" s="70">
        <f>'RESUMEN TOTAL'!V382</f>
        <v>0</v>
      </c>
      <c r="P309" s="70">
        <f>'RESUMEN TOTAL'!W382</f>
        <v>0</v>
      </c>
      <c r="Q309" s="70">
        <f>'RESUMEN TOTAL'!X382</f>
        <v>0</v>
      </c>
      <c r="R309" s="70">
        <f>'RESUMEN TOTAL'!Y382</f>
        <v>0</v>
      </c>
      <c r="S309" s="70">
        <f>'RESUMEN TOTAL'!Z382</f>
        <v>0</v>
      </c>
      <c r="T309" s="70">
        <f>'RESUMEN TOTAL'!AA382</f>
        <v>0</v>
      </c>
      <c r="U309" s="70">
        <f>'RESUMEN TOTAL'!AB382</f>
        <v>0</v>
      </c>
      <c r="V309" s="70">
        <f>'RESUMEN TOTAL'!AC382</f>
        <v>0</v>
      </c>
      <c r="W309" s="70">
        <f>'RESUMEN TOTAL'!AD382</f>
        <v>0</v>
      </c>
      <c r="X309" s="70">
        <f>'RESUMEN TOTAL'!AE382</f>
        <v>0</v>
      </c>
      <c r="Y309" s="70">
        <f>'RESUMEN TOTAL'!AF382</f>
        <v>0</v>
      </c>
      <c r="Z309" s="70">
        <f>'RESUMEN TOTAL'!AG382</f>
        <v>0</v>
      </c>
      <c r="AA309" s="70">
        <f>'RESUMEN TOTAL'!AH382</f>
        <v>0</v>
      </c>
      <c r="AB309" s="70">
        <f>'RESUMEN TOTAL'!AI382</f>
        <v>0</v>
      </c>
      <c r="AC309" s="70">
        <f>'RESUMEN TOTAL'!AJ382</f>
        <v>0</v>
      </c>
      <c r="AD309" s="70">
        <f>'RESUMEN TOTAL'!AK382</f>
        <v>0</v>
      </c>
      <c r="AE309" s="70">
        <f>'RESUMEN TOTAL'!AL382</f>
        <v>0</v>
      </c>
      <c r="AF309" s="70">
        <f>'RESUMEN TOTAL'!AM382</f>
        <v>0</v>
      </c>
      <c r="AG309" s="70">
        <f>'RESUMEN TOTAL'!AN382</f>
        <v>0</v>
      </c>
      <c r="AH309" s="70">
        <f>'RESUMEN TOTAL'!AO382</f>
        <v>0</v>
      </c>
      <c r="AI309" s="70">
        <f>'RESUMEN TOTAL'!AP382</f>
        <v>0</v>
      </c>
      <c r="AJ309" s="70">
        <f>'RESUMEN TOTAL'!AQ382</f>
        <v>0</v>
      </c>
    </row>
    <row r="310" spans="1:36" x14ac:dyDescent="0.25">
      <c r="A310" t="str">
        <f>'RESUMEN TOTAL'!A383</f>
        <v>LA SIRENA</v>
      </c>
      <c r="B310" t="str">
        <f>'RESUMEN TOTAL'!B383</f>
        <v>SIR10 (fija 2)</v>
      </c>
      <c r="C310" t="str">
        <f>'RESUMEN TOTAL'!D383</f>
        <v>GUIDO SPANO Y MORAN</v>
      </c>
      <c r="D310" s="30" t="str">
        <f>'RESUMEN TOTAL'!E383</f>
        <v>Fija</v>
      </c>
      <c r="E310" s="30" t="str">
        <f>'RESUMEN TOTAL'!F383</f>
        <v>Fibra Optica</v>
      </c>
      <c r="F310" s="70">
        <f>'RESUMEN TOTAL'!M383</f>
        <v>0</v>
      </c>
      <c r="G310" s="70">
        <f>'RESUMEN TOTAL'!N383</f>
        <v>0</v>
      </c>
      <c r="H310" s="70" t="str">
        <f>'RESUMEN TOTAL'!O383</f>
        <v>APAGADO</v>
      </c>
      <c r="I310" s="70" t="str">
        <f>'RESUMEN TOTAL'!P383</f>
        <v>APAGADO</v>
      </c>
      <c r="J310" s="70" t="str">
        <f>'RESUMEN TOTAL'!Q383</f>
        <v>APAGADO</v>
      </c>
      <c r="K310" s="70">
        <f>'RESUMEN TOTAL'!R383</f>
        <v>0</v>
      </c>
      <c r="L310" s="70">
        <f>'RESUMEN TOTAL'!S383</f>
        <v>0</v>
      </c>
      <c r="M310" s="70" t="str">
        <f>'RESUMEN TOTAL'!T383</f>
        <v>APAGADO</v>
      </c>
      <c r="N310" s="70">
        <f>'RESUMEN TOTAL'!U383</f>
        <v>0</v>
      </c>
      <c r="O310" s="70">
        <f>'RESUMEN TOTAL'!V383</f>
        <v>0</v>
      </c>
      <c r="P310" s="70">
        <f>'RESUMEN TOTAL'!W383</f>
        <v>0</v>
      </c>
      <c r="Q310" s="70">
        <f>'RESUMEN TOTAL'!X383</f>
        <v>0</v>
      </c>
      <c r="R310" s="70">
        <f>'RESUMEN TOTAL'!Y383</f>
        <v>0</v>
      </c>
      <c r="S310" s="70">
        <f>'RESUMEN TOTAL'!Z383</f>
        <v>0</v>
      </c>
      <c r="T310" s="70">
        <f>'RESUMEN TOTAL'!AA383</f>
        <v>0</v>
      </c>
      <c r="U310" s="70">
        <f>'RESUMEN TOTAL'!AB383</f>
        <v>0</v>
      </c>
      <c r="V310" s="70">
        <f>'RESUMEN TOTAL'!AC383</f>
        <v>0</v>
      </c>
      <c r="W310" s="70">
        <f>'RESUMEN TOTAL'!AD383</f>
        <v>0</v>
      </c>
      <c r="X310" s="70">
        <f>'RESUMEN TOTAL'!AE383</f>
        <v>0</v>
      </c>
      <c r="Y310" s="70">
        <f>'RESUMEN TOTAL'!AF383</f>
        <v>0</v>
      </c>
      <c r="Z310" s="70">
        <f>'RESUMEN TOTAL'!AG383</f>
        <v>0</v>
      </c>
      <c r="AA310" s="70">
        <f>'RESUMEN TOTAL'!AH383</f>
        <v>0</v>
      </c>
      <c r="AB310" s="70">
        <f>'RESUMEN TOTAL'!AI383</f>
        <v>0</v>
      </c>
      <c r="AC310" s="70">
        <f>'RESUMEN TOTAL'!AJ383</f>
        <v>0</v>
      </c>
      <c r="AD310" s="70">
        <f>'RESUMEN TOTAL'!AK383</f>
        <v>0</v>
      </c>
      <c r="AE310" s="70">
        <f>'RESUMEN TOTAL'!AL383</f>
        <v>0</v>
      </c>
      <c r="AF310" s="70">
        <f>'RESUMEN TOTAL'!AM383</f>
        <v>0</v>
      </c>
      <c r="AG310" s="70">
        <f>'RESUMEN TOTAL'!AN383</f>
        <v>0</v>
      </c>
      <c r="AH310" s="70">
        <f>'RESUMEN TOTAL'!AO383</f>
        <v>0</v>
      </c>
      <c r="AI310" s="70">
        <f>'RESUMEN TOTAL'!AP383</f>
        <v>0</v>
      </c>
      <c r="AJ310" s="70">
        <f>'RESUMEN TOTAL'!AQ383</f>
        <v>0</v>
      </c>
    </row>
    <row r="311" spans="1:36" x14ac:dyDescent="0.25">
      <c r="A311" t="str">
        <f>'RESUMEN TOTAL'!A384</f>
        <v>LA SIRENA</v>
      </c>
      <c r="B311" t="str">
        <f>'RESUMEN TOTAL'!B384</f>
        <v>SIR11 (fija 1)</v>
      </c>
      <c r="C311" t="str">
        <f>'RESUMEN TOTAL'!D384</f>
        <v>LARREA Y GUARDIA NACIONAL</v>
      </c>
      <c r="D311" s="30" t="str">
        <f>'RESUMEN TOTAL'!E384</f>
        <v>Fija</v>
      </c>
      <c r="E311" s="30" t="str">
        <f>'RESUMEN TOTAL'!F384</f>
        <v>Fibra Optica</v>
      </c>
      <c r="F311" s="70">
        <f>'RESUMEN TOTAL'!M384</f>
        <v>0</v>
      </c>
      <c r="G311" s="70">
        <f>'RESUMEN TOTAL'!N384</f>
        <v>0</v>
      </c>
      <c r="H311" s="70" t="str">
        <f>'RESUMEN TOTAL'!O384</f>
        <v>APAGADO</v>
      </c>
      <c r="I311" s="70" t="str">
        <f>'RESUMEN TOTAL'!P384</f>
        <v>APAGADO</v>
      </c>
      <c r="J311" s="70" t="str">
        <f>'RESUMEN TOTAL'!Q384</f>
        <v>APAGADO</v>
      </c>
      <c r="K311" s="70">
        <f>'RESUMEN TOTAL'!R384</f>
        <v>0</v>
      </c>
      <c r="L311" s="70">
        <f>'RESUMEN TOTAL'!S384</f>
        <v>0</v>
      </c>
      <c r="M311" s="70">
        <f>'RESUMEN TOTAL'!T384</f>
        <v>0</v>
      </c>
      <c r="N311" s="70">
        <f>'RESUMEN TOTAL'!U384</f>
        <v>0</v>
      </c>
      <c r="O311" s="70">
        <f>'RESUMEN TOTAL'!V384</f>
        <v>0</v>
      </c>
      <c r="P311" s="70">
        <f>'RESUMEN TOTAL'!W384</f>
        <v>0</v>
      </c>
      <c r="Q311" s="70">
        <f>'RESUMEN TOTAL'!X384</f>
        <v>0</v>
      </c>
      <c r="R311" s="70">
        <f>'RESUMEN TOTAL'!Y384</f>
        <v>0</v>
      </c>
      <c r="S311" s="70">
        <f>'RESUMEN TOTAL'!Z384</f>
        <v>0</v>
      </c>
      <c r="T311" s="70">
        <f>'RESUMEN TOTAL'!AA384</f>
        <v>0</v>
      </c>
      <c r="U311" s="70">
        <f>'RESUMEN TOTAL'!AB384</f>
        <v>0</v>
      </c>
      <c r="V311" s="70">
        <f>'RESUMEN TOTAL'!AC384</f>
        <v>0</v>
      </c>
      <c r="W311" s="70">
        <f>'RESUMEN TOTAL'!AD384</f>
        <v>0</v>
      </c>
      <c r="X311" s="70">
        <f>'RESUMEN TOTAL'!AE384</f>
        <v>0</v>
      </c>
      <c r="Y311" s="70">
        <f>'RESUMEN TOTAL'!AF384</f>
        <v>0</v>
      </c>
      <c r="Z311" s="70">
        <f>'RESUMEN TOTAL'!AG384</f>
        <v>0</v>
      </c>
      <c r="AA311" s="70">
        <f>'RESUMEN TOTAL'!AH384</f>
        <v>0</v>
      </c>
      <c r="AB311" s="70">
        <f>'RESUMEN TOTAL'!AI384</f>
        <v>0</v>
      </c>
      <c r="AC311" s="70">
        <f>'RESUMEN TOTAL'!AJ384</f>
        <v>0</v>
      </c>
      <c r="AD311" s="70">
        <f>'RESUMEN TOTAL'!AK384</f>
        <v>0</v>
      </c>
      <c r="AE311" s="70">
        <f>'RESUMEN TOTAL'!AL384</f>
        <v>0</v>
      </c>
      <c r="AF311" s="70">
        <f>'RESUMEN TOTAL'!AM384</f>
        <v>0</v>
      </c>
      <c r="AG311" s="70">
        <f>'RESUMEN TOTAL'!AN384</f>
        <v>0</v>
      </c>
      <c r="AH311" s="70">
        <f>'RESUMEN TOTAL'!AO384</f>
        <v>0</v>
      </c>
      <c r="AI311" s="70">
        <f>'RESUMEN TOTAL'!AP384</f>
        <v>0</v>
      </c>
      <c r="AJ311" s="70">
        <f>'RESUMEN TOTAL'!AQ384</f>
        <v>0</v>
      </c>
    </row>
    <row r="312" spans="1:36" x14ac:dyDescent="0.25">
      <c r="A312" t="str">
        <f>'RESUMEN TOTAL'!A385</f>
        <v>LA SIRENA</v>
      </c>
      <c r="B312" t="str">
        <f>'RESUMEN TOTAL'!B385</f>
        <v>SIR12 (fija 2)</v>
      </c>
      <c r="C312" t="str">
        <f>'RESUMEN TOTAL'!D385</f>
        <v>LARREA Y GUARDIA NACIONAL</v>
      </c>
      <c r="D312" s="30" t="str">
        <f>'RESUMEN TOTAL'!E385</f>
        <v>Fija</v>
      </c>
      <c r="E312" s="30" t="str">
        <f>'RESUMEN TOTAL'!F385</f>
        <v>Fibra Optica</v>
      </c>
      <c r="F312" s="70">
        <f>'RESUMEN TOTAL'!M385</f>
        <v>0</v>
      </c>
      <c r="G312" s="70">
        <f>'RESUMEN TOTAL'!N385</f>
        <v>0</v>
      </c>
      <c r="H312" s="70" t="str">
        <f>'RESUMEN TOTAL'!O385</f>
        <v>APAGADO</v>
      </c>
      <c r="I312" s="70" t="str">
        <f>'RESUMEN TOTAL'!P385</f>
        <v>APAGADO</v>
      </c>
      <c r="J312" s="70" t="str">
        <f>'RESUMEN TOTAL'!Q385</f>
        <v>APAGADO</v>
      </c>
      <c r="K312" s="70">
        <f>'RESUMEN TOTAL'!R385</f>
        <v>0</v>
      </c>
      <c r="L312" s="70">
        <f>'RESUMEN TOTAL'!S385</f>
        <v>0</v>
      </c>
      <c r="M312" s="70">
        <f>'RESUMEN TOTAL'!T385</f>
        <v>0</v>
      </c>
      <c r="N312" s="70">
        <f>'RESUMEN TOTAL'!U385</f>
        <v>0</v>
      </c>
      <c r="O312" s="70">
        <f>'RESUMEN TOTAL'!V385</f>
        <v>0</v>
      </c>
      <c r="P312" s="70">
        <f>'RESUMEN TOTAL'!W385</f>
        <v>0</v>
      </c>
      <c r="Q312" s="70">
        <f>'RESUMEN TOTAL'!X385</f>
        <v>0</v>
      </c>
      <c r="R312" s="70">
        <f>'RESUMEN TOTAL'!Y385</f>
        <v>0</v>
      </c>
      <c r="S312" s="70">
        <f>'RESUMEN TOTAL'!Z385</f>
        <v>0</v>
      </c>
      <c r="T312" s="70">
        <f>'RESUMEN TOTAL'!AA385</f>
        <v>0</v>
      </c>
      <c r="U312" s="70">
        <f>'RESUMEN TOTAL'!AB385</f>
        <v>0</v>
      </c>
      <c r="V312" s="70">
        <f>'RESUMEN TOTAL'!AC385</f>
        <v>0</v>
      </c>
      <c r="W312" s="70">
        <f>'RESUMEN TOTAL'!AD385</f>
        <v>0</v>
      </c>
      <c r="X312" s="70">
        <f>'RESUMEN TOTAL'!AE385</f>
        <v>0</v>
      </c>
      <c r="Y312" s="70">
        <f>'RESUMEN TOTAL'!AF385</f>
        <v>0</v>
      </c>
      <c r="Z312" s="70">
        <f>'RESUMEN TOTAL'!AG385</f>
        <v>0</v>
      </c>
      <c r="AA312" s="70">
        <f>'RESUMEN TOTAL'!AH385</f>
        <v>0</v>
      </c>
      <c r="AB312" s="70">
        <f>'RESUMEN TOTAL'!AI385</f>
        <v>0</v>
      </c>
      <c r="AC312" s="70">
        <f>'RESUMEN TOTAL'!AJ385</f>
        <v>0</v>
      </c>
      <c r="AD312" s="70">
        <f>'RESUMEN TOTAL'!AK385</f>
        <v>0</v>
      </c>
      <c r="AE312" s="70">
        <f>'RESUMEN TOTAL'!AL385</f>
        <v>0</v>
      </c>
      <c r="AF312" s="70">
        <f>'RESUMEN TOTAL'!AM385</f>
        <v>0</v>
      </c>
      <c r="AG312" s="70">
        <f>'RESUMEN TOTAL'!AN385</f>
        <v>0</v>
      </c>
      <c r="AH312" s="70">
        <f>'RESUMEN TOTAL'!AO385</f>
        <v>0</v>
      </c>
      <c r="AI312" s="70">
        <f>'RESUMEN TOTAL'!AP385</f>
        <v>0</v>
      </c>
      <c r="AJ312" s="70">
        <f>'RESUMEN TOTAL'!AQ385</f>
        <v>0</v>
      </c>
    </row>
    <row r="313" spans="1:36" x14ac:dyDescent="0.25">
      <c r="A313" t="str">
        <f>'RESUMEN TOTAL'!A386</f>
        <v>VILLA AURORA</v>
      </c>
      <c r="B313" t="str">
        <f>'RESUMEN TOTAL'!B386</f>
        <v>SIR 13</v>
      </c>
      <c r="C313" t="str">
        <f>'RESUMEN TOTAL'!D386</f>
        <v>AV MONTEVERDE Y URIBURU</v>
      </c>
      <c r="D313" s="30" t="str">
        <f>'RESUMEN TOTAL'!E386</f>
        <v>Domo</v>
      </c>
      <c r="E313" s="30" t="str">
        <f>'RESUMEN TOTAL'!F386</f>
        <v>Fibra Optica</v>
      </c>
      <c r="F313" s="70">
        <f>'RESUMEN TOTAL'!M386</f>
        <v>0</v>
      </c>
      <c r="G313" s="70">
        <f>'RESUMEN TOTAL'!N386</f>
        <v>0</v>
      </c>
      <c r="H313" s="70" t="str">
        <f>'RESUMEN TOTAL'!O386</f>
        <v>APAGADO</v>
      </c>
      <c r="I313" s="70" t="str">
        <f>'RESUMEN TOTAL'!P386</f>
        <v>APAGADO</v>
      </c>
      <c r="J313" s="70" t="str">
        <f>'RESUMEN TOTAL'!Q386</f>
        <v>APAGADO</v>
      </c>
      <c r="K313" s="70">
        <f>'RESUMEN TOTAL'!R386</f>
        <v>0</v>
      </c>
      <c r="L313" s="70">
        <f>'RESUMEN TOTAL'!S386</f>
        <v>0</v>
      </c>
      <c r="M313" s="70">
        <f>'RESUMEN TOTAL'!T386</f>
        <v>0</v>
      </c>
      <c r="N313" s="70">
        <f>'RESUMEN TOTAL'!U386</f>
        <v>0</v>
      </c>
      <c r="O313" s="70">
        <f>'RESUMEN TOTAL'!V386</f>
        <v>0</v>
      </c>
      <c r="P313" s="70">
        <f>'RESUMEN TOTAL'!W386</f>
        <v>0</v>
      </c>
      <c r="Q313" s="70">
        <f>'RESUMEN TOTAL'!X386</f>
        <v>0</v>
      </c>
      <c r="R313" s="70">
        <f>'RESUMEN TOTAL'!Y386</f>
        <v>0</v>
      </c>
      <c r="S313" s="70">
        <f>'RESUMEN TOTAL'!Z386</f>
        <v>0</v>
      </c>
      <c r="T313" s="70">
        <f>'RESUMEN TOTAL'!AA386</f>
        <v>0</v>
      </c>
      <c r="U313" s="70">
        <f>'RESUMEN TOTAL'!AB386</f>
        <v>0</v>
      </c>
      <c r="V313" s="70">
        <f>'RESUMEN TOTAL'!AC386</f>
        <v>0</v>
      </c>
      <c r="W313" s="70">
        <f>'RESUMEN TOTAL'!AD386</f>
        <v>0</v>
      </c>
      <c r="X313" s="70">
        <f>'RESUMEN TOTAL'!AE386</f>
        <v>0</v>
      </c>
      <c r="Y313" s="70">
        <f>'RESUMEN TOTAL'!AF386</f>
        <v>0</v>
      </c>
      <c r="Z313" s="70">
        <f>'RESUMEN TOTAL'!AG386</f>
        <v>0</v>
      </c>
      <c r="AA313" s="70">
        <f>'RESUMEN TOTAL'!AH386</f>
        <v>0</v>
      </c>
      <c r="AB313" s="70">
        <f>'RESUMEN TOTAL'!AI386</f>
        <v>0</v>
      </c>
      <c r="AC313" s="70">
        <f>'RESUMEN TOTAL'!AJ386</f>
        <v>0</v>
      </c>
      <c r="AD313" s="70">
        <f>'RESUMEN TOTAL'!AK386</f>
        <v>0</v>
      </c>
      <c r="AE313" s="70">
        <f>'RESUMEN TOTAL'!AL386</f>
        <v>0</v>
      </c>
      <c r="AF313" s="70">
        <f>'RESUMEN TOTAL'!AM386</f>
        <v>0</v>
      </c>
      <c r="AG313" s="70">
        <f>'RESUMEN TOTAL'!AN386</f>
        <v>0</v>
      </c>
      <c r="AH313" s="70">
        <f>'RESUMEN TOTAL'!AO386</f>
        <v>0</v>
      </c>
      <c r="AI313" s="70">
        <f>'RESUMEN TOTAL'!AP386</f>
        <v>0</v>
      </c>
      <c r="AJ313" s="70">
        <f>'RESUMEN TOTAL'!AQ386</f>
        <v>0</v>
      </c>
    </row>
    <row r="314" spans="1:36" x14ac:dyDescent="0.25">
      <c r="A314" t="str">
        <f>'RESUMEN TOTAL'!A387</f>
        <v>LA SIRENA</v>
      </c>
      <c r="B314" t="str">
        <f>'RESUMEN TOTAL'!B387</f>
        <v>SIR 14</v>
      </c>
      <c r="C314" t="str">
        <f>'RESUMEN TOTAL'!D387</f>
        <v>MANUEL IGLESIAS Y PEDRAZA</v>
      </c>
      <c r="D314" s="30" t="str">
        <f>'RESUMEN TOTAL'!E387</f>
        <v>Domo</v>
      </c>
      <c r="E314" s="30" t="str">
        <f>'RESUMEN TOTAL'!F387</f>
        <v>Fibra Optica</v>
      </c>
      <c r="F314" s="70" t="str">
        <f>'RESUMEN TOTAL'!M387</f>
        <v>APAGADO</v>
      </c>
      <c r="G314" s="70" t="str">
        <f>'RESUMEN TOTAL'!N387</f>
        <v>APAGADO</v>
      </c>
      <c r="H314" s="70" t="str">
        <f>'RESUMEN TOTAL'!O387</f>
        <v>APAGADO</v>
      </c>
      <c r="I314" s="70" t="str">
        <f>'RESUMEN TOTAL'!P387</f>
        <v>APAGADO</v>
      </c>
      <c r="J314" s="70" t="str">
        <f>'RESUMEN TOTAL'!Q387</f>
        <v>APAGADO</v>
      </c>
      <c r="K314" s="70" t="str">
        <f>'RESUMEN TOTAL'!R387</f>
        <v>APAGADO</v>
      </c>
      <c r="L314" s="70" t="str">
        <f>'RESUMEN TOTAL'!S387</f>
        <v>APAGADO</v>
      </c>
      <c r="M314" s="70" t="str">
        <f>'RESUMEN TOTAL'!T387</f>
        <v>APAGADO</v>
      </c>
      <c r="N314" s="70">
        <f>'RESUMEN TOTAL'!U387</f>
        <v>0</v>
      </c>
      <c r="O314" s="70">
        <f>'RESUMEN TOTAL'!V387</f>
        <v>0</v>
      </c>
      <c r="P314" s="70">
        <f>'RESUMEN TOTAL'!W387</f>
        <v>0</v>
      </c>
      <c r="Q314" s="70">
        <f>'RESUMEN TOTAL'!X387</f>
        <v>0</v>
      </c>
      <c r="R314" s="70">
        <f>'RESUMEN TOTAL'!Y387</f>
        <v>0</v>
      </c>
      <c r="S314" s="70">
        <f>'RESUMEN TOTAL'!Z387</f>
        <v>0</v>
      </c>
      <c r="T314" s="70">
        <f>'RESUMEN TOTAL'!AA387</f>
        <v>0</v>
      </c>
      <c r="U314" s="70">
        <f>'RESUMEN TOTAL'!AB387</f>
        <v>0</v>
      </c>
      <c r="V314" s="70">
        <f>'RESUMEN TOTAL'!AC387</f>
        <v>0</v>
      </c>
      <c r="W314" s="70">
        <f>'RESUMEN TOTAL'!AD387</f>
        <v>0</v>
      </c>
      <c r="X314" s="70">
        <f>'RESUMEN TOTAL'!AE387</f>
        <v>0</v>
      </c>
      <c r="Y314" s="70">
        <f>'RESUMEN TOTAL'!AF387</f>
        <v>0</v>
      </c>
      <c r="Z314" s="70">
        <f>'RESUMEN TOTAL'!AG387</f>
        <v>0</v>
      </c>
      <c r="AA314" s="70">
        <f>'RESUMEN TOTAL'!AH387</f>
        <v>0</v>
      </c>
      <c r="AB314" s="70">
        <f>'RESUMEN TOTAL'!AI387</f>
        <v>0</v>
      </c>
      <c r="AC314" s="70">
        <f>'RESUMEN TOTAL'!AJ387</f>
        <v>0</v>
      </c>
      <c r="AD314" s="70">
        <f>'RESUMEN TOTAL'!AK387</f>
        <v>0</v>
      </c>
      <c r="AE314" s="70">
        <f>'RESUMEN TOTAL'!AL387</f>
        <v>0</v>
      </c>
      <c r="AF314" s="70">
        <f>'RESUMEN TOTAL'!AM387</f>
        <v>0</v>
      </c>
      <c r="AG314" s="70">
        <f>'RESUMEN TOTAL'!AN387</f>
        <v>0</v>
      </c>
      <c r="AH314" s="70">
        <f>'RESUMEN TOTAL'!AO387</f>
        <v>0</v>
      </c>
      <c r="AI314" s="70">
        <f>'RESUMEN TOTAL'!AP387</f>
        <v>0</v>
      </c>
      <c r="AJ314" s="70">
        <f>'RESUMEN TOTAL'!AQ387</f>
        <v>0</v>
      </c>
    </row>
    <row r="315" spans="1:36" x14ac:dyDescent="0.25">
      <c r="A315" t="str">
        <f>'RESUMEN TOTAL'!A388</f>
        <v>LA SIRENA</v>
      </c>
      <c r="B315" t="str">
        <f>'RESUMEN TOTAL'!B388</f>
        <v>SIR 15</v>
      </c>
      <c r="C315" t="str">
        <f>'RESUMEN TOTAL'!D388</f>
        <v>Monteverde y Azara</v>
      </c>
      <c r="D315" s="30" t="str">
        <f>'RESUMEN TOTAL'!E388</f>
        <v>Domo</v>
      </c>
      <c r="E315" s="30" t="str">
        <f>'RESUMEN TOTAL'!F388</f>
        <v>Fibra Optica</v>
      </c>
      <c r="F315" s="70" t="str">
        <f>'RESUMEN TOTAL'!M388</f>
        <v>APAGADO</v>
      </c>
      <c r="G315" s="70" t="str">
        <f>'RESUMEN TOTAL'!N388</f>
        <v>APAGADO</v>
      </c>
      <c r="H315" s="70" t="str">
        <f>'RESUMEN TOTAL'!O388</f>
        <v>APAGADO</v>
      </c>
      <c r="I315" s="70" t="str">
        <f>'RESUMEN TOTAL'!P388</f>
        <v>APAGADO</v>
      </c>
      <c r="J315" s="70" t="str">
        <f>'RESUMEN TOTAL'!Q388</f>
        <v>APAGADO</v>
      </c>
      <c r="K315" s="70" t="str">
        <f>'RESUMEN TOTAL'!R388</f>
        <v>APAGADO</v>
      </c>
      <c r="L315" s="70" t="str">
        <f>'RESUMEN TOTAL'!S388</f>
        <v>APAGADO</v>
      </c>
      <c r="M315" s="70" t="str">
        <f>'RESUMEN TOTAL'!T388</f>
        <v>APAGADO</v>
      </c>
      <c r="N315" s="70">
        <f>'RESUMEN TOTAL'!U388</f>
        <v>0</v>
      </c>
      <c r="O315" s="70">
        <f>'RESUMEN TOTAL'!V388</f>
        <v>0</v>
      </c>
      <c r="P315" s="70">
        <f>'RESUMEN TOTAL'!W388</f>
        <v>0</v>
      </c>
      <c r="Q315" s="70">
        <f>'RESUMEN TOTAL'!X388</f>
        <v>0</v>
      </c>
      <c r="R315" s="70">
        <f>'RESUMEN TOTAL'!Y388</f>
        <v>0</v>
      </c>
      <c r="S315" s="70">
        <f>'RESUMEN TOTAL'!Z388</f>
        <v>0</v>
      </c>
      <c r="T315" s="70">
        <f>'RESUMEN TOTAL'!AA388</f>
        <v>0</v>
      </c>
      <c r="U315" s="70">
        <f>'RESUMEN TOTAL'!AB388</f>
        <v>0</v>
      </c>
      <c r="V315" s="70">
        <f>'RESUMEN TOTAL'!AC388</f>
        <v>0</v>
      </c>
      <c r="W315" s="70">
        <f>'RESUMEN TOTAL'!AD388</f>
        <v>0</v>
      </c>
      <c r="X315" s="70">
        <f>'RESUMEN TOTAL'!AE388</f>
        <v>0</v>
      </c>
      <c r="Y315" s="70">
        <f>'RESUMEN TOTAL'!AF388</f>
        <v>0</v>
      </c>
      <c r="Z315" s="70">
        <f>'RESUMEN TOTAL'!AG388</f>
        <v>0</v>
      </c>
      <c r="AA315" s="70">
        <f>'RESUMEN TOTAL'!AH388</f>
        <v>0</v>
      </c>
      <c r="AB315" s="70">
        <f>'RESUMEN TOTAL'!AI388</f>
        <v>0</v>
      </c>
      <c r="AC315" s="70">
        <f>'RESUMEN TOTAL'!AJ388</f>
        <v>0</v>
      </c>
      <c r="AD315" s="70">
        <f>'RESUMEN TOTAL'!AK388</f>
        <v>0</v>
      </c>
      <c r="AE315" s="70">
        <f>'RESUMEN TOTAL'!AL388</f>
        <v>0</v>
      </c>
      <c r="AF315" s="70">
        <f>'RESUMEN TOTAL'!AM388</f>
        <v>0</v>
      </c>
      <c r="AG315" s="70">
        <f>'RESUMEN TOTAL'!AN388</f>
        <v>0</v>
      </c>
      <c r="AH315" s="70">
        <f>'RESUMEN TOTAL'!AO388</f>
        <v>0</v>
      </c>
      <c r="AI315" s="70">
        <f>'RESUMEN TOTAL'!AP388</f>
        <v>0</v>
      </c>
      <c r="AJ315" s="70">
        <f>'RESUMEN TOTAL'!AQ388</f>
        <v>0</v>
      </c>
    </row>
    <row r="316" spans="1:36" x14ac:dyDescent="0.25">
      <c r="A316" t="str">
        <f>'RESUMEN TOTAL'!A393</f>
        <v>SAN JORGE</v>
      </c>
      <c r="B316" t="str">
        <f>'RESUMEN TOTAL'!B393</f>
        <v>SJO 03</v>
      </c>
      <c r="C316" t="str">
        <f>'RESUMEN TOTAL'!D393</f>
        <v>517 Y 580</v>
      </c>
      <c r="D316" s="30" t="str">
        <f>'RESUMEN TOTAL'!E393</f>
        <v>DOMO</v>
      </c>
      <c r="E316" s="30" t="str">
        <f>'RESUMEN TOTAL'!F393</f>
        <v>Radio</v>
      </c>
      <c r="F316" s="70" t="str">
        <f>'RESUMEN TOTAL'!M393</f>
        <v>APAGADO</v>
      </c>
      <c r="G316" s="70">
        <f>'RESUMEN TOTAL'!N393</f>
        <v>0</v>
      </c>
      <c r="H316" s="70">
        <f>'RESUMEN TOTAL'!O393</f>
        <v>0</v>
      </c>
      <c r="I316" s="70" t="str">
        <f>'RESUMEN TOTAL'!P393</f>
        <v>APAGADO</v>
      </c>
      <c r="J316" s="70" t="str">
        <f>'RESUMEN TOTAL'!Q393</f>
        <v>APAGADO</v>
      </c>
      <c r="K316" s="70" t="str">
        <f>'RESUMEN TOTAL'!R393</f>
        <v>APAGADO</v>
      </c>
      <c r="L316" s="70" t="str">
        <f>'RESUMEN TOTAL'!S393</f>
        <v>APAGADO</v>
      </c>
      <c r="M316" s="70" t="str">
        <f>'RESUMEN TOTAL'!T393</f>
        <v>APAGADO</v>
      </c>
      <c r="N316" s="70">
        <f>'RESUMEN TOTAL'!U393</f>
        <v>0</v>
      </c>
      <c r="O316" s="70">
        <f>'RESUMEN TOTAL'!V393</f>
        <v>0</v>
      </c>
      <c r="P316" s="70">
        <f>'RESUMEN TOTAL'!W393</f>
        <v>0</v>
      </c>
      <c r="Q316" s="70">
        <f>'RESUMEN TOTAL'!X393</f>
        <v>0</v>
      </c>
      <c r="R316" s="70">
        <f>'RESUMEN TOTAL'!Y393</f>
        <v>0</v>
      </c>
      <c r="S316" s="70">
        <f>'RESUMEN TOTAL'!Z393</f>
        <v>0</v>
      </c>
      <c r="T316" s="70">
        <f>'RESUMEN TOTAL'!AA393</f>
        <v>0</v>
      </c>
      <c r="U316" s="70">
        <f>'RESUMEN TOTAL'!AB393</f>
        <v>0</v>
      </c>
      <c r="V316" s="70">
        <f>'RESUMEN TOTAL'!AC393</f>
        <v>0</v>
      </c>
      <c r="W316" s="70">
        <f>'RESUMEN TOTAL'!AD393</f>
        <v>0</v>
      </c>
      <c r="X316" s="70">
        <f>'RESUMEN TOTAL'!AE393</f>
        <v>0</v>
      </c>
      <c r="Y316" s="70">
        <f>'RESUMEN TOTAL'!AF393</f>
        <v>0</v>
      </c>
      <c r="Z316" s="70">
        <f>'RESUMEN TOTAL'!AG393</f>
        <v>0</v>
      </c>
      <c r="AA316" s="70">
        <f>'RESUMEN TOTAL'!AH393</f>
        <v>0</v>
      </c>
      <c r="AB316" s="70">
        <f>'RESUMEN TOTAL'!AI393</f>
        <v>0</v>
      </c>
      <c r="AC316" s="70">
        <f>'RESUMEN TOTAL'!AJ393</f>
        <v>0</v>
      </c>
      <c r="AD316" s="70">
        <f>'RESUMEN TOTAL'!AK393</f>
        <v>0</v>
      </c>
      <c r="AE316" s="70">
        <f>'RESUMEN TOTAL'!AL393</f>
        <v>0</v>
      </c>
      <c r="AF316" s="70">
        <f>'RESUMEN TOTAL'!AM393</f>
        <v>0</v>
      </c>
      <c r="AG316" s="70">
        <f>'RESUMEN TOTAL'!AN393</f>
        <v>0</v>
      </c>
      <c r="AH316" s="70">
        <f>'RESUMEN TOTAL'!AO393</f>
        <v>0</v>
      </c>
      <c r="AI316" s="70">
        <f>'RESUMEN TOTAL'!AP393</f>
        <v>0</v>
      </c>
      <c r="AJ316" s="70">
        <f>'RESUMEN TOTAL'!AQ393</f>
        <v>0</v>
      </c>
    </row>
    <row r="317" spans="1:36" x14ac:dyDescent="0.25">
      <c r="A317" t="str">
        <f>'RESUMEN TOTAL'!A394</f>
        <v>SAN JORGE</v>
      </c>
      <c r="B317" t="str">
        <f>'RESUMEN TOTAL'!B394</f>
        <v>SJO 04</v>
      </c>
      <c r="C317" t="str">
        <f>'RESUMEN TOTAL'!D394</f>
        <v>552 Y 519</v>
      </c>
      <c r="D317" s="30" t="str">
        <f>'RESUMEN TOTAL'!E394</f>
        <v>DOMO</v>
      </c>
      <c r="E317" s="30" t="str">
        <f>'RESUMEN TOTAL'!F394</f>
        <v>GPON</v>
      </c>
      <c r="F317" s="70">
        <f>'RESUMEN TOTAL'!M394</f>
        <v>0</v>
      </c>
      <c r="G317" s="70">
        <f>'RESUMEN TOTAL'!N394</f>
        <v>0</v>
      </c>
      <c r="H317" s="70">
        <f>'RESUMEN TOTAL'!P394</f>
        <v>0</v>
      </c>
      <c r="I317" s="70">
        <v>0</v>
      </c>
      <c r="J317" s="70">
        <f>'RESUMEN TOTAL'!Q394</f>
        <v>0</v>
      </c>
      <c r="K317" s="70">
        <f>'RESUMEN TOTAL'!R394</f>
        <v>0</v>
      </c>
      <c r="L317" s="70">
        <f>'RESUMEN TOTAL'!S394</f>
        <v>0</v>
      </c>
      <c r="M317" s="70">
        <f>'RESUMEN TOTAL'!T394</f>
        <v>0</v>
      </c>
      <c r="N317" s="70">
        <f>'RESUMEN TOTAL'!U394</f>
        <v>0</v>
      </c>
      <c r="O317" s="70">
        <f>'RESUMEN TOTAL'!V394</f>
        <v>0</v>
      </c>
      <c r="P317" s="70">
        <f>'RESUMEN TOTAL'!W394</f>
        <v>0</v>
      </c>
      <c r="Q317" s="70">
        <f>'RESUMEN TOTAL'!X394</f>
        <v>0</v>
      </c>
      <c r="R317" s="70">
        <f>'RESUMEN TOTAL'!Y394</f>
        <v>0</v>
      </c>
      <c r="S317" s="70">
        <f>'RESUMEN TOTAL'!Z394</f>
        <v>0</v>
      </c>
      <c r="T317" s="70">
        <f>'RESUMEN TOTAL'!AA394</f>
        <v>0</v>
      </c>
      <c r="U317" s="70">
        <f>'RESUMEN TOTAL'!AB394</f>
        <v>0</v>
      </c>
      <c r="V317" s="70">
        <f>'RESUMEN TOTAL'!AC394</f>
        <v>0</v>
      </c>
      <c r="W317" s="70">
        <f>'RESUMEN TOTAL'!AD394</f>
        <v>0</v>
      </c>
      <c r="X317" s="70">
        <f>'RESUMEN TOTAL'!AE394</f>
        <v>0</v>
      </c>
      <c r="Y317" s="70">
        <f>'RESUMEN TOTAL'!AF394</f>
        <v>0</v>
      </c>
      <c r="Z317" s="70">
        <f>'RESUMEN TOTAL'!AG394</f>
        <v>0</v>
      </c>
      <c r="AA317" s="70">
        <f>'RESUMEN TOTAL'!AH394</f>
        <v>0</v>
      </c>
      <c r="AB317" s="70">
        <f>'RESUMEN TOTAL'!AI394</f>
        <v>0</v>
      </c>
      <c r="AC317" s="70">
        <f>'RESUMEN TOTAL'!AJ394</f>
        <v>0</v>
      </c>
      <c r="AD317" s="70">
        <f>'RESUMEN TOTAL'!AK394</f>
        <v>0</v>
      </c>
      <c r="AE317" s="70">
        <f>'RESUMEN TOTAL'!AL394</f>
        <v>0</v>
      </c>
      <c r="AF317" s="70">
        <f>'RESUMEN TOTAL'!AM394</f>
        <v>0</v>
      </c>
      <c r="AG317" s="70">
        <f>'RESUMEN TOTAL'!AN394</f>
        <v>0</v>
      </c>
      <c r="AH317" s="70">
        <f>'RESUMEN TOTAL'!AO394</f>
        <v>0</v>
      </c>
      <c r="AI317" s="70">
        <f>'RESUMEN TOTAL'!AP394</f>
        <v>0</v>
      </c>
      <c r="AJ317" s="70">
        <f>'RESUMEN TOTAL'!AQ394</f>
        <v>0</v>
      </c>
    </row>
    <row r="318" spans="1:36" x14ac:dyDescent="0.25">
      <c r="A318" t="str">
        <f>'RESUMEN TOTAL'!A395</f>
        <v>SAN JORGE</v>
      </c>
      <c r="B318" t="str">
        <f>'RESUMEN TOTAL'!B395</f>
        <v>SJO 09 (FIJA 1)</v>
      </c>
      <c r="C318" t="str">
        <f>'RESUMEN TOTAL'!D395</f>
        <v>515 Y 566</v>
      </c>
      <c r="D318" s="30" t="str">
        <f>'RESUMEN TOTAL'!E395</f>
        <v>Fija</v>
      </c>
      <c r="E318" s="30" t="str">
        <f>'RESUMEN TOTAL'!F395</f>
        <v>Radio</v>
      </c>
      <c r="F318" s="70">
        <f>'RESUMEN TOTAL'!M395</f>
        <v>0</v>
      </c>
      <c r="G318" s="70">
        <f>'RESUMEN TOTAL'!N395</f>
        <v>0</v>
      </c>
      <c r="H318" s="70">
        <f>'RESUMEN TOTAL'!O395</f>
        <v>0</v>
      </c>
      <c r="I318" s="70" t="str">
        <f>'RESUMEN TOTAL'!P395</f>
        <v>APAGADO</v>
      </c>
      <c r="J318" s="70" t="str">
        <f>'RESUMEN TOTAL'!Q395</f>
        <v>APAGADO</v>
      </c>
      <c r="K318" s="70" t="str">
        <f>'RESUMEN TOTAL'!R395</f>
        <v>APAGADO</v>
      </c>
      <c r="L318" s="70" t="str">
        <f>'RESUMEN TOTAL'!S395</f>
        <v>APAGADO</v>
      </c>
      <c r="M318" s="70" t="str">
        <f>'RESUMEN TOTAL'!T395</f>
        <v>APAGADO</v>
      </c>
      <c r="N318" s="70">
        <f>'RESUMEN TOTAL'!U395</f>
        <v>0</v>
      </c>
      <c r="O318" s="70">
        <f>'RESUMEN TOTAL'!V395</f>
        <v>0</v>
      </c>
      <c r="P318" s="70">
        <f>'RESUMEN TOTAL'!W395</f>
        <v>0</v>
      </c>
      <c r="Q318" s="70">
        <f>'RESUMEN TOTAL'!X395</f>
        <v>0</v>
      </c>
      <c r="R318" s="70">
        <f>'RESUMEN TOTAL'!Y395</f>
        <v>0</v>
      </c>
      <c r="S318" s="70">
        <f>'RESUMEN TOTAL'!Z395</f>
        <v>0</v>
      </c>
      <c r="T318" s="70">
        <f>'RESUMEN TOTAL'!AA395</f>
        <v>0</v>
      </c>
      <c r="U318" s="70">
        <f>'RESUMEN TOTAL'!AB395</f>
        <v>0</v>
      </c>
      <c r="V318" s="70">
        <f>'RESUMEN TOTAL'!AC395</f>
        <v>0</v>
      </c>
      <c r="W318" s="70">
        <f>'RESUMEN TOTAL'!AD395</f>
        <v>0</v>
      </c>
      <c r="X318" s="70">
        <f>'RESUMEN TOTAL'!AE395</f>
        <v>0</v>
      </c>
      <c r="Y318" s="70">
        <f>'RESUMEN TOTAL'!AF395</f>
        <v>0</v>
      </c>
      <c r="Z318" s="70">
        <f>'RESUMEN TOTAL'!AG395</f>
        <v>0</v>
      </c>
      <c r="AA318" s="70">
        <f>'RESUMEN TOTAL'!AH395</f>
        <v>0</v>
      </c>
      <c r="AB318" s="70">
        <f>'RESUMEN TOTAL'!AI395</f>
        <v>0</v>
      </c>
      <c r="AC318" s="70">
        <f>'RESUMEN TOTAL'!AJ395</f>
        <v>0</v>
      </c>
      <c r="AD318" s="70">
        <f>'RESUMEN TOTAL'!AK395</f>
        <v>0</v>
      </c>
      <c r="AE318" s="70">
        <f>'RESUMEN TOTAL'!AL395</f>
        <v>0</v>
      </c>
      <c r="AF318" s="70">
        <f>'RESUMEN TOTAL'!AM395</f>
        <v>0</v>
      </c>
      <c r="AG318" s="70">
        <f>'RESUMEN TOTAL'!AN395</f>
        <v>0</v>
      </c>
      <c r="AH318" s="70">
        <f>'RESUMEN TOTAL'!AO395</f>
        <v>0</v>
      </c>
      <c r="AI318" s="70">
        <f>'RESUMEN TOTAL'!AP395</f>
        <v>0</v>
      </c>
      <c r="AJ318" s="70">
        <f>'RESUMEN TOTAL'!AQ395</f>
        <v>0</v>
      </c>
    </row>
    <row r="319" spans="1:36" x14ac:dyDescent="0.25">
      <c r="A319" t="str">
        <f>'RESUMEN TOTAL'!A396</f>
        <v>SAN JORGE</v>
      </c>
      <c r="B319" t="str">
        <f>'RESUMEN TOTAL'!B396</f>
        <v>SJO 10 (FIJA 2)</v>
      </c>
      <c r="C319" t="str">
        <f>'RESUMEN TOTAL'!D396</f>
        <v>515 Y 566</v>
      </c>
      <c r="D319" s="30" t="str">
        <f>'RESUMEN TOTAL'!E396</f>
        <v>Fija</v>
      </c>
      <c r="E319" s="30" t="str">
        <f>'RESUMEN TOTAL'!F396</f>
        <v>Radio</v>
      </c>
      <c r="F319" s="70">
        <f>'RESUMEN TOTAL'!M396</f>
        <v>0</v>
      </c>
      <c r="G319" s="70">
        <f>'RESUMEN TOTAL'!N396</f>
        <v>0</v>
      </c>
      <c r="H319" s="70">
        <f>'RESUMEN TOTAL'!O396</f>
        <v>0</v>
      </c>
      <c r="I319" s="70">
        <f>'RESUMEN TOTAL'!P396</f>
        <v>0</v>
      </c>
      <c r="J319" s="70" t="str">
        <f>'RESUMEN TOTAL'!Q396</f>
        <v>APAGADO</v>
      </c>
      <c r="K319" s="70" t="str">
        <f>'RESUMEN TOTAL'!R396</f>
        <v>APAGADO</v>
      </c>
      <c r="L319" s="70" t="str">
        <f>'RESUMEN TOTAL'!S396</f>
        <v>APAGADO</v>
      </c>
      <c r="M319" s="70" t="str">
        <f>'RESUMEN TOTAL'!T396</f>
        <v>APAGADO</v>
      </c>
      <c r="N319" s="70">
        <f>'RESUMEN TOTAL'!U396</f>
        <v>0</v>
      </c>
      <c r="O319" s="70">
        <f>'RESUMEN TOTAL'!V396</f>
        <v>0</v>
      </c>
      <c r="P319" s="70">
        <f>'RESUMEN TOTAL'!W396</f>
        <v>0</v>
      </c>
      <c r="Q319" s="70">
        <f>'RESUMEN TOTAL'!X396</f>
        <v>0</v>
      </c>
      <c r="R319" s="70">
        <f>'RESUMEN TOTAL'!Y396</f>
        <v>0</v>
      </c>
      <c r="S319" s="70">
        <f>'RESUMEN TOTAL'!Z396</f>
        <v>0</v>
      </c>
      <c r="T319" s="70">
        <f>'RESUMEN TOTAL'!AA396</f>
        <v>0</v>
      </c>
      <c r="U319" s="70">
        <f>'RESUMEN TOTAL'!AB396</f>
        <v>0</v>
      </c>
      <c r="V319" s="70">
        <f>'RESUMEN TOTAL'!AC396</f>
        <v>0</v>
      </c>
      <c r="W319" s="70">
        <f>'RESUMEN TOTAL'!AD396</f>
        <v>0</v>
      </c>
      <c r="X319" s="70">
        <f>'RESUMEN TOTAL'!AE396</f>
        <v>0</v>
      </c>
      <c r="Y319" s="70">
        <f>'RESUMEN TOTAL'!AF396</f>
        <v>0</v>
      </c>
      <c r="Z319" s="70">
        <f>'RESUMEN TOTAL'!AG396</f>
        <v>0</v>
      </c>
      <c r="AA319" s="70">
        <f>'RESUMEN TOTAL'!AH396</f>
        <v>0</v>
      </c>
      <c r="AB319" s="70">
        <f>'RESUMEN TOTAL'!AI396</f>
        <v>0</v>
      </c>
      <c r="AC319" s="70">
        <f>'RESUMEN TOTAL'!AJ396</f>
        <v>0</v>
      </c>
      <c r="AD319" s="70">
        <f>'RESUMEN TOTAL'!AK396</f>
        <v>0</v>
      </c>
      <c r="AE319" s="70">
        <f>'RESUMEN TOTAL'!AL396</f>
        <v>0</v>
      </c>
      <c r="AF319" s="70">
        <f>'RESUMEN TOTAL'!AM396</f>
        <v>0</v>
      </c>
      <c r="AG319" s="70">
        <f>'RESUMEN TOTAL'!AN396</f>
        <v>0</v>
      </c>
      <c r="AH319" s="70">
        <f>'RESUMEN TOTAL'!AO396</f>
        <v>0</v>
      </c>
      <c r="AI319" s="70">
        <f>'RESUMEN TOTAL'!AP396</f>
        <v>0</v>
      </c>
      <c r="AJ319" s="70">
        <f>'RESUMEN TOTAL'!AQ396</f>
        <v>0</v>
      </c>
    </row>
    <row r="320" spans="1:36" x14ac:dyDescent="0.25">
      <c r="A320" t="str">
        <f>'RESUMEN TOTAL'!A397</f>
        <v>SAN JORGE</v>
      </c>
      <c r="B320" t="str">
        <f>'RESUMEN TOTAL'!B397</f>
        <v>SJO01</v>
      </c>
      <c r="C320" t="str">
        <f>'RESUMEN TOTAL'!D397</f>
        <v>Calle 554 y 527</v>
      </c>
      <c r="D320" s="30" t="str">
        <f>'RESUMEN TOTAL'!E397</f>
        <v>Domo</v>
      </c>
      <c r="E320" s="30" t="str">
        <f>'RESUMEN TOTAL'!F397</f>
        <v>PTO A FO</v>
      </c>
      <c r="F320" s="70" t="str">
        <f>'RESUMEN TOTAL'!M397</f>
        <v>APAGADO</v>
      </c>
      <c r="G320" s="70" t="str">
        <f>'RESUMEN TOTAL'!N397</f>
        <v>APAGADO</v>
      </c>
      <c r="H320" s="70" t="str">
        <f>'RESUMEN TOTAL'!O397</f>
        <v>APAGADO</v>
      </c>
      <c r="I320" s="70" t="str">
        <f>'RESUMEN TOTAL'!P397</f>
        <v>APAGADO</v>
      </c>
      <c r="J320" s="70" t="str">
        <f>'RESUMEN TOTAL'!Q397</f>
        <v>APAGADO</v>
      </c>
      <c r="K320" s="70" t="str">
        <f>'RESUMEN TOTAL'!R397</f>
        <v>APAGADO</v>
      </c>
      <c r="L320" s="70" t="str">
        <f>'RESUMEN TOTAL'!S397</f>
        <v>APAGADO</v>
      </c>
      <c r="M320" s="70" t="str">
        <f>'RESUMEN TOTAL'!T397</f>
        <v>APAGADO</v>
      </c>
      <c r="N320" s="70">
        <f>'RESUMEN TOTAL'!U397</f>
        <v>0</v>
      </c>
      <c r="O320" s="70">
        <f>'RESUMEN TOTAL'!V397</f>
        <v>0</v>
      </c>
      <c r="P320" s="70">
        <f>'RESUMEN TOTAL'!W397</f>
        <v>0</v>
      </c>
      <c r="Q320" s="70">
        <f>'RESUMEN TOTAL'!X397</f>
        <v>0</v>
      </c>
      <c r="R320" s="70">
        <f>'RESUMEN TOTAL'!Y397</f>
        <v>0</v>
      </c>
      <c r="S320" s="70">
        <f>'RESUMEN TOTAL'!Z397</f>
        <v>0</v>
      </c>
      <c r="T320" s="70">
        <f>'RESUMEN TOTAL'!AA397</f>
        <v>0</v>
      </c>
      <c r="U320" s="70">
        <f>'RESUMEN TOTAL'!AB397</f>
        <v>0</v>
      </c>
      <c r="V320" s="70">
        <f>'RESUMEN TOTAL'!AC397</f>
        <v>0</v>
      </c>
      <c r="W320" s="70">
        <f>'RESUMEN TOTAL'!AD397</f>
        <v>0</v>
      </c>
      <c r="X320" s="70">
        <f>'RESUMEN TOTAL'!AE397</f>
        <v>0</v>
      </c>
      <c r="Y320" s="70">
        <f>'RESUMEN TOTAL'!AF397</f>
        <v>0</v>
      </c>
      <c r="Z320" s="70">
        <f>'RESUMEN TOTAL'!AG397</f>
        <v>0</v>
      </c>
      <c r="AA320" s="70">
        <f>'RESUMEN TOTAL'!AH397</f>
        <v>0</v>
      </c>
      <c r="AB320" s="70">
        <f>'RESUMEN TOTAL'!AI397</f>
        <v>0</v>
      </c>
      <c r="AC320" s="70">
        <f>'RESUMEN TOTAL'!AJ397</f>
        <v>0</v>
      </c>
      <c r="AD320" s="70">
        <f>'RESUMEN TOTAL'!AK397</f>
        <v>0</v>
      </c>
      <c r="AE320" s="70">
        <f>'RESUMEN TOTAL'!AL397</f>
        <v>0</v>
      </c>
      <c r="AF320" s="70">
        <f>'RESUMEN TOTAL'!AM397</f>
        <v>0</v>
      </c>
      <c r="AG320" s="70">
        <f>'RESUMEN TOTAL'!AN397</f>
        <v>0</v>
      </c>
      <c r="AH320" s="70">
        <f>'RESUMEN TOTAL'!AO397</f>
        <v>0</v>
      </c>
      <c r="AI320" s="70">
        <f>'RESUMEN TOTAL'!AP397</f>
        <v>0</v>
      </c>
      <c r="AJ320" s="70">
        <f>'RESUMEN TOTAL'!AQ397</f>
        <v>0</v>
      </c>
    </row>
    <row r="321" spans="1:36" x14ac:dyDescent="0.25">
      <c r="A321" t="str">
        <f>'RESUMEN TOTAL'!A398</f>
        <v>SAN JORGE</v>
      </c>
      <c r="B321" t="str">
        <f>'RESUMEN TOTAL'!B398</f>
        <v>SJO02</v>
      </c>
      <c r="C321" t="str">
        <f>'RESUMEN TOTAL'!D398</f>
        <v>Calle 554 y 511</v>
      </c>
      <c r="D321" s="30" t="str">
        <f>'RESUMEN TOTAL'!E398</f>
        <v>Domo</v>
      </c>
      <c r="E321" s="30" t="str">
        <f>'RESUMEN TOTAL'!F398</f>
        <v>Radio</v>
      </c>
      <c r="F321" s="70" t="str">
        <f>'RESUMEN TOTAL'!M398</f>
        <v>APAGADO</v>
      </c>
      <c r="G321" s="70" t="str">
        <f>'RESUMEN TOTAL'!N398</f>
        <v>APAGADO</v>
      </c>
      <c r="H321" s="70" t="str">
        <f>'RESUMEN TOTAL'!P398</f>
        <v>APAGADO</v>
      </c>
      <c r="I321" s="70">
        <v>0</v>
      </c>
      <c r="J321" s="70" t="str">
        <f>'RESUMEN TOTAL'!Q398</f>
        <v>APAGADO</v>
      </c>
      <c r="K321" s="70" t="str">
        <f>'RESUMEN TOTAL'!R398</f>
        <v>APAGADO</v>
      </c>
      <c r="L321" s="70" t="str">
        <f>'RESUMEN TOTAL'!S398</f>
        <v>APAGADO</v>
      </c>
      <c r="M321" s="70" t="str">
        <f>'RESUMEN TOTAL'!T398</f>
        <v>APAGADO</v>
      </c>
      <c r="N321" s="70">
        <f>'RESUMEN TOTAL'!U398</f>
        <v>0</v>
      </c>
      <c r="O321" s="70">
        <f>'RESUMEN TOTAL'!V398</f>
        <v>0</v>
      </c>
      <c r="P321" s="70">
        <f>'RESUMEN TOTAL'!W398</f>
        <v>0</v>
      </c>
      <c r="Q321" s="70">
        <f>'RESUMEN TOTAL'!X398</f>
        <v>0</v>
      </c>
      <c r="R321" s="70">
        <f>'RESUMEN TOTAL'!Y398</f>
        <v>0</v>
      </c>
      <c r="S321" s="70">
        <f>'RESUMEN TOTAL'!Z398</f>
        <v>0</v>
      </c>
      <c r="T321" s="70">
        <f>'RESUMEN TOTAL'!AA398</f>
        <v>0</v>
      </c>
      <c r="U321" s="70">
        <f>'RESUMEN TOTAL'!AB398</f>
        <v>0</v>
      </c>
      <c r="V321" s="70">
        <f>'RESUMEN TOTAL'!AC398</f>
        <v>0</v>
      </c>
      <c r="W321" s="70">
        <f>'RESUMEN TOTAL'!AD398</f>
        <v>0</v>
      </c>
      <c r="X321" s="70">
        <f>'RESUMEN TOTAL'!AE398</f>
        <v>0</v>
      </c>
      <c r="Y321" s="70">
        <f>'RESUMEN TOTAL'!AF398</f>
        <v>0</v>
      </c>
      <c r="Z321" s="70">
        <f>'RESUMEN TOTAL'!AG398</f>
        <v>0</v>
      </c>
      <c r="AA321" s="70">
        <f>'RESUMEN TOTAL'!AH398</f>
        <v>0</v>
      </c>
      <c r="AB321" s="70">
        <f>'RESUMEN TOTAL'!AI398</f>
        <v>0</v>
      </c>
      <c r="AC321" s="70">
        <f>'RESUMEN TOTAL'!AJ398</f>
        <v>0</v>
      </c>
      <c r="AD321" s="70">
        <f>'RESUMEN TOTAL'!AK398</f>
        <v>0</v>
      </c>
      <c r="AE321" s="70">
        <f>'RESUMEN TOTAL'!AL398</f>
        <v>0</v>
      </c>
      <c r="AF321" s="70">
        <f>'RESUMEN TOTAL'!AM398</f>
        <v>0</v>
      </c>
      <c r="AG321" s="70">
        <f>'RESUMEN TOTAL'!AN398</f>
        <v>0</v>
      </c>
      <c r="AH321" s="70">
        <f>'RESUMEN TOTAL'!AO398</f>
        <v>0</v>
      </c>
      <c r="AI321" s="70">
        <f>'RESUMEN TOTAL'!AP398</f>
        <v>0</v>
      </c>
      <c r="AJ321" s="70">
        <f>'RESUMEN TOTAL'!AQ398</f>
        <v>0</v>
      </c>
    </row>
    <row r="322" spans="1:36" x14ac:dyDescent="0.25">
      <c r="A322" t="str">
        <f>'RESUMEN TOTAL'!A399</f>
        <v>SAN JORGE</v>
      </c>
      <c r="B322" t="str">
        <f>'RESUMEN TOTAL'!B399</f>
        <v>SJO05 (fija 1)</v>
      </c>
      <c r="C322" t="str">
        <f>'RESUMEN TOTAL'!D399</f>
        <v>511 Y 560</v>
      </c>
      <c r="D322" s="30" t="str">
        <f>'RESUMEN TOTAL'!E399</f>
        <v>Fija</v>
      </c>
      <c r="E322" s="30" t="str">
        <f>'RESUMEN TOTAL'!F399</f>
        <v>Fibra Optica</v>
      </c>
      <c r="F322" s="70" t="str">
        <f>'RESUMEN TOTAL'!M399</f>
        <v>APAGADO</v>
      </c>
      <c r="G322" s="70" t="str">
        <f>'RESUMEN TOTAL'!N399</f>
        <v>APAGADO</v>
      </c>
      <c r="H322" s="70" t="str">
        <f>'RESUMEN TOTAL'!P399</f>
        <v>APAGADO</v>
      </c>
      <c r="I322" s="70">
        <v>0</v>
      </c>
      <c r="J322" s="70" t="str">
        <f>'RESUMEN TOTAL'!Q399</f>
        <v>APAGADO</v>
      </c>
      <c r="K322" s="70" t="str">
        <f>'RESUMEN TOTAL'!R399</f>
        <v>APAGADO</v>
      </c>
      <c r="L322" s="70" t="str">
        <f>'RESUMEN TOTAL'!S399</f>
        <v>APAGADO</v>
      </c>
      <c r="M322" s="70" t="str">
        <f>'RESUMEN TOTAL'!T399</f>
        <v>APAGADO</v>
      </c>
      <c r="N322" s="70">
        <f>'RESUMEN TOTAL'!U399</f>
        <v>0</v>
      </c>
      <c r="O322" s="70">
        <f>'RESUMEN TOTAL'!V399</f>
        <v>0</v>
      </c>
      <c r="P322" s="70">
        <f>'RESUMEN TOTAL'!W399</f>
        <v>0</v>
      </c>
      <c r="Q322" s="70">
        <f>'RESUMEN TOTAL'!X399</f>
        <v>0</v>
      </c>
      <c r="R322" s="70">
        <f>'RESUMEN TOTAL'!Y399</f>
        <v>0</v>
      </c>
      <c r="S322" s="70">
        <f>'RESUMEN TOTAL'!Z399</f>
        <v>0</v>
      </c>
      <c r="T322" s="70">
        <f>'RESUMEN TOTAL'!AA399</f>
        <v>0</v>
      </c>
      <c r="U322" s="70">
        <f>'RESUMEN TOTAL'!AB399</f>
        <v>0</v>
      </c>
      <c r="V322" s="70">
        <f>'RESUMEN TOTAL'!AC399</f>
        <v>0</v>
      </c>
      <c r="W322" s="70">
        <f>'RESUMEN TOTAL'!AD399</f>
        <v>0</v>
      </c>
      <c r="X322" s="70">
        <f>'RESUMEN TOTAL'!AE399</f>
        <v>0</v>
      </c>
      <c r="Y322" s="70">
        <f>'RESUMEN TOTAL'!AF399</f>
        <v>0</v>
      </c>
      <c r="Z322" s="70">
        <f>'RESUMEN TOTAL'!AG399</f>
        <v>0</v>
      </c>
      <c r="AA322" s="70">
        <f>'RESUMEN TOTAL'!AH399</f>
        <v>0</v>
      </c>
      <c r="AB322" s="70">
        <f>'RESUMEN TOTAL'!AI399</f>
        <v>0</v>
      </c>
      <c r="AC322" s="70">
        <f>'RESUMEN TOTAL'!AJ399</f>
        <v>0</v>
      </c>
      <c r="AD322" s="70">
        <f>'RESUMEN TOTAL'!AK399</f>
        <v>0</v>
      </c>
      <c r="AE322" s="70">
        <f>'RESUMEN TOTAL'!AL399</f>
        <v>0</v>
      </c>
      <c r="AF322" s="70">
        <f>'RESUMEN TOTAL'!AM399</f>
        <v>0</v>
      </c>
      <c r="AG322" s="70">
        <f>'RESUMEN TOTAL'!AN399</f>
        <v>0</v>
      </c>
      <c r="AH322" s="70">
        <f>'RESUMEN TOTAL'!AO399</f>
        <v>0</v>
      </c>
      <c r="AI322" s="70">
        <f>'RESUMEN TOTAL'!AP399</f>
        <v>0</v>
      </c>
      <c r="AJ322" s="70">
        <f>'RESUMEN TOTAL'!AQ399</f>
        <v>0</v>
      </c>
    </row>
    <row r="323" spans="1:36" x14ac:dyDescent="0.25">
      <c r="A323" t="str">
        <f>'RESUMEN TOTAL'!A400</f>
        <v>SAN JORGE</v>
      </c>
      <c r="B323" t="str">
        <f>'RESUMEN TOTAL'!B400</f>
        <v>SJO06 (fija 2)</v>
      </c>
      <c r="C323" t="str">
        <f>'RESUMEN TOTAL'!D400</f>
        <v>511 Y 560</v>
      </c>
      <c r="D323" s="30" t="str">
        <f>'RESUMEN TOTAL'!E400</f>
        <v>Fija</v>
      </c>
      <c r="E323" s="30" t="str">
        <f>'RESUMEN TOTAL'!F400</f>
        <v>Fibra Optica</v>
      </c>
      <c r="F323" s="70" t="str">
        <f>'RESUMEN TOTAL'!M400</f>
        <v>APAGADO</v>
      </c>
      <c r="G323" s="70" t="str">
        <f>'RESUMEN TOTAL'!N400</f>
        <v>APAGADO</v>
      </c>
      <c r="H323" s="70" t="str">
        <f>'RESUMEN TOTAL'!P400</f>
        <v>APAGADO</v>
      </c>
      <c r="I323" s="70">
        <v>0</v>
      </c>
      <c r="J323" s="70" t="str">
        <f>'RESUMEN TOTAL'!Q400</f>
        <v>APAGADO</v>
      </c>
      <c r="K323" s="70" t="str">
        <f>'RESUMEN TOTAL'!R400</f>
        <v>APAGADO</v>
      </c>
      <c r="L323" s="70" t="str">
        <f>'RESUMEN TOTAL'!S400</f>
        <v>APAGADO</v>
      </c>
      <c r="M323" s="70" t="str">
        <f>'RESUMEN TOTAL'!T400</f>
        <v>APAGADO</v>
      </c>
      <c r="N323" s="70">
        <f>'RESUMEN TOTAL'!U400</f>
        <v>0</v>
      </c>
      <c r="O323" s="70">
        <f>'RESUMEN TOTAL'!V400</f>
        <v>0</v>
      </c>
      <c r="P323" s="70">
        <f>'RESUMEN TOTAL'!W400</f>
        <v>0</v>
      </c>
      <c r="Q323" s="70">
        <f>'RESUMEN TOTAL'!X400</f>
        <v>0</v>
      </c>
      <c r="R323" s="70">
        <f>'RESUMEN TOTAL'!Y400</f>
        <v>0</v>
      </c>
      <c r="S323" s="70">
        <f>'RESUMEN TOTAL'!Z400</f>
        <v>0</v>
      </c>
      <c r="T323" s="70">
        <f>'RESUMEN TOTAL'!AA400</f>
        <v>0</v>
      </c>
      <c r="U323" s="70">
        <f>'RESUMEN TOTAL'!AB400</f>
        <v>0</v>
      </c>
      <c r="V323" s="70">
        <f>'RESUMEN TOTAL'!AC400</f>
        <v>0</v>
      </c>
      <c r="W323" s="70">
        <f>'RESUMEN TOTAL'!AD400</f>
        <v>0</v>
      </c>
      <c r="X323" s="70">
        <f>'RESUMEN TOTAL'!AE400</f>
        <v>0</v>
      </c>
      <c r="Y323" s="70">
        <f>'RESUMEN TOTAL'!AF400</f>
        <v>0</v>
      </c>
      <c r="Z323" s="70">
        <f>'RESUMEN TOTAL'!AG400</f>
        <v>0</v>
      </c>
      <c r="AA323" s="70">
        <f>'RESUMEN TOTAL'!AH400</f>
        <v>0</v>
      </c>
      <c r="AB323" s="70">
        <f>'RESUMEN TOTAL'!AI400</f>
        <v>0</v>
      </c>
      <c r="AC323" s="70">
        <f>'RESUMEN TOTAL'!AJ400</f>
        <v>0</v>
      </c>
      <c r="AD323" s="70">
        <f>'RESUMEN TOTAL'!AK400</f>
        <v>0</v>
      </c>
      <c r="AE323" s="70">
        <f>'RESUMEN TOTAL'!AL400</f>
        <v>0</v>
      </c>
      <c r="AF323" s="70">
        <f>'RESUMEN TOTAL'!AM400</f>
        <v>0</v>
      </c>
      <c r="AG323" s="70">
        <f>'RESUMEN TOTAL'!AN400</f>
        <v>0</v>
      </c>
      <c r="AH323" s="70">
        <f>'RESUMEN TOTAL'!AO400</f>
        <v>0</v>
      </c>
      <c r="AI323" s="70">
        <f>'RESUMEN TOTAL'!AP400</f>
        <v>0</v>
      </c>
      <c r="AJ323" s="70">
        <f>'RESUMEN TOTAL'!AQ400</f>
        <v>0</v>
      </c>
    </row>
    <row r="324" spans="1:36" x14ac:dyDescent="0.25">
      <c r="A324" t="str">
        <f>'RESUMEN TOTAL'!A401</f>
        <v>SAN JORGE</v>
      </c>
      <c r="B324" t="str">
        <f>'RESUMEN TOTAL'!B401</f>
        <v>SJO07 (fija 1)</v>
      </c>
      <c r="C324" t="str">
        <f>'RESUMEN TOTAL'!D401</f>
        <v>503 Y 556</v>
      </c>
      <c r="D324" s="30" t="str">
        <f>'RESUMEN TOTAL'!E401</f>
        <v>Fija</v>
      </c>
      <c r="E324" s="30" t="str">
        <f>'RESUMEN TOTAL'!F401</f>
        <v>GPON</v>
      </c>
      <c r="F324" s="70">
        <f>'RESUMEN TOTAL'!M401</f>
        <v>0</v>
      </c>
      <c r="G324" s="70">
        <f>'RESUMEN TOTAL'!N401</f>
        <v>0</v>
      </c>
      <c r="H324" s="70">
        <f>'RESUMEN TOTAL'!P401</f>
        <v>0</v>
      </c>
      <c r="I324" s="70">
        <v>0</v>
      </c>
      <c r="J324" s="70">
        <f>'RESUMEN TOTAL'!Q401</f>
        <v>0</v>
      </c>
      <c r="K324" s="70">
        <f>'RESUMEN TOTAL'!R401</f>
        <v>0</v>
      </c>
      <c r="L324" s="70">
        <f>'RESUMEN TOTAL'!S401</f>
        <v>0</v>
      </c>
      <c r="M324" s="70">
        <f>'RESUMEN TOTAL'!T401</f>
        <v>0</v>
      </c>
      <c r="N324" s="70">
        <f>'RESUMEN TOTAL'!U401</f>
        <v>0</v>
      </c>
      <c r="O324" s="70">
        <f>'RESUMEN TOTAL'!V401</f>
        <v>0</v>
      </c>
      <c r="P324" s="70">
        <f>'RESUMEN TOTAL'!W401</f>
        <v>0</v>
      </c>
      <c r="Q324" s="70">
        <f>'RESUMEN TOTAL'!X401</f>
        <v>0</v>
      </c>
      <c r="R324" s="70">
        <f>'RESUMEN TOTAL'!Y401</f>
        <v>0</v>
      </c>
      <c r="S324" s="70">
        <f>'RESUMEN TOTAL'!Z401</f>
        <v>0</v>
      </c>
      <c r="T324" s="70">
        <f>'RESUMEN TOTAL'!AA401</f>
        <v>0</v>
      </c>
      <c r="U324" s="70">
        <f>'RESUMEN TOTAL'!AB401</f>
        <v>0</v>
      </c>
      <c r="V324" s="70">
        <f>'RESUMEN TOTAL'!AC401</f>
        <v>0</v>
      </c>
      <c r="W324" s="70">
        <f>'RESUMEN TOTAL'!AD401</f>
        <v>0</v>
      </c>
      <c r="X324" s="70">
        <f>'RESUMEN TOTAL'!AE401</f>
        <v>0</v>
      </c>
      <c r="Y324" s="70">
        <f>'RESUMEN TOTAL'!AF401</f>
        <v>0</v>
      </c>
      <c r="Z324" s="70">
        <f>'RESUMEN TOTAL'!AG401</f>
        <v>0</v>
      </c>
      <c r="AA324" s="70">
        <f>'RESUMEN TOTAL'!AH401</f>
        <v>0</v>
      </c>
      <c r="AB324" s="70">
        <f>'RESUMEN TOTAL'!AI401</f>
        <v>0</v>
      </c>
      <c r="AC324" s="70">
        <f>'RESUMEN TOTAL'!AJ401</f>
        <v>0</v>
      </c>
      <c r="AD324" s="70">
        <f>'RESUMEN TOTAL'!AK401</f>
        <v>0</v>
      </c>
      <c r="AE324" s="70">
        <f>'RESUMEN TOTAL'!AL401</f>
        <v>0</v>
      </c>
      <c r="AF324" s="70">
        <f>'RESUMEN TOTAL'!AM401</f>
        <v>0</v>
      </c>
      <c r="AG324" s="70">
        <f>'RESUMEN TOTAL'!AN401</f>
        <v>0</v>
      </c>
      <c r="AH324" s="70">
        <f>'RESUMEN TOTAL'!AO401</f>
        <v>0</v>
      </c>
      <c r="AI324" s="70">
        <f>'RESUMEN TOTAL'!AP401</f>
        <v>0</v>
      </c>
      <c r="AJ324" s="70">
        <f>'RESUMEN TOTAL'!AQ401</f>
        <v>0</v>
      </c>
    </row>
    <row r="325" spans="1:36" x14ac:dyDescent="0.25">
      <c r="A325" t="str">
        <f>'RESUMEN TOTAL'!A402</f>
        <v>SAN JORGE</v>
      </c>
      <c r="B325" t="str">
        <f>'RESUMEN TOTAL'!B402</f>
        <v>SJO08 (fija 2)</v>
      </c>
      <c r="C325" t="str">
        <f>'RESUMEN TOTAL'!D402</f>
        <v>503 Y 556</v>
      </c>
      <c r="D325" s="30" t="str">
        <f>'RESUMEN TOTAL'!E402</f>
        <v>Fija</v>
      </c>
      <c r="E325" s="30" t="str">
        <f>'RESUMEN TOTAL'!F402</f>
        <v>GPON</v>
      </c>
      <c r="F325" s="70">
        <f>'RESUMEN TOTAL'!M402</f>
        <v>0</v>
      </c>
      <c r="G325" s="70">
        <f>'RESUMEN TOTAL'!N402</f>
        <v>0</v>
      </c>
      <c r="H325" s="70">
        <f>'RESUMEN TOTAL'!P402</f>
        <v>0</v>
      </c>
      <c r="I325" s="70">
        <v>0</v>
      </c>
      <c r="J325" s="70">
        <f>'RESUMEN TOTAL'!Q402</f>
        <v>0</v>
      </c>
      <c r="K325" s="70">
        <f>'RESUMEN TOTAL'!R402</f>
        <v>0</v>
      </c>
      <c r="L325" s="70">
        <f>'RESUMEN TOTAL'!S402</f>
        <v>0</v>
      </c>
      <c r="M325" s="70">
        <f>'RESUMEN TOTAL'!T402</f>
        <v>0</v>
      </c>
      <c r="N325" s="70">
        <f>'RESUMEN TOTAL'!U402</f>
        <v>0</v>
      </c>
      <c r="O325" s="70">
        <f>'RESUMEN TOTAL'!V402</f>
        <v>0</v>
      </c>
      <c r="P325" s="70">
        <f>'RESUMEN TOTAL'!W402</f>
        <v>0</v>
      </c>
      <c r="Q325" s="70">
        <f>'RESUMEN TOTAL'!X402</f>
        <v>0</v>
      </c>
      <c r="R325" s="70">
        <f>'RESUMEN TOTAL'!Y402</f>
        <v>0</v>
      </c>
      <c r="S325" s="70">
        <f>'RESUMEN TOTAL'!Z402</f>
        <v>0</v>
      </c>
      <c r="T325" s="70">
        <f>'RESUMEN TOTAL'!AA402</f>
        <v>0</v>
      </c>
      <c r="U325" s="70">
        <f>'RESUMEN TOTAL'!AB402</f>
        <v>0</v>
      </c>
      <c r="V325" s="70">
        <f>'RESUMEN TOTAL'!AC402</f>
        <v>0</v>
      </c>
      <c r="W325" s="70">
        <f>'RESUMEN TOTAL'!AD402</f>
        <v>0</v>
      </c>
      <c r="X325" s="70">
        <f>'RESUMEN TOTAL'!AE402</f>
        <v>0</v>
      </c>
      <c r="Y325" s="70">
        <f>'RESUMEN TOTAL'!AF402</f>
        <v>0</v>
      </c>
      <c r="Z325" s="70">
        <f>'RESUMEN TOTAL'!AG402</f>
        <v>0</v>
      </c>
      <c r="AA325" s="70">
        <f>'RESUMEN TOTAL'!AH402</f>
        <v>0</v>
      </c>
      <c r="AB325" s="70">
        <f>'RESUMEN TOTAL'!AI402</f>
        <v>0</v>
      </c>
      <c r="AC325" s="70">
        <f>'RESUMEN TOTAL'!AJ402</f>
        <v>0</v>
      </c>
      <c r="AD325" s="70">
        <f>'RESUMEN TOTAL'!AK402</f>
        <v>0</v>
      </c>
      <c r="AE325" s="70">
        <f>'RESUMEN TOTAL'!AL402</f>
        <v>0</v>
      </c>
      <c r="AF325" s="70">
        <f>'RESUMEN TOTAL'!AM402</f>
        <v>0</v>
      </c>
      <c r="AG325" s="70">
        <f>'RESUMEN TOTAL'!AN402</f>
        <v>0</v>
      </c>
      <c r="AH325" s="70">
        <f>'RESUMEN TOTAL'!AO402</f>
        <v>0</v>
      </c>
      <c r="AI325" s="70">
        <f>'RESUMEN TOTAL'!AP402</f>
        <v>0</v>
      </c>
      <c r="AJ325" s="70">
        <f>'RESUMEN TOTAL'!AQ402</f>
        <v>0</v>
      </c>
    </row>
    <row r="326" spans="1:36" x14ac:dyDescent="0.25">
      <c r="A326" t="str">
        <f>'RESUMEN TOTAL'!A407</f>
        <v>SAN JUAN</v>
      </c>
      <c r="B326" t="str">
        <f>'RESUMEN TOTAL'!B407</f>
        <v>SJU01</v>
      </c>
      <c r="C326" t="str">
        <f>'RESUMEN TOTAL'!D407</f>
        <v>Ruta 36 y Pte.Peron</v>
      </c>
      <c r="D326" s="30" t="str">
        <f>'RESUMEN TOTAL'!E407</f>
        <v>Domo</v>
      </c>
      <c r="E326" s="30" t="str">
        <f>'RESUMEN TOTAL'!F407</f>
        <v>GPON</v>
      </c>
      <c r="F326" s="70">
        <f>'RESUMEN TOTAL'!M407</f>
        <v>0</v>
      </c>
      <c r="G326" s="70">
        <f>'RESUMEN TOTAL'!N407</f>
        <v>0</v>
      </c>
      <c r="H326" s="70">
        <f>'RESUMEN TOTAL'!O407</f>
        <v>0</v>
      </c>
      <c r="I326" s="70">
        <f>'RESUMEN TOTAL'!P407</f>
        <v>0</v>
      </c>
      <c r="J326" s="70">
        <f>'RESUMEN TOTAL'!Q407</f>
        <v>0</v>
      </c>
      <c r="K326" s="70">
        <f>'RESUMEN TOTAL'!R407</f>
        <v>0</v>
      </c>
      <c r="L326" s="70">
        <f>'RESUMEN TOTAL'!S407</f>
        <v>0</v>
      </c>
      <c r="M326" s="70">
        <f>'RESUMEN TOTAL'!T407</f>
        <v>0</v>
      </c>
      <c r="N326" s="70">
        <f>'RESUMEN TOTAL'!U407</f>
        <v>0</v>
      </c>
      <c r="O326" s="70">
        <f>'RESUMEN TOTAL'!V407</f>
        <v>0</v>
      </c>
      <c r="P326" s="70">
        <f>'RESUMEN TOTAL'!W407</f>
        <v>0</v>
      </c>
      <c r="Q326" s="70">
        <f>'RESUMEN TOTAL'!X407</f>
        <v>0</v>
      </c>
      <c r="R326" s="70">
        <f>'RESUMEN TOTAL'!Y407</f>
        <v>0</v>
      </c>
      <c r="S326" s="70">
        <f>'RESUMEN TOTAL'!Z407</f>
        <v>0</v>
      </c>
      <c r="T326" s="70">
        <f>'RESUMEN TOTAL'!AA407</f>
        <v>0</v>
      </c>
      <c r="U326" s="70">
        <f>'RESUMEN TOTAL'!AB407</f>
        <v>0</v>
      </c>
      <c r="V326" s="70">
        <f>'RESUMEN TOTAL'!AC407</f>
        <v>0</v>
      </c>
      <c r="W326" s="70">
        <f>'RESUMEN TOTAL'!AD407</f>
        <v>0</v>
      </c>
      <c r="X326" s="70">
        <f>'RESUMEN TOTAL'!AE407</f>
        <v>0</v>
      </c>
      <c r="Y326" s="70">
        <f>'RESUMEN TOTAL'!AF407</f>
        <v>0</v>
      </c>
      <c r="Z326" s="70">
        <f>'RESUMEN TOTAL'!AG407</f>
        <v>0</v>
      </c>
      <c r="AA326" s="70">
        <f>'RESUMEN TOTAL'!AH407</f>
        <v>0</v>
      </c>
      <c r="AB326" s="70">
        <f>'RESUMEN TOTAL'!AI407</f>
        <v>0</v>
      </c>
      <c r="AC326" s="70">
        <f>'RESUMEN TOTAL'!AJ407</f>
        <v>0</v>
      </c>
      <c r="AD326" s="70">
        <f>'RESUMEN TOTAL'!AK407</f>
        <v>0</v>
      </c>
      <c r="AE326" s="70">
        <f>'RESUMEN TOTAL'!AL407</f>
        <v>0</v>
      </c>
      <c r="AF326" s="70">
        <f>'RESUMEN TOTAL'!AM407</f>
        <v>0</v>
      </c>
      <c r="AG326" s="70">
        <f>'RESUMEN TOTAL'!AN407</f>
        <v>0</v>
      </c>
      <c r="AH326" s="70">
        <f>'RESUMEN TOTAL'!AO407</f>
        <v>0</v>
      </c>
      <c r="AI326" s="70">
        <f>'RESUMEN TOTAL'!AP407</f>
        <v>0</v>
      </c>
      <c r="AJ326" s="70">
        <f>'RESUMEN TOTAL'!AQ407</f>
        <v>0</v>
      </c>
    </row>
    <row r="327" spans="1:36" x14ac:dyDescent="0.25">
      <c r="A327" t="str">
        <f>'RESUMEN TOTAL'!A411</f>
        <v>VILLA GENERAL SAN MARTIN</v>
      </c>
      <c r="B327" t="str">
        <f>'RESUMEN TOTAL'!B411</f>
        <v>SMA01</v>
      </c>
      <c r="C327" t="str">
        <f>'RESUMEN TOTAL'!D411</f>
        <v>Hudson y Montevideo</v>
      </c>
      <c r="D327" s="30" t="str">
        <f>'RESUMEN TOTAL'!E411</f>
        <v>DOMO</v>
      </c>
      <c r="E327" s="30" t="str">
        <f>'RESUMEN TOTAL'!F411</f>
        <v>GPON</v>
      </c>
      <c r="F327" s="70">
        <f>'RESUMEN TOTAL'!M411</f>
        <v>0</v>
      </c>
      <c r="G327" s="70">
        <f>'RESUMEN TOTAL'!N411</f>
        <v>0</v>
      </c>
      <c r="H327" s="70">
        <f>'RESUMEN TOTAL'!O411</f>
        <v>0</v>
      </c>
      <c r="I327" s="70" t="str">
        <f>'RESUMEN TOTAL'!P411</f>
        <v>APAGADO</v>
      </c>
      <c r="J327" s="70" t="str">
        <f>'RESUMEN TOTAL'!Q411</f>
        <v>APAGADO</v>
      </c>
      <c r="K327" s="70" t="str">
        <f>'RESUMEN TOTAL'!R411</f>
        <v>APAGADO</v>
      </c>
      <c r="L327" s="70" t="str">
        <f>'RESUMEN TOTAL'!S411</f>
        <v>APAGADO</v>
      </c>
      <c r="M327" s="70" t="str">
        <f>'RESUMEN TOTAL'!T411</f>
        <v>APAGADO</v>
      </c>
      <c r="N327" s="70">
        <f>'RESUMEN TOTAL'!U411</f>
        <v>0</v>
      </c>
      <c r="O327" s="70">
        <f>'RESUMEN TOTAL'!V411</f>
        <v>0</v>
      </c>
      <c r="P327" s="70">
        <f>'RESUMEN TOTAL'!W411</f>
        <v>0</v>
      </c>
      <c r="Q327" s="70">
        <f>'RESUMEN TOTAL'!X411</f>
        <v>0</v>
      </c>
      <c r="R327" s="70">
        <f>'RESUMEN TOTAL'!Y411</f>
        <v>0</v>
      </c>
      <c r="S327" s="70">
        <f>'RESUMEN TOTAL'!Z411</f>
        <v>0</v>
      </c>
      <c r="T327" s="70">
        <f>'RESUMEN TOTAL'!AA411</f>
        <v>0</v>
      </c>
      <c r="U327" s="70">
        <f>'RESUMEN TOTAL'!AB411</f>
        <v>0</v>
      </c>
      <c r="V327" s="70">
        <f>'RESUMEN TOTAL'!AC411</f>
        <v>0</v>
      </c>
      <c r="W327" s="70">
        <f>'RESUMEN TOTAL'!AD411</f>
        <v>0</v>
      </c>
      <c r="X327" s="70">
        <f>'RESUMEN TOTAL'!AE411</f>
        <v>0</v>
      </c>
      <c r="Y327" s="70">
        <f>'RESUMEN TOTAL'!AF411</f>
        <v>0</v>
      </c>
      <c r="Z327" s="70">
        <f>'RESUMEN TOTAL'!AG411</f>
        <v>0</v>
      </c>
      <c r="AA327" s="70">
        <f>'RESUMEN TOTAL'!AH411</f>
        <v>0</v>
      </c>
      <c r="AB327" s="70">
        <f>'RESUMEN TOTAL'!AI411</f>
        <v>0</v>
      </c>
      <c r="AC327" s="70">
        <f>'RESUMEN TOTAL'!AJ411</f>
        <v>0</v>
      </c>
      <c r="AD327" s="70">
        <f>'RESUMEN TOTAL'!AK411</f>
        <v>0</v>
      </c>
      <c r="AE327" s="70">
        <f>'RESUMEN TOTAL'!AL411</f>
        <v>0</v>
      </c>
      <c r="AF327" s="70">
        <f>'RESUMEN TOTAL'!AM411</f>
        <v>0</v>
      </c>
      <c r="AG327" s="70">
        <f>'RESUMEN TOTAL'!AN411</f>
        <v>0</v>
      </c>
      <c r="AH327" s="70">
        <f>'RESUMEN TOTAL'!AO411</f>
        <v>0</v>
      </c>
      <c r="AI327" s="70">
        <f>'RESUMEN TOTAL'!AP411</f>
        <v>0</v>
      </c>
      <c r="AJ327" s="70">
        <f>'RESUMEN TOTAL'!AQ411</f>
        <v>0</v>
      </c>
    </row>
    <row r="328" spans="1:36" x14ac:dyDescent="0.25">
      <c r="A328" t="str">
        <f>'RESUMEN TOTAL'!A412</f>
        <v>VILLA GENERAL SAN MARTIN</v>
      </c>
      <c r="B328" t="str">
        <f>'RESUMEN TOTAL'!B412</f>
        <v>SMA02</v>
      </c>
      <c r="C328" t="str">
        <f>'RESUMEN TOTAL'!D412</f>
        <v>Hudson y San Nicolas</v>
      </c>
      <c r="D328" s="30" t="str">
        <f>'RESUMEN TOTAL'!E412</f>
        <v>Domo</v>
      </c>
      <c r="E328" s="30" t="str">
        <f>'RESUMEN TOTAL'!F412</f>
        <v>GPON</v>
      </c>
      <c r="F328" s="70">
        <f>'RESUMEN TOTAL'!M412</f>
        <v>0</v>
      </c>
      <c r="G328" s="70">
        <f>'RESUMEN TOTAL'!N412</f>
        <v>0</v>
      </c>
      <c r="H328" s="70">
        <f>'RESUMEN TOTAL'!O412</f>
        <v>0</v>
      </c>
      <c r="I328" s="70" t="str">
        <f>'RESUMEN TOTAL'!P412</f>
        <v>APAGADO</v>
      </c>
      <c r="J328" s="70" t="str">
        <f>'RESUMEN TOTAL'!Q412</f>
        <v>APAGADO</v>
      </c>
      <c r="K328" s="70" t="str">
        <f>'RESUMEN TOTAL'!R412</f>
        <v>APAGADO</v>
      </c>
      <c r="L328" s="70" t="str">
        <f>'RESUMEN TOTAL'!S412</f>
        <v>APAGADO</v>
      </c>
      <c r="M328" s="70" t="str">
        <f>'RESUMEN TOTAL'!T412</f>
        <v>APAGADO</v>
      </c>
      <c r="N328" s="70">
        <f>'RESUMEN TOTAL'!U412</f>
        <v>0</v>
      </c>
      <c r="O328" s="70">
        <f>'RESUMEN TOTAL'!V412</f>
        <v>0</v>
      </c>
      <c r="P328" s="70">
        <f>'RESUMEN TOTAL'!W412</f>
        <v>0</v>
      </c>
      <c r="Q328" s="70">
        <f>'RESUMEN TOTAL'!X412</f>
        <v>0</v>
      </c>
      <c r="R328" s="70">
        <f>'RESUMEN TOTAL'!Y412</f>
        <v>0</v>
      </c>
      <c r="S328" s="70">
        <f>'RESUMEN TOTAL'!Z412</f>
        <v>0</v>
      </c>
      <c r="T328" s="70">
        <f>'RESUMEN TOTAL'!AA412</f>
        <v>0</v>
      </c>
      <c r="U328" s="70">
        <f>'RESUMEN TOTAL'!AB412</f>
        <v>0</v>
      </c>
      <c r="V328" s="70">
        <f>'RESUMEN TOTAL'!AC412</f>
        <v>0</v>
      </c>
      <c r="W328" s="70">
        <f>'RESUMEN TOTAL'!AD412</f>
        <v>0</v>
      </c>
      <c r="X328" s="70">
        <f>'RESUMEN TOTAL'!AE412</f>
        <v>0</v>
      </c>
      <c r="Y328" s="70">
        <f>'RESUMEN TOTAL'!AF412</f>
        <v>0</v>
      </c>
      <c r="Z328" s="70">
        <f>'RESUMEN TOTAL'!AG412</f>
        <v>0</v>
      </c>
      <c r="AA328" s="70">
        <f>'RESUMEN TOTAL'!AH412</f>
        <v>0</v>
      </c>
      <c r="AB328" s="70">
        <f>'RESUMEN TOTAL'!AI412</f>
        <v>0</v>
      </c>
      <c r="AC328" s="70">
        <f>'RESUMEN TOTAL'!AJ412</f>
        <v>0</v>
      </c>
      <c r="AD328" s="70">
        <f>'RESUMEN TOTAL'!AK412</f>
        <v>0</v>
      </c>
      <c r="AE328" s="70">
        <f>'RESUMEN TOTAL'!AL412</f>
        <v>0</v>
      </c>
      <c r="AF328" s="70">
        <f>'RESUMEN TOTAL'!AM412</f>
        <v>0</v>
      </c>
      <c r="AG328" s="70">
        <f>'RESUMEN TOTAL'!AN412</f>
        <v>0</v>
      </c>
      <c r="AH328" s="70">
        <f>'RESUMEN TOTAL'!AO412</f>
        <v>0</v>
      </c>
      <c r="AI328" s="70">
        <f>'RESUMEN TOTAL'!AP412</f>
        <v>0</v>
      </c>
      <c r="AJ328" s="70">
        <f>'RESUMEN TOTAL'!AQ412</f>
        <v>0</v>
      </c>
    </row>
    <row r="329" spans="1:36" x14ac:dyDescent="0.25">
      <c r="A329" t="str">
        <f>'RESUMEN TOTAL'!A413</f>
        <v>VILLA GENERAL SAN MARTIN</v>
      </c>
      <c r="B329" t="str">
        <f>'RESUMEN TOTAL'!B413</f>
        <v>SMA 03</v>
      </c>
      <c r="C329" t="str">
        <f>'RESUMEN TOTAL'!D413</f>
        <v>ROSARIO Y SAN NICOLAS</v>
      </c>
      <c r="D329" s="30" t="str">
        <f>'RESUMEN TOTAL'!E413</f>
        <v>Domo</v>
      </c>
      <c r="E329" s="30" t="str">
        <f>'RESUMEN TOTAL'!F413</f>
        <v>Radio</v>
      </c>
      <c r="F329" s="70" t="str">
        <f>'RESUMEN TOTAL'!M413</f>
        <v>APAGADO</v>
      </c>
      <c r="G329" s="70" t="str">
        <f>'RESUMEN TOTAL'!N413</f>
        <v>APAGADO</v>
      </c>
      <c r="H329" s="70" t="str">
        <f>'RESUMEN TOTAL'!O413</f>
        <v>APAGADO</v>
      </c>
      <c r="I329" s="70" t="str">
        <f>'RESUMEN TOTAL'!P413</f>
        <v>APAGADO</v>
      </c>
      <c r="J329" s="70" t="str">
        <f>'RESUMEN TOTAL'!Q413</f>
        <v>APAGADO</v>
      </c>
      <c r="K329" s="70" t="str">
        <f>'RESUMEN TOTAL'!R413</f>
        <v>APAGADO</v>
      </c>
      <c r="L329" s="70" t="str">
        <f>'RESUMEN TOTAL'!S413</f>
        <v>APAGADO</v>
      </c>
      <c r="M329" s="70" t="str">
        <f>'RESUMEN TOTAL'!T413</f>
        <v>APAGADO</v>
      </c>
      <c r="N329" s="70">
        <f>'RESUMEN TOTAL'!U413</f>
        <v>0</v>
      </c>
      <c r="O329" s="70">
        <f>'RESUMEN TOTAL'!V413</f>
        <v>0</v>
      </c>
      <c r="P329" s="70">
        <f>'RESUMEN TOTAL'!W413</f>
        <v>0</v>
      </c>
      <c r="Q329" s="70">
        <f>'RESUMEN TOTAL'!X413</f>
        <v>0</v>
      </c>
      <c r="R329" s="70">
        <f>'RESUMEN TOTAL'!Y413</f>
        <v>0</v>
      </c>
      <c r="S329" s="70">
        <f>'RESUMEN TOTAL'!Z413</f>
        <v>0</v>
      </c>
      <c r="T329" s="70">
        <f>'RESUMEN TOTAL'!AA413</f>
        <v>0</v>
      </c>
      <c r="U329" s="70">
        <f>'RESUMEN TOTAL'!AB413</f>
        <v>0</v>
      </c>
      <c r="V329" s="70">
        <f>'RESUMEN TOTAL'!AC413</f>
        <v>0</v>
      </c>
      <c r="W329" s="70">
        <f>'RESUMEN TOTAL'!AD413</f>
        <v>0</v>
      </c>
      <c r="X329" s="70">
        <f>'RESUMEN TOTAL'!AE413</f>
        <v>0</v>
      </c>
      <c r="Y329" s="70">
        <f>'RESUMEN TOTAL'!AF413</f>
        <v>0</v>
      </c>
      <c r="Z329" s="70">
        <f>'RESUMEN TOTAL'!AG413</f>
        <v>0</v>
      </c>
      <c r="AA329" s="70">
        <f>'RESUMEN TOTAL'!AH413</f>
        <v>0</v>
      </c>
      <c r="AB329" s="70">
        <f>'RESUMEN TOTAL'!AI413</f>
        <v>0</v>
      </c>
      <c r="AC329" s="70">
        <f>'RESUMEN TOTAL'!AJ413</f>
        <v>0</v>
      </c>
      <c r="AD329" s="70">
        <f>'RESUMEN TOTAL'!AK413</f>
        <v>0</v>
      </c>
      <c r="AE329" s="70">
        <f>'RESUMEN TOTAL'!AL413</f>
        <v>0</v>
      </c>
      <c r="AF329" s="70">
        <f>'RESUMEN TOTAL'!AM413</f>
        <v>0</v>
      </c>
      <c r="AG329" s="70">
        <f>'RESUMEN TOTAL'!AN413</f>
        <v>0</v>
      </c>
      <c r="AH329" s="70">
        <f>'RESUMEN TOTAL'!AO413</f>
        <v>0</v>
      </c>
      <c r="AI329" s="70">
        <f>'RESUMEN TOTAL'!AP413</f>
        <v>0</v>
      </c>
      <c r="AJ329" s="70">
        <f>'RESUMEN TOTAL'!AQ413</f>
        <v>0</v>
      </c>
    </row>
    <row r="330" spans="1:36" x14ac:dyDescent="0.25">
      <c r="A330" t="str">
        <f>'RESUMEN TOTAL'!A414</f>
        <v>VILLA GENERAL SAN MARTIN</v>
      </c>
      <c r="B330" t="str">
        <f>'RESUMEN TOTAL'!B414</f>
        <v>SMA 04</v>
      </c>
      <c r="C330" t="str">
        <f>'RESUMEN TOTAL'!D414</f>
        <v>HUDSON Y MONTEVIDEO</v>
      </c>
      <c r="D330" s="30" t="str">
        <f>'RESUMEN TOTAL'!E414</f>
        <v>FIJA</v>
      </c>
      <c r="E330" s="30" t="str">
        <f>'RESUMEN TOTAL'!F414</f>
        <v>GPON</v>
      </c>
      <c r="F330" s="70">
        <f>'RESUMEN TOTAL'!M414</f>
        <v>0</v>
      </c>
      <c r="G330" s="70">
        <f>'RESUMEN TOTAL'!N414</f>
        <v>0</v>
      </c>
      <c r="H330" s="70">
        <f>'RESUMEN TOTAL'!O414</f>
        <v>0</v>
      </c>
      <c r="I330" s="70">
        <f>'RESUMEN TOTAL'!P414</f>
        <v>0</v>
      </c>
      <c r="J330" s="70" t="str">
        <f>'RESUMEN TOTAL'!Q414</f>
        <v>APAGADO</v>
      </c>
      <c r="K330" s="70" t="str">
        <f>'RESUMEN TOTAL'!R414</f>
        <v>APAGADO</v>
      </c>
      <c r="L330" s="70" t="str">
        <f>'RESUMEN TOTAL'!S414</f>
        <v>APAGADO</v>
      </c>
      <c r="M330" s="70" t="str">
        <f>'RESUMEN TOTAL'!T414</f>
        <v>APAGADO</v>
      </c>
      <c r="N330" s="70">
        <f>'RESUMEN TOTAL'!U414</f>
        <v>0</v>
      </c>
      <c r="O330" s="70">
        <f>'RESUMEN TOTAL'!V414</f>
        <v>0</v>
      </c>
      <c r="P330" s="70">
        <f>'RESUMEN TOTAL'!W414</f>
        <v>0</v>
      </c>
      <c r="Q330" s="70">
        <f>'RESUMEN TOTAL'!X414</f>
        <v>0</v>
      </c>
      <c r="R330" s="70">
        <f>'RESUMEN TOTAL'!Y414</f>
        <v>0</v>
      </c>
      <c r="S330" s="70">
        <f>'RESUMEN TOTAL'!Z414</f>
        <v>0</v>
      </c>
      <c r="T330" s="70">
        <f>'RESUMEN TOTAL'!AA414</f>
        <v>0</v>
      </c>
      <c r="U330" s="70">
        <f>'RESUMEN TOTAL'!AB414</f>
        <v>0</v>
      </c>
      <c r="V330" s="70">
        <f>'RESUMEN TOTAL'!AC414</f>
        <v>0</v>
      </c>
      <c r="W330" s="70">
        <f>'RESUMEN TOTAL'!AD414</f>
        <v>0</v>
      </c>
      <c r="X330" s="70">
        <f>'RESUMEN TOTAL'!AE414</f>
        <v>0</v>
      </c>
      <c r="Y330" s="70">
        <f>'RESUMEN TOTAL'!AF414</f>
        <v>0</v>
      </c>
      <c r="Z330" s="70">
        <f>'RESUMEN TOTAL'!AG414</f>
        <v>0</v>
      </c>
      <c r="AA330" s="70">
        <f>'RESUMEN TOTAL'!AH414</f>
        <v>0</v>
      </c>
      <c r="AB330" s="70">
        <f>'RESUMEN TOTAL'!AI414</f>
        <v>0</v>
      </c>
      <c r="AC330" s="70">
        <f>'RESUMEN TOTAL'!AJ414</f>
        <v>0</v>
      </c>
      <c r="AD330" s="70">
        <f>'RESUMEN TOTAL'!AK414</f>
        <v>0</v>
      </c>
      <c r="AE330" s="70">
        <f>'RESUMEN TOTAL'!AL414</f>
        <v>0</v>
      </c>
      <c r="AF330" s="70">
        <f>'RESUMEN TOTAL'!AM414</f>
        <v>0</v>
      </c>
      <c r="AG330" s="70">
        <f>'RESUMEN TOTAL'!AN414</f>
        <v>0</v>
      </c>
      <c r="AH330" s="70">
        <f>'RESUMEN TOTAL'!AO414</f>
        <v>0</v>
      </c>
      <c r="AI330" s="70">
        <f>'RESUMEN TOTAL'!AP414</f>
        <v>0</v>
      </c>
      <c r="AJ330" s="70">
        <f>'RESUMEN TOTAL'!AQ414</f>
        <v>0</v>
      </c>
    </row>
    <row r="331" spans="1:36" x14ac:dyDescent="0.25">
      <c r="A331" t="str">
        <f>'RESUMEN TOTAL'!A415</f>
        <v>VILLA GENERAL SAN MARTIN</v>
      </c>
      <c r="B331" t="str">
        <f>'RESUMEN TOTAL'!B415</f>
        <v>SMA05</v>
      </c>
      <c r="C331" t="str">
        <f>'RESUMEN TOTAL'!D415</f>
        <v>MONTEVIDEO Y VILLEGAS</v>
      </c>
      <c r="D331" s="30" t="str">
        <f>'RESUMEN TOTAL'!E415</f>
        <v>DOMO</v>
      </c>
      <c r="E331" s="30" t="str">
        <f>'RESUMEN TOTAL'!F415</f>
        <v>PTO A FO</v>
      </c>
      <c r="F331" s="70">
        <f>'RESUMEN TOTAL'!M415</f>
        <v>0</v>
      </c>
      <c r="G331" s="70">
        <f>'RESUMEN TOTAL'!N415</f>
        <v>0</v>
      </c>
      <c r="H331" s="70">
        <f>'RESUMEN TOTAL'!O415</f>
        <v>0</v>
      </c>
      <c r="I331" s="70">
        <f>'RESUMEN TOTAL'!P415</f>
        <v>0</v>
      </c>
      <c r="J331" s="70">
        <f>'RESUMEN TOTAL'!Q415</f>
        <v>0</v>
      </c>
      <c r="K331" s="70">
        <f>'RESUMEN TOTAL'!R415</f>
        <v>0</v>
      </c>
      <c r="L331" s="70">
        <f>'RESUMEN TOTAL'!S415</f>
        <v>0</v>
      </c>
      <c r="M331" s="70">
        <f>'RESUMEN TOTAL'!T415</f>
        <v>0</v>
      </c>
      <c r="N331" s="70">
        <f>'RESUMEN TOTAL'!U415</f>
        <v>0</v>
      </c>
      <c r="O331" s="70">
        <f>'RESUMEN TOTAL'!V415</f>
        <v>0</v>
      </c>
      <c r="P331" s="70">
        <f>'RESUMEN TOTAL'!W415</f>
        <v>0</v>
      </c>
      <c r="Q331" s="70">
        <f>'RESUMEN TOTAL'!X415</f>
        <v>0</v>
      </c>
      <c r="R331" s="70">
        <f>'RESUMEN TOTAL'!Y415</f>
        <v>0</v>
      </c>
      <c r="S331" s="70">
        <f>'RESUMEN TOTAL'!Z415</f>
        <v>0</v>
      </c>
      <c r="T331" s="70">
        <f>'RESUMEN TOTAL'!AA415</f>
        <v>0</v>
      </c>
      <c r="U331" s="70">
        <f>'RESUMEN TOTAL'!AB415</f>
        <v>0</v>
      </c>
      <c r="V331" s="70">
        <f>'RESUMEN TOTAL'!AC415</f>
        <v>0</v>
      </c>
      <c r="W331" s="70">
        <f>'RESUMEN TOTAL'!AD415</f>
        <v>0</v>
      </c>
      <c r="X331" s="70">
        <f>'RESUMEN TOTAL'!AE415</f>
        <v>0</v>
      </c>
      <c r="Y331" s="70">
        <f>'RESUMEN TOTAL'!AF415</f>
        <v>0</v>
      </c>
      <c r="Z331" s="70">
        <f>'RESUMEN TOTAL'!AG415</f>
        <v>0</v>
      </c>
      <c r="AA331" s="70">
        <f>'RESUMEN TOTAL'!AH415</f>
        <v>0</v>
      </c>
      <c r="AB331" s="70">
        <f>'RESUMEN TOTAL'!AI415</f>
        <v>0</v>
      </c>
      <c r="AC331" s="70">
        <f>'RESUMEN TOTAL'!AJ415</f>
        <v>0</v>
      </c>
      <c r="AD331" s="70">
        <f>'RESUMEN TOTAL'!AK415</f>
        <v>0</v>
      </c>
      <c r="AE331" s="70">
        <f>'RESUMEN TOTAL'!AL415</f>
        <v>0</v>
      </c>
      <c r="AF331" s="70">
        <f>'RESUMEN TOTAL'!AM415</f>
        <v>0</v>
      </c>
      <c r="AG331" s="70">
        <f>'RESUMEN TOTAL'!AN415</f>
        <v>0</v>
      </c>
      <c r="AH331" s="70">
        <f>'RESUMEN TOTAL'!AO415</f>
        <v>0</v>
      </c>
      <c r="AI331" s="70">
        <f>'RESUMEN TOTAL'!AP415</f>
        <v>0</v>
      </c>
      <c r="AJ331" s="70">
        <f>'RESUMEN TOTAL'!AQ415</f>
        <v>0</v>
      </c>
    </row>
    <row r="332" spans="1:36" x14ac:dyDescent="0.25">
      <c r="A332" t="str">
        <f>'RESUMEN TOTAL'!A416</f>
        <v>VILLA GENERAL SAN MARTIN</v>
      </c>
      <c r="B332" t="str">
        <f>'RESUMEN TOTAL'!B416</f>
        <v>SMA 06</v>
      </c>
      <c r="C332" t="str">
        <f>'RESUMEN TOTAL'!D416</f>
        <v>AV. HUDSON Y RIO IGUAZU</v>
      </c>
      <c r="D332" s="30" t="str">
        <f>'RESUMEN TOTAL'!E416</f>
        <v>DOMO</v>
      </c>
      <c r="E332" s="30" t="str">
        <f>'RESUMEN TOTAL'!F416</f>
        <v>Fibra Optica</v>
      </c>
      <c r="F332" s="70">
        <f>'RESUMEN TOTAL'!M416</f>
        <v>0</v>
      </c>
      <c r="G332" s="70">
        <f>'RESUMEN TOTAL'!N416</f>
        <v>0</v>
      </c>
      <c r="H332" s="70">
        <f>'RESUMEN TOTAL'!O416</f>
        <v>0</v>
      </c>
      <c r="I332" s="70" t="str">
        <f>'RESUMEN TOTAL'!P416</f>
        <v>APAGADO</v>
      </c>
      <c r="J332" s="70" t="str">
        <f>'RESUMEN TOTAL'!Q416</f>
        <v>APAGADO</v>
      </c>
      <c r="K332" s="70" t="str">
        <f>'RESUMEN TOTAL'!R416</f>
        <v>APAGADO</v>
      </c>
      <c r="L332" s="70" t="str">
        <f>'RESUMEN TOTAL'!S416</f>
        <v>APAGADO</v>
      </c>
      <c r="M332" s="70" t="str">
        <f>'RESUMEN TOTAL'!T416</f>
        <v>APAGADO</v>
      </c>
      <c r="N332" s="70">
        <f>'RESUMEN TOTAL'!U416</f>
        <v>0</v>
      </c>
      <c r="O332" s="70">
        <f>'RESUMEN TOTAL'!V416</f>
        <v>0</v>
      </c>
      <c r="P332" s="70">
        <f>'RESUMEN TOTAL'!W416</f>
        <v>0</v>
      </c>
      <c r="Q332" s="70">
        <f>'RESUMEN TOTAL'!X416</f>
        <v>0</v>
      </c>
      <c r="R332" s="70">
        <f>'RESUMEN TOTAL'!Y416</f>
        <v>0</v>
      </c>
      <c r="S332" s="70">
        <f>'RESUMEN TOTAL'!Z416</f>
        <v>0</v>
      </c>
      <c r="T332" s="70">
        <f>'RESUMEN TOTAL'!AA416</f>
        <v>0</v>
      </c>
      <c r="U332" s="70">
        <f>'RESUMEN TOTAL'!AB416</f>
        <v>0</v>
      </c>
      <c r="V332" s="70">
        <f>'RESUMEN TOTAL'!AC416</f>
        <v>0</v>
      </c>
      <c r="W332" s="70">
        <f>'RESUMEN TOTAL'!AD416</f>
        <v>0</v>
      </c>
      <c r="X332" s="70">
        <f>'RESUMEN TOTAL'!AE416</f>
        <v>0</v>
      </c>
      <c r="Y332" s="70">
        <f>'RESUMEN TOTAL'!AF416</f>
        <v>0</v>
      </c>
      <c r="Z332" s="70">
        <f>'RESUMEN TOTAL'!AG416</f>
        <v>0</v>
      </c>
      <c r="AA332" s="70">
        <f>'RESUMEN TOTAL'!AH416</f>
        <v>0</v>
      </c>
      <c r="AB332" s="70">
        <f>'RESUMEN TOTAL'!AI416</f>
        <v>0</v>
      </c>
      <c r="AC332" s="70">
        <f>'RESUMEN TOTAL'!AJ416</f>
        <v>0</v>
      </c>
      <c r="AD332" s="70">
        <f>'RESUMEN TOTAL'!AK416</f>
        <v>0</v>
      </c>
      <c r="AE332" s="70">
        <f>'RESUMEN TOTAL'!AL416</f>
        <v>0</v>
      </c>
      <c r="AF332" s="70">
        <f>'RESUMEN TOTAL'!AM416</f>
        <v>0</v>
      </c>
      <c r="AG332" s="70">
        <f>'RESUMEN TOTAL'!AN416</f>
        <v>0</v>
      </c>
      <c r="AH332" s="70">
        <f>'RESUMEN TOTAL'!AO416</f>
        <v>0</v>
      </c>
      <c r="AI332" s="70">
        <f>'RESUMEN TOTAL'!AP416</f>
        <v>0</v>
      </c>
      <c r="AJ332" s="70">
        <f>'RESUMEN TOTAL'!AQ416</f>
        <v>0</v>
      </c>
    </row>
    <row r="333" spans="1:36" x14ac:dyDescent="0.25">
      <c r="A333" t="str">
        <f>'RESUMEN TOTAL'!A417</f>
        <v>VILLA GENERAL SAN MARTIN</v>
      </c>
      <c r="B333" t="str">
        <f>'RESUMEN TOTAL'!B417</f>
        <v>SMA 07</v>
      </c>
      <c r="C333" t="str">
        <f>'RESUMEN TOTAL'!D417</f>
        <v>AV. HUDSON Y RIO TURBIO</v>
      </c>
      <c r="D333" s="30" t="str">
        <f>'RESUMEN TOTAL'!E417</f>
        <v>DOMO</v>
      </c>
      <c r="E333" s="30" t="str">
        <f>'RESUMEN TOTAL'!F417</f>
        <v>GPON</v>
      </c>
      <c r="F333" s="70">
        <f>'RESUMEN TOTAL'!M417</f>
        <v>0</v>
      </c>
      <c r="G333" s="70">
        <f>'RESUMEN TOTAL'!N417</f>
        <v>0</v>
      </c>
      <c r="H333" s="70">
        <f>'RESUMEN TOTAL'!O417</f>
        <v>0</v>
      </c>
      <c r="I333" s="70" t="str">
        <f>'RESUMEN TOTAL'!P417</f>
        <v>APAGADO</v>
      </c>
      <c r="J333" s="70" t="str">
        <f>'RESUMEN TOTAL'!Q417</f>
        <v>APAGADO</v>
      </c>
      <c r="K333" s="70" t="str">
        <f>'RESUMEN TOTAL'!R417</f>
        <v>APAGADO</v>
      </c>
      <c r="L333" s="70" t="str">
        <f>'RESUMEN TOTAL'!S417</f>
        <v>APAGADO</v>
      </c>
      <c r="M333" s="70" t="str">
        <f>'RESUMEN TOTAL'!T417</f>
        <v>APAGADO</v>
      </c>
      <c r="N333" s="70">
        <f>'RESUMEN TOTAL'!U417</f>
        <v>0</v>
      </c>
      <c r="O333" s="70">
        <f>'RESUMEN TOTAL'!V417</f>
        <v>0</v>
      </c>
      <c r="P333" s="70">
        <f>'RESUMEN TOTAL'!W417</f>
        <v>0</v>
      </c>
      <c r="Q333" s="70">
        <f>'RESUMEN TOTAL'!X417</f>
        <v>0</v>
      </c>
      <c r="R333" s="70">
        <f>'RESUMEN TOTAL'!Y417</f>
        <v>0</v>
      </c>
      <c r="S333" s="70">
        <f>'RESUMEN TOTAL'!Z417</f>
        <v>0</v>
      </c>
      <c r="T333" s="70">
        <f>'RESUMEN TOTAL'!AA417</f>
        <v>0</v>
      </c>
      <c r="U333" s="70">
        <f>'RESUMEN TOTAL'!AB417</f>
        <v>0</v>
      </c>
      <c r="V333" s="70">
        <f>'RESUMEN TOTAL'!AC417</f>
        <v>0</v>
      </c>
      <c r="W333" s="70">
        <f>'RESUMEN TOTAL'!AD417</f>
        <v>0</v>
      </c>
      <c r="X333" s="70">
        <f>'RESUMEN TOTAL'!AE417</f>
        <v>0</v>
      </c>
      <c r="Y333" s="70">
        <f>'RESUMEN TOTAL'!AF417</f>
        <v>0</v>
      </c>
      <c r="Z333" s="70">
        <f>'RESUMEN TOTAL'!AG417</f>
        <v>0</v>
      </c>
      <c r="AA333" s="70">
        <f>'RESUMEN TOTAL'!AH417</f>
        <v>0</v>
      </c>
      <c r="AB333" s="70">
        <f>'RESUMEN TOTAL'!AI417</f>
        <v>0</v>
      </c>
      <c r="AC333" s="70">
        <f>'RESUMEN TOTAL'!AJ417</f>
        <v>0</v>
      </c>
      <c r="AD333" s="70">
        <f>'RESUMEN TOTAL'!AK417</f>
        <v>0</v>
      </c>
      <c r="AE333" s="70">
        <f>'RESUMEN TOTAL'!AL417</f>
        <v>0</v>
      </c>
      <c r="AF333" s="70">
        <f>'RESUMEN TOTAL'!AM417</f>
        <v>0</v>
      </c>
      <c r="AG333" s="70">
        <f>'RESUMEN TOTAL'!AN417</f>
        <v>0</v>
      </c>
      <c r="AH333" s="70">
        <f>'RESUMEN TOTAL'!AO417</f>
        <v>0</v>
      </c>
      <c r="AI333" s="70">
        <f>'RESUMEN TOTAL'!AP417</f>
        <v>0</v>
      </c>
      <c r="AJ333" s="70">
        <f>'RESUMEN TOTAL'!AQ417</f>
        <v>0</v>
      </c>
    </row>
    <row r="334" spans="1:36" x14ac:dyDescent="0.25">
      <c r="A334" t="str">
        <f>'RESUMEN TOTAL'!A418</f>
        <v>SAN MARTIN</v>
      </c>
      <c r="B334" t="str">
        <f>'RESUMEN TOTAL'!B418</f>
        <v>SMA 08</v>
      </c>
      <c r="C334" t="str">
        <f>'RESUMEN TOTAL'!D418</f>
        <v>12 De Octubre y H. Lagos</v>
      </c>
      <c r="D334" s="30" t="str">
        <f>'RESUMEN TOTAL'!E418</f>
        <v>fija</v>
      </c>
      <c r="E334" s="30" t="str">
        <f>'RESUMEN TOTAL'!F418</f>
        <v>Fibra Optica</v>
      </c>
      <c r="F334" s="70" t="str">
        <f>'RESUMEN TOTAL'!M418</f>
        <v>APAGADO</v>
      </c>
      <c r="G334" s="70">
        <f>'RESUMEN TOTAL'!N418</f>
        <v>0</v>
      </c>
      <c r="H334" s="70" t="str">
        <f>'RESUMEN TOTAL'!P418</f>
        <v>APAGADO</v>
      </c>
      <c r="I334" s="70">
        <v>0</v>
      </c>
      <c r="J334" s="70" t="str">
        <f>'RESUMEN TOTAL'!Q418</f>
        <v>APAGADO</v>
      </c>
      <c r="K334" s="70" t="str">
        <f>'RESUMEN TOTAL'!R418</f>
        <v>APAGADO</v>
      </c>
      <c r="L334" s="70" t="str">
        <f>'RESUMEN TOTAL'!S418</f>
        <v>APAGADO</v>
      </c>
      <c r="M334" s="70" t="str">
        <f>'RESUMEN TOTAL'!T418</f>
        <v>APAGADO</v>
      </c>
      <c r="N334" s="70">
        <f>'RESUMEN TOTAL'!U418</f>
        <v>0</v>
      </c>
      <c r="O334" s="70">
        <f>'RESUMEN TOTAL'!V418</f>
        <v>0</v>
      </c>
      <c r="P334" s="70">
        <f>'RESUMEN TOTAL'!W418</f>
        <v>0</v>
      </c>
      <c r="Q334" s="70">
        <f>'RESUMEN TOTAL'!X418</f>
        <v>0</v>
      </c>
      <c r="R334" s="70">
        <f>'RESUMEN TOTAL'!Y418</f>
        <v>0</v>
      </c>
      <c r="S334" s="70">
        <f>'RESUMEN TOTAL'!Z418</f>
        <v>0</v>
      </c>
      <c r="T334" s="70">
        <f>'RESUMEN TOTAL'!AA418</f>
        <v>0</v>
      </c>
      <c r="U334" s="70">
        <f>'RESUMEN TOTAL'!AB418</f>
        <v>0</v>
      </c>
      <c r="V334" s="70">
        <f>'RESUMEN TOTAL'!AC418</f>
        <v>0</v>
      </c>
      <c r="W334" s="70">
        <f>'RESUMEN TOTAL'!AD418</f>
        <v>0</v>
      </c>
      <c r="X334" s="70">
        <f>'RESUMEN TOTAL'!AE418</f>
        <v>0</v>
      </c>
      <c r="Y334" s="70">
        <f>'RESUMEN TOTAL'!AF418</f>
        <v>0</v>
      </c>
      <c r="Z334" s="70">
        <f>'RESUMEN TOTAL'!AG418</f>
        <v>0</v>
      </c>
      <c r="AA334" s="70">
        <f>'RESUMEN TOTAL'!AH418</f>
        <v>0</v>
      </c>
      <c r="AB334" s="70">
        <f>'RESUMEN TOTAL'!AI418</f>
        <v>0</v>
      </c>
      <c r="AC334" s="70">
        <f>'RESUMEN TOTAL'!AJ418</f>
        <v>0</v>
      </c>
      <c r="AD334" s="70">
        <f>'RESUMEN TOTAL'!AK418</f>
        <v>0</v>
      </c>
      <c r="AE334" s="70">
        <f>'RESUMEN TOTAL'!AL418</f>
        <v>0</v>
      </c>
      <c r="AF334" s="70">
        <f>'RESUMEN TOTAL'!AM418</f>
        <v>0</v>
      </c>
      <c r="AG334" s="70">
        <f>'RESUMEN TOTAL'!AN418</f>
        <v>0</v>
      </c>
      <c r="AH334" s="70">
        <f>'RESUMEN TOTAL'!AO418</f>
        <v>0</v>
      </c>
      <c r="AI334" s="70">
        <f>'RESUMEN TOTAL'!AP418</f>
        <v>0</v>
      </c>
      <c r="AJ334" s="70">
        <f>'RESUMEN TOTAL'!AQ418</f>
        <v>0</v>
      </c>
    </row>
    <row r="335" spans="1:36" x14ac:dyDescent="0.25">
      <c r="A335" t="str">
        <f>'RESUMEN TOTAL'!A419</f>
        <v>SAN MARTIN</v>
      </c>
      <c r="B335" t="str">
        <f>'RESUMEN TOTAL'!B419</f>
        <v>SMA 09</v>
      </c>
      <c r="C335" t="str">
        <f>'RESUMEN TOTAL'!D419</f>
        <v>12 De Octubre y H. Lagos</v>
      </c>
      <c r="D335" s="30" t="str">
        <f>'RESUMEN TOTAL'!E419</f>
        <v>fija</v>
      </c>
      <c r="E335" s="30" t="str">
        <f>'RESUMEN TOTAL'!F419</f>
        <v>Fibra Optica</v>
      </c>
      <c r="F335" s="70" t="str">
        <f>'RESUMEN TOTAL'!M419</f>
        <v>APAGADO</v>
      </c>
      <c r="G335" s="70">
        <f>'RESUMEN TOTAL'!N419</f>
        <v>0</v>
      </c>
      <c r="H335" s="70" t="str">
        <f>'RESUMEN TOTAL'!P419</f>
        <v>APAGADO</v>
      </c>
      <c r="I335" s="70">
        <v>0</v>
      </c>
      <c r="J335" s="70" t="str">
        <f>'RESUMEN TOTAL'!Q419</f>
        <v>APAGADO</v>
      </c>
      <c r="K335" s="70" t="str">
        <f>'RESUMEN TOTAL'!R419</f>
        <v>APAGADO</v>
      </c>
      <c r="L335" s="70" t="str">
        <f>'RESUMEN TOTAL'!S419</f>
        <v>APAGADO</v>
      </c>
      <c r="M335" s="70" t="str">
        <f>'RESUMEN TOTAL'!T419</f>
        <v>APAGADO</v>
      </c>
      <c r="N335" s="70">
        <f>'RESUMEN TOTAL'!U419</f>
        <v>0</v>
      </c>
      <c r="O335" s="70">
        <f>'RESUMEN TOTAL'!V419</f>
        <v>0</v>
      </c>
      <c r="P335" s="70">
        <f>'RESUMEN TOTAL'!W419</f>
        <v>0</v>
      </c>
      <c r="Q335" s="70">
        <f>'RESUMEN TOTAL'!X419</f>
        <v>0</v>
      </c>
      <c r="R335" s="70">
        <f>'RESUMEN TOTAL'!Y419</f>
        <v>0</v>
      </c>
      <c r="S335" s="70">
        <f>'RESUMEN TOTAL'!Z419</f>
        <v>0</v>
      </c>
      <c r="T335" s="70">
        <f>'RESUMEN TOTAL'!AA419</f>
        <v>0</v>
      </c>
      <c r="U335" s="70">
        <f>'RESUMEN TOTAL'!AB419</f>
        <v>0</v>
      </c>
      <c r="V335" s="70">
        <f>'RESUMEN TOTAL'!AC419</f>
        <v>0</v>
      </c>
      <c r="W335" s="70">
        <f>'RESUMEN TOTAL'!AD419</f>
        <v>0</v>
      </c>
      <c r="X335" s="70">
        <f>'RESUMEN TOTAL'!AE419</f>
        <v>0</v>
      </c>
      <c r="Y335" s="70">
        <f>'RESUMEN TOTAL'!AF419</f>
        <v>0</v>
      </c>
      <c r="Z335" s="70">
        <f>'RESUMEN TOTAL'!AG419</f>
        <v>0</v>
      </c>
      <c r="AA335" s="70">
        <f>'RESUMEN TOTAL'!AH419</f>
        <v>0</v>
      </c>
      <c r="AB335" s="70">
        <f>'RESUMEN TOTAL'!AI419</f>
        <v>0</v>
      </c>
      <c r="AC335" s="70">
        <f>'RESUMEN TOTAL'!AJ419</f>
        <v>0</v>
      </c>
      <c r="AD335" s="70">
        <f>'RESUMEN TOTAL'!AK419</f>
        <v>0</v>
      </c>
      <c r="AE335" s="70">
        <f>'RESUMEN TOTAL'!AL419</f>
        <v>0</v>
      </c>
      <c r="AF335" s="70">
        <f>'RESUMEN TOTAL'!AM419</f>
        <v>0</v>
      </c>
      <c r="AG335" s="70">
        <f>'RESUMEN TOTAL'!AN419</f>
        <v>0</v>
      </c>
      <c r="AH335" s="70">
        <f>'RESUMEN TOTAL'!AO419</f>
        <v>0</v>
      </c>
      <c r="AI335" s="70">
        <f>'RESUMEN TOTAL'!AP419</f>
        <v>0</v>
      </c>
      <c r="AJ335" s="70">
        <f>'RESUMEN TOTAL'!AQ419</f>
        <v>0</v>
      </c>
    </row>
    <row r="336" spans="1:36" x14ac:dyDescent="0.25">
      <c r="A336" t="str">
        <f>'RESUMEN TOTAL'!A423</f>
        <v>SAN NICOLAS</v>
      </c>
      <c r="B336" t="str">
        <f>'RESUMEN TOTAL'!B423</f>
        <v>SNI01 (fija 1)</v>
      </c>
      <c r="C336" t="str">
        <f>'RESUMEN TOTAL'!D423</f>
        <v>SARRATEA E/ EEUU DE A. Y AGRELO</v>
      </c>
      <c r="D336" s="30" t="str">
        <f>'RESUMEN TOTAL'!E423</f>
        <v>Fija</v>
      </c>
      <c r="E336" s="30" t="str">
        <f>'RESUMEN TOTAL'!F423</f>
        <v>Fibra Optica</v>
      </c>
      <c r="F336" s="70">
        <f>'RESUMEN TOTAL'!M423</f>
        <v>0</v>
      </c>
      <c r="G336" s="70">
        <f>'RESUMEN TOTAL'!N423</f>
        <v>0</v>
      </c>
      <c r="H336" s="70">
        <f>'RESUMEN TOTAL'!O423</f>
        <v>0</v>
      </c>
      <c r="I336" s="70">
        <f>'RESUMEN TOTAL'!P423</f>
        <v>0</v>
      </c>
      <c r="J336" s="70">
        <f>'RESUMEN TOTAL'!Q423</f>
        <v>0</v>
      </c>
      <c r="K336" s="70">
        <f>'RESUMEN TOTAL'!R423</f>
        <v>0</v>
      </c>
      <c r="L336" s="70">
        <f>'RESUMEN TOTAL'!S423</f>
        <v>0</v>
      </c>
      <c r="M336" s="70">
        <f>'RESUMEN TOTAL'!T423</f>
        <v>0</v>
      </c>
      <c r="N336" s="70">
        <f>'RESUMEN TOTAL'!U423</f>
        <v>0</v>
      </c>
      <c r="O336" s="70">
        <f>'RESUMEN TOTAL'!V423</f>
        <v>0</v>
      </c>
      <c r="P336" s="70">
        <f>'RESUMEN TOTAL'!W423</f>
        <v>0</v>
      </c>
      <c r="Q336" s="70">
        <f>'RESUMEN TOTAL'!X423</f>
        <v>0</v>
      </c>
      <c r="R336" s="70">
        <f>'RESUMEN TOTAL'!Y423</f>
        <v>0</v>
      </c>
      <c r="S336" s="70">
        <f>'RESUMEN TOTAL'!Z423</f>
        <v>0</v>
      </c>
      <c r="T336" s="70">
        <f>'RESUMEN TOTAL'!AA423</f>
        <v>0</v>
      </c>
      <c r="U336" s="70">
        <f>'RESUMEN TOTAL'!AB423</f>
        <v>0</v>
      </c>
      <c r="V336" s="70">
        <f>'RESUMEN TOTAL'!AC423</f>
        <v>0</v>
      </c>
      <c r="W336" s="70">
        <f>'RESUMEN TOTAL'!AD423</f>
        <v>0</v>
      </c>
      <c r="X336" s="70">
        <f>'RESUMEN TOTAL'!AE423</f>
        <v>0</v>
      </c>
      <c r="Y336" s="70">
        <f>'RESUMEN TOTAL'!AF423</f>
        <v>0</v>
      </c>
      <c r="Z336" s="70">
        <f>'RESUMEN TOTAL'!AG423</f>
        <v>0</v>
      </c>
      <c r="AA336" s="70">
        <f>'RESUMEN TOTAL'!AH423</f>
        <v>0</v>
      </c>
      <c r="AB336" s="70">
        <f>'RESUMEN TOTAL'!AI423</f>
        <v>0</v>
      </c>
      <c r="AC336" s="70">
        <f>'RESUMEN TOTAL'!AJ423</f>
        <v>0</v>
      </c>
      <c r="AD336" s="70">
        <f>'RESUMEN TOTAL'!AK423</f>
        <v>0</v>
      </c>
      <c r="AE336" s="70">
        <f>'RESUMEN TOTAL'!AL423</f>
        <v>0</v>
      </c>
      <c r="AF336" s="70">
        <f>'RESUMEN TOTAL'!AM423</f>
        <v>0</v>
      </c>
      <c r="AG336" s="70">
        <f>'RESUMEN TOTAL'!AN423</f>
        <v>0</v>
      </c>
      <c r="AH336" s="70">
        <f>'RESUMEN TOTAL'!AO423</f>
        <v>0</v>
      </c>
      <c r="AI336" s="70">
        <f>'RESUMEN TOTAL'!AP423</f>
        <v>0</v>
      </c>
      <c r="AJ336" s="70">
        <f>'RESUMEN TOTAL'!AQ423</f>
        <v>0</v>
      </c>
    </row>
    <row r="337" spans="1:36" x14ac:dyDescent="0.25">
      <c r="A337" t="str">
        <f>'RESUMEN TOTAL'!A424</f>
        <v>SAN NICOLAS</v>
      </c>
      <c r="B337" t="str">
        <f>'RESUMEN TOTAL'!B424</f>
        <v>SNI02 (fija 2)</v>
      </c>
      <c r="C337" t="str">
        <f>'RESUMEN TOTAL'!D424</f>
        <v>SARRATEA E/ EEUU DE A. Y AGRELO</v>
      </c>
      <c r="D337" s="30" t="str">
        <f>'RESUMEN TOTAL'!E424</f>
        <v>Fija</v>
      </c>
      <c r="E337" s="30" t="str">
        <f>'RESUMEN TOTAL'!F424</f>
        <v>Fibra Optica</v>
      </c>
      <c r="F337" s="70">
        <f>'RESUMEN TOTAL'!M424</f>
        <v>0</v>
      </c>
      <c r="G337" s="70">
        <f>'RESUMEN TOTAL'!N424</f>
        <v>0</v>
      </c>
      <c r="H337" s="70">
        <f>'RESUMEN TOTAL'!O424</f>
        <v>0</v>
      </c>
      <c r="I337" s="70">
        <f>'RESUMEN TOTAL'!P424</f>
        <v>0</v>
      </c>
      <c r="J337" s="70">
        <f>'RESUMEN TOTAL'!Q424</f>
        <v>0</v>
      </c>
      <c r="K337" s="70">
        <f>'RESUMEN TOTAL'!R424</f>
        <v>0</v>
      </c>
      <c r="L337" s="70">
        <f>'RESUMEN TOTAL'!S424</f>
        <v>0</v>
      </c>
      <c r="M337" s="70">
        <f>'RESUMEN TOTAL'!T424</f>
        <v>0</v>
      </c>
      <c r="N337" s="70">
        <f>'RESUMEN TOTAL'!U424</f>
        <v>0</v>
      </c>
      <c r="O337" s="70">
        <f>'RESUMEN TOTAL'!V424</f>
        <v>0</v>
      </c>
      <c r="P337" s="70">
        <f>'RESUMEN TOTAL'!W424</f>
        <v>0</v>
      </c>
      <c r="Q337" s="70">
        <f>'RESUMEN TOTAL'!X424</f>
        <v>0</v>
      </c>
      <c r="R337" s="70">
        <f>'RESUMEN TOTAL'!Y424</f>
        <v>0</v>
      </c>
      <c r="S337" s="70">
        <f>'RESUMEN TOTAL'!Z424</f>
        <v>0</v>
      </c>
      <c r="T337" s="70">
        <f>'RESUMEN TOTAL'!AA424</f>
        <v>0</v>
      </c>
      <c r="U337" s="70">
        <f>'RESUMEN TOTAL'!AB424</f>
        <v>0</v>
      </c>
      <c r="V337" s="70">
        <f>'RESUMEN TOTAL'!AC424</f>
        <v>0</v>
      </c>
      <c r="W337" s="70">
        <f>'RESUMEN TOTAL'!AD424</f>
        <v>0</v>
      </c>
      <c r="X337" s="70">
        <f>'RESUMEN TOTAL'!AE424</f>
        <v>0</v>
      </c>
      <c r="Y337" s="70">
        <f>'RESUMEN TOTAL'!AF424</f>
        <v>0</v>
      </c>
      <c r="Z337" s="70">
        <f>'RESUMEN TOTAL'!AG424</f>
        <v>0</v>
      </c>
      <c r="AA337" s="70">
        <f>'RESUMEN TOTAL'!AH424</f>
        <v>0</v>
      </c>
      <c r="AB337" s="70">
        <f>'RESUMEN TOTAL'!AI424</f>
        <v>0</v>
      </c>
      <c r="AC337" s="70">
        <f>'RESUMEN TOTAL'!AJ424</f>
        <v>0</v>
      </c>
      <c r="AD337" s="70">
        <f>'RESUMEN TOTAL'!AK424</f>
        <v>0</v>
      </c>
      <c r="AE337" s="70">
        <f>'RESUMEN TOTAL'!AL424</f>
        <v>0</v>
      </c>
      <c r="AF337" s="70">
        <f>'RESUMEN TOTAL'!AM424</f>
        <v>0</v>
      </c>
      <c r="AG337" s="70">
        <f>'RESUMEN TOTAL'!AN424</f>
        <v>0</v>
      </c>
      <c r="AH337" s="70">
        <f>'RESUMEN TOTAL'!AO424</f>
        <v>0</v>
      </c>
      <c r="AI337" s="70">
        <f>'RESUMEN TOTAL'!AP424</f>
        <v>0</v>
      </c>
      <c r="AJ337" s="70">
        <f>'RESUMEN TOTAL'!AQ424</f>
        <v>0</v>
      </c>
    </row>
    <row r="338" spans="1:36" x14ac:dyDescent="0.25">
      <c r="A338" t="str">
        <f>'RESUMEN TOTAL'!A425</f>
        <v>SAN NICOLAS</v>
      </c>
      <c r="B338" t="str">
        <f>'RESUMEN TOTAL'!B425</f>
        <v>SNI 03 (fija 1)</v>
      </c>
      <c r="C338" t="str">
        <f>'RESUMEN TOTAL'!D425</f>
        <v>SARRATEA Y LOS TREBOLES</v>
      </c>
      <c r="D338" s="30" t="str">
        <f>'RESUMEN TOTAL'!E425</f>
        <v>Fija</v>
      </c>
      <c r="E338" s="30" t="str">
        <f>'RESUMEN TOTAL'!F425</f>
        <v>Fibra Optica</v>
      </c>
      <c r="F338" s="70">
        <f>'RESUMEN TOTAL'!M425</f>
        <v>0</v>
      </c>
      <c r="G338" s="70">
        <f>'RESUMEN TOTAL'!N425</f>
        <v>0</v>
      </c>
      <c r="H338" s="70">
        <f>'RESUMEN TOTAL'!O425</f>
        <v>0</v>
      </c>
      <c r="I338" s="70" t="str">
        <f>'RESUMEN TOTAL'!P425</f>
        <v>APAGADO</v>
      </c>
      <c r="J338" s="70">
        <f>'RESUMEN TOTAL'!Q425</f>
        <v>0</v>
      </c>
      <c r="K338" s="70">
        <f>'RESUMEN TOTAL'!R425</f>
        <v>0</v>
      </c>
      <c r="L338" s="70">
        <f>'RESUMEN TOTAL'!S425</f>
        <v>0</v>
      </c>
      <c r="M338" s="70">
        <f>'RESUMEN TOTAL'!T425</f>
        <v>0</v>
      </c>
      <c r="N338" s="70">
        <f>'RESUMEN TOTAL'!U425</f>
        <v>0</v>
      </c>
      <c r="O338" s="70">
        <f>'RESUMEN TOTAL'!V425</f>
        <v>0</v>
      </c>
      <c r="P338" s="70">
        <f>'RESUMEN TOTAL'!W425</f>
        <v>0</v>
      </c>
      <c r="Q338" s="70">
        <f>'RESUMEN TOTAL'!X425</f>
        <v>0</v>
      </c>
      <c r="R338" s="70">
        <f>'RESUMEN TOTAL'!Y425</f>
        <v>0</v>
      </c>
      <c r="S338" s="70">
        <f>'RESUMEN TOTAL'!Z425</f>
        <v>0</v>
      </c>
      <c r="T338" s="70">
        <f>'RESUMEN TOTAL'!AA425</f>
        <v>0</v>
      </c>
      <c r="U338" s="70">
        <f>'RESUMEN TOTAL'!AB425</f>
        <v>0</v>
      </c>
      <c r="V338" s="70">
        <f>'RESUMEN TOTAL'!AC425</f>
        <v>0</v>
      </c>
      <c r="W338" s="70">
        <f>'RESUMEN TOTAL'!AD425</f>
        <v>0</v>
      </c>
      <c r="X338" s="70">
        <f>'RESUMEN TOTAL'!AE425</f>
        <v>0</v>
      </c>
      <c r="Y338" s="70">
        <f>'RESUMEN TOTAL'!AF425</f>
        <v>0</v>
      </c>
      <c r="Z338" s="70">
        <f>'RESUMEN TOTAL'!AG425</f>
        <v>0</v>
      </c>
      <c r="AA338" s="70">
        <f>'RESUMEN TOTAL'!AH425</f>
        <v>0</v>
      </c>
      <c r="AB338" s="70">
        <f>'RESUMEN TOTAL'!AI425</f>
        <v>0</v>
      </c>
      <c r="AC338" s="70">
        <f>'RESUMEN TOTAL'!AJ425</f>
        <v>0</v>
      </c>
      <c r="AD338" s="70">
        <f>'RESUMEN TOTAL'!AK425</f>
        <v>0</v>
      </c>
      <c r="AE338" s="70">
        <f>'RESUMEN TOTAL'!AL425</f>
        <v>0</v>
      </c>
      <c r="AF338" s="70">
        <f>'RESUMEN TOTAL'!AM425</f>
        <v>0</v>
      </c>
      <c r="AG338" s="70">
        <f>'RESUMEN TOTAL'!AN425</f>
        <v>0</v>
      </c>
      <c r="AH338" s="70">
        <f>'RESUMEN TOTAL'!AO425</f>
        <v>0</v>
      </c>
      <c r="AI338" s="70">
        <f>'RESUMEN TOTAL'!AP425</f>
        <v>0</v>
      </c>
      <c r="AJ338" s="70">
        <f>'RESUMEN TOTAL'!AQ425</f>
        <v>0</v>
      </c>
    </row>
    <row r="339" spans="1:36" x14ac:dyDescent="0.25">
      <c r="A339" t="str">
        <f>'RESUMEN TOTAL'!A426</f>
        <v>SAN NICOLAS</v>
      </c>
      <c r="B339" t="str">
        <f>'RESUMEN TOTAL'!B426</f>
        <v>SNI 04 (fija 2)</v>
      </c>
      <c r="C339" t="str">
        <f>'RESUMEN TOTAL'!D426</f>
        <v>SARRATEA Y LOS TREBOLES</v>
      </c>
      <c r="D339" s="30" t="str">
        <f>'RESUMEN TOTAL'!E426</f>
        <v>Fija</v>
      </c>
      <c r="E339" s="30" t="str">
        <f>'RESUMEN TOTAL'!F426</f>
        <v>Fibra Optica</v>
      </c>
      <c r="F339" s="70">
        <f>'RESUMEN TOTAL'!M426</f>
        <v>0</v>
      </c>
      <c r="G339" s="70">
        <f>'RESUMEN TOTAL'!N426</f>
        <v>0</v>
      </c>
      <c r="H339" s="70">
        <f>'RESUMEN TOTAL'!O426</f>
        <v>0</v>
      </c>
      <c r="I339" s="70" t="str">
        <f>'RESUMEN TOTAL'!P426</f>
        <v>APAGADO</v>
      </c>
      <c r="J339" s="70">
        <f>'RESUMEN TOTAL'!Q426</f>
        <v>0</v>
      </c>
      <c r="K339" s="70">
        <f>'RESUMEN TOTAL'!R426</f>
        <v>0</v>
      </c>
      <c r="L339" s="70">
        <f>'RESUMEN TOTAL'!S426</f>
        <v>0</v>
      </c>
      <c r="M339" s="70">
        <f>'RESUMEN TOTAL'!T426</f>
        <v>0</v>
      </c>
      <c r="N339" s="70">
        <f>'RESUMEN TOTAL'!U426</f>
        <v>0</v>
      </c>
      <c r="O339" s="70">
        <f>'RESUMEN TOTAL'!V426</f>
        <v>0</v>
      </c>
      <c r="P339" s="70">
        <f>'RESUMEN TOTAL'!W426</f>
        <v>0</v>
      </c>
      <c r="Q339" s="70">
        <f>'RESUMEN TOTAL'!X426</f>
        <v>0</v>
      </c>
      <c r="R339" s="70">
        <f>'RESUMEN TOTAL'!Y426</f>
        <v>0</v>
      </c>
      <c r="S339" s="70">
        <f>'RESUMEN TOTAL'!Z426</f>
        <v>0</v>
      </c>
      <c r="T339" s="70">
        <f>'RESUMEN TOTAL'!AA426</f>
        <v>0</v>
      </c>
      <c r="U339" s="70">
        <f>'RESUMEN TOTAL'!AB426</f>
        <v>0</v>
      </c>
      <c r="V339" s="70">
        <f>'RESUMEN TOTAL'!AC426</f>
        <v>0</v>
      </c>
      <c r="W339" s="70">
        <f>'RESUMEN TOTAL'!AD426</f>
        <v>0</v>
      </c>
      <c r="X339" s="70">
        <f>'RESUMEN TOTAL'!AE426</f>
        <v>0</v>
      </c>
      <c r="Y339" s="70">
        <f>'RESUMEN TOTAL'!AF426</f>
        <v>0</v>
      </c>
      <c r="Z339" s="70">
        <f>'RESUMEN TOTAL'!AG426</f>
        <v>0</v>
      </c>
      <c r="AA339" s="70">
        <f>'RESUMEN TOTAL'!AH426</f>
        <v>0</v>
      </c>
      <c r="AB339" s="70">
        <f>'RESUMEN TOTAL'!AI426</f>
        <v>0</v>
      </c>
      <c r="AC339" s="70">
        <f>'RESUMEN TOTAL'!AJ426</f>
        <v>0</v>
      </c>
      <c r="AD339" s="70">
        <f>'RESUMEN TOTAL'!AK426</f>
        <v>0</v>
      </c>
      <c r="AE339" s="70">
        <f>'RESUMEN TOTAL'!AL426</f>
        <v>0</v>
      </c>
      <c r="AF339" s="70">
        <f>'RESUMEN TOTAL'!AM426</f>
        <v>0</v>
      </c>
      <c r="AG339" s="70">
        <f>'RESUMEN TOTAL'!AN426</f>
        <v>0</v>
      </c>
      <c r="AH339" s="70">
        <f>'RESUMEN TOTAL'!AO426</f>
        <v>0</v>
      </c>
      <c r="AI339" s="70">
        <f>'RESUMEN TOTAL'!AP426</f>
        <v>0</v>
      </c>
      <c r="AJ339" s="70">
        <f>'RESUMEN TOTAL'!AQ426</f>
        <v>0</v>
      </c>
    </row>
    <row r="340" spans="1:36" x14ac:dyDescent="0.25">
      <c r="A340" t="str">
        <f>'RESUMEN TOTAL'!A427</f>
        <v>SANTA ROSA</v>
      </c>
      <c r="B340" t="str">
        <f>'RESUMEN TOTAL'!B427</f>
        <v>SRO01</v>
      </c>
      <c r="C340" t="str">
        <f>'RESUMEN TOTAL'!D427</f>
        <v>Yugoslavia y MilÃ¡n</v>
      </c>
      <c r="D340" s="30" t="str">
        <f>'RESUMEN TOTAL'!E427</f>
        <v>Domo</v>
      </c>
      <c r="E340" s="30" t="str">
        <f>'RESUMEN TOTAL'!F427</f>
        <v>PTO A FO</v>
      </c>
      <c r="F340" s="70">
        <f>'RESUMEN TOTAL'!M427</f>
        <v>0</v>
      </c>
      <c r="G340" s="70">
        <f>'RESUMEN TOTAL'!N427</f>
        <v>0</v>
      </c>
      <c r="H340" s="70">
        <f>'RESUMEN TOTAL'!O427</f>
        <v>0</v>
      </c>
      <c r="I340" s="70" t="str">
        <f>'RESUMEN TOTAL'!P427</f>
        <v>APAGADO</v>
      </c>
      <c r="J340" s="70">
        <f>'RESUMEN TOTAL'!Q427</f>
        <v>0</v>
      </c>
      <c r="K340" s="70">
        <f>'RESUMEN TOTAL'!R427</f>
        <v>0</v>
      </c>
      <c r="L340" s="70">
        <f>'RESUMEN TOTAL'!S427</f>
        <v>0</v>
      </c>
      <c r="M340" s="70" t="str">
        <f>'RESUMEN TOTAL'!T427</f>
        <v>APAGADO</v>
      </c>
      <c r="N340" s="70">
        <f>'RESUMEN TOTAL'!U427</f>
        <v>0</v>
      </c>
      <c r="O340" s="70">
        <f>'RESUMEN TOTAL'!V427</f>
        <v>0</v>
      </c>
      <c r="P340" s="70">
        <f>'RESUMEN TOTAL'!W427</f>
        <v>0</v>
      </c>
      <c r="Q340" s="70">
        <f>'RESUMEN TOTAL'!X427</f>
        <v>0</v>
      </c>
      <c r="R340" s="70">
        <f>'RESUMEN TOTAL'!Y427</f>
        <v>0</v>
      </c>
      <c r="S340" s="70">
        <f>'RESUMEN TOTAL'!Z427</f>
        <v>0</v>
      </c>
      <c r="T340" s="70">
        <f>'RESUMEN TOTAL'!AA427</f>
        <v>0</v>
      </c>
      <c r="U340" s="70">
        <f>'RESUMEN TOTAL'!AB427</f>
        <v>0</v>
      </c>
      <c r="V340" s="70">
        <f>'RESUMEN TOTAL'!AC427</f>
        <v>0</v>
      </c>
      <c r="W340" s="70">
        <f>'RESUMEN TOTAL'!AD427</f>
        <v>0</v>
      </c>
      <c r="X340" s="70">
        <f>'RESUMEN TOTAL'!AE427</f>
        <v>0</v>
      </c>
      <c r="Y340" s="70">
        <f>'RESUMEN TOTAL'!AF427</f>
        <v>0</v>
      </c>
      <c r="Z340" s="70">
        <f>'RESUMEN TOTAL'!AG427</f>
        <v>0</v>
      </c>
      <c r="AA340" s="70">
        <f>'RESUMEN TOTAL'!AH427</f>
        <v>0</v>
      </c>
      <c r="AB340" s="70">
        <f>'RESUMEN TOTAL'!AI427</f>
        <v>0</v>
      </c>
      <c r="AC340" s="70">
        <f>'RESUMEN TOTAL'!AJ427</f>
        <v>0</v>
      </c>
      <c r="AD340" s="70">
        <f>'RESUMEN TOTAL'!AK427</f>
        <v>0</v>
      </c>
      <c r="AE340" s="70">
        <f>'RESUMEN TOTAL'!AL427</f>
        <v>0</v>
      </c>
      <c r="AF340" s="70">
        <f>'RESUMEN TOTAL'!AM427</f>
        <v>0</v>
      </c>
      <c r="AG340" s="70">
        <f>'RESUMEN TOTAL'!AN427</f>
        <v>0</v>
      </c>
      <c r="AH340" s="70">
        <f>'RESUMEN TOTAL'!AO427</f>
        <v>0</v>
      </c>
      <c r="AI340" s="70">
        <f>'RESUMEN TOTAL'!AP427</f>
        <v>0</v>
      </c>
      <c r="AJ340" s="70">
        <f>'RESUMEN TOTAL'!AQ427</f>
        <v>0</v>
      </c>
    </row>
    <row r="341" spans="1:36" x14ac:dyDescent="0.25">
      <c r="A341" t="str">
        <f>'RESUMEN TOTAL'!A428</f>
        <v>ZONA RURAL SANTA ROSA</v>
      </c>
      <c r="B341" t="str">
        <f>'RESUMEN TOTAL'!B428</f>
        <v>SRO02</v>
      </c>
      <c r="C341" t="str">
        <f>'RESUMEN TOTAL'!D428</f>
        <v>Bruselas y Calle 647</v>
      </c>
      <c r="D341" s="30" t="str">
        <f>'RESUMEN TOTAL'!E428</f>
        <v>Domo</v>
      </c>
      <c r="E341" s="30" t="str">
        <f>'RESUMEN TOTAL'!F428</f>
        <v>PTO A FO</v>
      </c>
      <c r="F341" s="70">
        <f>'RESUMEN TOTAL'!M428</f>
        <v>0</v>
      </c>
      <c r="G341" s="70">
        <f>'RESUMEN TOTAL'!N428</f>
        <v>0</v>
      </c>
      <c r="H341" s="70">
        <f>'RESUMEN TOTAL'!O428</f>
        <v>0</v>
      </c>
      <c r="I341" s="70" t="str">
        <f>'RESUMEN TOTAL'!P428</f>
        <v>APAGADO</v>
      </c>
      <c r="J341" s="70" t="str">
        <f>'RESUMEN TOTAL'!Q428</f>
        <v>APAGADO</v>
      </c>
      <c r="K341" s="70">
        <f>'RESUMEN TOTAL'!R428</f>
        <v>0</v>
      </c>
      <c r="L341" s="70">
        <f>'RESUMEN TOTAL'!S428</f>
        <v>0</v>
      </c>
      <c r="M341" s="70" t="str">
        <f>'RESUMEN TOTAL'!T428</f>
        <v>APAGADO</v>
      </c>
      <c r="N341" s="70">
        <f>'RESUMEN TOTAL'!U428</f>
        <v>0</v>
      </c>
      <c r="O341" s="70">
        <f>'RESUMEN TOTAL'!V428</f>
        <v>0</v>
      </c>
      <c r="P341" s="70">
        <f>'RESUMEN TOTAL'!W428</f>
        <v>0</v>
      </c>
      <c r="Q341" s="70">
        <f>'RESUMEN TOTAL'!X428</f>
        <v>0</v>
      </c>
      <c r="R341" s="70">
        <f>'RESUMEN TOTAL'!Y428</f>
        <v>0</v>
      </c>
      <c r="S341" s="70">
        <f>'RESUMEN TOTAL'!Z428</f>
        <v>0</v>
      </c>
      <c r="T341" s="70">
        <f>'RESUMEN TOTAL'!AA428</f>
        <v>0</v>
      </c>
      <c r="U341" s="70">
        <f>'RESUMEN TOTAL'!AB428</f>
        <v>0</v>
      </c>
      <c r="V341" s="70">
        <f>'RESUMEN TOTAL'!AC428</f>
        <v>0</v>
      </c>
      <c r="W341" s="70">
        <f>'RESUMEN TOTAL'!AD428</f>
        <v>0</v>
      </c>
      <c r="X341" s="70">
        <f>'RESUMEN TOTAL'!AE428</f>
        <v>0</v>
      </c>
      <c r="Y341" s="70">
        <f>'RESUMEN TOTAL'!AF428</f>
        <v>0</v>
      </c>
      <c r="Z341" s="70">
        <f>'RESUMEN TOTAL'!AG428</f>
        <v>0</v>
      </c>
      <c r="AA341" s="70">
        <f>'RESUMEN TOTAL'!AH428</f>
        <v>0</v>
      </c>
      <c r="AB341" s="70">
        <f>'RESUMEN TOTAL'!AI428</f>
        <v>0</v>
      </c>
      <c r="AC341" s="70">
        <f>'RESUMEN TOTAL'!AJ428</f>
        <v>0</v>
      </c>
      <c r="AD341" s="70">
        <f>'RESUMEN TOTAL'!AK428</f>
        <v>0</v>
      </c>
      <c r="AE341" s="70">
        <f>'RESUMEN TOTAL'!AL428</f>
        <v>0</v>
      </c>
      <c r="AF341" s="70">
        <f>'RESUMEN TOTAL'!AM428</f>
        <v>0</v>
      </c>
      <c r="AG341" s="70">
        <f>'RESUMEN TOTAL'!AN428</f>
        <v>0</v>
      </c>
      <c r="AH341" s="70">
        <f>'RESUMEN TOTAL'!AO428</f>
        <v>0</v>
      </c>
      <c r="AI341" s="70">
        <f>'RESUMEN TOTAL'!AP428</f>
        <v>0</v>
      </c>
      <c r="AJ341" s="70">
        <f>'RESUMEN TOTAL'!AQ428</f>
        <v>0</v>
      </c>
    </row>
    <row r="342" spans="1:36" x14ac:dyDescent="0.25">
      <c r="A342" t="str">
        <f>'RESUMEN TOTAL'!A429</f>
        <v>SANTA ROSA</v>
      </c>
      <c r="B342" t="str">
        <f>'RESUMEN TOTAL'!B429</f>
        <v>SRO03</v>
      </c>
      <c r="C342" t="str">
        <f>'RESUMEN TOTAL'!D429</f>
        <v>Eva Peron y Paysandu</v>
      </c>
      <c r="D342" s="30" t="str">
        <f>'RESUMEN TOTAL'!E429</f>
        <v>Domo</v>
      </c>
      <c r="E342" s="30" t="str">
        <f>'RESUMEN TOTAL'!F429</f>
        <v>GPON</v>
      </c>
      <c r="F342" s="70">
        <f>'RESUMEN TOTAL'!M429</f>
        <v>0</v>
      </c>
      <c r="G342" s="70">
        <f>'RESUMEN TOTAL'!N429</f>
        <v>0</v>
      </c>
      <c r="H342" s="70">
        <f>'RESUMEN TOTAL'!O429</f>
        <v>0</v>
      </c>
      <c r="I342" s="70">
        <f>'RESUMEN TOTAL'!P429</f>
        <v>0</v>
      </c>
      <c r="J342" s="70">
        <f>'RESUMEN TOTAL'!Q429</f>
        <v>0</v>
      </c>
      <c r="K342" s="70">
        <f>'RESUMEN TOTAL'!R429</f>
        <v>0</v>
      </c>
      <c r="L342" s="70">
        <f>'RESUMEN TOTAL'!S429</f>
        <v>0</v>
      </c>
      <c r="M342" s="70">
        <f>'RESUMEN TOTAL'!T429</f>
        <v>0</v>
      </c>
      <c r="N342" s="70">
        <f>'RESUMEN TOTAL'!U429</f>
        <v>0</v>
      </c>
      <c r="O342" s="70">
        <f>'RESUMEN TOTAL'!V429</f>
        <v>0</v>
      </c>
      <c r="P342" s="70">
        <f>'RESUMEN TOTAL'!W429</f>
        <v>0</v>
      </c>
      <c r="Q342" s="70">
        <f>'RESUMEN TOTAL'!X429</f>
        <v>0</v>
      </c>
      <c r="R342" s="70">
        <f>'RESUMEN TOTAL'!Y429</f>
        <v>0</v>
      </c>
      <c r="S342" s="70">
        <f>'RESUMEN TOTAL'!Z429</f>
        <v>0</v>
      </c>
      <c r="T342" s="70">
        <f>'RESUMEN TOTAL'!AA429</f>
        <v>0</v>
      </c>
      <c r="U342" s="70">
        <f>'RESUMEN TOTAL'!AB429</f>
        <v>0</v>
      </c>
      <c r="V342" s="70">
        <f>'RESUMEN TOTAL'!AC429</f>
        <v>0</v>
      </c>
      <c r="W342" s="70">
        <f>'RESUMEN TOTAL'!AD429</f>
        <v>0</v>
      </c>
      <c r="X342" s="70">
        <f>'RESUMEN TOTAL'!AE429</f>
        <v>0</v>
      </c>
      <c r="Y342" s="70">
        <f>'RESUMEN TOTAL'!AF429</f>
        <v>0</v>
      </c>
      <c r="Z342" s="70">
        <f>'RESUMEN TOTAL'!AG429</f>
        <v>0</v>
      </c>
      <c r="AA342" s="70">
        <f>'RESUMEN TOTAL'!AH429</f>
        <v>0</v>
      </c>
      <c r="AB342" s="70">
        <f>'RESUMEN TOTAL'!AI429</f>
        <v>0</v>
      </c>
      <c r="AC342" s="70">
        <f>'RESUMEN TOTAL'!AJ429</f>
        <v>0</v>
      </c>
      <c r="AD342" s="70">
        <f>'RESUMEN TOTAL'!AK429</f>
        <v>0</v>
      </c>
      <c r="AE342" s="70">
        <f>'RESUMEN TOTAL'!AL429</f>
        <v>0</v>
      </c>
      <c r="AF342" s="70">
        <f>'RESUMEN TOTAL'!AM429</f>
        <v>0</v>
      </c>
      <c r="AG342" s="70">
        <f>'RESUMEN TOTAL'!AN429</f>
        <v>0</v>
      </c>
      <c r="AH342" s="70">
        <f>'RESUMEN TOTAL'!AO429</f>
        <v>0</v>
      </c>
      <c r="AI342" s="70">
        <f>'RESUMEN TOTAL'!AP429</f>
        <v>0</v>
      </c>
      <c r="AJ342" s="70">
        <f>'RESUMEN TOTAL'!AQ429</f>
        <v>0</v>
      </c>
    </row>
    <row r="343" spans="1:36" x14ac:dyDescent="0.25">
      <c r="A343" t="str">
        <f>'RESUMEN TOTAL'!A430</f>
        <v>SANTA ROSA</v>
      </c>
      <c r="B343" t="str">
        <f>'RESUMEN TOTAL'!B430</f>
        <v>SRO 04</v>
      </c>
      <c r="C343" t="str">
        <f>'RESUMEN TOTAL'!D430</f>
        <v>Belgica y Andorra</v>
      </c>
      <c r="D343" s="30" t="str">
        <f>'RESUMEN TOTAL'!E430</f>
        <v>Domo</v>
      </c>
      <c r="E343" s="30" t="str">
        <f>'RESUMEN TOTAL'!F430</f>
        <v>GPON</v>
      </c>
      <c r="F343" s="70">
        <f>'RESUMEN TOTAL'!M430</f>
        <v>0</v>
      </c>
      <c r="G343" s="70">
        <f>'RESUMEN TOTAL'!N430</f>
        <v>0</v>
      </c>
      <c r="H343" s="70">
        <f>'RESUMEN TOTAL'!O430</f>
        <v>0</v>
      </c>
      <c r="I343" s="70">
        <f>'RESUMEN TOTAL'!P430</f>
        <v>0</v>
      </c>
      <c r="J343" s="70">
        <f>'RESUMEN TOTAL'!Q430</f>
        <v>0</v>
      </c>
      <c r="K343" s="70">
        <f>'RESUMEN TOTAL'!R430</f>
        <v>0</v>
      </c>
      <c r="L343" s="70">
        <f>'RESUMEN TOTAL'!S430</f>
        <v>0</v>
      </c>
      <c r="M343" s="70">
        <f>'RESUMEN TOTAL'!T430</f>
        <v>0</v>
      </c>
      <c r="N343" s="70">
        <f>'RESUMEN TOTAL'!U430</f>
        <v>0</v>
      </c>
      <c r="O343" s="70">
        <f>'RESUMEN TOTAL'!V430</f>
        <v>0</v>
      </c>
      <c r="P343" s="70">
        <f>'RESUMEN TOTAL'!W430</f>
        <v>0</v>
      </c>
      <c r="Q343" s="70">
        <f>'RESUMEN TOTAL'!X430</f>
        <v>0</v>
      </c>
      <c r="R343" s="70">
        <f>'RESUMEN TOTAL'!Y430</f>
        <v>0</v>
      </c>
      <c r="S343" s="70">
        <f>'RESUMEN TOTAL'!Z430</f>
        <v>0</v>
      </c>
      <c r="T343" s="70">
        <f>'RESUMEN TOTAL'!AA430</f>
        <v>0</v>
      </c>
      <c r="U343" s="70">
        <f>'RESUMEN TOTAL'!AB430</f>
        <v>0</v>
      </c>
      <c r="V343" s="70">
        <f>'RESUMEN TOTAL'!AC430</f>
        <v>0</v>
      </c>
      <c r="W343" s="70">
        <f>'RESUMEN TOTAL'!AD430</f>
        <v>0</v>
      </c>
      <c r="X343" s="70">
        <f>'RESUMEN TOTAL'!AE430</f>
        <v>0</v>
      </c>
      <c r="Y343" s="70">
        <f>'RESUMEN TOTAL'!AF430</f>
        <v>0</v>
      </c>
      <c r="Z343" s="70">
        <f>'RESUMEN TOTAL'!AG430</f>
        <v>0</v>
      </c>
      <c r="AA343" s="70">
        <f>'RESUMEN TOTAL'!AH430</f>
        <v>0</v>
      </c>
      <c r="AB343" s="70">
        <f>'RESUMEN TOTAL'!AI430</f>
        <v>0</v>
      </c>
      <c r="AC343" s="70">
        <f>'RESUMEN TOTAL'!AJ430</f>
        <v>0</v>
      </c>
      <c r="AD343" s="70">
        <f>'RESUMEN TOTAL'!AK430</f>
        <v>0</v>
      </c>
      <c r="AE343" s="70">
        <f>'RESUMEN TOTAL'!AL430</f>
        <v>0</v>
      </c>
      <c r="AF343" s="70">
        <f>'RESUMEN TOTAL'!AM430</f>
        <v>0</v>
      </c>
      <c r="AG343" s="70">
        <f>'RESUMEN TOTAL'!AN430</f>
        <v>0</v>
      </c>
      <c r="AH343" s="70">
        <f>'RESUMEN TOTAL'!AO430</f>
        <v>0</v>
      </c>
      <c r="AI343" s="70">
        <f>'RESUMEN TOTAL'!AP430</f>
        <v>0</v>
      </c>
      <c r="AJ343" s="70">
        <f>'RESUMEN TOTAL'!AQ430</f>
        <v>0</v>
      </c>
    </row>
    <row r="344" spans="1:36" x14ac:dyDescent="0.25">
      <c r="A344" t="str">
        <f>'RESUMEN TOTAL'!A431</f>
        <v>SANTA ROSA</v>
      </c>
      <c r="B344" t="str">
        <f>'RESUMEN TOTAL'!B431</f>
        <v>SRO05</v>
      </c>
      <c r="C344" t="str">
        <f>'RESUMEN TOTAL'!D431</f>
        <v>CAFFERATA Y BONN</v>
      </c>
      <c r="D344" s="30" t="str">
        <f>'RESUMEN TOTAL'!E431</f>
        <v>DOMO</v>
      </c>
      <c r="E344" s="30" t="str">
        <f>'RESUMEN TOTAL'!F431</f>
        <v>Radio</v>
      </c>
      <c r="F344" s="70">
        <f>'RESUMEN TOTAL'!M431</f>
        <v>0</v>
      </c>
      <c r="G344" s="70">
        <f>'RESUMEN TOTAL'!N431</f>
        <v>0</v>
      </c>
      <c r="H344" s="70">
        <f>'RESUMEN TOTAL'!O431</f>
        <v>0</v>
      </c>
      <c r="I344" s="70">
        <f>'RESUMEN TOTAL'!P431</f>
        <v>0</v>
      </c>
      <c r="J344" s="70">
        <f>'RESUMEN TOTAL'!Q431</f>
        <v>0</v>
      </c>
      <c r="K344" s="70">
        <f>'RESUMEN TOTAL'!R431</f>
        <v>0</v>
      </c>
      <c r="L344" s="70">
        <f>'RESUMEN TOTAL'!S431</f>
        <v>0</v>
      </c>
      <c r="M344" s="70">
        <f>'RESUMEN TOTAL'!T431</f>
        <v>0</v>
      </c>
      <c r="N344" s="70">
        <f>'RESUMEN TOTAL'!U431</f>
        <v>0</v>
      </c>
      <c r="O344" s="70">
        <f>'RESUMEN TOTAL'!V431</f>
        <v>0</v>
      </c>
      <c r="P344" s="70">
        <f>'RESUMEN TOTAL'!W431</f>
        <v>0</v>
      </c>
      <c r="Q344" s="70">
        <f>'RESUMEN TOTAL'!X431</f>
        <v>0</v>
      </c>
      <c r="R344" s="70">
        <f>'RESUMEN TOTAL'!Y431</f>
        <v>0</v>
      </c>
      <c r="S344" s="70">
        <f>'RESUMEN TOTAL'!Z431</f>
        <v>0</v>
      </c>
      <c r="T344" s="70">
        <f>'RESUMEN TOTAL'!AA431</f>
        <v>0</v>
      </c>
      <c r="U344" s="70">
        <f>'RESUMEN TOTAL'!AB431</f>
        <v>0</v>
      </c>
      <c r="V344" s="70">
        <f>'RESUMEN TOTAL'!AC431</f>
        <v>0</v>
      </c>
      <c r="W344" s="70">
        <f>'RESUMEN TOTAL'!AD431</f>
        <v>0</v>
      </c>
      <c r="X344" s="70">
        <f>'RESUMEN TOTAL'!AE431</f>
        <v>0</v>
      </c>
      <c r="Y344" s="70">
        <f>'RESUMEN TOTAL'!AF431</f>
        <v>0</v>
      </c>
      <c r="Z344" s="70">
        <f>'RESUMEN TOTAL'!AG431</f>
        <v>0</v>
      </c>
      <c r="AA344" s="70">
        <f>'RESUMEN TOTAL'!AH431</f>
        <v>0</v>
      </c>
      <c r="AB344" s="70">
        <f>'RESUMEN TOTAL'!AI431</f>
        <v>0</v>
      </c>
      <c r="AC344" s="70">
        <f>'RESUMEN TOTAL'!AJ431</f>
        <v>0</v>
      </c>
      <c r="AD344" s="70">
        <f>'RESUMEN TOTAL'!AK431</f>
        <v>0</v>
      </c>
      <c r="AE344" s="70">
        <f>'RESUMEN TOTAL'!AL431</f>
        <v>0</v>
      </c>
      <c r="AF344" s="70">
        <f>'RESUMEN TOTAL'!AM431</f>
        <v>0</v>
      </c>
      <c r="AG344" s="70">
        <f>'RESUMEN TOTAL'!AN431</f>
        <v>0</v>
      </c>
      <c r="AH344" s="70">
        <f>'RESUMEN TOTAL'!AO431</f>
        <v>0</v>
      </c>
      <c r="AI344" s="70">
        <f>'RESUMEN TOTAL'!AP431</f>
        <v>0</v>
      </c>
      <c r="AJ344" s="70">
        <f>'RESUMEN TOTAL'!AQ431</f>
        <v>0</v>
      </c>
    </row>
    <row r="345" spans="1:36" x14ac:dyDescent="0.25">
      <c r="A345" t="str">
        <f>'RESUMEN TOTAL'!A432</f>
        <v>SANTA ROSA</v>
      </c>
      <c r="B345" t="str">
        <f>'RESUMEN TOTAL'!B432</f>
        <v>SRO06</v>
      </c>
      <c r="C345" t="str">
        <f>'RESUMEN TOTAL'!D432</f>
        <v>Novak y Bonn</v>
      </c>
      <c r="D345" s="30" t="str">
        <f>'RESUMEN TOTAL'!E432</f>
        <v>Domo</v>
      </c>
      <c r="E345" s="30" t="str">
        <f>'RESUMEN TOTAL'!F432</f>
        <v>Fibra Optica</v>
      </c>
      <c r="F345" s="70" t="str">
        <f>'RESUMEN TOTAL'!M432</f>
        <v>APAGADO</v>
      </c>
      <c r="G345" s="70" t="str">
        <f>'RESUMEN TOTAL'!N432</f>
        <v>APAGADO</v>
      </c>
      <c r="H345" s="70" t="str">
        <f>'RESUMEN TOTAL'!O432</f>
        <v>APAGADO</v>
      </c>
      <c r="I345" s="70" t="str">
        <f>'RESUMEN TOTAL'!P432</f>
        <v>APAGADO</v>
      </c>
      <c r="J345" s="70" t="str">
        <f>'RESUMEN TOTAL'!Q432</f>
        <v>APAGADO</v>
      </c>
      <c r="K345" s="70" t="str">
        <f>'RESUMEN TOTAL'!R432</f>
        <v>APAGADO</v>
      </c>
      <c r="L345" s="70" t="str">
        <f>'RESUMEN TOTAL'!S432</f>
        <v>APAGADO</v>
      </c>
      <c r="M345" s="70" t="str">
        <f>'RESUMEN TOTAL'!T432</f>
        <v>APAGADO</v>
      </c>
      <c r="N345" s="70">
        <f>'RESUMEN TOTAL'!U432</f>
        <v>0</v>
      </c>
      <c r="O345" s="70">
        <f>'RESUMEN TOTAL'!V432</f>
        <v>0</v>
      </c>
      <c r="P345" s="70">
        <f>'RESUMEN TOTAL'!W432</f>
        <v>0</v>
      </c>
      <c r="Q345" s="70">
        <f>'RESUMEN TOTAL'!X432</f>
        <v>0</v>
      </c>
      <c r="R345" s="70">
        <f>'RESUMEN TOTAL'!Y432</f>
        <v>0</v>
      </c>
      <c r="S345" s="70">
        <f>'RESUMEN TOTAL'!Z432</f>
        <v>0</v>
      </c>
      <c r="T345" s="70">
        <f>'RESUMEN TOTAL'!AA432</f>
        <v>0</v>
      </c>
      <c r="U345" s="70">
        <f>'RESUMEN TOTAL'!AB432</f>
        <v>0</v>
      </c>
      <c r="V345" s="70">
        <f>'RESUMEN TOTAL'!AC432</f>
        <v>0</v>
      </c>
      <c r="W345" s="70">
        <f>'RESUMEN TOTAL'!AD432</f>
        <v>0</v>
      </c>
      <c r="X345" s="70">
        <f>'RESUMEN TOTAL'!AE432</f>
        <v>0</v>
      </c>
      <c r="Y345" s="70">
        <f>'RESUMEN TOTAL'!AF432</f>
        <v>0</v>
      </c>
      <c r="Z345" s="70">
        <f>'RESUMEN TOTAL'!AG432</f>
        <v>0</v>
      </c>
      <c r="AA345" s="70">
        <f>'RESUMEN TOTAL'!AH432</f>
        <v>0</v>
      </c>
      <c r="AB345" s="70">
        <f>'RESUMEN TOTAL'!AI432</f>
        <v>0</v>
      </c>
      <c r="AC345" s="70">
        <f>'RESUMEN TOTAL'!AJ432</f>
        <v>0</v>
      </c>
      <c r="AD345" s="70">
        <f>'RESUMEN TOTAL'!AK432</f>
        <v>0</v>
      </c>
      <c r="AE345" s="70">
        <f>'RESUMEN TOTAL'!AL432</f>
        <v>0</v>
      </c>
      <c r="AF345" s="70">
        <f>'RESUMEN TOTAL'!AM432</f>
        <v>0</v>
      </c>
      <c r="AG345" s="70">
        <f>'RESUMEN TOTAL'!AN432</f>
        <v>0</v>
      </c>
      <c r="AH345" s="70">
        <f>'RESUMEN TOTAL'!AO432</f>
        <v>0</v>
      </c>
      <c r="AI345" s="70">
        <f>'RESUMEN TOTAL'!AP432</f>
        <v>0</v>
      </c>
      <c r="AJ345" s="70">
        <f>'RESUMEN TOTAL'!AQ432</f>
        <v>0</v>
      </c>
    </row>
    <row r="346" spans="1:36" x14ac:dyDescent="0.25">
      <c r="A346" t="str">
        <f>'RESUMEN TOTAL'!A433</f>
        <v>SANTA ROSA</v>
      </c>
      <c r="B346" t="str">
        <f>'RESUMEN TOTAL'!B433</f>
        <v>SRO07</v>
      </c>
      <c r="C346" t="str">
        <f>'RESUMEN TOTAL'!D433</f>
        <v>NOVAK Y BELGICA</v>
      </c>
      <c r="D346" s="30" t="str">
        <f>'RESUMEN TOTAL'!E433</f>
        <v>Domo</v>
      </c>
      <c r="E346" s="30" t="str">
        <f>'RESUMEN TOTAL'!F433</f>
        <v>Fibra Optica</v>
      </c>
      <c r="F346" s="70">
        <f>'RESUMEN TOTAL'!M433</f>
        <v>0</v>
      </c>
      <c r="G346" s="70">
        <f>'RESUMEN TOTAL'!N433</f>
        <v>0</v>
      </c>
      <c r="H346" s="70">
        <f>'RESUMEN TOTAL'!O433</f>
        <v>0</v>
      </c>
      <c r="I346" s="70">
        <f>'RESUMEN TOTAL'!P433</f>
        <v>0</v>
      </c>
      <c r="J346" s="70">
        <f>'RESUMEN TOTAL'!Q433</f>
        <v>0</v>
      </c>
      <c r="K346" s="70">
        <f>'RESUMEN TOTAL'!R433</f>
        <v>0</v>
      </c>
      <c r="L346" s="70">
        <f>'RESUMEN TOTAL'!S433</f>
        <v>0</v>
      </c>
      <c r="M346" s="70">
        <f>'RESUMEN TOTAL'!T433</f>
        <v>0</v>
      </c>
      <c r="N346" s="70">
        <f>'RESUMEN TOTAL'!U433</f>
        <v>0</v>
      </c>
      <c r="O346" s="70">
        <f>'RESUMEN TOTAL'!V433</f>
        <v>0</v>
      </c>
      <c r="P346" s="70">
        <f>'RESUMEN TOTAL'!W433</f>
        <v>0</v>
      </c>
      <c r="Q346" s="70">
        <f>'RESUMEN TOTAL'!X433</f>
        <v>0</v>
      </c>
      <c r="R346" s="70">
        <f>'RESUMEN TOTAL'!Y433</f>
        <v>0</v>
      </c>
      <c r="S346" s="70">
        <f>'RESUMEN TOTAL'!Z433</f>
        <v>0</v>
      </c>
      <c r="T346" s="70">
        <f>'RESUMEN TOTAL'!AA433</f>
        <v>0</v>
      </c>
      <c r="U346" s="70">
        <f>'RESUMEN TOTAL'!AB433</f>
        <v>0</v>
      </c>
      <c r="V346" s="70">
        <f>'RESUMEN TOTAL'!AC433</f>
        <v>0</v>
      </c>
      <c r="W346" s="70">
        <f>'RESUMEN TOTAL'!AD433</f>
        <v>0</v>
      </c>
      <c r="X346" s="70">
        <f>'RESUMEN TOTAL'!AE433</f>
        <v>0</v>
      </c>
      <c r="Y346" s="70">
        <f>'RESUMEN TOTAL'!AF433</f>
        <v>0</v>
      </c>
      <c r="Z346" s="70">
        <f>'RESUMEN TOTAL'!AG433</f>
        <v>0</v>
      </c>
      <c r="AA346" s="70">
        <f>'RESUMEN TOTAL'!AH433</f>
        <v>0</v>
      </c>
      <c r="AB346" s="70">
        <f>'RESUMEN TOTAL'!AI433</f>
        <v>0</v>
      </c>
      <c r="AC346" s="70">
        <f>'RESUMEN TOTAL'!AJ433</f>
        <v>0</v>
      </c>
      <c r="AD346" s="70">
        <f>'RESUMEN TOTAL'!AK433</f>
        <v>0</v>
      </c>
      <c r="AE346" s="70">
        <f>'RESUMEN TOTAL'!AL433</f>
        <v>0</v>
      </c>
      <c r="AF346" s="70">
        <f>'RESUMEN TOTAL'!AM433</f>
        <v>0</v>
      </c>
      <c r="AG346" s="70">
        <f>'RESUMEN TOTAL'!AN433</f>
        <v>0</v>
      </c>
      <c r="AH346" s="70">
        <f>'RESUMEN TOTAL'!AO433</f>
        <v>0</v>
      </c>
      <c r="AI346" s="70">
        <f>'RESUMEN TOTAL'!AP433</f>
        <v>0</v>
      </c>
      <c r="AJ346" s="70">
        <f>'RESUMEN TOTAL'!AQ433</f>
        <v>0</v>
      </c>
    </row>
    <row r="347" spans="1:36" x14ac:dyDescent="0.25">
      <c r="A347" t="str">
        <f>'RESUMEN TOTAL'!A434</f>
        <v>SANTA ROSA</v>
      </c>
      <c r="B347" t="str">
        <f>'RESUMEN TOTAL'!B434</f>
        <v>SRO 08</v>
      </c>
      <c r="C347" t="str">
        <f>'RESUMEN TOTAL'!D434</f>
        <v>NOVAK E/ DESSY Y BELGICA (POLIDEPORTIVO LA PATRIADA)</v>
      </c>
      <c r="D347" s="30" t="str">
        <f>'RESUMEN TOTAL'!E434</f>
        <v>Domo</v>
      </c>
      <c r="E347" s="30" t="str">
        <f>'RESUMEN TOTAL'!F434</f>
        <v>Fibra Optica</v>
      </c>
      <c r="F347" s="70" t="str">
        <f>'RESUMEN TOTAL'!M434</f>
        <v>APAGADO</v>
      </c>
      <c r="G347" s="70" t="str">
        <f>'RESUMEN TOTAL'!N434</f>
        <v>APAGADO</v>
      </c>
      <c r="H347" s="70" t="str">
        <f>'RESUMEN TOTAL'!O434</f>
        <v>APAGADO</v>
      </c>
      <c r="I347" s="70" t="str">
        <f>'RESUMEN TOTAL'!P434</f>
        <v>APAGADO</v>
      </c>
      <c r="J347" s="70" t="str">
        <f>'RESUMEN TOTAL'!Q434</f>
        <v>APAGADO</v>
      </c>
      <c r="K347" s="70" t="str">
        <f>'RESUMEN TOTAL'!R434</f>
        <v>APAGADO</v>
      </c>
      <c r="L347" s="70" t="str">
        <f>'RESUMEN TOTAL'!S434</f>
        <v>APAGADO</v>
      </c>
      <c r="M347" s="70" t="str">
        <f>'RESUMEN TOTAL'!T434</f>
        <v>APAGADO</v>
      </c>
      <c r="N347" s="70">
        <f>'RESUMEN TOTAL'!U434</f>
        <v>0</v>
      </c>
      <c r="O347" s="70">
        <f>'RESUMEN TOTAL'!V434</f>
        <v>0</v>
      </c>
      <c r="P347" s="70">
        <f>'RESUMEN TOTAL'!W434</f>
        <v>0</v>
      </c>
      <c r="Q347" s="70">
        <f>'RESUMEN TOTAL'!X434</f>
        <v>0</v>
      </c>
      <c r="R347" s="70">
        <f>'RESUMEN TOTAL'!Y434</f>
        <v>0</v>
      </c>
      <c r="S347" s="70">
        <f>'RESUMEN TOTAL'!Z434</f>
        <v>0</v>
      </c>
      <c r="T347" s="70">
        <f>'RESUMEN TOTAL'!AA434</f>
        <v>0</v>
      </c>
      <c r="U347" s="70">
        <f>'RESUMEN TOTAL'!AB434</f>
        <v>0</v>
      </c>
      <c r="V347" s="70">
        <f>'RESUMEN TOTAL'!AC434</f>
        <v>0</v>
      </c>
      <c r="W347" s="70">
        <f>'RESUMEN TOTAL'!AD434</f>
        <v>0</v>
      </c>
      <c r="X347" s="70">
        <f>'RESUMEN TOTAL'!AE434</f>
        <v>0</v>
      </c>
      <c r="Y347" s="70">
        <f>'RESUMEN TOTAL'!AF434</f>
        <v>0</v>
      </c>
      <c r="Z347" s="70">
        <f>'RESUMEN TOTAL'!AG434</f>
        <v>0</v>
      </c>
      <c r="AA347" s="70">
        <f>'RESUMEN TOTAL'!AH434</f>
        <v>0</v>
      </c>
      <c r="AB347" s="70">
        <f>'RESUMEN TOTAL'!AI434</f>
        <v>0</v>
      </c>
      <c r="AC347" s="70">
        <f>'RESUMEN TOTAL'!AJ434</f>
        <v>0</v>
      </c>
      <c r="AD347" s="70">
        <f>'RESUMEN TOTAL'!AK434</f>
        <v>0</v>
      </c>
      <c r="AE347" s="70">
        <f>'RESUMEN TOTAL'!AL434</f>
        <v>0</v>
      </c>
      <c r="AF347" s="70">
        <f>'RESUMEN TOTAL'!AM434</f>
        <v>0</v>
      </c>
      <c r="AG347" s="70">
        <f>'RESUMEN TOTAL'!AN434</f>
        <v>0</v>
      </c>
      <c r="AH347" s="70">
        <f>'RESUMEN TOTAL'!AO434</f>
        <v>0</v>
      </c>
      <c r="AI347" s="70">
        <f>'RESUMEN TOTAL'!AP434</f>
        <v>0</v>
      </c>
      <c r="AJ347" s="70">
        <f>'RESUMEN TOTAL'!AQ434</f>
        <v>0</v>
      </c>
    </row>
    <row r="348" spans="1:36" x14ac:dyDescent="0.25">
      <c r="A348" t="str">
        <f>'RESUMEN TOTAL'!A435</f>
        <v>SANTA ROSA</v>
      </c>
      <c r="B348" t="str">
        <f>'RESUMEN TOTAL'!B435</f>
        <v>SRO09</v>
      </c>
      <c r="C348" t="str">
        <f>'RESUMEN TOTAL'!D435</f>
        <v>BUCAREST E/ ALEMANIA Y CAFFERATA</v>
      </c>
      <c r="D348" s="30" t="str">
        <f>'RESUMEN TOTAL'!E435</f>
        <v>DOMO</v>
      </c>
      <c r="E348" s="30" t="str">
        <f>'RESUMEN TOTAL'!F435</f>
        <v>Radio</v>
      </c>
      <c r="F348" s="70" t="str">
        <f>'RESUMEN TOTAL'!M435</f>
        <v>APAGADO</v>
      </c>
      <c r="G348" s="70" t="str">
        <f>'RESUMEN TOTAL'!N435</f>
        <v>APAGADO</v>
      </c>
      <c r="H348" s="70" t="str">
        <f>'RESUMEN TOTAL'!O435</f>
        <v>APAGADO</v>
      </c>
      <c r="I348" s="70" t="str">
        <f>'RESUMEN TOTAL'!P435</f>
        <v>APAGADO</v>
      </c>
      <c r="J348" s="70">
        <f>'RESUMEN TOTAL'!Q435</f>
        <v>0</v>
      </c>
      <c r="K348" s="70">
        <f>'RESUMEN TOTAL'!R435</f>
        <v>0</v>
      </c>
      <c r="L348" s="70">
        <f>'RESUMEN TOTAL'!S435</f>
        <v>0</v>
      </c>
      <c r="M348" s="70">
        <f>'RESUMEN TOTAL'!T435</f>
        <v>0</v>
      </c>
      <c r="N348" s="70">
        <f>'RESUMEN TOTAL'!U435</f>
        <v>0</v>
      </c>
      <c r="O348" s="70">
        <f>'RESUMEN TOTAL'!V435</f>
        <v>0</v>
      </c>
      <c r="P348" s="70">
        <f>'RESUMEN TOTAL'!W435</f>
        <v>0</v>
      </c>
      <c r="Q348" s="70">
        <f>'RESUMEN TOTAL'!X435</f>
        <v>0</v>
      </c>
      <c r="R348" s="70">
        <f>'RESUMEN TOTAL'!Y435</f>
        <v>0</v>
      </c>
      <c r="S348" s="70">
        <f>'RESUMEN TOTAL'!Z435</f>
        <v>0</v>
      </c>
      <c r="T348" s="70">
        <f>'RESUMEN TOTAL'!AA435</f>
        <v>0</v>
      </c>
      <c r="U348" s="70">
        <f>'RESUMEN TOTAL'!AB435</f>
        <v>0</v>
      </c>
      <c r="V348" s="70">
        <f>'RESUMEN TOTAL'!AC435</f>
        <v>0</v>
      </c>
      <c r="W348" s="70">
        <f>'RESUMEN TOTAL'!AD435</f>
        <v>0</v>
      </c>
      <c r="X348" s="70">
        <f>'RESUMEN TOTAL'!AE435</f>
        <v>0</v>
      </c>
      <c r="Y348" s="70">
        <f>'RESUMEN TOTAL'!AF435</f>
        <v>0</v>
      </c>
      <c r="Z348" s="70">
        <f>'RESUMEN TOTAL'!AG435</f>
        <v>0</v>
      </c>
      <c r="AA348" s="70">
        <f>'RESUMEN TOTAL'!AH435</f>
        <v>0</v>
      </c>
      <c r="AB348" s="70">
        <f>'RESUMEN TOTAL'!AI435</f>
        <v>0</v>
      </c>
      <c r="AC348" s="70">
        <f>'RESUMEN TOTAL'!AJ435</f>
        <v>0</v>
      </c>
      <c r="AD348" s="70">
        <f>'RESUMEN TOTAL'!AK435</f>
        <v>0</v>
      </c>
      <c r="AE348" s="70">
        <f>'RESUMEN TOTAL'!AL435</f>
        <v>0</v>
      </c>
      <c r="AF348" s="70">
        <f>'RESUMEN TOTAL'!AM435</f>
        <v>0</v>
      </c>
      <c r="AG348" s="70">
        <f>'RESUMEN TOTAL'!AN435</f>
        <v>0</v>
      </c>
      <c r="AH348" s="70">
        <f>'RESUMEN TOTAL'!AO435</f>
        <v>0</v>
      </c>
      <c r="AI348" s="70">
        <f>'RESUMEN TOTAL'!AP435</f>
        <v>0</v>
      </c>
      <c r="AJ348" s="70">
        <f>'RESUMEN TOTAL'!AQ435</f>
        <v>0</v>
      </c>
    </row>
    <row r="349" spans="1:36" x14ac:dyDescent="0.25">
      <c r="A349" t="str">
        <f>'RESUMEN TOTAL'!A436</f>
        <v>SANTA ROSA</v>
      </c>
      <c r="B349" t="str">
        <f>'RESUMEN TOTAL'!B436</f>
        <v>SRO10</v>
      </c>
      <c r="C349" t="str">
        <f>'RESUMEN TOTAL'!D436</f>
        <v>DINAMARCA Y MILAN</v>
      </c>
      <c r="D349" s="30" t="str">
        <f>'RESUMEN TOTAL'!E436</f>
        <v>DOMO</v>
      </c>
      <c r="E349" s="30" t="str">
        <f>'RESUMEN TOTAL'!F436</f>
        <v>Radio</v>
      </c>
      <c r="F349" s="70">
        <f>'RESUMEN TOTAL'!M436</f>
        <v>0</v>
      </c>
      <c r="G349" s="70">
        <f>'RESUMEN TOTAL'!N436</f>
        <v>0</v>
      </c>
      <c r="H349" s="70">
        <f>'RESUMEN TOTAL'!O436</f>
        <v>0</v>
      </c>
      <c r="I349" s="70" t="str">
        <f>'RESUMEN TOTAL'!P436</f>
        <v>APAGADO</v>
      </c>
      <c r="J349" s="70">
        <f>'RESUMEN TOTAL'!Q436</f>
        <v>0</v>
      </c>
      <c r="K349" s="70">
        <f>'RESUMEN TOTAL'!R436</f>
        <v>0</v>
      </c>
      <c r="L349" s="70">
        <f>'RESUMEN TOTAL'!S436</f>
        <v>0</v>
      </c>
      <c r="M349" s="70">
        <f>'RESUMEN TOTAL'!T436</f>
        <v>0</v>
      </c>
      <c r="N349" s="70">
        <f>'RESUMEN TOTAL'!U436</f>
        <v>0</v>
      </c>
      <c r="O349" s="70">
        <f>'RESUMEN TOTAL'!V436</f>
        <v>0</v>
      </c>
      <c r="P349" s="70">
        <f>'RESUMEN TOTAL'!W436</f>
        <v>0</v>
      </c>
      <c r="Q349" s="70">
        <f>'RESUMEN TOTAL'!X436</f>
        <v>0</v>
      </c>
      <c r="R349" s="70">
        <f>'RESUMEN TOTAL'!Y436</f>
        <v>0</v>
      </c>
      <c r="S349" s="70">
        <f>'RESUMEN TOTAL'!Z436</f>
        <v>0</v>
      </c>
      <c r="T349" s="70">
        <f>'RESUMEN TOTAL'!AA436</f>
        <v>0</v>
      </c>
      <c r="U349" s="70">
        <f>'RESUMEN TOTAL'!AB436</f>
        <v>0</v>
      </c>
      <c r="V349" s="70">
        <f>'RESUMEN TOTAL'!AC436</f>
        <v>0</v>
      </c>
      <c r="W349" s="70">
        <f>'RESUMEN TOTAL'!AD436</f>
        <v>0</v>
      </c>
      <c r="X349" s="70">
        <f>'RESUMEN TOTAL'!AE436</f>
        <v>0</v>
      </c>
      <c r="Y349" s="70">
        <f>'RESUMEN TOTAL'!AF436</f>
        <v>0</v>
      </c>
      <c r="Z349" s="70">
        <f>'RESUMEN TOTAL'!AG436</f>
        <v>0</v>
      </c>
      <c r="AA349" s="70">
        <f>'RESUMEN TOTAL'!AH436</f>
        <v>0</v>
      </c>
      <c r="AB349" s="70">
        <f>'RESUMEN TOTAL'!AI436</f>
        <v>0</v>
      </c>
      <c r="AC349" s="70">
        <f>'RESUMEN TOTAL'!AJ436</f>
        <v>0</v>
      </c>
      <c r="AD349" s="70">
        <f>'RESUMEN TOTAL'!AK436</f>
        <v>0</v>
      </c>
      <c r="AE349" s="70">
        <f>'RESUMEN TOTAL'!AL436</f>
        <v>0</v>
      </c>
      <c r="AF349" s="70">
        <f>'RESUMEN TOTAL'!AM436</f>
        <v>0</v>
      </c>
      <c r="AG349" s="70">
        <f>'RESUMEN TOTAL'!AN436</f>
        <v>0</v>
      </c>
      <c r="AH349" s="70">
        <f>'RESUMEN TOTAL'!AO436</f>
        <v>0</v>
      </c>
      <c r="AI349" s="70">
        <f>'RESUMEN TOTAL'!AP436</f>
        <v>0</v>
      </c>
      <c r="AJ349" s="70">
        <f>'RESUMEN TOTAL'!AQ436</f>
        <v>0</v>
      </c>
    </row>
    <row r="350" spans="1:36" x14ac:dyDescent="0.25">
      <c r="A350" t="str">
        <f>'RESUMEN TOTAL'!A437</f>
        <v>SANTA ROSA</v>
      </c>
      <c r="B350" t="str">
        <f>'RESUMEN TOTAL'!B437</f>
        <v>SRO 11</v>
      </c>
      <c r="C350" t="str">
        <f>'RESUMEN TOTAL'!D437</f>
        <v>MILAN Y MALLORCA</v>
      </c>
      <c r="D350" s="30" t="str">
        <f>'RESUMEN TOTAL'!E437</f>
        <v>DOMO</v>
      </c>
      <c r="E350" s="30" t="str">
        <f>'RESUMEN TOTAL'!F437</f>
        <v>Radio</v>
      </c>
      <c r="F350" s="70">
        <f>'RESUMEN TOTAL'!M437</f>
        <v>0</v>
      </c>
      <c r="G350" s="70">
        <f>'RESUMEN TOTAL'!N437</f>
        <v>0</v>
      </c>
      <c r="H350" s="70">
        <f>'RESUMEN TOTAL'!O437</f>
        <v>0</v>
      </c>
      <c r="I350" s="70">
        <f>'RESUMEN TOTAL'!P437</f>
        <v>0</v>
      </c>
      <c r="J350" s="70">
        <f>'RESUMEN TOTAL'!Q437</f>
        <v>0</v>
      </c>
      <c r="K350" s="70">
        <f>'RESUMEN TOTAL'!R437</f>
        <v>0</v>
      </c>
      <c r="L350" s="70">
        <f>'RESUMEN TOTAL'!S437</f>
        <v>0</v>
      </c>
      <c r="M350" s="70">
        <f>'RESUMEN TOTAL'!T437</f>
        <v>0</v>
      </c>
      <c r="N350" s="70">
        <f>'RESUMEN TOTAL'!U437</f>
        <v>0</v>
      </c>
      <c r="O350" s="70">
        <f>'RESUMEN TOTAL'!V437</f>
        <v>0</v>
      </c>
      <c r="P350" s="70">
        <f>'RESUMEN TOTAL'!W437</f>
        <v>0</v>
      </c>
      <c r="Q350" s="70">
        <f>'RESUMEN TOTAL'!X437</f>
        <v>0</v>
      </c>
      <c r="R350" s="70">
        <f>'RESUMEN TOTAL'!Y437</f>
        <v>0</v>
      </c>
      <c r="S350" s="70">
        <f>'RESUMEN TOTAL'!Z437</f>
        <v>0</v>
      </c>
      <c r="T350" s="70">
        <f>'RESUMEN TOTAL'!AA437</f>
        <v>0</v>
      </c>
      <c r="U350" s="70">
        <f>'RESUMEN TOTAL'!AB437</f>
        <v>0</v>
      </c>
      <c r="V350" s="70">
        <f>'RESUMEN TOTAL'!AC437</f>
        <v>0</v>
      </c>
      <c r="W350" s="70">
        <f>'RESUMEN TOTAL'!AD437</f>
        <v>0</v>
      </c>
      <c r="X350" s="70">
        <f>'RESUMEN TOTAL'!AE437</f>
        <v>0</v>
      </c>
      <c r="Y350" s="70">
        <f>'RESUMEN TOTAL'!AF437</f>
        <v>0</v>
      </c>
      <c r="Z350" s="70">
        <f>'RESUMEN TOTAL'!AG437</f>
        <v>0</v>
      </c>
      <c r="AA350" s="70">
        <f>'RESUMEN TOTAL'!AH437</f>
        <v>0</v>
      </c>
      <c r="AB350" s="70">
        <f>'RESUMEN TOTAL'!AI437</f>
        <v>0</v>
      </c>
      <c r="AC350" s="70">
        <f>'RESUMEN TOTAL'!AJ437</f>
        <v>0</v>
      </c>
      <c r="AD350" s="70">
        <f>'RESUMEN TOTAL'!AK437</f>
        <v>0</v>
      </c>
      <c r="AE350" s="70">
        <f>'RESUMEN TOTAL'!AL437</f>
        <v>0</v>
      </c>
      <c r="AF350" s="70">
        <f>'RESUMEN TOTAL'!AM437</f>
        <v>0</v>
      </c>
      <c r="AG350" s="70">
        <f>'RESUMEN TOTAL'!AN437</f>
        <v>0</v>
      </c>
      <c r="AH350" s="70">
        <f>'RESUMEN TOTAL'!AO437</f>
        <v>0</v>
      </c>
      <c r="AI350" s="70">
        <f>'RESUMEN TOTAL'!AP437</f>
        <v>0</v>
      </c>
      <c r="AJ350" s="70">
        <f>'RESUMEN TOTAL'!AQ437</f>
        <v>0</v>
      </c>
    </row>
    <row r="351" spans="1:36" x14ac:dyDescent="0.25">
      <c r="A351" t="str">
        <f>'RESUMEN TOTAL'!A438</f>
        <v>SANTA ROSA</v>
      </c>
      <c r="B351" t="str">
        <f>'RESUMEN TOTAL'!B438</f>
        <v>SRO12</v>
      </c>
      <c r="C351" t="str">
        <f>'RESUMEN TOTAL'!D438</f>
        <v>YUGOSLAVIA Y PAYSANDU</v>
      </c>
      <c r="D351" s="30" t="str">
        <f>'RESUMEN TOTAL'!E438</f>
        <v>DOMO</v>
      </c>
      <c r="E351" s="30" t="str">
        <f>'RESUMEN TOTAL'!F438</f>
        <v>Radio</v>
      </c>
      <c r="F351" s="70" t="str">
        <f>'RESUMEN TOTAL'!M438</f>
        <v>APAGADO</v>
      </c>
      <c r="G351" s="70" t="str">
        <f>'RESUMEN TOTAL'!N438</f>
        <v>APAGADO</v>
      </c>
      <c r="H351" s="70" t="str">
        <f>'RESUMEN TOTAL'!O438</f>
        <v>APAGADO</v>
      </c>
      <c r="I351" s="70" t="str">
        <f>'RESUMEN TOTAL'!P438</f>
        <v>APAGADO</v>
      </c>
      <c r="J351" s="70" t="str">
        <f>'RESUMEN TOTAL'!Q438</f>
        <v>APAGADO</v>
      </c>
      <c r="K351" s="70" t="str">
        <f>'RESUMEN TOTAL'!R438</f>
        <v>APAGADO</v>
      </c>
      <c r="L351" s="70" t="str">
        <f>'RESUMEN TOTAL'!S438</f>
        <v>APAGADO</v>
      </c>
      <c r="M351" s="70" t="str">
        <f>'RESUMEN TOTAL'!T438</f>
        <v>APAGADO</v>
      </c>
      <c r="N351" s="70">
        <f>'RESUMEN TOTAL'!U438</f>
        <v>0</v>
      </c>
      <c r="O351" s="70">
        <f>'RESUMEN TOTAL'!V438</f>
        <v>0</v>
      </c>
      <c r="P351" s="70">
        <f>'RESUMEN TOTAL'!W438</f>
        <v>0</v>
      </c>
      <c r="Q351" s="70">
        <f>'RESUMEN TOTAL'!X438</f>
        <v>0</v>
      </c>
      <c r="R351" s="70">
        <f>'RESUMEN TOTAL'!Y438</f>
        <v>0</v>
      </c>
      <c r="S351" s="70">
        <f>'RESUMEN TOTAL'!Z438</f>
        <v>0</v>
      </c>
      <c r="T351" s="70">
        <f>'RESUMEN TOTAL'!AA438</f>
        <v>0</v>
      </c>
      <c r="U351" s="70">
        <f>'RESUMEN TOTAL'!AB438</f>
        <v>0</v>
      </c>
      <c r="V351" s="70">
        <f>'RESUMEN TOTAL'!AC438</f>
        <v>0</v>
      </c>
      <c r="W351" s="70">
        <f>'RESUMEN TOTAL'!AD438</f>
        <v>0</v>
      </c>
      <c r="X351" s="70">
        <f>'RESUMEN TOTAL'!AE438</f>
        <v>0</v>
      </c>
      <c r="Y351" s="70">
        <f>'RESUMEN TOTAL'!AF438</f>
        <v>0</v>
      </c>
      <c r="Z351" s="70">
        <f>'RESUMEN TOTAL'!AG438</f>
        <v>0</v>
      </c>
      <c r="AA351" s="70">
        <f>'RESUMEN TOTAL'!AH438</f>
        <v>0</v>
      </c>
      <c r="AB351" s="70">
        <f>'RESUMEN TOTAL'!AI438</f>
        <v>0</v>
      </c>
      <c r="AC351" s="70">
        <f>'RESUMEN TOTAL'!AJ438</f>
        <v>0</v>
      </c>
      <c r="AD351" s="70">
        <f>'RESUMEN TOTAL'!AK438</f>
        <v>0</v>
      </c>
      <c r="AE351" s="70">
        <f>'RESUMEN TOTAL'!AL438</f>
        <v>0</v>
      </c>
      <c r="AF351" s="70">
        <f>'RESUMEN TOTAL'!AM438</f>
        <v>0</v>
      </c>
      <c r="AG351" s="70">
        <f>'RESUMEN TOTAL'!AN438</f>
        <v>0</v>
      </c>
      <c r="AH351" s="70">
        <f>'RESUMEN TOTAL'!AO438</f>
        <v>0</v>
      </c>
      <c r="AI351" s="70">
        <f>'RESUMEN TOTAL'!AP438</f>
        <v>0</v>
      </c>
      <c r="AJ351" s="70">
        <f>'RESUMEN TOTAL'!AQ438</f>
        <v>0</v>
      </c>
    </row>
    <row r="352" spans="1:36" x14ac:dyDescent="0.25">
      <c r="A352" t="str">
        <f>'RESUMEN TOTAL'!A439</f>
        <v>ZONA RURAL SANTA ROSA</v>
      </c>
      <c r="B352" t="str">
        <f>'RESUMEN TOTAL'!B439</f>
        <v>SRO 13 (fija 1)</v>
      </c>
      <c r="C352" t="str">
        <f>'RESUMEN TOTAL'!D439</f>
        <v>BRUSELAS E/ GRECIA Y CHECOSLOVAQUIA</v>
      </c>
      <c r="D352" s="30" t="str">
        <f>'RESUMEN TOTAL'!E439</f>
        <v>Fija</v>
      </c>
      <c r="E352" s="30" t="str">
        <f>'RESUMEN TOTAL'!F439</f>
        <v>PTO A FO</v>
      </c>
      <c r="F352" s="70">
        <f>'RESUMEN TOTAL'!M439</f>
        <v>0</v>
      </c>
      <c r="G352" s="70">
        <f>'RESUMEN TOTAL'!N439</f>
        <v>0</v>
      </c>
      <c r="H352" s="70">
        <f>'RESUMEN TOTAL'!O439</f>
        <v>0</v>
      </c>
      <c r="I352" s="70" t="str">
        <f>'RESUMEN TOTAL'!P439</f>
        <v>APAGADO</v>
      </c>
      <c r="J352" s="70" t="str">
        <f>'RESUMEN TOTAL'!Q439</f>
        <v>APAGADO</v>
      </c>
      <c r="K352" s="70" t="str">
        <f>'RESUMEN TOTAL'!R439</f>
        <v>APAGADO</v>
      </c>
      <c r="L352" s="70" t="str">
        <f>'RESUMEN TOTAL'!S439</f>
        <v>APAGADO</v>
      </c>
      <c r="M352" s="70" t="str">
        <f>'RESUMEN TOTAL'!T439</f>
        <v>APAGADO</v>
      </c>
      <c r="N352" s="70">
        <f>'RESUMEN TOTAL'!U439</f>
        <v>0</v>
      </c>
      <c r="O352" s="70">
        <f>'RESUMEN TOTAL'!V439</f>
        <v>0</v>
      </c>
      <c r="P352" s="70">
        <f>'RESUMEN TOTAL'!W439</f>
        <v>0</v>
      </c>
      <c r="Q352" s="70">
        <f>'RESUMEN TOTAL'!X439</f>
        <v>0</v>
      </c>
      <c r="R352" s="70">
        <f>'RESUMEN TOTAL'!Y439</f>
        <v>0</v>
      </c>
      <c r="S352" s="70">
        <f>'RESUMEN TOTAL'!Z439</f>
        <v>0</v>
      </c>
      <c r="T352" s="70">
        <f>'RESUMEN TOTAL'!AA439</f>
        <v>0</v>
      </c>
      <c r="U352" s="70">
        <f>'RESUMEN TOTAL'!AB439</f>
        <v>0</v>
      </c>
      <c r="V352" s="70">
        <f>'RESUMEN TOTAL'!AC439</f>
        <v>0</v>
      </c>
      <c r="W352" s="70">
        <f>'RESUMEN TOTAL'!AD439</f>
        <v>0</v>
      </c>
      <c r="X352" s="70">
        <f>'RESUMEN TOTAL'!AE439</f>
        <v>0</v>
      </c>
      <c r="Y352" s="70">
        <f>'RESUMEN TOTAL'!AF439</f>
        <v>0</v>
      </c>
      <c r="Z352" s="70">
        <f>'RESUMEN TOTAL'!AG439</f>
        <v>0</v>
      </c>
      <c r="AA352" s="70">
        <f>'RESUMEN TOTAL'!AH439</f>
        <v>0</v>
      </c>
      <c r="AB352" s="70">
        <f>'RESUMEN TOTAL'!AI439</f>
        <v>0</v>
      </c>
      <c r="AC352" s="70">
        <f>'RESUMEN TOTAL'!AJ439</f>
        <v>0</v>
      </c>
      <c r="AD352" s="70">
        <f>'RESUMEN TOTAL'!AK439</f>
        <v>0</v>
      </c>
      <c r="AE352" s="70">
        <f>'RESUMEN TOTAL'!AL439</f>
        <v>0</v>
      </c>
      <c r="AF352" s="70">
        <f>'RESUMEN TOTAL'!AM439</f>
        <v>0</v>
      </c>
      <c r="AG352" s="70">
        <f>'RESUMEN TOTAL'!AN439</f>
        <v>0</v>
      </c>
      <c r="AH352" s="70">
        <f>'RESUMEN TOTAL'!AO439</f>
        <v>0</v>
      </c>
      <c r="AI352" s="70">
        <f>'RESUMEN TOTAL'!AP439</f>
        <v>0</v>
      </c>
      <c r="AJ352" s="70">
        <f>'RESUMEN TOTAL'!AQ439</f>
        <v>0</v>
      </c>
    </row>
    <row r="353" spans="1:36" x14ac:dyDescent="0.25">
      <c r="A353" t="str">
        <f>'RESUMEN TOTAL'!A440</f>
        <v>ZONA RURAL SANTA ROSA</v>
      </c>
      <c r="B353" t="str">
        <f>'RESUMEN TOTAL'!B440</f>
        <v>SRO 14 (fija 2)</v>
      </c>
      <c r="C353" t="str">
        <f>'RESUMEN TOTAL'!D440</f>
        <v>BRUSELAS E/ GRECIA Y CHECOSLOVAQUIA</v>
      </c>
      <c r="D353" s="30" t="str">
        <f>'RESUMEN TOTAL'!E440</f>
        <v>Fija</v>
      </c>
      <c r="E353" s="30" t="str">
        <f>'RESUMEN TOTAL'!F440</f>
        <v>PTO A FO</v>
      </c>
      <c r="F353" s="70" t="str">
        <f>'RESUMEN TOTAL'!M440</f>
        <v>APAGADO</v>
      </c>
      <c r="G353" s="70" t="str">
        <f>'RESUMEN TOTAL'!N440</f>
        <v>APAGADO</v>
      </c>
      <c r="H353" s="70" t="str">
        <f>'RESUMEN TOTAL'!O440</f>
        <v>APAGADO</v>
      </c>
      <c r="I353" s="70" t="str">
        <f>'RESUMEN TOTAL'!P440</f>
        <v>APAGADO</v>
      </c>
      <c r="J353" s="70" t="str">
        <f>'RESUMEN TOTAL'!Q440</f>
        <v>APAGADO</v>
      </c>
      <c r="K353" s="70" t="str">
        <f>'RESUMEN TOTAL'!R440</f>
        <v>APAGADO</v>
      </c>
      <c r="L353" s="70" t="str">
        <f>'RESUMEN TOTAL'!S440</f>
        <v>APAGADO</v>
      </c>
      <c r="M353" s="70" t="str">
        <f>'RESUMEN TOTAL'!T440</f>
        <v>APAGADO</v>
      </c>
      <c r="N353" s="70">
        <f>'RESUMEN TOTAL'!U440</f>
        <v>0</v>
      </c>
      <c r="O353" s="70">
        <f>'RESUMEN TOTAL'!V440</f>
        <v>0</v>
      </c>
      <c r="P353" s="70">
        <f>'RESUMEN TOTAL'!W440</f>
        <v>0</v>
      </c>
      <c r="Q353" s="70">
        <f>'RESUMEN TOTAL'!X440</f>
        <v>0</v>
      </c>
      <c r="R353" s="70">
        <f>'RESUMEN TOTAL'!Y440</f>
        <v>0</v>
      </c>
      <c r="S353" s="70">
        <f>'RESUMEN TOTAL'!Z440</f>
        <v>0</v>
      </c>
      <c r="T353" s="70">
        <f>'RESUMEN TOTAL'!AA440</f>
        <v>0</v>
      </c>
      <c r="U353" s="70">
        <f>'RESUMEN TOTAL'!AB440</f>
        <v>0</v>
      </c>
      <c r="V353" s="70">
        <f>'RESUMEN TOTAL'!AC440</f>
        <v>0</v>
      </c>
      <c r="W353" s="70">
        <f>'RESUMEN TOTAL'!AD440</f>
        <v>0</v>
      </c>
      <c r="X353" s="70">
        <f>'RESUMEN TOTAL'!AE440</f>
        <v>0</v>
      </c>
      <c r="Y353" s="70">
        <f>'RESUMEN TOTAL'!AF440</f>
        <v>0</v>
      </c>
      <c r="Z353" s="70">
        <f>'RESUMEN TOTAL'!AG440</f>
        <v>0</v>
      </c>
      <c r="AA353" s="70">
        <f>'RESUMEN TOTAL'!AH440</f>
        <v>0</v>
      </c>
      <c r="AB353" s="70">
        <f>'RESUMEN TOTAL'!AI440</f>
        <v>0</v>
      </c>
      <c r="AC353" s="70">
        <f>'RESUMEN TOTAL'!AJ440</f>
        <v>0</v>
      </c>
      <c r="AD353" s="70">
        <f>'RESUMEN TOTAL'!AK440</f>
        <v>0</v>
      </c>
      <c r="AE353" s="70">
        <f>'RESUMEN TOTAL'!AL440</f>
        <v>0</v>
      </c>
      <c r="AF353" s="70">
        <f>'RESUMEN TOTAL'!AM440</f>
        <v>0</v>
      </c>
      <c r="AG353" s="70">
        <f>'RESUMEN TOTAL'!AN440</f>
        <v>0</v>
      </c>
      <c r="AH353" s="70">
        <f>'RESUMEN TOTAL'!AO440</f>
        <v>0</v>
      </c>
      <c r="AI353" s="70">
        <f>'RESUMEN TOTAL'!AP440</f>
        <v>0</v>
      </c>
      <c r="AJ353" s="70">
        <f>'RESUMEN TOTAL'!AQ440</f>
        <v>0</v>
      </c>
    </row>
    <row r="354" spans="1:36" x14ac:dyDescent="0.25">
      <c r="A354" t="str">
        <f>'RESUMEN TOTAL'!A441</f>
        <v>SANTA ROSA</v>
      </c>
      <c r="B354" t="str">
        <f>'RESUMEN TOTAL'!B441</f>
        <v>SRO15</v>
      </c>
      <c r="C354" t="str">
        <f>'RESUMEN TOTAL'!D441</f>
        <v>NOVAK Y TIRANA (614)</v>
      </c>
      <c r="D354" s="30" t="str">
        <f>'RESUMEN TOTAL'!E441</f>
        <v>DOMO</v>
      </c>
      <c r="E354" s="30" t="str">
        <f>'RESUMEN TOTAL'!F441</f>
        <v>GPON</v>
      </c>
      <c r="F354" s="70">
        <f>'RESUMEN TOTAL'!M441</f>
        <v>0</v>
      </c>
      <c r="G354" s="70">
        <f>'RESUMEN TOTAL'!N441</f>
        <v>0</v>
      </c>
      <c r="H354" s="70">
        <f>'RESUMEN TOTAL'!O441</f>
        <v>0</v>
      </c>
      <c r="I354" s="70">
        <f>'RESUMEN TOTAL'!P441</f>
        <v>0</v>
      </c>
      <c r="J354" s="70">
        <f>'RESUMEN TOTAL'!Q441</f>
        <v>0</v>
      </c>
      <c r="K354" s="70">
        <f>'RESUMEN TOTAL'!R441</f>
        <v>0</v>
      </c>
      <c r="L354" s="70">
        <f>'RESUMEN TOTAL'!S441</f>
        <v>0</v>
      </c>
      <c r="M354" s="70">
        <f>'RESUMEN TOTAL'!T441</f>
        <v>0</v>
      </c>
      <c r="N354" s="70">
        <f>'RESUMEN TOTAL'!U441</f>
        <v>0</v>
      </c>
      <c r="O354" s="70">
        <f>'RESUMEN TOTAL'!V441</f>
        <v>0</v>
      </c>
      <c r="P354" s="70">
        <f>'RESUMEN TOTAL'!W441</f>
        <v>0</v>
      </c>
      <c r="Q354" s="70">
        <f>'RESUMEN TOTAL'!X441</f>
        <v>0</v>
      </c>
      <c r="R354" s="70">
        <f>'RESUMEN TOTAL'!Y441</f>
        <v>0</v>
      </c>
      <c r="S354" s="70">
        <f>'RESUMEN TOTAL'!Z441</f>
        <v>0</v>
      </c>
      <c r="T354" s="70">
        <f>'RESUMEN TOTAL'!AA441</f>
        <v>0</v>
      </c>
      <c r="U354" s="70">
        <f>'RESUMEN TOTAL'!AB441</f>
        <v>0</v>
      </c>
      <c r="V354" s="70">
        <f>'RESUMEN TOTAL'!AC441</f>
        <v>0</v>
      </c>
      <c r="W354" s="70">
        <f>'RESUMEN TOTAL'!AD441</f>
        <v>0</v>
      </c>
      <c r="X354" s="70">
        <f>'RESUMEN TOTAL'!AE441</f>
        <v>0</v>
      </c>
      <c r="Y354" s="70">
        <f>'RESUMEN TOTAL'!AF441</f>
        <v>0</v>
      </c>
      <c r="Z354" s="70">
        <f>'RESUMEN TOTAL'!AG441</f>
        <v>0</v>
      </c>
      <c r="AA354" s="70">
        <f>'RESUMEN TOTAL'!AH441</f>
        <v>0</v>
      </c>
      <c r="AB354" s="70">
        <f>'RESUMEN TOTAL'!AI441</f>
        <v>0</v>
      </c>
      <c r="AC354" s="70">
        <f>'RESUMEN TOTAL'!AJ441</f>
        <v>0</v>
      </c>
      <c r="AD354" s="70">
        <f>'RESUMEN TOTAL'!AK441</f>
        <v>0</v>
      </c>
      <c r="AE354" s="70">
        <f>'RESUMEN TOTAL'!AL441</f>
        <v>0</v>
      </c>
      <c r="AF354" s="70">
        <f>'RESUMEN TOTAL'!AM441</f>
        <v>0</v>
      </c>
      <c r="AG354" s="70">
        <f>'RESUMEN TOTAL'!AN441</f>
        <v>0</v>
      </c>
      <c r="AH354" s="70">
        <f>'RESUMEN TOTAL'!AO441</f>
        <v>0</v>
      </c>
      <c r="AI354" s="70">
        <f>'RESUMEN TOTAL'!AP441</f>
        <v>0</v>
      </c>
      <c r="AJ354" s="70">
        <f>'RESUMEN TOTAL'!AQ441</f>
        <v>0</v>
      </c>
    </row>
    <row r="355" spans="1:36" x14ac:dyDescent="0.25">
      <c r="A355" t="str">
        <f>'RESUMEN TOTAL'!A442</f>
        <v>SANTA ROSA</v>
      </c>
      <c r="B355" t="str">
        <f>'RESUMEN TOTAL'!B442</f>
        <v>SRO16 (fija 1)</v>
      </c>
      <c r="C355" t="str">
        <f>'RESUMEN TOTAL'!D442</f>
        <v>ANDORRA E/ BELGICA Y SAN MARINO</v>
      </c>
      <c r="D355" s="30" t="str">
        <f>'RESUMEN TOTAL'!E442</f>
        <v>Fija</v>
      </c>
      <c r="E355" s="30" t="str">
        <f>'RESUMEN TOTAL'!F442</f>
        <v>GPON</v>
      </c>
      <c r="F355" s="70">
        <f>'RESUMEN TOTAL'!M442</f>
        <v>0</v>
      </c>
      <c r="G355" s="70">
        <f>'RESUMEN TOTAL'!N442</f>
        <v>0</v>
      </c>
      <c r="H355" s="70">
        <f>'RESUMEN TOTAL'!O442</f>
        <v>0</v>
      </c>
      <c r="I355" s="70">
        <f>'RESUMEN TOTAL'!P442</f>
        <v>0</v>
      </c>
      <c r="J355" s="70">
        <f>'RESUMEN TOTAL'!Q442</f>
        <v>0</v>
      </c>
      <c r="K355" s="70">
        <f>'RESUMEN TOTAL'!R442</f>
        <v>0</v>
      </c>
      <c r="L355" s="70">
        <f>'RESUMEN TOTAL'!S442</f>
        <v>0</v>
      </c>
      <c r="M355" s="70">
        <f>'RESUMEN TOTAL'!T442</f>
        <v>0</v>
      </c>
      <c r="N355" s="70">
        <f>'RESUMEN TOTAL'!U442</f>
        <v>0</v>
      </c>
      <c r="O355" s="70">
        <f>'RESUMEN TOTAL'!V442</f>
        <v>0</v>
      </c>
      <c r="P355" s="70">
        <f>'RESUMEN TOTAL'!W442</f>
        <v>0</v>
      </c>
      <c r="Q355" s="70">
        <f>'RESUMEN TOTAL'!X442</f>
        <v>0</v>
      </c>
      <c r="R355" s="70">
        <f>'RESUMEN TOTAL'!Y442</f>
        <v>0</v>
      </c>
      <c r="S355" s="70">
        <f>'RESUMEN TOTAL'!Z442</f>
        <v>0</v>
      </c>
      <c r="T355" s="70">
        <f>'RESUMEN TOTAL'!AA442</f>
        <v>0</v>
      </c>
      <c r="U355" s="70">
        <f>'RESUMEN TOTAL'!AB442</f>
        <v>0</v>
      </c>
      <c r="V355" s="70">
        <f>'RESUMEN TOTAL'!AC442</f>
        <v>0</v>
      </c>
      <c r="W355" s="70">
        <f>'RESUMEN TOTAL'!AD442</f>
        <v>0</v>
      </c>
      <c r="X355" s="70">
        <f>'RESUMEN TOTAL'!AE442</f>
        <v>0</v>
      </c>
      <c r="Y355" s="70">
        <f>'RESUMEN TOTAL'!AF442</f>
        <v>0</v>
      </c>
      <c r="Z355" s="70">
        <f>'RESUMEN TOTAL'!AG442</f>
        <v>0</v>
      </c>
      <c r="AA355" s="70">
        <f>'RESUMEN TOTAL'!AH442</f>
        <v>0</v>
      </c>
      <c r="AB355" s="70">
        <f>'RESUMEN TOTAL'!AI442</f>
        <v>0</v>
      </c>
      <c r="AC355" s="70">
        <f>'RESUMEN TOTAL'!AJ442</f>
        <v>0</v>
      </c>
      <c r="AD355" s="70">
        <f>'RESUMEN TOTAL'!AK442</f>
        <v>0</v>
      </c>
      <c r="AE355" s="70">
        <f>'RESUMEN TOTAL'!AL442</f>
        <v>0</v>
      </c>
      <c r="AF355" s="70">
        <f>'RESUMEN TOTAL'!AM442</f>
        <v>0</v>
      </c>
      <c r="AG355" s="70">
        <f>'RESUMEN TOTAL'!AN442</f>
        <v>0</v>
      </c>
      <c r="AH355" s="70">
        <f>'RESUMEN TOTAL'!AO442</f>
        <v>0</v>
      </c>
      <c r="AI355" s="70">
        <f>'RESUMEN TOTAL'!AP442</f>
        <v>0</v>
      </c>
      <c r="AJ355" s="70">
        <f>'RESUMEN TOTAL'!AQ442</f>
        <v>0</v>
      </c>
    </row>
    <row r="356" spans="1:36" x14ac:dyDescent="0.25">
      <c r="A356" t="str">
        <f>'RESUMEN TOTAL'!A443</f>
        <v>SANTA ROSA</v>
      </c>
      <c r="B356" t="str">
        <f>'RESUMEN TOTAL'!B443</f>
        <v>SRO17 (fija 2)</v>
      </c>
      <c r="C356" t="str">
        <f>'RESUMEN TOTAL'!D443</f>
        <v>ANDORRA E/ BELGICA Y SAN MARINO</v>
      </c>
      <c r="D356" s="30" t="str">
        <f>'RESUMEN TOTAL'!E443</f>
        <v>Fija</v>
      </c>
      <c r="E356" s="30" t="str">
        <f>'RESUMEN TOTAL'!F443</f>
        <v>GPON</v>
      </c>
      <c r="F356" s="70">
        <f>'RESUMEN TOTAL'!M443</f>
        <v>0</v>
      </c>
      <c r="G356" s="70">
        <f>'RESUMEN TOTAL'!N443</f>
        <v>0</v>
      </c>
      <c r="H356" s="70">
        <f>'RESUMEN TOTAL'!O443</f>
        <v>0</v>
      </c>
      <c r="I356" s="70">
        <f>'RESUMEN TOTAL'!P443</f>
        <v>0</v>
      </c>
      <c r="J356" s="70">
        <f>'RESUMEN TOTAL'!Q443</f>
        <v>0</v>
      </c>
      <c r="K356" s="70">
        <f>'RESUMEN TOTAL'!R443</f>
        <v>0</v>
      </c>
      <c r="L356" s="70">
        <f>'RESUMEN TOTAL'!S443</f>
        <v>0</v>
      </c>
      <c r="M356" s="70">
        <f>'RESUMEN TOTAL'!T443</f>
        <v>0</v>
      </c>
      <c r="N356" s="70">
        <f>'RESUMEN TOTAL'!U443</f>
        <v>0</v>
      </c>
      <c r="O356" s="70">
        <f>'RESUMEN TOTAL'!V443</f>
        <v>0</v>
      </c>
      <c r="P356" s="70">
        <f>'RESUMEN TOTAL'!W443</f>
        <v>0</v>
      </c>
      <c r="Q356" s="70">
        <f>'RESUMEN TOTAL'!X443</f>
        <v>0</v>
      </c>
      <c r="R356" s="70">
        <f>'RESUMEN TOTAL'!Y443</f>
        <v>0</v>
      </c>
      <c r="S356" s="70">
        <f>'RESUMEN TOTAL'!Z443</f>
        <v>0</v>
      </c>
      <c r="T356" s="70">
        <f>'RESUMEN TOTAL'!AA443</f>
        <v>0</v>
      </c>
      <c r="U356" s="70">
        <f>'RESUMEN TOTAL'!AB443</f>
        <v>0</v>
      </c>
      <c r="V356" s="70">
        <f>'RESUMEN TOTAL'!AC443</f>
        <v>0</v>
      </c>
      <c r="W356" s="70">
        <f>'RESUMEN TOTAL'!AD443</f>
        <v>0</v>
      </c>
      <c r="X356" s="70">
        <f>'RESUMEN TOTAL'!AE443</f>
        <v>0</v>
      </c>
      <c r="Y356" s="70">
        <f>'RESUMEN TOTAL'!AF443</f>
        <v>0</v>
      </c>
      <c r="Z356" s="70">
        <f>'RESUMEN TOTAL'!AG443</f>
        <v>0</v>
      </c>
      <c r="AA356" s="70">
        <f>'RESUMEN TOTAL'!AH443</f>
        <v>0</v>
      </c>
      <c r="AB356" s="70">
        <f>'RESUMEN TOTAL'!AI443</f>
        <v>0</v>
      </c>
      <c r="AC356" s="70">
        <f>'RESUMEN TOTAL'!AJ443</f>
        <v>0</v>
      </c>
      <c r="AD356" s="70">
        <f>'RESUMEN TOTAL'!AK443</f>
        <v>0</v>
      </c>
      <c r="AE356" s="70">
        <f>'RESUMEN TOTAL'!AL443</f>
        <v>0</v>
      </c>
      <c r="AF356" s="70">
        <f>'RESUMEN TOTAL'!AM443</f>
        <v>0</v>
      </c>
      <c r="AG356" s="70">
        <f>'RESUMEN TOTAL'!AN443</f>
        <v>0</v>
      </c>
      <c r="AH356" s="70">
        <f>'RESUMEN TOTAL'!AO443</f>
        <v>0</v>
      </c>
      <c r="AI356" s="70">
        <f>'RESUMEN TOTAL'!AP443</f>
        <v>0</v>
      </c>
      <c r="AJ356" s="70">
        <f>'RESUMEN TOTAL'!AQ443</f>
        <v>0</v>
      </c>
    </row>
    <row r="357" spans="1:36" x14ac:dyDescent="0.25">
      <c r="A357" t="str">
        <f>'RESUMEN TOTAL'!A444</f>
        <v>SANTA ROSA</v>
      </c>
      <c r="B357" t="str">
        <f>'RESUMEN TOTAL'!B444</f>
        <v>SRO 18 (fija 1)</v>
      </c>
      <c r="C357" t="str">
        <f>'RESUMEN TOTAL'!D444</f>
        <v>GRAN CANARIA Y BUDAPEST</v>
      </c>
      <c r="D357" s="30" t="str">
        <f>'RESUMEN TOTAL'!E444</f>
        <v>Fija</v>
      </c>
      <c r="E357" s="30" t="str">
        <f>'RESUMEN TOTAL'!F444</f>
        <v>Fibra Optica</v>
      </c>
      <c r="F357" s="70">
        <f>'RESUMEN TOTAL'!M444</f>
        <v>0</v>
      </c>
      <c r="G357" s="70">
        <f>'RESUMEN TOTAL'!N444</f>
        <v>0</v>
      </c>
      <c r="H357" s="70">
        <f>'RESUMEN TOTAL'!O444</f>
        <v>0</v>
      </c>
      <c r="I357" s="70" t="str">
        <f>'RESUMEN TOTAL'!P444</f>
        <v>APAGADO</v>
      </c>
      <c r="J357" s="70">
        <f>'RESUMEN TOTAL'!Q444</f>
        <v>0</v>
      </c>
      <c r="K357" s="70">
        <f>'RESUMEN TOTAL'!R444</f>
        <v>0</v>
      </c>
      <c r="L357" s="70">
        <f>'RESUMEN TOTAL'!S444</f>
        <v>0</v>
      </c>
      <c r="M357" s="70" t="str">
        <f>'RESUMEN TOTAL'!T444</f>
        <v>APAGADO</v>
      </c>
      <c r="N357" s="70">
        <f>'RESUMEN TOTAL'!U444</f>
        <v>0</v>
      </c>
      <c r="O357" s="70">
        <f>'RESUMEN TOTAL'!V444</f>
        <v>0</v>
      </c>
      <c r="P357" s="70">
        <f>'RESUMEN TOTAL'!W444</f>
        <v>0</v>
      </c>
      <c r="Q357" s="70">
        <f>'RESUMEN TOTAL'!X444</f>
        <v>0</v>
      </c>
      <c r="R357" s="70">
        <f>'RESUMEN TOTAL'!Y444</f>
        <v>0</v>
      </c>
      <c r="S357" s="70">
        <f>'RESUMEN TOTAL'!Z444</f>
        <v>0</v>
      </c>
      <c r="T357" s="70">
        <f>'RESUMEN TOTAL'!AA444</f>
        <v>0</v>
      </c>
      <c r="U357" s="70">
        <f>'RESUMEN TOTAL'!AB444</f>
        <v>0</v>
      </c>
      <c r="V357" s="70">
        <f>'RESUMEN TOTAL'!AC444</f>
        <v>0</v>
      </c>
      <c r="W357" s="70">
        <f>'RESUMEN TOTAL'!AD444</f>
        <v>0</v>
      </c>
      <c r="X357" s="70">
        <f>'RESUMEN TOTAL'!AE444</f>
        <v>0</v>
      </c>
      <c r="Y357" s="70">
        <f>'RESUMEN TOTAL'!AF444</f>
        <v>0</v>
      </c>
      <c r="Z357" s="70">
        <f>'RESUMEN TOTAL'!AG444</f>
        <v>0</v>
      </c>
      <c r="AA357" s="70">
        <f>'RESUMEN TOTAL'!AH444</f>
        <v>0</v>
      </c>
      <c r="AB357" s="70">
        <f>'RESUMEN TOTAL'!AI444</f>
        <v>0</v>
      </c>
      <c r="AC357" s="70">
        <f>'RESUMEN TOTAL'!AJ444</f>
        <v>0</v>
      </c>
      <c r="AD357" s="70">
        <f>'RESUMEN TOTAL'!AK444</f>
        <v>0</v>
      </c>
      <c r="AE357" s="70">
        <f>'RESUMEN TOTAL'!AL444</f>
        <v>0</v>
      </c>
      <c r="AF357" s="70">
        <f>'RESUMEN TOTAL'!AM444</f>
        <v>0</v>
      </c>
      <c r="AG357" s="70">
        <f>'RESUMEN TOTAL'!AN444</f>
        <v>0</v>
      </c>
      <c r="AH357" s="70">
        <f>'RESUMEN TOTAL'!AO444</f>
        <v>0</v>
      </c>
      <c r="AI357" s="70">
        <f>'RESUMEN TOTAL'!AP444</f>
        <v>0</v>
      </c>
      <c r="AJ357" s="70">
        <f>'RESUMEN TOTAL'!AQ444</f>
        <v>0</v>
      </c>
    </row>
    <row r="358" spans="1:36" x14ac:dyDescent="0.25">
      <c r="A358" t="str">
        <f>'RESUMEN TOTAL'!A445</f>
        <v>SANTA ROSA</v>
      </c>
      <c r="B358" t="str">
        <f>'RESUMEN TOTAL'!B445</f>
        <v>SRO 19 (fija 2)</v>
      </c>
      <c r="C358" t="str">
        <f>'RESUMEN TOTAL'!D445</f>
        <v>GRAN CANARIA Y BUDAPEST</v>
      </c>
      <c r="D358" s="30" t="str">
        <f>'RESUMEN TOTAL'!E445</f>
        <v>Fija</v>
      </c>
      <c r="E358" s="30" t="str">
        <f>'RESUMEN TOTAL'!F445</f>
        <v>Fibra Optica</v>
      </c>
      <c r="F358" s="70">
        <f>'RESUMEN TOTAL'!M445</f>
        <v>0</v>
      </c>
      <c r="G358" s="70">
        <f>'RESUMEN TOTAL'!N445</f>
        <v>0</v>
      </c>
      <c r="H358" s="70">
        <f>'RESUMEN TOTAL'!O445</f>
        <v>0</v>
      </c>
      <c r="I358" s="70" t="str">
        <f>'RESUMEN TOTAL'!P445</f>
        <v>APAGADO</v>
      </c>
      <c r="J358" s="70">
        <f>'RESUMEN TOTAL'!Q445</f>
        <v>0</v>
      </c>
      <c r="K358" s="70">
        <f>'RESUMEN TOTAL'!R445</f>
        <v>0</v>
      </c>
      <c r="L358" s="70">
        <f>'RESUMEN TOTAL'!S445</f>
        <v>0</v>
      </c>
      <c r="M358" s="70" t="str">
        <f>'RESUMEN TOTAL'!T445</f>
        <v>APAGADO</v>
      </c>
      <c r="N358" s="70">
        <f>'RESUMEN TOTAL'!U445</f>
        <v>0</v>
      </c>
      <c r="O358" s="70">
        <f>'RESUMEN TOTAL'!V445</f>
        <v>0</v>
      </c>
      <c r="P358" s="70">
        <f>'RESUMEN TOTAL'!W445</f>
        <v>0</v>
      </c>
      <c r="Q358" s="70">
        <f>'RESUMEN TOTAL'!X445</f>
        <v>0</v>
      </c>
      <c r="R358" s="70">
        <f>'RESUMEN TOTAL'!Y445</f>
        <v>0</v>
      </c>
      <c r="S358" s="70">
        <f>'RESUMEN TOTAL'!Z445</f>
        <v>0</v>
      </c>
      <c r="T358" s="70">
        <f>'RESUMEN TOTAL'!AA445</f>
        <v>0</v>
      </c>
      <c r="U358" s="70">
        <f>'RESUMEN TOTAL'!AB445</f>
        <v>0</v>
      </c>
      <c r="V358" s="70">
        <f>'RESUMEN TOTAL'!AC445</f>
        <v>0</v>
      </c>
      <c r="W358" s="70">
        <f>'RESUMEN TOTAL'!AD445</f>
        <v>0</v>
      </c>
      <c r="X358" s="70">
        <f>'RESUMEN TOTAL'!AE445</f>
        <v>0</v>
      </c>
      <c r="Y358" s="70">
        <f>'RESUMEN TOTAL'!AF445</f>
        <v>0</v>
      </c>
      <c r="Z358" s="70">
        <f>'RESUMEN TOTAL'!AG445</f>
        <v>0</v>
      </c>
      <c r="AA358" s="70">
        <f>'RESUMEN TOTAL'!AH445</f>
        <v>0</v>
      </c>
      <c r="AB358" s="70">
        <f>'RESUMEN TOTAL'!AI445</f>
        <v>0</v>
      </c>
      <c r="AC358" s="70">
        <f>'RESUMEN TOTAL'!AJ445</f>
        <v>0</v>
      </c>
      <c r="AD358" s="70">
        <f>'RESUMEN TOTAL'!AK445</f>
        <v>0</v>
      </c>
      <c r="AE358" s="70">
        <f>'RESUMEN TOTAL'!AL445</f>
        <v>0</v>
      </c>
      <c r="AF358" s="70">
        <f>'RESUMEN TOTAL'!AM445</f>
        <v>0</v>
      </c>
      <c r="AG358" s="70">
        <f>'RESUMEN TOTAL'!AN445</f>
        <v>0</v>
      </c>
      <c r="AH358" s="70">
        <f>'RESUMEN TOTAL'!AO445</f>
        <v>0</v>
      </c>
      <c r="AI358" s="70">
        <f>'RESUMEN TOTAL'!AP445</f>
        <v>0</v>
      </c>
      <c r="AJ358" s="70">
        <f>'RESUMEN TOTAL'!AQ445</f>
        <v>0</v>
      </c>
    </row>
    <row r="359" spans="1:36" x14ac:dyDescent="0.25">
      <c r="A359" t="str">
        <f>'RESUMEN TOTAL'!A446</f>
        <v>SANTA ROSA</v>
      </c>
      <c r="B359" t="str">
        <f>'RESUMEN TOTAL'!B446</f>
        <v>SRO20</v>
      </c>
      <c r="C359" t="str">
        <f>'RESUMEN TOTAL'!D446</f>
        <v>NOVAK Y BONN</v>
      </c>
      <c r="D359" s="30" t="str">
        <f>'RESUMEN TOTAL'!E446</f>
        <v>Fija</v>
      </c>
      <c r="E359" s="30" t="str">
        <f>'RESUMEN TOTAL'!F446</f>
        <v>Fibra Optica</v>
      </c>
      <c r="F359" s="70" t="str">
        <f>'RESUMEN TOTAL'!M446</f>
        <v>APAGADO</v>
      </c>
      <c r="G359" s="70" t="str">
        <f>'RESUMEN TOTAL'!N446</f>
        <v>APAGADO</v>
      </c>
      <c r="H359" s="70" t="str">
        <f>'RESUMEN TOTAL'!O446</f>
        <v>APAGADO</v>
      </c>
      <c r="I359" s="70" t="str">
        <f>'RESUMEN TOTAL'!P446</f>
        <v>APAGADO</v>
      </c>
      <c r="J359" s="70" t="str">
        <f>'RESUMEN TOTAL'!Q446</f>
        <v>APAGADO</v>
      </c>
      <c r="K359" s="70" t="str">
        <f>'RESUMEN TOTAL'!R446</f>
        <v>APAGADO</v>
      </c>
      <c r="L359" s="70" t="str">
        <f>'RESUMEN TOTAL'!S446</f>
        <v>APAGADO</v>
      </c>
      <c r="M359" s="70" t="str">
        <f>'RESUMEN TOTAL'!T446</f>
        <v>APAGADO</v>
      </c>
      <c r="N359" s="70">
        <f>'RESUMEN TOTAL'!U446</f>
        <v>0</v>
      </c>
      <c r="O359" s="70">
        <f>'RESUMEN TOTAL'!V446</f>
        <v>0</v>
      </c>
      <c r="P359" s="70">
        <f>'RESUMEN TOTAL'!W446</f>
        <v>0</v>
      </c>
      <c r="Q359" s="70">
        <f>'RESUMEN TOTAL'!X446</f>
        <v>0</v>
      </c>
      <c r="R359" s="70">
        <f>'RESUMEN TOTAL'!Y446</f>
        <v>0</v>
      </c>
      <c r="S359" s="70">
        <f>'RESUMEN TOTAL'!Z446</f>
        <v>0</v>
      </c>
      <c r="T359" s="70">
        <f>'RESUMEN TOTAL'!AA446</f>
        <v>0</v>
      </c>
      <c r="U359" s="70">
        <f>'RESUMEN TOTAL'!AB446</f>
        <v>0</v>
      </c>
      <c r="V359" s="70">
        <f>'RESUMEN TOTAL'!AC446</f>
        <v>0</v>
      </c>
      <c r="W359" s="70">
        <f>'RESUMEN TOTAL'!AD446</f>
        <v>0</v>
      </c>
      <c r="X359" s="70">
        <f>'RESUMEN TOTAL'!AE446</f>
        <v>0</v>
      </c>
      <c r="Y359" s="70">
        <f>'RESUMEN TOTAL'!AF446</f>
        <v>0</v>
      </c>
      <c r="Z359" s="70">
        <f>'RESUMEN TOTAL'!AG446</f>
        <v>0</v>
      </c>
      <c r="AA359" s="70">
        <f>'RESUMEN TOTAL'!AH446</f>
        <v>0</v>
      </c>
      <c r="AB359" s="70">
        <f>'RESUMEN TOTAL'!AI446</f>
        <v>0</v>
      </c>
      <c r="AC359" s="70">
        <f>'RESUMEN TOTAL'!AJ446</f>
        <v>0</v>
      </c>
      <c r="AD359" s="70">
        <f>'RESUMEN TOTAL'!AK446</f>
        <v>0</v>
      </c>
      <c r="AE359" s="70">
        <f>'RESUMEN TOTAL'!AL446</f>
        <v>0</v>
      </c>
      <c r="AF359" s="70">
        <f>'RESUMEN TOTAL'!AM446</f>
        <v>0</v>
      </c>
      <c r="AG359" s="70">
        <f>'RESUMEN TOTAL'!AN446</f>
        <v>0</v>
      </c>
      <c r="AH359" s="70">
        <f>'RESUMEN TOTAL'!AO446</f>
        <v>0</v>
      </c>
      <c r="AI359" s="70">
        <f>'RESUMEN TOTAL'!AP446</f>
        <v>0</v>
      </c>
      <c r="AJ359" s="70">
        <f>'RESUMEN TOTAL'!AQ446</f>
        <v>0</v>
      </c>
    </row>
    <row r="360" spans="1:36" x14ac:dyDescent="0.25">
      <c r="A360" t="str">
        <f>'RESUMEN TOTAL'!A447</f>
        <v>SANTA ROSA</v>
      </c>
      <c r="B360" t="str">
        <f>'RESUMEN TOTAL'!B447</f>
        <v>SRO21</v>
      </c>
      <c r="C360" t="str">
        <f>'RESUMEN TOTAL'!D447</f>
        <v>NOVAK Y BONN</v>
      </c>
      <c r="D360" s="30" t="str">
        <f>'RESUMEN TOTAL'!E447</f>
        <v>Fija</v>
      </c>
      <c r="E360" s="30" t="str">
        <f>'RESUMEN TOTAL'!F447</f>
        <v>Fibra Optica</v>
      </c>
      <c r="F360" s="70" t="str">
        <f>'RESUMEN TOTAL'!M447</f>
        <v>APAGADO</v>
      </c>
      <c r="G360" s="70" t="str">
        <f>'RESUMEN TOTAL'!N447</f>
        <v>APAGADO</v>
      </c>
      <c r="H360" s="70" t="str">
        <f>'RESUMEN TOTAL'!O447</f>
        <v>APAGADO</v>
      </c>
      <c r="I360" s="70" t="str">
        <f>'RESUMEN TOTAL'!P447</f>
        <v>APAGADO</v>
      </c>
      <c r="J360" s="70" t="str">
        <f>'RESUMEN TOTAL'!Q447</f>
        <v>APAGADO</v>
      </c>
      <c r="K360" s="70" t="str">
        <f>'RESUMEN TOTAL'!R447</f>
        <v>APAGADO</v>
      </c>
      <c r="L360" s="70" t="str">
        <f>'RESUMEN TOTAL'!S447</f>
        <v>APAGADO</v>
      </c>
      <c r="M360" s="70" t="str">
        <f>'RESUMEN TOTAL'!T447</f>
        <v>APAGADO</v>
      </c>
      <c r="N360" s="70">
        <f>'RESUMEN TOTAL'!U447</f>
        <v>0</v>
      </c>
      <c r="O360" s="70">
        <f>'RESUMEN TOTAL'!V447</f>
        <v>0</v>
      </c>
      <c r="P360" s="70">
        <f>'RESUMEN TOTAL'!W447</f>
        <v>0</v>
      </c>
      <c r="Q360" s="70">
        <f>'RESUMEN TOTAL'!X447</f>
        <v>0</v>
      </c>
      <c r="R360" s="70">
        <f>'RESUMEN TOTAL'!Y447</f>
        <v>0</v>
      </c>
      <c r="S360" s="70">
        <f>'RESUMEN TOTAL'!Z447</f>
        <v>0</v>
      </c>
      <c r="T360" s="70">
        <f>'RESUMEN TOTAL'!AA447</f>
        <v>0</v>
      </c>
      <c r="U360" s="70">
        <f>'RESUMEN TOTAL'!AB447</f>
        <v>0</v>
      </c>
      <c r="V360" s="70">
        <f>'RESUMEN TOTAL'!AC447</f>
        <v>0</v>
      </c>
      <c r="W360" s="70">
        <f>'RESUMEN TOTAL'!AD447</f>
        <v>0</v>
      </c>
      <c r="X360" s="70">
        <f>'RESUMEN TOTAL'!AE447</f>
        <v>0</v>
      </c>
      <c r="Y360" s="70">
        <f>'RESUMEN TOTAL'!AF447</f>
        <v>0</v>
      </c>
      <c r="Z360" s="70">
        <f>'RESUMEN TOTAL'!AG447</f>
        <v>0</v>
      </c>
      <c r="AA360" s="70">
        <f>'RESUMEN TOTAL'!AH447</f>
        <v>0</v>
      </c>
      <c r="AB360" s="70">
        <f>'RESUMEN TOTAL'!AI447</f>
        <v>0</v>
      </c>
      <c r="AC360" s="70">
        <f>'RESUMEN TOTAL'!AJ447</f>
        <v>0</v>
      </c>
      <c r="AD360" s="70">
        <f>'RESUMEN TOTAL'!AK447</f>
        <v>0</v>
      </c>
      <c r="AE360" s="70">
        <f>'RESUMEN TOTAL'!AL447</f>
        <v>0</v>
      </c>
      <c r="AF360" s="70">
        <f>'RESUMEN TOTAL'!AM447</f>
        <v>0</v>
      </c>
      <c r="AG360" s="70">
        <f>'RESUMEN TOTAL'!AN447</f>
        <v>0</v>
      </c>
      <c r="AH360" s="70">
        <f>'RESUMEN TOTAL'!AO447</f>
        <v>0</v>
      </c>
      <c r="AI360" s="70">
        <f>'RESUMEN TOTAL'!AP447</f>
        <v>0</v>
      </c>
      <c r="AJ360" s="70">
        <f>'RESUMEN TOTAL'!AQ447</f>
        <v>0</v>
      </c>
    </row>
    <row r="361" spans="1:36" x14ac:dyDescent="0.25">
      <c r="A361" t="str">
        <f>'RESUMEN TOTAL'!A454</f>
        <v>SAN RUDECINDO</v>
      </c>
      <c r="B361" t="str">
        <f>'RESUMEN TOTAL'!B454</f>
        <v>SRU01 (fija 1)</v>
      </c>
      <c r="C361" t="str">
        <f>'RESUMEN TOTAL'!D454</f>
        <v>HERNANDARIAS Y AMBATO</v>
      </c>
      <c r="D361" s="30" t="str">
        <f>'RESUMEN TOTAL'!E454</f>
        <v>Fija</v>
      </c>
      <c r="E361" s="30" t="str">
        <f>'RESUMEN TOTAL'!F454</f>
        <v>GPON</v>
      </c>
      <c r="F361" s="70" t="str">
        <f>'RESUMEN TOTAL'!M454</f>
        <v>APAGADO</v>
      </c>
      <c r="G361" s="70" t="str">
        <f>'RESUMEN TOTAL'!N454</f>
        <v>APAGADO</v>
      </c>
      <c r="H361" s="70" t="str">
        <f>'RESUMEN TOTAL'!O454</f>
        <v>APAGADO</v>
      </c>
      <c r="I361" s="70" t="str">
        <f>'RESUMEN TOTAL'!P454</f>
        <v>APAGADO</v>
      </c>
      <c r="J361" s="70" t="str">
        <f>'RESUMEN TOTAL'!Q454</f>
        <v>APAGADO</v>
      </c>
      <c r="K361" s="70" t="str">
        <f>'RESUMEN TOTAL'!R454</f>
        <v>APAGADO</v>
      </c>
      <c r="L361" s="70" t="str">
        <f>'RESUMEN TOTAL'!S454</f>
        <v>APAGADO</v>
      </c>
      <c r="M361" s="70" t="str">
        <f>'RESUMEN TOTAL'!T454</f>
        <v>APAGADO</v>
      </c>
      <c r="N361" s="70">
        <f>'RESUMEN TOTAL'!U454</f>
        <v>0</v>
      </c>
      <c r="O361" s="70">
        <f>'RESUMEN TOTAL'!V454</f>
        <v>0</v>
      </c>
      <c r="P361" s="70">
        <f>'RESUMEN TOTAL'!W454</f>
        <v>0</v>
      </c>
      <c r="Q361" s="70">
        <f>'RESUMEN TOTAL'!X454</f>
        <v>0</v>
      </c>
      <c r="R361" s="70">
        <f>'RESUMEN TOTAL'!Y454</f>
        <v>0</v>
      </c>
      <c r="S361" s="70">
        <f>'RESUMEN TOTAL'!Z454</f>
        <v>0</v>
      </c>
      <c r="T361" s="70">
        <f>'RESUMEN TOTAL'!AA454</f>
        <v>0</v>
      </c>
      <c r="U361" s="70">
        <f>'RESUMEN TOTAL'!AB454</f>
        <v>0</v>
      </c>
      <c r="V361" s="70">
        <f>'RESUMEN TOTAL'!AC454</f>
        <v>0</v>
      </c>
      <c r="W361" s="70">
        <f>'RESUMEN TOTAL'!AD454</f>
        <v>0</v>
      </c>
      <c r="X361" s="70">
        <f>'RESUMEN TOTAL'!AE454</f>
        <v>0</v>
      </c>
      <c r="Y361" s="70">
        <f>'RESUMEN TOTAL'!AF454</f>
        <v>0</v>
      </c>
      <c r="Z361" s="70">
        <f>'RESUMEN TOTAL'!AG454</f>
        <v>0</v>
      </c>
      <c r="AA361" s="70">
        <f>'RESUMEN TOTAL'!AH454</f>
        <v>0</v>
      </c>
      <c r="AB361" s="70">
        <f>'RESUMEN TOTAL'!AI454</f>
        <v>0</v>
      </c>
      <c r="AC361" s="70">
        <f>'RESUMEN TOTAL'!AJ454</f>
        <v>0</v>
      </c>
      <c r="AD361" s="70">
        <f>'RESUMEN TOTAL'!AK454</f>
        <v>0</v>
      </c>
      <c r="AE361" s="70">
        <f>'RESUMEN TOTAL'!AL454</f>
        <v>0</v>
      </c>
      <c r="AF361" s="70">
        <f>'RESUMEN TOTAL'!AM454</f>
        <v>0</v>
      </c>
      <c r="AG361" s="70">
        <f>'RESUMEN TOTAL'!AN454</f>
        <v>0</v>
      </c>
      <c r="AH361" s="70">
        <f>'RESUMEN TOTAL'!AO454</f>
        <v>0</v>
      </c>
      <c r="AI361" s="70">
        <f>'RESUMEN TOTAL'!AP454</f>
        <v>0</v>
      </c>
      <c r="AJ361" s="70">
        <f>'RESUMEN TOTAL'!AQ454</f>
        <v>0</v>
      </c>
    </row>
    <row r="362" spans="1:36" x14ac:dyDescent="0.25">
      <c r="A362" t="str">
        <f>'RESUMEN TOTAL'!A455</f>
        <v>SAN RUDECINDO</v>
      </c>
      <c r="B362" t="str">
        <f>'RESUMEN TOTAL'!B455</f>
        <v>SRU02 (fija 2)</v>
      </c>
      <c r="C362" t="str">
        <f>'RESUMEN TOTAL'!D455</f>
        <v>HERNANDARIAS Y AMBATO</v>
      </c>
      <c r="D362" s="30" t="str">
        <f>'RESUMEN TOTAL'!E455</f>
        <v>Fija</v>
      </c>
      <c r="E362" s="30" t="str">
        <f>'RESUMEN TOTAL'!F455</f>
        <v>GPON</v>
      </c>
      <c r="F362" s="70" t="str">
        <f>'RESUMEN TOTAL'!M455</f>
        <v>APAGADO</v>
      </c>
      <c r="G362" s="70" t="str">
        <f>'RESUMEN TOTAL'!N455</f>
        <v>APAGADO</v>
      </c>
      <c r="H362" s="70" t="str">
        <f>'RESUMEN TOTAL'!O455</f>
        <v>APAGADO</v>
      </c>
      <c r="I362" s="70" t="str">
        <f>'RESUMEN TOTAL'!P455</f>
        <v>APAGADO</v>
      </c>
      <c r="J362" s="70" t="str">
        <f>'RESUMEN TOTAL'!Q455</f>
        <v>APAGADO</v>
      </c>
      <c r="K362" s="70" t="str">
        <f>'RESUMEN TOTAL'!R455</f>
        <v>APAGADO</v>
      </c>
      <c r="L362" s="70" t="str">
        <f>'RESUMEN TOTAL'!S455</f>
        <v>APAGADO</v>
      </c>
      <c r="M362" s="70" t="str">
        <f>'RESUMEN TOTAL'!T455</f>
        <v>APAGADO</v>
      </c>
      <c r="N362" s="70">
        <f>'RESUMEN TOTAL'!U455</f>
        <v>0</v>
      </c>
      <c r="O362" s="70">
        <f>'RESUMEN TOTAL'!V455</f>
        <v>0</v>
      </c>
      <c r="P362" s="70">
        <f>'RESUMEN TOTAL'!W455</f>
        <v>0</v>
      </c>
      <c r="Q362" s="70">
        <f>'RESUMEN TOTAL'!X455</f>
        <v>0</v>
      </c>
      <c r="R362" s="70">
        <f>'RESUMEN TOTAL'!Y455</f>
        <v>0</v>
      </c>
      <c r="S362" s="70">
        <f>'RESUMEN TOTAL'!Z455</f>
        <v>0</v>
      </c>
      <c r="T362" s="70">
        <f>'RESUMEN TOTAL'!AA455</f>
        <v>0</v>
      </c>
      <c r="U362" s="70">
        <f>'RESUMEN TOTAL'!AB455</f>
        <v>0</v>
      </c>
      <c r="V362" s="70">
        <f>'RESUMEN TOTAL'!AC455</f>
        <v>0</v>
      </c>
      <c r="W362" s="70">
        <f>'RESUMEN TOTAL'!AD455</f>
        <v>0</v>
      </c>
      <c r="X362" s="70">
        <f>'RESUMEN TOTAL'!AE455</f>
        <v>0</v>
      </c>
      <c r="Y362" s="70">
        <f>'RESUMEN TOTAL'!AF455</f>
        <v>0</v>
      </c>
      <c r="Z362" s="70">
        <f>'RESUMEN TOTAL'!AG455</f>
        <v>0</v>
      </c>
      <c r="AA362" s="70">
        <f>'RESUMEN TOTAL'!AH455</f>
        <v>0</v>
      </c>
      <c r="AB362" s="70">
        <f>'RESUMEN TOTAL'!AI455</f>
        <v>0</v>
      </c>
      <c r="AC362" s="70">
        <f>'RESUMEN TOTAL'!AJ455</f>
        <v>0</v>
      </c>
      <c r="AD362" s="70">
        <f>'RESUMEN TOTAL'!AK455</f>
        <v>0</v>
      </c>
      <c r="AE362" s="70">
        <f>'RESUMEN TOTAL'!AL455</f>
        <v>0</v>
      </c>
      <c r="AF362" s="70">
        <f>'RESUMEN TOTAL'!AM455</f>
        <v>0</v>
      </c>
      <c r="AG362" s="70">
        <f>'RESUMEN TOTAL'!AN455</f>
        <v>0</v>
      </c>
      <c r="AH362" s="70">
        <f>'RESUMEN TOTAL'!AO455</f>
        <v>0</v>
      </c>
      <c r="AI362" s="70">
        <f>'RESUMEN TOTAL'!AP455</f>
        <v>0</v>
      </c>
      <c r="AJ362" s="70">
        <f>'RESUMEN TOTAL'!AQ455</f>
        <v>0</v>
      </c>
    </row>
    <row r="363" spans="1:36" x14ac:dyDescent="0.25">
      <c r="A363" t="str">
        <f>'RESUMEN TOTAL'!A456</f>
        <v>SAN RUDECINDO</v>
      </c>
      <c r="B363" t="str">
        <f>'RESUMEN TOTAL'!B456</f>
        <v>SRU03</v>
      </c>
      <c r="C363" t="str">
        <f>'RESUMEN TOTAL'!D456</f>
        <v>SANTA SOFIA Y LUIS AGOTE</v>
      </c>
      <c r="D363" s="30" t="str">
        <f>'RESUMEN TOTAL'!E456</f>
        <v>DOMO</v>
      </c>
      <c r="E363" s="30" t="str">
        <f>'RESUMEN TOTAL'!F456</f>
        <v>GPON</v>
      </c>
      <c r="F363" s="70" t="str">
        <f>'RESUMEN TOTAL'!M456</f>
        <v>APAGADO</v>
      </c>
      <c r="G363" s="70" t="str">
        <f>'RESUMEN TOTAL'!N456</f>
        <v>APAGADO</v>
      </c>
      <c r="H363" s="70" t="str">
        <f>'RESUMEN TOTAL'!O456</f>
        <v>APAGADO</v>
      </c>
      <c r="I363" s="70" t="str">
        <f>'RESUMEN TOTAL'!P456</f>
        <v>APAGADO</v>
      </c>
      <c r="J363" s="70" t="str">
        <f>'RESUMEN TOTAL'!Q456</f>
        <v>APAGADO</v>
      </c>
      <c r="K363" s="70" t="str">
        <f>'RESUMEN TOTAL'!R456</f>
        <v>APAGADO</v>
      </c>
      <c r="L363" s="70" t="str">
        <f>'RESUMEN TOTAL'!S456</f>
        <v>APAGADO</v>
      </c>
      <c r="M363" s="70" t="str">
        <f>'RESUMEN TOTAL'!T456</f>
        <v>APAGADO</v>
      </c>
      <c r="N363" s="70">
        <f>'RESUMEN TOTAL'!U456</f>
        <v>0</v>
      </c>
      <c r="O363" s="70">
        <f>'RESUMEN TOTAL'!V456</f>
        <v>0</v>
      </c>
      <c r="P363" s="70">
        <f>'RESUMEN TOTAL'!W456</f>
        <v>0</v>
      </c>
      <c r="Q363" s="70">
        <f>'RESUMEN TOTAL'!X456</f>
        <v>0</v>
      </c>
      <c r="R363" s="70">
        <f>'RESUMEN TOTAL'!Y456</f>
        <v>0</v>
      </c>
      <c r="S363" s="70">
        <f>'RESUMEN TOTAL'!Z456</f>
        <v>0</v>
      </c>
      <c r="T363" s="70">
        <f>'RESUMEN TOTAL'!AA456</f>
        <v>0</v>
      </c>
      <c r="U363" s="70">
        <f>'RESUMEN TOTAL'!AB456</f>
        <v>0</v>
      </c>
      <c r="V363" s="70">
        <f>'RESUMEN TOTAL'!AC456</f>
        <v>0</v>
      </c>
      <c r="W363" s="70">
        <f>'RESUMEN TOTAL'!AD456</f>
        <v>0</v>
      </c>
      <c r="X363" s="70">
        <f>'RESUMEN TOTAL'!AE456</f>
        <v>0</v>
      </c>
      <c r="Y363" s="70">
        <f>'RESUMEN TOTAL'!AF456</f>
        <v>0</v>
      </c>
      <c r="Z363" s="70">
        <f>'RESUMEN TOTAL'!AG456</f>
        <v>0</v>
      </c>
      <c r="AA363" s="70">
        <f>'RESUMEN TOTAL'!AH456</f>
        <v>0</v>
      </c>
      <c r="AB363" s="70">
        <f>'RESUMEN TOTAL'!AI456</f>
        <v>0</v>
      </c>
      <c r="AC363" s="70">
        <f>'RESUMEN TOTAL'!AJ456</f>
        <v>0</v>
      </c>
      <c r="AD363" s="70">
        <f>'RESUMEN TOTAL'!AK456</f>
        <v>0</v>
      </c>
      <c r="AE363" s="70">
        <f>'RESUMEN TOTAL'!AL456</f>
        <v>0</v>
      </c>
      <c r="AF363" s="70">
        <f>'RESUMEN TOTAL'!AM456</f>
        <v>0</v>
      </c>
      <c r="AG363" s="70">
        <f>'RESUMEN TOTAL'!AN456</f>
        <v>0</v>
      </c>
      <c r="AH363" s="70">
        <f>'RESUMEN TOTAL'!AO456</f>
        <v>0</v>
      </c>
      <c r="AI363" s="70">
        <f>'RESUMEN TOTAL'!AP456</f>
        <v>0</v>
      </c>
      <c r="AJ363" s="70">
        <f>'RESUMEN TOTAL'!AQ456</f>
        <v>0</v>
      </c>
    </row>
    <row r="364" spans="1:36" x14ac:dyDescent="0.25">
      <c r="A364" t="str">
        <f>'RESUMEN TOTAL'!A458</f>
        <v>PRESIDENTE SARMIENTO</v>
      </c>
      <c r="B364" t="str">
        <f>'RESUMEN TOTAL'!B458</f>
        <v>VANG 09</v>
      </c>
      <c r="C364" t="str">
        <f>'RESUMEN TOTAL'!D458</f>
        <v>Ruta 36 y Senzabello</v>
      </c>
      <c r="D364" s="30" t="str">
        <f>'RESUMEN TOTAL'!E458</f>
        <v>Domo</v>
      </c>
      <c r="E364" s="30" t="str">
        <f>'RESUMEN TOTAL'!F458</f>
        <v>PTO A FO</v>
      </c>
      <c r="F364" s="70" t="str">
        <f>'RESUMEN TOTAL'!M458</f>
        <v>APAGADO</v>
      </c>
      <c r="G364" s="70">
        <f>'RESUMEN TOTAL'!N458</f>
        <v>0</v>
      </c>
      <c r="H364" s="70">
        <f>'RESUMEN TOTAL'!O458</f>
        <v>0</v>
      </c>
      <c r="I364" s="70">
        <f>'RESUMEN TOTAL'!P458</f>
        <v>0</v>
      </c>
      <c r="J364" s="70">
        <f>'RESUMEN TOTAL'!Q458</f>
        <v>0</v>
      </c>
      <c r="K364" s="70">
        <f>'RESUMEN TOTAL'!R458</f>
        <v>0</v>
      </c>
      <c r="L364" s="70">
        <f>'RESUMEN TOTAL'!S458</f>
        <v>0</v>
      </c>
      <c r="M364" s="70">
        <f>'RESUMEN TOTAL'!T458</f>
        <v>0</v>
      </c>
      <c r="N364" s="70">
        <f>'RESUMEN TOTAL'!U458</f>
        <v>0</v>
      </c>
      <c r="O364" s="70">
        <f>'RESUMEN TOTAL'!V458</f>
        <v>0</v>
      </c>
      <c r="P364" s="70">
        <f>'RESUMEN TOTAL'!W458</f>
        <v>0</v>
      </c>
      <c r="Q364" s="70">
        <f>'RESUMEN TOTAL'!X458</f>
        <v>0</v>
      </c>
      <c r="R364" s="70">
        <f>'RESUMEN TOTAL'!Y458</f>
        <v>0</v>
      </c>
      <c r="S364" s="70">
        <f>'RESUMEN TOTAL'!Z458</f>
        <v>0</v>
      </c>
      <c r="T364" s="70">
        <f>'RESUMEN TOTAL'!AA458</f>
        <v>0</v>
      </c>
      <c r="U364" s="70">
        <f>'RESUMEN TOTAL'!AB458</f>
        <v>0</v>
      </c>
      <c r="V364" s="70">
        <f>'RESUMEN TOTAL'!AC458</f>
        <v>0</v>
      </c>
      <c r="W364" s="70">
        <f>'RESUMEN TOTAL'!AD458</f>
        <v>0</v>
      </c>
      <c r="X364" s="70">
        <f>'RESUMEN TOTAL'!AE458</f>
        <v>0</v>
      </c>
      <c r="Y364" s="70">
        <f>'RESUMEN TOTAL'!AF458</f>
        <v>0</v>
      </c>
      <c r="Z364" s="70">
        <f>'RESUMEN TOTAL'!AG458</f>
        <v>0</v>
      </c>
      <c r="AA364" s="70">
        <f>'RESUMEN TOTAL'!AH458</f>
        <v>0</v>
      </c>
      <c r="AB364" s="70">
        <f>'RESUMEN TOTAL'!AI458</f>
        <v>0</v>
      </c>
      <c r="AC364" s="70">
        <f>'RESUMEN TOTAL'!AJ458</f>
        <v>0</v>
      </c>
      <c r="AD364" s="70">
        <f>'RESUMEN TOTAL'!AK458</f>
        <v>0</v>
      </c>
      <c r="AE364" s="70">
        <f>'RESUMEN TOTAL'!AL458</f>
        <v>0</v>
      </c>
      <c r="AF364" s="70">
        <f>'RESUMEN TOTAL'!AM458</f>
        <v>0</v>
      </c>
      <c r="AG364" s="70">
        <f>'RESUMEN TOTAL'!AN458</f>
        <v>0</v>
      </c>
      <c r="AH364" s="70">
        <f>'RESUMEN TOTAL'!AO458</f>
        <v>0</v>
      </c>
      <c r="AI364" s="70">
        <f>'RESUMEN TOTAL'!AP458</f>
        <v>0</v>
      </c>
      <c r="AJ364" s="70">
        <f>'RESUMEN TOTAL'!AQ458</f>
        <v>0</v>
      </c>
    </row>
    <row r="365" spans="1:36" x14ac:dyDescent="0.25">
      <c r="A365" t="str">
        <f>'RESUMEN TOTAL'!A459</f>
        <v>VILLA ANGELICA</v>
      </c>
      <c r="B365" t="str">
        <f>'RESUMEN TOTAL'!B459</f>
        <v>VANG01</v>
      </c>
      <c r="C365" t="str">
        <f>'RESUMEN TOTAL'!D459</f>
        <v>SENZABELLO Y REMDIOS DE ESCALADA</v>
      </c>
      <c r="D365" s="30" t="str">
        <f>'RESUMEN TOTAL'!E459</f>
        <v>Domo</v>
      </c>
      <c r="E365" s="30" t="str">
        <f>'RESUMEN TOTAL'!F459</f>
        <v>PTO A FO</v>
      </c>
      <c r="F365" s="70" t="str">
        <f>'RESUMEN TOTAL'!M459</f>
        <v>APAGADO</v>
      </c>
      <c r="G365" s="70">
        <f>'RESUMEN TOTAL'!N459</f>
        <v>0</v>
      </c>
      <c r="H365" s="70">
        <f>'RESUMEN TOTAL'!O459</f>
        <v>0</v>
      </c>
      <c r="I365" s="70">
        <f>'RESUMEN TOTAL'!P459</f>
        <v>0</v>
      </c>
      <c r="J365" s="70">
        <f>'RESUMEN TOTAL'!Q459</f>
        <v>0</v>
      </c>
      <c r="K365" s="70">
        <f>'RESUMEN TOTAL'!R459</f>
        <v>0</v>
      </c>
      <c r="L365" s="70">
        <f>'RESUMEN TOTAL'!S459</f>
        <v>0</v>
      </c>
      <c r="M365" s="70">
        <f>'RESUMEN TOTAL'!T459</f>
        <v>0</v>
      </c>
      <c r="N365" s="70">
        <f>'RESUMEN TOTAL'!U459</f>
        <v>0</v>
      </c>
      <c r="O365" s="70">
        <f>'RESUMEN TOTAL'!V459</f>
        <v>0</v>
      </c>
      <c r="P365" s="70">
        <f>'RESUMEN TOTAL'!W459</f>
        <v>0</v>
      </c>
      <c r="Q365" s="70">
        <f>'RESUMEN TOTAL'!X459</f>
        <v>0</v>
      </c>
      <c r="R365" s="70">
        <f>'RESUMEN TOTAL'!Y459</f>
        <v>0</v>
      </c>
      <c r="S365" s="70">
        <f>'RESUMEN TOTAL'!Z459</f>
        <v>0</v>
      </c>
      <c r="T365" s="70">
        <f>'RESUMEN TOTAL'!AA459</f>
        <v>0</v>
      </c>
      <c r="U365" s="70">
        <f>'RESUMEN TOTAL'!AB459</f>
        <v>0</v>
      </c>
      <c r="V365" s="70">
        <f>'RESUMEN TOTAL'!AC459</f>
        <v>0</v>
      </c>
      <c r="W365" s="70">
        <f>'RESUMEN TOTAL'!AD459</f>
        <v>0</v>
      </c>
      <c r="X365" s="70">
        <f>'RESUMEN TOTAL'!AE459</f>
        <v>0</v>
      </c>
      <c r="Y365" s="70">
        <f>'RESUMEN TOTAL'!AF459</f>
        <v>0</v>
      </c>
      <c r="Z365" s="70">
        <f>'RESUMEN TOTAL'!AG459</f>
        <v>0</v>
      </c>
      <c r="AA365" s="70">
        <f>'RESUMEN TOTAL'!AH459</f>
        <v>0</v>
      </c>
      <c r="AB365" s="70">
        <f>'RESUMEN TOTAL'!AI459</f>
        <v>0</v>
      </c>
      <c r="AC365" s="70">
        <f>'RESUMEN TOTAL'!AJ459</f>
        <v>0</v>
      </c>
      <c r="AD365" s="70">
        <f>'RESUMEN TOTAL'!AK459</f>
        <v>0</v>
      </c>
      <c r="AE365" s="70">
        <f>'RESUMEN TOTAL'!AL459</f>
        <v>0</v>
      </c>
      <c r="AF365" s="70">
        <f>'RESUMEN TOTAL'!AM459</f>
        <v>0</v>
      </c>
      <c r="AG365" s="70">
        <f>'RESUMEN TOTAL'!AN459</f>
        <v>0</v>
      </c>
      <c r="AH365" s="70">
        <f>'RESUMEN TOTAL'!AO459</f>
        <v>0</v>
      </c>
      <c r="AI365" s="70">
        <f>'RESUMEN TOTAL'!AP459</f>
        <v>0</v>
      </c>
      <c r="AJ365" s="70">
        <f>'RESUMEN TOTAL'!AQ459</f>
        <v>0</v>
      </c>
    </row>
    <row r="366" spans="1:36" x14ac:dyDescent="0.25">
      <c r="A366" t="str">
        <f>'RESUMEN TOTAL'!A460</f>
        <v>VILLA ANGELICA</v>
      </c>
      <c r="B366" t="str">
        <f>'RESUMEN TOTAL'!B460</f>
        <v>VANG02</v>
      </c>
      <c r="C366" t="str">
        <f>'RESUMEN TOTAL'!D460</f>
        <v>Thevenet y Ruta 36</v>
      </c>
      <c r="D366" s="30" t="str">
        <f>'RESUMEN TOTAL'!E460</f>
        <v>Domo</v>
      </c>
      <c r="E366" s="30" t="str">
        <f>'RESUMEN TOTAL'!F460</f>
        <v>Fibra Optica</v>
      </c>
      <c r="F366" s="70">
        <f>'RESUMEN TOTAL'!M460</f>
        <v>0</v>
      </c>
      <c r="G366" s="70">
        <f>'RESUMEN TOTAL'!N460</f>
        <v>0</v>
      </c>
      <c r="H366" s="70">
        <f>'RESUMEN TOTAL'!O460</f>
        <v>0</v>
      </c>
      <c r="I366" s="70">
        <f>'RESUMEN TOTAL'!P460</f>
        <v>0</v>
      </c>
      <c r="J366" s="70">
        <f>'RESUMEN TOTAL'!Q460</f>
        <v>0</v>
      </c>
      <c r="K366" s="70">
        <f>'RESUMEN TOTAL'!R460</f>
        <v>0</v>
      </c>
      <c r="L366" s="70">
        <f>'RESUMEN TOTAL'!S460</f>
        <v>0</v>
      </c>
      <c r="M366" s="70">
        <f>'RESUMEN TOTAL'!T460</f>
        <v>0</v>
      </c>
      <c r="N366" s="70">
        <f>'RESUMEN TOTAL'!U460</f>
        <v>0</v>
      </c>
      <c r="O366" s="70">
        <f>'RESUMEN TOTAL'!V460</f>
        <v>0</v>
      </c>
      <c r="P366" s="70">
        <f>'RESUMEN TOTAL'!W460</f>
        <v>0</v>
      </c>
      <c r="Q366" s="70">
        <f>'RESUMEN TOTAL'!X460</f>
        <v>0</v>
      </c>
      <c r="R366" s="70">
        <f>'RESUMEN TOTAL'!Y460</f>
        <v>0</v>
      </c>
      <c r="S366" s="70">
        <f>'RESUMEN TOTAL'!Z460</f>
        <v>0</v>
      </c>
      <c r="T366" s="70">
        <f>'RESUMEN TOTAL'!AA460</f>
        <v>0</v>
      </c>
      <c r="U366" s="70">
        <f>'RESUMEN TOTAL'!AB460</f>
        <v>0</v>
      </c>
      <c r="V366" s="70">
        <f>'RESUMEN TOTAL'!AC460</f>
        <v>0</v>
      </c>
      <c r="W366" s="70">
        <f>'RESUMEN TOTAL'!AD460</f>
        <v>0</v>
      </c>
      <c r="X366" s="70">
        <f>'RESUMEN TOTAL'!AE460</f>
        <v>0</v>
      </c>
      <c r="Y366" s="70">
        <f>'RESUMEN TOTAL'!AF460</f>
        <v>0</v>
      </c>
      <c r="Z366" s="70">
        <f>'RESUMEN TOTAL'!AG460</f>
        <v>0</v>
      </c>
      <c r="AA366" s="70">
        <f>'RESUMEN TOTAL'!AH460</f>
        <v>0</v>
      </c>
      <c r="AB366" s="70">
        <f>'RESUMEN TOTAL'!AI460</f>
        <v>0</v>
      </c>
      <c r="AC366" s="70">
        <f>'RESUMEN TOTAL'!AJ460</f>
        <v>0</v>
      </c>
      <c r="AD366" s="70">
        <f>'RESUMEN TOTAL'!AK460</f>
        <v>0</v>
      </c>
      <c r="AE366" s="70">
        <f>'RESUMEN TOTAL'!AL460</f>
        <v>0</v>
      </c>
      <c r="AF366" s="70">
        <f>'RESUMEN TOTAL'!AM460</f>
        <v>0</v>
      </c>
      <c r="AG366" s="70">
        <f>'RESUMEN TOTAL'!AN460</f>
        <v>0</v>
      </c>
      <c r="AH366" s="70">
        <f>'RESUMEN TOTAL'!AO460</f>
        <v>0</v>
      </c>
      <c r="AI366" s="70">
        <f>'RESUMEN TOTAL'!AP460</f>
        <v>0</v>
      </c>
      <c r="AJ366" s="70">
        <f>'RESUMEN TOTAL'!AQ460</f>
        <v>0</v>
      </c>
    </row>
    <row r="367" spans="1:36" x14ac:dyDescent="0.25">
      <c r="A367" t="str">
        <f>'RESUMEN TOTAL'!A461</f>
        <v>VILLA DEL PLATA</v>
      </c>
      <c r="B367" t="str">
        <f>'RESUMEN TOTAL'!B461</f>
        <v>VANG03</v>
      </c>
      <c r="C367" t="str">
        <f>'RESUMEN TOTAL'!D461</f>
        <v>Thevenet 1950</v>
      </c>
      <c r="D367" s="30" t="str">
        <f>'RESUMEN TOTAL'!E461</f>
        <v>Domo</v>
      </c>
      <c r="E367" s="30" t="str">
        <f>'RESUMEN TOTAL'!F461</f>
        <v>Fibra Optica</v>
      </c>
      <c r="F367" s="70">
        <f>'RESUMEN TOTAL'!M461</f>
        <v>0</v>
      </c>
      <c r="G367" s="70">
        <f>'RESUMEN TOTAL'!N461</f>
        <v>0</v>
      </c>
      <c r="H367" s="70">
        <f>'RESUMEN TOTAL'!O461</f>
        <v>0</v>
      </c>
      <c r="I367" s="70">
        <f>'RESUMEN TOTAL'!P461</f>
        <v>0</v>
      </c>
      <c r="J367" s="70">
        <f>'RESUMEN TOTAL'!Q461</f>
        <v>0</v>
      </c>
      <c r="K367" s="70">
        <f>'RESUMEN TOTAL'!R461</f>
        <v>0</v>
      </c>
      <c r="L367" s="70">
        <f>'RESUMEN TOTAL'!S461</f>
        <v>0</v>
      </c>
      <c r="M367" s="70">
        <f>'RESUMEN TOTAL'!T461</f>
        <v>0</v>
      </c>
      <c r="N367" s="70">
        <f>'RESUMEN TOTAL'!U461</f>
        <v>0</v>
      </c>
      <c r="O367" s="70">
        <f>'RESUMEN TOTAL'!V461</f>
        <v>0</v>
      </c>
      <c r="P367" s="70">
        <f>'RESUMEN TOTAL'!W461</f>
        <v>0</v>
      </c>
      <c r="Q367" s="70">
        <f>'RESUMEN TOTAL'!X461</f>
        <v>0</v>
      </c>
      <c r="R367" s="70">
        <f>'RESUMEN TOTAL'!Y461</f>
        <v>0</v>
      </c>
      <c r="S367" s="70">
        <f>'RESUMEN TOTAL'!Z461</f>
        <v>0</v>
      </c>
      <c r="T367" s="70">
        <f>'RESUMEN TOTAL'!AA461</f>
        <v>0</v>
      </c>
      <c r="U367" s="70">
        <f>'RESUMEN TOTAL'!AB461</f>
        <v>0</v>
      </c>
      <c r="V367" s="70">
        <f>'RESUMEN TOTAL'!AC461</f>
        <v>0</v>
      </c>
      <c r="W367" s="70">
        <f>'RESUMEN TOTAL'!AD461</f>
        <v>0</v>
      </c>
      <c r="X367" s="70">
        <f>'RESUMEN TOTAL'!AE461</f>
        <v>0</v>
      </c>
      <c r="Y367" s="70">
        <f>'RESUMEN TOTAL'!AF461</f>
        <v>0</v>
      </c>
      <c r="Z367" s="70">
        <f>'RESUMEN TOTAL'!AG461</f>
        <v>0</v>
      </c>
      <c r="AA367" s="70">
        <f>'RESUMEN TOTAL'!AH461</f>
        <v>0</v>
      </c>
      <c r="AB367" s="70">
        <f>'RESUMEN TOTAL'!AI461</f>
        <v>0</v>
      </c>
      <c r="AC367" s="70">
        <f>'RESUMEN TOTAL'!AJ461</f>
        <v>0</v>
      </c>
      <c r="AD367" s="70">
        <f>'RESUMEN TOTAL'!AK461</f>
        <v>0</v>
      </c>
      <c r="AE367" s="70">
        <f>'RESUMEN TOTAL'!AL461</f>
        <v>0</v>
      </c>
      <c r="AF367" s="70">
        <f>'RESUMEN TOTAL'!AM461</f>
        <v>0</v>
      </c>
      <c r="AG367" s="70">
        <f>'RESUMEN TOTAL'!AN461</f>
        <v>0</v>
      </c>
      <c r="AH367" s="70">
        <f>'RESUMEN TOTAL'!AO461</f>
        <v>0</v>
      </c>
      <c r="AI367" s="70">
        <f>'RESUMEN TOTAL'!AP461</f>
        <v>0</v>
      </c>
      <c r="AJ367" s="70">
        <f>'RESUMEN TOTAL'!AQ461</f>
        <v>0</v>
      </c>
    </row>
    <row r="368" spans="1:36" x14ac:dyDescent="0.25">
      <c r="A368" t="str">
        <f>'RESUMEN TOTAL'!A462</f>
        <v>VILLA ANGELICA</v>
      </c>
      <c r="B368" t="str">
        <f>'RESUMEN TOTAL'!B462</f>
        <v>VANG04</v>
      </c>
      <c r="C368" t="str">
        <f>'RESUMEN TOTAL'!D462</f>
        <v>Storni e/Thevenet y Calle 158</v>
      </c>
      <c r="D368" s="30" t="str">
        <f>'RESUMEN TOTAL'!E462</f>
        <v>DOMO</v>
      </c>
      <c r="E368" s="30" t="str">
        <f>'RESUMEN TOTAL'!F462</f>
        <v>Fibra Optica</v>
      </c>
      <c r="F368" s="70">
        <f>'RESUMEN TOTAL'!M462</f>
        <v>0</v>
      </c>
      <c r="G368" s="70">
        <f>'RESUMEN TOTAL'!N462</f>
        <v>0</v>
      </c>
      <c r="H368" s="70">
        <f>'RESUMEN TOTAL'!O462</f>
        <v>0</v>
      </c>
      <c r="I368" s="70">
        <f>'RESUMEN TOTAL'!P462</f>
        <v>0</v>
      </c>
      <c r="J368" s="70">
        <f>'RESUMEN TOTAL'!Q462</f>
        <v>0</v>
      </c>
      <c r="K368" s="70">
        <f>'RESUMEN TOTAL'!R462</f>
        <v>0</v>
      </c>
      <c r="L368" s="70">
        <f>'RESUMEN TOTAL'!S462</f>
        <v>0</v>
      </c>
      <c r="M368" s="70">
        <f>'RESUMEN TOTAL'!T462</f>
        <v>0</v>
      </c>
      <c r="N368" s="70">
        <f>'RESUMEN TOTAL'!U462</f>
        <v>0</v>
      </c>
      <c r="O368" s="70">
        <f>'RESUMEN TOTAL'!V462</f>
        <v>0</v>
      </c>
      <c r="P368" s="70">
        <f>'RESUMEN TOTAL'!W462</f>
        <v>0</v>
      </c>
      <c r="Q368" s="70">
        <f>'RESUMEN TOTAL'!X462</f>
        <v>0</v>
      </c>
      <c r="R368" s="70">
        <f>'RESUMEN TOTAL'!Y462</f>
        <v>0</v>
      </c>
      <c r="S368" s="70">
        <f>'RESUMEN TOTAL'!Z462</f>
        <v>0</v>
      </c>
      <c r="T368" s="70">
        <f>'RESUMEN TOTAL'!AA462</f>
        <v>0</v>
      </c>
      <c r="U368" s="70">
        <f>'RESUMEN TOTAL'!AB462</f>
        <v>0</v>
      </c>
      <c r="V368" s="70">
        <f>'RESUMEN TOTAL'!AC462</f>
        <v>0</v>
      </c>
      <c r="W368" s="70">
        <f>'RESUMEN TOTAL'!AD462</f>
        <v>0</v>
      </c>
      <c r="X368" s="70">
        <f>'RESUMEN TOTAL'!AE462</f>
        <v>0</v>
      </c>
      <c r="Y368" s="70">
        <f>'RESUMEN TOTAL'!AF462</f>
        <v>0</v>
      </c>
      <c r="Z368" s="70">
        <f>'RESUMEN TOTAL'!AG462</f>
        <v>0</v>
      </c>
      <c r="AA368" s="70">
        <f>'RESUMEN TOTAL'!AH462</f>
        <v>0</v>
      </c>
      <c r="AB368" s="70">
        <f>'RESUMEN TOTAL'!AI462</f>
        <v>0</v>
      </c>
      <c r="AC368" s="70">
        <f>'RESUMEN TOTAL'!AJ462</f>
        <v>0</v>
      </c>
      <c r="AD368" s="70">
        <f>'RESUMEN TOTAL'!AK462</f>
        <v>0</v>
      </c>
      <c r="AE368" s="70">
        <f>'RESUMEN TOTAL'!AL462</f>
        <v>0</v>
      </c>
      <c r="AF368" s="70">
        <f>'RESUMEN TOTAL'!AM462</f>
        <v>0</v>
      </c>
      <c r="AG368" s="70">
        <f>'RESUMEN TOTAL'!AN462</f>
        <v>0</v>
      </c>
      <c r="AH368" s="70">
        <f>'RESUMEN TOTAL'!AO462</f>
        <v>0</v>
      </c>
      <c r="AI368" s="70">
        <f>'RESUMEN TOTAL'!AP462</f>
        <v>0</v>
      </c>
      <c r="AJ368" s="70">
        <f>'RESUMEN TOTAL'!AQ462</f>
        <v>0</v>
      </c>
    </row>
    <row r="369" spans="1:36" x14ac:dyDescent="0.25">
      <c r="A369" t="str">
        <f>'RESUMEN TOTAL'!A463</f>
        <v>VILLA ANGELICA</v>
      </c>
      <c r="B369" t="str">
        <f>'RESUMEN TOTAL'!B463</f>
        <v>VANG05</v>
      </c>
      <c r="C369" t="str">
        <f>'RESUMEN TOTAL'!D463</f>
        <v>Storni y Thevenet</v>
      </c>
      <c r="D369" s="30" t="str">
        <f>'RESUMEN TOTAL'!E463</f>
        <v>Domo</v>
      </c>
      <c r="E369" s="30" t="str">
        <f>'RESUMEN TOTAL'!F463</f>
        <v>Fibra Optica</v>
      </c>
      <c r="F369" s="70">
        <f>'RESUMEN TOTAL'!M463</f>
        <v>0</v>
      </c>
      <c r="G369" s="70">
        <f>'RESUMEN TOTAL'!N463</f>
        <v>0</v>
      </c>
      <c r="H369" s="70">
        <f>'RESUMEN TOTAL'!O463</f>
        <v>0</v>
      </c>
      <c r="I369" s="70">
        <f>'RESUMEN TOTAL'!P463</f>
        <v>0</v>
      </c>
      <c r="J369" s="70">
        <f>'RESUMEN TOTAL'!Q463</f>
        <v>0</v>
      </c>
      <c r="K369" s="70">
        <f>'RESUMEN TOTAL'!R463</f>
        <v>0</v>
      </c>
      <c r="L369" s="70">
        <f>'RESUMEN TOTAL'!S463</f>
        <v>0</v>
      </c>
      <c r="M369" s="70">
        <f>'RESUMEN TOTAL'!T463</f>
        <v>0</v>
      </c>
      <c r="N369" s="70">
        <f>'RESUMEN TOTAL'!U463</f>
        <v>0</v>
      </c>
      <c r="O369" s="70">
        <f>'RESUMEN TOTAL'!V463</f>
        <v>0</v>
      </c>
      <c r="P369" s="70">
        <f>'RESUMEN TOTAL'!W463</f>
        <v>0</v>
      </c>
      <c r="Q369" s="70">
        <f>'RESUMEN TOTAL'!X463</f>
        <v>0</v>
      </c>
      <c r="R369" s="70">
        <f>'RESUMEN TOTAL'!Y463</f>
        <v>0</v>
      </c>
      <c r="S369" s="70">
        <f>'RESUMEN TOTAL'!Z463</f>
        <v>0</v>
      </c>
      <c r="T369" s="70">
        <f>'RESUMEN TOTAL'!AA463</f>
        <v>0</v>
      </c>
      <c r="U369" s="70">
        <f>'RESUMEN TOTAL'!AB463</f>
        <v>0</v>
      </c>
      <c r="V369" s="70">
        <f>'RESUMEN TOTAL'!AC463</f>
        <v>0</v>
      </c>
      <c r="W369" s="70">
        <f>'RESUMEN TOTAL'!AD463</f>
        <v>0</v>
      </c>
      <c r="X369" s="70">
        <f>'RESUMEN TOTAL'!AE463</f>
        <v>0</v>
      </c>
      <c r="Y369" s="70">
        <f>'RESUMEN TOTAL'!AF463</f>
        <v>0</v>
      </c>
      <c r="Z369" s="70">
        <f>'RESUMEN TOTAL'!AG463</f>
        <v>0</v>
      </c>
      <c r="AA369" s="70">
        <f>'RESUMEN TOTAL'!AH463</f>
        <v>0</v>
      </c>
      <c r="AB369" s="70">
        <f>'RESUMEN TOTAL'!AI463</f>
        <v>0</v>
      </c>
      <c r="AC369" s="70">
        <f>'RESUMEN TOTAL'!AJ463</f>
        <v>0</v>
      </c>
      <c r="AD369" s="70">
        <f>'RESUMEN TOTAL'!AK463</f>
        <v>0</v>
      </c>
      <c r="AE369" s="70">
        <f>'RESUMEN TOTAL'!AL463</f>
        <v>0</v>
      </c>
      <c r="AF369" s="70">
        <f>'RESUMEN TOTAL'!AM463</f>
        <v>0</v>
      </c>
      <c r="AG369" s="70">
        <f>'RESUMEN TOTAL'!AN463</f>
        <v>0</v>
      </c>
      <c r="AH369" s="70">
        <f>'RESUMEN TOTAL'!AO463</f>
        <v>0</v>
      </c>
      <c r="AI369" s="70">
        <f>'RESUMEN TOTAL'!AP463</f>
        <v>0</v>
      </c>
      <c r="AJ369" s="70">
        <f>'RESUMEN TOTAL'!AQ463</f>
        <v>0</v>
      </c>
    </row>
    <row r="370" spans="1:36" x14ac:dyDescent="0.25">
      <c r="A370" t="str">
        <f>'RESUMEN TOTAL'!A464</f>
        <v>VILLA ANGELICA</v>
      </c>
      <c r="B370" t="str">
        <f>'RESUMEN TOTAL'!B464</f>
        <v>VANG06</v>
      </c>
      <c r="C370" t="str">
        <f>'RESUMEN TOTAL'!D464</f>
        <v>Arenales e/Thevenet y Calle 158</v>
      </c>
      <c r="D370" s="30" t="str">
        <f>'RESUMEN TOTAL'!E464</f>
        <v>DOMO</v>
      </c>
      <c r="E370" s="30" t="str">
        <f>'RESUMEN TOTAL'!F464</f>
        <v>GPON</v>
      </c>
      <c r="F370" s="70">
        <f>'RESUMEN TOTAL'!M464</f>
        <v>0</v>
      </c>
      <c r="G370" s="70">
        <f>'RESUMEN TOTAL'!N464</f>
        <v>0</v>
      </c>
      <c r="H370" s="70">
        <f>'RESUMEN TOTAL'!O464</f>
        <v>0</v>
      </c>
      <c r="I370" s="70">
        <f>'RESUMEN TOTAL'!P464</f>
        <v>0</v>
      </c>
      <c r="J370" s="70">
        <f>'RESUMEN TOTAL'!Q464</f>
        <v>0</v>
      </c>
      <c r="K370" s="70">
        <f>'RESUMEN TOTAL'!R464</f>
        <v>0</v>
      </c>
      <c r="L370" s="70">
        <f>'RESUMEN TOTAL'!S464</f>
        <v>0</v>
      </c>
      <c r="M370" s="70">
        <f>'RESUMEN TOTAL'!T464</f>
        <v>0</v>
      </c>
      <c r="N370" s="70">
        <f>'RESUMEN TOTAL'!U464</f>
        <v>0</v>
      </c>
      <c r="O370" s="70">
        <f>'RESUMEN TOTAL'!V464</f>
        <v>0</v>
      </c>
      <c r="P370" s="70">
        <f>'RESUMEN TOTAL'!W464</f>
        <v>0</v>
      </c>
      <c r="Q370" s="70">
        <f>'RESUMEN TOTAL'!X464</f>
        <v>0</v>
      </c>
      <c r="R370" s="70">
        <f>'RESUMEN TOTAL'!Y464</f>
        <v>0</v>
      </c>
      <c r="S370" s="70">
        <f>'RESUMEN TOTAL'!Z464</f>
        <v>0</v>
      </c>
      <c r="T370" s="70">
        <f>'RESUMEN TOTAL'!AA464</f>
        <v>0</v>
      </c>
      <c r="U370" s="70">
        <f>'RESUMEN TOTAL'!AB464</f>
        <v>0</v>
      </c>
      <c r="V370" s="70">
        <f>'RESUMEN TOTAL'!AC464</f>
        <v>0</v>
      </c>
      <c r="W370" s="70">
        <f>'RESUMEN TOTAL'!AD464</f>
        <v>0</v>
      </c>
      <c r="X370" s="70">
        <f>'RESUMEN TOTAL'!AE464</f>
        <v>0</v>
      </c>
      <c r="Y370" s="70">
        <f>'RESUMEN TOTAL'!AF464</f>
        <v>0</v>
      </c>
      <c r="Z370" s="70">
        <f>'RESUMEN TOTAL'!AG464</f>
        <v>0</v>
      </c>
      <c r="AA370" s="70">
        <f>'RESUMEN TOTAL'!AH464</f>
        <v>0</v>
      </c>
      <c r="AB370" s="70">
        <f>'RESUMEN TOTAL'!AI464</f>
        <v>0</v>
      </c>
      <c r="AC370" s="70">
        <f>'RESUMEN TOTAL'!AJ464</f>
        <v>0</v>
      </c>
      <c r="AD370" s="70">
        <f>'RESUMEN TOTAL'!AK464</f>
        <v>0</v>
      </c>
      <c r="AE370" s="70">
        <f>'RESUMEN TOTAL'!AL464</f>
        <v>0</v>
      </c>
      <c r="AF370" s="70">
        <f>'RESUMEN TOTAL'!AM464</f>
        <v>0</v>
      </c>
      <c r="AG370" s="70">
        <f>'RESUMEN TOTAL'!AN464</f>
        <v>0</v>
      </c>
      <c r="AH370" s="70">
        <f>'RESUMEN TOTAL'!AO464</f>
        <v>0</v>
      </c>
      <c r="AI370" s="70">
        <f>'RESUMEN TOTAL'!AP464</f>
        <v>0</v>
      </c>
      <c r="AJ370" s="70">
        <f>'RESUMEN TOTAL'!AQ464</f>
        <v>0</v>
      </c>
    </row>
    <row r="371" spans="1:36" x14ac:dyDescent="0.25">
      <c r="A371" t="str">
        <f>'RESUMEN TOTAL'!A465</f>
        <v>VILLA ANGELICA</v>
      </c>
      <c r="B371" t="str">
        <f>'RESUMEN TOTAL'!B465</f>
        <v>VANG07</v>
      </c>
      <c r="C371" t="str">
        <f>'RESUMEN TOTAL'!D465</f>
        <v>Arenales y Thevenet</v>
      </c>
      <c r="D371" s="30" t="str">
        <f>'RESUMEN TOTAL'!E465</f>
        <v>Domo</v>
      </c>
      <c r="E371" s="30" t="str">
        <f>'RESUMEN TOTAL'!F465</f>
        <v>GPON</v>
      </c>
      <c r="F371" s="70">
        <f>'RESUMEN TOTAL'!M465</f>
        <v>0</v>
      </c>
      <c r="G371" s="70">
        <f>'RESUMEN TOTAL'!N465</f>
        <v>0</v>
      </c>
      <c r="H371" s="70">
        <f>'RESUMEN TOTAL'!O465</f>
        <v>0</v>
      </c>
      <c r="I371" s="70">
        <f>'RESUMEN TOTAL'!P465</f>
        <v>0</v>
      </c>
      <c r="J371" s="70">
        <f>'RESUMEN TOTAL'!Q465</f>
        <v>0</v>
      </c>
      <c r="K371" s="70">
        <f>'RESUMEN TOTAL'!R465</f>
        <v>0</v>
      </c>
      <c r="L371" s="70">
        <f>'RESUMEN TOTAL'!S465</f>
        <v>0</v>
      </c>
      <c r="M371" s="70">
        <f>'RESUMEN TOTAL'!T465</f>
        <v>0</v>
      </c>
      <c r="N371" s="70">
        <f>'RESUMEN TOTAL'!U465</f>
        <v>0</v>
      </c>
      <c r="O371" s="70">
        <f>'RESUMEN TOTAL'!V465</f>
        <v>0</v>
      </c>
      <c r="P371" s="70">
        <f>'RESUMEN TOTAL'!W465</f>
        <v>0</v>
      </c>
      <c r="Q371" s="70">
        <f>'RESUMEN TOTAL'!X465</f>
        <v>0</v>
      </c>
      <c r="R371" s="70">
        <f>'RESUMEN TOTAL'!Y465</f>
        <v>0</v>
      </c>
      <c r="S371" s="70">
        <f>'RESUMEN TOTAL'!Z465</f>
        <v>0</v>
      </c>
      <c r="T371" s="70">
        <f>'RESUMEN TOTAL'!AA465</f>
        <v>0</v>
      </c>
      <c r="U371" s="70">
        <f>'RESUMEN TOTAL'!AB465</f>
        <v>0</v>
      </c>
      <c r="V371" s="70">
        <f>'RESUMEN TOTAL'!AC465</f>
        <v>0</v>
      </c>
      <c r="W371" s="70">
        <f>'RESUMEN TOTAL'!AD465</f>
        <v>0</v>
      </c>
      <c r="X371" s="70">
        <f>'RESUMEN TOTAL'!AE465</f>
        <v>0</v>
      </c>
      <c r="Y371" s="70">
        <f>'RESUMEN TOTAL'!AF465</f>
        <v>0</v>
      </c>
      <c r="Z371" s="70">
        <f>'RESUMEN TOTAL'!AG465</f>
        <v>0</v>
      </c>
      <c r="AA371" s="70">
        <f>'RESUMEN TOTAL'!AH465</f>
        <v>0</v>
      </c>
      <c r="AB371" s="70">
        <f>'RESUMEN TOTAL'!AI465</f>
        <v>0</v>
      </c>
      <c r="AC371" s="70">
        <f>'RESUMEN TOTAL'!AJ465</f>
        <v>0</v>
      </c>
      <c r="AD371" s="70">
        <f>'RESUMEN TOTAL'!AK465</f>
        <v>0</v>
      </c>
      <c r="AE371" s="70">
        <f>'RESUMEN TOTAL'!AL465</f>
        <v>0</v>
      </c>
      <c r="AF371" s="70">
        <f>'RESUMEN TOTAL'!AM465</f>
        <v>0</v>
      </c>
      <c r="AG371" s="70">
        <f>'RESUMEN TOTAL'!AN465</f>
        <v>0</v>
      </c>
      <c r="AH371" s="70">
        <f>'RESUMEN TOTAL'!AO465</f>
        <v>0</v>
      </c>
      <c r="AI371" s="70">
        <f>'RESUMEN TOTAL'!AP465</f>
        <v>0</v>
      </c>
      <c r="AJ371" s="70">
        <f>'RESUMEN TOTAL'!AQ465</f>
        <v>0</v>
      </c>
    </row>
    <row r="372" spans="1:36" x14ac:dyDescent="0.25">
      <c r="A372" t="str">
        <f>'RESUMEN TOTAL'!A466</f>
        <v>VILLA ANGELICA</v>
      </c>
      <c r="B372" t="str">
        <f>'RESUMEN TOTAL'!B466</f>
        <v>VANG08</v>
      </c>
      <c r="C372" t="str">
        <f>'RESUMEN TOTAL'!D466</f>
        <v>Calle 158 al 2200</v>
      </c>
      <c r="D372" s="30" t="str">
        <f>'RESUMEN TOTAL'!E466</f>
        <v>Domo</v>
      </c>
      <c r="E372" s="30" t="str">
        <f>'RESUMEN TOTAL'!F466</f>
        <v>PTO A FO</v>
      </c>
      <c r="F372" s="70">
        <f>'RESUMEN TOTAL'!M466</f>
        <v>0</v>
      </c>
      <c r="G372" s="70">
        <f>'RESUMEN TOTAL'!N466</f>
        <v>0</v>
      </c>
      <c r="H372" s="70">
        <f>'RESUMEN TOTAL'!O466</f>
        <v>0</v>
      </c>
      <c r="I372" s="70">
        <f>'RESUMEN TOTAL'!P466</f>
        <v>0</v>
      </c>
      <c r="J372" s="70">
        <f>'RESUMEN TOTAL'!Q466</f>
        <v>0</v>
      </c>
      <c r="K372" s="70">
        <f>'RESUMEN TOTAL'!R466</f>
        <v>0</v>
      </c>
      <c r="L372" s="70">
        <f>'RESUMEN TOTAL'!S466</f>
        <v>0</v>
      </c>
      <c r="M372" s="70">
        <f>'RESUMEN TOTAL'!T466</f>
        <v>0</v>
      </c>
      <c r="N372" s="70">
        <f>'RESUMEN TOTAL'!U466</f>
        <v>0</v>
      </c>
      <c r="O372" s="70">
        <f>'RESUMEN TOTAL'!V466</f>
        <v>0</v>
      </c>
      <c r="P372" s="70">
        <f>'RESUMEN TOTAL'!W466</f>
        <v>0</v>
      </c>
      <c r="Q372" s="70">
        <f>'RESUMEN TOTAL'!X466</f>
        <v>0</v>
      </c>
      <c r="R372" s="70">
        <f>'RESUMEN TOTAL'!Y466</f>
        <v>0</v>
      </c>
      <c r="S372" s="70">
        <f>'RESUMEN TOTAL'!Z466</f>
        <v>0</v>
      </c>
      <c r="T372" s="70">
        <f>'RESUMEN TOTAL'!AA466</f>
        <v>0</v>
      </c>
      <c r="U372" s="70">
        <f>'RESUMEN TOTAL'!AB466</f>
        <v>0</v>
      </c>
      <c r="V372" s="70">
        <f>'RESUMEN TOTAL'!AC466</f>
        <v>0</v>
      </c>
      <c r="W372" s="70">
        <f>'RESUMEN TOTAL'!AD466</f>
        <v>0</v>
      </c>
      <c r="X372" s="70">
        <f>'RESUMEN TOTAL'!AE466</f>
        <v>0</v>
      </c>
      <c r="Y372" s="70">
        <f>'RESUMEN TOTAL'!AF466</f>
        <v>0</v>
      </c>
      <c r="Z372" s="70">
        <f>'RESUMEN TOTAL'!AG466</f>
        <v>0</v>
      </c>
      <c r="AA372" s="70">
        <f>'RESUMEN TOTAL'!AH466</f>
        <v>0</v>
      </c>
      <c r="AB372" s="70">
        <f>'RESUMEN TOTAL'!AI466</f>
        <v>0</v>
      </c>
      <c r="AC372" s="70">
        <f>'RESUMEN TOTAL'!AJ466</f>
        <v>0</v>
      </c>
      <c r="AD372" s="70">
        <f>'RESUMEN TOTAL'!AK466</f>
        <v>0</v>
      </c>
      <c r="AE372" s="70">
        <f>'RESUMEN TOTAL'!AL466</f>
        <v>0</v>
      </c>
      <c r="AF372" s="70">
        <f>'RESUMEN TOTAL'!AM466</f>
        <v>0</v>
      </c>
      <c r="AG372" s="70">
        <f>'RESUMEN TOTAL'!AN466</f>
        <v>0</v>
      </c>
      <c r="AH372" s="70">
        <f>'RESUMEN TOTAL'!AO466</f>
        <v>0</v>
      </c>
      <c r="AI372" s="70">
        <f>'RESUMEN TOTAL'!AP466</f>
        <v>0</v>
      </c>
      <c r="AJ372" s="70">
        <f>'RESUMEN TOTAL'!AQ466</f>
        <v>0</v>
      </c>
    </row>
    <row r="373" spans="1:36" x14ac:dyDescent="0.25">
      <c r="A373" t="str">
        <f>'RESUMEN TOTAL'!A467</f>
        <v>VILLA ANGELICA</v>
      </c>
      <c r="B373" t="str">
        <f>'RESUMEN TOTAL'!B467</f>
        <v>VANG10</v>
      </c>
      <c r="C373" t="str">
        <f>'RESUMEN TOTAL'!D467</f>
        <v>Senzabello y Braile</v>
      </c>
      <c r="D373" s="30" t="str">
        <f>'RESUMEN TOTAL'!E467</f>
        <v>fija</v>
      </c>
      <c r="E373" s="30" t="str">
        <f>'RESUMEN TOTAL'!F467</f>
        <v>GPON</v>
      </c>
      <c r="F373" s="70">
        <f>'RESUMEN TOTAL'!M467</f>
        <v>0</v>
      </c>
      <c r="G373" s="70">
        <f>'RESUMEN TOTAL'!N467</f>
        <v>0</v>
      </c>
      <c r="H373" s="70">
        <f>'RESUMEN TOTAL'!O467</f>
        <v>0</v>
      </c>
      <c r="I373" s="70">
        <f>'RESUMEN TOTAL'!P467</f>
        <v>0</v>
      </c>
      <c r="J373" s="70">
        <f>'RESUMEN TOTAL'!Q467</f>
        <v>0</v>
      </c>
      <c r="K373" s="70">
        <f>'RESUMEN TOTAL'!R467</f>
        <v>0</v>
      </c>
      <c r="L373" s="70">
        <f>'RESUMEN TOTAL'!S467</f>
        <v>0</v>
      </c>
      <c r="M373" s="70">
        <f>'RESUMEN TOTAL'!T467</f>
        <v>0</v>
      </c>
      <c r="N373" s="70">
        <f>'RESUMEN TOTAL'!U467</f>
        <v>0</v>
      </c>
      <c r="O373" s="70">
        <f>'RESUMEN TOTAL'!V467</f>
        <v>0</v>
      </c>
      <c r="P373" s="70">
        <f>'RESUMEN TOTAL'!W467</f>
        <v>0</v>
      </c>
      <c r="Q373" s="70">
        <f>'RESUMEN TOTAL'!X467</f>
        <v>0</v>
      </c>
      <c r="R373" s="70">
        <f>'RESUMEN TOTAL'!Y467</f>
        <v>0</v>
      </c>
      <c r="S373" s="70">
        <f>'RESUMEN TOTAL'!Z467</f>
        <v>0</v>
      </c>
      <c r="T373" s="70">
        <f>'RESUMEN TOTAL'!AA467</f>
        <v>0</v>
      </c>
      <c r="U373" s="70">
        <f>'RESUMEN TOTAL'!AB467</f>
        <v>0</v>
      </c>
      <c r="V373" s="70">
        <f>'RESUMEN TOTAL'!AC467</f>
        <v>0</v>
      </c>
      <c r="W373" s="70">
        <f>'RESUMEN TOTAL'!AD467</f>
        <v>0</v>
      </c>
      <c r="X373" s="70">
        <f>'RESUMEN TOTAL'!AE467</f>
        <v>0</v>
      </c>
      <c r="Y373" s="70">
        <f>'RESUMEN TOTAL'!AF467</f>
        <v>0</v>
      </c>
      <c r="Z373" s="70">
        <f>'RESUMEN TOTAL'!AG467</f>
        <v>0</v>
      </c>
      <c r="AA373" s="70">
        <f>'RESUMEN TOTAL'!AH467</f>
        <v>0</v>
      </c>
      <c r="AB373" s="70">
        <f>'RESUMEN TOTAL'!AI467</f>
        <v>0</v>
      </c>
      <c r="AC373" s="70">
        <f>'RESUMEN TOTAL'!AJ467</f>
        <v>0</v>
      </c>
      <c r="AD373" s="70">
        <f>'RESUMEN TOTAL'!AK467</f>
        <v>0</v>
      </c>
      <c r="AE373" s="70">
        <f>'RESUMEN TOTAL'!AL467</f>
        <v>0</v>
      </c>
      <c r="AF373" s="70">
        <f>'RESUMEN TOTAL'!AM467</f>
        <v>0</v>
      </c>
      <c r="AG373" s="70">
        <f>'RESUMEN TOTAL'!AN467</f>
        <v>0</v>
      </c>
      <c r="AH373" s="70">
        <f>'RESUMEN TOTAL'!AO467</f>
        <v>0</v>
      </c>
      <c r="AI373" s="70">
        <f>'RESUMEN TOTAL'!AP467</f>
        <v>0</v>
      </c>
      <c r="AJ373" s="70">
        <f>'RESUMEN TOTAL'!AQ467</f>
        <v>0</v>
      </c>
    </row>
    <row r="374" spans="1:36" x14ac:dyDescent="0.25">
      <c r="A374" t="str">
        <f>'RESUMEN TOTAL'!A468</f>
        <v>VILLA ANGELICA</v>
      </c>
      <c r="B374" t="str">
        <f>'RESUMEN TOTAL'!B468</f>
        <v>VANG11</v>
      </c>
      <c r="C374" t="str">
        <f>'RESUMEN TOTAL'!D468</f>
        <v>Senzabello y Braile</v>
      </c>
      <c r="D374" s="30" t="str">
        <f>'RESUMEN TOTAL'!E468</f>
        <v>fija</v>
      </c>
      <c r="E374" s="30" t="str">
        <f>'RESUMEN TOTAL'!F468</f>
        <v>Fibra Optica</v>
      </c>
      <c r="F374" s="70">
        <f>'RESUMEN TOTAL'!M468</f>
        <v>0</v>
      </c>
      <c r="G374" s="70">
        <f>'RESUMEN TOTAL'!N468</f>
        <v>0</v>
      </c>
      <c r="H374" s="70">
        <f>'RESUMEN TOTAL'!O468</f>
        <v>0</v>
      </c>
      <c r="I374" s="70">
        <f>'RESUMEN TOTAL'!P468</f>
        <v>0</v>
      </c>
      <c r="J374" s="70">
        <f>'RESUMEN TOTAL'!Q468</f>
        <v>0</v>
      </c>
      <c r="K374" s="70">
        <f>'RESUMEN TOTAL'!R468</f>
        <v>0</v>
      </c>
      <c r="L374" s="70">
        <f>'RESUMEN TOTAL'!S468</f>
        <v>0</v>
      </c>
      <c r="M374" s="70">
        <f>'RESUMEN TOTAL'!T468</f>
        <v>0</v>
      </c>
      <c r="N374" s="70">
        <f>'RESUMEN TOTAL'!U468</f>
        <v>0</v>
      </c>
      <c r="O374" s="70">
        <f>'RESUMEN TOTAL'!V468</f>
        <v>0</v>
      </c>
      <c r="P374" s="70">
        <f>'RESUMEN TOTAL'!W468</f>
        <v>0</v>
      </c>
      <c r="Q374" s="70">
        <f>'RESUMEN TOTAL'!X468</f>
        <v>0</v>
      </c>
      <c r="R374" s="70">
        <f>'RESUMEN TOTAL'!Y468</f>
        <v>0</v>
      </c>
      <c r="S374" s="70">
        <f>'RESUMEN TOTAL'!Z468</f>
        <v>0</v>
      </c>
      <c r="T374" s="70">
        <f>'RESUMEN TOTAL'!AA468</f>
        <v>0</v>
      </c>
      <c r="U374" s="70">
        <f>'RESUMEN TOTAL'!AB468</f>
        <v>0</v>
      </c>
      <c r="V374" s="70">
        <f>'RESUMEN TOTAL'!AC468</f>
        <v>0</v>
      </c>
      <c r="W374" s="70">
        <f>'RESUMEN TOTAL'!AD468</f>
        <v>0</v>
      </c>
      <c r="X374" s="70">
        <f>'RESUMEN TOTAL'!AE468</f>
        <v>0</v>
      </c>
      <c r="Y374" s="70">
        <f>'RESUMEN TOTAL'!AF468</f>
        <v>0</v>
      </c>
      <c r="Z374" s="70">
        <f>'RESUMEN TOTAL'!AG468</f>
        <v>0</v>
      </c>
      <c r="AA374" s="70">
        <f>'RESUMEN TOTAL'!AH468</f>
        <v>0</v>
      </c>
      <c r="AB374" s="70">
        <f>'RESUMEN TOTAL'!AI468</f>
        <v>0</v>
      </c>
      <c r="AC374" s="70">
        <f>'RESUMEN TOTAL'!AJ468</f>
        <v>0</v>
      </c>
      <c r="AD374" s="70">
        <f>'RESUMEN TOTAL'!AK468</f>
        <v>0</v>
      </c>
      <c r="AE374" s="70">
        <f>'RESUMEN TOTAL'!AL468</f>
        <v>0</v>
      </c>
      <c r="AF374" s="70">
        <f>'RESUMEN TOTAL'!AM468</f>
        <v>0</v>
      </c>
      <c r="AG374" s="70">
        <f>'RESUMEN TOTAL'!AN468</f>
        <v>0</v>
      </c>
      <c r="AH374" s="70">
        <f>'RESUMEN TOTAL'!AO468</f>
        <v>0</v>
      </c>
      <c r="AI374" s="70">
        <f>'RESUMEN TOTAL'!AP468</f>
        <v>0</v>
      </c>
      <c r="AJ374" s="70">
        <f>'RESUMEN TOTAL'!AQ468</f>
        <v>0</v>
      </c>
    </row>
    <row r="375" spans="1:36" x14ac:dyDescent="0.25">
      <c r="A375" t="str">
        <f>'RESUMEN TOTAL'!A469</f>
        <v>VILLA ANGELICA</v>
      </c>
      <c r="B375" t="str">
        <f>'RESUMEN TOTAL'!B469</f>
        <v>VANG12</v>
      </c>
      <c r="C375" t="str">
        <f>'RESUMEN TOTAL'!D469</f>
        <v>TAPALQUE E/ BOLIVAR Y GORRITI</v>
      </c>
      <c r="D375" s="30" t="str">
        <f>'RESUMEN TOTAL'!E469</f>
        <v>Fija</v>
      </c>
      <c r="E375" s="30" t="str">
        <f>'RESUMEN TOTAL'!F469</f>
        <v>Fibra Optica</v>
      </c>
      <c r="F375" s="70">
        <f>'RESUMEN TOTAL'!M469</f>
        <v>0</v>
      </c>
      <c r="G375" s="70">
        <f>'RESUMEN TOTAL'!N469</f>
        <v>0</v>
      </c>
      <c r="H375" s="70">
        <f>'RESUMEN TOTAL'!O469</f>
        <v>0</v>
      </c>
      <c r="I375" s="70">
        <f>'RESUMEN TOTAL'!P469</f>
        <v>0</v>
      </c>
      <c r="J375" s="70">
        <f>'RESUMEN TOTAL'!Q469</f>
        <v>0</v>
      </c>
      <c r="K375" s="70">
        <f>'RESUMEN TOTAL'!R469</f>
        <v>0</v>
      </c>
      <c r="L375" s="70">
        <f>'RESUMEN TOTAL'!S469</f>
        <v>0</v>
      </c>
      <c r="M375" s="70">
        <f>'RESUMEN TOTAL'!T469</f>
        <v>0</v>
      </c>
      <c r="N375" s="70">
        <f>'RESUMEN TOTAL'!U469</f>
        <v>0</v>
      </c>
      <c r="O375" s="70">
        <f>'RESUMEN TOTAL'!V469</f>
        <v>0</v>
      </c>
      <c r="P375" s="70">
        <f>'RESUMEN TOTAL'!W469</f>
        <v>0</v>
      </c>
      <c r="Q375" s="70">
        <f>'RESUMEN TOTAL'!X469</f>
        <v>0</v>
      </c>
      <c r="R375" s="70">
        <f>'RESUMEN TOTAL'!Y469</f>
        <v>0</v>
      </c>
      <c r="S375" s="70">
        <f>'RESUMEN TOTAL'!Z469</f>
        <v>0</v>
      </c>
      <c r="T375" s="70">
        <f>'RESUMEN TOTAL'!AA469</f>
        <v>0</v>
      </c>
      <c r="U375" s="70">
        <f>'RESUMEN TOTAL'!AB469</f>
        <v>0</v>
      </c>
      <c r="V375" s="70">
        <f>'RESUMEN TOTAL'!AC469</f>
        <v>0</v>
      </c>
      <c r="W375" s="70">
        <f>'RESUMEN TOTAL'!AD469</f>
        <v>0</v>
      </c>
      <c r="X375" s="70">
        <f>'RESUMEN TOTAL'!AE469</f>
        <v>0</v>
      </c>
      <c r="Y375" s="70">
        <f>'RESUMEN TOTAL'!AF469</f>
        <v>0</v>
      </c>
      <c r="Z375" s="70">
        <f>'RESUMEN TOTAL'!AG469</f>
        <v>0</v>
      </c>
      <c r="AA375" s="70">
        <f>'RESUMEN TOTAL'!AH469</f>
        <v>0</v>
      </c>
      <c r="AB375" s="70">
        <f>'RESUMEN TOTAL'!AI469</f>
        <v>0</v>
      </c>
      <c r="AC375" s="70">
        <f>'RESUMEN TOTAL'!AJ469</f>
        <v>0</v>
      </c>
      <c r="AD375" s="70">
        <f>'RESUMEN TOTAL'!AK469</f>
        <v>0</v>
      </c>
      <c r="AE375" s="70">
        <f>'RESUMEN TOTAL'!AL469</f>
        <v>0</v>
      </c>
      <c r="AF375" s="70">
        <f>'RESUMEN TOTAL'!AM469</f>
        <v>0</v>
      </c>
      <c r="AG375" s="70">
        <f>'RESUMEN TOTAL'!AN469</f>
        <v>0</v>
      </c>
      <c r="AH375" s="70">
        <f>'RESUMEN TOTAL'!AO469</f>
        <v>0</v>
      </c>
      <c r="AI375" s="70">
        <f>'RESUMEN TOTAL'!AP469</f>
        <v>0</v>
      </c>
      <c r="AJ375" s="70">
        <f>'RESUMEN TOTAL'!AQ469</f>
        <v>0</v>
      </c>
    </row>
    <row r="376" spans="1:36" x14ac:dyDescent="0.25">
      <c r="A376" t="str">
        <f>'RESUMEN TOTAL'!A470</f>
        <v>VILLA ANGELICA</v>
      </c>
      <c r="B376" t="str">
        <f>'RESUMEN TOTAL'!B470</f>
        <v>VANG13</v>
      </c>
      <c r="C376" t="str">
        <f>'RESUMEN TOTAL'!D470</f>
        <v>TAPALQUE E/ BOLIVAR Y GORRITI</v>
      </c>
      <c r="D376" s="30" t="str">
        <f>'RESUMEN TOTAL'!E470</f>
        <v>Fija</v>
      </c>
      <c r="E376" s="30" t="str">
        <f>'RESUMEN TOTAL'!F470</f>
        <v>Fibra Optica</v>
      </c>
      <c r="F376" s="70">
        <f>'RESUMEN TOTAL'!M470</f>
        <v>0</v>
      </c>
      <c r="G376" s="70">
        <f>'RESUMEN TOTAL'!N470</f>
        <v>0</v>
      </c>
      <c r="H376" s="70">
        <f>'RESUMEN TOTAL'!O470</f>
        <v>0</v>
      </c>
      <c r="I376" s="70">
        <f>'RESUMEN TOTAL'!P470</f>
        <v>0</v>
      </c>
      <c r="J376" s="70">
        <f>'RESUMEN TOTAL'!Q470</f>
        <v>0</v>
      </c>
      <c r="K376" s="70">
        <f>'RESUMEN TOTAL'!R470</f>
        <v>0</v>
      </c>
      <c r="L376" s="70">
        <f>'RESUMEN TOTAL'!S470</f>
        <v>0</v>
      </c>
      <c r="M376" s="70">
        <f>'RESUMEN TOTAL'!T470</f>
        <v>0</v>
      </c>
      <c r="N376" s="70">
        <f>'RESUMEN TOTAL'!U470</f>
        <v>0</v>
      </c>
      <c r="O376" s="70">
        <f>'RESUMEN TOTAL'!V470</f>
        <v>0</v>
      </c>
      <c r="P376" s="70">
        <f>'RESUMEN TOTAL'!W470</f>
        <v>0</v>
      </c>
      <c r="Q376" s="70">
        <f>'RESUMEN TOTAL'!X470</f>
        <v>0</v>
      </c>
      <c r="R376" s="70">
        <f>'RESUMEN TOTAL'!Y470</f>
        <v>0</v>
      </c>
      <c r="S376" s="70">
        <f>'RESUMEN TOTAL'!Z470</f>
        <v>0</v>
      </c>
      <c r="T376" s="70">
        <f>'RESUMEN TOTAL'!AA470</f>
        <v>0</v>
      </c>
      <c r="U376" s="70">
        <f>'RESUMEN TOTAL'!AB470</f>
        <v>0</v>
      </c>
      <c r="V376" s="70">
        <f>'RESUMEN TOTAL'!AC470</f>
        <v>0</v>
      </c>
      <c r="W376" s="70">
        <f>'RESUMEN TOTAL'!AD470</f>
        <v>0</v>
      </c>
      <c r="X376" s="70">
        <f>'RESUMEN TOTAL'!AE470</f>
        <v>0</v>
      </c>
      <c r="Y376" s="70">
        <f>'RESUMEN TOTAL'!AF470</f>
        <v>0</v>
      </c>
      <c r="Z376" s="70">
        <f>'RESUMEN TOTAL'!AG470</f>
        <v>0</v>
      </c>
      <c r="AA376" s="70">
        <f>'RESUMEN TOTAL'!AH470</f>
        <v>0</v>
      </c>
      <c r="AB376" s="70">
        <f>'RESUMEN TOTAL'!AI470</f>
        <v>0</v>
      </c>
      <c r="AC376" s="70">
        <f>'RESUMEN TOTAL'!AJ470</f>
        <v>0</v>
      </c>
      <c r="AD376" s="70">
        <f>'RESUMEN TOTAL'!AK470</f>
        <v>0</v>
      </c>
      <c r="AE376" s="70">
        <f>'RESUMEN TOTAL'!AL470</f>
        <v>0</v>
      </c>
      <c r="AF376" s="70">
        <f>'RESUMEN TOTAL'!AM470</f>
        <v>0</v>
      </c>
      <c r="AG376" s="70">
        <f>'RESUMEN TOTAL'!AN470</f>
        <v>0</v>
      </c>
      <c r="AH376" s="70">
        <f>'RESUMEN TOTAL'!AO470</f>
        <v>0</v>
      </c>
      <c r="AI376" s="70">
        <f>'RESUMEN TOTAL'!AP470</f>
        <v>0</v>
      </c>
      <c r="AJ376" s="70">
        <f>'RESUMEN TOTAL'!AQ470</f>
        <v>0</v>
      </c>
    </row>
    <row r="377" spans="1:36" x14ac:dyDescent="0.25">
      <c r="A377" t="str">
        <f>'RESUMEN TOTAL'!A477</f>
        <v>VILLA ARGENTINA</v>
      </c>
      <c r="B377" t="str">
        <f>'RESUMEN TOTAL'!B477</f>
        <v>VAR 01</v>
      </c>
      <c r="C377" t="str">
        <f>'RESUMEN TOTAL'!D477</f>
        <v>Calle 519 y 546</v>
      </c>
      <c r="D377" s="30" t="str">
        <f>'RESUMEN TOTAL'!E477</f>
        <v>Domo</v>
      </c>
      <c r="E377" s="30" t="str">
        <f>'RESUMEN TOTAL'!F477</f>
        <v>GPON</v>
      </c>
      <c r="F377" s="70">
        <f>'RESUMEN TOTAL'!M477</f>
        <v>0</v>
      </c>
      <c r="G377" s="70">
        <f>'RESUMEN TOTAL'!N477</f>
        <v>0</v>
      </c>
      <c r="H377" s="70">
        <f>'RESUMEN TOTAL'!O477</f>
        <v>0</v>
      </c>
      <c r="I377" s="70">
        <f>'RESUMEN TOTAL'!P477</f>
        <v>0</v>
      </c>
      <c r="J377" s="70">
        <f>'RESUMEN TOTAL'!Q477</f>
        <v>0</v>
      </c>
      <c r="K377" s="70">
        <f>'RESUMEN TOTAL'!R477</f>
        <v>0</v>
      </c>
      <c r="L377" s="70">
        <f>'RESUMEN TOTAL'!S477</f>
        <v>0</v>
      </c>
      <c r="M377" s="70">
        <f>'RESUMEN TOTAL'!T477</f>
        <v>0</v>
      </c>
      <c r="N377" s="70">
        <f>'RESUMEN TOTAL'!U477</f>
        <v>0</v>
      </c>
      <c r="O377" s="70">
        <f>'RESUMEN TOTAL'!V477</f>
        <v>0</v>
      </c>
      <c r="P377" s="70">
        <f>'RESUMEN TOTAL'!W477</f>
        <v>0</v>
      </c>
      <c r="Q377" s="70">
        <f>'RESUMEN TOTAL'!X477</f>
        <v>0</v>
      </c>
      <c r="R377" s="70">
        <f>'RESUMEN TOTAL'!Y477</f>
        <v>0</v>
      </c>
      <c r="S377" s="70">
        <f>'RESUMEN TOTAL'!Z477</f>
        <v>0</v>
      </c>
      <c r="T377" s="70">
        <f>'RESUMEN TOTAL'!AA477</f>
        <v>0</v>
      </c>
      <c r="U377" s="70">
        <f>'RESUMEN TOTAL'!AB477</f>
        <v>0</v>
      </c>
      <c r="V377" s="70">
        <f>'RESUMEN TOTAL'!AC477</f>
        <v>0</v>
      </c>
      <c r="W377" s="70">
        <f>'RESUMEN TOTAL'!AD477</f>
        <v>0</v>
      </c>
      <c r="X377" s="70">
        <f>'RESUMEN TOTAL'!AE477</f>
        <v>0</v>
      </c>
      <c r="Y377" s="70">
        <f>'RESUMEN TOTAL'!AF477</f>
        <v>0</v>
      </c>
      <c r="Z377" s="70">
        <f>'RESUMEN TOTAL'!AG477</f>
        <v>0</v>
      </c>
      <c r="AA377" s="70">
        <f>'RESUMEN TOTAL'!AH477</f>
        <v>0</v>
      </c>
      <c r="AB377" s="70">
        <f>'RESUMEN TOTAL'!AI477</f>
        <v>0</v>
      </c>
      <c r="AC377" s="70">
        <f>'RESUMEN TOTAL'!AJ477</f>
        <v>0</v>
      </c>
      <c r="AD377" s="70">
        <f>'RESUMEN TOTAL'!AK477</f>
        <v>0</v>
      </c>
      <c r="AE377" s="70">
        <f>'RESUMEN TOTAL'!AL477</f>
        <v>0</v>
      </c>
      <c r="AF377" s="70">
        <f>'RESUMEN TOTAL'!AM477</f>
        <v>0</v>
      </c>
      <c r="AG377" s="70">
        <f>'RESUMEN TOTAL'!AN477</f>
        <v>0</v>
      </c>
      <c r="AH377" s="70">
        <f>'RESUMEN TOTAL'!AO477</f>
        <v>0</v>
      </c>
      <c r="AI377" s="70">
        <f>'RESUMEN TOTAL'!AP477</f>
        <v>0</v>
      </c>
      <c r="AJ377" s="70">
        <f>'RESUMEN TOTAL'!AQ477</f>
        <v>0</v>
      </c>
    </row>
    <row r="378" spans="1:36" x14ac:dyDescent="0.25">
      <c r="A378" t="str">
        <f>'RESUMEN TOTAL'!A478</f>
        <v>VILLA ARGENTINA</v>
      </c>
      <c r="B378" t="str">
        <f>'RESUMEN TOTAL'!B478</f>
        <v>VAR 02</v>
      </c>
      <c r="C378" t="str">
        <f>'RESUMEN TOTAL'!D478</f>
        <v>DIAGONAL LOS TILOS Y 542</v>
      </c>
      <c r="D378" s="30" t="str">
        <f>'RESUMEN TOTAL'!E478</f>
        <v>DOMO</v>
      </c>
      <c r="E378" s="30" t="str">
        <f>'RESUMEN TOTAL'!F478</f>
        <v>Radio</v>
      </c>
      <c r="F378" s="70" t="str">
        <f>'RESUMEN TOTAL'!M478</f>
        <v>APAGADO</v>
      </c>
      <c r="G378" s="70" t="str">
        <f>'RESUMEN TOTAL'!N478</f>
        <v>APAGADO</v>
      </c>
      <c r="H378" s="70" t="str">
        <f>'RESUMEN TOTAL'!O478</f>
        <v>APAGADO</v>
      </c>
      <c r="I378" s="70" t="str">
        <f>'RESUMEN TOTAL'!P478</f>
        <v>APAGADO</v>
      </c>
      <c r="J378" s="70" t="str">
        <f>'RESUMEN TOTAL'!Q478</f>
        <v>APAGADO</v>
      </c>
      <c r="K378" s="70" t="str">
        <f>'RESUMEN TOTAL'!R478</f>
        <v>APAGADO</v>
      </c>
      <c r="L378" s="70" t="str">
        <f>'RESUMEN TOTAL'!S478</f>
        <v>APAGADO</v>
      </c>
      <c r="M378" s="70" t="str">
        <f>'RESUMEN TOTAL'!T478</f>
        <v>APAGADO</v>
      </c>
      <c r="N378" s="70">
        <f>'RESUMEN TOTAL'!U478</f>
        <v>0</v>
      </c>
      <c r="O378" s="70">
        <f>'RESUMEN TOTAL'!V478</f>
        <v>0</v>
      </c>
      <c r="P378" s="70">
        <f>'RESUMEN TOTAL'!W478</f>
        <v>0</v>
      </c>
      <c r="Q378" s="70">
        <f>'RESUMEN TOTAL'!X478</f>
        <v>0</v>
      </c>
      <c r="R378" s="70">
        <f>'RESUMEN TOTAL'!Y478</f>
        <v>0</v>
      </c>
      <c r="S378" s="70">
        <f>'RESUMEN TOTAL'!Z478</f>
        <v>0</v>
      </c>
      <c r="T378" s="70">
        <f>'RESUMEN TOTAL'!AA478</f>
        <v>0</v>
      </c>
      <c r="U378" s="70">
        <f>'RESUMEN TOTAL'!AB478</f>
        <v>0</v>
      </c>
      <c r="V378" s="70">
        <f>'RESUMEN TOTAL'!AC478</f>
        <v>0</v>
      </c>
      <c r="W378" s="70">
        <f>'RESUMEN TOTAL'!AD478</f>
        <v>0</v>
      </c>
      <c r="X378" s="70">
        <f>'RESUMEN TOTAL'!AE478</f>
        <v>0</v>
      </c>
      <c r="Y378" s="70">
        <f>'RESUMEN TOTAL'!AF478</f>
        <v>0</v>
      </c>
      <c r="Z378" s="70">
        <f>'RESUMEN TOTAL'!AG478</f>
        <v>0</v>
      </c>
      <c r="AA378" s="70">
        <f>'RESUMEN TOTAL'!AH478</f>
        <v>0</v>
      </c>
      <c r="AB378" s="70">
        <f>'RESUMEN TOTAL'!AI478</f>
        <v>0</v>
      </c>
      <c r="AC378" s="70">
        <f>'RESUMEN TOTAL'!AJ478</f>
        <v>0</v>
      </c>
      <c r="AD378" s="70">
        <f>'RESUMEN TOTAL'!AK478</f>
        <v>0</v>
      </c>
      <c r="AE378" s="70">
        <f>'RESUMEN TOTAL'!AL478</f>
        <v>0</v>
      </c>
      <c r="AF378" s="70">
        <f>'RESUMEN TOTAL'!AM478</f>
        <v>0</v>
      </c>
      <c r="AG378" s="70">
        <f>'RESUMEN TOTAL'!AN478</f>
        <v>0</v>
      </c>
      <c r="AH378" s="70">
        <f>'RESUMEN TOTAL'!AO478</f>
        <v>0</v>
      </c>
      <c r="AI378" s="70">
        <f>'RESUMEN TOTAL'!AP478</f>
        <v>0</v>
      </c>
      <c r="AJ378" s="70">
        <f>'RESUMEN TOTAL'!AQ478</f>
        <v>0</v>
      </c>
    </row>
    <row r="379" spans="1:36" x14ac:dyDescent="0.25">
      <c r="A379" t="str">
        <f>'RESUMEN TOTAL'!A479</f>
        <v>VILLA ARGENTINA</v>
      </c>
      <c r="B379" t="str">
        <f>'RESUMEN TOTAL'!B479</f>
        <v>VAR03 (fija 1)</v>
      </c>
      <c r="C379" t="str">
        <f>'RESUMEN TOTAL'!D479</f>
        <v>509 y 546</v>
      </c>
      <c r="D379" s="30" t="str">
        <f>'RESUMEN TOTAL'!E479</f>
        <v>Fija</v>
      </c>
      <c r="E379" s="30" t="str">
        <f>'RESUMEN TOTAL'!F479</f>
        <v>Radio</v>
      </c>
      <c r="F379" s="70">
        <f>'RESUMEN TOTAL'!M479</f>
        <v>0</v>
      </c>
      <c r="G379" s="70">
        <f>'RESUMEN TOTAL'!N479</f>
        <v>0</v>
      </c>
      <c r="H379" s="70">
        <f>'RESUMEN TOTAL'!O479</f>
        <v>0</v>
      </c>
      <c r="I379" s="70" t="str">
        <f>'RESUMEN TOTAL'!P479</f>
        <v>APAGADO</v>
      </c>
      <c r="J379" s="70" t="str">
        <f>'RESUMEN TOTAL'!Q479</f>
        <v>APAGADO</v>
      </c>
      <c r="K379" s="70" t="str">
        <f>'RESUMEN TOTAL'!R479</f>
        <v>APAGADO</v>
      </c>
      <c r="L379" s="70" t="str">
        <f>'RESUMEN TOTAL'!S479</f>
        <v>APAGADO</v>
      </c>
      <c r="M379" s="70" t="str">
        <f>'RESUMEN TOTAL'!T479</f>
        <v>APAGADO</v>
      </c>
      <c r="N379" s="70">
        <f>'RESUMEN TOTAL'!U479</f>
        <v>0</v>
      </c>
      <c r="O379" s="70">
        <f>'RESUMEN TOTAL'!V479</f>
        <v>0</v>
      </c>
      <c r="P379" s="70">
        <f>'RESUMEN TOTAL'!W479</f>
        <v>0</v>
      </c>
      <c r="Q379" s="70">
        <f>'RESUMEN TOTAL'!X479</f>
        <v>0</v>
      </c>
      <c r="R379" s="70">
        <f>'RESUMEN TOTAL'!Y479</f>
        <v>0</v>
      </c>
      <c r="S379" s="70">
        <f>'RESUMEN TOTAL'!Z479</f>
        <v>0</v>
      </c>
      <c r="T379" s="70">
        <f>'RESUMEN TOTAL'!AA479</f>
        <v>0</v>
      </c>
      <c r="U379" s="70">
        <f>'RESUMEN TOTAL'!AB479</f>
        <v>0</v>
      </c>
      <c r="V379" s="70">
        <f>'RESUMEN TOTAL'!AC479</f>
        <v>0</v>
      </c>
      <c r="W379" s="70">
        <f>'RESUMEN TOTAL'!AD479</f>
        <v>0</v>
      </c>
      <c r="X379" s="70">
        <f>'RESUMEN TOTAL'!AE479</f>
        <v>0</v>
      </c>
      <c r="Y379" s="70">
        <f>'RESUMEN TOTAL'!AF479</f>
        <v>0</v>
      </c>
      <c r="Z379" s="70">
        <f>'RESUMEN TOTAL'!AG479</f>
        <v>0</v>
      </c>
      <c r="AA379" s="70">
        <f>'RESUMEN TOTAL'!AH479</f>
        <v>0</v>
      </c>
      <c r="AB379" s="70">
        <f>'RESUMEN TOTAL'!AI479</f>
        <v>0</v>
      </c>
      <c r="AC379" s="70">
        <f>'RESUMEN TOTAL'!AJ479</f>
        <v>0</v>
      </c>
      <c r="AD379" s="70">
        <f>'RESUMEN TOTAL'!AK479</f>
        <v>0</v>
      </c>
      <c r="AE379" s="70">
        <f>'RESUMEN TOTAL'!AL479</f>
        <v>0</v>
      </c>
      <c r="AF379" s="70">
        <f>'RESUMEN TOTAL'!AM479</f>
        <v>0</v>
      </c>
      <c r="AG379" s="70">
        <f>'RESUMEN TOTAL'!AN479</f>
        <v>0</v>
      </c>
      <c r="AH379" s="70">
        <f>'RESUMEN TOTAL'!AO479</f>
        <v>0</v>
      </c>
      <c r="AI379" s="70">
        <f>'RESUMEN TOTAL'!AP479</f>
        <v>0</v>
      </c>
      <c r="AJ379" s="70">
        <f>'RESUMEN TOTAL'!AQ479</f>
        <v>0</v>
      </c>
    </row>
    <row r="380" spans="1:36" x14ac:dyDescent="0.25">
      <c r="A380" t="str">
        <f>'RESUMEN TOTAL'!A480</f>
        <v>VILLA ARGENTINA</v>
      </c>
      <c r="B380" t="str">
        <f>'RESUMEN TOTAL'!B480</f>
        <v>VAR04 (fija 2)</v>
      </c>
      <c r="C380" t="str">
        <f>'RESUMEN TOTAL'!D480</f>
        <v>509 y 546</v>
      </c>
      <c r="D380" s="30" t="str">
        <f>'RESUMEN TOTAL'!E480</f>
        <v>Fija</v>
      </c>
      <c r="E380" s="30" t="str">
        <f>'RESUMEN TOTAL'!F480</f>
        <v>Radio</v>
      </c>
      <c r="F380" s="70">
        <f>'RESUMEN TOTAL'!M480</f>
        <v>0</v>
      </c>
      <c r="G380" s="70">
        <f>'RESUMEN TOTAL'!N480</f>
        <v>0</v>
      </c>
      <c r="H380" s="70">
        <f>'RESUMEN TOTAL'!O480</f>
        <v>0</v>
      </c>
      <c r="I380" s="70" t="str">
        <f>'RESUMEN TOTAL'!P480</f>
        <v>APAGADO</v>
      </c>
      <c r="J380" s="70" t="str">
        <f>'RESUMEN TOTAL'!Q480</f>
        <v>APAGADO</v>
      </c>
      <c r="K380" s="70" t="str">
        <f>'RESUMEN TOTAL'!R480</f>
        <v>APAGADO</v>
      </c>
      <c r="L380" s="70" t="str">
        <f>'RESUMEN TOTAL'!S480</f>
        <v>APAGADO</v>
      </c>
      <c r="M380" s="70" t="str">
        <f>'RESUMEN TOTAL'!T480</f>
        <v>APAGADO</v>
      </c>
      <c r="N380" s="70">
        <f>'RESUMEN TOTAL'!U480</f>
        <v>0</v>
      </c>
      <c r="O380" s="70">
        <f>'RESUMEN TOTAL'!V480</f>
        <v>0</v>
      </c>
      <c r="P380" s="70">
        <f>'RESUMEN TOTAL'!W480</f>
        <v>0</v>
      </c>
      <c r="Q380" s="70">
        <f>'RESUMEN TOTAL'!X480</f>
        <v>0</v>
      </c>
      <c r="R380" s="70">
        <f>'RESUMEN TOTAL'!Y480</f>
        <v>0</v>
      </c>
      <c r="S380" s="70">
        <f>'RESUMEN TOTAL'!Z480</f>
        <v>0</v>
      </c>
      <c r="T380" s="70">
        <f>'RESUMEN TOTAL'!AA480</f>
        <v>0</v>
      </c>
      <c r="U380" s="70">
        <f>'RESUMEN TOTAL'!AB480</f>
        <v>0</v>
      </c>
      <c r="V380" s="70">
        <f>'RESUMEN TOTAL'!AC480</f>
        <v>0</v>
      </c>
      <c r="W380" s="70">
        <f>'RESUMEN TOTAL'!AD480</f>
        <v>0</v>
      </c>
      <c r="X380" s="70">
        <f>'RESUMEN TOTAL'!AE480</f>
        <v>0</v>
      </c>
      <c r="Y380" s="70">
        <f>'RESUMEN TOTAL'!AF480</f>
        <v>0</v>
      </c>
      <c r="Z380" s="70">
        <f>'RESUMEN TOTAL'!AG480</f>
        <v>0</v>
      </c>
      <c r="AA380" s="70">
        <f>'RESUMEN TOTAL'!AH480</f>
        <v>0</v>
      </c>
      <c r="AB380" s="70">
        <f>'RESUMEN TOTAL'!AI480</f>
        <v>0</v>
      </c>
      <c r="AC380" s="70">
        <f>'RESUMEN TOTAL'!AJ480</f>
        <v>0</v>
      </c>
      <c r="AD380" s="70">
        <f>'RESUMEN TOTAL'!AK480</f>
        <v>0</v>
      </c>
      <c r="AE380" s="70">
        <f>'RESUMEN TOTAL'!AL480</f>
        <v>0</v>
      </c>
      <c r="AF380" s="70">
        <f>'RESUMEN TOTAL'!AM480</f>
        <v>0</v>
      </c>
      <c r="AG380" s="70">
        <f>'RESUMEN TOTAL'!AN480</f>
        <v>0</v>
      </c>
      <c r="AH380" s="70">
        <f>'RESUMEN TOTAL'!AO480</f>
        <v>0</v>
      </c>
      <c r="AI380" s="70">
        <f>'RESUMEN TOTAL'!AP480</f>
        <v>0</v>
      </c>
      <c r="AJ380" s="70">
        <f>'RESUMEN TOTAL'!AQ480</f>
        <v>0</v>
      </c>
    </row>
    <row r="381" spans="1:36" x14ac:dyDescent="0.25">
      <c r="A381" t="str">
        <f>'RESUMEN TOTAL'!A481</f>
        <v>VILLA ARGENTINA</v>
      </c>
      <c r="B381" t="str">
        <f>'RESUMEN TOTAL'!B481</f>
        <v>VAR05 (fija 1)</v>
      </c>
      <c r="C381" t="str">
        <f>'RESUMEN TOTAL'!D481</f>
        <v>511 E/ 544 Y 546</v>
      </c>
      <c r="D381" s="30" t="str">
        <f>'RESUMEN TOTAL'!E481</f>
        <v>Fija</v>
      </c>
      <c r="E381" s="30" t="str">
        <f>'RESUMEN TOTAL'!F481</f>
        <v>Radio</v>
      </c>
      <c r="F381" s="70">
        <f>'RESUMEN TOTAL'!M481</f>
        <v>0</v>
      </c>
      <c r="G381" s="70">
        <f>'RESUMEN TOTAL'!N481</f>
        <v>0</v>
      </c>
      <c r="H381" s="70">
        <f>'RESUMEN TOTAL'!O481</f>
        <v>0</v>
      </c>
      <c r="I381" s="70" t="str">
        <f>'RESUMEN TOTAL'!P481</f>
        <v>APAGADO</v>
      </c>
      <c r="J381" s="70" t="str">
        <f>'RESUMEN TOTAL'!Q481</f>
        <v>APAGADO</v>
      </c>
      <c r="K381" s="70" t="str">
        <f>'RESUMEN TOTAL'!R481</f>
        <v>APAGADO</v>
      </c>
      <c r="L381" s="70" t="str">
        <f>'RESUMEN TOTAL'!S481</f>
        <v>APAGADO</v>
      </c>
      <c r="M381" s="70" t="str">
        <f>'RESUMEN TOTAL'!T481</f>
        <v>APAGADO</v>
      </c>
      <c r="N381" s="70">
        <f>'RESUMEN TOTAL'!U481</f>
        <v>0</v>
      </c>
      <c r="O381" s="70">
        <f>'RESUMEN TOTAL'!V481</f>
        <v>0</v>
      </c>
      <c r="P381" s="70">
        <f>'RESUMEN TOTAL'!W481</f>
        <v>0</v>
      </c>
      <c r="Q381" s="70">
        <f>'RESUMEN TOTAL'!X481</f>
        <v>0</v>
      </c>
      <c r="R381" s="70">
        <f>'RESUMEN TOTAL'!Y481</f>
        <v>0</v>
      </c>
      <c r="S381" s="70">
        <f>'RESUMEN TOTAL'!Z481</f>
        <v>0</v>
      </c>
      <c r="T381" s="70">
        <f>'RESUMEN TOTAL'!AA481</f>
        <v>0</v>
      </c>
      <c r="U381" s="70">
        <f>'RESUMEN TOTAL'!AB481</f>
        <v>0</v>
      </c>
      <c r="V381" s="70">
        <f>'RESUMEN TOTAL'!AC481</f>
        <v>0</v>
      </c>
      <c r="W381" s="70">
        <f>'RESUMEN TOTAL'!AD481</f>
        <v>0</v>
      </c>
      <c r="X381" s="70">
        <f>'RESUMEN TOTAL'!AE481</f>
        <v>0</v>
      </c>
      <c r="Y381" s="70">
        <f>'RESUMEN TOTAL'!AF481</f>
        <v>0</v>
      </c>
      <c r="Z381" s="70">
        <f>'RESUMEN TOTAL'!AG481</f>
        <v>0</v>
      </c>
      <c r="AA381" s="70">
        <f>'RESUMEN TOTAL'!AH481</f>
        <v>0</v>
      </c>
      <c r="AB381" s="70">
        <f>'RESUMEN TOTAL'!AI481</f>
        <v>0</v>
      </c>
      <c r="AC381" s="70">
        <f>'RESUMEN TOTAL'!AJ481</f>
        <v>0</v>
      </c>
      <c r="AD381" s="70">
        <f>'RESUMEN TOTAL'!AK481</f>
        <v>0</v>
      </c>
      <c r="AE381" s="70">
        <f>'RESUMEN TOTAL'!AL481</f>
        <v>0</v>
      </c>
      <c r="AF381" s="70">
        <f>'RESUMEN TOTAL'!AM481</f>
        <v>0</v>
      </c>
      <c r="AG381" s="70">
        <f>'RESUMEN TOTAL'!AN481</f>
        <v>0</v>
      </c>
      <c r="AH381" s="70">
        <f>'RESUMEN TOTAL'!AO481</f>
        <v>0</v>
      </c>
      <c r="AI381" s="70">
        <f>'RESUMEN TOTAL'!AP481</f>
        <v>0</v>
      </c>
      <c r="AJ381" s="70">
        <f>'RESUMEN TOTAL'!AQ481</f>
        <v>0</v>
      </c>
    </row>
    <row r="382" spans="1:36" x14ac:dyDescent="0.25">
      <c r="A382" t="str">
        <f>'RESUMEN TOTAL'!A482</f>
        <v>VILLA ARGENTINA</v>
      </c>
      <c r="B382" t="str">
        <f>'RESUMEN TOTAL'!B482</f>
        <v>VAR06 (fija 2)</v>
      </c>
      <c r="C382" t="str">
        <f>'RESUMEN TOTAL'!D482</f>
        <v>511 E/ 544 Y 546</v>
      </c>
      <c r="D382" s="30" t="str">
        <f>'RESUMEN TOTAL'!E482</f>
        <v>Fija</v>
      </c>
      <c r="E382" s="30" t="str">
        <f>'RESUMEN TOTAL'!F482</f>
        <v>Radio</v>
      </c>
      <c r="F382" s="70">
        <f>'RESUMEN TOTAL'!M482</f>
        <v>0</v>
      </c>
      <c r="G382" s="70">
        <f>'RESUMEN TOTAL'!N482</f>
        <v>0</v>
      </c>
      <c r="H382" s="70">
        <f>'RESUMEN TOTAL'!O482</f>
        <v>0</v>
      </c>
      <c r="I382" s="70" t="str">
        <f>'RESUMEN TOTAL'!P482</f>
        <v>APAGADO</v>
      </c>
      <c r="J382" s="70" t="str">
        <f>'RESUMEN TOTAL'!Q482</f>
        <v>APAGADO</v>
      </c>
      <c r="K382" s="70" t="str">
        <f>'RESUMEN TOTAL'!R482</f>
        <v>APAGADO</v>
      </c>
      <c r="L382" s="70" t="str">
        <f>'RESUMEN TOTAL'!S482</f>
        <v>APAGADO</v>
      </c>
      <c r="M382" s="70" t="str">
        <f>'RESUMEN TOTAL'!T482</f>
        <v>APAGADO</v>
      </c>
      <c r="N382" s="70">
        <f>'RESUMEN TOTAL'!U482</f>
        <v>0</v>
      </c>
      <c r="O382" s="70">
        <f>'RESUMEN TOTAL'!V482</f>
        <v>0</v>
      </c>
      <c r="P382" s="70">
        <f>'RESUMEN TOTAL'!W482</f>
        <v>0</v>
      </c>
      <c r="Q382" s="70">
        <f>'RESUMEN TOTAL'!X482</f>
        <v>0</v>
      </c>
      <c r="R382" s="70">
        <f>'RESUMEN TOTAL'!Y482</f>
        <v>0</v>
      </c>
      <c r="S382" s="70">
        <f>'RESUMEN TOTAL'!Z482</f>
        <v>0</v>
      </c>
      <c r="T382" s="70">
        <f>'RESUMEN TOTAL'!AA482</f>
        <v>0</v>
      </c>
      <c r="U382" s="70">
        <f>'RESUMEN TOTAL'!AB482</f>
        <v>0</v>
      </c>
      <c r="V382" s="70">
        <f>'RESUMEN TOTAL'!AC482</f>
        <v>0</v>
      </c>
      <c r="W382" s="70">
        <f>'RESUMEN TOTAL'!AD482</f>
        <v>0</v>
      </c>
      <c r="X382" s="70">
        <f>'RESUMEN TOTAL'!AE482</f>
        <v>0</v>
      </c>
      <c r="Y382" s="70">
        <f>'RESUMEN TOTAL'!AF482</f>
        <v>0</v>
      </c>
      <c r="Z382" s="70">
        <f>'RESUMEN TOTAL'!AG482</f>
        <v>0</v>
      </c>
      <c r="AA382" s="70">
        <f>'RESUMEN TOTAL'!AH482</f>
        <v>0</v>
      </c>
      <c r="AB382" s="70">
        <f>'RESUMEN TOTAL'!AI482</f>
        <v>0</v>
      </c>
      <c r="AC382" s="70">
        <f>'RESUMEN TOTAL'!AJ482</f>
        <v>0</v>
      </c>
      <c r="AD382" s="70">
        <f>'RESUMEN TOTAL'!AK482</f>
        <v>0</v>
      </c>
      <c r="AE382" s="70">
        <f>'RESUMEN TOTAL'!AL482</f>
        <v>0</v>
      </c>
      <c r="AF382" s="70">
        <f>'RESUMEN TOTAL'!AM482</f>
        <v>0</v>
      </c>
      <c r="AG382" s="70">
        <f>'RESUMEN TOTAL'!AN482</f>
        <v>0</v>
      </c>
      <c r="AH382" s="70">
        <f>'RESUMEN TOTAL'!AO482</f>
        <v>0</v>
      </c>
      <c r="AI382" s="70">
        <f>'RESUMEN TOTAL'!AP482</f>
        <v>0</v>
      </c>
      <c r="AJ382" s="70">
        <f>'RESUMEN TOTAL'!AQ482</f>
        <v>0</v>
      </c>
    </row>
    <row r="383" spans="1:36" x14ac:dyDescent="0.25">
      <c r="A383" t="str">
        <f>'RESUMEN TOTAL'!A483</f>
        <v>VILLA ARGENTINA</v>
      </c>
      <c r="B383" t="str">
        <f>'RESUMEN TOTAL'!B483</f>
        <v>VAR07</v>
      </c>
      <c r="C383" t="str">
        <f>'RESUMEN TOTAL'!D483</f>
        <v>DIAG. LOS TILOS Y 517</v>
      </c>
      <c r="D383" s="30" t="str">
        <f>'RESUMEN TOTAL'!E483</f>
        <v>DOMO</v>
      </c>
      <c r="E383" s="30" t="str">
        <f>'RESUMEN TOTAL'!F483</f>
        <v>Fibra Optica</v>
      </c>
      <c r="F383" s="70" t="str">
        <f>'RESUMEN TOTAL'!M483</f>
        <v>APAGADO</v>
      </c>
      <c r="G383" s="70">
        <f>'RESUMEN TOTAL'!N483</f>
        <v>0</v>
      </c>
      <c r="H383" s="70">
        <f>'RESUMEN TOTAL'!O483</f>
        <v>0</v>
      </c>
      <c r="I383" s="70">
        <f>'RESUMEN TOTAL'!P483</f>
        <v>0</v>
      </c>
      <c r="J383" s="70">
        <f>'RESUMEN TOTAL'!Q483</f>
        <v>0</v>
      </c>
      <c r="K383" s="70">
        <f>'RESUMEN TOTAL'!R483</f>
        <v>0</v>
      </c>
      <c r="L383" s="70">
        <f>'RESUMEN TOTAL'!S483</f>
        <v>0</v>
      </c>
      <c r="M383" s="70">
        <f>'RESUMEN TOTAL'!T483</f>
        <v>0</v>
      </c>
      <c r="N383" s="70">
        <f>'RESUMEN TOTAL'!U483</f>
        <v>0</v>
      </c>
      <c r="O383" s="70">
        <f>'RESUMEN TOTAL'!V483</f>
        <v>0</v>
      </c>
      <c r="P383" s="70">
        <f>'RESUMEN TOTAL'!W483</f>
        <v>0</v>
      </c>
      <c r="Q383" s="70">
        <f>'RESUMEN TOTAL'!X483</f>
        <v>0</v>
      </c>
      <c r="R383" s="70">
        <f>'RESUMEN TOTAL'!Y483</f>
        <v>0</v>
      </c>
      <c r="S383" s="70">
        <f>'RESUMEN TOTAL'!Z483</f>
        <v>0</v>
      </c>
      <c r="T383" s="70">
        <f>'RESUMEN TOTAL'!AA483</f>
        <v>0</v>
      </c>
      <c r="U383" s="70">
        <f>'RESUMEN TOTAL'!AB483</f>
        <v>0</v>
      </c>
      <c r="V383" s="70">
        <f>'RESUMEN TOTAL'!AC483</f>
        <v>0</v>
      </c>
      <c r="W383" s="70">
        <f>'RESUMEN TOTAL'!AD483</f>
        <v>0</v>
      </c>
      <c r="X383" s="70">
        <f>'RESUMEN TOTAL'!AE483</f>
        <v>0</v>
      </c>
      <c r="Y383" s="70">
        <f>'RESUMEN TOTAL'!AF483</f>
        <v>0</v>
      </c>
      <c r="Z383" s="70">
        <f>'RESUMEN TOTAL'!AG483</f>
        <v>0</v>
      </c>
      <c r="AA383" s="70">
        <f>'RESUMEN TOTAL'!AH483</f>
        <v>0</v>
      </c>
      <c r="AB383" s="70">
        <f>'RESUMEN TOTAL'!AI483</f>
        <v>0</v>
      </c>
      <c r="AC383" s="70">
        <f>'RESUMEN TOTAL'!AJ483</f>
        <v>0</v>
      </c>
      <c r="AD383" s="70">
        <f>'RESUMEN TOTAL'!AK483</f>
        <v>0</v>
      </c>
      <c r="AE383" s="70">
        <f>'RESUMEN TOTAL'!AL483</f>
        <v>0</v>
      </c>
      <c r="AF383" s="70">
        <f>'RESUMEN TOTAL'!AM483</f>
        <v>0</v>
      </c>
      <c r="AG383" s="70">
        <f>'RESUMEN TOTAL'!AN483</f>
        <v>0</v>
      </c>
      <c r="AH383" s="70">
        <f>'RESUMEN TOTAL'!AO483</f>
        <v>0</v>
      </c>
      <c r="AI383" s="70">
        <f>'RESUMEN TOTAL'!AP483</f>
        <v>0</v>
      </c>
      <c r="AJ383" s="70">
        <f>'RESUMEN TOTAL'!AQ483</f>
        <v>0</v>
      </c>
    </row>
    <row r="384" spans="1:36" x14ac:dyDescent="0.25">
      <c r="A384" t="str">
        <f>'RESUMEN TOTAL'!A484</f>
        <v>VILLA ARGENTINA</v>
      </c>
      <c r="B384" t="str">
        <f>'RESUMEN TOTAL'!B484</f>
        <v>VAR 08 (fija 1)</v>
      </c>
      <c r="C384" t="str">
        <f>'RESUMEN TOTAL'!D484</f>
        <v>534 Y 523</v>
      </c>
      <c r="D384" s="30" t="str">
        <f>'RESUMEN TOTAL'!E484</f>
        <v>Fija</v>
      </c>
      <c r="E384" s="30" t="str">
        <f>'RESUMEN TOTAL'!F484</f>
        <v>Fibra Optica</v>
      </c>
      <c r="F384" s="70">
        <f>'RESUMEN TOTAL'!M484</f>
        <v>0</v>
      </c>
      <c r="G384" s="70">
        <f>'RESUMEN TOTAL'!N484</f>
        <v>0</v>
      </c>
      <c r="H384" s="70">
        <f>'RESUMEN TOTAL'!O484</f>
        <v>0</v>
      </c>
      <c r="I384" s="70">
        <f>'RESUMEN TOTAL'!P484</f>
        <v>0</v>
      </c>
      <c r="J384" s="70">
        <f>'RESUMEN TOTAL'!Q484</f>
        <v>0</v>
      </c>
      <c r="K384" s="70">
        <f>'RESUMEN TOTAL'!R484</f>
        <v>0</v>
      </c>
      <c r="L384" s="70">
        <f>'RESUMEN TOTAL'!S484</f>
        <v>0</v>
      </c>
      <c r="M384" s="70">
        <f>'RESUMEN TOTAL'!T484</f>
        <v>0</v>
      </c>
      <c r="N384" s="70">
        <f>'RESUMEN TOTAL'!U484</f>
        <v>0</v>
      </c>
      <c r="O384" s="70">
        <f>'RESUMEN TOTAL'!V484</f>
        <v>0</v>
      </c>
      <c r="P384" s="70">
        <f>'RESUMEN TOTAL'!W484</f>
        <v>0</v>
      </c>
      <c r="Q384" s="70">
        <f>'RESUMEN TOTAL'!X484</f>
        <v>0</v>
      </c>
      <c r="R384" s="70">
        <f>'RESUMEN TOTAL'!Y484</f>
        <v>0</v>
      </c>
      <c r="S384" s="70">
        <f>'RESUMEN TOTAL'!Z484</f>
        <v>0</v>
      </c>
      <c r="T384" s="70">
        <f>'RESUMEN TOTAL'!AA484</f>
        <v>0</v>
      </c>
      <c r="U384" s="70">
        <f>'RESUMEN TOTAL'!AB484</f>
        <v>0</v>
      </c>
      <c r="V384" s="70">
        <f>'RESUMEN TOTAL'!AC484</f>
        <v>0</v>
      </c>
      <c r="W384" s="70">
        <f>'RESUMEN TOTAL'!AD484</f>
        <v>0</v>
      </c>
      <c r="X384" s="70">
        <f>'RESUMEN TOTAL'!AE484</f>
        <v>0</v>
      </c>
      <c r="Y384" s="70">
        <f>'RESUMEN TOTAL'!AF484</f>
        <v>0</v>
      </c>
      <c r="Z384" s="70">
        <f>'RESUMEN TOTAL'!AG484</f>
        <v>0</v>
      </c>
      <c r="AA384" s="70">
        <f>'RESUMEN TOTAL'!AH484</f>
        <v>0</v>
      </c>
      <c r="AB384" s="70">
        <f>'RESUMEN TOTAL'!AI484</f>
        <v>0</v>
      </c>
      <c r="AC384" s="70">
        <f>'RESUMEN TOTAL'!AJ484</f>
        <v>0</v>
      </c>
      <c r="AD384" s="70">
        <f>'RESUMEN TOTAL'!AK484</f>
        <v>0</v>
      </c>
      <c r="AE384" s="70">
        <f>'RESUMEN TOTAL'!AL484</f>
        <v>0</v>
      </c>
      <c r="AF384" s="70">
        <f>'RESUMEN TOTAL'!AM484</f>
        <v>0</v>
      </c>
      <c r="AG384" s="70">
        <f>'RESUMEN TOTAL'!AN484</f>
        <v>0</v>
      </c>
      <c r="AH384" s="70">
        <f>'RESUMEN TOTAL'!AO484</f>
        <v>0</v>
      </c>
      <c r="AI384" s="70">
        <f>'RESUMEN TOTAL'!AP484</f>
        <v>0</v>
      </c>
      <c r="AJ384" s="70">
        <f>'RESUMEN TOTAL'!AQ484</f>
        <v>0</v>
      </c>
    </row>
    <row r="385" spans="1:36" x14ac:dyDescent="0.25">
      <c r="A385" t="str">
        <f>'RESUMEN TOTAL'!A485</f>
        <v>VILLA ARGENTINA</v>
      </c>
      <c r="B385" t="str">
        <f>'RESUMEN TOTAL'!B485</f>
        <v>VAR 09 (fija 2)</v>
      </c>
      <c r="C385" t="str">
        <f>'RESUMEN TOTAL'!D485</f>
        <v>534 Y 523</v>
      </c>
      <c r="D385" s="30" t="str">
        <f>'RESUMEN TOTAL'!E485</f>
        <v>Fija</v>
      </c>
      <c r="E385" s="30" t="str">
        <f>'RESUMEN TOTAL'!F485</f>
        <v>Fibra Optica</v>
      </c>
      <c r="F385" s="70">
        <f>'RESUMEN TOTAL'!M485</f>
        <v>0</v>
      </c>
      <c r="G385" s="70">
        <f>'RESUMEN TOTAL'!N485</f>
        <v>0</v>
      </c>
      <c r="H385" s="70">
        <f>'RESUMEN TOTAL'!O485</f>
        <v>0</v>
      </c>
      <c r="I385" s="70">
        <f>'RESUMEN TOTAL'!P485</f>
        <v>0</v>
      </c>
      <c r="J385" s="70">
        <f>'RESUMEN TOTAL'!Q485</f>
        <v>0</v>
      </c>
      <c r="K385" s="70">
        <f>'RESUMEN TOTAL'!R485</f>
        <v>0</v>
      </c>
      <c r="L385" s="70">
        <f>'RESUMEN TOTAL'!S485</f>
        <v>0</v>
      </c>
      <c r="M385" s="70">
        <f>'RESUMEN TOTAL'!T485</f>
        <v>0</v>
      </c>
      <c r="N385" s="70">
        <f>'RESUMEN TOTAL'!U485</f>
        <v>0</v>
      </c>
      <c r="O385" s="70">
        <f>'RESUMEN TOTAL'!V485</f>
        <v>0</v>
      </c>
      <c r="P385" s="70">
        <f>'RESUMEN TOTAL'!W485</f>
        <v>0</v>
      </c>
      <c r="Q385" s="70">
        <f>'RESUMEN TOTAL'!X485</f>
        <v>0</v>
      </c>
      <c r="R385" s="70">
        <f>'RESUMEN TOTAL'!Y485</f>
        <v>0</v>
      </c>
      <c r="S385" s="70">
        <f>'RESUMEN TOTAL'!Z485</f>
        <v>0</v>
      </c>
      <c r="T385" s="70">
        <f>'RESUMEN TOTAL'!AA485</f>
        <v>0</v>
      </c>
      <c r="U385" s="70">
        <f>'RESUMEN TOTAL'!AB485</f>
        <v>0</v>
      </c>
      <c r="V385" s="70">
        <f>'RESUMEN TOTAL'!AC485</f>
        <v>0</v>
      </c>
      <c r="W385" s="70">
        <f>'RESUMEN TOTAL'!AD485</f>
        <v>0</v>
      </c>
      <c r="X385" s="70">
        <f>'RESUMEN TOTAL'!AE485</f>
        <v>0</v>
      </c>
      <c r="Y385" s="70">
        <f>'RESUMEN TOTAL'!AF485</f>
        <v>0</v>
      </c>
      <c r="Z385" s="70">
        <f>'RESUMEN TOTAL'!AG485</f>
        <v>0</v>
      </c>
      <c r="AA385" s="70">
        <f>'RESUMEN TOTAL'!AH485</f>
        <v>0</v>
      </c>
      <c r="AB385" s="70">
        <f>'RESUMEN TOTAL'!AI485</f>
        <v>0</v>
      </c>
      <c r="AC385" s="70">
        <f>'RESUMEN TOTAL'!AJ485</f>
        <v>0</v>
      </c>
      <c r="AD385" s="70">
        <f>'RESUMEN TOTAL'!AK485</f>
        <v>0</v>
      </c>
      <c r="AE385" s="70">
        <f>'RESUMEN TOTAL'!AL485</f>
        <v>0</v>
      </c>
      <c r="AF385" s="70">
        <f>'RESUMEN TOTAL'!AM485</f>
        <v>0</v>
      </c>
      <c r="AG385" s="70">
        <f>'RESUMEN TOTAL'!AN485</f>
        <v>0</v>
      </c>
      <c r="AH385" s="70">
        <f>'RESUMEN TOTAL'!AO485</f>
        <v>0</v>
      </c>
      <c r="AI385" s="70">
        <f>'RESUMEN TOTAL'!AP485</f>
        <v>0</v>
      </c>
      <c r="AJ385" s="70">
        <f>'RESUMEN TOTAL'!AQ485</f>
        <v>0</v>
      </c>
    </row>
    <row r="386" spans="1:36" x14ac:dyDescent="0.25">
      <c r="A386" t="str">
        <f>'RESUMEN TOTAL'!A486</f>
        <v>VILLA ARGENTINA</v>
      </c>
      <c r="B386" t="str">
        <f>'RESUMEN TOTAL'!B486</f>
        <v>VAR10 (fija 1)</v>
      </c>
      <c r="C386" t="str">
        <f>'RESUMEN TOTAL'!D486</f>
        <v>532 A Y 523</v>
      </c>
      <c r="D386" s="30" t="str">
        <f>'RESUMEN TOTAL'!E486</f>
        <v>Fija</v>
      </c>
      <c r="E386" s="30" t="str">
        <f>'RESUMEN TOTAL'!F486</f>
        <v>Fibra Optica</v>
      </c>
      <c r="F386" s="70">
        <f>'RESUMEN TOTAL'!M486</f>
        <v>0</v>
      </c>
      <c r="G386" s="70">
        <f>'RESUMEN TOTAL'!N486</f>
        <v>0</v>
      </c>
      <c r="H386" s="70">
        <f>'RESUMEN TOTAL'!O486</f>
        <v>0</v>
      </c>
      <c r="I386" s="70">
        <f>'RESUMEN TOTAL'!P486</f>
        <v>0</v>
      </c>
      <c r="J386" s="70">
        <f>'RESUMEN TOTAL'!Q486</f>
        <v>0</v>
      </c>
      <c r="K386" s="70">
        <f>'RESUMEN TOTAL'!R486</f>
        <v>0</v>
      </c>
      <c r="L386" s="70">
        <f>'RESUMEN TOTAL'!S486</f>
        <v>0</v>
      </c>
      <c r="M386" s="70">
        <f>'RESUMEN TOTAL'!T486</f>
        <v>0</v>
      </c>
      <c r="N386" s="70">
        <f>'RESUMEN TOTAL'!U486</f>
        <v>0</v>
      </c>
      <c r="O386" s="70">
        <f>'RESUMEN TOTAL'!V486</f>
        <v>0</v>
      </c>
      <c r="P386" s="70">
        <f>'RESUMEN TOTAL'!W486</f>
        <v>0</v>
      </c>
      <c r="Q386" s="70">
        <f>'RESUMEN TOTAL'!X486</f>
        <v>0</v>
      </c>
      <c r="R386" s="70">
        <f>'RESUMEN TOTAL'!Y486</f>
        <v>0</v>
      </c>
      <c r="S386" s="70">
        <f>'RESUMEN TOTAL'!Z486</f>
        <v>0</v>
      </c>
      <c r="T386" s="70">
        <f>'RESUMEN TOTAL'!AA486</f>
        <v>0</v>
      </c>
      <c r="U386" s="70">
        <f>'RESUMEN TOTAL'!AB486</f>
        <v>0</v>
      </c>
      <c r="V386" s="70">
        <f>'RESUMEN TOTAL'!AC486</f>
        <v>0</v>
      </c>
      <c r="W386" s="70">
        <f>'RESUMEN TOTAL'!AD486</f>
        <v>0</v>
      </c>
      <c r="X386" s="70">
        <f>'RESUMEN TOTAL'!AE486</f>
        <v>0</v>
      </c>
      <c r="Y386" s="70">
        <f>'RESUMEN TOTAL'!AF486</f>
        <v>0</v>
      </c>
      <c r="Z386" s="70">
        <f>'RESUMEN TOTAL'!AG486</f>
        <v>0</v>
      </c>
      <c r="AA386" s="70">
        <f>'RESUMEN TOTAL'!AH486</f>
        <v>0</v>
      </c>
      <c r="AB386" s="70">
        <f>'RESUMEN TOTAL'!AI486</f>
        <v>0</v>
      </c>
      <c r="AC386" s="70">
        <f>'RESUMEN TOTAL'!AJ486</f>
        <v>0</v>
      </c>
      <c r="AD386" s="70">
        <f>'RESUMEN TOTAL'!AK486</f>
        <v>0</v>
      </c>
      <c r="AE386" s="70">
        <f>'RESUMEN TOTAL'!AL486</f>
        <v>0</v>
      </c>
      <c r="AF386" s="70">
        <f>'RESUMEN TOTAL'!AM486</f>
        <v>0</v>
      </c>
      <c r="AG386" s="70">
        <f>'RESUMEN TOTAL'!AN486</f>
        <v>0</v>
      </c>
      <c r="AH386" s="70">
        <f>'RESUMEN TOTAL'!AO486</f>
        <v>0</v>
      </c>
      <c r="AI386" s="70">
        <f>'RESUMEN TOTAL'!AP486</f>
        <v>0</v>
      </c>
      <c r="AJ386" s="70">
        <f>'RESUMEN TOTAL'!AQ486</f>
        <v>0</v>
      </c>
    </row>
    <row r="387" spans="1:36" x14ac:dyDescent="0.25">
      <c r="A387" t="str">
        <f>'RESUMEN TOTAL'!A487</f>
        <v>VILLA ARGENTINA</v>
      </c>
      <c r="B387" t="str">
        <f>'RESUMEN TOTAL'!B487</f>
        <v>VAR11 (fija 2)</v>
      </c>
      <c r="C387" t="str">
        <f>'RESUMEN TOTAL'!D487</f>
        <v>532 A Y 523</v>
      </c>
      <c r="D387" s="30" t="str">
        <f>'RESUMEN TOTAL'!E487</f>
        <v>Fija</v>
      </c>
      <c r="E387" s="30" t="str">
        <f>'RESUMEN TOTAL'!F487</f>
        <v>Fibra Optica</v>
      </c>
      <c r="F387" s="70">
        <f>'RESUMEN TOTAL'!M487</f>
        <v>0</v>
      </c>
      <c r="G387" s="70">
        <f>'RESUMEN TOTAL'!N487</f>
        <v>0</v>
      </c>
      <c r="H387" s="70">
        <f>'RESUMEN TOTAL'!O487</f>
        <v>0</v>
      </c>
      <c r="I387" s="70">
        <f>'RESUMEN TOTAL'!P487</f>
        <v>0</v>
      </c>
      <c r="J387" s="70">
        <f>'RESUMEN TOTAL'!Q487</f>
        <v>0</v>
      </c>
      <c r="K387" s="70">
        <f>'RESUMEN TOTAL'!R487</f>
        <v>0</v>
      </c>
      <c r="L387" s="70">
        <f>'RESUMEN TOTAL'!S487</f>
        <v>0</v>
      </c>
      <c r="M387" s="70">
        <f>'RESUMEN TOTAL'!T487</f>
        <v>0</v>
      </c>
      <c r="N387" s="70">
        <f>'RESUMEN TOTAL'!U487</f>
        <v>0</v>
      </c>
      <c r="O387" s="70">
        <f>'RESUMEN TOTAL'!V487</f>
        <v>0</v>
      </c>
      <c r="P387" s="70">
        <f>'RESUMEN TOTAL'!W487</f>
        <v>0</v>
      </c>
      <c r="Q387" s="70">
        <f>'RESUMEN TOTAL'!X487</f>
        <v>0</v>
      </c>
      <c r="R387" s="70">
        <f>'RESUMEN TOTAL'!Y487</f>
        <v>0</v>
      </c>
      <c r="S387" s="70">
        <f>'RESUMEN TOTAL'!Z487</f>
        <v>0</v>
      </c>
      <c r="T387" s="70">
        <f>'RESUMEN TOTAL'!AA487</f>
        <v>0</v>
      </c>
      <c r="U387" s="70">
        <f>'RESUMEN TOTAL'!AB487</f>
        <v>0</v>
      </c>
      <c r="V387" s="70">
        <f>'RESUMEN TOTAL'!AC487</f>
        <v>0</v>
      </c>
      <c r="W387" s="70">
        <f>'RESUMEN TOTAL'!AD487</f>
        <v>0</v>
      </c>
      <c r="X387" s="70">
        <f>'RESUMEN TOTAL'!AE487</f>
        <v>0</v>
      </c>
      <c r="Y387" s="70">
        <f>'RESUMEN TOTAL'!AF487</f>
        <v>0</v>
      </c>
      <c r="Z387" s="70">
        <f>'RESUMEN TOTAL'!AG487</f>
        <v>0</v>
      </c>
      <c r="AA387" s="70">
        <f>'RESUMEN TOTAL'!AH487</f>
        <v>0</v>
      </c>
      <c r="AB387" s="70">
        <f>'RESUMEN TOTAL'!AI487</f>
        <v>0</v>
      </c>
      <c r="AC387" s="70">
        <f>'RESUMEN TOTAL'!AJ487</f>
        <v>0</v>
      </c>
      <c r="AD387" s="70">
        <f>'RESUMEN TOTAL'!AK487</f>
        <v>0</v>
      </c>
      <c r="AE387" s="70">
        <f>'RESUMEN TOTAL'!AL487</f>
        <v>0</v>
      </c>
      <c r="AF387" s="70">
        <f>'RESUMEN TOTAL'!AM487</f>
        <v>0</v>
      </c>
      <c r="AG387" s="70">
        <f>'RESUMEN TOTAL'!AN487</f>
        <v>0</v>
      </c>
      <c r="AH387" s="70">
        <f>'RESUMEN TOTAL'!AO487</f>
        <v>0</v>
      </c>
      <c r="AI387" s="70">
        <f>'RESUMEN TOTAL'!AP487</f>
        <v>0</v>
      </c>
      <c r="AJ387" s="70">
        <f>'RESUMEN TOTAL'!AQ487</f>
        <v>0</v>
      </c>
    </row>
    <row r="388" spans="1:36" x14ac:dyDescent="0.25">
      <c r="A388" t="str">
        <f>'RESUMEN TOTAL'!A488</f>
        <v>VILLA ARGENTINA</v>
      </c>
      <c r="B388" t="str">
        <f>'RESUMEN TOTAL'!B488</f>
        <v>VAR12</v>
      </c>
      <c r="C388" t="str">
        <f>'RESUMEN TOTAL'!D488</f>
        <v>Calle 527 y Portela</v>
      </c>
      <c r="D388" s="30" t="str">
        <f>'RESUMEN TOTAL'!E488</f>
        <v>Domo</v>
      </c>
      <c r="E388" s="30" t="str">
        <f>'RESUMEN TOTAL'!F488</f>
        <v>Fibra Optica</v>
      </c>
      <c r="F388" s="70" t="str">
        <f>'RESUMEN TOTAL'!M488</f>
        <v>APAGADO</v>
      </c>
      <c r="G388" s="70" t="str">
        <f>'RESUMEN TOTAL'!N488</f>
        <v>APAGADO</v>
      </c>
      <c r="H388" s="70">
        <f>'RESUMEN TOTAL'!O488</f>
        <v>0</v>
      </c>
      <c r="I388" s="70">
        <f>'RESUMEN TOTAL'!P488</f>
        <v>0</v>
      </c>
      <c r="J388" s="70">
        <f>'RESUMEN TOTAL'!Q488</f>
        <v>0</v>
      </c>
      <c r="K388" s="70">
        <f>'RESUMEN TOTAL'!R488</f>
        <v>0</v>
      </c>
      <c r="L388" s="70">
        <f>'RESUMEN TOTAL'!S488</f>
        <v>0</v>
      </c>
      <c r="M388" s="70">
        <f>'RESUMEN TOTAL'!T488</f>
        <v>0</v>
      </c>
      <c r="N388" s="70">
        <f>'RESUMEN TOTAL'!U488</f>
        <v>0</v>
      </c>
      <c r="O388" s="70">
        <f>'RESUMEN TOTAL'!V488</f>
        <v>0</v>
      </c>
      <c r="P388" s="70">
        <f>'RESUMEN TOTAL'!W488</f>
        <v>0</v>
      </c>
      <c r="Q388" s="70">
        <f>'RESUMEN TOTAL'!X488</f>
        <v>0</v>
      </c>
      <c r="R388" s="70">
        <f>'RESUMEN TOTAL'!Y488</f>
        <v>0</v>
      </c>
      <c r="S388" s="70">
        <f>'RESUMEN TOTAL'!Z488</f>
        <v>0</v>
      </c>
      <c r="T388" s="70">
        <f>'RESUMEN TOTAL'!AA488</f>
        <v>0</v>
      </c>
      <c r="U388" s="70">
        <f>'RESUMEN TOTAL'!AB488</f>
        <v>0</v>
      </c>
      <c r="V388" s="70">
        <f>'RESUMEN TOTAL'!AC488</f>
        <v>0</v>
      </c>
      <c r="W388" s="70">
        <f>'RESUMEN TOTAL'!AD488</f>
        <v>0</v>
      </c>
      <c r="X388" s="70">
        <f>'RESUMEN TOTAL'!AE488</f>
        <v>0</v>
      </c>
      <c r="Y388" s="70">
        <f>'RESUMEN TOTAL'!AF488</f>
        <v>0</v>
      </c>
      <c r="Z388" s="70">
        <f>'RESUMEN TOTAL'!AG488</f>
        <v>0</v>
      </c>
      <c r="AA388" s="70">
        <f>'RESUMEN TOTAL'!AH488</f>
        <v>0</v>
      </c>
      <c r="AB388" s="70">
        <f>'RESUMEN TOTAL'!AI488</f>
        <v>0</v>
      </c>
      <c r="AC388" s="70">
        <f>'RESUMEN TOTAL'!AJ488</f>
        <v>0</v>
      </c>
      <c r="AD388" s="70">
        <f>'RESUMEN TOTAL'!AK488</f>
        <v>0</v>
      </c>
      <c r="AE388" s="70">
        <f>'RESUMEN TOTAL'!AL488</f>
        <v>0</v>
      </c>
      <c r="AF388" s="70">
        <f>'RESUMEN TOTAL'!AM488</f>
        <v>0</v>
      </c>
      <c r="AG388" s="70">
        <f>'RESUMEN TOTAL'!AN488</f>
        <v>0</v>
      </c>
      <c r="AH388" s="70">
        <f>'RESUMEN TOTAL'!AO488</f>
        <v>0</v>
      </c>
      <c r="AI388" s="70">
        <f>'RESUMEN TOTAL'!AP488</f>
        <v>0</v>
      </c>
      <c r="AJ388" s="70">
        <f>'RESUMEN TOTAL'!AQ488</f>
        <v>0</v>
      </c>
    </row>
    <row r="389" spans="1:36" x14ac:dyDescent="0.25">
      <c r="A389" t="str">
        <f>'RESUMEN TOTAL'!A489</f>
        <v>VILLA ARGENTINA</v>
      </c>
      <c r="B389" t="str">
        <f>'RESUMEN TOTAL'!B489</f>
        <v>VAR13</v>
      </c>
      <c r="C389" t="str">
        <f>'RESUMEN TOTAL'!D489</f>
        <v>Calle 527 y 532</v>
      </c>
      <c r="D389" s="30" t="str">
        <f>'RESUMEN TOTAL'!E489</f>
        <v>Domo</v>
      </c>
      <c r="E389" s="30" t="str">
        <f>'RESUMEN TOTAL'!F489</f>
        <v>Fibra Optica</v>
      </c>
      <c r="F389" s="70">
        <f>'RESUMEN TOTAL'!M489</f>
        <v>0</v>
      </c>
      <c r="G389" s="70">
        <f>'RESUMEN TOTAL'!N489</f>
        <v>0</v>
      </c>
      <c r="H389" s="70">
        <f>'RESUMEN TOTAL'!O489</f>
        <v>0</v>
      </c>
      <c r="I389" s="70">
        <f>'RESUMEN TOTAL'!P489</f>
        <v>0</v>
      </c>
      <c r="J389" s="70">
        <f>'RESUMEN TOTAL'!Q489</f>
        <v>0</v>
      </c>
      <c r="K389" s="70">
        <f>'RESUMEN TOTAL'!R489</f>
        <v>0</v>
      </c>
      <c r="L389" s="70">
        <f>'RESUMEN TOTAL'!S489</f>
        <v>0</v>
      </c>
      <c r="M389" s="70">
        <f>'RESUMEN TOTAL'!T489</f>
        <v>0</v>
      </c>
      <c r="N389" s="70">
        <f>'RESUMEN TOTAL'!U489</f>
        <v>0</v>
      </c>
      <c r="O389" s="70">
        <f>'RESUMEN TOTAL'!V489</f>
        <v>0</v>
      </c>
      <c r="P389" s="70">
        <f>'RESUMEN TOTAL'!W489</f>
        <v>0</v>
      </c>
      <c r="Q389" s="70">
        <f>'RESUMEN TOTAL'!X489</f>
        <v>0</v>
      </c>
      <c r="R389" s="70">
        <f>'RESUMEN TOTAL'!Y489</f>
        <v>0</v>
      </c>
      <c r="S389" s="70">
        <f>'RESUMEN TOTAL'!Z489</f>
        <v>0</v>
      </c>
      <c r="T389" s="70">
        <f>'RESUMEN TOTAL'!AA489</f>
        <v>0</v>
      </c>
      <c r="U389" s="70">
        <f>'RESUMEN TOTAL'!AB489</f>
        <v>0</v>
      </c>
      <c r="V389" s="70">
        <f>'RESUMEN TOTAL'!AC489</f>
        <v>0</v>
      </c>
      <c r="W389" s="70">
        <f>'RESUMEN TOTAL'!AD489</f>
        <v>0</v>
      </c>
      <c r="X389" s="70">
        <f>'RESUMEN TOTAL'!AE489</f>
        <v>0</v>
      </c>
      <c r="Y389" s="70">
        <f>'RESUMEN TOTAL'!AF489</f>
        <v>0</v>
      </c>
      <c r="Z389" s="70">
        <f>'RESUMEN TOTAL'!AG489</f>
        <v>0</v>
      </c>
      <c r="AA389" s="70">
        <f>'RESUMEN TOTAL'!AH489</f>
        <v>0</v>
      </c>
      <c r="AB389" s="70">
        <f>'RESUMEN TOTAL'!AI489</f>
        <v>0</v>
      </c>
      <c r="AC389" s="70">
        <f>'RESUMEN TOTAL'!AJ489</f>
        <v>0</v>
      </c>
      <c r="AD389" s="70">
        <f>'RESUMEN TOTAL'!AK489</f>
        <v>0</v>
      </c>
      <c r="AE389" s="70">
        <f>'RESUMEN TOTAL'!AL489</f>
        <v>0</v>
      </c>
      <c r="AF389" s="70">
        <f>'RESUMEN TOTAL'!AM489</f>
        <v>0</v>
      </c>
      <c r="AG389" s="70">
        <f>'RESUMEN TOTAL'!AN489</f>
        <v>0</v>
      </c>
      <c r="AH389" s="70">
        <f>'RESUMEN TOTAL'!AO489</f>
        <v>0</v>
      </c>
      <c r="AI389" s="70">
        <f>'RESUMEN TOTAL'!AP489</f>
        <v>0</v>
      </c>
      <c r="AJ389" s="70">
        <f>'RESUMEN TOTAL'!AQ489</f>
        <v>0</v>
      </c>
    </row>
    <row r="390" spans="1:36" x14ac:dyDescent="0.25">
      <c r="A390" t="str">
        <f>'RESUMEN TOTAL'!A490</f>
        <v>VILLA ARGENTINA</v>
      </c>
      <c r="B390" t="str">
        <f>'RESUMEN TOTAL'!B490</f>
        <v>VAR14</v>
      </c>
      <c r="C390" t="str">
        <f>'RESUMEN TOTAL'!D490</f>
        <v>Pportela y 517</v>
      </c>
      <c r="D390" s="30" t="str">
        <f>'RESUMEN TOTAL'!E490</f>
        <v>Domo</v>
      </c>
      <c r="E390" s="30" t="str">
        <f>'RESUMEN TOTAL'!F490</f>
        <v>Fibra Optica</v>
      </c>
      <c r="F390" s="70" t="str">
        <f>'RESUMEN TOTAL'!M490</f>
        <v>APAGADO</v>
      </c>
      <c r="G390" s="70">
        <f>'RESUMEN TOTAL'!N490</f>
        <v>0</v>
      </c>
      <c r="H390" s="70">
        <f>'RESUMEN TOTAL'!O490</f>
        <v>0</v>
      </c>
      <c r="I390" s="70">
        <f>'RESUMEN TOTAL'!P490</f>
        <v>0</v>
      </c>
      <c r="J390" s="70">
        <f>'RESUMEN TOTAL'!Q490</f>
        <v>0</v>
      </c>
      <c r="K390" s="70">
        <f>'RESUMEN TOTAL'!R490</f>
        <v>0</v>
      </c>
      <c r="L390" s="70">
        <f>'RESUMEN TOTAL'!S490</f>
        <v>0</v>
      </c>
      <c r="M390" s="70">
        <f>'RESUMEN TOTAL'!T490</f>
        <v>0</v>
      </c>
      <c r="N390" s="70">
        <f>'RESUMEN TOTAL'!U490</f>
        <v>0</v>
      </c>
      <c r="O390" s="70">
        <f>'RESUMEN TOTAL'!V490</f>
        <v>0</v>
      </c>
      <c r="P390" s="70">
        <f>'RESUMEN TOTAL'!W490</f>
        <v>0</v>
      </c>
      <c r="Q390" s="70">
        <f>'RESUMEN TOTAL'!X490</f>
        <v>0</v>
      </c>
      <c r="R390" s="70">
        <f>'RESUMEN TOTAL'!Y490</f>
        <v>0</v>
      </c>
      <c r="S390" s="70">
        <f>'RESUMEN TOTAL'!Z490</f>
        <v>0</v>
      </c>
      <c r="T390" s="70">
        <f>'RESUMEN TOTAL'!AA490</f>
        <v>0</v>
      </c>
      <c r="U390" s="70">
        <f>'RESUMEN TOTAL'!AB490</f>
        <v>0</v>
      </c>
      <c r="V390" s="70">
        <f>'RESUMEN TOTAL'!AC490</f>
        <v>0</v>
      </c>
      <c r="W390" s="70">
        <f>'RESUMEN TOTAL'!AD490</f>
        <v>0</v>
      </c>
      <c r="X390" s="70">
        <f>'RESUMEN TOTAL'!AE490</f>
        <v>0</v>
      </c>
      <c r="Y390" s="70">
        <f>'RESUMEN TOTAL'!AF490</f>
        <v>0</v>
      </c>
      <c r="Z390" s="70">
        <f>'RESUMEN TOTAL'!AG490</f>
        <v>0</v>
      </c>
      <c r="AA390" s="70">
        <f>'RESUMEN TOTAL'!AH490</f>
        <v>0</v>
      </c>
      <c r="AB390" s="70">
        <f>'RESUMEN TOTAL'!AI490</f>
        <v>0</v>
      </c>
      <c r="AC390" s="70">
        <f>'RESUMEN TOTAL'!AJ490</f>
        <v>0</v>
      </c>
      <c r="AD390" s="70">
        <f>'RESUMEN TOTAL'!AK490</f>
        <v>0</v>
      </c>
      <c r="AE390" s="70">
        <f>'RESUMEN TOTAL'!AL490</f>
        <v>0</v>
      </c>
      <c r="AF390" s="70">
        <f>'RESUMEN TOTAL'!AM490</f>
        <v>0</v>
      </c>
      <c r="AG390" s="70">
        <f>'RESUMEN TOTAL'!AN490</f>
        <v>0</v>
      </c>
      <c r="AH390" s="70">
        <f>'RESUMEN TOTAL'!AO490</f>
        <v>0</v>
      </c>
      <c r="AI390" s="70">
        <f>'RESUMEN TOTAL'!AP490</f>
        <v>0</v>
      </c>
      <c r="AJ390" s="70">
        <f>'RESUMEN TOTAL'!AQ490</f>
        <v>0</v>
      </c>
    </row>
    <row r="391" spans="1:36" x14ac:dyDescent="0.25">
      <c r="A391" t="str">
        <f>'RESUMEN TOTAL'!A491</f>
        <v>VILLA VATTEONE</v>
      </c>
      <c r="B391" t="str">
        <f>'RESUMEN TOTAL'!B491</f>
        <v>VAT01</v>
      </c>
      <c r="C391" t="str">
        <f>'RESUMEN TOTAL'!D491</f>
        <v>Montevideo y El Chañar</v>
      </c>
      <c r="D391" s="30" t="str">
        <f>'RESUMEN TOTAL'!E491</f>
        <v>Domo</v>
      </c>
      <c r="E391" s="30" t="str">
        <f>'RESUMEN TOTAL'!F491</f>
        <v>Fibra Optica</v>
      </c>
      <c r="F391" s="70">
        <f>'RESUMEN TOTAL'!M491</f>
        <v>0</v>
      </c>
      <c r="G391" s="70">
        <f>'RESUMEN TOTAL'!N491</f>
        <v>0</v>
      </c>
      <c r="H391" s="70">
        <f>'RESUMEN TOTAL'!O491</f>
        <v>0</v>
      </c>
      <c r="I391" s="70">
        <f>'RESUMEN TOTAL'!P491</f>
        <v>0</v>
      </c>
      <c r="J391" s="70">
        <f>'RESUMEN TOTAL'!Q491</f>
        <v>0</v>
      </c>
      <c r="K391" s="70">
        <f>'RESUMEN TOTAL'!R491</f>
        <v>0</v>
      </c>
      <c r="L391" s="70">
        <f>'RESUMEN TOTAL'!S491</f>
        <v>0</v>
      </c>
      <c r="M391" s="70">
        <f>'RESUMEN TOTAL'!T491</f>
        <v>0</v>
      </c>
      <c r="N391" s="70">
        <f>'RESUMEN TOTAL'!U491</f>
        <v>0</v>
      </c>
      <c r="O391" s="70">
        <f>'RESUMEN TOTAL'!V491</f>
        <v>0</v>
      </c>
      <c r="P391" s="70">
        <f>'RESUMEN TOTAL'!W491</f>
        <v>0</v>
      </c>
      <c r="Q391" s="70">
        <f>'RESUMEN TOTAL'!X491</f>
        <v>0</v>
      </c>
      <c r="R391" s="70">
        <f>'RESUMEN TOTAL'!Y491</f>
        <v>0</v>
      </c>
      <c r="S391" s="70">
        <f>'RESUMEN TOTAL'!Z491</f>
        <v>0</v>
      </c>
      <c r="T391" s="70">
        <f>'RESUMEN TOTAL'!AA491</f>
        <v>0</v>
      </c>
      <c r="U391" s="70">
        <f>'RESUMEN TOTAL'!AB491</f>
        <v>0</v>
      </c>
      <c r="V391" s="70">
        <f>'RESUMEN TOTAL'!AC491</f>
        <v>0</v>
      </c>
      <c r="W391" s="70">
        <f>'RESUMEN TOTAL'!AD491</f>
        <v>0</v>
      </c>
      <c r="X391" s="70">
        <f>'RESUMEN TOTAL'!AE491</f>
        <v>0</v>
      </c>
      <c r="Y391" s="70">
        <f>'RESUMEN TOTAL'!AF491</f>
        <v>0</v>
      </c>
      <c r="Z391" s="70">
        <f>'RESUMEN TOTAL'!AG491</f>
        <v>0</v>
      </c>
      <c r="AA391" s="70">
        <f>'RESUMEN TOTAL'!AH491</f>
        <v>0</v>
      </c>
      <c r="AB391" s="70">
        <f>'RESUMEN TOTAL'!AI491</f>
        <v>0</v>
      </c>
      <c r="AC391" s="70">
        <f>'RESUMEN TOTAL'!AJ491</f>
        <v>0</v>
      </c>
      <c r="AD391" s="70">
        <f>'RESUMEN TOTAL'!AK491</f>
        <v>0</v>
      </c>
      <c r="AE391" s="70">
        <f>'RESUMEN TOTAL'!AL491</f>
        <v>0</v>
      </c>
      <c r="AF391" s="70">
        <f>'RESUMEN TOTAL'!AM491</f>
        <v>0</v>
      </c>
      <c r="AG391" s="70">
        <f>'RESUMEN TOTAL'!AN491</f>
        <v>0</v>
      </c>
      <c r="AH391" s="70">
        <f>'RESUMEN TOTAL'!AO491</f>
        <v>0</v>
      </c>
      <c r="AI391" s="70">
        <f>'RESUMEN TOTAL'!AP491</f>
        <v>0</v>
      </c>
      <c r="AJ391" s="70">
        <f>'RESUMEN TOTAL'!AQ491</f>
        <v>0</v>
      </c>
    </row>
    <row r="392" spans="1:36" x14ac:dyDescent="0.25">
      <c r="A392" t="str">
        <f>'RESUMEN TOTAL'!A492</f>
        <v>VILLA VATTEONE CENTRO</v>
      </c>
      <c r="B392" t="str">
        <f>'RESUMEN TOTAL'!B492</f>
        <v>VAT02</v>
      </c>
      <c r="C392" t="str">
        <f>'RESUMEN TOTAL'!D492</f>
        <v>Eva Peron y 12 de Octubre</v>
      </c>
      <c r="D392" s="30" t="str">
        <f>'RESUMEN TOTAL'!E492</f>
        <v>Domo</v>
      </c>
      <c r="E392" s="30" t="str">
        <f>'RESUMEN TOTAL'!F492</f>
        <v>Fibra Optica</v>
      </c>
      <c r="F392" s="70">
        <f>'RESUMEN TOTAL'!M492</f>
        <v>0</v>
      </c>
      <c r="G392" s="70">
        <f>'RESUMEN TOTAL'!N492</f>
        <v>0</v>
      </c>
      <c r="H392" s="70">
        <f>'RESUMEN TOTAL'!O492</f>
        <v>0</v>
      </c>
      <c r="I392" s="70">
        <f>'RESUMEN TOTAL'!P492</f>
        <v>0</v>
      </c>
      <c r="J392" s="70">
        <f>'RESUMEN TOTAL'!Q492</f>
        <v>0</v>
      </c>
      <c r="K392" s="70">
        <f>'RESUMEN TOTAL'!R492</f>
        <v>0</v>
      </c>
      <c r="L392" s="70">
        <f>'RESUMEN TOTAL'!S492</f>
        <v>0</v>
      </c>
      <c r="M392" s="70">
        <f>'RESUMEN TOTAL'!T492</f>
        <v>0</v>
      </c>
      <c r="N392" s="70">
        <f>'RESUMEN TOTAL'!U492</f>
        <v>0</v>
      </c>
      <c r="O392" s="70">
        <f>'RESUMEN TOTAL'!V492</f>
        <v>0</v>
      </c>
      <c r="P392" s="70">
        <f>'RESUMEN TOTAL'!W492</f>
        <v>0</v>
      </c>
      <c r="Q392" s="70">
        <f>'RESUMEN TOTAL'!X492</f>
        <v>0</v>
      </c>
      <c r="R392" s="70">
        <f>'RESUMEN TOTAL'!Y492</f>
        <v>0</v>
      </c>
      <c r="S392" s="70">
        <f>'RESUMEN TOTAL'!Z492</f>
        <v>0</v>
      </c>
      <c r="T392" s="70">
        <f>'RESUMEN TOTAL'!AA492</f>
        <v>0</v>
      </c>
      <c r="U392" s="70">
        <f>'RESUMEN TOTAL'!AB492</f>
        <v>0</v>
      </c>
      <c r="V392" s="70">
        <f>'RESUMEN TOTAL'!AC492</f>
        <v>0</v>
      </c>
      <c r="W392" s="70">
        <f>'RESUMEN TOTAL'!AD492</f>
        <v>0</v>
      </c>
      <c r="X392" s="70">
        <f>'RESUMEN TOTAL'!AE492</f>
        <v>0</v>
      </c>
      <c r="Y392" s="70">
        <f>'RESUMEN TOTAL'!AF492</f>
        <v>0</v>
      </c>
      <c r="Z392" s="70">
        <f>'RESUMEN TOTAL'!AG492</f>
        <v>0</v>
      </c>
      <c r="AA392" s="70">
        <f>'RESUMEN TOTAL'!AH492</f>
        <v>0</v>
      </c>
      <c r="AB392" s="70">
        <f>'RESUMEN TOTAL'!AI492</f>
        <v>0</v>
      </c>
      <c r="AC392" s="70">
        <f>'RESUMEN TOTAL'!AJ492</f>
        <v>0</v>
      </c>
      <c r="AD392" s="70">
        <f>'RESUMEN TOTAL'!AK492</f>
        <v>0</v>
      </c>
      <c r="AE392" s="70">
        <f>'RESUMEN TOTAL'!AL492</f>
        <v>0</v>
      </c>
      <c r="AF392" s="70">
        <f>'RESUMEN TOTAL'!AM492</f>
        <v>0</v>
      </c>
      <c r="AG392" s="70">
        <f>'RESUMEN TOTAL'!AN492</f>
        <v>0</v>
      </c>
      <c r="AH392" s="70">
        <f>'RESUMEN TOTAL'!AO492</f>
        <v>0</v>
      </c>
      <c r="AI392" s="70">
        <f>'RESUMEN TOTAL'!AP492</f>
        <v>0</v>
      </c>
      <c r="AJ392" s="70">
        <f>'RESUMEN TOTAL'!AQ492</f>
        <v>0</v>
      </c>
    </row>
    <row r="393" spans="1:36" x14ac:dyDescent="0.25">
      <c r="A393" t="str">
        <f>'RESUMEN TOTAL'!A493</f>
        <v>VILLA VATTEONE CENTRO</v>
      </c>
      <c r="B393" t="str">
        <f>'RESUMEN TOTAL'!B493</f>
        <v>VAT03</v>
      </c>
      <c r="C393" t="str">
        <f>'RESUMEN TOTAL'!D493</f>
        <v>Lavalle y Belgrano</v>
      </c>
      <c r="D393" s="30" t="str">
        <f>'RESUMEN TOTAL'!E493</f>
        <v>Domo</v>
      </c>
      <c r="E393" s="30" t="str">
        <f>'RESUMEN TOTAL'!F493</f>
        <v>Fibra Optica</v>
      </c>
      <c r="F393" s="70">
        <f>'RESUMEN TOTAL'!M493</f>
        <v>0</v>
      </c>
      <c r="G393" s="70">
        <f>'RESUMEN TOTAL'!N493</f>
        <v>0</v>
      </c>
      <c r="H393" s="70">
        <f>'RESUMEN TOTAL'!O493</f>
        <v>0</v>
      </c>
      <c r="I393" s="70">
        <f>'RESUMEN TOTAL'!P493</f>
        <v>0</v>
      </c>
      <c r="J393" s="70">
        <f>'RESUMEN TOTAL'!Q493</f>
        <v>0</v>
      </c>
      <c r="K393" s="70">
        <f>'RESUMEN TOTAL'!R493</f>
        <v>0</v>
      </c>
      <c r="L393" s="70">
        <f>'RESUMEN TOTAL'!S493</f>
        <v>0</v>
      </c>
      <c r="M393" s="70">
        <f>'RESUMEN TOTAL'!T493</f>
        <v>0</v>
      </c>
      <c r="N393" s="70">
        <f>'RESUMEN TOTAL'!U493</f>
        <v>0</v>
      </c>
      <c r="O393" s="70">
        <f>'RESUMEN TOTAL'!V493</f>
        <v>0</v>
      </c>
      <c r="P393" s="70">
        <f>'RESUMEN TOTAL'!W493</f>
        <v>0</v>
      </c>
      <c r="Q393" s="70">
        <f>'RESUMEN TOTAL'!X493</f>
        <v>0</v>
      </c>
      <c r="R393" s="70">
        <f>'RESUMEN TOTAL'!Y493</f>
        <v>0</v>
      </c>
      <c r="S393" s="70">
        <f>'RESUMEN TOTAL'!Z493</f>
        <v>0</v>
      </c>
      <c r="T393" s="70">
        <f>'RESUMEN TOTAL'!AA493</f>
        <v>0</v>
      </c>
      <c r="U393" s="70">
        <f>'RESUMEN TOTAL'!AB493</f>
        <v>0</v>
      </c>
      <c r="V393" s="70">
        <f>'RESUMEN TOTAL'!AC493</f>
        <v>0</v>
      </c>
      <c r="W393" s="70">
        <f>'RESUMEN TOTAL'!AD493</f>
        <v>0</v>
      </c>
      <c r="X393" s="70">
        <f>'RESUMEN TOTAL'!AE493</f>
        <v>0</v>
      </c>
      <c r="Y393" s="70">
        <f>'RESUMEN TOTAL'!AF493</f>
        <v>0</v>
      </c>
      <c r="Z393" s="70">
        <f>'RESUMEN TOTAL'!AG493</f>
        <v>0</v>
      </c>
      <c r="AA393" s="70">
        <f>'RESUMEN TOTAL'!AH493</f>
        <v>0</v>
      </c>
      <c r="AB393" s="70">
        <f>'RESUMEN TOTAL'!AI493</f>
        <v>0</v>
      </c>
      <c r="AC393" s="70">
        <f>'RESUMEN TOTAL'!AJ493</f>
        <v>0</v>
      </c>
      <c r="AD393" s="70">
        <f>'RESUMEN TOTAL'!AK493</f>
        <v>0</v>
      </c>
      <c r="AE393" s="70">
        <f>'RESUMEN TOTAL'!AL493</f>
        <v>0</v>
      </c>
      <c r="AF393" s="70">
        <f>'RESUMEN TOTAL'!AM493</f>
        <v>0</v>
      </c>
      <c r="AG393" s="70">
        <f>'RESUMEN TOTAL'!AN493</f>
        <v>0</v>
      </c>
      <c r="AH393" s="70">
        <f>'RESUMEN TOTAL'!AO493</f>
        <v>0</v>
      </c>
      <c r="AI393" s="70">
        <f>'RESUMEN TOTAL'!AP493</f>
        <v>0</v>
      </c>
      <c r="AJ393" s="70">
        <f>'RESUMEN TOTAL'!AQ493</f>
        <v>0</v>
      </c>
    </row>
    <row r="394" spans="1:36" x14ac:dyDescent="0.25">
      <c r="A394" t="str">
        <f>'RESUMEN TOTAL'!A494</f>
        <v>VILLA VATTEONE CENTRO</v>
      </c>
      <c r="B394" t="str">
        <f>'RESUMEN TOTAL'!B494</f>
        <v>VAT04</v>
      </c>
      <c r="C394" t="str">
        <f>'RESUMEN TOTAL'!D494</f>
        <v>Lavalle y Entre Rios</v>
      </c>
      <c r="D394" s="30" t="str">
        <f>'RESUMEN TOTAL'!E494</f>
        <v>Domo</v>
      </c>
      <c r="E394" s="30" t="str">
        <f>'RESUMEN TOTAL'!F494</f>
        <v>Fibra Optica</v>
      </c>
      <c r="F394" s="70">
        <f>'RESUMEN TOTAL'!M494</f>
        <v>0</v>
      </c>
      <c r="G394" s="70">
        <f>'RESUMEN TOTAL'!N494</f>
        <v>0</v>
      </c>
      <c r="H394" s="70">
        <f>'RESUMEN TOTAL'!O494</f>
        <v>0</v>
      </c>
      <c r="I394" s="70">
        <f>'RESUMEN TOTAL'!P494</f>
        <v>0</v>
      </c>
      <c r="J394" s="70">
        <f>'RESUMEN TOTAL'!Q494</f>
        <v>0</v>
      </c>
      <c r="K394" s="70">
        <f>'RESUMEN TOTAL'!R494</f>
        <v>0</v>
      </c>
      <c r="L394" s="70">
        <f>'RESUMEN TOTAL'!S494</f>
        <v>0</v>
      </c>
      <c r="M394" s="70">
        <f>'RESUMEN TOTAL'!T494</f>
        <v>0</v>
      </c>
      <c r="N394" s="70">
        <f>'RESUMEN TOTAL'!U494</f>
        <v>0</v>
      </c>
      <c r="O394" s="70">
        <f>'RESUMEN TOTAL'!V494</f>
        <v>0</v>
      </c>
      <c r="P394" s="70">
        <f>'RESUMEN TOTAL'!W494</f>
        <v>0</v>
      </c>
      <c r="Q394" s="70">
        <f>'RESUMEN TOTAL'!X494</f>
        <v>0</v>
      </c>
      <c r="R394" s="70">
        <f>'RESUMEN TOTAL'!Y494</f>
        <v>0</v>
      </c>
      <c r="S394" s="70">
        <f>'RESUMEN TOTAL'!Z494</f>
        <v>0</v>
      </c>
      <c r="T394" s="70">
        <f>'RESUMEN TOTAL'!AA494</f>
        <v>0</v>
      </c>
      <c r="U394" s="70">
        <f>'RESUMEN TOTAL'!AB494</f>
        <v>0</v>
      </c>
      <c r="V394" s="70">
        <f>'RESUMEN TOTAL'!AC494</f>
        <v>0</v>
      </c>
      <c r="W394" s="70">
        <f>'RESUMEN TOTAL'!AD494</f>
        <v>0</v>
      </c>
      <c r="X394" s="70">
        <f>'RESUMEN TOTAL'!AE494</f>
        <v>0</v>
      </c>
      <c r="Y394" s="70">
        <f>'RESUMEN TOTAL'!AF494</f>
        <v>0</v>
      </c>
      <c r="Z394" s="70">
        <f>'RESUMEN TOTAL'!AG494</f>
        <v>0</v>
      </c>
      <c r="AA394" s="70">
        <f>'RESUMEN TOTAL'!AH494</f>
        <v>0</v>
      </c>
      <c r="AB394" s="70">
        <f>'RESUMEN TOTAL'!AI494</f>
        <v>0</v>
      </c>
      <c r="AC394" s="70">
        <f>'RESUMEN TOTAL'!AJ494</f>
        <v>0</v>
      </c>
      <c r="AD394" s="70">
        <f>'RESUMEN TOTAL'!AK494</f>
        <v>0</v>
      </c>
      <c r="AE394" s="70">
        <f>'RESUMEN TOTAL'!AL494</f>
        <v>0</v>
      </c>
      <c r="AF394" s="70">
        <f>'RESUMEN TOTAL'!AM494</f>
        <v>0</v>
      </c>
      <c r="AG394" s="70">
        <f>'RESUMEN TOTAL'!AN494</f>
        <v>0</v>
      </c>
      <c r="AH394" s="70">
        <f>'RESUMEN TOTAL'!AO494</f>
        <v>0</v>
      </c>
      <c r="AI394" s="70">
        <f>'RESUMEN TOTAL'!AP494</f>
        <v>0</v>
      </c>
      <c r="AJ394" s="70">
        <f>'RESUMEN TOTAL'!AQ494</f>
        <v>0</v>
      </c>
    </row>
    <row r="395" spans="1:36" x14ac:dyDescent="0.25">
      <c r="A395" t="str">
        <f>'RESUMEN TOTAL'!A495</f>
        <v>VILLA VATTEONE CENTRO</v>
      </c>
      <c r="B395" t="str">
        <f>'RESUMEN TOTAL'!B495</f>
        <v>VAT05</v>
      </c>
      <c r="C395" t="str">
        <f>'RESUMEN TOTAL'!D495</f>
        <v>Lavalle y Colombia</v>
      </c>
      <c r="D395" s="30" t="str">
        <f>'RESUMEN TOTAL'!E495</f>
        <v>Domo</v>
      </c>
      <c r="E395" s="30" t="str">
        <f>'RESUMEN TOTAL'!F495</f>
        <v>GPON</v>
      </c>
      <c r="F395" s="70">
        <f>'RESUMEN TOTAL'!M495</f>
        <v>0</v>
      </c>
      <c r="G395" s="70">
        <f>'RESUMEN TOTAL'!N495</f>
        <v>0</v>
      </c>
      <c r="H395" s="70">
        <f>'RESUMEN TOTAL'!O495</f>
        <v>0</v>
      </c>
      <c r="I395" s="70">
        <f>'RESUMEN TOTAL'!P495</f>
        <v>0</v>
      </c>
      <c r="J395" s="70">
        <f>'RESUMEN TOTAL'!Q495</f>
        <v>0</v>
      </c>
      <c r="K395" s="70">
        <f>'RESUMEN TOTAL'!R495</f>
        <v>0</v>
      </c>
      <c r="L395" s="70">
        <f>'RESUMEN TOTAL'!S495</f>
        <v>0</v>
      </c>
      <c r="M395" s="70">
        <f>'RESUMEN TOTAL'!T495</f>
        <v>0</v>
      </c>
      <c r="N395" s="70">
        <f>'RESUMEN TOTAL'!U495</f>
        <v>0</v>
      </c>
      <c r="O395" s="70">
        <f>'RESUMEN TOTAL'!V495</f>
        <v>0</v>
      </c>
      <c r="P395" s="70">
        <f>'RESUMEN TOTAL'!W495</f>
        <v>0</v>
      </c>
      <c r="Q395" s="70">
        <f>'RESUMEN TOTAL'!X495</f>
        <v>0</v>
      </c>
      <c r="R395" s="70">
        <f>'RESUMEN TOTAL'!Y495</f>
        <v>0</v>
      </c>
      <c r="S395" s="70">
        <f>'RESUMEN TOTAL'!Z495</f>
        <v>0</v>
      </c>
      <c r="T395" s="70">
        <f>'RESUMEN TOTAL'!AA495</f>
        <v>0</v>
      </c>
      <c r="U395" s="70">
        <f>'RESUMEN TOTAL'!AB495</f>
        <v>0</v>
      </c>
      <c r="V395" s="70">
        <f>'RESUMEN TOTAL'!AC495</f>
        <v>0</v>
      </c>
      <c r="W395" s="70">
        <f>'RESUMEN TOTAL'!AD495</f>
        <v>0</v>
      </c>
      <c r="X395" s="70">
        <f>'RESUMEN TOTAL'!AE495</f>
        <v>0</v>
      </c>
      <c r="Y395" s="70">
        <f>'RESUMEN TOTAL'!AF495</f>
        <v>0</v>
      </c>
      <c r="Z395" s="70">
        <f>'RESUMEN TOTAL'!AG495</f>
        <v>0</v>
      </c>
      <c r="AA395" s="70">
        <f>'RESUMEN TOTAL'!AH495</f>
        <v>0</v>
      </c>
      <c r="AB395" s="70">
        <f>'RESUMEN TOTAL'!AI495</f>
        <v>0</v>
      </c>
      <c r="AC395" s="70">
        <f>'RESUMEN TOTAL'!AJ495</f>
        <v>0</v>
      </c>
      <c r="AD395" s="70">
        <f>'RESUMEN TOTAL'!AK495</f>
        <v>0</v>
      </c>
      <c r="AE395" s="70">
        <f>'RESUMEN TOTAL'!AL495</f>
        <v>0</v>
      </c>
      <c r="AF395" s="70">
        <f>'RESUMEN TOTAL'!AM495</f>
        <v>0</v>
      </c>
      <c r="AG395" s="70">
        <f>'RESUMEN TOTAL'!AN495</f>
        <v>0</v>
      </c>
      <c r="AH395" s="70">
        <f>'RESUMEN TOTAL'!AO495</f>
        <v>0</v>
      </c>
      <c r="AI395" s="70">
        <f>'RESUMEN TOTAL'!AP495</f>
        <v>0</v>
      </c>
      <c r="AJ395" s="70">
        <f>'RESUMEN TOTAL'!AQ495</f>
        <v>0</v>
      </c>
    </row>
    <row r="396" spans="1:36" x14ac:dyDescent="0.25">
      <c r="A396" t="str">
        <f>'RESUMEN TOTAL'!A496</f>
        <v>VILLA VATTEONE CENTRO</v>
      </c>
      <c r="B396" t="str">
        <f>'RESUMEN TOTAL'!B496</f>
        <v>VAT06</v>
      </c>
      <c r="C396" t="str">
        <f>'RESUMEN TOTAL'!D496</f>
        <v>Eva Peron y Pueyrredon</v>
      </c>
      <c r="D396" s="30" t="str">
        <f>'RESUMEN TOTAL'!E496</f>
        <v>Domo</v>
      </c>
      <c r="E396" s="30" t="str">
        <f>'RESUMEN TOTAL'!F496</f>
        <v>Fibra Optica</v>
      </c>
      <c r="F396" s="70">
        <f>'RESUMEN TOTAL'!M496</f>
        <v>0</v>
      </c>
      <c r="G396" s="70">
        <f>'RESUMEN TOTAL'!N496</f>
        <v>0</v>
      </c>
      <c r="H396" s="70">
        <f>'RESUMEN TOTAL'!O496</f>
        <v>0</v>
      </c>
      <c r="I396" s="70">
        <f>'RESUMEN TOTAL'!P496</f>
        <v>0</v>
      </c>
      <c r="J396" s="70">
        <f>'RESUMEN TOTAL'!Q496</f>
        <v>0</v>
      </c>
      <c r="K396" s="70">
        <f>'RESUMEN TOTAL'!R496</f>
        <v>0</v>
      </c>
      <c r="L396" s="70">
        <f>'RESUMEN TOTAL'!S496</f>
        <v>0</v>
      </c>
      <c r="M396" s="70">
        <f>'RESUMEN TOTAL'!T496</f>
        <v>0</v>
      </c>
      <c r="N396" s="70">
        <f>'RESUMEN TOTAL'!U496</f>
        <v>0</v>
      </c>
      <c r="O396" s="70">
        <f>'RESUMEN TOTAL'!V496</f>
        <v>0</v>
      </c>
      <c r="P396" s="70">
        <f>'RESUMEN TOTAL'!W496</f>
        <v>0</v>
      </c>
      <c r="Q396" s="70">
        <f>'RESUMEN TOTAL'!X496</f>
        <v>0</v>
      </c>
      <c r="R396" s="70">
        <f>'RESUMEN TOTAL'!Y496</f>
        <v>0</v>
      </c>
      <c r="S396" s="70">
        <f>'RESUMEN TOTAL'!Z496</f>
        <v>0</v>
      </c>
      <c r="T396" s="70">
        <f>'RESUMEN TOTAL'!AA496</f>
        <v>0</v>
      </c>
      <c r="U396" s="70">
        <f>'RESUMEN TOTAL'!AB496</f>
        <v>0</v>
      </c>
      <c r="V396" s="70">
        <f>'RESUMEN TOTAL'!AC496</f>
        <v>0</v>
      </c>
      <c r="W396" s="70">
        <f>'RESUMEN TOTAL'!AD496</f>
        <v>0</v>
      </c>
      <c r="X396" s="70">
        <f>'RESUMEN TOTAL'!AE496</f>
        <v>0</v>
      </c>
      <c r="Y396" s="70">
        <f>'RESUMEN TOTAL'!AF496</f>
        <v>0</v>
      </c>
      <c r="Z396" s="70">
        <f>'RESUMEN TOTAL'!AG496</f>
        <v>0</v>
      </c>
      <c r="AA396" s="70">
        <f>'RESUMEN TOTAL'!AH496</f>
        <v>0</v>
      </c>
      <c r="AB396" s="70">
        <f>'RESUMEN TOTAL'!AI496</f>
        <v>0</v>
      </c>
      <c r="AC396" s="70">
        <f>'RESUMEN TOTAL'!AJ496</f>
        <v>0</v>
      </c>
      <c r="AD396" s="70">
        <f>'RESUMEN TOTAL'!AK496</f>
        <v>0</v>
      </c>
      <c r="AE396" s="70">
        <f>'RESUMEN TOTAL'!AL496</f>
        <v>0</v>
      </c>
      <c r="AF396" s="70">
        <f>'RESUMEN TOTAL'!AM496</f>
        <v>0</v>
      </c>
      <c r="AG396" s="70">
        <f>'RESUMEN TOTAL'!AN496</f>
        <v>0</v>
      </c>
      <c r="AH396" s="70">
        <f>'RESUMEN TOTAL'!AO496</f>
        <v>0</v>
      </c>
      <c r="AI396" s="70">
        <f>'RESUMEN TOTAL'!AP496</f>
        <v>0</v>
      </c>
      <c r="AJ396" s="70">
        <f>'RESUMEN TOTAL'!AQ496</f>
        <v>0</v>
      </c>
    </row>
    <row r="397" spans="1:36" x14ac:dyDescent="0.25">
      <c r="A397" t="str">
        <f>'RESUMEN TOTAL'!A497</f>
        <v>VILLA VATTEONE CENTRO</v>
      </c>
      <c r="B397" t="str">
        <f>'RESUMEN TOTAL'!B497</f>
        <v>VAT07</v>
      </c>
      <c r="C397" t="str">
        <f>'RESUMEN TOTAL'!D497</f>
        <v>Eva Peron y Lavalle</v>
      </c>
      <c r="D397" s="30" t="str">
        <f>'RESUMEN TOTAL'!E497</f>
        <v>Domo</v>
      </c>
      <c r="E397" s="30" t="str">
        <f>'RESUMEN TOTAL'!F497</f>
        <v>Fibra Optica</v>
      </c>
      <c r="F397" s="70">
        <f>'RESUMEN TOTAL'!M497</f>
        <v>0</v>
      </c>
      <c r="G397" s="70">
        <f>'RESUMEN TOTAL'!N497</f>
        <v>0</v>
      </c>
      <c r="H397" s="70">
        <f>'RESUMEN TOTAL'!O497</f>
        <v>0</v>
      </c>
      <c r="I397" s="70">
        <f>'RESUMEN TOTAL'!P497</f>
        <v>0</v>
      </c>
      <c r="J397" s="70">
        <f>'RESUMEN TOTAL'!Q497</f>
        <v>0</v>
      </c>
      <c r="K397" s="70">
        <f>'RESUMEN TOTAL'!R497</f>
        <v>0</v>
      </c>
      <c r="L397" s="70">
        <f>'RESUMEN TOTAL'!S497</f>
        <v>0</v>
      </c>
      <c r="M397" s="70">
        <f>'RESUMEN TOTAL'!T497</f>
        <v>0</v>
      </c>
      <c r="N397" s="70">
        <f>'RESUMEN TOTAL'!U497</f>
        <v>0</v>
      </c>
      <c r="O397" s="70">
        <f>'RESUMEN TOTAL'!V497</f>
        <v>0</v>
      </c>
      <c r="P397" s="70">
        <f>'RESUMEN TOTAL'!W497</f>
        <v>0</v>
      </c>
      <c r="Q397" s="70">
        <f>'RESUMEN TOTAL'!X497</f>
        <v>0</v>
      </c>
      <c r="R397" s="70">
        <f>'RESUMEN TOTAL'!Y497</f>
        <v>0</v>
      </c>
      <c r="S397" s="70">
        <f>'RESUMEN TOTAL'!Z497</f>
        <v>0</v>
      </c>
      <c r="T397" s="70">
        <f>'RESUMEN TOTAL'!AA497</f>
        <v>0</v>
      </c>
      <c r="U397" s="70">
        <f>'RESUMEN TOTAL'!AB497</f>
        <v>0</v>
      </c>
      <c r="V397" s="70">
        <f>'RESUMEN TOTAL'!AC497</f>
        <v>0</v>
      </c>
      <c r="W397" s="70">
        <f>'RESUMEN TOTAL'!AD497</f>
        <v>0</v>
      </c>
      <c r="X397" s="70">
        <f>'RESUMEN TOTAL'!AE497</f>
        <v>0</v>
      </c>
      <c r="Y397" s="70">
        <f>'RESUMEN TOTAL'!AF497</f>
        <v>0</v>
      </c>
      <c r="Z397" s="70">
        <f>'RESUMEN TOTAL'!AG497</f>
        <v>0</v>
      </c>
      <c r="AA397" s="70">
        <f>'RESUMEN TOTAL'!AH497</f>
        <v>0</v>
      </c>
      <c r="AB397" s="70">
        <f>'RESUMEN TOTAL'!AI497</f>
        <v>0</v>
      </c>
      <c r="AC397" s="70">
        <f>'RESUMEN TOTAL'!AJ497</f>
        <v>0</v>
      </c>
      <c r="AD397" s="70">
        <f>'RESUMEN TOTAL'!AK497</f>
        <v>0</v>
      </c>
      <c r="AE397" s="70">
        <f>'RESUMEN TOTAL'!AL497</f>
        <v>0</v>
      </c>
      <c r="AF397" s="70">
        <f>'RESUMEN TOTAL'!AM497</f>
        <v>0</v>
      </c>
      <c r="AG397" s="70">
        <f>'RESUMEN TOTAL'!AN497</f>
        <v>0</v>
      </c>
      <c r="AH397" s="70">
        <f>'RESUMEN TOTAL'!AO497</f>
        <v>0</v>
      </c>
      <c r="AI397" s="70">
        <f>'RESUMEN TOTAL'!AP497</f>
        <v>0</v>
      </c>
      <c r="AJ397" s="70">
        <f>'RESUMEN TOTAL'!AQ497</f>
        <v>0</v>
      </c>
    </row>
    <row r="398" spans="1:36" x14ac:dyDescent="0.25">
      <c r="A398" t="str">
        <f>'RESUMEN TOTAL'!A498</f>
        <v>VILLA VATTEONE</v>
      </c>
      <c r="B398" t="str">
        <f>'RESUMEN TOTAL'!B498</f>
        <v>VAT08</v>
      </c>
      <c r="C398" t="str">
        <f>'RESUMEN TOTAL'!D498</f>
        <v>12 de Octubre y Florida</v>
      </c>
      <c r="D398" s="30" t="str">
        <f>'RESUMEN TOTAL'!E498</f>
        <v>Domo</v>
      </c>
      <c r="E398" s="30" t="str">
        <f>'RESUMEN TOTAL'!F498</f>
        <v>GPON</v>
      </c>
      <c r="F398" s="70">
        <f>'RESUMEN TOTAL'!M498</f>
        <v>0</v>
      </c>
      <c r="G398" s="70">
        <f>'RESUMEN TOTAL'!N498</f>
        <v>0</v>
      </c>
      <c r="H398" s="70">
        <f>'RESUMEN TOTAL'!O498</f>
        <v>0</v>
      </c>
      <c r="I398" s="70">
        <f>'RESUMEN TOTAL'!P498</f>
        <v>0</v>
      </c>
      <c r="J398" s="70">
        <f>'RESUMEN TOTAL'!Q498</f>
        <v>0</v>
      </c>
      <c r="K398" s="70">
        <f>'RESUMEN TOTAL'!R498</f>
        <v>0</v>
      </c>
      <c r="L398" s="70">
        <f>'RESUMEN TOTAL'!S498</f>
        <v>0</v>
      </c>
      <c r="M398" s="70">
        <f>'RESUMEN TOTAL'!T498</f>
        <v>0</v>
      </c>
      <c r="N398" s="70">
        <f>'RESUMEN TOTAL'!U498</f>
        <v>0</v>
      </c>
      <c r="O398" s="70">
        <f>'RESUMEN TOTAL'!V498</f>
        <v>0</v>
      </c>
      <c r="P398" s="70">
        <f>'RESUMEN TOTAL'!W498</f>
        <v>0</v>
      </c>
      <c r="Q398" s="70">
        <f>'RESUMEN TOTAL'!X498</f>
        <v>0</v>
      </c>
      <c r="R398" s="70">
        <f>'RESUMEN TOTAL'!Y498</f>
        <v>0</v>
      </c>
      <c r="S398" s="70">
        <f>'RESUMEN TOTAL'!Z498</f>
        <v>0</v>
      </c>
      <c r="T398" s="70">
        <f>'RESUMEN TOTAL'!AA498</f>
        <v>0</v>
      </c>
      <c r="U398" s="70">
        <f>'RESUMEN TOTAL'!AB498</f>
        <v>0</v>
      </c>
      <c r="V398" s="70">
        <f>'RESUMEN TOTAL'!AC498</f>
        <v>0</v>
      </c>
      <c r="W398" s="70">
        <f>'RESUMEN TOTAL'!AD498</f>
        <v>0</v>
      </c>
      <c r="X398" s="70">
        <f>'RESUMEN TOTAL'!AE498</f>
        <v>0</v>
      </c>
      <c r="Y398" s="70">
        <f>'RESUMEN TOTAL'!AF498</f>
        <v>0</v>
      </c>
      <c r="Z398" s="70">
        <f>'RESUMEN TOTAL'!AG498</f>
        <v>0</v>
      </c>
      <c r="AA398" s="70">
        <f>'RESUMEN TOTAL'!AH498</f>
        <v>0</v>
      </c>
      <c r="AB398" s="70">
        <f>'RESUMEN TOTAL'!AI498</f>
        <v>0</v>
      </c>
      <c r="AC398" s="70">
        <f>'RESUMEN TOTAL'!AJ498</f>
        <v>0</v>
      </c>
      <c r="AD398" s="70">
        <f>'RESUMEN TOTAL'!AK498</f>
        <v>0</v>
      </c>
      <c r="AE398" s="70">
        <f>'RESUMEN TOTAL'!AL498</f>
        <v>0</v>
      </c>
      <c r="AF398" s="70">
        <f>'RESUMEN TOTAL'!AM498</f>
        <v>0</v>
      </c>
      <c r="AG398" s="70">
        <f>'RESUMEN TOTAL'!AN498</f>
        <v>0</v>
      </c>
      <c r="AH398" s="70">
        <f>'RESUMEN TOTAL'!AO498</f>
        <v>0</v>
      </c>
      <c r="AI398" s="70">
        <f>'RESUMEN TOTAL'!AP498</f>
        <v>0</v>
      </c>
      <c r="AJ398" s="70">
        <f>'RESUMEN TOTAL'!AQ498</f>
        <v>0</v>
      </c>
    </row>
    <row r="399" spans="1:36" x14ac:dyDescent="0.25">
      <c r="A399" t="str">
        <f>'RESUMEN TOTAL'!A499</f>
        <v>VILLA VATTEONE</v>
      </c>
      <c r="B399" t="str">
        <f>'RESUMEN TOTAL'!B499</f>
        <v>VAT09</v>
      </c>
      <c r="C399" t="str">
        <f>'RESUMEN TOTAL'!D499</f>
        <v>Montevideo y Alsina</v>
      </c>
      <c r="D399" s="30" t="str">
        <f>'RESUMEN TOTAL'!E499</f>
        <v>Domo</v>
      </c>
      <c r="E399" s="30" t="str">
        <f>'RESUMEN TOTAL'!F499</f>
        <v>Fibra Optica</v>
      </c>
      <c r="F399" s="70">
        <f>'RESUMEN TOTAL'!M499</f>
        <v>0</v>
      </c>
      <c r="G399" s="70">
        <f>'RESUMEN TOTAL'!N499</f>
        <v>0</v>
      </c>
      <c r="H399" s="70">
        <f>'RESUMEN TOTAL'!O499</f>
        <v>0</v>
      </c>
      <c r="I399" s="70">
        <f>'RESUMEN TOTAL'!P499</f>
        <v>0</v>
      </c>
      <c r="J399" s="70">
        <f>'RESUMEN TOTAL'!Q499</f>
        <v>0</v>
      </c>
      <c r="K399" s="70">
        <f>'RESUMEN TOTAL'!R499</f>
        <v>0</v>
      </c>
      <c r="L399" s="70">
        <f>'RESUMEN TOTAL'!S499</f>
        <v>0</v>
      </c>
      <c r="M399" s="70">
        <f>'RESUMEN TOTAL'!T499</f>
        <v>0</v>
      </c>
      <c r="N399" s="70">
        <f>'RESUMEN TOTAL'!U499</f>
        <v>0</v>
      </c>
      <c r="O399" s="70">
        <f>'RESUMEN TOTAL'!V499</f>
        <v>0</v>
      </c>
      <c r="P399" s="70">
        <f>'RESUMEN TOTAL'!W499</f>
        <v>0</v>
      </c>
      <c r="Q399" s="70">
        <f>'RESUMEN TOTAL'!X499</f>
        <v>0</v>
      </c>
      <c r="R399" s="70">
        <f>'RESUMEN TOTAL'!Y499</f>
        <v>0</v>
      </c>
      <c r="S399" s="70">
        <f>'RESUMEN TOTAL'!Z499</f>
        <v>0</v>
      </c>
      <c r="T399" s="70">
        <f>'RESUMEN TOTAL'!AA499</f>
        <v>0</v>
      </c>
      <c r="U399" s="70">
        <f>'RESUMEN TOTAL'!AB499</f>
        <v>0</v>
      </c>
      <c r="V399" s="70">
        <f>'RESUMEN TOTAL'!AC499</f>
        <v>0</v>
      </c>
      <c r="W399" s="70">
        <f>'RESUMEN TOTAL'!AD499</f>
        <v>0</v>
      </c>
      <c r="X399" s="70">
        <f>'RESUMEN TOTAL'!AE499</f>
        <v>0</v>
      </c>
      <c r="Y399" s="70">
        <f>'RESUMEN TOTAL'!AF499</f>
        <v>0</v>
      </c>
      <c r="Z399" s="70">
        <f>'RESUMEN TOTAL'!AG499</f>
        <v>0</v>
      </c>
      <c r="AA399" s="70">
        <f>'RESUMEN TOTAL'!AH499</f>
        <v>0</v>
      </c>
      <c r="AB399" s="70">
        <f>'RESUMEN TOTAL'!AI499</f>
        <v>0</v>
      </c>
      <c r="AC399" s="70">
        <f>'RESUMEN TOTAL'!AJ499</f>
        <v>0</v>
      </c>
      <c r="AD399" s="70">
        <f>'RESUMEN TOTAL'!AK499</f>
        <v>0</v>
      </c>
      <c r="AE399" s="70">
        <f>'RESUMEN TOTAL'!AL499</f>
        <v>0</v>
      </c>
      <c r="AF399" s="70">
        <f>'RESUMEN TOTAL'!AM499</f>
        <v>0</v>
      </c>
      <c r="AG399" s="70">
        <f>'RESUMEN TOTAL'!AN499</f>
        <v>0</v>
      </c>
      <c r="AH399" s="70">
        <f>'RESUMEN TOTAL'!AO499</f>
        <v>0</v>
      </c>
      <c r="AI399" s="70">
        <f>'RESUMEN TOTAL'!AP499</f>
        <v>0</v>
      </c>
      <c r="AJ399" s="70">
        <f>'RESUMEN TOTAL'!AQ499</f>
        <v>0</v>
      </c>
    </row>
    <row r="400" spans="1:36" x14ac:dyDescent="0.25">
      <c r="A400" t="str">
        <f>'RESUMEN TOTAL'!A500</f>
        <v>VILLA VATTEONE CENTRO</v>
      </c>
      <c r="B400" t="str">
        <f>'RESUMEN TOTAL'!B500</f>
        <v>VAT 10</v>
      </c>
      <c r="C400" t="str">
        <f>'RESUMEN TOTAL'!D500</f>
        <v>Belgrano y Quintana</v>
      </c>
      <c r="D400" s="30" t="str">
        <f>'RESUMEN TOTAL'!E500</f>
        <v>Domo</v>
      </c>
      <c r="E400" s="30" t="str">
        <f>'RESUMEN TOTAL'!F500</f>
        <v>Fibra Optica</v>
      </c>
      <c r="F400" s="70">
        <f>'RESUMEN TOTAL'!M500</f>
        <v>0</v>
      </c>
      <c r="G400" s="70">
        <f>'RESUMEN TOTAL'!N500</f>
        <v>0</v>
      </c>
      <c r="H400" s="70">
        <f>'RESUMEN TOTAL'!O500</f>
        <v>0</v>
      </c>
      <c r="I400" s="70">
        <f>'RESUMEN TOTAL'!P500</f>
        <v>0</v>
      </c>
      <c r="J400" s="70">
        <f>'RESUMEN TOTAL'!Q500</f>
        <v>0</v>
      </c>
      <c r="K400" s="70">
        <f>'RESUMEN TOTAL'!R500</f>
        <v>0</v>
      </c>
      <c r="L400" s="70">
        <f>'RESUMEN TOTAL'!S500</f>
        <v>0</v>
      </c>
      <c r="M400" s="70">
        <f>'RESUMEN TOTAL'!T500</f>
        <v>0</v>
      </c>
      <c r="N400" s="70">
        <f>'RESUMEN TOTAL'!U500</f>
        <v>0</v>
      </c>
      <c r="O400" s="70">
        <f>'RESUMEN TOTAL'!V500</f>
        <v>0</v>
      </c>
      <c r="P400" s="70">
        <f>'RESUMEN TOTAL'!W500</f>
        <v>0</v>
      </c>
      <c r="Q400" s="70">
        <f>'RESUMEN TOTAL'!X500</f>
        <v>0</v>
      </c>
      <c r="R400" s="70">
        <f>'RESUMEN TOTAL'!Y500</f>
        <v>0</v>
      </c>
      <c r="S400" s="70">
        <f>'RESUMEN TOTAL'!Z500</f>
        <v>0</v>
      </c>
      <c r="T400" s="70">
        <f>'RESUMEN TOTAL'!AA500</f>
        <v>0</v>
      </c>
      <c r="U400" s="70">
        <f>'RESUMEN TOTAL'!AB500</f>
        <v>0</v>
      </c>
      <c r="V400" s="70">
        <f>'RESUMEN TOTAL'!AC500</f>
        <v>0</v>
      </c>
      <c r="W400" s="70">
        <f>'RESUMEN TOTAL'!AD500</f>
        <v>0</v>
      </c>
      <c r="X400" s="70">
        <f>'RESUMEN TOTAL'!AE500</f>
        <v>0</v>
      </c>
      <c r="Y400" s="70">
        <f>'RESUMEN TOTAL'!AF500</f>
        <v>0</v>
      </c>
      <c r="Z400" s="70">
        <f>'RESUMEN TOTAL'!AG500</f>
        <v>0</v>
      </c>
      <c r="AA400" s="70">
        <f>'RESUMEN TOTAL'!AH500</f>
        <v>0</v>
      </c>
      <c r="AB400" s="70">
        <f>'RESUMEN TOTAL'!AI500</f>
        <v>0</v>
      </c>
      <c r="AC400" s="70">
        <f>'RESUMEN TOTAL'!AJ500</f>
        <v>0</v>
      </c>
      <c r="AD400" s="70">
        <f>'RESUMEN TOTAL'!AK500</f>
        <v>0</v>
      </c>
      <c r="AE400" s="70">
        <f>'RESUMEN TOTAL'!AL500</f>
        <v>0</v>
      </c>
      <c r="AF400" s="70">
        <f>'RESUMEN TOTAL'!AM500</f>
        <v>0</v>
      </c>
      <c r="AG400" s="70">
        <f>'RESUMEN TOTAL'!AN500</f>
        <v>0</v>
      </c>
      <c r="AH400" s="70">
        <f>'RESUMEN TOTAL'!AO500</f>
        <v>0</v>
      </c>
      <c r="AI400" s="70">
        <f>'RESUMEN TOTAL'!AP500</f>
        <v>0</v>
      </c>
      <c r="AJ400" s="70">
        <f>'RESUMEN TOTAL'!AQ500</f>
        <v>0</v>
      </c>
    </row>
    <row r="401" spans="1:36" x14ac:dyDescent="0.25">
      <c r="A401" t="str">
        <f>'RESUMEN TOTAL'!A501</f>
        <v>VILLA VATTEONE</v>
      </c>
      <c r="B401" t="str">
        <f>'RESUMEN TOTAL'!B501</f>
        <v>VAT11</v>
      </c>
      <c r="C401" t="str">
        <f>'RESUMEN TOTAL'!D501</f>
        <v>Mainini y Montevideo</v>
      </c>
      <c r="D401" s="30" t="str">
        <f>'RESUMEN TOTAL'!E501</f>
        <v>Domo</v>
      </c>
      <c r="E401" s="30" t="str">
        <f>'RESUMEN TOTAL'!F501</f>
        <v>GPON</v>
      </c>
      <c r="F401" s="70">
        <f>'RESUMEN TOTAL'!M501</f>
        <v>0</v>
      </c>
      <c r="G401" s="70">
        <f>'RESUMEN TOTAL'!N501</f>
        <v>0</v>
      </c>
      <c r="H401" s="70">
        <f>'RESUMEN TOTAL'!O501</f>
        <v>0</v>
      </c>
      <c r="I401" s="70">
        <f>'RESUMEN TOTAL'!P501</f>
        <v>0</v>
      </c>
      <c r="J401" s="70">
        <f>'RESUMEN TOTAL'!Q501</f>
        <v>0</v>
      </c>
      <c r="K401" s="70">
        <f>'RESUMEN TOTAL'!R501</f>
        <v>0</v>
      </c>
      <c r="L401" s="70">
        <f>'RESUMEN TOTAL'!S501</f>
        <v>0</v>
      </c>
      <c r="M401" s="70">
        <f>'RESUMEN TOTAL'!T501</f>
        <v>0</v>
      </c>
      <c r="N401" s="70">
        <f>'RESUMEN TOTAL'!U501</f>
        <v>0</v>
      </c>
      <c r="O401" s="70">
        <f>'RESUMEN TOTAL'!V501</f>
        <v>0</v>
      </c>
      <c r="P401" s="70">
        <f>'RESUMEN TOTAL'!W501</f>
        <v>0</v>
      </c>
      <c r="Q401" s="70">
        <f>'RESUMEN TOTAL'!X501</f>
        <v>0</v>
      </c>
      <c r="R401" s="70">
        <f>'RESUMEN TOTAL'!Y501</f>
        <v>0</v>
      </c>
      <c r="S401" s="70">
        <f>'RESUMEN TOTAL'!Z501</f>
        <v>0</v>
      </c>
      <c r="T401" s="70">
        <f>'RESUMEN TOTAL'!AA501</f>
        <v>0</v>
      </c>
      <c r="U401" s="70">
        <f>'RESUMEN TOTAL'!AB501</f>
        <v>0</v>
      </c>
      <c r="V401" s="70">
        <f>'RESUMEN TOTAL'!AC501</f>
        <v>0</v>
      </c>
      <c r="W401" s="70">
        <f>'RESUMEN TOTAL'!AD501</f>
        <v>0</v>
      </c>
      <c r="X401" s="70">
        <f>'RESUMEN TOTAL'!AE501</f>
        <v>0</v>
      </c>
      <c r="Y401" s="70">
        <f>'RESUMEN TOTAL'!AF501</f>
        <v>0</v>
      </c>
      <c r="Z401" s="70">
        <f>'RESUMEN TOTAL'!AG501</f>
        <v>0</v>
      </c>
      <c r="AA401" s="70">
        <f>'RESUMEN TOTAL'!AH501</f>
        <v>0</v>
      </c>
      <c r="AB401" s="70">
        <f>'RESUMEN TOTAL'!AI501</f>
        <v>0</v>
      </c>
      <c r="AC401" s="70">
        <f>'RESUMEN TOTAL'!AJ501</f>
        <v>0</v>
      </c>
      <c r="AD401" s="70">
        <f>'RESUMEN TOTAL'!AK501</f>
        <v>0</v>
      </c>
      <c r="AE401" s="70">
        <f>'RESUMEN TOTAL'!AL501</f>
        <v>0</v>
      </c>
      <c r="AF401" s="70">
        <f>'RESUMEN TOTAL'!AM501</f>
        <v>0</v>
      </c>
      <c r="AG401" s="70">
        <f>'RESUMEN TOTAL'!AN501</f>
        <v>0</v>
      </c>
      <c r="AH401" s="70">
        <f>'RESUMEN TOTAL'!AO501</f>
        <v>0</v>
      </c>
      <c r="AI401" s="70">
        <f>'RESUMEN TOTAL'!AP501</f>
        <v>0</v>
      </c>
      <c r="AJ401" s="70">
        <f>'RESUMEN TOTAL'!AQ501</f>
        <v>0</v>
      </c>
    </row>
    <row r="402" spans="1:36" x14ac:dyDescent="0.25">
      <c r="A402" t="str">
        <f>'RESUMEN TOTAL'!A502</f>
        <v>VILLA VATTEONE</v>
      </c>
      <c r="B402" t="str">
        <f>'RESUMEN TOTAL'!B502</f>
        <v>VAT12</v>
      </c>
      <c r="C402" t="str">
        <f>'RESUMEN TOTAL'!D502</f>
        <v>12 DE OCTUBRE Y CHACO</v>
      </c>
      <c r="D402" s="30" t="str">
        <f>'RESUMEN TOTAL'!E502</f>
        <v>DOMO</v>
      </c>
      <c r="E402" s="30" t="str">
        <f>'RESUMEN TOTAL'!F502</f>
        <v>PTO A FO</v>
      </c>
      <c r="F402" s="70" t="str">
        <f>'RESUMEN TOTAL'!M502</f>
        <v>APAGADO</v>
      </c>
      <c r="G402" s="70" t="str">
        <f>'RESUMEN TOTAL'!N502</f>
        <v>APAGADO</v>
      </c>
      <c r="H402" s="70" t="str">
        <f>'RESUMEN TOTAL'!O502</f>
        <v>APAGADO</v>
      </c>
      <c r="I402" s="70" t="str">
        <f>'RESUMEN TOTAL'!P502</f>
        <v>APAGADO</v>
      </c>
      <c r="J402" s="70" t="str">
        <f>'RESUMEN TOTAL'!Q502</f>
        <v>APAGADO</v>
      </c>
      <c r="K402" s="70" t="str">
        <f>'RESUMEN TOTAL'!R502</f>
        <v>APAGADO</v>
      </c>
      <c r="L402" s="70" t="str">
        <f>'RESUMEN TOTAL'!S502</f>
        <v>APAGADO</v>
      </c>
      <c r="M402" s="70" t="str">
        <f>'RESUMEN TOTAL'!T502</f>
        <v>APAGADO</v>
      </c>
      <c r="N402" s="70">
        <f>'RESUMEN TOTAL'!U502</f>
        <v>0</v>
      </c>
      <c r="O402" s="70">
        <f>'RESUMEN TOTAL'!V502</f>
        <v>0</v>
      </c>
      <c r="P402" s="70">
        <f>'RESUMEN TOTAL'!W502</f>
        <v>0</v>
      </c>
      <c r="Q402" s="70">
        <f>'RESUMEN TOTAL'!X502</f>
        <v>0</v>
      </c>
      <c r="R402" s="70">
        <f>'RESUMEN TOTAL'!Y502</f>
        <v>0</v>
      </c>
      <c r="S402" s="70">
        <f>'RESUMEN TOTAL'!Z502</f>
        <v>0</v>
      </c>
      <c r="T402" s="70">
        <f>'RESUMEN TOTAL'!AA502</f>
        <v>0</v>
      </c>
      <c r="U402" s="70">
        <f>'RESUMEN TOTAL'!AB502</f>
        <v>0</v>
      </c>
      <c r="V402" s="70">
        <f>'RESUMEN TOTAL'!AC502</f>
        <v>0</v>
      </c>
      <c r="W402" s="70">
        <f>'RESUMEN TOTAL'!AD502</f>
        <v>0</v>
      </c>
      <c r="X402" s="70">
        <f>'RESUMEN TOTAL'!AE502</f>
        <v>0</v>
      </c>
      <c r="Y402" s="70">
        <f>'RESUMEN TOTAL'!AF502</f>
        <v>0</v>
      </c>
      <c r="Z402" s="70">
        <f>'RESUMEN TOTAL'!AG502</f>
        <v>0</v>
      </c>
      <c r="AA402" s="70">
        <f>'RESUMEN TOTAL'!AH502</f>
        <v>0</v>
      </c>
      <c r="AB402" s="70">
        <f>'RESUMEN TOTAL'!AI502</f>
        <v>0</v>
      </c>
      <c r="AC402" s="70">
        <f>'RESUMEN TOTAL'!AJ502</f>
        <v>0</v>
      </c>
      <c r="AD402" s="70">
        <f>'RESUMEN TOTAL'!AK502</f>
        <v>0</v>
      </c>
      <c r="AE402" s="70">
        <f>'RESUMEN TOTAL'!AL502</f>
        <v>0</v>
      </c>
      <c r="AF402" s="70">
        <f>'RESUMEN TOTAL'!AM502</f>
        <v>0</v>
      </c>
      <c r="AG402" s="70">
        <f>'RESUMEN TOTAL'!AN502</f>
        <v>0</v>
      </c>
      <c r="AH402" s="70">
        <f>'RESUMEN TOTAL'!AO502</f>
        <v>0</v>
      </c>
      <c r="AI402" s="70">
        <f>'RESUMEN TOTAL'!AP502</f>
        <v>0</v>
      </c>
      <c r="AJ402" s="70">
        <f>'RESUMEN TOTAL'!AQ502</f>
        <v>0</v>
      </c>
    </row>
    <row r="403" spans="1:36" x14ac:dyDescent="0.25">
      <c r="A403" t="str">
        <f>'RESUMEN TOTAL'!A503</f>
        <v>VILLA VATTEONE CENTRO</v>
      </c>
      <c r="B403" t="str">
        <f>'RESUMEN TOTAL'!B503</f>
        <v>VAT13</v>
      </c>
      <c r="C403" t="str">
        <f>'RESUMEN TOTAL'!D503</f>
        <v>Av.12 de Octubre y Belgrano</v>
      </c>
      <c r="D403" s="30" t="str">
        <f>'RESUMEN TOTAL'!E503</f>
        <v>Domo</v>
      </c>
      <c r="E403" s="30" t="str">
        <f>'RESUMEN TOTAL'!F503</f>
        <v>Fibra Optica</v>
      </c>
      <c r="F403" s="70">
        <f>'RESUMEN TOTAL'!M503</f>
        <v>0</v>
      </c>
      <c r="G403" s="70">
        <f>'RESUMEN TOTAL'!N503</f>
        <v>0</v>
      </c>
      <c r="H403" s="70">
        <f>'RESUMEN TOTAL'!O503</f>
        <v>0</v>
      </c>
      <c r="I403" s="70">
        <f>'RESUMEN TOTAL'!P503</f>
        <v>0</v>
      </c>
      <c r="J403" s="70">
        <f>'RESUMEN TOTAL'!Q503</f>
        <v>0</v>
      </c>
      <c r="K403" s="70">
        <f>'RESUMEN TOTAL'!R503</f>
        <v>0</v>
      </c>
      <c r="L403" s="70">
        <f>'RESUMEN TOTAL'!S503</f>
        <v>0</v>
      </c>
      <c r="M403" s="70">
        <f>'RESUMEN TOTAL'!T503</f>
        <v>0</v>
      </c>
      <c r="N403" s="70">
        <f>'RESUMEN TOTAL'!U503</f>
        <v>0</v>
      </c>
      <c r="O403" s="70">
        <f>'RESUMEN TOTAL'!V503</f>
        <v>0</v>
      </c>
      <c r="P403" s="70">
        <f>'RESUMEN TOTAL'!W503</f>
        <v>0</v>
      </c>
      <c r="Q403" s="70">
        <f>'RESUMEN TOTAL'!X503</f>
        <v>0</v>
      </c>
      <c r="R403" s="70">
        <f>'RESUMEN TOTAL'!Y503</f>
        <v>0</v>
      </c>
      <c r="S403" s="70">
        <f>'RESUMEN TOTAL'!Z503</f>
        <v>0</v>
      </c>
      <c r="T403" s="70">
        <f>'RESUMEN TOTAL'!AA503</f>
        <v>0</v>
      </c>
      <c r="U403" s="70">
        <f>'RESUMEN TOTAL'!AB503</f>
        <v>0</v>
      </c>
      <c r="V403" s="70">
        <f>'RESUMEN TOTAL'!AC503</f>
        <v>0</v>
      </c>
      <c r="W403" s="70">
        <f>'RESUMEN TOTAL'!AD503</f>
        <v>0</v>
      </c>
      <c r="X403" s="70">
        <f>'RESUMEN TOTAL'!AE503</f>
        <v>0</v>
      </c>
      <c r="Y403" s="70">
        <f>'RESUMEN TOTAL'!AF503</f>
        <v>0</v>
      </c>
      <c r="Z403" s="70">
        <f>'RESUMEN TOTAL'!AG503</f>
        <v>0</v>
      </c>
      <c r="AA403" s="70">
        <f>'RESUMEN TOTAL'!AH503</f>
        <v>0</v>
      </c>
      <c r="AB403" s="70">
        <f>'RESUMEN TOTAL'!AI503</f>
        <v>0</v>
      </c>
      <c r="AC403" s="70">
        <f>'RESUMEN TOTAL'!AJ503</f>
        <v>0</v>
      </c>
      <c r="AD403" s="70">
        <f>'RESUMEN TOTAL'!AK503</f>
        <v>0</v>
      </c>
      <c r="AE403" s="70">
        <f>'RESUMEN TOTAL'!AL503</f>
        <v>0</v>
      </c>
      <c r="AF403" s="70">
        <f>'RESUMEN TOTAL'!AM503</f>
        <v>0</v>
      </c>
      <c r="AG403" s="70">
        <f>'RESUMEN TOTAL'!AN503</f>
        <v>0</v>
      </c>
      <c r="AH403" s="70">
        <f>'RESUMEN TOTAL'!AO503</f>
        <v>0</v>
      </c>
      <c r="AI403" s="70">
        <f>'RESUMEN TOTAL'!AP503</f>
        <v>0</v>
      </c>
      <c r="AJ403" s="70">
        <f>'RESUMEN TOTAL'!AQ503</f>
        <v>0</v>
      </c>
    </row>
    <row r="404" spans="1:36" x14ac:dyDescent="0.25">
      <c r="A404" t="str">
        <f>'RESUMEN TOTAL'!A504</f>
        <v>VILLA VATTEONE</v>
      </c>
      <c r="B404" t="str">
        <f>'RESUMEN TOTAL'!B504</f>
        <v>VAT 14</v>
      </c>
      <c r="C404" t="str">
        <f>'RESUMEN TOTAL'!D504</f>
        <v>FLORIDA Y MONTEVIDEO</v>
      </c>
      <c r="D404" s="30" t="str">
        <f>'RESUMEN TOTAL'!E504</f>
        <v>DOMO</v>
      </c>
      <c r="E404" s="30" t="str">
        <f>'RESUMEN TOTAL'!F504</f>
        <v>Fibra Optica</v>
      </c>
      <c r="F404" s="70">
        <f>'RESUMEN TOTAL'!M504</f>
        <v>0</v>
      </c>
      <c r="G404" s="70">
        <f>'RESUMEN TOTAL'!N504</f>
        <v>0</v>
      </c>
      <c r="H404" s="70">
        <f>'RESUMEN TOTAL'!O504</f>
        <v>0</v>
      </c>
      <c r="I404" s="70">
        <f>'RESUMEN TOTAL'!P504</f>
        <v>0</v>
      </c>
      <c r="J404" s="70">
        <f>'RESUMEN TOTAL'!Q504</f>
        <v>0</v>
      </c>
      <c r="K404" s="70">
        <f>'RESUMEN TOTAL'!R504</f>
        <v>0</v>
      </c>
      <c r="L404" s="70">
        <f>'RESUMEN TOTAL'!S504</f>
        <v>0</v>
      </c>
      <c r="M404" s="70">
        <f>'RESUMEN TOTAL'!T504</f>
        <v>0</v>
      </c>
      <c r="N404" s="70">
        <f>'RESUMEN TOTAL'!U504</f>
        <v>0</v>
      </c>
      <c r="O404" s="70">
        <f>'RESUMEN TOTAL'!V504</f>
        <v>0</v>
      </c>
      <c r="P404" s="70">
        <f>'RESUMEN TOTAL'!W504</f>
        <v>0</v>
      </c>
      <c r="Q404" s="70">
        <f>'RESUMEN TOTAL'!X504</f>
        <v>0</v>
      </c>
      <c r="R404" s="70">
        <f>'RESUMEN TOTAL'!Y504</f>
        <v>0</v>
      </c>
      <c r="S404" s="70">
        <f>'RESUMEN TOTAL'!Z504</f>
        <v>0</v>
      </c>
      <c r="T404" s="70">
        <f>'RESUMEN TOTAL'!AA504</f>
        <v>0</v>
      </c>
      <c r="U404" s="70">
        <f>'RESUMEN TOTAL'!AB504</f>
        <v>0</v>
      </c>
      <c r="V404" s="70">
        <f>'RESUMEN TOTAL'!AC504</f>
        <v>0</v>
      </c>
      <c r="W404" s="70">
        <f>'RESUMEN TOTAL'!AD504</f>
        <v>0</v>
      </c>
      <c r="X404" s="70">
        <f>'RESUMEN TOTAL'!AE504</f>
        <v>0</v>
      </c>
      <c r="Y404" s="70">
        <f>'RESUMEN TOTAL'!AF504</f>
        <v>0</v>
      </c>
      <c r="Z404" s="70">
        <f>'RESUMEN TOTAL'!AG504</f>
        <v>0</v>
      </c>
      <c r="AA404" s="70">
        <f>'RESUMEN TOTAL'!AH504</f>
        <v>0</v>
      </c>
      <c r="AB404" s="70">
        <f>'RESUMEN TOTAL'!AI504</f>
        <v>0</v>
      </c>
      <c r="AC404" s="70">
        <f>'RESUMEN TOTAL'!AJ504</f>
        <v>0</v>
      </c>
      <c r="AD404" s="70">
        <f>'RESUMEN TOTAL'!AK504</f>
        <v>0</v>
      </c>
      <c r="AE404" s="70">
        <f>'RESUMEN TOTAL'!AL504</f>
        <v>0</v>
      </c>
      <c r="AF404" s="70">
        <f>'RESUMEN TOTAL'!AM504</f>
        <v>0</v>
      </c>
      <c r="AG404" s="70">
        <f>'RESUMEN TOTAL'!AN504</f>
        <v>0</v>
      </c>
      <c r="AH404" s="70">
        <f>'RESUMEN TOTAL'!AO504</f>
        <v>0</v>
      </c>
      <c r="AI404" s="70">
        <f>'RESUMEN TOTAL'!AP504</f>
        <v>0</v>
      </c>
      <c r="AJ404" s="70">
        <f>'RESUMEN TOTAL'!AQ504</f>
        <v>0</v>
      </c>
    </row>
    <row r="405" spans="1:36" x14ac:dyDescent="0.25">
      <c r="A405" t="str">
        <f>'RESUMEN TOTAL'!A505</f>
        <v>VILLA VATTEONE</v>
      </c>
      <c r="B405" t="str">
        <f>'RESUMEN TOTAL'!B505</f>
        <v>VAT 15</v>
      </c>
      <c r="C405" t="str">
        <f>'RESUMEN TOTAL'!D505</f>
        <v>CORRIENTES Y VICENTE LOPEZ</v>
      </c>
      <c r="D405" s="30" t="str">
        <f>'RESUMEN TOTAL'!E505</f>
        <v>DOMO</v>
      </c>
      <c r="E405" s="30" t="str">
        <f>'RESUMEN TOTAL'!F505</f>
        <v>PTO A FO</v>
      </c>
      <c r="F405" s="70">
        <f>'RESUMEN TOTAL'!M505</f>
        <v>0</v>
      </c>
      <c r="G405" s="70">
        <f>'RESUMEN TOTAL'!N505</f>
        <v>0</v>
      </c>
      <c r="H405" s="70">
        <f>'RESUMEN TOTAL'!O505</f>
        <v>0</v>
      </c>
      <c r="I405" s="70">
        <f>'RESUMEN TOTAL'!P505</f>
        <v>0</v>
      </c>
      <c r="J405" s="70">
        <f>'RESUMEN TOTAL'!Q505</f>
        <v>0</v>
      </c>
      <c r="K405" s="70">
        <f>'RESUMEN TOTAL'!R505</f>
        <v>0</v>
      </c>
      <c r="L405" s="70">
        <f>'RESUMEN TOTAL'!S505</f>
        <v>0</v>
      </c>
      <c r="M405" s="70">
        <f>'RESUMEN TOTAL'!T505</f>
        <v>0</v>
      </c>
      <c r="N405" s="70">
        <f>'RESUMEN TOTAL'!U505</f>
        <v>0</v>
      </c>
      <c r="O405" s="70">
        <f>'RESUMEN TOTAL'!V505</f>
        <v>0</v>
      </c>
      <c r="P405" s="70">
        <f>'RESUMEN TOTAL'!W505</f>
        <v>0</v>
      </c>
      <c r="Q405" s="70">
        <f>'RESUMEN TOTAL'!X505</f>
        <v>0</v>
      </c>
      <c r="R405" s="70">
        <f>'RESUMEN TOTAL'!Y505</f>
        <v>0</v>
      </c>
      <c r="S405" s="70">
        <f>'RESUMEN TOTAL'!Z505</f>
        <v>0</v>
      </c>
      <c r="T405" s="70">
        <f>'RESUMEN TOTAL'!AA505</f>
        <v>0</v>
      </c>
      <c r="U405" s="70">
        <f>'RESUMEN TOTAL'!AB505</f>
        <v>0</v>
      </c>
      <c r="V405" s="70">
        <f>'RESUMEN TOTAL'!AC505</f>
        <v>0</v>
      </c>
      <c r="W405" s="70">
        <f>'RESUMEN TOTAL'!AD505</f>
        <v>0</v>
      </c>
      <c r="X405" s="70">
        <f>'RESUMEN TOTAL'!AE505</f>
        <v>0</v>
      </c>
      <c r="Y405" s="70">
        <f>'RESUMEN TOTAL'!AF505</f>
        <v>0</v>
      </c>
      <c r="Z405" s="70">
        <f>'RESUMEN TOTAL'!AG505</f>
        <v>0</v>
      </c>
      <c r="AA405" s="70">
        <f>'RESUMEN TOTAL'!AH505</f>
        <v>0</v>
      </c>
      <c r="AB405" s="70">
        <f>'RESUMEN TOTAL'!AI505</f>
        <v>0</v>
      </c>
      <c r="AC405" s="70">
        <f>'RESUMEN TOTAL'!AJ505</f>
        <v>0</v>
      </c>
      <c r="AD405" s="70">
        <f>'RESUMEN TOTAL'!AK505</f>
        <v>0</v>
      </c>
      <c r="AE405" s="70">
        <f>'RESUMEN TOTAL'!AL505</f>
        <v>0</v>
      </c>
      <c r="AF405" s="70">
        <f>'RESUMEN TOTAL'!AM505</f>
        <v>0</v>
      </c>
      <c r="AG405" s="70">
        <f>'RESUMEN TOTAL'!AN505</f>
        <v>0</v>
      </c>
      <c r="AH405" s="70">
        <f>'RESUMEN TOTAL'!AO505</f>
        <v>0</v>
      </c>
      <c r="AI405" s="70">
        <f>'RESUMEN TOTAL'!AP505</f>
        <v>0</v>
      </c>
      <c r="AJ405" s="70">
        <f>'RESUMEN TOTAL'!AQ505</f>
        <v>0</v>
      </c>
    </row>
    <row r="406" spans="1:36" x14ac:dyDescent="0.25">
      <c r="A406" t="str">
        <f>'RESUMEN TOTAL'!A506</f>
        <v>VILLA VATTEONE</v>
      </c>
      <c r="B406" t="str">
        <f>'RESUMEN TOTAL'!B506</f>
        <v>VAT 16</v>
      </c>
      <c r="C406" t="str">
        <f>'RESUMEN TOTAL'!D506</f>
        <v>MONTEVIDEO Y CHACO</v>
      </c>
      <c r="D406" s="30" t="str">
        <f>'RESUMEN TOTAL'!E506</f>
        <v>DOMO</v>
      </c>
      <c r="E406" s="30" t="str">
        <f>'RESUMEN TOTAL'!F506</f>
        <v>PTO A FO</v>
      </c>
      <c r="F406" s="70">
        <f>'RESUMEN TOTAL'!M506</f>
        <v>0</v>
      </c>
      <c r="G406" s="70">
        <f>'RESUMEN TOTAL'!N506</f>
        <v>0</v>
      </c>
      <c r="H406" s="70">
        <f>'RESUMEN TOTAL'!O506</f>
        <v>0</v>
      </c>
      <c r="I406" s="70">
        <f>'RESUMEN TOTAL'!P506</f>
        <v>0</v>
      </c>
      <c r="J406" s="70">
        <f>'RESUMEN TOTAL'!Q506</f>
        <v>0</v>
      </c>
      <c r="K406" s="70">
        <f>'RESUMEN TOTAL'!R506</f>
        <v>0</v>
      </c>
      <c r="L406" s="70">
        <f>'RESUMEN TOTAL'!S506</f>
        <v>0</v>
      </c>
      <c r="M406" s="70">
        <f>'RESUMEN TOTAL'!T506</f>
        <v>0</v>
      </c>
      <c r="N406" s="70">
        <f>'RESUMEN TOTAL'!U506</f>
        <v>0</v>
      </c>
      <c r="O406" s="70">
        <f>'RESUMEN TOTAL'!V506</f>
        <v>0</v>
      </c>
      <c r="P406" s="70">
        <f>'RESUMEN TOTAL'!W506</f>
        <v>0</v>
      </c>
      <c r="Q406" s="70">
        <f>'RESUMEN TOTAL'!X506</f>
        <v>0</v>
      </c>
      <c r="R406" s="70">
        <f>'RESUMEN TOTAL'!Y506</f>
        <v>0</v>
      </c>
      <c r="S406" s="70">
        <f>'RESUMEN TOTAL'!Z506</f>
        <v>0</v>
      </c>
      <c r="T406" s="70">
        <f>'RESUMEN TOTAL'!AA506</f>
        <v>0</v>
      </c>
      <c r="U406" s="70">
        <f>'RESUMEN TOTAL'!AB506</f>
        <v>0</v>
      </c>
      <c r="V406" s="70">
        <f>'RESUMEN TOTAL'!AC506</f>
        <v>0</v>
      </c>
      <c r="W406" s="70">
        <f>'RESUMEN TOTAL'!AD506</f>
        <v>0</v>
      </c>
      <c r="X406" s="70">
        <f>'RESUMEN TOTAL'!AE506</f>
        <v>0</v>
      </c>
      <c r="Y406" s="70">
        <f>'RESUMEN TOTAL'!AF506</f>
        <v>0</v>
      </c>
      <c r="Z406" s="70">
        <f>'RESUMEN TOTAL'!AG506</f>
        <v>0</v>
      </c>
      <c r="AA406" s="70">
        <f>'RESUMEN TOTAL'!AH506</f>
        <v>0</v>
      </c>
      <c r="AB406" s="70">
        <f>'RESUMEN TOTAL'!AI506</f>
        <v>0</v>
      </c>
      <c r="AC406" s="70">
        <f>'RESUMEN TOTAL'!AJ506</f>
        <v>0</v>
      </c>
      <c r="AD406" s="70">
        <f>'RESUMEN TOTAL'!AK506</f>
        <v>0</v>
      </c>
      <c r="AE406" s="70">
        <f>'RESUMEN TOTAL'!AL506</f>
        <v>0</v>
      </c>
      <c r="AF406" s="70">
        <f>'RESUMEN TOTAL'!AM506</f>
        <v>0</v>
      </c>
      <c r="AG406" s="70">
        <f>'RESUMEN TOTAL'!AN506</f>
        <v>0</v>
      </c>
      <c r="AH406" s="70">
        <f>'RESUMEN TOTAL'!AO506</f>
        <v>0</v>
      </c>
      <c r="AI406" s="70">
        <f>'RESUMEN TOTAL'!AP506</f>
        <v>0</v>
      </c>
      <c r="AJ406" s="70">
        <f>'RESUMEN TOTAL'!AQ506</f>
        <v>0</v>
      </c>
    </row>
    <row r="407" spans="1:36" x14ac:dyDescent="0.25">
      <c r="A407" t="str">
        <f>'RESUMEN TOTAL'!A507</f>
        <v>VILLA VATTEONE</v>
      </c>
      <c r="B407" t="str">
        <f>'RESUMEN TOTAL'!B507</f>
        <v>VAT 17</v>
      </c>
      <c r="C407" t="str">
        <f>'RESUMEN TOTAL'!D507</f>
        <v>CHAÑAR Y URUGUAY</v>
      </c>
      <c r="D407" s="30" t="str">
        <f>'RESUMEN TOTAL'!E507</f>
        <v>DOMO</v>
      </c>
      <c r="E407" s="30" t="str">
        <f>'RESUMEN TOTAL'!F507</f>
        <v>PTO A FO</v>
      </c>
      <c r="F407" s="70" t="str">
        <f>'RESUMEN TOTAL'!M507</f>
        <v>APAGADO</v>
      </c>
      <c r="G407" s="70" t="str">
        <f>'RESUMEN TOTAL'!N507</f>
        <v>APAGADO</v>
      </c>
      <c r="H407" s="70" t="str">
        <f>'RESUMEN TOTAL'!O507</f>
        <v>APAGADO</v>
      </c>
      <c r="I407" s="70" t="str">
        <f>'RESUMEN TOTAL'!P507</f>
        <v>APAGADO</v>
      </c>
      <c r="J407" s="70" t="str">
        <f>'RESUMEN TOTAL'!Q507</f>
        <v>APAGADO</v>
      </c>
      <c r="K407" s="70" t="str">
        <f>'RESUMEN TOTAL'!R507</f>
        <v>APAGADO</v>
      </c>
      <c r="L407" s="70" t="str">
        <f>'RESUMEN TOTAL'!S507</f>
        <v>APAGADO</v>
      </c>
      <c r="M407" s="70" t="str">
        <f>'RESUMEN TOTAL'!T507</f>
        <v>APAGADO</v>
      </c>
      <c r="N407" s="70">
        <f>'RESUMEN TOTAL'!U507</f>
        <v>0</v>
      </c>
      <c r="O407" s="70">
        <f>'RESUMEN TOTAL'!V507</f>
        <v>0</v>
      </c>
      <c r="P407" s="70">
        <f>'RESUMEN TOTAL'!W507</f>
        <v>0</v>
      </c>
      <c r="Q407" s="70">
        <f>'RESUMEN TOTAL'!X507</f>
        <v>0</v>
      </c>
      <c r="R407" s="70">
        <f>'RESUMEN TOTAL'!Y507</f>
        <v>0</v>
      </c>
      <c r="S407" s="70">
        <f>'RESUMEN TOTAL'!Z507</f>
        <v>0</v>
      </c>
      <c r="T407" s="70">
        <f>'RESUMEN TOTAL'!AA507</f>
        <v>0</v>
      </c>
      <c r="U407" s="70">
        <f>'RESUMEN TOTAL'!AB507</f>
        <v>0</v>
      </c>
      <c r="V407" s="70">
        <f>'RESUMEN TOTAL'!AC507</f>
        <v>0</v>
      </c>
      <c r="W407" s="70">
        <f>'RESUMEN TOTAL'!AD507</f>
        <v>0</v>
      </c>
      <c r="X407" s="70">
        <f>'RESUMEN TOTAL'!AE507</f>
        <v>0</v>
      </c>
      <c r="Y407" s="70">
        <f>'RESUMEN TOTAL'!AF507</f>
        <v>0</v>
      </c>
      <c r="Z407" s="70">
        <f>'RESUMEN TOTAL'!AG507</f>
        <v>0</v>
      </c>
      <c r="AA407" s="70">
        <f>'RESUMEN TOTAL'!AH507</f>
        <v>0</v>
      </c>
      <c r="AB407" s="70">
        <f>'RESUMEN TOTAL'!AI507</f>
        <v>0</v>
      </c>
      <c r="AC407" s="70">
        <f>'RESUMEN TOTAL'!AJ507</f>
        <v>0</v>
      </c>
      <c r="AD407" s="70">
        <f>'RESUMEN TOTAL'!AK507</f>
        <v>0</v>
      </c>
      <c r="AE407" s="70">
        <f>'RESUMEN TOTAL'!AL507</f>
        <v>0</v>
      </c>
      <c r="AF407" s="70">
        <f>'RESUMEN TOTAL'!AM507</f>
        <v>0</v>
      </c>
      <c r="AG407" s="70">
        <f>'RESUMEN TOTAL'!AN507</f>
        <v>0</v>
      </c>
      <c r="AH407" s="70">
        <f>'RESUMEN TOTAL'!AO507</f>
        <v>0</v>
      </c>
      <c r="AI407" s="70">
        <f>'RESUMEN TOTAL'!AP507</f>
        <v>0</v>
      </c>
      <c r="AJ407" s="70">
        <f>'RESUMEN TOTAL'!AQ507</f>
        <v>0</v>
      </c>
    </row>
    <row r="408" spans="1:36" x14ac:dyDescent="0.25">
      <c r="A408" t="str">
        <f>'RESUMEN TOTAL'!A508</f>
        <v>VILLA VATTEONE CENTRO</v>
      </c>
      <c r="B408" t="str">
        <f>'RESUMEN TOTAL'!B508</f>
        <v>VAT18</v>
      </c>
      <c r="C408" t="str">
        <f>'RESUMEN TOTAL'!D508</f>
        <v>LAVALLE Y FONROUGE</v>
      </c>
      <c r="D408" s="30" t="str">
        <f>'RESUMEN TOTAL'!E508</f>
        <v>DOMO</v>
      </c>
      <c r="E408" s="30" t="str">
        <f>'RESUMEN TOTAL'!F508</f>
        <v>PTO A FO</v>
      </c>
      <c r="F408" s="70">
        <f>'RESUMEN TOTAL'!M508</f>
        <v>0</v>
      </c>
      <c r="G408" s="70">
        <f>'RESUMEN TOTAL'!N508</f>
        <v>0</v>
      </c>
      <c r="H408" s="70">
        <f>'RESUMEN TOTAL'!O508</f>
        <v>0</v>
      </c>
      <c r="I408" s="70">
        <f>'RESUMEN TOTAL'!P508</f>
        <v>0</v>
      </c>
      <c r="J408" s="70">
        <f>'RESUMEN TOTAL'!Q508</f>
        <v>0</v>
      </c>
      <c r="K408" s="70">
        <f>'RESUMEN TOTAL'!R508</f>
        <v>0</v>
      </c>
      <c r="L408" s="70">
        <f>'RESUMEN TOTAL'!S508</f>
        <v>0</v>
      </c>
      <c r="M408" s="70">
        <f>'RESUMEN TOTAL'!T508</f>
        <v>0</v>
      </c>
      <c r="N408" s="70">
        <f>'RESUMEN TOTAL'!U508</f>
        <v>0</v>
      </c>
      <c r="O408" s="70">
        <f>'RESUMEN TOTAL'!V508</f>
        <v>0</v>
      </c>
      <c r="P408" s="70">
        <f>'RESUMEN TOTAL'!W508</f>
        <v>0</v>
      </c>
      <c r="Q408" s="70">
        <f>'RESUMEN TOTAL'!X508</f>
        <v>0</v>
      </c>
      <c r="R408" s="70">
        <f>'RESUMEN TOTAL'!Y508</f>
        <v>0</v>
      </c>
      <c r="S408" s="70">
        <f>'RESUMEN TOTAL'!Z508</f>
        <v>0</v>
      </c>
      <c r="T408" s="70">
        <f>'RESUMEN TOTAL'!AA508</f>
        <v>0</v>
      </c>
      <c r="U408" s="70">
        <f>'RESUMEN TOTAL'!AB508</f>
        <v>0</v>
      </c>
      <c r="V408" s="70">
        <f>'RESUMEN TOTAL'!AC508</f>
        <v>0</v>
      </c>
      <c r="W408" s="70">
        <f>'RESUMEN TOTAL'!AD508</f>
        <v>0</v>
      </c>
      <c r="X408" s="70">
        <f>'RESUMEN TOTAL'!AE508</f>
        <v>0</v>
      </c>
      <c r="Y408" s="70">
        <f>'RESUMEN TOTAL'!AF508</f>
        <v>0</v>
      </c>
      <c r="Z408" s="70">
        <f>'RESUMEN TOTAL'!AG508</f>
        <v>0</v>
      </c>
      <c r="AA408" s="70">
        <f>'RESUMEN TOTAL'!AH508</f>
        <v>0</v>
      </c>
      <c r="AB408" s="70">
        <f>'RESUMEN TOTAL'!AI508</f>
        <v>0</v>
      </c>
      <c r="AC408" s="70">
        <f>'RESUMEN TOTAL'!AJ508</f>
        <v>0</v>
      </c>
      <c r="AD408" s="70">
        <f>'RESUMEN TOTAL'!AK508</f>
        <v>0</v>
      </c>
      <c r="AE408" s="70">
        <f>'RESUMEN TOTAL'!AL508</f>
        <v>0</v>
      </c>
      <c r="AF408" s="70">
        <f>'RESUMEN TOTAL'!AM508</f>
        <v>0</v>
      </c>
      <c r="AG408" s="70">
        <f>'RESUMEN TOTAL'!AN508</f>
        <v>0</v>
      </c>
      <c r="AH408" s="70">
        <f>'RESUMEN TOTAL'!AO508</f>
        <v>0</v>
      </c>
      <c r="AI408" s="70">
        <f>'RESUMEN TOTAL'!AP508</f>
        <v>0</v>
      </c>
      <c r="AJ408" s="70">
        <f>'RESUMEN TOTAL'!AQ508</f>
        <v>0</v>
      </c>
    </row>
    <row r="409" spans="1:36" x14ac:dyDescent="0.25">
      <c r="A409" t="str">
        <f>'RESUMEN TOTAL'!A509</f>
        <v>VILLA VATTEONE CENTRO</v>
      </c>
      <c r="B409" t="str">
        <f>'RESUMEN TOTAL'!B509</f>
        <v>VAT19</v>
      </c>
      <c r="C409" t="str">
        <f>'RESUMEN TOTAL'!D509</f>
        <v>QUINTANA Y FONROUGE ( TUCUMAN )</v>
      </c>
      <c r="D409" s="30" t="str">
        <f>'RESUMEN TOTAL'!E509</f>
        <v>DOMO</v>
      </c>
      <c r="E409" s="30" t="str">
        <f>'RESUMEN TOTAL'!F509</f>
        <v>Radio</v>
      </c>
      <c r="F409" s="70">
        <f>'RESUMEN TOTAL'!M509</f>
        <v>0</v>
      </c>
      <c r="G409" s="70">
        <f>'RESUMEN TOTAL'!N509</f>
        <v>0</v>
      </c>
      <c r="H409" s="70">
        <f>'RESUMEN TOTAL'!O509</f>
        <v>0</v>
      </c>
      <c r="I409" s="70">
        <f>'RESUMEN TOTAL'!P509</f>
        <v>0</v>
      </c>
      <c r="J409" s="70">
        <f>'RESUMEN TOTAL'!Q509</f>
        <v>0</v>
      </c>
      <c r="K409" s="70">
        <f>'RESUMEN TOTAL'!R509</f>
        <v>0</v>
      </c>
      <c r="L409" s="70">
        <f>'RESUMEN TOTAL'!S509</f>
        <v>0</v>
      </c>
      <c r="M409" s="70">
        <f>'RESUMEN TOTAL'!T509</f>
        <v>0</v>
      </c>
      <c r="N409" s="70">
        <f>'RESUMEN TOTAL'!U509</f>
        <v>0</v>
      </c>
      <c r="O409" s="70">
        <f>'RESUMEN TOTAL'!V509</f>
        <v>0</v>
      </c>
      <c r="P409" s="70">
        <f>'RESUMEN TOTAL'!W509</f>
        <v>0</v>
      </c>
      <c r="Q409" s="70">
        <f>'RESUMEN TOTAL'!X509</f>
        <v>0</v>
      </c>
      <c r="R409" s="70">
        <f>'RESUMEN TOTAL'!Y509</f>
        <v>0</v>
      </c>
      <c r="S409" s="70">
        <f>'RESUMEN TOTAL'!Z509</f>
        <v>0</v>
      </c>
      <c r="T409" s="70">
        <f>'RESUMEN TOTAL'!AA509</f>
        <v>0</v>
      </c>
      <c r="U409" s="70">
        <f>'RESUMEN TOTAL'!AB509</f>
        <v>0</v>
      </c>
      <c r="V409" s="70">
        <f>'RESUMEN TOTAL'!AC509</f>
        <v>0</v>
      </c>
      <c r="W409" s="70">
        <f>'RESUMEN TOTAL'!AD509</f>
        <v>0</v>
      </c>
      <c r="X409" s="70">
        <f>'RESUMEN TOTAL'!AE509</f>
        <v>0</v>
      </c>
      <c r="Y409" s="70">
        <f>'RESUMEN TOTAL'!AF509</f>
        <v>0</v>
      </c>
      <c r="Z409" s="70">
        <f>'RESUMEN TOTAL'!AG509</f>
        <v>0</v>
      </c>
      <c r="AA409" s="70">
        <f>'RESUMEN TOTAL'!AH509</f>
        <v>0</v>
      </c>
      <c r="AB409" s="70">
        <f>'RESUMEN TOTAL'!AI509</f>
        <v>0</v>
      </c>
      <c r="AC409" s="70">
        <f>'RESUMEN TOTAL'!AJ509</f>
        <v>0</v>
      </c>
      <c r="AD409" s="70">
        <f>'RESUMEN TOTAL'!AK509</f>
        <v>0</v>
      </c>
      <c r="AE409" s="70">
        <f>'RESUMEN TOTAL'!AL509</f>
        <v>0</v>
      </c>
      <c r="AF409" s="70">
        <f>'RESUMEN TOTAL'!AM509</f>
        <v>0</v>
      </c>
      <c r="AG409" s="70">
        <f>'RESUMEN TOTAL'!AN509</f>
        <v>0</v>
      </c>
      <c r="AH409" s="70">
        <f>'RESUMEN TOTAL'!AO509</f>
        <v>0</v>
      </c>
      <c r="AI409" s="70">
        <f>'RESUMEN TOTAL'!AP509</f>
        <v>0</v>
      </c>
      <c r="AJ409" s="70">
        <f>'RESUMEN TOTAL'!AQ509</f>
        <v>0</v>
      </c>
    </row>
    <row r="410" spans="1:36" x14ac:dyDescent="0.25">
      <c r="A410" t="str">
        <f>'RESUMEN TOTAL'!A510</f>
        <v>VILLA VATTEONE</v>
      </c>
      <c r="B410" t="str">
        <f>'RESUMEN TOTAL'!B510</f>
        <v>VAT 20</v>
      </c>
      <c r="C410" t="str">
        <f>'RESUMEN TOTAL'!D510</f>
        <v>URUGUAY Y PILCOMAYO</v>
      </c>
      <c r="D410" s="30" t="str">
        <f>'RESUMEN TOTAL'!E510</f>
        <v>FIJA</v>
      </c>
      <c r="E410" s="30" t="str">
        <f>'RESUMEN TOTAL'!F510</f>
        <v>GPON</v>
      </c>
      <c r="F410" s="70">
        <f>'RESUMEN TOTAL'!M510</f>
        <v>0</v>
      </c>
      <c r="G410" s="70">
        <f>'RESUMEN TOTAL'!N510</f>
        <v>0</v>
      </c>
      <c r="H410" s="70">
        <f>'RESUMEN TOTAL'!O510</f>
        <v>0</v>
      </c>
      <c r="I410" s="70">
        <f>'RESUMEN TOTAL'!P510</f>
        <v>0</v>
      </c>
      <c r="J410" s="70">
        <f>'RESUMEN TOTAL'!Q510</f>
        <v>0</v>
      </c>
      <c r="K410" s="70">
        <f>'RESUMEN TOTAL'!R510</f>
        <v>0</v>
      </c>
      <c r="L410" s="70">
        <f>'RESUMEN TOTAL'!S510</f>
        <v>0</v>
      </c>
      <c r="M410" s="70">
        <f>'RESUMEN TOTAL'!T510</f>
        <v>0</v>
      </c>
      <c r="N410" s="70">
        <f>'RESUMEN TOTAL'!U510</f>
        <v>0</v>
      </c>
      <c r="O410" s="70">
        <f>'RESUMEN TOTAL'!V510</f>
        <v>0</v>
      </c>
      <c r="P410" s="70">
        <f>'RESUMEN TOTAL'!W510</f>
        <v>0</v>
      </c>
      <c r="Q410" s="70">
        <f>'RESUMEN TOTAL'!X510</f>
        <v>0</v>
      </c>
      <c r="R410" s="70">
        <f>'RESUMEN TOTAL'!Y510</f>
        <v>0</v>
      </c>
      <c r="S410" s="70">
        <f>'RESUMEN TOTAL'!Z510</f>
        <v>0</v>
      </c>
      <c r="T410" s="70">
        <f>'RESUMEN TOTAL'!AA510</f>
        <v>0</v>
      </c>
      <c r="U410" s="70">
        <f>'RESUMEN TOTAL'!AB510</f>
        <v>0</v>
      </c>
      <c r="V410" s="70">
        <f>'RESUMEN TOTAL'!AC510</f>
        <v>0</v>
      </c>
      <c r="W410" s="70">
        <f>'RESUMEN TOTAL'!AD510</f>
        <v>0</v>
      </c>
      <c r="X410" s="70">
        <f>'RESUMEN TOTAL'!AE510</f>
        <v>0</v>
      </c>
      <c r="Y410" s="70">
        <f>'RESUMEN TOTAL'!AF510</f>
        <v>0</v>
      </c>
      <c r="Z410" s="70">
        <f>'RESUMEN TOTAL'!AG510</f>
        <v>0</v>
      </c>
      <c r="AA410" s="70">
        <f>'RESUMEN TOTAL'!AH510</f>
        <v>0</v>
      </c>
      <c r="AB410" s="70">
        <f>'RESUMEN TOTAL'!AI510</f>
        <v>0</v>
      </c>
      <c r="AC410" s="70">
        <f>'RESUMEN TOTAL'!AJ510</f>
        <v>0</v>
      </c>
      <c r="AD410" s="70">
        <f>'RESUMEN TOTAL'!AK510</f>
        <v>0</v>
      </c>
      <c r="AE410" s="70">
        <f>'RESUMEN TOTAL'!AL510</f>
        <v>0</v>
      </c>
      <c r="AF410" s="70">
        <f>'RESUMEN TOTAL'!AM510</f>
        <v>0</v>
      </c>
      <c r="AG410" s="70">
        <f>'RESUMEN TOTAL'!AN510</f>
        <v>0</v>
      </c>
      <c r="AH410" s="70">
        <f>'RESUMEN TOTAL'!AO510</f>
        <v>0</v>
      </c>
      <c r="AI410" s="70">
        <f>'RESUMEN TOTAL'!AP510</f>
        <v>0</v>
      </c>
      <c r="AJ410" s="70">
        <f>'RESUMEN TOTAL'!AQ510</f>
        <v>0</v>
      </c>
    </row>
    <row r="411" spans="1:36" x14ac:dyDescent="0.25">
      <c r="A411" t="str">
        <f>'RESUMEN TOTAL'!A511</f>
        <v>VILLA VATTEONE CENTRO</v>
      </c>
      <c r="B411" t="str">
        <f>'RESUMEN TOTAL'!B511</f>
        <v>VAT 21 (fija 1)</v>
      </c>
      <c r="C411" t="str">
        <f>'RESUMEN TOTAL'!D511</f>
        <v>QUINTANA E/ BELGRANO Y FONROUGE</v>
      </c>
      <c r="D411" s="30" t="str">
        <f>'RESUMEN TOTAL'!E511</f>
        <v>Fija</v>
      </c>
      <c r="E411" s="30" t="str">
        <f>'RESUMEN TOTAL'!F511</f>
        <v>Fibra Optica</v>
      </c>
      <c r="F411" s="70">
        <f>'RESUMEN TOTAL'!M511</f>
        <v>0</v>
      </c>
      <c r="G411" s="70">
        <f>'RESUMEN TOTAL'!N511</f>
        <v>0</v>
      </c>
      <c r="H411" s="70">
        <f>'RESUMEN TOTAL'!O511</f>
        <v>0</v>
      </c>
      <c r="I411" s="70">
        <f>'RESUMEN TOTAL'!P511</f>
        <v>0</v>
      </c>
      <c r="J411" s="70">
        <f>'RESUMEN TOTAL'!Q511</f>
        <v>0</v>
      </c>
      <c r="K411" s="70">
        <f>'RESUMEN TOTAL'!R511</f>
        <v>0</v>
      </c>
      <c r="L411" s="70">
        <f>'RESUMEN TOTAL'!S511</f>
        <v>0</v>
      </c>
      <c r="M411" s="70">
        <f>'RESUMEN TOTAL'!T511</f>
        <v>0</v>
      </c>
      <c r="N411" s="70">
        <f>'RESUMEN TOTAL'!U511</f>
        <v>0</v>
      </c>
      <c r="O411" s="70">
        <f>'RESUMEN TOTAL'!V511</f>
        <v>0</v>
      </c>
      <c r="P411" s="70">
        <f>'RESUMEN TOTAL'!W511</f>
        <v>0</v>
      </c>
      <c r="Q411" s="70">
        <f>'RESUMEN TOTAL'!X511</f>
        <v>0</v>
      </c>
      <c r="R411" s="70">
        <f>'RESUMEN TOTAL'!Y511</f>
        <v>0</v>
      </c>
      <c r="S411" s="70">
        <f>'RESUMEN TOTAL'!Z511</f>
        <v>0</v>
      </c>
      <c r="T411" s="70">
        <f>'RESUMEN TOTAL'!AA511</f>
        <v>0</v>
      </c>
      <c r="U411" s="70">
        <f>'RESUMEN TOTAL'!AB511</f>
        <v>0</v>
      </c>
      <c r="V411" s="70">
        <f>'RESUMEN TOTAL'!AC511</f>
        <v>0</v>
      </c>
      <c r="W411" s="70">
        <f>'RESUMEN TOTAL'!AD511</f>
        <v>0</v>
      </c>
      <c r="X411" s="70">
        <f>'RESUMEN TOTAL'!AE511</f>
        <v>0</v>
      </c>
      <c r="Y411" s="70">
        <f>'RESUMEN TOTAL'!AF511</f>
        <v>0</v>
      </c>
      <c r="Z411" s="70">
        <f>'RESUMEN TOTAL'!AG511</f>
        <v>0</v>
      </c>
      <c r="AA411" s="70">
        <f>'RESUMEN TOTAL'!AH511</f>
        <v>0</v>
      </c>
      <c r="AB411" s="70">
        <f>'RESUMEN TOTAL'!AI511</f>
        <v>0</v>
      </c>
      <c r="AC411" s="70">
        <f>'RESUMEN TOTAL'!AJ511</f>
        <v>0</v>
      </c>
      <c r="AD411" s="70">
        <f>'RESUMEN TOTAL'!AK511</f>
        <v>0</v>
      </c>
      <c r="AE411" s="70">
        <f>'RESUMEN TOTAL'!AL511</f>
        <v>0</v>
      </c>
      <c r="AF411" s="70">
        <f>'RESUMEN TOTAL'!AM511</f>
        <v>0</v>
      </c>
      <c r="AG411" s="70">
        <f>'RESUMEN TOTAL'!AN511</f>
        <v>0</v>
      </c>
      <c r="AH411" s="70">
        <f>'RESUMEN TOTAL'!AO511</f>
        <v>0</v>
      </c>
      <c r="AI411" s="70">
        <f>'RESUMEN TOTAL'!AP511</f>
        <v>0</v>
      </c>
      <c r="AJ411" s="70">
        <f>'RESUMEN TOTAL'!AQ511</f>
        <v>0</v>
      </c>
    </row>
    <row r="412" spans="1:36" x14ac:dyDescent="0.25">
      <c r="A412" t="str">
        <f>'RESUMEN TOTAL'!A512</f>
        <v>VILLA VATTEONE CENTRO</v>
      </c>
      <c r="B412" t="str">
        <f>'RESUMEN TOTAL'!B512</f>
        <v>VAT 22 (fija 2)</v>
      </c>
      <c r="C412" t="str">
        <f>'RESUMEN TOTAL'!D512</f>
        <v>QUINTANA E/ BELGRANO Y FONROUGE</v>
      </c>
      <c r="D412" s="30" t="str">
        <f>'RESUMEN TOTAL'!E512</f>
        <v>Fija</v>
      </c>
      <c r="E412" s="30" t="str">
        <f>'RESUMEN TOTAL'!F512</f>
        <v>Fibra Optica</v>
      </c>
      <c r="F412" s="70">
        <f>'RESUMEN TOTAL'!M512</f>
        <v>0</v>
      </c>
      <c r="G412" s="70">
        <f>'RESUMEN TOTAL'!N512</f>
        <v>0</v>
      </c>
      <c r="H412" s="70">
        <f>'RESUMEN TOTAL'!O512</f>
        <v>0</v>
      </c>
      <c r="I412" s="70">
        <f>'RESUMEN TOTAL'!P512</f>
        <v>0</v>
      </c>
      <c r="J412" s="70">
        <f>'RESUMEN TOTAL'!Q512</f>
        <v>0</v>
      </c>
      <c r="K412" s="70">
        <f>'RESUMEN TOTAL'!R512</f>
        <v>0</v>
      </c>
      <c r="L412" s="70">
        <f>'RESUMEN TOTAL'!S512</f>
        <v>0</v>
      </c>
      <c r="M412" s="70">
        <f>'RESUMEN TOTAL'!T512</f>
        <v>0</v>
      </c>
      <c r="N412" s="70">
        <f>'RESUMEN TOTAL'!U512</f>
        <v>0</v>
      </c>
      <c r="O412" s="70">
        <f>'RESUMEN TOTAL'!V512</f>
        <v>0</v>
      </c>
      <c r="P412" s="70">
        <f>'RESUMEN TOTAL'!W512</f>
        <v>0</v>
      </c>
      <c r="Q412" s="70">
        <f>'RESUMEN TOTAL'!X512</f>
        <v>0</v>
      </c>
      <c r="R412" s="70">
        <f>'RESUMEN TOTAL'!Y512</f>
        <v>0</v>
      </c>
      <c r="S412" s="70">
        <f>'RESUMEN TOTAL'!Z512</f>
        <v>0</v>
      </c>
      <c r="T412" s="70">
        <f>'RESUMEN TOTAL'!AA512</f>
        <v>0</v>
      </c>
      <c r="U412" s="70">
        <f>'RESUMEN TOTAL'!AB512</f>
        <v>0</v>
      </c>
      <c r="V412" s="70">
        <f>'RESUMEN TOTAL'!AC512</f>
        <v>0</v>
      </c>
      <c r="W412" s="70">
        <f>'RESUMEN TOTAL'!AD512</f>
        <v>0</v>
      </c>
      <c r="X412" s="70">
        <f>'RESUMEN TOTAL'!AE512</f>
        <v>0</v>
      </c>
      <c r="Y412" s="70">
        <f>'RESUMEN TOTAL'!AF512</f>
        <v>0</v>
      </c>
      <c r="Z412" s="70">
        <f>'RESUMEN TOTAL'!AG512</f>
        <v>0</v>
      </c>
      <c r="AA412" s="70">
        <f>'RESUMEN TOTAL'!AH512</f>
        <v>0</v>
      </c>
      <c r="AB412" s="70">
        <f>'RESUMEN TOTAL'!AI512</f>
        <v>0</v>
      </c>
      <c r="AC412" s="70">
        <f>'RESUMEN TOTAL'!AJ512</f>
        <v>0</v>
      </c>
      <c r="AD412" s="70">
        <f>'RESUMEN TOTAL'!AK512</f>
        <v>0</v>
      </c>
      <c r="AE412" s="70">
        <f>'RESUMEN TOTAL'!AL512</f>
        <v>0</v>
      </c>
      <c r="AF412" s="70">
        <f>'RESUMEN TOTAL'!AM512</f>
        <v>0</v>
      </c>
      <c r="AG412" s="70">
        <f>'RESUMEN TOTAL'!AN512</f>
        <v>0</v>
      </c>
      <c r="AH412" s="70">
        <f>'RESUMEN TOTAL'!AO512</f>
        <v>0</v>
      </c>
      <c r="AI412" s="70">
        <f>'RESUMEN TOTAL'!AP512</f>
        <v>0</v>
      </c>
      <c r="AJ412" s="70">
        <f>'RESUMEN TOTAL'!AQ512</f>
        <v>0</v>
      </c>
    </row>
    <row r="413" spans="1:36" x14ac:dyDescent="0.25">
      <c r="A413" t="str">
        <f>'RESUMEN TOTAL'!A513</f>
        <v>VILLA VATTEONE CENTRO</v>
      </c>
      <c r="B413" t="str">
        <f>'RESUMEN TOTAL'!B513</f>
        <v>VAT23 (fija 1)</v>
      </c>
      <c r="C413" t="str">
        <f>'RESUMEN TOTAL'!D513</f>
        <v>EVA PERON Y "EL TUNEL" (BAJO NIVEL)</v>
      </c>
      <c r="D413" s="30" t="str">
        <f>'RESUMEN TOTAL'!E513</f>
        <v>Fija</v>
      </c>
      <c r="E413" s="30" t="str">
        <f>'RESUMEN TOTAL'!F513</f>
        <v>Fibra Optica</v>
      </c>
      <c r="F413" s="70">
        <f>'RESUMEN TOTAL'!M513</f>
        <v>0</v>
      </c>
      <c r="G413" s="70">
        <f>'RESUMEN TOTAL'!N513</f>
        <v>0</v>
      </c>
      <c r="H413" s="70">
        <f>'RESUMEN TOTAL'!O513</f>
        <v>0</v>
      </c>
      <c r="I413" s="70">
        <f>'RESUMEN TOTAL'!P513</f>
        <v>0</v>
      </c>
      <c r="J413" s="70">
        <f>'RESUMEN TOTAL'!Q513</f>
        <v>0</v>
      </c>
      <c r="K413" s="70">
        <f>'RESUMEN TOTAL'!R513</f>
        <v>0</v>
      </c>
      <c r="L413" s="70">
        <f>'RESUMEN TOTAL'!S513</f>
        <v>0</v>
      </c>
      <c r="M413" s="70">
        <f>'RESUMEN TOTAL'!T513</f>
        <v>0</v>
      </c>
      <c r="N413" s="70">
        <f>'RESUMEN TOTAL'!U513</f>
        <v>0</v>
      </c>
      <c r="O413" s="70">
        <f>'RESUMEN TOTAL'!V513</f>
        <v>0</v>
      </c>
      <c r="P413" s="70">
        <f>'RESUMEN TOTAL'!W513</f>
        <v>0</v>
      </c>
      <c r="Q413" s="70">
        <f>'RESUMEN TOTAL'!X513</f>
        <v>0</v>
      </c>
      <c r="R413" s="70">
        <f>'RESUMEN TOTAL'!Y513</f>
        <v>0</v>
      </c>
      <c r="S413" s="70">
        <f>'RESUMEN TOTAL'!Z513</f>
        <v>0</v>
      </c>
      <c r="T413" s="70">
        <f>'RESUMEN TOTAL'!AA513</f>
        <v>0</v>
      </c>
      <c r="U413" s="70">
        <f>'RESUMEN TOTAL'!AB513</f>
        <v>0</v>
      </c>
      <c r="V413" s="70">
        <f>'RESUMEN TOTAL'!AC513</f>
        <v>0</v>
      </c>
      <c r="W413" s="70">
        <f>'RESUMEN TOTAL'!AD513</f>
        <v>0</v>
      </c>
      <c r="X413" s="70">
        <f>'RESUMEN TOTAL'!AE513</f>
        <v>0</v>
      </c>
      <c r="Y413" s="70">
        <f>'RESUMEN TOTAL'!AF513</f>
        <v>0</v>
      </c>
      <c r="Z413" s="70">
        <f>'RESUMEN TOTAL'!AG513</f>
        <v>0</v>
      </c>
      <c r="AA413" s="70">
        <f>'RESUMEN TOTAL'!AH513</f>
        <v>0</v>
      </c>
      <c r="AB413" s="70">
        <f>'RESUMEN TOTAL'!AI513</f>
        <v>0</v>
      </c>
      <c r="AC413" s="70">
        <f>'RESUMEN TOTAL'!AJ513</f>
        <v>0</v>
      </c>
      <c r="AD413" s="70">
        <f>'RESUMEN TOTAL'!AK513</f>
        <v>0</v>
      </c>
      <c r="AE413" s="70">
        <f>'RESUMEN TOTAL'!AL513</f>
        <v>0</v>
      </c>
      <c r="AF413" s="70">
        <f>'RESUMEN TOTAL'!AM513</f>
        <v>0</v>
      </c>
      <c r="AG413" s="70">
        <f>'RESUMEN TOTAL'!AN513</f>
        <v>0</v>
      </c>
      <c r="AH413" s="70">
        <f>'RESUMEN TOTAL'!AO513</f>
        <v>0</v>
      </c>
      <c r="AI413" s="70">
        <f>'RESUMEN TOTAL'!AP513</f>
        <v>0</v>
      </c>
      <c r="AJ413" s="70">
        <f>'RESUMEN TOTAL'!AQ513</f>
        <v>0</v>
      </c>
    </row>
    <row r="414" spans="1:36" x14ac:dyDescent="0.25">
      <c r="A414" t="str">
        <f>'RESUMEN TOTAL'!A514</f>
        <v>VILLA VATTEONE CENTRO</v>
      </c>
      <c r="B414" t="str">
        <f>'RESUMEN TOTAL'!B514</f>
        <v>VAT24 (fija 2)</v>
      </c>
      <c r="C414" t="str">
        <f>'RESUMEN TOTAL'!D514</f>
        <v>EVA PERON Y "EL TUNEL" (BAJO NIVEL)</v>
      </c>
      <c r="D414" s="30" t="str">
        <f>'RESUMEN TOTAL'!E514</f>
        <v>Fija</v>
      </c>
      <c r="E414" s="30" t="str">
        <f>'RESUMEN TOTAL'!F514</f>
        <v>Fibra Optica</v>
      </c>
      <c r="F414" s="70">
        <f>'RESUMEN TOTAL'!M514</f>
        <v>0</v>
      </c>
      <c r="G414" s="70">
        <f>'RESUMEN TOTAL'!N514</f>
        <v>0</v>
      </c>
      <c r="H414" s="70">
        <f>'RESUMEN TOTAL'!O514</f>
        <v>0</v>
      </c>
      <c r="I414" s="70">
        <f>'RESUMEN TOTAL'!P514</f>
        <v>0</v>
      </c>
      <c r="J414" s="70">
        <f>'RESUMEN TOTAL'!Q514</f>
        <v>0</v>
      </c>
      <c r="K414" s="70">
        <f>'RESUMEN TOTAL'!R514</f>
        <v>0</v>
      </c>
      <c r="L414" s="70">
        <f>'RESUMEN TOTAL'!S514</f>
        <v>0</v>
      </c>
      <c r="M414" s="70">
        <f>'RESUMEN TOTAL'!T514</f>
        <v>0</v>
      </c>
      <c r="N414" s="70">
        <f>'RESUMEN TOTAL'!U514</f>
        <v>0</v>
      </c>
      <c r="O414" s="70">
        <f>'RESUMEN TOTAL'!V514</f>
        <v>0</v>
      </c>
      <c r="P414" s="70">
        <f>'RESUMEN TOTAL'!W514</f>
        <v>0</v>
      </c>
      <c r="Q414" s="70">
        <f>'RESUMEN TOTAL'!X514</f>
        <v>0</v>
      </c>
      <c r="R414" s="70">
        <f>'RESUMEN TOTAL'!Y514</f>
        <v>0</v>
      </c>
      <c r="S414" s="70">
        <f>'RESUMEN TOTAL'!Z514</f>
        <v>0</v>
      </c>
      <c r="T414" s="70">
        <f>'RESUMEN TOTAL'!AA514</f>
        <v>0</v>
      </c>
      <c r="U414" s="70">
        <f>'RESUMEN TOTAL'!AB514</f>
        <v>0</v>
      </c>
      <c r="V414" s="70">
        <f>'RESUMEN TOTAL'!AC514</f>
        <v>0</v>
      </c>
      <c r="W414" s="70">
        <f>'RESUMEN TOTAL'!AD514</f>
        <v>0</v>
      </c>
      <c r="X414" s="70">
        <f>'RESUMEN TOTAL'!AE514</f>
        <v>0</v>
      </c>
      <c r="Y414" s="70">
        <f>'RESUMEN TOTAL'!AF514</f>
        <v>0</v>
      </c>
      <c r="Z414" s="70">
        <f>'RESUMEN TOTAL'!AG514</f>
        <v>0</v>
      </c>
      <c r="AA414" s="70">
        <f>'RESUMEN TOTAL'!AH514</f>
        <v>0</v>
      </c>
      <c r="AB414" s="70">
        <f>'RESUMEN TOTAL'!AI514</f>
        <v>0</v>
      </c>
      <c r="AC414" s="70">
        <f>'RESUMEN TOTAL'!AJ514</f>
        <v>0</v>
      </c>
      <c r="AD414" s="70">
        <f>'RESUMEN TOTAL'!AK514</f>
        <v>0</v>
      </c>
      <c r="AE414" s="70">
        <f>'RESUMEN TOTAL'!AL514</f>
        <v>0</v>
      </c>
      <c r="AF414" s="70">
        <f>'RESUMEN TOTAL'!AM514</f>
        <v>0</v>
      </c>
      <c r="AG414" s="70">
        <f>'RESUMEN TOTAL'!AN514</f>
        <v>0</v>
      </c>
      <c r="AH414" s="70">
        <f>'RESUMEN TOTAL'!AO514</f>
        <v>0</v>
      </c>
      <c r="AI414" s="70">
        <f>'RESUMEN TOTAL'!AP514</f>
        <v>0</v>
      </c>
      <c r="AJ414" s="70">
        <f>'RESUMEN TOTAL'!AQ514</f>
        <v>0</v>
      </c>
    </row>
    <row r="415" spans="1:36" x14ac:dyDescent="0.25">
      <c r="A415" t="str">
        <f>'RESUMEN TOTAL'!A515</f>
        <v>VILLA VATTEONE CENTRO</v>
      </c>
      <c r="B415" t="str">
        <f>'RESUMEN TOTAL'!B515</f>
        <v>VAT 25</v>
      </c>
      <c r="C415" t="str">
        <f>'RESUMEN TOTAL'!D515</f>
        <v>Mainini y Uruguay</v>
      </c>
      <c r="D415" s="30" t="str">
        <f>'RESUMEN TOTAL'!E515</f>
        <v>Fija</v>
      </c>
      <c r="E415" s="30" t="str">
        <f>'RESUMEN TOTAL'!F515</f>
        <v>Fibra Optica</v>
      </c>
      <c r="F415" s="70">
        <f>'RESUMEN TOTAL'!M515</f>
        <v>0</v>
      </c>
      <c r="G415" s="70">
        <f>'RESUMEN TOTAL'!N515</f>
        <v>0</v>
      </c>
      <c r="H415" s="70">
        <f>'RESUMEN TOTAL'!O515</f>
        <v>0</v>
      </c>
      <c r="I415" s="70">
        <f>'RESUMEN TOTAL'!P515</f>
        <v>0</v>
      </c>
      <c r="J415" s="70">
        <f>'RESUMEN TOTAL'!Q515</f>
        <v>0</v>
      </c>
      <c r="K415" s="70">
        <f>'RESUMEN TOTAL'!R515</f>
        <v>0</v>
      </c>
      <c r="L415" s="70">
        <f>'RESUMEN TOTAL'!S515</f>
        <v>0</v>
      </c>
      <c r="M415" s="70">
        <f>'RESUMEN TOTAL'!T515</f>
        <v>0</v>
      </c>
      <c r="N415" s="70">
        <f>'RESUMEN TOTAL'!U515</f>
        <v>0</v>
      </c>
      <c r="O415" s="70">
        <f>'RESUMEN TOTAL'!V515</f>
        <v>0</v>
      </c>
      <c r="P415" s="70">
        <f>'RESUMEN TOTAL'!W515</f>
        <v>0</v>
      </c>
      <c r="Q415" s="70">
        <f>'RESUMEN TOTAL'!X515</f>
        <v>0</v>
      </c>
      <c r="R415" s="70">
        <f>'RESUMEN TOTAL'!Y515</f>
        <v>0</v>
      </c>
      <c r="S415" s="70">
        <f>'RESUMEN TOTAL'!Z515</f>
        <v>0</v>
      </c>
      <c r="T415" s="70">
        <f>'RESUMEN TOTAL'!AA515</f>
        <v>0</v>
      </c>
      <c r="U415" s="70">
        <f>'RESUMEN TOTAL'!AB515</f>
        <v>0</v>
      </c>
      <c r="V415" s="70">
        <f>'RESUMEN TOTAL'!AC515</f>
        <v>0</v>
      </c>
      <c r="W415" s="70">
        <f>'RESUMEN TOTAL'!AD515</f>
        <v>0</v>
      </c>
      <c r="X415" s="70">
        <f>'RESUMEN TOTAL'!AE515</f>
        <v>0</v>
      </c>
      <c r="Y415" s="70">
        <f>'RESUMEN TOTAL'!AF515</f>
        <v>0</v>
      </c>
      <c r="Z415" s="70">
        <f>'RESUMEN TOTAL'!AG515</f>
        <v>0</v>
      </c>
      <c r="AA415" s="70">
        <f>'RESUMEN TOTAL'!AH515</f>
        <v>0</v>
      </c>
      <c r="AB415" s="70">
        <f>'RESUMEN TOTAL'!AI515</f>
        <v>0</v>
      </c>
      <c r="AC415" s="70">
        <f>'RESUMEN TOTAL'!AJ515</f>
        <v>0</v>
      </c>
      <c r="AD415" s="70">
        <f>'RESUMEN TOTAL'!AK515</f>
        <v>0</v>
      </c>
      <c r="AE415" s="70">
        <f>'RESUMEN TOTAL'!AL515</f>
        <v>0</v>
      </c>
      <c r="AF415" s="70">
        <f>'RESUMEN TOTAL'!AM515</f>
        <v>0</v>
      </c>
      <c r="AG415" s="70">
        <f>'RESUMEN TOTAL'!AN515</f>
        <v>0</v>
      </c>
      <c r="AH415" s="70">
        <f>'RESUMEN TOTAL'!AO515</f>
        <v>0</v>
      </c>
      <c r="AI415" s="70">
        <f>'RESUMEN TOTAL'!AP515</f>
        <v>0</v>
      </c>
      <c r="AJ415" s="70">
        <f>'RESUMEN TOTAL'!AQ515</f>
        <v>0</v>
      </c>
    </row>
    <row r="416" spans="1:36" x14ac:dyDescent="0.25">
      <c r="A416" t="str">
        <f>'RESUMEN TOTAL'!A516</f>
        <v>VILLA VATTEONE CENTRO</v>
      </c>
      <c r="B416" t="str">
        <f>'RESUMEN TOTAL'!B516</f>
        <v>VAT 26</v>
      </c>
      <c r="C416" t="str">
        <f>'RESUMEN TOTAL'!D516</f>
        <v>Mainini y Uruguay</v>
      </c>
      <c r="D416" s="30" t="str">
        <f>'RESUMEN TOTAL'!E516</f>
        <v>fija</v>
      </c>
      <c r="E416" s="30" t="str">
        <f>'RESUMEN TOTAL'!F516</f>
        <v>Fibra Optica</v>
      </c>
      <c r="F416" s="70">
        <f>'RESUMEN TOTAL'!M516</f>
        <v>0</v>
      </c>
      <c r="G416" s="70">
        <f>'RESUMEN TOTAL'!N516</f>
        <v>0</v>
      </c>
      <c r="H416" s="70">
        <f>'RESUMEN TOTAL'!O516</f>
        <v>0</v>
      </c>
      <c r="I416" s="70">
        <f>'RESUMEN TOTAL'!P516</f>
        <v>0</v>
      </c>
      <c r="J416" s="70">
        <f>'RESUMEN TOTAL'!Q516</f>
        <v>0</v>
      </c>
      <c r="K416" s="70">
        <f>'RESUMEN TOTAL'!R516</f>
        <v>0</v>
      </c>
      <c r="L416" s="70">
        <f>'RESUMEN TOTAL'!S516</f>
        <v>0</v>
      </c>
      <c r="M416" s="70">
        <f>'RESUMEN TOTAL'!T516</f>
        <v>0</v>
      </c>
      <c r="N416" s="70">
        <f>'RESUMEN TOTAL'!U516</f>
        <v>0</v>
      </c>
      <c r="O416" s="70">
        <f>'RESUMEN TOTAL'!V516</f>
        <v>0</v>
      </c>
      <c r="P416" s="70">
        <f>'RESUMEN TOTAL'!W516</f>
        <v>0</v>
      </c>
      <c r="Q416" s="70">
        <f>'RESUMEN TOTAL'!X516</f>
        <v>0</v>
      </c>
      <c r="R416" s="70">
        <f>'RESUMEN TOTAL'!Y516</f>
        <v>0</v>
      </c>
      <c r="S416" s="70">
        <f>'RESUMEN TOTAL'!Z516</f>
        <v>0</v>
      </c>
      <c r="T416" s="70">
        <f>'RESUMEN TOTAL'!AA516</f>
        <v>0</v>
      </c>
      <c r="U416" s="70">
        <f>'RESUMEN TOTAL'!AB516</f>
        <v>0</v>
      </c>
      <c r="V416" s="70">
        <f>'RESUMEN TOTAL'!AC516</f>
        <v>0</v>
      </c>
      <c r="W416" s="70">
        <f>'RESUMEN TOTAL'!AD516</f>
        <v>0</v>
      </c>
      <c r="X416" s="70">
        <f>'RESUMEN TOTAL'!AE516</f>
        <v>0</v>
      </c>
      <c r="Y416" s="70">
        <f>'RESUMEN TOTAL'!AF516</f>
        <v>0</v>
      </c>
      <c r="Z416" s="70">
        <f>'RESUMEN TOTAL'!AG516</f>
        <v>0</v>
      </c>
      <c r="AA416" s="70">
        <f>'RESUMEN TOTAL'!AH516</f>
        <v>0</v>
      </c>
      <c r="AB416" s="70">
        <f>'RESUMEN TOTAL'!AI516</f>
        <v>0</v>
      </c>
      <c r="AC416" s="70">
        <f>'RESUMEN TOTAL'!AJ516</f>
        <v>0</v>
      </c>
      <c r="AD416" s="70">
        <f>'RESUMEN TOTAL'!AK516</f>
        <v>0</v>
      </c>
      <c r="AE416" s="70">
        <f>'RESUMEN TOTAL'!AL516</f>
        <v>0</v>
      </c>
      <c r="AF416" s="70">
        <f>'RESUMEN TOTAL'!AM516</f>
        <v>0</v>
      </c>
      <c r="AG416" s="70">
        <f>'RESUMEN TOTAL'!AN516</f>
        <v>0</v>
      </c>
      <c r="AH416" s="70">
        <f>'RESUMEN TOTAL'!AO516</f>
        <v>0</v>
      </c>
      <c r="AI416" s="70">
        <f>'RESUMEN TOTAL'!AP516</f>
        <v>0</v>
      </c>
      <c r="AJ416" s="70">
        <f>'RESUMEN TOTAL'!AQ516</f>
        <v>0</v>
      </c>
    </row>
    <row r="417" spans="1:36" x14ac:dyDescent="0.25">
      <c r="A417" t="str">
        <f>'RESUMEN TOTAL'!A517</f>
        <v>VILLA VATTEONE</v>
      </c>
      <c r="B417" t="str">
        <f>'RESUMEN TOTAL'!B517</f>
        <v>VAT 27</v>
      </c>
      <c r="C417" t="str">
        <f>'RESUMEN TOTAL'!D517</f>
        <v>12 DE OCTUBRE Y ROSARIO</v>
      </c>
      <c r="D417" s="30" t="str">
        <f>'RESUMEN TOTAL'!E517</f>
        <v>DOMO</v>
      </c>
      <c r="E417" s="30" t="str">
        <f>'RESUMEN TOTAL'!F517</f>
        <v>GPON</v>
      </c>
      <c r="F417" s="70" t="str">
        <f>'RESUMEN TOTAL'!M517</f>
        <v>APAGADO</v>
      </c>
      <c r="G417" s="70" t="str">
        <f>'RESUMEN TOTAL'!N517</f>
        <v>APAGADO</v>
      </c>
      <c r="H417" s="70" t="str">
        <f>'RESUMEN TOTAL'!O517</f>
        <v>APAGADO</v>
      </c>
      <c r="I417" s="70" t="str">
        <f>'RESUMEN TOTAL'!P517</f>
        <v>APAGADO</v>
      </c>
      <c r="J417" s="70" t="str">
        <f>'RESUMEN TOTAL'!Q517</f>
        <v>APAGADO</v>
      </c>
      <c r="K417" s="70" t="str">
        <f>'RESUMEN TOTAL'!R517</f>
        <v>APAGADO</v>
      </c>
      <c r="L417" s="70" t="str">
        <f>'RESUMEN TOTAL'!S517</f>
        <v>APAGADO</v>
      </c>
      <c r="M417" s="70" t="str">
        <f>'RESUMEN TOTAL'!T517</f>
        <v>APAGADO</v>
      </c>
      <c r="N417" s="70">
        <f>'RESUMEN TOTAL'!U517</f>
        <v>0</v>
      </c>
      <c r="O417" s="70">
        <f>'RESUMEN TOTAL'!V517</f>
        <v>0</v>
      </c>
      <c r="P417" s="70">
        <f>'RESUMEN TOTAL'!W517</f>
        <v>0</v>
      </c>
      <c r="Q417" s="70">
        <f>'RESUMEN TOTAL'!X517</f>
        <v>0</v>
      </c>
      <c r="R417" s="70">
        <f>'RESUMEN TOTAL'!Y517</f>
        <v>0</v>
      </c>
      <c r="S417" s="70">
        <f>'RESUMEN TOTAL'!Z517</f>
        <v>0</v>
      </c>
      <c r="T417" s="70">
        <f>'RESUMEN TOTAL'!AA517</f>
        <v>0</v>
      </c>
      <c r="U417" s="70">
        <f>'RESUMEN TOTAL'!AB517</f>
        <v>0</v>
      </c>
      <c r="V417" s="70">
        <f>'RESUMEN TOTAL'!AC517</f>
        <v>0</v>
      </c>
      <c r="W417" s="70">
        <f>'RESUMEN TOTAL'!AD517</f>
        <v>0</v>
      </c>
      <c r="X417" s="70">
        <f>'RESUMEN TOTAL'!AE517</f>
        <v>0</v>
      </c>
      <c r="Y417" s="70">
        <f>'RESUMEN TOTAL'!AF517</f>
        <v>0</v>
      </c>
      <c r="Z417" s="70">
        <f>'RESUMEN TOTAL'!AG517</f>
        <v>0</v>
      </c>
      <c r="AA417" s="70">
        <f>'RESUMEN TOTAL'!AH517</f>
        <v>0</v>
      </c>
      <c r="AB417" s="70">
        <f>'RESUMEN TOTAL'!AI517</f>
        <v>0</v>
      </c>
      <c r="AC417" s="70">
        <f>'RESUMEN TOTAL'!AJ517</f>
        <v>0</v>
      </c>
      <c r="AD417" s="70">
        <f>'RESUMEN TOTAL'!AK517</f>
        <v>0</v>
      </c>
      <c r="AE417" s="70">
        <f>'RESUMEN TOTAL'!AL517</f>
        <v>0</v>
      </c>
      <c r="AF417" s="70">
        <f>'RESUMEN TOTAL'!AM517</f>
        <v>0</v>
      </c>
      <c r="AG417" s="70">
        <f>'RESUMEN TOTAL'!AN517</f>
        <v>0</v>
      </c>
      <c r="AH417" s="70">
        <f>'RESUMEN TOTAL'!AO517</f>
        <v>0</v>
      </c>
      <c r="AI417" s="70">
        <f>'RESUMEN TOTAL'!AP517</f>
        <v>0</v>
      </c>
      <c r="AJ417" s="70">
        <f>'RESUMEN TOTAL'!AQ517</f>
        <v>0</v>
      </c>
    </row>
    <row r="418" spans="1:36" x14ac:dyDescent="0.25">
      <c r="A418" t="str">
        <f>'RESUMEN TOTAL'!A523</f>
        <v>VILLA AURORA</v>
      </c>
      <c r="B418" t="str">
        <f>'RESUMEN TOTAL'!B523</f>
        <v>VAU 01</v>
      </c>
      <c r="C418" t="str">
        <f>'RESUMEN TOTAL'!D523</f>
        <v>San Martin y Monteverde</v>
      </c>
      <c r="D418" s="30" t="str">
        <f>'RESUMEN TOTAL'!E523</f>
        <v>Domo</v>
      </c>
      <c r="E418" s="30" t="str">
        <f>'RESUMEN TOTAL'!F523</f>
        <v>Fibra Optica</v>
      </c>
      <c r="F418" s="70">
        <f>'RESUMEN TOTAL'!M523</f>
        <v>0</v>
      </c>
      <c r="G418" s="70">
        <f>'RESUMEN TOTAL'!N523</f>
        <v>0</v>
      </c>
      <c r="H418" s="70" t="str">
        <f>'RESUMEN TOTAL'!O523</f>
        <v>APAGADO</v>
      </c>
      <c r="I418" s="70" t="str">
        <f>'RESUMEN TOTAL'!P523</f>
        <v>APAGADO</v>
      </c>
      <c r="J418" s="70" t="str">
        <f>'RESUMEN TOTAL'!Q523</f>
        <v>APAGADO</v>
      </c>
      <c r="K418" s="70">
        <f>'RESUMEN TOTAL'!R523</f>
        <v>0</v>
      </c>
      <c r="L418" s="70">
        <f>'RESUMEN TOTAL'!S523</f>
        <v>0</v>
      </c>
      <c r="M418" s="70">
        <f>'RESUMEN TOTAL'!T523</f>
        <v>0</v>
      </c>
      <c r="N418" s="70">
        <f>'RESUMEN TOTAL'!U523</f>
        <v>0</v>
      </c>
      <c r="O418" s="70">
        <f>'RESUMEN TOTAL'!V523</f>
        <v>0</v>
      </c>
      <c r="P418" s="70">
        <f>'RESUMEN TOTAL'!W523</f>
        <v>0</v>
      </c>
      <c r="Q418" s="70">
        <f>'RESUMEN TOTAL'!X523</f>
        <v>0</v>
      </c>
      <c r="R418" s="70">
        <f>'RESUMEN TOTAL'!Y523</f>
        <v>0</v>
      </c>
      <c r="S418" s="70">
        <f>'RESUMEN TOTAL'!Z523</f>
        <v>0</v>
      </c>
      <c r="T418" s="70">
        <f>'RESUMEN TOTAL'!AA523</f>
        <v>0</v>
      </c>
      <c r="U418" s="70">
        <f>'RESUMEN TOTAL'!AB523</f>
        <v>0</v>
      </c>
      <c r="V418" s="70">
        <f>'RESUMEN TOTAL'!AC523</f>
        <v>0</v>
      </c>
      <c r="W418" s="70">
        <f>'RESUMEN TOTAL'!AD523</f>
        <v>0</v>
      </c>
      <c r="X418" s="70">
        <f>'RESUMEN TOTAL'!AE523</f>
        <v>0</v>
      </c>
      <c r="Y418" s="70">
        <f>'RESUMEN TOTAL'!AF523</f>
        <v>0</v>
      </c>
      <c r="Z418" s="70">
        <f>'RESUMEN TOTAL'!AG523</f>
        <v>0</v>
      </c>
      <c r="AA418" s="70">
        <f>'RESUMEN TOTAL'!AH523</f>
        <v>0</v>
      </c>
      <c r="AB418" s="70">
        <f>'RESUMEN TOTAL'!AI523</f>
        <v>0</v>
      </c>
      <c r="AC418" s="70">
        <f>'RESUMEN TOTAL'!AJ523</f>
        <v>0</v>
      </c>
      <c r="AD418" s="70">
        <f>'RESUMEN TOTAL'!AK523</f>
        <v>0</v>
      </c>
      <c r="AE418" s="70">
        <f>'RESUMEN TOTAL'!AL523</f>
        <v>0</v>
      </c>
      <c r="AF418" s="70">
        <f>'RESUMEN TOTAL'!AM523</f>
        <v>0</v>
      </c>
      <c r="AG418" s="70">
        <f>'RESUMEN TOTAL'!AN523</f>
        <v>0</v>
      </c>
      <c r="AH418" s="70">
        <f>'RESUMEN TOTAL'!AO523</f>
        <v>0</v>
      </c>
      <c r="AI418" s="70">
        <f>'RESUMEN TOTAL'!AP523</f>
        <v>0</v>
      </c>
      <c r="AJ418" s="70">
        <f>'RESUMEN TOTAL'!AQ523</f>
        <v>0</v>
      </c>
    </row>
    <row r="419" spans="1:36" x14ac:dyDescent="0.25">
      <c r="A419" t="str">
        <f>'RESUMEN TOTAL'!A524</f>
        <v>SAN EMILIO</v>
      </c>
      <c r="B419" t="str">
        <f>'RESUMEN TOTAL'!B524</f>
        <v>VAU 02</v>
      </c>
      <c r="C419" t="str">
        <f>'RESUMEN TOTAL'!D524</f>
        <v>San Martin y Lope de Vega</v>
      </c>
      <c r="D419" s="30" t="str">
        <f>'RESUMEN TOTAL'!E524</f>
        <v>Domo</v>
      </c>
      <c r="E419" s="30" t="str">
        <f>'RESUMEN TOTAL'!F524</f>
        <v>Fibra Optica</v>
      </c>
      <c r="F419" s="70">
        <f>'RESUMEN TOTAL'!M524</f>
        <v>0</v>
      </c>
      <c r="G419" s="70">
        <f>'RESUMEN TOTAL'!N524</f>
        <v>0</v>
      </c>
      <c r="H419" s="70" t="str">
        <f>'RESUMEN TOTAL'!O524</f>
        <v>APAGADO</v>
      </c>
      <c r="I419" s="70" t="str">
        <f>'RESUMEN TOTAL'!P524</f>
        <v>APAGADO</v>
      </c>
      <c r="J419" s="70" t="str">
        <f>'RESUMEN TOTAL'!Q524</f>
        <v>APAGADO</v>
      </c>
      <c r="K419" s="70">
        <f>'RESUMEN TOTAL'!R524</f>
        <v>0</v>
      </c>
      <c r="L419" s="70">
        <f>'RESUMEN TOTAL'!S524</f>
        <v>0</v>
      </c>
      <c r="M419" s="70">
        <f>'RESUMEN TOTAL'!T524</f>
        <v>0</v>
      </c>
      <c r="N419" s="70">
        <f>'RESUMEN TOTAL'!U524</f>
        <v>0</v>
      </c>
      <c r="O419" s="70">
        <f>'RESUMEN TOTAL'!V524</f>
        <v>0</v>
      </c>
      <c r="P419" s="70">
        <f>'RESUMEN TOTAL'!W524</f>
        <v>0</v>
      </c>
      <c r="Q419" s="70">
        <f>'RESUMEN TOTAL'!X524</f>
        <v>0</v>
      </c>
      <c r="R419" s="70">
        <f>'RESUMEN TOTAL'!Y524</f>
        <v>0</v>
      </c>
      <c r="S419" s="70">
        <f>'RESUMEN TOTAL'!Z524</f>
        <v>0</v>
      </c>
      <c r="T419" s="70">
        <f>'RESUMEN TOTAL'!AA524</f>
        <v>0</v>
      </c>
      <c r="U419" s="70">
        <f>'RESUMEN TOTAL'!AB524</f>
        <v>0</v>
      </c>
      <c r="V419" s="70">
        <f>'RESUMEN TOTAL'!AC524</f>
        <v>0</v>
      </c>
      <c r="W419" s="70">
        <f>'RESUMEN TOTAL'!AD524</f>
        <v>0</v>
      </c>
      <c r="X419" s="70">
        <f>'RESUMEN TOTAL'!AE524</f>
        <v>0</v>
      </c>
      <c r="Y419" s="70">
        <f>'RESUMEN TOTAL'!AF524</f>
        <v>0</v>
      </c>
      <c r="Z419" s="70">
        <f>'RESUMEN TOTAL'!AG524</f>
        <v>0</v>
      </c>
      <c r="AA419" s="70">
        <f>'RESUMEN TOTAL'!AH524</f>
        <v>0</v>
      </c>
      <c r="AB419" s="70">
        <f>'RESUMEN TOTAL'!AI524</f>
        <v>0</v>
      </c>
      <c r="AC419" s="70">
        <f>'RESUMEN TOTAL'!AJ524</f>
        <v>0</v>
      </c>
      <c r="AD419" s="70">
        <f>'RESUMEN TOTAL'!AK524</f>
        <v>0</v>
      </c>
      <c r="AE419" s="70">
        <f>'RESUMEN TOTAL'!AL524</f>
        <v>0</v>
      </c>
      <c r="AF419" s="70">
        <f>'RESUMEN TOTAL'!AM524</f>
        <v>0</v>
      </c>
      <c r="AG419" s="70">
        <f>'RESUMEN TOTAL'!AN524</f>
        <v>0</v>
      </c>
      <c r="AH419" s="70">
        <f>'RESUMEN TOTAL'!AO524</f>
        <v>0</v>
      </c>
      <c r="AI419" s="70">
        <f>'RESUMEN TOTAL'!AP524</f>
        <v>0</v>
      </c>
      <c r="AJ419" s="70">
        <f>'RESUMEN TOTAL'!AQ524</f>
        <v>0</v>
      </c>
    </row>
    <row r="420" spans="1:36" x14ac:dyDescent="0.25">
      <c r="A420" t="str">
        <f>'RESUMEN TOTAL'!A525</f>
        <v>VILLA AURORA</v>
      </c>
      <c r="B420" t="str">
        <f>'RESUMEN TOTAL'!B525</f>
        <v>VAU03 (fija 1)</v>
      </c>
      <c r="C420" t="str">
        <f>'RESUMEN TOTAL'!D525</f>
        <v>PIZZURNO Y NUESTRAS MALVINAS</v>
      </c>
      <c r="D420" s="30" t="str">
        <f>'RESUMEN TOTAL'!E525</f>
        <v>Fija</v>
      </c>
      <c r="E420" s="30" t="str">
        <f>'RESUMEN TOTAL'!F525</f>
        <v>Fibra Optica</v>
      </c>
      <c r="F420" s="70">
        <f>'RESUMEN TOTAL'!M525</f>
        <v>0</v>
      </c>
      <c r="G420" s="70">
        <f>'RESUMEN TOTAL'!N525</f>
        <v>0</v>
      </c>
      <c r="H420" s="70">
        <f>'RESUMEN TOTAL'!O525</f>
        <v>0</v>
      </c>
      <c r="I420" s="70">
        <f>'RESUMEN TOTAL'!P525</f>
        <v>0</v>
      </c>
      <c r="J420" s="70">
        <f>'RESUMEN TOTAL'!Q525</f>
        <v>0</v>
      </c>
      <c r="K420" s="70">
        <f>'RESUMEN TOTAL'!R525</f>
        <v>0</v>
      </c>
      <c r="L420" s="70">
        <f>'RESUMEN TOTAL'!S525</f>
        <v>0</v>
      </c>
      <c r="M420" s="70">
        <f>'RESUMEN TOTAL'!T525</f>
        <v>0</v>
      </c>
      <c r="N420" s="70">
        <f>'RESUMEN TOTAL'!U525</f>
        <v>0</v>
      </c>
      <c r="O420" s="70">
        <f>'RESUMEN TOTAL'!V525</f>
        <v>0</v>
      </c>
      <c r="P420" s="70">
        <f>'RESUMEN TOTAL'!W525</f>
        <v>0</v>
      </c>
      <c r="Q420" s="70">
        <f>'RESUMEN TOTAL'!X525</f>
        <v>0</v>
      </c>
      <c r="R420" s="70">
        <f>'RESUMEN TOTAL'!Y525</f>
        <v>0</v>
      </c>
      <c r="S420" s="70">
        <f>'RESUMEN TOTAL'!Z525</f>
        <v>0</v>
      </c>
      <c r="T420" s="70">
        <f>'RESUMEN TOTAL'!AA525</f>
        <v>0</v>
      </c>
      <c r="U420" s="70">
        <f>'RESUMEN TOTAL'!AB525</f>
        <v>0</v>
      </c>
      <c r="V420" s="70">
        <f>'RESUMEN TOTAL'!AC525</f>
        <v>0</v>
      </c>
      <c r="W420" s="70">
        <f>'RESUMEN TOTAL'!AD525</f>
        <v>0</v>
      </c>
      <c r="X420" s="70">
        <f>'RESUMEN TOTAL'!AE525</f>
        <v>0</v>
      </c>
      <c r="Y420" s="70">
        <f>'RESUMEN TOTAL'!AF525</f>
        <v>0</v>
      </c>
      <c r="Z420" s="70">
        <f>'RESUMEN TOTAL'!AG525</f>
        <v>0</v>
      </c>
      <c r="AA420" s="70">
        <f>'RESUMEN TOTAL'!AH525</f>
        <v>0</v>
      </c>
      <c r="AB420" s="70">
        <f>'RESUMEN TOTAL'!AI525</f>
        <v>0</v>
      </c>
      <c r="AC420" s="70">
        <f>'RESUMEN TOTAL'!AJ525</f>
        <v>0</v>
      </c>
      <c r="AD420" s="70">
        <f>'RESUMEN TOTAL'!AK525</f>
        <v>0</v>
      </c>
      <c r="AE420" s="70">
        <f>'RESUMEN TOTAL'!AL525</f>
        <v>0</v>
      </c>
      <c r="AF420" s="70">
        <f>'RESUMEN TOTAL'!AM525</f>
        <v>0</v>
      </c>
      <c r="AG420" s="70">
        <f>'RESUMEN TOTAL'!AN525</f>
        <v>0</v>
      </c>
      <c r="AH420" s="70">
        <f>'RESUMEN TOTAL'!AO525</f>
        <v>0</v>
      </c>
      <c r="AI420" s="70">
        <f>'RESUMEN TOTAL'!AP525</f>
        <v>0</v>
      </c>
      <c r="AJ420" s="70">
        <f>'RESUMEN TOTAL'!AQ525</f>
        <v>0</v>
      </c>
    </row>
    <row r="421" spans="1:36" x14ac:dyDescent="0.25">
      <c r="A421" t="str">
        <f>'RESUMEN TOTAL'!A526</f>
        <v>VILLA AURORA</v>
      </c>
      <c r="B421" t="str">
        <f>'RESUMEN TOTAL'!B526</f>
        <v>VAU04 (fija 2)</v>
      </c>
      <c r="C421" t="str">
        <f>'RESUMEN TOTAL'!D526</f>
        <v>PIZZURNO Y NUESTRAS MALVINAS</v>
      </c>
      <c r="D421" s="30" t="str">
        <f>'RESUMEN TOTAL'!E526</f>
        <v>Fija</v>
      </c>
      <c r="E421" s="30" t="str">
        <f>'RESUMEN TOTAL'!F526</f>
        <v>Fibra Optica</v>
      </c>
      <c r="F421" s="70">
        <f>'RESUMEN TOTAL'!M526</f>
        <v>0</v>
      </c>
      <c r="G421" s="70">
        <f>'RESUMEN TOTAL'!N526</f>
        <v>0</v>
      </c>
      <c r="H421" s="70">
        <f>'RESUMEN TOTAL'!O526</f>
        <v>0</v>
      </c>
      <c r="I421" s="70">
        <f>'RESUMEN TOTAL'!P526</f>
        <v>0</v>
      </c>
      <c r="J421" s="70">
        <f>'RESUMEN TOTAL'!Q526</f>
        <v>0</v>
      </c>
      <c r="K421" s="70">
        <f>'RESUMEN TOTAL'!R526</f>
        <v>0</v>
      </c>
      <c r="L421" s="70">
        <f>'RESUMEN TOTAL'!S526</f>
        <v>0</v>
      </c>
      <c r="M421" s="70">
        <f>'RESUMEN TOTAL'!T526</f>
        <v>0</v>
      </c>
      <c r="N421" s="70">
        <f>'RESUMEN TOTAL'!U526</f>
        <v>0</v>
      </c>
      <c r="O421" s="70">
        <f>'RESUMEN TOTAL'!V526</f>
        <v>0</v>
      </c>
      <c r="P421" s="70">
        <f>'RESUMEN TOTAL'!W526</f>
        <v>0</v>
      </c>
      <c r="Q421" s="70">
        <f>'RESUMEN TOTAL'!X526</f>
        <v>0</v>
      </c>
      <c r="R421" s="70">
        <f>'RESUMEN TOTAL'!Y526</f>
        <v>0</v>
      </c>
      <c r="S421" s="70">
        <f>'RESUMEN TOTAL'!Z526</f>
        <v>0</v>
      </c>
      <c r="T421" s="70">
        <f>'RESUMEN TOTAL'!AA526</f>
        <v>0</v>
      </c>
      <c r="U421" s="70">
        <f>'RESUMEN TOTAL'!AB526</f>
        <v>0</v>
      </c>
      <c r="V421" s="70">
        <f>'RESUMEN TOTAL'!AC526</f>
        <v>0</v>
      </c>
      <c r="W421" s="70">
        <f>'RESUMEN TOTAL'!AD526</f>
        <v>0</v>
      </c>
      <c r="X421" s="70">
        <f>'RESUMEN TOTAL'!AE526</f>
        <v>0</v>
      </c>
      <c r="Y421" s="70">
        <f>'RESUMEN TOTAL'!AF526</f>
        <v>0</v>
      </c>
      <c r="Z421" s="70">
        <f>'RESUMEN TOTAL'!AG526</f>
        <v>0</v>
      </c>
      <c r="AA421" s="70">
        <f>'RESUMEN TOTAL'!AH526</f>
        <v>0</v>
      </c>
      <c r="AB421" s="70">
        <f>'RESUMEN TOTAL'!AI526</f>
        <v>0</v>
      </c>
      <c r="AC421" s="70">
        <f>'RESUMEN TOTAL'!AJ526</f>
        <v>0</v>
      </c>
      <c r="AD421" s="70">
        <f>'RESUMEN TOTAL'!AK526</f>
        <v>0</v>
      </c>
      <c r="AE421" s="70">
        <f>'RESUMEN TOTAL'!AL526</f>
        <v>0</v>
      </c>
      <c r="AF421" s="70">
        <f>'RESUMEN TOTAL'!AM526</f>
        <v>0</v>
      </c>
      <c r="AG421" s="70">
        <f>'RESUMEN TOTAL'!AN526</f>
        <v>0</v>
      </c>
      <c r="AH421" s="70">
        <f>'RESUMEN TOTAL'!AO526</f>
        <v>0</v>
      </c>
      <c r="AI421" s="70">
        <f>'RESUMEN TOTAL'!AP526</f>
        <v>0</v>
      </c>
      <c r="AJ421" s="70">
        <f>'RESUMEN TOTAL'!AQ526</f>
        <v>0</v>
      </c>
    </row>
    <row r="422" spans="1:36" x14ac:dyDescent="0.25">
      <c r="A422" t="str">
        <f>'RESUMEN TOTAL'!A527</f>
        <v>VILLA AURORA</v>
      </c>
      <c r="B422" t="str">
        <f>'RESUMEN TOTAL'!B527</f>
        <v>VAU05 (fija 1)</v>
      </c>
      <c r="C422" t="str">
        <f>'RESUMEN TOTAL'!D527</f>
        <v>GUIDO SPANO Y VICTORINO DE LA PLAZA</v>
      </c>
      <c r="D422" s="30" t="str">
        <f>'RESUMEN TOTAL'!E527</f>
        <v>Fija</v>
      </c>
      <c r="E422" s="30" t="str">
        <f>'RESUMEN TOTAL'!F527</f>
        <v>Fibra Optica</v>
      </c>
      <c r="F422" s="70">
        <f>'RESUMEN TOTAL'!M527</f>
        <v>0</v>
      </c>
      <c r="G422" s="70" t="str">
        <f>'RESUMEN TOTAL'!N527</f>
        <v>APAGADO</v>
      </c>
      <c r="H422" s="70" t="str">
        <f>'RESUMEN TOTAL'!O527</f>
        <v>APAGADO</v>
      </c>
      <c r="I422" s="70" t="str">
        <f>'RESUMEN TOTAL'!P527</f>
        <v>APAGADO</v>
      </c>
      <c r="J422" s="70" t="str">
        <f>'RESUMEN TOTAL'!Q527</f>
        <v>APAGADO</v>
      </c>
      <c r="K422" s="70">
        <f>'RESUMEN TOTAL'!R527</f>
        <v>0</v>
      </c>
      <c r="L422" s="70">
        <f>'RESUMEN TOTAL'!S527</f>
        <v>0</v>
      </c>
      <c r="M422" s="70">
        <f>'RESUMEN TOTAL'!T527</f>
        <v>0</v>
      </c>
      <c r="N422" s="70">
        <f>'RESUMEN TOTAL'!U527</f>
        <v>0</v>
      </c>
      <c r="O422" s="70">
        <f>'RESUMEN TOTAL'!V527</f>
        <v>0</v>
      </c>
      <c r="P422" s="70">
        <f>'RESUMEN TOTAL'!W527</f>
        <v>0</v>
      </c>
      <c r="Q422" s="70">
        <f>'RESUMEN TOTAL'!X527</f>
        <v>0</v>
      </c>
      <c r="R422" s="70">
        <f>'RESUMEN TOTAL'!Y527</f>
        <v>0</v>
      </c>
      <c r="S422" s="70">
        <f>'RESUMEN TOTAL'!Z527</f>
        <v>0</v>
      </c>
      <c r="T422" s="70">
        <f>'RESUMEN TOTAL'!AA527</f>
        <v>0</v>
      </c>
      <c r="U422" s="70">
        <f>'RESUMEN TOTAL'!AB527</f>
        <v>0</v>
      </c>
      <c r="V422" s="70">
        <f>'RESUMEN TOTAL'!AC527</f>
        <v>0</v>
      </c>
      <c r="W422" s="70">
        <f>'RESUMEN TOTAL'!AD527</f>
        <v>0</v>
      </c>
      <c r="X422" s="70">
        <f>'RESUMEN TOTAL'!AE527</f>
        <v>0</v>
      </c>
      <c r="Y422" s="70">
        <f>'RESUMEN TOTAL'!AF527</f>
        <v>0</v>
      </c>
      <c r="Z422" s="70">
        <f>'RESUMEN TOTAL'!AG527</f>
        <v>0</v>
      </c>
      <c r="AA422" s="70">
        <f>'RESUMEN TOTAL'!AH527</f>
        <v>0</v>
      </c>
      <c r="AB422" s="70">
        <f>'RESUMEN TOTAL'!AI527</f>
        <v>0</v>
      </c>
      <c r="AC422" s="70">
        <f>'RESUMEN TOTAL'!AJ527</f>
        <v>0</v>
      </c>
      <c r="AD422" s="70">
        <f>'RESUMEN TOTAL'!AK527</f>
        <v>0</v>
      </c>
      <c r="AE422" s="70">
        <f>'RESUMEN TOTAL'!AL527</f>
        <v>0</v>
      </c>
      <c r="AF422" s="70">
        <f>'RESUMEN TOTAL'!AM527</f>
        <v>0</v>
      </c>
      <c r="AG422" s="70">
        <f>'RESUMEN TOTAL'!AN527</f>
        <v>0</v>
      </c>
      <c r="AH422" s="70">
        <f>'RESUMEN TOTAL'!AO527</f>
        <v>0</v>
      </c>
      <c r="AI422" s="70">
        <f>'RESUMEN TOTAL'!AP527</f>
        <v>0</v>
      </c>
      <c r="AJ422" s="70">
        <f>'RESUMEN TOTAL'!AQ527</f>
        <v>0</v>
      </c>
    </row>
    <row r="423" spans="1:36" x14ac:dyDescent="0.25">
      <c r="A423" t="str">
        <f>'RESUMEN TOTAL'!A528</f>
        <v>VILLA AURORA</v>
      </c>
      <c r="B423" t="str">
        <f>'RESUMEN TOTAL'!B528</f>
        <v>VAU06 (fija 2)</v>
      </c>
      <c r="C423" t="str">
        <f>'RESUMEN TOTAL'!D528</f>
        <v>GUIDO SPANO Y VICTORINO DE LA PLAZA</v>
      </c>
      <c r="D423" s="30" t="str">
        <f>'RESUMEN TOTAL'!E528</f>
        <v>Fija</v>
      </c>
      <c r="E423" s="30" t="str">
        <f>'RESUMEN TOTAL'!F528</f>
        <v>Fibra Optica</v>
      </c>
      <c r="F423" s="70">
        <f>'RESUMEN TOTAL'!M528</f>
        <v>0</v>
      </c>
      <c r="G423" s="70" t="str">
        <f>'RESUMEN TOTAL'!N528</f>
        <v>APAGADO</v>
      </c>
      <c r="H423" s="70" t="str">
        <f>'RESUMEN TOTAL'!O528</f>
        <v>APAGADO</v>
      </c>
      <c r="I423" s="70" t="str">
        <f>'RESUMEN TOTAL'!P528</f>
        <v>APAGADO</v>
      </c>
      <c r="J423" s="70" t="str">
        <f>'RESUMEN TOTAL'!Q528</f>
        <v>APAGADO</v>
      </c>
      <c r="K423" s="70">
        <f>'RESUMEN TOTAL'!R528</f>
        <v>0</v>
      </c>
      <c r="L423" s="70">
        <f>'RESUMEN TOTAL'!S528</f>
        <v>0</v>
      </c>
      <c r="M423" s="70">
        <f>'RESUMEN TOTAL'!T528</f>
        <v>0</v>
      </c>
      <c r="N423" s="70">
        <f>'RESUMEN TOTAL'!U528</f>
        <v>0</v>
      </c>
      <c r="O423" s="70">
        <f>'RESUMEN TOTAL'!V528</f>
        <v>0</v>
      </c>
      <c r="P423" s="70">
        <f>'RESUMEN TOTAL'!W528</f>
        <v>0</v>
      </c>
      <c r="Q423" s="70">
        <f>'RESUMEN TOTAL'!X528</f>
        <v>0</v>
      </c>
      <c r="R423" s="70">
        <f>'RESUMEN TOTAL'!Y528</f>
        <v>0</v>
      </c>
      <c r="S423" s="70">
        <f>'RESUMEN TOTAL'!Z528</f>
        <v>0</v>
      </c>
      <c r="T423" s="70">
        <f>'RESUMEN TOTAL'!AA528</f>
        <v>0</v>
      </c>
      <c r="U423" s="70">
        <f>'RESUMEN TOTAL'!AB528</f>
        <v>0</v>
      </c>
      <c r="V423" s="70">
        <f>'RESUMEN TOTAL'!AC528</f>
        <v>0</v>
      </c>
      <c r="W423" s="70">
        <f>'RESUMEN TOTAL'!AD528</f>
        <v>0</v>
      </c>
      <c r="X423" s="70">
        <f>'RESUMEN TOTAL'!AE528</f>
        <v>0</v>
      </c>
      <c r="Y423" s="70">
        <f>'RESUMEN TOTAL'!AF528</f>
        <v>0</v>
      </c>
      <c r="Z423" s="70">
        <f>'RESUMEN TOTAL'!AG528</f>
        <v>0</v>
      </c>
      <c r="AA423" s="70">
        <f>'RESUMEN TOTAL'!AH528</f>
        <v>0</v>
      </c>
      <c r="AB423" s="70">
        <f>'RESUMEN TOTAL'!AI528</f>
        <v>0</v>
      </c>
      <c r="AC423" s="70">
        <f>'RESUMEN TOTAL'!AJ528</f>
        <v>0</v>
      </c>
      <c r="AD423" s="70">
        <f>'RESUMEN TOTAL'!AK528</f>
        <v>0</v>
      </c>
      <c r="AE423" s="70">
        <f>'RESUMEN TOTAL'!AL528</f>
        <v>0</v>
      </c>
      <c r="AF423" s="70">
        <f>'RESUMEN TOTAL'!AM528</f>
        <v>0</v>
      </c>
      <c r="AG423" s="70">
        <f>'RESUMEN TOTAL'!AN528</f>
        <v>0</v>
      </c>
      <c r="AH423" s="70">
        <f>'RESUMEN TOTAL'!AO528</f>
        <v>0</v>
      </c>
      <c r="AI423" s="70">
        <f>'RESUMEN TOTAL'!AP528</f>
        <v>0</v>
      </c>
      <c r="AJ423" s="70">
        <f>'RESUMEN TOTAL'!AQ528</f>
        <v>0</v>
      </c>
    </row>
    <row r="424" spans="1:36" x14ac:dyDescent="0.25">
      <c r="A424" t="str">
        <f>'RESUMEN TOTAL'!A529</f>
        <v>VILLA AURORA</v>
      </c>
      <c r="B424" t="str">
        <f>'RESUMEN TOTAL'!B529</f>
        <v>VAU 07</v>
      </c>
      <c r="C424" t="str">
        <f>'RESUMEN TOTAL'!D529</f>
        <v>VICTORINO DE LA PLAZA Y MONTEVERDE</v>
      </c>
      <c r="D424" s="30" t="str">
        <f>'RESUMEN TOTAL'!E529</f>
        <v>Domo</v>
      </c>
      <c r="E424" s="30" t="str">
        <f>'RESUMEN TOTAL'!F529</f>
        <v>Fibra Optica</v>
      </c>
      <c r="F424" s="70">
        <f>'RESUMEN TOTAL'!M529</f>
        <v>0</v>
      </c>
      <c r="G424" s="70">
        <f>'RESUMEN TOTAL'!N529</f>
        <v>0</v>
      </c>
      <c r="H424" s="70" t="str">
        <f>'RESUMEN TOTAL'!O529</f>
        <v>APAGADO</v>
      </c>
      <c r="I424" s="70" t="str">
        <f>'RESUMEN TOTAL'!P529</f>
        <v>APAGADO</v>
      </c>
      <c r="J424" s="70" t="str">
        <f>'RESUMEN TOTAL'!Q529</f>
        <v>APAGADO</v>
      </c>
      <c r="K424" s="70">
        <f>'RESUMEN TOTAL'!R529</f>
        <v>0</v>
      </c>
      <c r="L424" s="70">
        <f>'RESUMEN TOTAL'!S529</f>
        <v>0</v>
      </c>
      <c r="M424" s="70">
        <f>'RESUMEN TOTAL'!T529</f>
        <v>0</v>
      </c>
      <c r="N424" s="70">
        <f>'RESUMEN TOTAL'!U529</f>
        <v>0</v>
      </c>
      <c r="O424" s="70">
        <f>'RESUMEN TOTAL'!V529</f>
        <v>0</v>
      </c>
      <c r="P424" s="70">
        <f>'RESUMEN TOTAL'!W529</f>
        <v>0</v>
      </c>
      <c r="Q424" s="70">
        <f>'RESUMEN TOTAL'!X529</f>
        <v>0</v>
      </c>
      <c r="R424" s="70">
        <f>'RESUMEN TOTAL'!Y529</f>
        <v>0</v>
      </c>
      <c r="S424" s="70">
        <f>'RESUMEN TOTAL'!Z529</f>
        <v>0</v>
      </c>
      <c r="T424" s="70">
        <f>'RESUMEN TOTAL'!AA529</f>
        <v>0</v>
      </c>
      <c r="U424" s="70">
        <f>'RESUMEN TOTAL'!AB529</f>
        <v>0</v>
      </c>
      <c r="V424" s="70">
        <f>'RESUMEN TOTAL'!AC529</f>
        <v>0</v>
      </c>
      <c r="W424" s="70">
        <f>'RESUMEN TOTAL'!AD529</f>
        <v>0</v>
      </c>
      <c r="X424" s="70">
        <f>'RESUMEN TOTAL'!AE529</f>
        <v>0</v>
      </c>
      <c r="Y424" s="70">
        <f>'RESUMEN TOTAL'!AF529</f>
        <v>0</v>
      </c>
      <c r="Z424" s="70">
        <f>'RESUMEN TOTAL'!AG529</f>
        <v>0</v>
      </c>
      <c r="AA424" s="70">
        <f>'RESUMEN TOTAL'!AH529</f>
        <v>0</v>
      </c>
      <c r="AB424" s="70">
        <f>'RESUMEN TOTAL'!AI529</f>
        <v>0</v>
      </c>
      <c r="AC424" s="70">
        <f>'RESUMEN TOTAL'!AJ529</f>
        <v>0</v>
      </c>
      <c r="AD424" s="70">
        <f>'RESUMEN TOTAL'!AK529</f>
        <v>0</v>
      </c>
      <c r="AE424" s="70">
        <f>'RESUMEN TOTAL'!AL529</f>
        <v>0</v>
      </c>
      <c r="AF424" s="70">
        <f>'RESUMEN TOTAL'!AM529</f>
        <v>0</v>
      </c>
      <c r="AG424" s="70">
        <f>'RESUMEN TOTAL'!AN529</f>
        <v>0</v>
      </c>
      <c r="AH424" s="70">
        <f>'RESUMEN TOTAL'!AO529</f>
        <v>0</v>
      </c>
      <c r="AI424" s="70">
        <f>'RESUMEN TOTAL'!AP529</f>
        <v>0</v>
      </c>
      <c r="AJ424" s="70">
        <f>'RESUMEN TOTAL'!AQ529</f>
        <v>0</v>
      </c>
    </row>
    <row r="425" spans="1:36" x14ac:dyDescent="0.25">
      <c r="A425" t="str">
        <f>'RESUMEN TOTAL'!A530</f>
        <v>VILLA AURORA</v>
      </c>
      <c r="B425" t="str">
        <f>'RESUMEN TOTAL'!B530</f>
        <v>VAU08</v>
      </c>
      <c r="C425" t="str">
        <f>'RESUMEN TOTAL'!D530</f>
        <v>MONTEVERDE Y WASHINGTON</v>
      </c>
      <c r="D425" s="30" t="str">
        <f>'RESUMEN TOTAL'!E530</f>
        <v>DOMO</v>
      </c>
      <c r="E425" s="30" t="str">
        <f>'RESUMEN TOTAL'!F530</f>
        <v>Fibra Optica</v>
      </c>
      <c r="F425" s="70">
        <f>'RESUMEN TOTAL'!M530</f>
        <v>0</v>
      </c>
      <c r="G425" s="70" t="str">
        <f>'RESUMEN TOTAL'!N530</f>
        <v>APAGADO</v>
      </c>
      <c r="H425" s="70" t="str">
        <f>'RESUMEN TOTAL'!O530</f>
        <v>APAGADO</v>
      </c>
      <c r="I425" s="70" t="str">
        <f>'RESUMEN TOTAL'!P530</f>
        <v>APAGADO</v>
      </c>
      <c r="J425" s="70" t="str">
        <f>'RESUMEN TOTAL'!Q530</f>
        <v>APAGADO</v>
      </c>
      <c r="K425" s="70">
        <f>'RESUMEN TOTAL'!R530</f>
        <v>0</v>
      </c>
      <c r="L425" s="70">
        <f>'RESUMEN TOTAL'!S530</f>
        <v>0</v>
      </c>
      <c r="M425" s="70">
        <f>'RESUMEN TOTAL'!T530</f>
        <v>0</v>
      </c>
      <c r="N425" s="70">
        <f>'RESUMEN TOTAL'!U530</f>
        <v>0</v>
      </c>
      <c r="O425" s="70">
        <f>'RESUMEN TOTAL'!V530</f>
        <v>0</v>
      </c>
      <c r="P425" s="70">
        <f>'RESUMEN TOTAL'!W530</f>
        <v>0</v>
      </c>
      <c r="Q425" s="70">
        <f>'RESUMEN TOTAL'!X530</f>
        <v>0</v>
      </c>
      <c r="R425" s="70">
        <f>'RESUMEN TOTAL'!Y530</f>
        <v>0</v>
      </c>
      <c r="S425" s="70">
        <f>'RESUMEN TOTAL'!Z530</f>
        <v>0</v>
      </c>
      <c r="T425" s="70">
        <f>'RESUMEN TOTAL'!AA530</f>
        <v>0</v>
      </c>
      <c r="U425" s="70">
        <f>'RESUMEN TOTAL'!AB530</f>
        <v>0</v>
      </c>
      <c r="V425" s="70">
        <f>'RESUMEN TOTAL'!AC530</f>
        <v>0</v>
      </c>
      <c r="W425" s="70">
        <f>'RESUMEN TOTAL'!AD530</f>
        <v>0</v>
      </c>
      <c r="X425" s="70">
        <f>'RESUMEN TOTAL'!AE530</f>
        <v>0</v>
      </c>
      <c r="Y425" s="70">
        <f>'RESUMEN TOTAL'!AF530</f>
        <v>0</v>
      </c>
      <c r="Z425" s="70">
        <f>'RESUMEN TOTAL'!AG530</f>
        <v>0</v>
      </c>
      <c r="AA425" s="70">
        <f>'RESUMEN TOTAL'!AH530</f>
        <v>0</v>
      </c>
      <c r="AB425" s="70">
        <f>'RESUMEN TOTAL'!AI530</f>
        <v>0</v>
      </c>
      <c r="AC425" s="70">
        <f>'RESUMEN TOTAL'!AJ530</f>
        <v>0</v>
      </c>
      <c r="AD425" s="70">
        <f>'RESUMEN TOTAL'!AK530</f>
        <v>0</v>
      </c>
      <c r="AE425" s="70">
        <f>'RESUMEN TOTAL'!AL530</f>
        <v>0</v>
      </c>
      <c r="AF425" s="70">
        <f>'RESUMEN TOTAL'!AM530</f>
        <v>0</v>
      </c>
      <c r="AG425" s="70">
        <f>'RESUMEN TOTAL'!AN530</f>
        <v>0</v>
      </c>
      <c r="AH425" s="70">
        <f>'RESUMEN TOTAL'!AO530</f>
        <v>0</v>
      </c>
      <c r="AI425" s="70">
        <f>'RESUMEN TOTAL'!AP530</f>
        <v>0</v>
      </c>
      <c r="AJ425" s="70">
        <f>'RESUMEN TOTAL'!AQ530</f>
        <v>0</v>
      </c>
    </row>
    <row r="426" spans="1:36" x14ac:dyDescent="0.25">
      <c r="A426" t="str">
        <f>'RESUMEN TOTAL'!A532</f>
        <v>VILLA DEL PLATA</v>
      </c>
      <c r="B426" t="str">
        <f>'RESUMEN TOTAL'!B532</f>
        <v>VDPL02</v>
      </c>
      <c r="C426" t="str">
        <f>'RESUMEN TOTAL'!D532</f>
        <v>Thevenet y Berutti</v>
      </c>
      <c r="D426" s="30" t="str">
        <f>'RESUMEN TOTAL'!E532</f>
        <v>Domo</v>
      </c>
      <c r="E426" s="30" t="str">
        <f>'RESUMEN TOTAL'!F532</f>
        <v>Fibra Optica</v>
      </c>
      <c r="F426" s="70">
        <f>'RESUMEN TOTAL'!M532</f>
        <v>0</v>
      </c>
      <c r="G426" s="70">
        <f>'RESUMEN TOTAL'!N532</f>
        <v>0</v>
      </c>
      <c r="H426" s="70">
        <f>'RESUMEN TOTAL'!O532</f>
        <v>0</v>
      </c>
      <c r="I426" s="70">
        <f>'RESUMEN TOTAL'!P532</f>
        <v>0</v>
      </c>
      <c r="J426" s="70">
        <f>'RESUMEN TOTAL'!Q532</f>
        <v>0</v>
      </c>
      <c r="K426" s="70">
        <f>'RESUMEN TOTAL'!R532</f>
        <v>0</v>
      </c>
      <c r="L426" s="70">
        <f>'RESUMEN TOTAL'!S532</f>
        <v>0</v>
      </c>
      <c r="M426" s="70">
        <f>'RESUMEN TOTAL'!T532</f>
        <v>0</v>
      </c>
      <c r="N426" s="70">
        <f>'RESUMEN TOTAL'!U532</f>
        <v>0</v>
      </c>
      <c r="O426" s="70">
        <f>'RESUMEN TOTAL'!V532</f>
        <v>0</v>
      </c>
      <c r="P426" s="70">
        <f>'RESUMEN TOTAL'!W532</f>
        <v>0</v>
      </c>
      <c r="Q426" s="70">
        <f>'RESUMEN TOTAL'!X532</f>
        <v>0</v>
      </c>
      <c r="R426" s="70">
        <f>'RESUMEN TOTAL'!Y532</f>
        <v>0</v>
      </c>
      <c r="S426" s="70">
        <f>'RESUMEN TOTAL'!Z532</f>
        <v>0</v>
      </c>
      <c r="T426" s="70">
        <f>'RESUMEN TOTAL'!AA532</f>
        <v>0</v>
      </c>
      <c r="U426" s="70">
        <f>'RESUMEN TOTAL'!AB532</f>
        <v>0</v>
      </c>
      <c r="V426" s="70">
        <f>'RESUMEN TOTAL'!AC532</f>
        <v>0</v>
      </c>
      <c r="W426" s="70">
        <f>'RESUMEN TOTAL'!AD532</f>
        <v>0</v>
      </c>
      <c r="X426" s="70">
        <f>'RESUMEN TOTAL'!AE532</f>
        <v>0</v>
      </c>
      <c r="Y426" s="70">
        <f>'RESUMEN TOTAL'!AF532</f>
        <v>0</v>
      </c>
      <c r="Z426" s="70">
        <f>'RESUMEN TOTAL'!AG532</f>
        <v>0</v>
      </c>
      <c r="AA426" s="70">
        <f>'RESUMEN TOTAL'!AH532</f>
        <v>0</v>
      </c>
      <c r="AB426" s="70">
        <f>'RESUMEN TOTAL'!AI532</f>
        <v>0</v>
      </c>
      <c r="AC426" s="70">
        <f>'RESUMEN TOTAL'!AJ532</f>
        <v>0</v>
      </c>
      <c r="AD426" s="70">
        <f>'RESUMEN TOTAL'!AK532</f>
        <v>0</v>
      </c>
      <c r="AE426" s="70">
        <f>'RESUMEN TOTAL'!AL532</f>
        <v>0</v>
      </c>
      <c r="AF426" s="70">
        <f>'RESUMEN TOTAL'!AM532</f>
        <v>0</v>
      </c>
      <c r="AG426" s="70">
        <f>'RESUMEN TOTAL'!AN532</f>
        <v>0</v>
      </c>
      <c r="AH426" s="70">
        <f>'RESUMEN TOTAL'!AO532</f>
        <v>0</v>
      </c>
      <c r="AI426" s="70">
        <f>'RESUMEN TOTAL'!AP532</f>
        <v>0</v>
      </c>
      <c r="AJ426" s="70">
        <f>'RESUMEN TOTAL'!AQ532</f>
        <v>0</v>
      </c>
    </row>
    <row r="427" spans="1:36" x14ac:dyDescent="0.25">
      <c r="A427" t="str">
        <f>'RESUMEN TOTAL'!A533</f>
        <v>VILLA DEL PLATA</v>
      </c>
      <c r="B427" t="str">
        <f>'RESUMEN TOTAL'!B533</f>
        <v>VDPL03</v>
      </c>
      <c r="C427" t="str">
        <f>'RESUMEN TOTAL'!D533</f>
        <v>Neuquen y Alvarado</v>
      </c>
      <c r="D427" s="30" t="str">
        <f>'RESUMEN TOTAL'!E533</f>
        <v>Domo</v>
      </c>
      <c r="E427" s="30" t="str">
        <f>'RESUMEN TOTAL'!F533</f>
        <v>GPON</v>
      </c>
      <c r="F427" s="70">
        <f>'RESUMEN TOTAL'!M533</f>
        <v>0</v>
      </c>
      <c r="G427" s="70">
        <f>'RESUMEN TOTAL'!N533</f>
        <v>0</v>
      </c>
      <c r="H427" s="70">
        <f>'RESUMEN TOTAL'!O533</f>
        <v>0</v>
      </c>
      <c r="I427" s="70">
        <f>'RESUMEN TOTAL'!P533</f>
        <v>0</v>
      </c>
      <c r="J427" s="70">
        <f>'RESUMEN TOTAL'!Q533</f>
        <v>0</v>
      </c>
      <c r="K427" s="70">
        <f>'RESUMEN TOTAL'!R533</f>
        <v>0</v>
      </c>
      <c r="L427" s="70">
        <f>'RESUMEN TOTAL'!S533</f>
        <v>0</v>
      </c>
      <c r="M427" s="70">
        <f>'RESUMEN TOTAL'!T533</f>
        <v>0</v>
      </c>
      <c r="N427" s="70">
        <f>'RESUMEN TOTAL'!U533</f>
        <v>0</v>
      </c>
      <c r="O427" s="70">
        <f>'RESUMEN TOTAL'!V533</f>
        <v>0</v>
      </c>
      <c r="P427" s="70">
        <f>'RESUMEN TOTAL'!W533</f>
        <v>0</v>
      </c>
      <c r="Q427" s="70">
        <f>'RESUMEN TOTAL'!X533</f>
        <v>0</v>
      </c>
      <c r="R427" s="70">
        <f>'RESUMEN TOTAL'!Y533</f>
        <v>0</v>
      </c>
      <c r="S427" s="70">
        <f>'RESUMEN TOTAL'!Z533</f>
        <v>0</v>
      </c>
      <c r="T427" s="70">
        <f>'RESUMEN TOTAL'!AA533</f>
        <v>0</v>
      </c>
      <c r="U427" s="70">
        <f>'RESUMEN TOTAL'!AB533</f>
        <v>0</v>
      </c>
      <c r="V427" s="70">
        <f>'RESUMEN TOTAL'!AC533</f>
        <v>0</v>
      </c>
      <c r="W427" s="70">
        <f>'RESUMEN TOTAL'!AD533</f>
        <v>0</v>
      </c>
      <c r="X427" s="70">
        <f>'RESUMEN TOTAL'!AE533</f>
        <v>0</v>
      </c>
      <c r="Y427" s="70">
        <f>'RESUMEN TOTAL'!AF533</f>
        <v>0</v>
      </c>
      <c r="Z427" s="70">
        <f>'RESUMEN TOTAL'!AG533</f>
        <v>0</v>
      </c>
      <c r="AA427" s="70">
        <f>'RESUMEN TOTAL'!AH533</f>
        <v>0</v>
      </c>
      <c r="AB427" s="70">
        <f>'RESUMEN TOTAL'!AI533</f>
        <v>0</v>
      </c>
      <c r="AC427" s="70">
        <f>'RESUMEN TOTAL'!AJ533</f>
        <v>0</v>
      </c>
      <c r="AD427" s="70">
        <f>'RESUMEN TOTAL'!AK533</f>
        <v>0</v>
      </c>
      <c r="AE427" s="70">
        <f>'RESUMEN TOTAL'!AL533</f>
        <v>0</v>
      </c>
      <c r="AF427" s="70">
        <f>'RESUMEN TOTAL'!AM533</f>
        <v>0</v>
      </c>
      <c r="AG427" s="70">
        <f>'RESUMEN TOTAL'!AN533</f>
        <v>0</v>
      </c>
      <c r="AH427" s="70">
        <f>'RESUMEN TOTAL'!AO533</f>
        <v>0</v>
      </c>
      <c r="AI427" s="70">
        <f>'RESUMEN TOTAL'!AP533</f>
        <v>0</v>
      </c>
      <c r="AJ427" s="70">
        <f>'RESUMEN TOTAL'!AQ533</f>
        <v>0</v>
      </c>
    </row>
    <row r="428" spans="1:36" x14ac:dyDescent="0.25">
      <c r="A428" t="str">
        <f>'RESUMEN TOTAL'!A534</f>
        <v>VILLA DEL PLATA</v>
      </c>
      <c r="B428" t="str">
        <f>'RESUMEN TOTAL'!B534</f>
        <v>VDPL04</v>
      </c>
      <c r="C428" t="str">
        <f>'RESUMEN TOTAL'!D534</f>
        <v>Neuquen y Diagonal Guemes</v>
      </c>
      <c r="D428" s="30" t="str">
        <f>'RESUMEN TOTAL'!E534</f>
        <v>Domo</v>
      </c>
      <c r="E428" s="30" t="str">
        <f>'RESUMEN TOTAL'!F534</f>
        <v>GPON</v>
      </c>
      <c r="F428" s="70">
        <f>'RESUMEN TOTAL'!M534</f>
        <v>0</v>
      </c>
      <c r="G428" s="70">
        <f>'RESUMEN TOTAL'!N534</f>
        <v>0</v>
      </c>
      <c r="H428" s="70">
        <f>'RESUMEN TOTAL'!O534</f>
        <v>0</v>
      </c>
      <c r="I428" s="70">
        <f>'RESUMEN TOTAL'!P534</f>
        <v>0</v>
      </c>
      <c r="J428" s="70">
        <f>'RESUMEN TOTAL'!Q534</f>
        <v>0</v>
      </c>
      <c r="K428" s="70">
        <f>'RESUMEN TOTAL'!R534</f>
        <v>0</v>
      </c>
      <c r="L428" s="70">
        <f>'RESUMEN TOTAL'!S534</f>
        <v>0</v>
      </c>
      <c r="M428" s="70">
        <f>'RESUMEN TOTAL'!T534</f>
        <v>0</v>
      </c>
      <c r="N428" s="70">
        <f>'RESUMEN TOTAL'!U534</f>
        <v>0</v>
      </c>
      <c r="O428" s="70">
        <f>'RESUMEN TOTAL'!V534</f>
        <v>0</v>
      </c>
      <c r="P428" s="70">
        <f>'RESUMEN TOTAL'!W534</f>
        <v>0</v>
      </c>
      <c r="Q428" s="70">
        <f>'RESUMEN TOTAL'!X534</f>
        <v>0</v>
      </c>
      <c r="R428" s="70">
        <f>'RESUMEN TOTAL'!Y534</f>
        <v>0</v>
      </c>
      <c r="S428" s="70">
        <f>'RESUMEN TOTAL'!Z534</f>
        <v>0</v>
      </c>
      <c r="T428" s="70">
        <f>'RESUMEN TOTAL'!AA534</f>
        <v>0</v>
      </c>
      <c r="U428" s="70">
        <f>'RESUMEN TOTAL'!AB534</f>
        <v>0</v>
      </c>
      <c r="V428" s="70">
        <f>'RESUMEN TOTAL'!AC534</f>
        <v>0</v>
      </c>
      <c r="W428" s="70">
        <f>'RESUMEN TOTAL'!AD534</f>
        <v>0</v>
      </c>
      <c r="X428" s="70">
        <f>'RESUMEN TOTAL'!AE534</f>
        <v>0</v>
      </c>
      <c r="Y428" s="70">
        <f>'RESUMEN TOTAL'!AF534</f>
        <v>0</v>
      </c>
      <c r="Z428" s="70">
        <f>'RESUMEN TOTAL'!AG534</f>
        <v>0</v>
      </c>
      <c r="AA428" s="70">
        <f>'RESUMEN TOTAL'!AH534</f>
        <v>0</v>
      </c>
      <c r="AB428" s="70">
        <f>'RESUMEN TOTAL'!AI534</f>
        <v>0</v>
      </c>
      <c r="AC428" s="70">
        <f>'RESUMEN TOTAL'!AJ534</f>
        <v>0</v>
      </c>
      <c r="AD428" s="70">
        <f>'RESUMEN TOTAL'!AK534</f>
        <v>0</v>
      </c>
      <c r="AE428" s="70">
        <f>'RESUMEN TOTAL'!AL534</f>
        <v>0</v>
      </c>
      <c r="AF428" s="70">
        <f>'RESUMEN TOTAL'!AM534</f>
        <v>0</v>
      </c>
      <c r="AG428" s="70">
        <f>'RESUMEN TOTAL'!AN534</f>
        <v>0</v>
      </c>
      <c r="AH428" s="70">
        <f>'RESUMEN TOTAL'!AO534</f>
        <v>0</v>
      </c>
      <c r="AI428" s="70">
        <f>'RESUMEN TOTAL'!AP534</f>
        <v>0</v>
      </c>
      <c r="AJ428" s="70">
        <f>'RESUMEN TOTAL'!AQ534</f>
        <v>0</v>
      </c>
    </row>
    <row r="429" spans="1:36" x14ac:dyDescent="0.25">
      <c r="A429" t="str">
        <f>'RESUMEN TOTAL'!A535</f>
        <v>VILLA DEL PLATA</v>
      </c>
      <c r="B429" t="str">
        <f>'RESUMEN TOTAL'!B535</f>
        <v>VDPL05</v>
      </c>
      <c r="C429" t="str">
        <f>'RESUMEN TOTAL'!D535</f>
        <v>Ruta 36 y Abraham</v>
      </c>
      <c r="D429" s="30" t="str">
        <f>'RESUMEN TOTAL'!E535</f>
        <v>Domo</v>
      </c>
      <c r="E429" s="30" t="str">
        <f>'RESUMEN TOTAL'!F535</f>
        <v>PTO A FO</v>
      </c>
      <c r="F429" s="70">
        <f>'RESUMEN TOTAL'!M535</f>
        <v>0</v>
      </c>
      <c r="G429" s="70">
        <f>'RESUMEN TOTAL'!N535</f>
        <v>0</v>
      </c>
      <c r="H429" s="70">
        <f>'RESUMEN TOTAL'!O535</f>
        <v>0</v>
      </c>
      <c r="I429" s="70">
        <f>'RESUMEN TOTAL'!P535</f>
        <v>0</v>
      </c>
      <c r="J429" s="70">
        <f>'RESUMEN TOTAL'!Q535</f>
        <v>0</v>
      </c>
      <c r="K429" s="70">
        <f>'RESUMEN TOTAL'!R535</f>
        <v>0</v>
      </c>
      <c r="L429" s="70">
        <f>'RESUMEN TOTAL'!S535</f>
        <v>0</v>
      </c>
      <c r="M429" s="70">
        <f>'RESUMEN TOTAL'!T535</f>
        <v>0</v>
      </c>
      <c r="N429" s="70">
        <f>'RESUMEN TOTAL'!U535</f>
        <v>0</v>
      </c>
      <c r="O429" s="70">
        <f>'RESUMEN TOTAL'!V535</f>
        <v>0</v>
      </c>
      <c r="P429" s="70">
        <f>'RESUMEN TOTAL'!W535</f>
        <v>0</v>
      </c>
      <c r="Q429" s="70">
        <f>'RESUMEN TOTAL'!X535</f>
        <v>0</v>
      </c>
      <c r="R429" s="70">
        <f>'RESUMEN TOTAL'!Y535</f>
        <v>0</v>
      </c>
      <c r="S429" s="70">
        <f>'RESUMEN TOTAL'!Z535</f>
        <v>0</v>
      </c>
      <c r="T429" s="70">
        <f>'RESUMEN TOTAL'!AA535</f>
        <v>0</v>
      </c>
      <c r="U429" s="70">
        <f>'RESUMEN TOTAL'!AB535</f>
        <v>0</v>
      </c>
      <c r="V429" s="70" t="str">
        <f>'RESUMEN TOTAL'!AC535</f>
        <v xml:space="preserve"> </v>
      </c>
      <c r="W429" s="70">
        <f>'RESUMEN TOTAL'!AD535</f>
        <v>0</v>
      </c>
      <c r="X429" s="70">
        <f>'RESUMEN TOTAL'!AE535</f>
        <v>0</v>
      </c>
      <c r="Y429" s="70">
        <f>'RESUMEN TOTAL'!AF535</f>
        <v>0</v>
      </c>
      <c r="Z429" s="70">
        <f>'RESUMEN TOTAL'!AG535</f>
        <v>0</v>
      </c>
      <c r="AA429" s="70">
        <f>'RESUMEN TOTAL'!AH535</f>
        <v>0</v>
      </c>
      <c r="AB429" s="70">
        <f>'RESUMEN TOTAL'!AI535</f>
        <v>0</v>
      </c>
      <c r="AC429" s="70">
        <f>'RESUMEN TOTAL'!AJ535</f>
        <v>0</v>
      </c>
      <c r="AD429" s="70">
        <f>'RESUMEN TOTAL'!AK535</f>
        <v>0</v>
      </c>
      <c r="AE429" s="70">
        <f>'RESUMEN TOTAL'!AL535</f>
        <v>0</v>
      </c>
      <c r="AF429" s="70">
        <f>'RESUMEN TOTAL'!AM535</f>
        <v>0</v>
      </c>
      <c r="AG429" s="70">
        <f>'RESUMEN TOTAL'!AN535</f>
        <v>0</v>
      </c>
      <c r="AH429" s="70">
        <f>'RESUMEN TOTAL'!AO535</f>
        <v>0</v>
      </c>
      <c r="AI429" s="70">
        <f>'RESUMEN TOTAL'!AP535</f>
        <v>0</v>
      </c>
      <c r="AJ429" s="70">
        <f>'RESUMEN TOTAL'!AQ535</f>
        <v>0</v>
      </c>
    </row>
    <row r="430" spans="1:36" x14ac:dyDescent="0.25">
      <c r="A430" t="str">
        <f>'RESUMEN TOTAL'!A536</f>
        <v>VILLA ANGELICA</v>
      </c>
      <c r="B430" t="str">
        <f>'RESUMEN TOTAL'!B536</f>
        <v>VDPL06</v>
      </c>
      <c r="C430" t="str">
        <f>'RESUMEN TOTAL'!D536</f>
        <v>Thevenet e/ Islas Orcadas y Gardel</v>
      </c>
      <c r="D430" s="30" t="str">
        <f>'RESUMEN TOTAL'!E536</f>
        <v>Domo</v>
      </c>
      <c r="E430" s="30" t="str">
        <f>'RESUMEN TOTAL'!F536</f>
        <v>GPON</v>
      </c>
      <c r="F430" s="70" t="str">
        <f>'RESUMEN TOTAL'!M536</f>
        <v>APAGADO</v>
      </c>
      <c r="G430" s="70" t="str">
        <f>'RESUMEN TOTAL'!N536</f>
        <v>APAGADO</v>
      </c>
      <c r="H430" s="70" t="str">
        <f>'RESUMEN TOTAL'!O536</f>
        <v>APAGADO</v>
      </c>
      <c r="I430" s="70" t="str">
        <f>'RESUMEN TOTAL'!P536</f>
        <v>APAGADO</v>
      </c>
      <c r="J430" s="70" t="str">
        <f>'RESUMEN TOTAL'!Q536</f>
        <v>APAGADO</v>
      </c>
      <c r="K430" s="70" t="str">
        <f>'RESUMEN TOTAL'!R536</f>
        <v>APAGADO</v>
      </c>
      <c r="L430" s="70" t="str">
        <f>'RESUMEN TOTAL'!S536</f>
        <v>APAGADO</v>
      </c>
      <c r="M430" s="70" t="str">
        <f>'RESUMEN TOTAL'!T536</f>
        <v>APAGADO</v>
      </c>
      <c r="N430" s="70">
        <f>'RESUMEN TOTAL'!U536</f>
        <v>0</v>
      </c>
      <c r="O430" s="70">
        <f>'RESUMEN TOTAL'!V536</f>
        <v>0</v>
      </c>
      <c r="P430" s="70">
        <f>'RESUMEN TOTAL'!W536</f>
        <v>0</v>
      </c>
      <c r="Q430" s="70">
        <f>'RESUMEN TOTAL'!X536</f>
        <v>0</v>
      </c>
      <c r="R430" s="70">
        <f>'RESUMEN TOTAL'!Y536</f>
        <v>0</v>
      </c>
      <c r="S430" s="70">
        <f>'RESUMEN TOTAL'!Z536</f>
        <v>0</v>
      </c>
      <c r="T430" s="70">
        <f>'RESUMEN TOTAL'!AA536</f>
        <v>0</v>
      </c>
      <c r="U430" s="70">
        <f>'RESUMEN TOTAL'!AB536</f>
        <v>0</v>
      </c>
      <c r="V430" s="70">
        <f>'RESUMEN TOTAL'!AC536</f>
        <v>0</v>
      </c>
      <c r="W430" s="70">
        <f>'RESUMEN TOTAL'!AD536</f>
        <v>0</v>
      </c>
      <c r="X430" s="70">
        <f>'RESUMEN TOTAL'!AE536</f>
        <v>0</v>
      </c>
      <c r="Y430" s="70">
        <f>'RESUMEN TOTAL'!AF536</f>
        <v>0</v>
      </c>
      <c r="Z430" s="70">
        <f>'RESUMEN TOTAL'!AG536</f>
        <v>0</v>
      </c>
      <c r="AA430" s="70">
        <f>'RESUMEN TOTAL'!AH536</f>
        <v>0</v>
      </c>
      <c r="AB430" s="70">
        <f>'RESUMEN TOTAL'!AI536</f>
        <v>0</v>
      </c>
      <c r="AC430" s="70">
        <f>'RESUMEN TOTAL'!AJ536</f>
        <v>0</v>
      </c>
      <c r="AD430" s="70">
        <f>'RESUMEN TOTAL'!AK536</f>
        <v>0</v>
      </c>
      <c r="AE430" s="70">
        <f>'RESUMEN TOTAL'!AL536</f>
        <v>0</v>
      </c>
      <c r="AF430" s="70">
        <f>'RESUMEN TOTAL'!AM536</f>
        <v>0</v>
      </c>
      <c r="AG430" s="70">
        <f>'RESUMEN TOTAL'!AN536</f>
        <v>0</v>
      </c>
      <c r="AH430" s="70">
        <f>'RESUMEN TOTAL'!AO536</f>
        <v>0</v>
      </c>
      <c r="AI430" s="70">
        <f>'RESUMEN TOTAL'!AP536</f>
        <v>0</v>
      </c>
      <c r="AJ430" s="70">
        <f>'RESUMEN TOTAL'!AQ536</f>
        <v>0</v>
      </c>
    </row>
    <row r="431" spans="1:36" x14ac:dyDescent="0.25">
      <c r="A431" t="str">
        <f>'RESUMEN TOTAL'!A537</f>
        <v>VILLA ANGELICA</v>
      </c>
      <c r="B431" t="str">
        <f>'RESUMEN TOTAL'!B537</f>
        <v>VDPL07</v>
      </c>
      <c r="C431" t="str">
        <f>'RESUMEN TOTAL'!D537</f>
        <v>Berutti y Casares</v>
      </c>
      <c r="D431" s="30" t="str">
        <f>'RESUMEN TOTAL'!E537</f>
        <v>DOMO</v>
      </c>
      <c r="E431" s="30" t="str">
        <f>'RESUMEN TOTAL'!F537</f>
        <v>GPON</v>
      </c>
      <c r="F431" s="70">
        <f>'RESUMEN TOTAL'!M537</f>
        <v>0</v>
      </c>
      <c r="G431" s="70">
        <f>'RESUMEN TOTAL'!N537</f>
        <v>0</v>
      </c>
      <c r="H431" s="70">
        <f>'RESUMEN TOTAL'!O537</f>
        <v>0</v>
      </c>
      <c r="I431" s="70">
        <f>'RESUMEN TOTAL'!P537</f>
        <v>0</v>
      </c>
      <c r="J431" s="70">
        <f>'RESUMEN TOTAL'!Q537</f>
        <v>0</v>
      </c>
      <c r="K431" s="70">
        <f>'RESUMEN TOTAL'!R537</f>
        <v>0</v>
      </c>
      <c r="L431" s="70">
        <f>'RESUMEN TOTAL'!S537</f>
        <v>0</v>
      </c>
      <c r="M431" s="70">
        <f>'RESUMEN TOTAL'!T537</f>
        <v>0</v>
      </c>
      <c r="N431" s="70">
        <f>'RESUMEN TOTAL'!U537</f>
        <v>0</v>
      </c>
      <c r="O431" s="70">
        <f>'RESUMEN TOTAL'!V537</f>
        <v>0</v>
      </c>
      <c r="P431" s="70">
        <f>'RESUMEN TOTAL'!W537</f>
        <v>0</v>
      </c>
      <c r="Q431" s="70">
        <f>'RESUMEN TOTAL'!X537</f>
        <v>0</v>
      </c>
      <c r="R431" s="70">
        <f>'RESUMEN TOTAL'!Y537</f>
        <v>0</v>
      </c>
      <c r="S431" s="70">
        <f>'RESUMEN TOTAL'!Z537</f>
        <v>0</v>
      </c>
      <c r="T431" s="70">
        <f>'RESUMEN TOTAL'!AA537</f>
        <v>0</v>
      </c>
      <c r="U431" s="70">
        <f>'RESUMEN TOTAL'!AB537</f>
        <v>0</v>
      </c>
      <c r="V431" s="70">
        <f>'RESUMEN TOTAL'!AC537</f>
        <v>0</v>
      </c>
      <c r="W431" s="70">
        <f>'RESUMEN TOTAL'!AD537</f>
        <v>0</v>
      </c>
      <c r="X431" s="70">
        <f>'RESUMEN TOTAL'!AE537</f>
        <v>0</v>
      </c>
      <c r="Y431" s="70">
        <f>'RESUMEN TOTAL'!AF537</f>
        <v>0</v>
      </c>
      <c r="Z431" s="70">
        <f>'RESUMEN TOTAL'!AG537</f>
        <v>0</v>
      </c>
      <c r="AA431" s="70">
        <f>'RESUMEN TOTAL'!AH537</f>
        <v>0</v>
      </c>
      <c r="AB431" s="70">
        <f>'RESUMEN TOTAL'!AI537</f>
        <v>0</v>
      </c>
      <c r="AC431" s="70">
        <f>'RESUMEN TOTAL'!AJ537</f>
        <v>0</v>
      </c>
      <c r="AD431" s="70">
        <f>'RESUMEN TOTAL'!AK537</f>
        <v>0</v>
      </c>
      <c r="AE431" s="70">
        <f>'RESUMEN TOTAL'!AL537</f>
        <v>0</v>
      </c>
      <c r="AF431" s="70">
        <f>'RESUMEN TOTAL'!AM537</f>
        <v>0</v>
      </c>
      <c r="AG431" s="70">
        <f>'RESUMEN TOTAL'!AN537</f>
        <v>0</v>
      </c>
      <c r="AH431" s="70">
        <f>'RESUMEN TOTAL'!AO537</f>
        <v>0</v>
      </c>
      <c r="AI431" s="70">
        <f>'RESUMEN TOTAL'!AP537</f>
        <v>0</v>
      </c>
      <c r="AJ431" s="70">
        <f>'RESUMEN TOTAL'!AQ537</f>
        <v>0</v>
      </c>
    </row>
    <row r="432" spans="1:36" x14ac:dyDescent="0.25">
      <c r="A432" t="str">
        <f>'RESUMEN TOTAL'!A539</f>
        <v>VILLA HUDSON</v>
      </c>
      <c r="B432" t="str">
        <f>'RESUMEN TOTAL'!B539</f>
        <v>VHS 01</v>
      </c>
      <c r="C432" t="str">
        <f>'RESUMEN TOTAL'!D539</f>
        <v>AV. HUDSON Y AV. LUJAN</v>
      </c>
      <c r="D432" s="30" t="str">
        <f>'RESUMEN TOTAL'!E539</f>
        <v>DOMO</v>
      </c>
      <c r="E432" s="30" t="str">
        <f>'RESUMEN TOTAL'!F539</f>
        <v>GPON</v>
      </c>
      <c r="F432" s="70">
        <f>'RESUMEN TOTAL'!M539</f>
        <v>0</v>
      </c>
      <c r="G432" s="70">
        <f>'RESUMEN TOTAL'!N539</f>
        <v>0</v>
      </c>
      <c r="H432" s="70">
        <f>'RESUMEN TOTAL'!O539</f>
        <v>0</v>
      </c>
      <c r="I432" s="70" t="str">
        <f>'RESUMEN TOTAL'!P539</f>
        <v>APAGADO</v>
      </c>
      <c r="J432" s="70" t="str">
        <f>'RESUMEN TOTAL'!Q539</f>
        <v>APAGADO</v>
      </c>
      <c r="K432" s="70" t="str">
        <f>'RESUMEN TOTAL'!R539</f>
        <v>APAGADO</v>
      </c>
      <c r="L432" s="70" t="str">
        <f>'RESUMEN TOTAL'!S539</f>
        <v>APAGADO</v>
      </c>
      <c r="M432" s="70" t="str">
        <f>'RESUMEN TOTAL'!T539</f>
        <v>APAGADO</v>
      </c>
      <c r="N432" s="70">
        <f>'RESUMEN TOTAL'!U539</f>
        <v>0</v>
      </c>
      <c r="O432" s="70">
        <f>'RESUMEN TOTAL'!V539</f>
        <v>0</v>
      </c>
      <c r="P432" s="70">
        <f>'RESUMEN TOTAL'!W539</f>
        <v>0</v>
      </c>
      <c r="Q432" s="70">
        <f>'RESUMEN TOTAL'!X539</f>
        <v>0</v>
      </c>
      <c r="R432" s="70">
        <f>'RESUMEN TOTAL'!Y539</f>
        <v>0</v>
      </c>
      <c r="S432" s="70">
        <f>'RESUMEN TOTAL'!Z539</f>
        <v>0</v>
      </c>
      <c r="T432" s="70">
        <f>'RESUMEN TOTAL'!AA539</f>
        <v>0</v>
      </c>
      <c r="U432" s="70">
        <f>'RESUMEN TOTAL'!AB539</f>
        <v>0</v>
      </c>
      <c r="V432" s="70">
        <f>'RESUMEN TOTAL'!AC539</f>
        <v>0</v>
      </c>
      <c r="W432" s="70">
        <f>'RESUMEN TOTAL'!AD539</f>
        <v>0</v>
      </c>
      <c r="X432" s="70">
        <f>'RESUMEN TOTAL'!AE539</f>
        <v>0</v>
      </c>
      <c r="Y432" s="70">
        <f>'RESUMEN TOTAL'!AF539</f>
        <v>0</v>
      </c>
      <c r="Z432" s="70">
        <f>'RESUMEN TOTAL'!AG539</f>
        <v>0</v>
      </c>
      <c r="AA432" s="70">
        <f>'RESUMEN TOTAL'!AH539</f>
        <v>0</v>
      </c>
      <c r="AB432" s="70">
        <f>'RESUMEN TOTAL'!AI539</f>
        <v>0</v>
      </c>
      <c r="AC432" s="70">
        <f>'RESUMEN TOTAL'!AJ539</f>
        <v>0</v>
      </c>
      <c r="AD432" s="70">
        <f>'RESUMEN TOTAL'!AK539</f>
        <v>0</v>
      </c>
      <c r="AE432" s="70">
        <f>'RESUMEN TOTAL'!AL539</f>
        <v>0</v>
      </c>
      <c r="AF432" s="70">
        <f>'RESUMEN TOTAL'!AM539</f>
        <v>0</v>
      </c>
      <c r="AG432" s="70">
        <f>'RESUMEN TOTAL'!AN539</f>
        <v>0</v>
      </c>
      <c r="AH432" s="70">
        <f>'RESUMEN TOTAL'!AO539</f>
        <v>0</v>
      </c>
      <c r="AI432" s="70">
        <f>'RESUMEN TOTAL'!AP539</f>
        <v>0</v>
      </c>
      <c r="AJ432" s="70">
        <f>'RESUMEN TOTAL'!AQ539</f>
        <v>0</v>
      </c>
    </row>
    <row r="433" spans="1:36" x14ac:dyDescent="0.25">
      <c r="A433" t="str">
        <f>'RESUMEN TOTAL'!A540</f>
        <v>VILLA HUDSON</v>
      </c>
      <c r="B433" t="str">
        <f>'RESUMEN TOTAL'!B540</f>
        <v>VHS 02</v>
      </c>
      <c r="C433" t="str">
        <f>'RESUMEN TOTAL'!D540</f>
        <v>AV. LUJAN Y CALLE 909 A</v>
      </c>
      <c r="D433" s="30" t="str">
        <f>'RESUMEN TOTAL'!E540</f>
        <v>DOMO</v>
      </c>
      <c r="E433" s="30" t="str">
        <f>'RESUMEN TOTAL'!F540</f>
        <v>GPON</v>
      </c>
      <c r="F433" s="70">
        <f>'RESUMEN TOTAL'!M540</f>
        <v>0</v>
      </c>
      <c r="G433" s="70">
        <f>'RESUMEN TOTAL'!N540</f>
        <v>0</v>
      </c>
      <c r="H433" s="70">
        <f>'RESUMEN TOTAL'!O540</f>
        <v>0</v>
      </c>
      <c r="I433" s="70" t="str">
        <f>'RESUMEN TOTAL'!P540</f>
        <v>APAGADO</v>
      </c>
      <c r="J433" s="70" t="str">
        <f>'RESUMEN TOTAL'!Q540</f>
        <v>APAGADO</v>
      </c>
      <c r="K433" s="70" t="str">
        <f>'RESUMEN TOTAL'!R540</f>
        <v>APAGADO</v>
      </c>
      <c r="L433" s="70" t="str">
        <f>'RESUMEN TOTAL'!S540</f>
        <v>APAGADO</v>
      </c>
      <c r="M433" s="70" t="str">
        <f>'RESUMEN TOTAL'!T540</f>
        <v>APAGADO</v>
      </c>
      <c r="N433" s="70">
        <f>'RESUMEN TOTAL'!U540</f>
        <v>0</v>
      </c>
      <c r="O433" s="70">
        <f>'RESUMEN TOTAL'!V540</f>
        <v>0</v>
      </c>
      <c r="P433" s="70">
        <f>'RESUMEN TOTAL'!W540</f>
        <v>0</v>
      </c>
      <c r="Q433" s="70">
        <f>'RESUMEN TOTAL'!X540</f>
        <v>0</v>
      </c>
      <c r="R433" s="70">
        <f>'RESUMEN TOTAL'!Y540</f>
        <v>0</v>
      </c>
      <c r="S433" s="70">
        <f>'RESUMEN TOTAL'!Z540</f>
        <v>0</v>
      </c>
      <c r="T433" s="70">
        <f>'RESUMEN TOTAL'!AA540</f>
        <v>0</v>
      </c>
      <c r="U433" s="70">
        <f>'RESUMEN TOTAL'!AB540</f>
        <v>0</v>
      </c>
      <c r="V433" s="70">
        <f>'RESUMEN TOTAL'!AC540</f>
        <v>0</v>
      </c>
      <c r="W433" s="70">
        <f>'RESUMEN TOTAL'!AD540</f>
        <v>0</v>
      </c>
      <c r="X433" s="70">
        <f>'RESUMEN TOTAL'!AE540</f>
        <v>0</v>
      </c>
      <c r="Y433" s="70">
        <f>'RESUMEN TOTAL'!AF540</f>
        <v>0</v>
      </c>
      <c r="Z433" s="70">
        <f>'RESUMEN TOTAL'!AG540</f>
        <v>0</v>
      </c>
      <c r="AA433" s="70">
        <f>'RESUMEN TOTAL'!AH540</f>
        <v>0</v>
      </c>
      <c r="AB433" s="70">
        <f>'RESUMEN TOTAL'!AI540</f>
        <v>0</v>
      </c>
      <c r="AC433" s="70">
        <f>'RESUMEN TOTAL'!AJ540</f>
        <v>0</v>
      </c>
      <c r="AD433" s="70">
        <f>'RESUMEN TOTAL'!AK540</f>
        <v>0</v>
      </c>
      <c r="AE433" s="70">
        <f>'RESUMEN TOTAL'!AL540</f>
        <v>0</v>
      </c>
      <c r="AF433" s="70">
        <f>'RESUMEN TOTAL'!AM540</f>
        <v>0</v>
      </c>
      <c r="AG433" s="70">
        <f>'RESUMEN TOTAL'!AN540</f>
        <v>0</v>
      </c>
      <c r="AH433" s="70">
        <f>'RESUMEN TOTAL'!AO540</f>
        <v>0</v>
      </c>
      <c r="AI433" s="70">
        <f>'RESUMEN TOTAL'!AP540</f>
        <v>0</v>
      </c>
      <c r="AJ433" s="70">
        <f>'RESUMEN TOTAL'!AQ540</f>
        <v>0</v>
      </c>
    </row>
    <row r="434" spans="1:36" x14ac:dyDescent="0.25">
      <c r="A434" t="str">
        <f>'RESUMEN TOTAL'!A541</f>
        <v>VILLA HUDSON</v>
      </c>
      <c r="B434" t="str">
        <f>'RESUMEN TOTAL'!B541</f>
        <v>VHS 03 (fija 1)</v>
      </c>
      <c r="C434" t="str">
        <f>'RESUMEN TOTAL'!D541</f>
        <v>AV. HUDSON Y LOS INMIGRANTES</v>
      </c>
      <c r="D434" s="30" t="str">
        <f>'RESUMEN TOTAL'!E541</f>
        <v>Fija</v>
      </c>
      <c r="E434" s="30" t="str">
        <f>'RESUMEN TOTAL'!F541</f>
        <v>GPON</v>
      </c>
      <c r="F434" s="70">
        <f>'RESUMEN TOTAL'!M541</f>
        <v>0</v>
      </c>
      <c r="G434" s="70">
        <f>'RESUMEN TOTAL'!N541</f>
        <v>0</v>
      </c>
      <c r="H434" s="70">
        <f>'RESUMEN TOTAL'!O541</f>
        <v>0</v>
      </c>
      <c r="I434" s="70" t="str">
        <f>'RESUMEN TOTAL'!P541</f>
        <v>APAGADO</v>
      </c>
      <c r="J434" s="70" t="str">
        <f>'RESUMEN TOTAL'!Q541</f>
        <v>APAGADO</v>
      </c>
      <c r="K434" s="70" t="str">
        <f>'RESUMEN TOTAL'!R541</f>
        <v>APAGADO</v>
      </c>
      <c r="L434" s="70" t="str">
        <f>'RESUMEN TOTAL'!S541</f>
        <v>APAGADO</v>
      </c>
      <c r="M434" s="70" t="str">
        <f>'RESUMEN TOTAL'!T541</f>
        <v>APAGADO</v>
      </c>
      <c r="N434" s="70">
        <f>'RESUMEN TOTAL'!U541</f>
        <v>0</v>
      </c>
      <c r="O434" s="70">
        <f>'RESUMEN TOTAL'!V541</f>
        <v>0</v>
      </c>
      <c r="P434" s="70">
        <f>'RESUMEN TOTAL'!W541</f>
        <v>0</v>
      </c>
      <c r="Q434" s="70">
        <f>'RESUMEN TOTAL'!X541</f>
        <v>0</v>
      </c>
      <c r="R434" s="70">
        <f>'RESUMEN TOTAL'!Y541</f>
        <v>0</v>
      </c>
      <c r="S434" s="70">
        <f>'RESUMEN TOTAL'!Z541</f>
        <v>0</v>
      </c>
      <c r="T434" s="70">
        <f>'RESUMEN TOTAL'!AA541</f>
        <v>0</v>
      </c>
      <c r="U434" s="70">
        <f>'RESUMEN TOTAL'!AB541</f>
        <v>0</v>
      </c>
      <c r="V434" s="70">
        <f>'RESUMEN TOTAL'!AC541</f>
        <v>0</v>
      </c>
      <c r="W434" s="70">
        <f>'RESUMEN TOTAL'!AD541</f>
        <v>0</v>
      </c>
      <c r="X434" s="70">
        <f>'RESUMEN TOTAL'!AE541</f>
        <v>0</v>
      </c>
      <c r="Y434" s="70">
        <f>'RESUMEN TOTAL'!AF541</f>
        <v>0</v>
      </c>
      <c r="Z434" s="70">
        <f>'RESUMEN TOTAL'!AG541</f>
        <v>0</v>
      </c>
      <c r="AA434" s="70">
        <f>'RESUMEN TOTAL'!AH541</f>
        <v>0</v>
      </c>
      <c r="AB434" s="70">
        <f>'RESUMEN TOTAL'!AI541</f>
        <v>0</v>
      </c>
      <c r="AC434" s="70">
        <f>'RESUMEN TOTAL'!AJ541</f>
        <v>0</v>
      </c>
      <c r="AD434" s="70">
        <f>'RESUMEN TOTAL'!AK541</f>
        <v>0</v>
      </c>
      <c r="AE434" s="70">
        <f>'RESUMEN TOTAL'!AL541</f>
        <v>0</v>
      </c>
      <c r="AF434" s="70">
        <f>'RESUMEN TOTAL'!AM541</f>
        <v>0</v>
      </c>
      <c r="AG434" s="70">
        <f>'RESUMEN TOTAL'!AN541</f>
        <v>0</v>
      </c>
      <c r="AH434" s="70">
        <f>'RESUMEN TOTAL'!AO541</f>
        <v>0</v>
      </c>
      <c r="AI434" s="70">
        <f>'RESUMEN TOTAL'!AP541</f>
        <v>0</v>
      </c>
      <c r="AJ434" s="70">
        <f>'RESUMEN TOTAL'!AQ541</f>
        <v>0</v>
      </c>
    </row>
    <row r="435" spans="1:36" x14ac:dyDescent="0.25">
      <c r="A435" t="str">
        <f>'RESUMEN TOTAL'!A542</f>
        <v>VILLA HUDSON</v>
      </c>
      <c r="B435" t="str">
        <f>'RESUMEN TOTAL'!B542</f>
        <v>VHS 04 (fija 2)</v>
      </c>
      <c r="C435" t="str">
        <f>'RESUMEN TOTAL'!D542</f>
        <v>AV. HUDSON Y LOS INMIGRANTES</v>
      </c>
      <c r="D435" s="30" t="str">
        <f>'RESUMEN TOTAL'!E542</f>
        <v>Fija</v>
      </c>
      <c r="E435" s="30" t="str">
        <f>'RESUMEN TOTAL'!F542</f>
        <v>GPON</v>
      </c>
      <c r="F435" s="70">
        <f>'RESUMEN TOTAL'!M542</f>
        <v>0</v>
      </c>
      <c r="G435" s="70">
        <f>'RESUMEN TOTAL'!N542</f>
        <v>0</v>
      </c>
      <c r="H435" s="70">
        <f>'RESUMEN TOTAL'!O542</f>
        <v>0</v>
      </c>
      <c r="I435" s="70" t="str">
        <f>'RESUMEN TOTAL'!P542</f>
        <v>APAGADO</v>
      </c>
      <c r="J435" s="70" t="str">
        <f>'RESUMEN TOTAL'!Q542</f>
        <v>APAGADO</v>
      </c>
      <c r="K435" s="70" t="str">
        <f>'RESUMEN TOTAL'!R542</f>
        <v>APAGADO</v>
      </c>
      <c r="L435" s="70" t="str">
        <f>'RESUMEN TOTAL'!S542</f>
        <v>APAGADO</v>
      </c>
      <c r="M435" s="70" t="str">
        <f>'RESUMEN TOTAL'!T542</f>
        <v>APAGADO</v>
      </c>
      <c r="N435" s="70">
        <f>'RESUMEN TOTAL'!U542</f>
        <v>0</v>
      </c>
      <c r="O435" s="70">
        <f>'RESUMEN TOTAL'!V542</f>
        <v>0</v>
      </c>
      <c r="P435" s="70">
        <f>'RESUMEN TOTAL'!W542</f>
        <v>0</v>
      </c>
      <c r="Q435" s="70">
        <f>'RESUMEN TOTAL'!X542</f>
        <v>0</v>
      </c>
      <c r="R435" s="70">
        <f>'RESUMEN TOTAL'!Y542</f>
        <v>0</v>
      </c>
      <c r="S435" s="70">
        <f>'RESUMEN TOTAL'!Z542</f>
        <v>0</v>
      </c>
      <c r="T435" s="70">
        <f>'RESUMEN TOTAL'!AA542</f>
        <v>0</v>
      </c>
      <c r="U435" s="70">
        <f>'RESUMEN TOTAL'!AB542</f>
        <v>0</v>
      </c>
      <c r="V435" s="70">
        <f>'RESUMEN TOTAL'!AC542</f>
        <v>0</v>
      </c>
      <c r="W435" s="70">
        <f>'RESUMEN TOTAL'!AD542</f>
        <v>0</v>
      </c>
      <c r="X435" s="70">
        <f>'RESUMEN TOTAL'!AE542</f>
        <v>0</v>
      </c>
      <c r="Y435" s="70">
        <f>'RESUMEN TOTAL'!AF542</f>
        <v>0</v>
      </c>
      <c r="Z435" s="70">
        <f>'RESUMEN TOTAL'!AG542</f>
        <v>0</v>
      </c>
      <c r="AA435" s="70">
        <f>'RESUMEN TOTAL'!AH542</f>
        <v>0</v>
      </c>
      <c r="AB435" s="70">
        <f>'RESUMEN TOTAL'!AI542</f>
        <v>0</v>
      </c>
      <c r="AC435" s="70">
        <f>'RESUMEN TOTAL'!AJ542</f>
        <v>0</v>
      </c>
      <c r="AD435" s="70">
        <f>'RESUMEN TOTAL'!AK542</f>
        <v>0</v>
      </c>
      <c r="AE435" s="70">
        <f>'RESUMEN TOTAL'!AL542</f>
        <v>0</v>
      </c>
      <c r="AF435" s="70">
        <f>'RESUMEN TOTAL'!AM542</f>
        <v>0</v>
      </c>
      <c r="AG435" s="70">
        <f>'RESUMEN TOTAL'!AN542</f>
        <v>0</v>
      </c>
      <c r="AH435" s="70">
        <f>'RESUMEN TOTAL'!AO542</f>
        <v>0</v>
      </c>
      <c r="AI435" s="70">
        <f>'RESUMEN TOTAL'!AP542</f>
        <v>0</v>
      </c>
      <c r="AJ435" s="70">
        <f>'RESUMEN TOTAL'!AQ542</f>
        <v>0</v>
      </c>
    </row>
    <row r="436" spans="1:36" x14ac:dyDescent="0.25">
      <c r="A436" t="str">
        <f>'RESUMEN TOTAL'!A546</f>
        <v>VILLA ARIAS</v>
      </c>
      <c r="B436" t="str">
        <f>'RESUMEN TOTAL'!B546</f>
        <v>VLA 01 (fija 1)</v>
      </c>
      <c r="C436" t="str">
        <f>'RESUMEN TOTAL'!D546</f>
        <v>820 Y SOLER</v>
      </c>
      <c r="D436" s="30" t="str">
        <f>'RESUMEN TOTAL'!E546</f>
        <v>Fija</v>
      </c>
      <c r="E436" s="30" t="str">
        <f>'RESUMEN TOTAL'!F546</f>
        <v>GPON</v>
      </c>
      <c r="F436" s="70">
        <f>'RESUMEN TOTAL'!M546</f>
        <v>0</v>
      </c>
      <c r="G436" s="70">
        <f>'RESUMEN TOTAL'!N546</f>
        <v>0</v>
      </c>
      <c r="H436" s="70">
        <f>'RESUMEN TOTAL'!O546</f>
        <v>0</v>
      </c>
      <c r="I436" s="70" t="str">
        <f>'RESUMEN TOTAL'!P546</f>
        <v>APAGADO</v>
      </c>
      <c r="J436" s="70" t="str">
        <f>'RESUMEN TOTAL'!Q546</f>
        <v>APAGADO</v>
      </c>
      <c r="K436" s="70" t="str">
        <f>'RESUMEN TOTAL'!R546</f>
        <v>APAGADO</v>
      </c>
      <c r="L436" s="70" t="str">
        <f>'RESUMEN TOTAL'!S546</f>
        <v>APAGADO</v>
      </c>
      <c r="M436" s="70" t="str">
        <f>'RESUMEN TOTAL'!T546</f>
        <v>APAGADO</v>
      </c>
      <c r="N436" s="70">
        <f>'RESUMEN TOTAL'!U546</f>
        <v>0</v>
      </c>
      <c r="O436" s="70">
        <f>'RESUMEN TOTAL'!V546</f>
        <v>0</v>
      </c>
      <c r="P436" s="70">
        <f>'RESUMEN TOTAL'!W546</f>
        <v>0</v>
      </c>
      <c r="Q436" s="70">
        <f>'RESUMEN TOTAL'!X546</f>
        <v>0</v>
      </c>
      <c r="R436" s="70">
        <f>'RESUMEN TOTAL'!Y546</f>
        <v>0</v>
      </c>
      <c r="S436" s="70">
        <f>'RESUMEN TOTAL'!Z546</f>
        <v>0</v>
      </c>
      <c r="T436" s="70">
        <f>'RESUMEN TOTAL'!AA546</f>
        <v>0</v>
      </c>
      <c r="U436" s="70">
        <f>'RESUMEN TOTAL'!AB546</f>
        <v>0</v>
      </c>
      <c r="V436" s="70">
        <f>'RESUMEN TOTAL'!AC546</f>
        <v>0</v>
      </c>
      <c r="W436" s="70">
        <f>'RESUMEN TOTAL'!AD546</f>
        <v>0</v>
      </c>
      <c r="X436" s="70">
        <f>'RESUMEN TOTAL'!AE546</f>
        <v>0</v>
      </c>
      <c r="Y436" s="70">
        <f>'RESUMEN TOTAL'!AF546</f>
        <v>0</v>
      </c>
      <c r="Z436" s="70">
        <f>'RESUMEN TOTAL'!AG546</f>
        <v>0</v>
      </c>
      <c r="AA436" s="70">
        <f>'RESUMEN TOTAL'!AH546</f>
        <v>0</v>
      </c>
      <c r="AB436" s="70">
        <f>'RESUMEN TOTAL'!AI546</f>
        <v>0</v>
      </c>
      <c r="AC436" s="70">
        <f>'RESUMEN TOTAL'!AJ546</f>
        <v>0</v>
      </c>
      <c r="AD436" s="70">
        <f>'RESUMEN TOTAL'!AK546</f>
        <v>0</v>
      </c>
      <c r="AE436" s="70">
        <f>'RESUMEN TOTAL'!AL546</f>
        <v>0</v>
      </c>
      <c r="AF436" s="70">
        <f>'RESUMEN TOTAL'!AM546</f>
        <v>0</v>
      </c>
      <c r="AG436" s="70">
        <f>'RESUMEN TOTAL'!AN546</f>
        <v>0</v>
      </c>
      <c r="AH436" s="70">
        <f>'RESUMEN TOTAL'!AO546</f>
        <v>0</v>
      </c>
      <c r="AI436" s="70">
        <f>'RESUMEN TOTAL'!AP546</f>
        <v>0</v>
      </c>
      <c r="AJ436" s="70">
        <f>'RESUMEN TOTAL'!AQ546</f>
        <v>0</v>
      </c>
    </row>
    <row r="437" spans="1:36" x14ac:dyDescent="0.25">
      <c r="A437" t="str">
        <f>'RESUMEN TOTAL'!A547</f>
        <v>VILLA ARIAS</v>
      </c>
      <c r="B437" t="str">
        <f>'RESUMEN TOTAL'!B547</f>
        <v>VLA 02</v>
      </c>
      <c r="C437" t="str">
        <f>'RESUMEN TOTAL'!D547</f>
        <v>ESPORA Y HUDSON</v>
      </c>
      <c r="D437" s="30" t="str">
        <f>'RESUMEN TOTAL'!E547</f>
        <v>DOMO</v>
      </c>
      <c r="E437" s="30" t="str">
        <f>'RESUMEN TOTAL'!F547</f>
        <v>Fibra Optica</v>
      </c>
      <c r="F437" s="70">
        <f>'RESUMEN TOTAL'!M547</f>
        <v>0</v>
      </c>
      <c r="G437" s="70">
        <f>'RESUMEN TOTAL'!N547</f>
        <v>0</v>
      </c>
      <c r="H437" s="70">
        <f>'RESUMEN TOTAL'!O547</f>
        <v>0</v>
      </c>
      <c r="I437" s="70" t="str">
        <f>'RESUMEN TOTAL'!P547</f>
        <v>APAGADO</v>
      </c>
      <c r="J437" s="70" t="str">
        <f>'RESUMEN TOTAL'!Q547</f>
        <v>APAGADO</v>
      </c>
      <c r="K437" s="70" t="str">
        <f>'RESUMEN TOTAL'!R547</f>
        <v>APAGADO</v>
      </c>
      <c r="L437" s="70" t="str">
        <f>'RESUMEN TOTAL'!S547</f>
        <v>APAGADO</v>
      </c>
      <c r="M437" s="70" t="str">
        <f>'RESUMEN TOTAL'!T547</f>
        <v>APAGADO</v>
      </c>
      <c r="N437" s="70">
        <f>'RESUMEN TOTAL'!U547</f>
        <v>0</v>
      </c>
      <c r="O437" s="70">
        <f>'RESUMEN TOTAL'!V547</f>
        <v>0</v>
      </c>
      <c r="P437" s="70">
        <f>'RESUMEN TOTAL'!W547</f>
        <v>0</v>
      </c>
      <c r="Q437" s="70">
        <f>'RESUMEN TOTAL'!X547</f>
        <v>0</v>
      </c>
      <c r="R437" s="70">
        <f>'RESUMEN TOTAL'!Y547</f>
        <v>0</v>
      </c>
      <c r="S437" s="70">
        <f>'RESUMEN TOTAL'!Z547</f>
        <v>0</v>
      </c>
      <c r="T437" s="70">
        <f>'RESUMEN TOTAL'!AA547</f>
        <v>0</v>
      </c>
      <c r="U437" s="70">
        <f>'RESUMEN TOTAL'!AB547</f>
        <v>0</v>
      </c>
      <c r="V437" s="70">
        <f>'RESUMEN TOTAL'!AC547</f>
        <v>0</v>
      </c>
      <c r="W437" s="70">
        <f>'RESUMEN TOTAL'!AD547</f>
        <v>0</v>
      </c>
      <c r="X437" s="70">
        <f>'RESUMEN TOTAL'!AE547</f>
        <v>0</v>
      </c>
      <c r="Y437" s="70">
        <f>'RESUMEN TOTAL'!AF547</f>
        <v>0</v>
      </c>
      <c r="Z437" s="70">
        <f>'RESUMEN TOTAL'!AG547</f>
        <v>0</v>
      </c>
      <c r="AA437" s="70">
        <f>'RESUMEN TOTAL'!AH547</f>
        <v>0</v>
      </c>
      <c r="AB437" s="70">
        <f>'RESUMEN TOTAL'!AI547</f>
        <v>0</v>
      </c>
      <c r="AC437" s="70">
        <f>'RESUMEN TOTAL'!AJ547</f>
        <v>0</v>
      </c>
      <c r="AD437" s="70">
        <f>'RESUMEN TOTAL'!AK547</f>
        <v>0</v>
      </c>
      <c r="AE437" s="70">
        <f>'RESUMEN TOTAL'!AL547</f>
        <v>0</v>
      </c>
      <c r="AF437" s="70">
        <f>'RESUMEN TOTAL'!AM547</f>
        <v>0</v>
      </c>
      <c r="AG437" s="70">
        <f>'RESUMEN TOTAL'!AN547</f>
        <v>0</v>
      </c>
      <c r="AH437" s="70">
        <f>'RESUMEN TOTAL'!AO547</f>
        <v>0</v>
      </c>
      <c r="AI437" s="70">
        <f>'RESUMEN TOTAL'!AP547</f>
        <v>0</v>
      </c>
      <c r="AJ437" s="70">
        <f>'RESUMEN TOTAL'!AQ547</f>
        <v>0</v>
      </c>
    </row>
    <row r="438" spans="1:36" x14ac:dyDescent="0.25">
      <c r="A438" t="str">
        <f>'RESUMEN TOTAL'!A548</f>
        <v>VILLA ARIAS</v>
      </c>
      <c r="B438" t="str">
        <f>'RESUMEN TOTAL'!B548</f>
        <v>VLA03 (fija 2)</v>
      </c>
      <c r="C438" t="str">
        <f>'RESUMEN TOTAL'!D548</f>
        <v>820 y SOLER</v>
      </c>
      <c r="D438" s="30" t="str">
        <f>'RESUMEN TOTAL'!E548</f>
        <v>Fija</v>
      </c>
      <c r="E438" s="30" t="str">
        <f>'RESUMEN TOTAL'!F548</f>
        <v>GPON</v>
      </c>
      <c r="F438" s="70">
        <f>'RESUMEN TOTAL'!M548</f>
        <v>0</v>
      </c>
      <c r="G438" s="70">
        <f>'RESUMEN TOTAL'!N548</f>
        <v>0</v>
      </c>
      <c r="H438" s="70">
        <f>'RESUMEN TOTAL'!O548</f>
        <v>0</v>
      </c>
      <c r="I438" s="70" t="str">
        <f>'RESUMEN TOTAL'!P548</f>
        <v>APAGADO</v>
      </c>
      <c r="J438" s="70" t="str">
        <f>'RESUMEN TOTAL'!Q548</f>
        <v>APAGADO</v>
      </c>
      <c r="K438" s="70" t="str">
        <f>'RESUMEN TOTAL'!R548</f>
        <v>APAGADO</v>
      </c>
      <c r="L438" s="70" t="str">
        <f>'RESUMEN TOTAL'!S548</f>
        <v>APAGADO</v>
      </c>
      <c r="M438" s="70" t="str">
        <f>'RESUMEN TOTAL'!T548</f>
        <v>APAGADO</v>
      </c>
      <c r="N438" s="70">
        <f>'RESUMEN TOTAL'!U548</f>
        <v>0</v>
      </c>
      <c r="O438" s="70">
        <f>'RESUMEN TOTAL'!V548</f>
        <v>0</v>
      </c>
      <c r="P438" s="70">
        <f>'RESUMEN TOTAL'!W548</f>
        <v>0</v>
      </c>
      <c r="Q438" s="70">
        <f>'RESUMEN TOTAL'!X548</f>
        <v>0</v>
      </c>
      <c r="R438" s="70">
        <f>'RESUMEN TOTAL'!Y548</f>
        <v>0</v>
      </c>
      <c r="S438" s="70">
        <f>'RESUMEN TOTAL'!Z548</f>
        <v>0</v>
      </c>
      <c r="T438" s="70">
        <f>'RESUMEN TOTAL'!AA548</f>
        <v>0</v>
      </c>
      <c r="U438" s="70">
        <f>'RESUMEN TOTAL'!AB548</f>
        <v>0</v>
      </c>
      <c r="V438" s="70">
        <f>'RESUMEN TOTAL'!AC548</f>
        <v>0</v>
      </c>
      <c r="W438" s="70">
        <f>'RESUMEN TOTAL'!AD548</f>
        <v>0</v>
      </c>
      <c r="X438" s="70">
        <f>'RESUMEN TOTAL'!AE548</f>
        <v>0</v>
      </c>
      <c r="Y438" s="70">
        <f>'RESUMEN TOTAL'!AF548</f>
        <v>0</v>
      </c>
      <c r="Z438" s="70">
        <f>'RESUMEN TOTAL'!AG548</f>
        <v>0</v>
      </c>
      <c r="AA438" s="70">
        <f>'RESUMEN TOTAL'!AH548</f>
        <v>0</v>
      </c>
      <c r="AB438" s="70">
        <f>'RESUMEN TOTAL'!AI548</f>
        <v>0</v>
      </c>
      <c r="AC438" s="70">
        <f>'RESUMEN TOTAL'!AJ548</f>
        <v>0</v>
      </c>
      <c r="AD438" s="70">
        <f>'RESUMEN TOTAL'!AK548</f>
        <v>0</v>
      </c>
      <c r="AE438" s="70">
        <f>'RESUMEN TOTAL'!AL548</f>
        <v>0</v>
      </c>
      <c r="AF438" s="70">
        <f>'RESUMEN TOTAL'!AM548</f>
        <v>0</v>
      </c>
      <c r="AG438" s="70">
        <f>'RESUMEN TOTAL'!AN548</f>
        <v>0</v>
      </c>
      <c r="AH438" s="70">
        <f>'RESUMEN TOTAL'!AO548</f>
        <v>0</v>
      </c>
      <c r="AI438" s="70">
        <f>'RESUMEN TOTAL'!AP548</f>
        <v>0</v>
      </c>
      <c r="AJ438" s="70">
        <f>'RESUMEN TOTAL'!AQ548</f>
        <v>0</v>
      </c>
    </row>
    <row r="439" spans="1:36" x14ac:dyDescent="0.25">
      <c r="A439" t="str">
        <f>'RESUMEN TOTAL'!A549</f>
        <v>VILLA ARIAS</v>
      </c>
      <c r="B439" t="str">
        <f>'RESUMEN TOTAL'!B549</f>
        <v>VLA04</v>
      </c>
      <c r="C439" t="str">
        <f>'RESUMEN TOTAL'!D549</f>
        <v>ESPORA Y MARTIN GRASS</v>
      </c>
      <c r="D439" s="30" t="str">
        <f>'RESUMEN TOTAL'!E549</f>
        <v>DOMO</v>
      </c>
      <c r="E439" s="30" t="str">
        <f>'RESUMEN TOTAL'!F549</f>
        <v>Fibra Optica</v>
      </c>
      <c r="F439" s="70">
        <f>'RESUMEN TOTAL'!M549</f>
        <v>0</v>
      </c>
      <c r="G439" s="70">
        <f>'RESUMEN TOTAL'!N549</f>
        <v>0</v>
      </c>
      <c r="H439" s="70">
        <f>'RESUMEN TOTAL'!O549</f>
        <v>0</v>
      </c>
      <c r="I439" s="70" t="str">
        <f>'RESUMEN TOTAL'!P549</f>
        <v>APAGADO</v>
      </c>
      <c r="J439" s="70" t="str">
        <f>'RESUMEN TOTAL'!Q549</f>
        <v>APAGADO</v>
      </c>
      <c r="K439" s="70" t="str">
        <f>'RESUMEN TOTAL'!R549</f>
        <v>APAGADO</v>
      </c>
      <c r="L439" s="70" t="str">
        <f>'RESUMEN TOTAL'!S549</f>
        <v>APAGADO</v>
      </c>
      <c r="M439" s="70" t="str">
        <f>'RESUMEN TOTAL'!T549</f>
        <v>APAGADO</v>
      </c>
      <c r="N439" s="70">
        <f>'RESUMEN TOTAL'!U549</f>
        <v>0</v>
      </c>
      <c r="O439" s="70">
        <f>'RESUMEN TOTAL'!V549</f>
        <v>0</v>
      </c>
      <c r="P439" s="70">
        <f>'RESUMEN TOTAL'!W549</f>
        <v>0</v>
      </c>
      <c r="Q439" s="70">
        <f>'RESUMEN TOTAL'!X549</f>
        <v>0</v>
      </c>
      <c r="R439" s="70">
        <f>'RESUMEN TOTAL'!Y549</f>
        <v>0</v>
      </c>
      <c r="S439" s="70">
        <f>'RESUMEN TOTAL'!Z549</f>
        <v>0</v>
      </c>
      <c r="T439" s="70">
        <f>'RESUMEN TOTAL'!AA549</f>
        <v>0</v>
      </c>
      <c r="U439" s="70">
        <f>'RESUMEN TOTAL'!AB549</f>
        <v>0</v>
      </c>
      <c r="V439" s="70">
        <f>'RESUMEN TOTAL'!AC549</f>
        <v>0</v>
      </c>
      <c r="W439" s="70">
        <f>'RESUMEN TOTAL'!AD549</f>
        <v>0</v>
      </c>
      <c r="X439" s="70">
        <f>'RESUMEN TOTAL'!AE549</f>
        <v>0</v>
      </c>
      <c r="Y439" s="70">
        <f>'RESUMEN TOTAL'!AF549</f>
        <v>0</v>
      </c>
      <c r="Z439" s="70">
        <f>'RESUMEN TOTAL'!AG549</f>
        <v>0</v>
      </c>
      <c r="AA439" s="70">
        <f>'RESUMEN TOTAL'!AH549</f>
        <v>0</v>
      </c>
      <c r="AB439" s="70">
        <f>'RESUMEN TOTAL'!AI549</f>
        <v>0</v>
      </c>
      <c r="AC439" s="70">
        <f>'RESUMEN TOTAL'!AJ549</f>
        <v>0</v>
      </c>
      <c r="AD439" s="70">
        <f>'RESUMEN TOTAL'!AK549</f>
        <v>0</v>
      </c>
      <c r="AE439" s="70">
        <f>'RESUMEN TOTAL'!AL549</f>
        <v>0</v>
      </c>
      <c r="AF439" s="70">
        <f>'RESUMEN TOTAL'!AM549</f>
        <v>0</v>
      </c>
      <c r="AG439" s="70">
        <f>'RESUMEN TOTAL'!AN549</f>
        <v>0</v>
      </c>
      <c r="AH439" s="70">
        <f>'RESUMEN TOTAL'!AO549</f>
        <v>0</v>
      </c>
      <c r="AI439" s="70">
        <f>'RESUMEN TOTAL'!AP549</f>
        <v>0</v>
      </c>
      <c r="AJ439" s="70">
        <f>'RESUMEN TOTAL'!AQ549</f>
        <v>0</v>
      </c>
    </row>
    <row r="440" spans="1:36" x14ac:dyDescent="0.25">
      <c r="A440" t="str">
        <f>'RESUMEN TOTAL'!A550</f>
        <v>VILLA ARIAS</v>
      </c>
      <c r="B440" t="str">
        <f>'RESUMEN TOTAL'!B550</f>
        <v>VLA05</v>
      </c>
      <c r="C440" t="str">
        <f>'RESUMEN TOTAL'!D550</f>
        <v>ESPORA Y 802</v>
      </c>
      <c r="D440" s="30" t="str">
        <f>'RESUMEN TOTAL'!E550</f>
        <v>DOMO</v>
      </c>
      <c r="E440" s="30" t="str">
        <f>'RESUMEN TOTAL'!F550</f>
        <v>GPON</v>
      </c>
      <c r="F440" s="70">
        <f>'RESUMEN TOTAL'!M550</f>
        <v>0</v>
      </c>
      <c r="G440" s="70">
        <f>'RESUMEN TOTAL'!N550</f>
        <v>0</v>
      </c>
      <c r="H440" s="70">
        <f>'RESUMEN TOTAL'!O550</f>
        <v>0</v>
      </c>
      <c r="I440" s="70" t="str">
        <f>'RESUMEN TOTAL'!P550</f>
        <v>APAGADO</v>
      </c>
      <c r="J440" s="70" t="str">
        <f>'RESUMEN TOTAL'!Q550</f>
        <v>APAGADO</v>
      </c>
      <c r="K440" s="70" t="str">
        <f>'RESUMEN TOTAL'!R550</f>
        <v>APAGADO</v>
      </c>
      <c r="L440" s="70" t="str">
        <f>'RESUMEN TOTAL'!S550</f>
        <v>APAGADO</v>
      </c>
      <c r="M440" s="70" t="str">
        <f>'RESUMEN TOTAL'!T550</f>
        <v>APAGADO</v>
      </c>
      <c r="N440" s="70">
        <f>'RESUMEN TOTAL'!U550</f>
        <v>0</v>
      </c>
      <c r="O440" s="70">
        <f>'RESUMEN TOTAL'!V550</f>
        <v>0</v>
      </c>
      <c r="P440" s="70">
        <f>'RESUMEN TOTAL'!W550</f>
        <v>0</v>
      </c>
      <c r="Q440" s="70">
        <f>'RESUMEN TOTAL'!X550</f>
        <v>0</v>
      </c>
      <c r="R440" s="70">
        <f>'RESUMEN TOTAL'!Y550</f>
        <v>0</v>
      </c>
      <c r="S440" s="70">
        <f>'RESUMEN TOTAL'!Z550</f>
        <v>0</v>
      </c>
      <c r="T440" s="70">
        <f>'RESUMEN TOTAL'!AA550</f>
        <v>0</v>
      </c>
      <c r="U440" s="70">
        <f>'RESUMEN TOTAL'!AB550</f>
        <v>0</v>
      </c>
      <c r="V440" s="70">
        <f>'RESUMEN TOTAL'!AC550</f>
        <v>0</v>
      </c>
      <c r="W440" s="70">
        <f>'RESUMEN TOTAL'!AD550</f>
        <v>0</v>
      </c>
      <c r="X440" s="70">
        <f>'RESUMEN TOTAL'!AE550</f>
        <v>0</v>
      </c>
      <c r="Y440" s="70">
        <f>'RESUMEN TOTAL'!AF550</f>
        <v>0</v>
      </c>
      <c r="Z440" s="70">
        <f>'RESUMEN TOTAL'!AG550</f>
        <v>0</v>
      </c>
      <c r="AA440" s="70">
        <f>'RESUMEN TOTAL'!AH550</f>
        <v>0</v>
      </c>
      <c r="AB440" s="70">
        <f>'RESUMEN TOTAL'!AI550</f>
        <v>0</v>
      </c>
      <c r="AC440" s="70">
        <f>'RESUMEN TOTAL'!AJ550</f>
        <v>0</v>
      </c>
      <c r="AD440" s="70">
        <f>'RESUMEN TOTAL'!AK550</f>
        <v>0</v>
      </c>
      <c r="AE440" s="70">
        <f>'RESUMEN TOTAL'!AL550</f>
        <v>0</v>
      </c>
      <c r="AF440" s="70">
        <f>'RESUMEN TOTAL'!AM550</f>
        <v>0</v>
      </c>
      <c r="AG440" s="70">
        <f>'RESUMEN TOTAL'!AN550</f>
        <v>0</v>
      </c>
      <c r="AH440" s="70">
        <f>'RESUMEN TOTAL'!AO550</f>
        <v>0</v>
      </c>
      <c r="AI440" s="70">
        <f>'RESUMEN TOTAL'!AP550</f>
        <v>0</v>
      </c>
      <c r="AJ440" s="70">
        <f>'RESUMEN TOTAL'!AQ550</f>
        <v>0</v>
      </c>
    </row>
    <row r="441" spans="1:36" x14ac:dyDescent="0.25">
      <c r="A441" t="str">
        <f>'RESUMEN TOTAL'!A552</f>
        <v>VILLA MONICA NUEVA</v>
      </c>
      <c r="B441" t="str">
        <f>'RESUMEN TOTAL'!B552</f>
        <v>VMO 02</v>
      </c>
      <c r="C441" t="str">
        <f>'RESUMEN TOTAL'!D552</f>
        <v>Rio Carapachay y Oroño</v>
      </c>
      <c r="D441" s="30" t="str">
        <f>'RESUMEN TOTAL'!E552</f>
        <v>Domo</v>
      </c>
      <c r="E441" s="30" t="str">
        <f>'RESUMEN TOTAL'!F552</f>
        <v>Radio</v>
      </c>
      <c r="F441" s="70">
        <f>'RESUMEN TOTAL'!M552</f>
        <v>0</v>
      </c>
      <c r="G441" s="70">
        <f>'RESUMEN TOTAL'!N552</f>
        <v>0</v>
      </c>
      <c r="H441" s="70">
        <f>'RESUMEN TOTAL'!O552</f>
        <v>0</v>
      </c>
      <c r="I441" s="70">
        <f>'RESUMEN TOTAL'!P552</f>
        <v>0</v>
      </c>
      <c r="J441" s="70">
        <f>'RESUMEN TOTAL'!Q552</f>
        <v>0</v>
      </c>
      <c r="K441" s="70">
        <f>'RESUMEN TOTAL'!R552</f>
        <v>0</v>
      </c>
      <c r="L441" s="70">
        <f>'RESUMEN TOTAL'!S552</f>
        <v>0</v>
      </c>
      <c r="M441" s="70">
        <f>'RESUMEN TOTAL'!T552</f>
        <v>0</v>
      </c>
      <c r="N441" s="70">
        <f>'RESUMEN TOTAL'!U552</f>
        <v>0</v>
      </c>
      <c r="O441" s="70">
        <f>'RESUMEN TOTAL'!V552</f>
        <v>0</v>
      </c>
      <c r="P441" s="70">
        <f>'RESUMEN TOTAL'!W552</f>
        <v>0</v>
      </c>
      <c r="Q441" s="70">
        <f>'RESUMEN TOTAL'!X552</f>
        <v>0</v>
      </c>
      <c r="R441" s="70">
        <f>'RESUMEN TOTAL'!Y552</f>
        <v>0</v>
      </c>
      <c r="S441" s="70">
        <f>'RESUMEN TOTAL'!Z552</f>
        <v>0</v>
      </c>
      <c r="T441" s="70">
        <f>'RESUMEN TOTAL'!AA552</f>
        <v>0</v>
      </c>
      <c r="U441" s="70">
        <f>'RESUMEN TOTAL'!AB552</f>
        <v>0</v>
      </c>
      <c r="V441" s="70">
        <f>'RESUMEN TOTAL'!AC552</f>
        <v>0</v>
      </c>
      <c r="W441" s="70">
        <f>'RESUMEN TOTAL'!AD552</f>
        <v>0</v>
      </c>
      <c r="X441" s="70">
        <f>'RESUMEN TOTAL'!AE552</f>
        <v>0</v>
      </c>
      <c r="Y441" s="70">
        <f>'RESUMEN TOTAL'!AF552</f>
        <v>0</v>
      </c>
      <c r="Z441" s="70">
        <f>'RESUMEN TOTAL'!AG552</f>
        <v>0</v>
      </c>
      <c r="AA441" s="70">
        <f>'RESUMEN TOTAL'!AH552</f>
        <v>0</v>
      </c>
      <c r="AB441" s="70">
        <f>'RESUMEN TOTAL'!AI552</f>
        <v>0</v>
      </c>
      <c r="AC441" s="70">
        <f>'RESUMEN TOTAL'!AJ552</f>
        <v>0</v>
      </c>
      <c r="AD441" s="70">
        <f>'RESUMEN TOTAL'!AK552</f>
        <v>0</v>
      </c>
      <c r="AE441" s="70">
        <f>'RESUMEN TOTAL'!AL552</f>
        <v>0</v>
      </c>
      <c r="AF441" s="70">
        <f>'RESUMEN TOTAL'!AM552</f>
        <v>0</v>
      </c>
      <c r="AG441" s="70">
        <f>'RESUMEN TOTAL'!AN552</f>
        <v>0</v>
      </c>
      <c r="AH441" s="70">
        <f>'RESUMEN TOTAL'!AO552</f>
        <v>0</v>
      </c>
      <c r="AI441" s="70">
        <f>'RESUMEN TOTAL'!AP552</f>
        <v>0</v>
      </c>
      <c r="AJ441" s="70">
        <f>'RESUMEN TOTAL'!AQ552</f>
        <v>0</v>
      </c>
    </row>
    <row r="442" spans="1:36" x14ac:dyDescent="0.25">
      <c r="A442" t="str">
        <f>'RESUMEN TOTAL'!A553</f>
        <v>VILLA MONICA NUEVA</v>
      </c>
      <c r="B442" t="str">
        <f>'RESUMEN TOTAL'!B553</f>
        <v>VMO 03 (fija 1)</v>
      </c>
      <c r="C442" t="str">
        <f>'RESUMEN TOTAL'!D553</f>
        <v>EVA PERON E/ OROÑO Y 734 A</v>
      </c>
      <c r="D442" s="30" t="str">
        <f>'RESUMEN TOTAL'!E553</f>
        <v>Fija</v>
      </c>
      <c r="E442" s="30" t="str">
        <f>'RESUMEN TOTAL'!F553</f>
        <v>Fibra Optica</v>
      </c>
      <c r="F442" s="70">
        <f>'RESUMEN TOTAL'!M553</f>
        <v>0</v>
      </c>
      <c r="G442" s="70">
        <f>'RESUMEN TOTAL'!N553</f>
        <v>0</v>
      </c>
      <c r="H442" s="70">
        <f>'RESUMEN TOTAL'!O553</f>
        <v>0</v>
      </c>
      <c r="I442" s="70">
        <f>'RESUMEN TOTAL'!P553</f>
        <v>0</v>
      </c>
      <c r="J442" s="70">
        <f>'RESUMEN TOTAL'!Q553</f>
        <v>0</v>
      </c>
      <c r="K442" s="70">
        <f>'RESUMEN TOTAL'!R553</f>
        <v>0</v>
      </c>
      <c r="L442" s="70">
        <f>'RESUMEN TOTAL'!S553</f>
        <v>0</v>
      </c>
      <c r="M442" s="70">
        <f>'RESUMEN TOTAL'!T553</f>
        <v>0</v>
      </c>
      <c r="N442" s="70">
        <f>'RESUMEN TOTAL'!U553</f>
        <v>0</v>
      </c>
      <c r="O442" s="70">
        <f>'RESUMEN TOTAL'!V553</f>
        <v>0</v>
      </c>
      <c r="P442" s="70">
        <f>'RESUMEN TOTAL'!W553</f>
        <v>0</v>
      </c>
      <c r="Q442" s="70">
        <f>'RESUMEN TOTAL'!X553</f>
        <v>0</v>
      </c>
      <c r="R442" s="70">
        <f>'RESUMEN TOTAL'!Y553</f>
        <v>0</v>
      </c>
      <c r="S442" s="70">
        <f>'RESUMEN TOTAL'!Z553</f>
        <v>0</v>
      </c>
      <c r="T442" s="70">
        <f>'RESUMEN TOTAL'!AA553</f>
        <v>0</v>
      </c>
      <c r="U442" s="70">
        <f>'RESUMEN TOTAL'!AB553</f>
        <v>0</v>
      </c>
      <c r="V442" s="70">
        <f>'RESUMEN TOTAL'!AC553</f>
        <v>0</v>
      </c>
      <c r="W442" s="70">
        <f>'RESUMEN TOTAL'!AD553</f>
        <v>0</v>
      </c>
      <c r="X442" s="70">
        <f>'RESUMEN TOTAL'!AE553</f>
        <v>0</v>
      </c>
      <c r="Y442" s="70">
        <f>'RESUMEN TOTAL'!AF553</f>
        <v>0</v>
      </c>
      <c r="Z442" s="70">
        <f>'RESUMEN TOTAL'!AG553</f>
        <v>0</v>
      </c>
      <c r="AA442" s="70">
        <f>'RESUMEN TOTAL'!AH553</f>
        <v>0</v>
      </c>
      <c r="AB442" s="70">
        <f>'RESUMEN TOTAL'!AI553</f>
        <v>0</v>
      </c>
      <c r="AC442" s="70">
        <f>'RESUMEN TOTAL'!AJ553</f>
        <v>0</v>
      </c>
      <c r="AD442" s="70">
        <f>'RESUMEN TOTAL'!AK553</f>
        <v>0</v>
      </c>
      <c r="AE442" s="70">
        <f>'RESUMEN TOTAL'!AL553</f>
        <v>0</v>
      </c>
      <c r="AF442" s="70">
        <f>'RESUMEN TOTAL'!AM553</f>
        <v>0</v>
      </c>
      <c r="AG442" s="70">
        <f>'RESUMEN TOTAL'!AN553</f>
        <v>0</v>
      </c>
      <c r="AH442" s="70">
        <f>'RESUMEN TOTAL'!AO553</f>
        <v>0</v>
      </c>
      <c r="AI442" s="70">
        <f>'RESUMEN TOTAL'!AP553</f>
        <v>0</v>
      </c>
      <c r="AJ442" s="70">
        <f>'RESUMEN TOTAL'!AQ553</f>
        <v>0</v>
      </c>
    </row>
    <row r="443" spans="1:36" x14ac:dyDescent="0.25">
      <c r="A443" t="str">
        <f>'RESUMEN TOTAL'!A554</f>
        <v>VILLA MONICA NUEVA</v>
      </c>
      <c r="B443" t="str">
        <f>'RESUMEN TOTAL'!B554</f>
        <v>VMO 04 (fija 2)</v>
      </c>
      <c r="C443" t="str">
        <f>'RESUMEN TOTAL'!D554</f>
        <v>EVA PERON E/ OROÑO Y 734 A</v>
      </c>
      <c r="D443" s="30" t="str">
        <f>'RESUMEN TOTAL'!E554</f>
        <v>Fija</v>
      </c>
      <c r="E443" s="30" t="str">
        <f>'RESUMEN TOTAL'!F554</f>
        <v>Fibra Optica</v>
      </c>
      <c r="F443" s="70">
        <f>'RESUMEN TOTAL'!M554</f>
        <v>0</v>
      </c>
      <c r="G443" s="70">
        <f>'RESUMEN TOTAL'!N554</f>
        <v>0</v>
      </c>
      <c r="H443" s="70">
        <f>'RESUMEN TOTAL'!O554</f>
        <v>0</v>
      </c>
      <c r="I443" s="70">
        <f>'RESUMEN TOTAL'!P554</f>
        <v>0</v>
      </c>
      <c r="J443" s="70">
        <f>'RESUMEN TOTAL'!Q554</f>
        <v>0</v>
      </c>
      <c r="K443" s="70">
        <f>'RESUMEN TOTAL'!R554</f>
        <v>0</v>
      </c>
      <c r="L443" s="70">
        <f>'RESUMEN TOTAL'!S554</f>
        <v>0</v>
      </c>
      <c r="M443" s="70">
        <f>'RESUMEN TOTAL'!T554</f>
        <v>0</v>
      </c>
      <c r="N443" s="70">
        <f>'RESUMEN TOTAL'!U554</f>
        <v>0</v>
      </c>
      <c r="O443" s="70">
        <f>'RESUMEN TOTAL'!V554</f>
        <v>0</v>
      </c>
      <c r="P443" s="70">
        <f>'RESUMEN TOTAL'!W554</f>
        <v>0</v>
      </c>
      <c r="Q443" s="70">
        <f>'RESUMEN TOTAL'!X554</f>
        <v>0</v>
      </c>
      <c r="R443" s="70">
        <f>'RESUMEN TOTAL'!Y554</f>
        <v>0</v>
      </c>
      <c r="S443" s="70">
        <f>'RESUMEN TOTAL'!Z554</f>
        <v>0</v>
      </c>
      <c r="T443" s="70">
        <f>'RESUMEN TOTAL'!AA554</f>
        <v>0</v>
      </c>
      <c r="U443" s="70">
        <f>'RESUMEN TOTAL'!AB554</f>
        <v>0</v>
      </c>
      <c r="V443" s="70">
        <f>'RESUMEN TOTAL'!AC554</f>
        <v>0</v>
      </c>
      <c r="W443" s="70">
        <f>'RESUMEN TOTAL'!AD554</f>
        <v>0</v>
      </c>
      <c r="X443" s="70">
        <f>'RESUMEN TOTAL'!AE554</f>
        <v>0</v>
      </c>
      <c r="Y443" s="70">
        <f>'RESUMEN TOTAL'!AF554</f>
        <v>0</v>
      </c>
      <c r="Z443" s="70">
        <f>'RESUMEN TOTAL'!AG554</f>
        <v>0</v>
      </c>
      <c r="AA443" s="70">
        <f>'RESUMEN TOTAL'!AH554</f>
        <v>0</v>
      </c>
      <c r="AB443" s="70">
        <f>'RESUMEN TOTAL'!AI554</f>
        <v>0</v>
      </c>
      <c r="AC443" s="70">
        <f>'RESUMEN TOTAL'!AJ554</f>
        <v>0</v>
      </c>
      <c r="AD443" s="70">
        <f>'RESUMEN TOTAL'!AK554</f>
        <v>0</v>
      </c>
      <c r="AE443" s="70">
        <f>'RESUMEN TOTAL'!AL554</f>
        <v>0</v>
      </c>
      <c r="AF443" s="70">
        <f>'RESUMEN TOTAL'!AM554</f>
        <v>0</v>
      </c>
      <c r="AG443" s="70">
        <f>'RESUMEN TOTAL'!AN554</f>
        <v>0</v>
      </c>
      <c r="AH443" s="70">
        <f>'RESUMEN TOTAL'!AO554</f>
        <v>0</v>
      </c>
      <c r="AI443" s="70">
        <f>'RESUMEN TOTAL'!AP554</f>
        <v>0</v>
      </c>
      <c r="AJ443" s="70">
        <f>'RESUMEN TOTAL'!AQ554</f>
        <v>0</v>
      </c>
    </row>
    <row r="444" spans="1:36" x14ac:dyDescent="0.25">
      <c r="A444" t="str">
        <f>'RESUMEN TOTAL'!A555</f>
        <v>VILLA MONICA NUEVA</v>
      </c>
      <c r="B444" t="str">
        <f>'RESUMEN TOTAL'!B555</f>
        <v>VMO 05</v>
      </c>
      <c r="C444" t="str">
        <f>'RESUMEN TOTAL'!D555</f>
        <v>OROÑO Y EVA PERON</v>
      </c>
      <c r="D444" s="30" t="str">
        <f>'RESUMEN TOTAL'!E555</f>
        <v>DOMO</v>
      </c>
      <c r="E444" s="30" t="str">
        <f>'RESUMEN TOTAL'!F555</f>
        <v>Fibra Optica</v>
      </c>
      <c r="F444" s="70">
        <f>'RESUMEN TOTAL'!M555</f>
        <v>0</v>
      </c>
      <c r="G444" s="70">
        <f>'RESUMEN TOTAL'!N555</f>
        <v>0</v>
      </c>
      <c r="H444" s="70">
        <f>'RESUMEN TOTAL'!O555</f>
        <v>0</v>
      </c>
      <c r="I444" s="70">
        <f>'RESUMEN TOTAL'!P555</f>
        <v>0</v>
      </c>
      <c r="J444" s="70">
        <f>'RESUMEN TOTAL'!Q555</f>
        <v>0</v>
      </c>
      <c r="K444" s="70">
        <f>'RESUMEN TOTAL'!R555</f>
        <v>0</v>
      </c>
      <c r="L444" s="70">
        <f>'RESUMEN TOTAL'!S555</f>
        <v>0</v>
      </c>
      <c r="M444" s="70">
        <f>'RESUMEN TOTAL'!T555</f>
        <v>0</v>
      </c>
      <c r="N444" s="70">
        <f>'RESUMEN TOTAL'!U555</f>
        <v>0</v>
      </c>
      <c r="O444" s="70">
        <f>'RESUMEN TOTAL'!V555</f>
        <v>0</v>
      </c>
      <c r="P444" s="70">
        <f>'RESUMEN TOTAL'!W555</f>
        <v>0</v>
      </c>
      <c r="Q444" s="70">
        <f>'RESUMEN TOTAL'!X555</f>
        <v>0</v>
      </c>
      <c r="R444" s="70">
        <f>'RESUMEN TOTAL'!Y555</f>
        <v>0</v>
      </c>
      <c r="S444" s="70">
        <f>'RESUMEN TOTAL'!Z555</f>
        <v>0</v>
      </c>
      <c r="T444" s="70">
        <f>'RESUMEN TOTAL'!AA555</f>
        <v>0</v>
      </c>
      <c r="U444" s="70">
        <f>'RESUMEN TOTAL'!AB555</f>
        <v>0</v>
      </c>
      <c r="V444" s="70">
        <f>'RESUMEN TOTAL'!AC555</f>
        <v>0</v>
      </c>
      <c r="W444" s="70">
        <f>'RESUMEN TOTAL'!AD555</f>
        <v>0</v>
      </c>
      <c r="X444" s="70">
        <f>'RESUMEN TOTAL'!AE555</f>
        <v>0</v>
      </c>
      <c r="Y444" s="70">
        <f>'RESUMEN TOTAL'!AF555</f>
        <v>0</v>
      </c>
      <c r="Z444" s="70">
        <f>'RESUMEN TOTAL'!AG555</f>
        <v>0</v>
      </c>
      <c r="AA444" s="70">
        <f>'RESUMEN TOTAL'!AH555</f>
        <v>0</v>
      </c>
      <c r="AB444" s="70">
        <f>'RESUMEN TOTAL'!AI555</f>
        <v>0</v>
      </c>
      <c r="AC444" s="70">
        <f>'RESUMEN TOTAL'!AJ555</f>
        <v>0</v>
      </c>
      <c r="AD444" s="70">
        <f>'RESUMEN TOTAL'!AK555</f>
        <v>0</v>
      </c>
      <c r="AE444" s="70">
        <f>'RESUMEN TOTAL'!AL555</f>
        <v>0</v>
      </c>
      <c r="AF444" s="70">
        <f>'RESUMEN TOTAL'!AM555</f>
        <v>0</v>
      </c>
      <c r="AG444" s="70">
        <f>'RESUMEN TOTAL'!AN555</f>
        <v>0</v>
      </c>
      <c r="AH444" s="70">
        <f>'RESUMEN TOTAL'!AO555</f>
        <v>0</v>
      </c>
      <c r="AI444" s="70">
        <f>'RESUMEN TOTAL'!AP555</f>
        <v>0</v>
      </c>
      <c r="AJ444" s="70">
        <f>'RESUMEN TOTAL'!AQ555</f>
        <v>0</v>
      </c>
    </row>
    <row r="445" spans="1:36" x14ac:dyDescent="0.25">
      <c r="A445" t="str">
        <f>'RESUMEN TOTAL'!A556</f>
        <v>VILLA MONICA NUEVA</v>
      </c>
      <c r="B445" t="str">
        <f>'RESUMEN TOTAL'!B556</f>
        <v>VMO01</v>
      </c>
      <c r="C445" t="str">
        <f>'RESUMEN TOTAL'!D556</f>
        <v>Eva Peron y Monseñor de las Casas</v>
      </c>
      <c r="D445" s="30" t="str">
        <f>'RESUMEN TOTAL'!E556</f>
        <v>DOMO</v>
      </c>
      <c r="E445" s="30" t="str">
        <f>'RESUMEN TOTAL'!F556</f>
        <v>Fibra Optica</v>
      </c>
      <c r="F445" s="70" t="str">
        <f>'RESUMEN TOTAL'!M556</f>
        <v>APAGADO</v>
      </c>
      <c r="G445" s="70" t="str">
        <f>'RESUMEN TOTAL'!N556</f>
        <v>APAGADO</v>
      </c>
      <c r="H445" s="70" t="str">
        <f>'RESUMEN TOTAL'!O556</f>
        <v>APAGADO</v>
      </c>
      <c r="I445" s="70" t="str">
        <f>'RESUMEN TOTAL'!P556</f>
        <v>APAGADO</v>
      </c>
      <c r="J445" s="70" t="str">
        <f>'RESUMEN TOTAL'!Q556</f>
        <v>APAGADO</v>
      </c>
      <c r="K445" s="70" t="str">
        <f>'RESUMEN TOTAL'!R556</f>
        <v>APAGADO</v>
      </c>
      <c r="L445" s="70" t="str">
        <f>'RESUMEN TOTAL'!S556</f>
        <v>APAGADO</v>
      </c>
      <c r="M445" s="70" t="str">
        <f>'RESUMEN TOTAL'!T556</f>
        <v>APAGADO</v>
      </c>
      <c r="N445" s="70">
        <f>'RESUMEN TOTAL'!U556</f>
        <v>0</v>
      </c>
      <c r="O445" s="70">
        <f>'RESUMEN TOTAL'!V556</f>
        <v>0</v>
      </c>
      <c r="P445" s="70">
        <f>'RESUMEN TOTAL'!W556</f>
        <v>0</v>
      </c>
      <c r="Q445" s="70">
        <f>'RESUMEN TOTAL'!X556</f>
        <v>0</v>
      </c>
      <c r="R445" s="70">
        <f>'RESUMEN TOTAL'!Y556</f>
        <v>0</v>
      </c>
      <c r="S445" s="70">
        <f>'RESUMEN TOTAL'!Z556</f>
        <v>0</v>
      </c>
      <c r="T445" s="70">
        <f>'RESUMEN TOTAL'!AA556</f>
        <v>0</v>
      </c>
      <c r="U445" s="70">
        <f>'RESUMEN TOTAL'!AB556</f>
        <v>0</v>
      </c>
      <c r="V445" s="70">
        <f>'RESUMEN TOTAL'!AC556</f>
        <v>0</v>
      </c>
      <c r="W445" s="70">
        <f>'RESUMEN TOTAL'!AD556</f>
        <v>0</v>
      </c>
      <c r="X445" s="70">
        <f>'RESUMEN TOTAL'!AE556</f>
        <v>0</v>
      </c>
      <c r="Y445" s="70">
        <f>'RESUMEN TOTAL'!AF556</f>
        <v>0</v>
      </c>
      <c r="Z445" s="70">
        <f>'RESUMEN TOTAL'!AG556</f>
        <v>0</v>
      </c>
      <c r="AA445" s="70">
        <f>'RESUMEN TOTAL'!AH556</f>
        <v>0</v>
      </c>
      <c r="AB445" s="70">
        <f>'RESUMEN TOTAL'!AI556</f>
        <v>0</v>
      </c>
      <c r="AC445" s="70">
        <f>'RESUMEN TOTAL'!AJ556</f>
        <v>0</v>
      </c>
      <c r="AD445" s="70">
        <f>'RESUMEN TOTAL'!AK556</f>
        <v>0</v>
      </c>
      <c r="AE445" s="70">
        <f>'RESUMEN TOTAL'!AL556</f>
        <v>0</v>
      </c>
      <c r="AF445" s="70">
        <f>'RESUMEN TOTAL'!AM556</f>
        <v>0</v>
      </c>
      <c r="AG445" s="70">
        <f>'RESUMEN TOTAL'!AN556</f>
        <v>0</v>
      </c>
      <c r="AH445" s="70">
        <f>'RESUMEN TOTAL'!AO556</f>
        <v>0</v>
      </c>
      <c r="AI445" s="70">
        <f>'RESUMEN TOTAL'!AP556</f>
        <v>0</v>
      </c>
      <c r="AJ445" s="70">
        <f>'RESUMEN TOTAL'!AQ556</f>
        <v>0</v>
      </c>
    </row>
    <row r="446" spans="1:36" x14ac:dyDescent="0.25">
      <c r="A446" t="str">
        <f>'RESUMEN TOTAL'!A557</f>
        <v>VILLA MONICA VIEJA</v>
      </c>
      <c r="B446" t="str">
        <f>'RESUMEN TOTAL'!B557</f>
        <v>VMOV01 (fija 1)</v>
      </c>
      <c r="C446" t="str">
        <f>'RESUMEN TOTAL'!D557</f>
        <v>ATENAS E/ CAFFERATA Y ALEMANIA</v>
      </c>
      <c r="D446" s="30" t="str">
        <f>'RESUMEN TOTAL'!E557</f>
        <v>Fija</v>
      </c>
      <c r="E446" s="30" t="str">
        <f>'RESUMEN TOTAL'!F557</f>
        <v>Fibra Optica</v>
      </c>
      <c r="F446" s="70">
        <f>'RESUMEN TOTAL'!M557</f>
        <v>0</v>
      </c>
      <c r="G446" s="70">
        <f>'RESUMEN TOTAL'!N557</f>
        <v>0</v>
      </c>
      <c r="H446" s="70">
        <f>'RESUMEN TOTAL'!O557</f>
        <v>0</v>
      </c>
      <c r="I446" s="70">
        <f>'RESUMEN TOTAL'!P557</f>
        <v>0</v>
      </c>
      <c r="J446" s="70">
        <f>'RESUMEN TOTAL'!Q557</f>
        <v>0</v>
      </c>
      <c r="K446" s="70">
        <f>'RESUMEN TOTAL'!R557</f>
        <v>0</v>
      </c>
      <c r="L446" s="70">
        <f>'RESUMEN TOTAL'!S557</f>
        <v>0</v>
      </c>
      <c r="M446" s="70">
        <f>'RESUMEN TOTAL'!T557</f>
        <v>0</v>
      </c>
      <c r="N446" s="70">
        <f>'RESUMEN TOTAL'!U557</f>
        <v>0</v>
      </c>
      <c r="O446" s="70">
        <f>'RESUMEN TOTAL'!V557</f>
        <v>0</v>
      </c>
      <c r="P446" s="70">
        <f>'RESUMEN TOTAL'!W557</f>
        <v>0</v>
      </c>
      <c r="Q446" s="70">
        <f>'RESUMEN TOTAL'!X557</f>
        <v>0</v>
      </c>
      <c r="R446" s="70">
        <f>'RESUMEN TOTAL'!Y557</f>
        <v>0</v>
      </c>
      <c r="S446" s="70">
        <f>'RESUMEN TOTAL'!Z557</f>
        <v>0</v>
      </c>
      <c r="T446" s="70">
        <f>'RESUMEN TOTAL'!AA557</f>
        <v>0</v>
      </c>
      <c r="U446" s="70">
        <f>'RESUMEN TOTAL'!AB557</f>
        <v>0</v>
      </c>
      <c r="V446" s="70">
        <f>'RESUMEN TOTAL'!AC557</f>
        <v>0</v>
      </c>
      <c r="W446" s="70">
        <f>'RESUMEN TOTAL'!AD557</f>
        <v>0</v>
      </c>
      <c r="X446" s="70">
        <f>'RESUMEN TOTAL'!AE557</f>
        <v>0</v>
      </c>
      <c r="Y446" s="70">
        <f>'RESUMEN TOTAL'!AF557</f>
        <v>0</v>
      </c>
      <c r="Z446" s="70">
        <f>'RESUMEN TOTAL'!AG557</f>
        <v>0</v>
      </c>
      <c r="AA446" s="70">
        <f>'RESUMEN TOTAL'!AH557</f>
        <v>0</v>
      </c>
      <c r="AB446" s="70">
        <f>'RESUMEN TOTAL'!AI557</f>
        <v>0</v>
      </c>
      <c r="AC446" s="70">
        <f>'RESUMEN TOTAL'!AJ557</f>
        <v>0</v>
      </c>
      <c r="AD446" s="70">
        <f>'RESUMEN TOTAL'!AK557</f>
        <v>0</v>
      </c>
      <c r="AE446" s="70">
        <f>'RESUMEN TOTAL'!AL557</f>
        <v>0</v>
      </c>
      <c r="AF446" s="70">
        <f>'RESUMEN TOTAL'!AM557</f>
        <v>0</v>
      </c>
      <c r="AG446" s="70">
        <f>'RESUMEN TOTAL'!AN557</f>
        <v>0</v>
      </c>
      <c r="AH446" s="70">
        <f>'RESUMEN TOTAL'!AO557</f>
        <v>0</v>
      </c>
      <c r="AI446" s="70">
        <f>'RESUMEN TOTAL'!AP557</f>
        <v>0</v>
      </c>
      <c r="AJ446" s="70">
        <f>'RESUMEN TOTAL'!AQ557</f>
        <v>0</v>
      </c>
    </row>
    <row r="447" spans="1:36" x14ac:dyDescent="0.25">
      <c r="A447" t="str">
        <f>'RESUMEN TOTAL'!A558</f>
        <v>VILLA MONICA VIEJA</v>
      </c>
      <c r="B447" t="str">
        <f>'RESUMEN TOTAL'!B558</f>
        <v>VMOV 02 (fija 2)</v>
      </c>
      <c r="C447" t="str">
        <f>'RESUMEN TOTAL'!D558</f>
        <v>ATENAS E/ CAFFERATA Y ALEMANIA</v>
      </c>
      <c r="D447" s="30" t="str">
        <f>'RESUMEN TOTAL'!E558</f>
        <v>Fija</v>
      </c>
      <c r="E447" s="30" t="str">
        <f>'RESUMEN TOTAL'!F558</f>
        <v>Fibra Optica</v>
      </c>
      <c r="F447" s="70">
        <f>'RESUMEN TOTAL'!M558</f>
        <v>0</v>
      </c>
      <c r="G447" s="70">
        <f>'RESUMEN TOTAL'!N558</f>
        <v>0</v>
      </c>
      <c r="H447" s="70">
        <f>'RESUMEN TOTAL'!O558</f>
        <v>0</v>
      </c>
      <c r="I447" s="70">
        <f>'RESUMEN TOTAL'!P558</f>
        <v>0</v>
      </c>
      <c r="J447" s="70">
        <f>'RESUMEN TOTAL'!Q558</f>
        <v>0</v>
      </c>
      <c r="K447" s="70">
        <f>'RESUMEN TOTAL'!R558</f>
        <v>0</v>
      </c>
      <c r="L447" s="70">
        <f>'RESUMEN TOTAL'!S558</f>
        <v>0</v>
      </c>
      <c r="M447" s="70">
        <f>'RESUMEN TOTAL'!T558</f>
        <v>0</v>
      </c>
      <c r="N447" s="70">
        <f>'RESUMEN TOTAL'!U558</f>
        <v>0</v>
      </c>
      <c r="O447" s="70">
        <f>'RESUMEN TOTAL'!V558</f>
        <v>0</v>
      </c>
      <c r="P447" s="70">
        <f>'RESUMEN TOTAL'!W558</f>
        <v>0</v>
      </c>
      <c r="Q447" s="70">
        <f>'RESUMEN TOTAL'!X558</f>
        <v>0</v>
      </c>
      <c r="R447" s="70">
        <f>'RESUMEN TOTAL'!Y558</f>
        <v>0</v>
      </c>
      <c r="S447" s="70">
        <f>'RESUMEN TOTAL'!Z558</f>
        <v>0</v>
      </c>
      <c r="T447" s="70">
        <f>'RESUMEN TOTAL'!AA558</f>
        <v>0</v>
      </c>
      <c r="U447" s="70">
        <f>'RESUMEN TOTAL'!AB558</f>
        <v>0</v>
      </c>
      <c r="V447" s="70">
        <f>'RESUMEN TOTAL'!AC558</f>
        <v>0</v>
      </c>
      <c r="W447" s="70">
        <f>'RESUMEN TOTAL'!AD558</f>
        <v>0</v>
      </c>
      <c r="X447" s="70">
        <f>'RESUMEN TOTAL'!AE558</f>
        <v>0</v>
      </c>
      <c r="Y447" s="70">
        <f>'RESUMEN TOTAL'!AF558</f>
        <v>0</v>
      </c>
      <c r="Z447" s="70">
        <f>'RESUMEN TOTAL'!AG558</f>
        <v>0</v>
      </c>
      <c r="AA447" s="70">
        <f>'RESUMEN TOTAL'!AH558</f>
        <v>0</v>
      </c>
      <c r="AB447" s="70">
        <f>'RESUMEN TOTAL'!AI558</f>
        <v>0</v>
      </c>
      <c r="AC447" s="70">
        <f>'RESUMEN TOTAL'!AJ558</f>
        <v>0</v>
      </c>
      <c r="AD447" s="70">
        <f>'RESUMEN TOTAL'!AK558</f>
        <v>0</v>
      </c>
      <c r="AE447" s="70">
        <f>'RESUMEN TOTAL'!AL558</f>
        <v>0</v>
      </c>
      <c r="AF447" s="70">
        <f>'RESUMEN TOTAL'!AM558</f>
        <v>0</v>
      </c>
      <c r="AG447" s="70">
        <f>'RESUMEN TOTAL'!AN558</f>
        <v>0</v>
      </c>
      <c r="AH447" s="70">
        <f>'RESUMEN TOTAL'!AO558</f>
        <v>0</v>
      </c>
      <c r="AI447" s="70">
        <f>'RESUMEN TOTAL'!AP558</f>
        <v>0</v>
      </c>
      <c r="AJ447" s="70">
        <f>'RESUMEN TOTAL'!AQ558</f>
        <v>0</v>
      </c>
    </row>
    <row r="448" spans="1:36" x14ac:dyDescent="0.25">
      <c r="A448" t="str">
        <f>'RESUMEN TOTAL'!A559</f>
        <v>VILLA MONICA VIEJA</v>
      </c>
      <c r="B448" t="str">
        <f>'RESUMEN TOTAL'!B559</f>
        <v>VMOV 03 (fija 1)</v>
      </c>
      <c r="C448" t="str">
        <f>'RESUMEN TOTAL'!D559</f>
        <v>ROMA E/ HOLANDA Y CAFFERATA</v>
      </c>
      <c r="D448" s="30" t="str">
        <f>'RESUMEN TOTAL'!E559</f>
        <v>Fija</v>
      </c>
      <c r="E448" s="30" t="str">
        <f>'RESUMEN TOTAL'!F559</f>
        <v>Fibra Optica</v>
      </c>
      <c r="F448" s="70">
        <f>'RESUMEN TOTAL'!M559</f>
        <v>0</v>
      </c>
      <c r="G448" s="70" t="str">
        <f>'RESUMEN TOTAL'!N559</f>
        <v>APAGADO</v>
      </c>
      <c r="H448" s="70">
        <f>'RESUMEN TOTAL'!O559</f>
        <v>0</v>
      </c>
      <c r="I448" s="70">
        <f>'RESUMEN TOTAL'!P559</f>
        <v>0</v>
      </c>
      <c r="J448" s="70">
        <f>'RESUMEN TOTAL'!Q559</f>
        <v>0</v>
      </c>
      <c r="K448" s="70">
        <f>'RESUMEN TOTAL'!R559</f>
        <v>0</v>
      </c>
      <c r="L448" s="70">
        <f>'RESUMEN TOTAL'!S559</f>
        <v>0</v>
      </c>
      <c r="M448" s="70">
        <f>'RESUMEN TOTAL'!T559</f>
        <v>0</v>
      </c>
      <c r="N448" s="70">
        <f>'RESUMEN TOTAL'!U559</f>
        <v>0</v>
      </c>
      <c r="O448" s="70">
        <f>'RESUMEN TOTAL'!V559</f>
        <v>0</v>
      </c>
      <c r="P448" s="70">
        <f>'RESUMEN TOTAL'!W559</f>
        <v>0</v>
      </c>
      <c r="Q448" s="70">
        <f>'RESUMEN TOTAL'!X559</f>
        <v>0</v>
      </c>
      <c r="R448" s="70">
        <f>'RESUMEN TOTAL'!Y559</f>
        <v>0</v>
      </c>
      <c r="S448" s="70">
        <f>'RESUMEN TOTAL'!Z559</f>
        <v>0</v>
      </c>
      <c r="T448" s="70">
        <f>'RESUMEN TOTAL'!AA559</f>
        <v>0</v>
      </c>
      <c r="U448" s="70">
        <f>'RESUMEN TOTAL'!AB559</f>
        <v>0</v>
      </c>
      <c r="V448" s="70">
        <f>'RESUMEN TOTAL'!AC559</f>
        <v>0</v>
      </c>
      <c r="W448" s="70">
        <f>'RESUMEN TOTAL'!AD559</f>
        <v>0</v>
      </c>
      <c r="X448" s="70">
        <f>'RESUMEN TOTAL'!AE559</f>
        <v>0</v>
      </c>
      <c r="Y448" s="70">
        <f>'RESUMEN TOTAL'!AF559</f>
        <v>0</v>
      </c>
      <c r="Z448" s="70">
        <f>'RESUMEN TOTAL'!AG559</f>
        <v>0</v>
      </c>
      <c r="AA448" s="70">
        <f>'RESUMEN TOTAL'!AH559</f>
        <v>0</v>
      </c>
      <c r="AB448" s="70">
        <f>'RESUMEN TOTAL'!AI559</f>
        <v>0</v>
      </c>
      <c r="AC448" s="70">
        <f>'RESUMEN TOTAL'!AJ559</f>
        <v>0</v>
      </c>
      <c r="AD448" s="70">
        <f>'RESUMEN TOTAL'!AK559</f>
        <v>0</v>
      </c>
      <c r="AE448" s="70">
        <f>'RESUMEN TOTAL'!AL559</f>
        <v>0</v>
      </c>
      <c r="AF448" s="70">
        <f>'RESUMEN TOTAL'!AM559</f>
        <v>0</v>
      </c>
      <c r="AG448" s="70">
        <f>'RESUMEN TOTAL'!AN559</f>
        <v>0</v>
      </c>
      <c r="AH448" s="70">
        <f>'RESUMEN TOTAL'!AO559</f>
        <v>0</v>
      </c>
      <c r="AI448" s="70">
        <f>'RESUMEN TOTAL'!AP559</f>
        <v>0</v>
      </c>
      <c r="AJ448" s="70">
        <f>'RESUMEN TOTAL'!AQ559</f>
        <v>0</v>
      </c>
    </row>
    <row r="449" spans="1:36" x14ac:dyDescent="0.25">
      <c r="A449" t="str">
        <f>'RESUMEN TOTAL'!A560</f>
        <v>VILLA MONICA VIEJA</v>
      </c>
      <c r="B449" t="str">
        <f>'RESUMEN TOTAL'!B560</f>
        <v>VMOV04 (fija 2)</v>
      </c>
      <c r="C449" t="str">
        <f>'RESUMEN TOTAL'!D560</f>
        <v>ROMA E/ HOLANDA Y CAFFERATA</v>
      </c>
      <c r="D449" s="30" t="str">
        <f>'RESUMEN TOTAL'!E560</f>
        <v>Fija</v>
      </c>
      <c r="E449" s="30" t="str">
        <f>'RESUMEN TOTAL'!F560</f>
        <v>Fibra Optica</v>
      </c>
      <c r="F449" s="70">
        <f>'RESUMEN TOTAL'!M560</f>
        <v>0</v>
      </c>
      <c r="G449" s="70" t="str">
        <f>'RESUMEN TOTAL'!N560</f>
        <v>APAGADO</v>
      </c>
      <c r="H449" s="70">
        <f>'RESUMEN TOTAL'!O560</f>
        <v>0</v>
      </c>
      <c r="I449" s="70">
        <f>'RESUMEN TOTAL'!P560</f>
        <v>0</v>
      </c>
      <c r="J449" s="70">
        <f>'RESUMEN TOTAL'!Q560</f>
        <v>0</v>
      </c>
      <c r="K449" s="70">
        <f>'RESUMEN TOTAL'!R560</f>
        <v>0</v>
      </c>
      <c r="L449" s="70">
        <f>'RESUMEN TOTAL'!S560</f>
        <v>0</v>
      </c>
      <c r="M449" s="70">
        <f>'RESUMEN TOTAL'!T560</f>
        <v>0</v>
      </c>
      <c r="N449" s="70">
        <f>'RESUMEN TOTAL'!U560</f>
        <v>0</v>
      </c>
      <c r="O449" s="70">
        <f>'RESUMEN TOTAL'!V560</f>
        <v>0</v>
      </c>
      <c r="P449" s="70">
        <f>'RESUMEN TOTAL'!W560</f>
        <v>0</v>
      </c>
      <c r="Q449" s="70">
        <f>'RESUMEN TOTAL'!X560</f>
        <v>0</v>
      </c>
      <c r="R449" s="70">
        <f>'RESUMEN TOTAL'!Y560</f>
        <v>0</v>
      </c>
      <c r="S449" s="70">
        <f>'RESUMEN TOTAL'!Z560</f>
        <v>0</v>
      </c>
      <c r="T449" s="70">
        <f>'RESUMEN TOTAL'!AA560</f>
        <v>0</v>
      </c>
      <c r="U449" s="70">
        <f>'RESUMEN TOTAL'!AB560</f>
        <v>0</v>
      </c>
      <c r="V449" s="70">
        <f>'RESUMEN TOTAL'!AC560</f>
        <v>0</v>
      </c>
      <c r="W449" s="70">
        <f>'RESUMEN TOTAL'!AD560</f>
        <v>0</v>
      </c>
      <c r="X449" s="70">
        <f>'RESUMEN TOTAL'!AE560</f>
        <v>0</v>
      </c>
      <c r="Y449" s="70">
        <f>'RESUMEN TOTAL'!AF560</f>
        <v>0</v>
      </c>
      <c r="Z449" s="70">
        <f>'RESUMEN TOTAL'!AG560</f>
        <v>0</v>
      </c>
      <c r="AA449" s="70">
        <f>'RESUMEN TOTAL'!AH560</f>
        <v>0</v>
      </c>
      <c r="AB449" s="70">
        <f>'RESUMEN TOTAL'!AI560</f>
        <v>0</v>
      </c>
      <c r="AC449" s="70">
        <f>'RESUMEN TOTAL'!AJ560</f>
        <v>0</v>
      </c>
      <c r="AD449" s="70">
        <f>'RESUMEN TOTAL'!AK560</f>
        <v>0</v>
      </c>
      <c r="AE449" s="70">
        <f>'RESUMEN TOTAL'!AL560</f>
        <v>0</v>
      </c>
      <c r="AF449" s="70">
        <f>'RESUMEN TOTAL'!AM560</f>
        <v>0</v>
      </c>
      <c r="AG449" s="70">
        <f>'RESUMEN TOTAL'!AN560</f>
        <v>0</v>
      </c>
      <c r="AH449" s="70">
        <f>'RESUMEN TOTAL'!AO560</f>
        <v>0</v>
      </c>
      <c r="AI449" s="70">
        <f>'RESUMEN TOTAL'!AP560</f>
        <v>0</v>
      </c>
      <c r="AJ449" s="70">
        <f>'RESUMEN TOTAL'!AQ560</f>
        <v>0</v>
      </c>
    </row>
    <row r="450" spans="1:36" x14ac:dyDescent="0.25">
      <c r="A450" t="str">
        <f>'RESUMEN TOTAL'!A561</f>
        <v>VILLA SAN LUIS</v>
      </c>
      <c r="B450" t="str">
        <f>'RESUMEN TOTAL'!B561</f>
        <v>VSL 01</v>
      </c>
      <c r="C450" t="str">
        <f>'RESUMEN TOTAL'!D561</f>
        <v>AV. HUDSON Y CACHEUTA</v>
      </c>
      <c r="D450" s="30" t="str">
        <f>'RESUMEN TOTAL'!E561</f>
        <v>DOMO</v>
      </c>
      <c r="E450" s="30" t="str">
        <f>'RESUMEN TOTAL'!F561</f>
        <v>GPON</v>
      </c>
      <c r="F450" s="70" t="str">
        <f>'RESUMEN TOTAL'!M561</f>
        <v>APAGADO</v>
      </c>
      <c r="G450" s="70">
        <f>'RESUMEN TOTAL'!N561</f>
        <v>0</v>
      </c>
      <c r="H450" s="70">
        <f>'RESUMEN TOTAL'!O561</f>
        <v>0</v>
      </c>
      <c r="I450" s="70" t="str">
        <f>'RESUMEN TOTAL'!P561</f>
        <v>APAGADO</v>
      </c>
      <c r="J450" s="70" t="str">
        <f>'RESUMEN TOTAL'!Q561</f>
        <v>APAGADO</v>
      </c>
      <c r="K450" s="70" t="str">
        <f>'RESUMEN TOTAL'!R561</f>
        <v>APAGADO</v>
      </c>
      <c r="L450" s="70" t="str">
        <f>'RESUMEN TOTAL'!S561</f>
        <v>APAGADO</v>
      </c>
      <c r="M450" s="70" t="str">
        <f>'RESUMEN TOTAL'!T561</f>
        <v>APAGADO</v>
      </c>
      <c r="N450" s="70">
        <f>'RESUMEN TOTAL'!U561</f>
        <v>0</v>
      </c>
      <c r="O450" s="70">
        <f>'RESUMEN TOTAL'!V561</f>
        <v>0</v>
      </c>
      <c r="P450" s="70">
        <f>'RESUMEN TOTAL'!W561</f>
        <v>0</v>
      </c>
      <c r="Q450" s="70">
        <f>'RESUMEN TOTAL'!X561</f>
        <v>0</v>
      </c>
      <c r="R450" s="70">
        <f>'RESUMEN TOTAL'!Y561</f>
        <v>0</v>
      </c>
      <c r="S450" s="70">
        <f>'RESUMEN TOTAL'!Z561</f>
        <v>0</v>
      </c>
      <c r="T450" s="70">
        <f>'RESUMEN TOTAL'!AA561</f>
        <v>0</v>
      </c>
      <c r="U450" s="70">
        <f>'RESUMEN TOTAL'!AB561</f>
        <v>0</v>
      </c>
      <c r="V450" s="70">
        <f>'RESUMEN TOTAL'!AC561</f>
        <v>0</v>
      </c>
      <c r="W450" s="70">
        <f>'RESUMEN TOTAL'!AD561</f>
        <v>0</v>
      </c>
      <c r="X450" s="70">
        <f>'RESUMEN TOTAL'!AE561</f>
        <v>0</v>
      </c>
      <c r="Y450" s="70">
        <f>'RESUMEN TOTAL'!AF561</f>
        <v>0</v>
      </c>
      <c r="Z450" s="70">
        <f>'RESUMEN TOTAL'!AG561</f>
        <v>0</v>
      </c>
      <c r="AA450" s="70">
        <f>'RESUMEN TOTAL'!AH561</f>
        <v>0</v>
      </c>
      <c r="AB450" s="70">
        <f>'RESUMEN TOTAL'!AI561</f>
        <v>0</v>
      </c>
      <c r="AC450" s="70">
        <f>'RESUMEN TOTAL'!AJ561</f>
        <v>0</v>
      </c>
      <c r="AD450" s="70">
        <f>'RESUMEN TOTAL'!AK561</f>
        <v>0</v>
      </c>
      <c r="AE450" s="70">
        <f>'RESUMEN TOTAL'!AL561</f>
        <v>0</v>
      </c>
      <c r="AF450" s="70">
        <f>'RESUMEN TOTAL'!AM561</f>
        <v>0</v>
      </c>
      <c r="AG450" s="70">
        <f>'RESUMEN TOTAL'!AN561</f>
        <v>0</v>
      </c>
      <c r="AH450" s="70">
        <f>'RESUMEN TOTAL'!AO561</f>
        <v>0</v>
      </c>
      <c r="AI450" s="70">
        <f>'RESUMEN TOTAL'!AP561</f>
        <v>0</v>
      </c>
      <c r="AJ450" s="70">
        <f>'RESUMEN TOTAL'!AQ561</f>
        <v>0</v>
      </c>
    </row>
    <row r="451" spans="1:36" x14ac:dyDescent="0.25">
      <c r="A451" t="str">
        <f>'RESUMEN TOTAL'!A563</f>
        <v>VILLA SUSANA</v>
      </c>
      <c r="B451" t="str">
        <f>'RESUMEN TOTAL'!B563</f>
        <v>VSU01</v>
      </c>
      <c r="C451" t="str">
        <f>'RESUMEN TOTAL'!D563</f>
        <v>CJAL. JUAN BROWN Y SANTA FE</v>
      </c>
      <c r="D451" s="30" t="str">
        <f>'RESUMEN TOTAL'!E563</f>
        <v>DOMO</v>
      </c>
      <c r="E451" s="30" t="str">
        <f>'RESUMEN TOTAL'!F563</f>
        <v>Radio</v>
      </c>
      <c r="F451" s="70">
        <f>'RESUMEN TOTAL'!M563</f>
        <v>0</v>
      </c>
      <c r="G451" s="70">
        <f>'RESUMEN TOTAL'!N563</f>
        <v>0</v>
      </c>
      <c r="H451" s="70">
        <f>'RESUMEN TOTAL'!O563</f>
        <v>0</v>
      </c>
      <c r="I451" s="70">
        <f>'RESUMEN TOTAL'!P563</f>
        <v>0</v>
      </c>
      <c r="J451" s="70">
        <f>'RESUMEN TOTAL'!Q563</f>
        <v>0</v>
      </c>
      <c r="K451" s="70">
        <f>'RESUMEN TOTAL'!R563</f>
        <v>0</v>
      </c>
      <c r="L451" s="70">
        <f>'RESUMEN TOTAL'!S563</f>
        <v>0</v>
      </c>
      <c r="M451" s="70">
        <f>'RESUMEN TOTAL'!T563</f>
        <v>0</v>
      </c>
      <c r="N451" s="70">
        <f>'RESUMEN TOTAL'!U563</f>
        <v>0</v>
      </c>
      <c r="O451" s="70">
        <f>'RESUMEN TOTAL'!V563</f>
        <v>0</v>
      </c>
      <c r="P451" s="70">
        <f>'RESUMEN TOTAL'!W563</f>
        <v>0</v>
      </c>
      <c r="Q451" s="70">
        <f>'RESUMEN TOTAL'!X563</f>
        <v>0</v>
      </c>
      <c r="R451" s="70">
        <f>'RESUMEN TOTAL'!Y563</f>
        <v>0</v>
      </c>
      <c r="S451" s="70">
        <f>'RESUMEN TOTAL'!Z563</f>
        <v>0</v>
      </c>
      <c r="T451" s="70">
        <f>'RESUMEN TOTAL'!AA563</f>
        <v>0</v>
      </c>
      <c r="U451" s="70">
        <f>'RESUMEN TOTAL'!AB563</f>
        <v>0</v>
      </c>
      <c r="V451" s="70">
        <f>'RESUMEN TOTAL'!AC563</f>
        <v>0</v>
      </c>
      <c r="W451" s="70">
        <f>'RESUMEN TOTAL'!AD563</f>
        <v>0</v>
      </c>
      <c r="X451" s="70">
        <f>'RESUMEN TOTAL'!AE563</f>
        <v>0</v>
      </c>
      <c r="Y451" s="70">
        <f>'RESUMEN TOTAL'!AF563</f>
        <v>0</v>
      </c>
      <c r="Z451" s="70">
        <f>'RESUMEN TOTAL'!AG563</f>
        <v>0</v>
      </c>
      <c r="AA451" s="70">
        <f>'RESUMEN TOTAL'!AH563</f>
        <v>0</v>
      </c>
      <c r="AB451" s="70">
        <f>'RESUMEN TOTAL'!AI563</f>
        <v>0</v>
      </c>
      <c r="AC451" s="70">
        <f>'RESUMEN TOTAL'!AJ563</f>
        <v>0</v>
      </c>
      <c r="AD451" s="70">
        <f>'RESUMEN TOTAL'!AK563</f>
        <v>0</v>
      </c>
      <c r="AE451" s="70">
        <f>'RESUMEN TOTAL'!AL563</f>
        <v>0</v>
      </c>
      <c r="AF451" s="70">
        <f>'RESUMEN TOTAL'!AM563</f>
        <v>0</v>
      </c>
      <c r="AG451" s="70">
        <f>'RESUMEN TOTAL'!AN563</f>
        <v>0</v>
      </c>
      <c r="AH451" s="70">
        <f>'RESUMEN TOTAL'!AO563</f>
        <v>0</v>
      </c>
      <c r="AI451" s="70">
        <f>'RESUMEN TOTAL'!AP563</f>
        <v>0</v>
      </c>
      <c r="AJ451" s="70">
        <f>'RESUMEN TOTAL'!AQ563</f>
        <v>0</v>
      </c>
    </row>
    <row r="452" spans="1:36" x14ac:dyDescent="0.25">
      <c r="A452" t="str">
        <f>'RESUMEN TOTAL'!A564</f>
        <v>VILLA SUSANA</v>
      </c>
      <c r="B452" t="str">
        <f>'RESUMEN TOTAL'!B564</f>
        <v>VSU 02</v>
      </c>
      <c r="C452" t="str">
        <f>'RESUMEN TOTAL'!D564</f>
        <v>CABELLO Y SANTA FE</v>
      </c>
      <c r="D452" s="30" t="str">
        <f>'RESUMEN TOTAL'!E564</f>
        <v>DOMO</v>
      </c>
      <c r="E452" s="30" t="str">
        <f>'RESUMEN TOTAL'!F564</f>
        <v>Radio</v>
      </c>
      <c r="F452" s="70">
        <f>'RESUMEN TOTAL'!M564</f>
        <v>0</v>
      </c>
      <c r="G452" s="70">
        <f>'RESUMEN TOTAL'!N564</f>
        <v>0</v>
      </c>
      <c r="H452" s="70">
        <f>'RESUMEN TOTAL'!O564</f>
        <v>0</v>
      </c>
      <c r="I452" s="70">
        <f>'RESUMEN TOTAL'!P564</f>
        <v>0</v>
      </c>
      <c r="J452" s="70">
        <f>'RESUMEN TOTAL'!Q564</f>
        <v>0</v>
      </c>
      <c r="K452" s="70">
        <f>'RESUMEN TOTAL'!R564</f>
        <v>0</v>
      </c>
      <c r="L452" s="70">
        <f>'RESUMEN TOTAL'!S564</f>
        <v>0</v>
      </c>
      <c r="M452" s="70">
        <f>'RESUMEN TOTAL'!T564</f>
        <v>0</v>
      </c>
      <c r="N452" s="70">
        <f>'RESUMEN TOTAL'!U564</f>
        <v>0</v>
      </c>
      <c r="O452" s="70">
        <f>'RESUMEN TOTAL'!V564</f>
        <v>0</v>
      </c>
      <c r="P452" s="70">
        <f>'RESUMEN TOTAL'!W564</f>
        <v>0</v>
      </c>
      <c r="Q452" s="70">
        <f>'RESUMEN TOTAL'!X564</f>
        <v>0</v>
      </c>
      <c r="R452" s="70">
        <f>'RESUMEN TOTAL'!Y564</f>
        <v>0</v>
      </c>
      <c r="S452" s="70">
        <f>'RESUMEN TOTAL'!Z564</f>
        <v>0</v>
      </c>
      <c r="T452" s="70">
        <f>'RESUMEN TOTAL'!AA564</f>
        <v>0</v>
      </c>
      <c r="U452" s="70">
        <f>'RESUMEN TOTAL'!AB564</f>
        <v>0</v>
      </c>
      <c r="V452" s="70">
        <f>'RESUMEN TOTAL'!AC564</f>
        <v>0</v>
      </c>
      <c r="W452" s="70">
        <f>'RESUMEN TOTAL'!AD564</f>
        <v>0</v>
      </c>
      <c r="X452" s="70">
        <f>'RESUMEN TOTAL'!AE564</f>
        <v>0</v>
      </c>
      <c r="Y452" s="70">
        <f>'RESUMEN TOTAL'!AF564</f>
        <v>0</v>
      </c>
      <c r="Z452" s="70">
        <f>'RESUMEN TOTAL'!AG564</f>
        <v>0</v>
      </c>
      <c r="AA452" s="70">
        <f>'RESUMEN TOTAL'!AH564</f>
        <v>0</v>
      </c>
      <c r="AB452" s="70">
        <f>'RESUMEN TOTAL'!AI564</f>
        <v>0</v>
      </c>
      <c r="AC452" s="70">
        <f>'RESUMEN TOTAL'!AJ564</f>
        <v>0</v>
      </c>
      <c r="AD452" s="70">
        <f>'RESUMEN TOTAL'!AK564</f>
        <v>0</v>
      </c>
      <c r="AE452" s="70">
        <f>'RESUMEN TOTAL'!AL564</f>
        <v>0</v>
      </c>
      <c r="AF452" s="70">
        <f>'RESUMEN TOTAL'!AM564</f>
        <v>0</v>
      </c>
      <c r="AG452" s="70">
        <f>'RESUMEN TOTAL'!AN564</f>
        <v>0</v>
      </c>
      <c r="AH452" s="70">
        <f>'RESUMEN TOTAL'!AO564</f>
        <v>0</v>
      </c>
      <c r="AI452" s="70">
        <f>'RESUMEN TOTAL'!AP564</f>
        <v>0</v>
      </c>
      <c r="AJ452" s="70">
        <f>'RESUMEN TOTAL'!AQ564</f>
        <v>0</v>
      </c>
    </row>
    <row r="453" spans="1:36" x14ac:dyDescent="0.25">
      <c r="A453" t="str">
        <f>'RESUMEN TOTAL'!A565</f>
        <v>VILLA SUSANA</v>
      </c>
      <c r="B453" t="str">
        <f>'RESUMEN TOTAL'!B565</f>
        <v>VSU 03</v>
      </c>
      <c r="C453" t="str">
        <f>'RESUMEN TOTAL'!D565</f>
        <v>EE.UU Y SERRANO</v>
      </c>
      <c r="D453" s="30" t="str">
        <f>'RESUMEN TOTAL'!E565</f>
        <v>DOMO</v>
      </c>
      <c r="E453" s="30" t="str">
        <f>'RESUMEN TOTAL'!F565</f>
        <v>Radio</v>
      </c>
      <c r="F453" s="70">
        <f>'RESUMEN TOTAL'!M565</f>
        <v>0</v>
      </c>
      <c r="G453" s="70">
        <f>'RESUMEN TOTAL'!N565</f>
        <v>0</v>
      </c>
      <c r="H453" s="70">
        <f>'RESUMEN TOTAL'!O565</f>
        <v>0</v>
      </c>
      <c r="I453" s="70">
        <f>'RESUMEN TOTAL'!P565</f>
        <v>0</v>
      </c>
      <c r="J453" s="70">
        <f>'RESUMEN TOTAL'!Q565</f>
        <v>0</v>
      </c>
      <c r="K453" s="70">
        <f>'RESUMEN TOTAL'!R565</f>
        <v>0</v>
      </c>
      <c r="L453" s="70">
        <f>'RESUMEN TOTAL'!S565</f>
        <v>0</v>
      </c>
      <c r="M453" s="70">
        <f>'RESUMEN TOTAL'!T565</f>
        <v>0</v>
      </c>
      <c r="N453" s="70">
        <f>'RESUMEN TOTAL'!U565</f>
        <v>0</v>
      </c>
      <c r="O453" s="70">
        <f>'RESUMEN TOTAL'!V565</f>
        <v>0</v>
      </c>
      <c r="P453" s="70">
        <f>'RESUMEN TOTAL'!W565</f>
        <v>0</v>
      </c>
      <c r="Q453" s="70">
        <f>'RESUMEN TOTAL'!X565</f>
        <v>0</v>
      </c>
      <c r="R453" s="70">
        <f>'RESUMEN TOTAL'!Y565</f>
        <v>0</v>
      </c>
      <c r="S453" s="70">
        <f>'RESUMEN TOTAL'!Z565</f>
        <v>0</v>
      </c>
      <c r="T453" s="70">
        <f>'RESUMEN TOTAL'!AA565</f>
        <v>0</v>
      </c>
      <c r="U453" s="70">
        <f>'RESUMEN TOTAL'!AB565</f>
        <v>0</v>
      </c>
      <c r="V453" s="70">
        <f>'RESUMEN TOTAL'!AC565</f>
        <v>0</v>
      </c>
      <c r="W453" s="70">
        <f>'RESUMEN TOTAL'!AD565</f>
        <v>0</v>
      </c>
      <c r="X453" s="70">
        <f>'RESUMEN TOTAL'!AE565</f>
        <v>0</v>
      </c>
      <c r="Y453" s="70">
        <f>'RESUMEN TOTAL'!AF565</f>
        <v>0</v>
      </c>
      <c r="Z453" s="70">
        <f>'RESUMEN TOTAL'!AG565</f>
        <v>0</v>
      </c>
      <c r="AA453" s="70">
        <f>'RESUMEN TOTAL'!AH565</f>
        <v>0</v>
      </c>
      <c r="AB453" s="70">
        <f>'RESUMEN TOTAL'!AI565</f>
        <v>0</v>
      </c>
      <c r="AC453" s="70">
        <f>'RESUMEN TOTAL'!AJ565</f>
        <v>0</v>
      </c>
      <c r="AD453" s="70">
        <f>'RESUMEN TOTAL'!AK565</f>
        <v>0</v>
      </c>
      <c r="AE453" s="70">
        <f>'RESUMEN TOTAL'!AL565</f>
        <v>0</v>
      </c>
      <c r="AF453" s="70">
        <f>'RESUMEN TOTAL'!AM565</f>
        <v>0</v>
      </c>
      <c r="AG453" s="70">
        <f>'RESUMEN TOTAL'!AN565</f>
        <v>0</v>
      </c>
      <c r="AH453" s="70">
        <f>'RESUMEN TOTAL'!AO565</f>
        <v>0</v>
      </c>
      <c r="AI453" s="70">
        <f>'RESUMEN TOTAL'!AP565</f>
        <v>0</v>
      </c>
      <c r="AJ453" s="70">
        <f>'RESUMEN TOTAL'!AQ565</f>
        <v>0</v>
      </c>
    </row>
    <row r="454" spans="1:36" x14ac:dyDescent="0.25">
      <c r="A454" t="str">
        <f>'RESUMEN TOTAL'!A566</f>
        <v>VILLA SUSANA</v>
      </c>
      <c r="B454" t="str">
        <f>'RESUMEN TOTAL'!B566</f>
        <v>VSU 04</v>
      </c>
      <c r="C454" t="str">
        <f>'RESUMEN TOTAL'!D566</f>
        <v>Aniceto Diaz y Cordoba</v>
      </c>
      <c r="D454" s="30" t="str">
        <f>'RESUMEN TOTAL'!E566</f>
        <v>fija</v>
      </c>
      <c r="E454" s="30" t="str">
        <f>'RESUMEN TOTAL'!F566</f>
        <v>Fibra Optica</v>
      </c>
      <c r="F454" s="70">
        <f>'RESUMEN TOTAL'!M566</f>
        <v>0</v>
      </c>
      <c r="G454" s="70">
        <f>'RESUMEN TOTAL'!N566</f>
        <v>0</v>
      </c>
      <c r="H454" s="70">
        <f>'RESUMEN TOTAL'!O566</f>
        <v>0</v>
      </c>
      <c r="I454" s="70">
        <f>'RESUMEN TOTAL'!P566</f>
        <v>0</v>
      </c>
      <c r="J454" s="70">
        <f>'RESUMEN TOTAL'!Q566</f>
        <v>0</v>
      </c>
      <c r="K454" s="70">
        <f>'RESUMEN TOTAL'!R566</f>
        <v>0</v>
      </c>
      <c r="L454" s="70">
        <f>'RESUMEN TOTAL'!S566</f>
        <v>0</v>
      </c>
      <c r="M454" s="70">
        <f>'RESUMEN TOTAL'!T566</f>
        <v>0</v>
      </c>
      <c r="N454" s="70">
        <f>'RESUMEN TOTAL'!U566</f>
        <v>0</v>
      </c>
      <c r="O454" s="70">
        <f>'RESUMEN TOTAL'!V566</f>
        <v>0</v>
      </c>
      <c r="P454" s="70">
        <f>'RESUMEN TOTAL'!W566</f>
        <v>0</v>
      </c>
      <c r="Q454" s="70">
        <f>'RESUMEN TOTAL'!X566</f>
        <v>0</v>
      </c>
      <c r="R454" s="70">
        <f>'RESUMEN TOTAL'!Y566</f>
        <v>0</v>
      </c>
      <c r="S454" s="70">
        <f>'RESUMEN TOTAL'!Z566</f>
        <v>0</v>
      </c>
      <c r="T454" s="70">
        <f>'RESUMEN TOTAL'!AA566</f>
        <v>0</v>
      </c>
      <c r="U454" s="70">
        <f>'RESUMEN TOTAL'!AB566</f>
        <v>0</v>
      </c>
      <c r="V454" s="70">
        <f>'RESUMEN TOTAL'!AC566</f>
        <v>0</v>
      </c>
      <c r="W454" s="70">
        <f>'RESUMEN TOTAL'!AD566</f>
        <v>0</v>
      </c>
      <c r="X454" s="70">
        <f>'RESUMEN TOTAL'!AE566</f>
        <v>0</v>
      </c>
      <c r="Y454" s="70">
        <f>'RESUMEN TOTAL'!AF566</f>
        <v>0</v>
      </c>
      <c r="Z454" s="70">
        <f>'RESUMEN TOTAL'!AG566</f>
        <v>0</v>
      </c>
      <c r="AA454" s="70">
        <f>'RESUMEN TOTAL'!AH566</f>
        <v>0</v>
      </c>
      <c r="AB454" s="70">
        <f>'RESUMEN TOTAL'!AI566</f>
        <v>0</v>
      </c>
      <c r="AC454" s="70">
        <f>'RESUMEN TOTAL'!AJ566</f>
        <v>0</v>
      </c>
      <c r="AD454" s="70">
        <f>'RESUMEN TOTAL'!AK566</f>
        <v>0</v>
      </c>
      <c r="AE454" s="70">
        <f>'RESUMEN TOTAL'!AL566</f>
        <v>0</v>
      </c>
      <c r="AF454" s="70">
        <f>'RESUMEN TOTAL'!AM566</f>
        <v>0</v>
      </c>
      <c r="AG454" s="70">
        <f>'RESUMEN TOTAL'!AN566</f>
        <v>0</v>
      </c>
      <c r="AH454" s="70">
        <f>'RESUMEN TOTAL'!AO566</f>
        <v>0</v>
      </c>
      <c r="AI454" s="70">
        <f>'RESUMEN TOTAL'!AP566</f>
        <v>0</v>
      </c>
      <c r="AJ454" s="70">
        <f>'RESUMEN TOTAL'!AQ566</f>
        <v>0</v>
      </c>
    </row>
    <row r="455" spans="1:36" x14ac:dyDescent="0.25">
      <c r="A455" t="str">
        <f>'RESUMEN TOTAL'!A567</f>
        <v>VILLA SUSANA</v>
      </c>
      <c r="B455" t="str">
        <f>'RESUMEN TOTAL'!B567</f>
        <v>VSU 05</v>
      </c>
      <c r="C455" t="str">
        <f>'RESUMEN TOTAL'!D567</f>
        <v>Aniceto Diaz y Cordoba</v>
      </c>
      <c r="D455" s="30" t="str">
        <f>'RESUMEN TOTAL'!E567</f>
        <v>fija</v>
      </c>
      <c r="E455" s="30" t="str">
        <f>'RESUMEN TOTAL'!F567</f>
        <v>Fibra Optica</v>
      </c>
      <c r="F455" s="70">
        <f>'RESUMEN TOTAL'!M567</f>
        <v>0</v>
      </c>
      <c r="G455" s="70">
        <f>'RESUMEN TOTAL'!N567</f>
        <v>0</v>
      </c>
      <c r="H455" s="70">
        <f>'RESUMEN TOTAL'!O567</f>
        <v>0</v>
      </c>
      <c r="I455" s="70">
        <f>'RESUMEN TOTAL'!P567</f>
        <v>0</v>
      </c>
      <c r="J455" s="70">
        <f>'RESUMEN TOTAL'!Q567</f>
        <v>0</v>
      </c>
      <c r="K455" s="70">
        <f>'RESUMEN TOTAL'!R567</f>
        <v>0</v>
      </c>
      <c r="L455" s="70">
        <f>'RESUMEN TOTAL'!S567</f>
        <v>0</v>
      </c>
      <c r="M455" s="70">
        <f>'RESUMEN TOTAL'!T567</f>
        <v>0</v>
      </c>
      <c r="N455" s="70">
        <f>'RESUMEN TOTAL'!U567</f>
        <v>0</v>
      </c>
      <c r="O455" s="70">
        <f>'RESUMEN TOTAL'!V567</f>
        <v>0</v>
      </c>
      <c r="P455" s="70">
        <f>'RESUMEN TOTAL'!W567</f>
        <v>0</v>
      </c>
      <c r="Q455" s="70">
        <f>'RESUMEN TOTAL'!X567</f>
        <v>0</v>
      </c>
      <c r="R455" s="70">
        <f>'RESUMEN TOTAL'!Y567</f>
        <v>0</v>
      </c>
      <c r="S455" s="70">
        <f>'RESUMEN TOTAL'!Z567</f>
        <v>0</v>
      </c>
      <c r="T455" s="70">
        <f>'RESUMEN TOTAL'!AA567</f>
        <v>0</v>
      </c>
      <c r="U455" s="70">
        <f>'RESUMEN TOTAL'!AB567</f>
        <v>0</v>
      </c>
      <c r="V455" s="70">
        <f>'RESUMEN TOTAL'!AC567</f>
        <v>0</v>
      </c>
      <c r="W455" s="70">
        <f>'RESUMEN TOTAL'!AD567</f>
        <v>0</v>
      </c>
      <c r="X455" s="70">
        <f>'RESUMEN TOTAL'!AE567</f>
        <v>0</v>
      </c>
      <c r="Y455" s="70">
        <f>'RESUMEN TOTAL'!AF567</f>
        <v>0</v>
      </c>
      <c r="Z455" s="70">
        <f>'RESUMEN TOTAL'!AG567</f>
        <v>0</v>
      </c>
      <c r="AA455" s="70">
        <f>'RESUMEN TOTAL'!AH567</f>
        <v>0</v>
      </c>
      <c r="AB455" s="70">
        <f>'RESUMEN TOTAL'!AI567</f>
        <v>0</v>
      </c>
      <c r="AC455" s="70">
        <f>'RESUMEN TOTAL'!AJ567</f>
        <v>0</v>
      </c>
      <c r="AD455" s="70">
        <f>'RESUMEN TOTAL'!AK567</f>
        <v>0</v>
      </c>
      <c r="AE455" s="70">
        <f>'RESUMEN TOTAL'!AL567</f>
        <v>0</v>
      </c>
      <c r="AF455" s="70">
        <f>'RESUMEN TOTAL'!AM567</f>
        <v>0</v>
      </c>
      <c r="AG455" s="70">
        <f>'RESUMEN TOTAL'!AN567</f>
        <v>0</v>
      </c>
      <c r="AH455" s="70">
        <f>'RESUMEN TOTAL'!AO567</f>
        <v>0</v>
      </c>
      <c r="AI455" s="70">
        <f>'RESUMEN TOTAL'!AP567</f>
        <v>0</v>
      </c>
      <c r="AJ455" s="70">
        <f>'RESUMEN TOTAL'!AQ567</f>
        <v>0</v>
      </c>
    </row>
    <row r="456" spans="1:36" x14ac:dyDescent="0.25">
      <c r="A456" t="str">
        <f>'RESUMEN TOTAL'!A568</f>
        <v>VILLA SUSANA</v>
      </c>
      <c r="B456" t="str">
        <f>'RESUMEN TOTAL'!B568</f>
        <v>VSU 06</v>
      </c>
      <c r="C456" t="str">
        <f>'RESUMEN TOTAL'!D568</f>
        <v>EE.UU Y BROWN</v>
      </c>
      <c r="D456" s="30" t="str">
        <f>'RESUMEN TOTAL'!E568</f>
        <v>DOMO</v>
      </c>
      <c r="E456" s="30" t="str">
        <f>'RESUMEN TOTAL'!F568</f>
        <v>Fibra Optica</v>
      </c>
      <c r="F456" s="70">
        <f>'RESUMEN TOTAL'!M568</f>
        <v>0</v>
      </c>
      <c r="G456" s="70">
        <f>'RESUMEN TOTAL'!N568</f>
        <v>0</v>
      </c>
      <c r="H456" s="70">
        <f>'RESUMEN TOTAL'!O568</f>
        <v>0</v>
      </c>
      <c r="I456" s="70">
        <f>'RESUMEN TOTAL'!P568</f>
        <v>0</v>
      </c>
      <c r="J456" s="70">
        <f>'RESUMEN TOTAL'!Q568</f>
        <v>0</v>
      </c>
      <c r="K456" s="70">
        <f>'RESUMEN TOTAL'!R568</f>
        <v>0</v>
      </c>
      <c r="L456" s="70">
        <f>'RESUMEN TOTAL'!S568</f>
        <v>0</v>
      </c>
      <c r="M456" s="70">
        <f>'RESUMEN TOTAL'!T568</f>
        <v>0</v>
      </c>
      <c r="N456" s="70">
        <f>'RESUMEN TOTAL'!U568</f>
        <v>0</v>
      </c>
      <c r="O456" s="70">
        <f>'RESUMEN TOTAL'!V568</f>
        <v>0</v>
      </c>
      <c r="P456" s="70">
        <f>'RESUMEN TOTAL'!W568</f>
        <v>0</v>
      </c>
      <c r="Q456" s="70">
        <f>'RESUMEN TOTAL'!X568</f>
        <v>0</v>
      </c>
      <c r="R456" s="70">
        <f>'RESUMEN TOTAL'!Y568</f>
        <v>0</v>
      </c>
      <c r="S456" s="70">
        <f>'RESUMEN TOTAL'!Z568</f>
        <v>0</v>
      </c>
      <c r="T456" s="70">
        <f>'RESUMEN TOTAL'!AA568</f>
        <v>0</v>
      </c>
      <c r="U456" s="70">
        <f>'RESUMEN TOTAL'!AB568</f>
        <v>0</v>
      </c>
      <c r="V456" s="70">
        <f>'RESUMEN TOTAL'!AC568</f>
        <v>0</v>
      </c>
      <c r="W456" s="70">
        <f>'RESUMEN TOTAL'!AD568</f>
        <v>0</v>
      </c>
      <c r="X456" s="70">
        <f>'RESUMEN TOTAL'!AE568</f>
        <v>0</v>
      </c>
      <c r="Y456" s="70">
        <f>'RESUMEN TOTAL'!AF568</f>
        <v>0</v>
      </c>
      <c r="Z456" s="70">
        <f>'RESUMEN TOTAL'!AG568</f>
        <v>0</v>
      </c>
      <c r="AA456" s="70">
        <f>'RESUMEN TOTAL'!AH568</f>
        <v>0</v>
      </c>
      <c r="AB456" s="70">
        <f>'RESUMEN TOTAL'!AI568</f>
        <v>0</v>
      </c>
      <c r="AC456" s="70">
        <f>'RESUMEN TOTAL'!AJ568</f>
        <v>0</v>
      </c>
      <c r="AD456" s="70">
        <f>'RESUMEN TOTAL'!AK568</f>
        <v>0</v>
      </c>
      <c r="AE456" s="70">
        <f>'RESUMEN TOTAL'!AL568</f>
        <v>0</v>
      </c>
      <c r="AF456" s="70">
        <f>'RESUMEN TOTAL'!AM568</f>
        <v>0</v>
      </c>
      <c r="AG456" s="70">
        <f>'RESUMEN TOTAL'!AN568</f>
        <v>0</v>
      </c>
      <c r="AH456" s="70">
        <f>'RESUMEN TOTAL'!AO568</f>
        <v>0</v>
      </c>
      <c r="AI456" s="70">
        <f>'RESUMEN TOTAL'!AP568</f>
        <v>0</v>
      </c>
      <c r="AJ456" s="70">
        <f>'RESUMEN TOTAL'!AQ568</f>
        <v>0</v>
      </c>
    </row>
    <row r="457" spans="1:36" x14ac:dyDescent="0.25">
      <c r="A457" t="str">
        <f>'RESUMEN TOTAL'!A570</f>
        <v>ZEBALLOS</v>
      </c>
      <c r="B457" t="str">
        <f>'RESUMEN TOTAL'!B570</f>
        <v>ZEB02</v>
      </c>
      <c r="C457" t="str">
        <f>'RESUMEN TOTAL'!D570</f>
        <v>Quinquela Martin y Sgo. del Estero</v>
      </c>
      <c r="D457" s="30" t="str">
        <f>'RESUMEN TOTAL'!E570</f>
        <v>Domo</v>
      </c>
      <c r="E457" s="30" t="str">
        <f>'RESUMEN TOTAL'!F570</f>
        <v>GPON</v>
      </c>
      <c r="F457" s="70">
        <f>'RESUMEN TOTAL'!M570</f>
        <v>0</v>
      </c>
      <c r="G457" s="70">
        <f>'RESUMEN TOTAL'!N570</f>
        <v>0</v>
      </c>
      <c r="H457" s="70">
        <f>'RESUMEN TOTAL'!O570</f>
        <v>0</v>
      </c>
      <c r="I457" s="70">
        <f>'RESUMEN TOTAL'!P570</f>
        <v>0</v>
      </c>
      <c r="J457" s="70">
        <f>'RESUMEN TOTAL'!Q570</f>
        <v>0</v>
      </c>
      <c r="K457" s="70">
        <f>'RESUMEN TOTAL'!R570</f>
        <v>0</v>
      </c>
      <c r="L457" s="70">
        <f>'RESUMEN TOTAL'!S570</f>
        <v>0</v>
      </c>
      <c r="M457" s="70">
        <f>'RESUMEN TOTAL'!T570</f>
        <v>0</v>
      </c>
      <c r="N457" s="70">
        <f>'RESUMEN TOTAL'!U570</f>
        <v>0</v>
      </c>
      <c r="O457" s="70">
        <f>'RESUMEN TOTAL'!V570</f>
        <v>0</v>
      </c>
      <c r="P457" s="70">
        <f>'RESUMEN TOTAL'!W570</f>
        <v>0</v>
      </c>
      <c r="Q457" s="70">
        <f>'RESUMEN TOTAL'!X570</f>
        <v>0</v>
      </c>
      <c r="R457" s="70">
        <f>'RESUMEN TOTAL'!Y570</f>
        <v>0</v>
      </c>
      <c r="S457" s="70">
        <f>'RESUMEN TOTAL'!Z570</f>
        <v>0</v>
      </c>
      <c r="T457" s="70">
        <f>'RESUMEN TOTAL'!AA570</f>
        <v>0</v>
      </c>
      <c r="U457" s="70">
        <f>'RESUMEN TOTAL'!AB570</f>
        <v>0</v>
      </c>
      <c r="V457" s="70">
        <f>'RESUMEN TOTAL'!AC570</f>
        <v>0</v>
      </c>
      <c r="W457" s="70">
        <f>'RESUMEN TOTAL'!AD570</f>
        <v>0</v>
      </c>
      <c r="X457" s="70">
        <f>'RESUMEN TOTAL'!AE570</f>
        <v>0</v>
      </c>
      <c r="Y457" s="70">
        <f>'RESUMEN TOTAL'!AF570</f>
        <v>0</v>
      </c>
      <c r="Z457" s="70">
        <f>'RESUMEN TOTAL'!AG570</f>
        <v>0</v>
      </c>
      <c r="AA457" s="70">
        <f>'RESUMEN TOTAL'!AH570</f>
        <v>0</v>
      </c>
      <c r="AB457" s="70">
        <f>'RESUMEN TOTAL'!AI570</f>
        <v>0</v>
      </c>
      <c r="AC457" s="70">
        <f>'RESUMEN TOTAL'!AJ570</f>
        <v>0</v>
      </c>
      <c r="AD457" s="70">
        <f>'RESUMEN TOTAL'!AK570</f>
        <v>0</v>
      </c>
      <c r="AE457" s="70">
        <f>'RESUMEN TOTAL'!AL570</f>
        <v>0</v>
      </c>
      <c r="AF457" s="70">
        <f>'RESUMEN TOTAL'!AM570</f>
        <v>0</v>
      </c>
      <c r="AG457" s="70">
        <f>'RESUMEN TOTAL'!AN570</f>
        <v>0</v>
      </c>
      <c r="AH457" s="70">
        <f>'RESUMEN TOTAL'!AO570</f>
        <v>0</v>
      </c>
      <c r="AI457" s="70">
        <f>'RESUMEN TOTAL'!AP570</f>
        <v>0</v>
      </c>
      <c r="AJ457" s="70">
        <f>'RESUMEN TOTAL'!AQ570</f>
        <v>0</v>
      </c>
    </row>
    <row r="458" spans="1:36" x14ac:dyDescent="0.25">
      <c r="A458" t="str">
        <f>'RESUMEN TOTAL'!A571</f>
        <v>9 DE JULIO</v>
      </c>
      <c r="B458" t="str">
        <f>'RESUMEN TOTAL'!B571</f>
        <v>ZEB03</v>
      </c>
      <c r="C458" t="str">
        <f>'RESUMEN TOTAL'!D571</f>
        <v>Quinquela Martin y Pte. Peron</v>
      </c>
      <c r="D458" s="30" t="str">
        <f>'RESUMEN TOTAL'!E571</f>
        <v>Domo</v>
      </c>
      <c r="E458" s="30" t="str">
        <f>'RESUMEN TOTAL'!F571</f>
        <v>GPON</v>
      </c>
      <c r="F458" s="70">
        <f>'RESUMEN TOTAL'!M571</f>
        <v>0</v>
      </c>
      <c r="G458" s="70">
        <f>'RESUMEN TOTAL'!N571</f>
        <v>0</v>
      </c>
      <c r="H458" s="70">
        <f>'RESUMEN TOTAL'!O571</f>
        <v>0</v>
      </c>
      <c r="I458" s="70">
        <f>'RESUMEN TOTAL'!P571</f>
        <v>0</v>
      </c>
      <c r="J458" s="70">
        <f>'RESUMEN TOTAL'!Q571</f>
        <v>0</v>
      </c>
      <c r="K458" s="70">
        <f>'RESUMEN TOTAL'!R571</f>
        <v>0</v>
      </c>
      <c r="L458" s="70">
        <f>'RESUMEN TOTAL'!S571</f>
        <v>0</v>
      </c>
      <c r="M458" s="70">
        <f>'RESUMEN TOTAL'!T571</f>
        <v>0</v>
      </c>
      <c r="N458" s="70">
        <f>'RESUMEN TOTAL'!U571</f>
        <v>0</v>
      </c>
      <c r="O458" s="70">
        <f>'RESUMEN TOTAL'!V571</f>
        <v>0</v>
      </c>
      <c r="P458" s="70">
        <f>'RESUMEN TOTAL'!W571</f>
        <v>0</v>
      </c>
      <c r="Q458" s="70">
        <f>'RESUMEN TOTAL'!X571</f>
        <v>0</v>
      </c>
      <c r="R458" s="70">
        <f>'RESUMEN TOTAL'!Y571</f>
        <v>0</v>
      </c>
      <c r="S458" s="70">
        <f>'RESUMEN TOTAL'!Z571</f>
        <v>0</v>
      </c>
      <c r="T458" s="70">
        <f>'RESUMEN TOTAL'!AA571</f>
        <v>0</v>
      </c>
      <c r="U458" s="70">
        <f>'RESUMEN TOTAL'!AB571</f>
        <v>0</v>
      </c>
      <c r="V458" s="70">
        <f>'RESUMEN TOTAL'!AC571</f>
        <v>0</v>
      </c>
      <c r="W458" s="70">
        <f>'RESUMEN TOTAL'!AD571</f>
        <v>0</v>
      </c>
      <c r="X458" s="70">
        <f>'RESUMEN TOTAL'!AE571</f>
        <v>0</v>
      </c>
      <c r="Y458" s="70">
        <f>'RESUMEN TOTAL'!AF571</f>
        <v>0</v>
      </c>
      <c r="Z458" s="70">
        <f>'RESUMEN TOTAL'!AG571</f>
        <v>0</v>
      </c>
      <c r="AA458" s="70">
        <f>'RESUMEN TOTAL'!AH571</f>
        <v>0</v>
      </c>
      <c r="AB458" s="70">
        <f>'RESUMEN TOTAL'!AI571</f>
        <v>0</v>
      </c>
      <c r="AC458" s="70">
        <f>'RESUMEN TOTAL'!AJ571</f>
        <v>0</v>
      </c>
      <c r="AD458" s="70">
        <f>'RESUMEN TOTAL'!AK571</f>
        <v>0</v>
      </c>
      <c r="AE458" s="70">
        <f>'RESUMEN TOTAL'!AL571</f>
        <v>0</v>
      </c>
      <c r="AF458" s="70">
        <f>'RESUMEN TOTAL'!AM571</f>
        <v>0</v>
      </c>
      <c r="AG458" s="70">
        <f>'RESUMEN TOTAL'!AN571</f>
        <v>0</v>
      </c>
      <c r="AH458" s="70">
        <f>'RESUMEN TOTAL'!AO571</f>
        <v>0</v>
      </c>
      <c r="AI458" s="70">
        <f>'RESUMEN TOTAL'!AP571</f>
        <v>0</v>
      </c>
      <c r="AJ458" s="70">
        <f>'RESUMEN TOTAL'!AQ571</f>
        <v>0</v>
      </c>
    </row>
    <row r="459" spans="1:36" x14ac:dyDescent="0.25">
      <c r="A459" t="str">
        <f>'RESUMEN TOTAL'!A572</f>
        <v>ZEBALLOS</v>
      </c>
      <c r="B459" t="str">
        <f>'RESUMEN TOTAL'!B572</f>
        <v>ZEB04</v>
      </c>
      <c r="C459" t="str">
        <f>'RESUMEN TOTAL'!D572</f>
        <v>THEVENET Y DIAGONAL GRANADEROS</v>
      </c>
      <c r="D459" s="30" t="str">
        <f>'RESUMEN TOTAL'!E572</f>
        <v>DOMO</v>
      </c>
      <c r="E459" s="30" t="str">
        <f>'RESUMEN TOTAL'!F572</f>
        <v>GPON</v>
      </c>
      <c r="F459" s="70">
        <f>'RESUMEN TOTAL'!M572</f>
        <v>0</v>
      </c>
      <c r="G459" s="70">
        <f>'RESUMEN TOTAL'!N572</f>
        <v>0</v>
      </c>
      <c r="H459" s="70">
        <f>'RESUMEN TOTAL'!O572</f>
        <v>0</v>
      </c>
      <c r="I459" s="70">
        <f>'RESUMEN TOTAL'!P572</f>
        <v>0</v>
      </c>
      <c r="J459" s="70">
        <f>'RESUMEN TOTAL'!Q572</f>
        <v>0</v>
      </c>
      <c r="K459" s="70">
        <f>'RESUMEN TOTAL'!R572</f>
        <v>0</v>
      </c>
      <c r="L459" s="70">
        <f>'RESUMEN TOTAL'!S572</f>
        <v>0</v>
      </c>
      <c r="M459" s="70">
        <f>'RESUMEN TOTAL'!T572</f>
        <v>0</v>
      </c>
      <c r="N459" s="70">
        <f>'RESUMEN TOTAL'!U572</f>
        <v>0</v>
      </c>
      <c r="O459" s="70">
        <f>'RESUMEN TOTAL'!V572</f>
        <v>0</v>
      </c>
      <c r="P459" s="70">
        <f>'RESUMEN TOTAL'!W572</f>
        <v>0</v>
      </c>
      <c r="Q459" s="70">
        <f>'RESUMEN TOTAL'!X572</f>
        <v>0</v>
      </c>
      <c r="R459" s="70">
        <f>'RESUMEN TOTAL'!Y572</f>
        <v>0</v>
      </c>
      <c r="S459" s="70">
        <f>'RESUMEN TOTAL'!Z572</f>
        <v>0</v>
      </c>
      <c r="T459" s="70">
        <f>'RESUMEN TOTAL'!AA572</f>
        <v>0</v>
      </c>
      <c r="U459" s="70">
        <f>'RESUMEN TOTAL'!AB572</f>
        <v>0</v>
      </c>
      <c r="V459" s="70">
        <f>'RESUMEN TOTAL'!AC572</f>
        <v>0</v>
      </c>
      <c r="W459" s="70">
        <f>'RESUMEN TOTAL'!AD572</f>
        <v>0</v>
      </c>
      <c r="X459" s="70">
        <f>'RESUMEN TOTAL'!AE572</f>
        <v>0</v>
      </c>
      <c r="Y459" s="70">
        <f>'RESUMEN TOTAL'!AF572</f>
        <v>0</v>
      </c>
      <c r="Z459" s="70">
        <f>'RESUMEN TOTAL'!AG572</f>
        <v>0</v>
      </c>
      <c r="AA459" s="70">
        <f>'RESUMEN TOTAL'!AH572</f>
        <v>0</v>
      </c>
      <c r="AB459" s="70">
        <f>'RESUMEN TOTAL'!AI572</f>
        <v>0</v>
      </c>
      <c r="AC459" s="70">
        <f>'RESUMEN TOTAL'!AJ572</f>
        <v>0</v>
      </c>
      <c r="AD459" s="70">
        <f>'RESUMEN TOTAL'!AK572</f>
        <v>0</v>
      </c>
      <c r="AE459" s="70">
        <f>'RESUMEN TOTAL'!AL572</f>
        <v>0</v>
      </c>
      <c r="AF459" s="70">
        <f>'RESUMEN TOTAL'!AM572</f>
        <v>0</v>
      </c>
      <c r="AG459" s="70">
        <f>'RESUMEN TOTAL'!AN572</f>
        <v>0</v>
      </c>
      <c r="AH459" s="70">
        <f>'RESUMEN TOTAL'!AO572</f>
        <v>0</v>
      </c>
      <c r="AI459" s="70">
        <f>'RESUMEN TOTAL'!AP572</f>
        <v>0</v>
      </c>
      <c r="AJ459" s="70">
        <f>'RESUMEN TOTAL'!AQ572</f>
        <v>0</v>
      </c>
    </row>
    <row r="460" spans="1:36" x14ac:dyDescent="0.25">
      <c r="A460" t="str">
        <f>'RESUMEN TOTAL'!A573</f>
        <v>ZEBALLOS</v>
      </c>
      <c r="B460" t="str">
        <f>'RESUMEN TOTAL'!B573</f>
        <v>ZEB 05</v>
      </c>
      <c r="C460" t="str">
        <f>'RESUMEN TOTAL'!D573</f>
        <v>DIAG. GRANADEROS Y 214 BIS</v>
      </c>
      <c r="D460" s="30" t="str">
        <f>'RESUMEN TOTAL'!E573</f>
        <v>Domo</v>
      </c>
      <c r="E460" s="30" t="str">
        <f>'RESUMEN TOTAL'!F573</f>
        <v>GPON</v>
      </c>
      <c r="F460" s="70" t="str">
        <f>'RESUMEN TOTAL'!M573</f>
        <v>APAGADO</v>
      </c>
      <c r="G460" s="70" t="str">
        <f>'RESUMEN TOTAL'!N573</f>
        <v>APAGADO</v>
      </c>
      <c r="H460" s="70" t="str">
        <f>'RESUMEN TOTAL'!O573</f>
        <v>APAGADO</v>
      </c>
      <c r="I460" s="70" t="str">
        <f>'RESUMEN TOTAL'!P573</f>
        <v>APAGADO</v>
      </c>
      <c r="J460" s="70" t="str">
        <f>'RESUMEN TOTAL'!Q573</f>
        <v>APAGADO</v>
      </c>
      <c r="K460" s="70" t="str">
        <f>'RESUMEN TOTAL'!R573</f>
        <v>APAGADO</v>
      </c>
      <c r="L460" s="70" t="str">
        <f>'RESUMEN TOTAL'!S573</f>
        <v>APAGADO</v>
      </c>
      <c r="M460" s="70" t="str">
        <f>'RESUMEN TOTAL'!T573</f>
        <v>APAGADO</v>
      </c>
      <c r="N460" s="70">
        <f>'RESUMEN TOTAL'!U573</f>
        <v>0</v>
      </c>
      <c r="O460" s="70">
        <f>'RESUMEN TOTAL'!V573</f>
        <v>0</v>
      </c>
      <c r="P460" s="70">
        <f>'RESUMEN TOTAL'!W573</f>
        <v>0</v>
      </c>
      <c r="Q460" s="70">
        <f>'RESUMEN TOTAL'!X573</f>
        <v>0</v>
      </c>
      <c r="R460" s="70">
        <f>'RESUMEN TOTAL'!Y573</f>
        <v>0</v>
      </c>
      <c r="S460" s="70">
        <f>'RESUMEN TOTAL'!Z573</f>
        <v>0</v>
      </c>
      <c r="T460" s="70">
        <f>'RESUMEN TOTAL'!AA573</f>
        <v>0</v>
      </c>
      <c r="U460" s="70">
        <f>'RESUMEN TOTAL'!AB573</f>
        <v>0</v>
      </c>
      <c r="V460" s="70">
        <f>'RESUMEN TOTAL'!AC573</f>
        <v>0</v>
      </c>
      <c r="W460" s="70">
        <f>'RESUMEN TOTAL'!AD573</f>
        <v>0</v>
      </c>
      <c r="X460" s="70">
        <f>'RESUMEN TOTAL'!AE573</f>
        <v>0</v>
      </c>
      <c r="Y460" s="70">
        <f>'RESUMEN TOTAL'!AF573</f>
        <v>0</v>
      </c>
      <c r="Z460" s="70">
        <f>'RESUMEN TOTAL'!AG573</f>
        <v>0</v>
      </c>
      <c r="AA460" s="70">
        <f>'RESUMEN TOTAL'!AH573</f>
        <v>0</v>
      </c>
      <c r="AB460" s="70">
        <f>'RESUMEN TOTAL'!AI573</f>
        <v>0</v>
      </c>
      <c r="AC460" s="70">
        <f>'RESUMEN TOTAL'!AJ573</f>
        <v>0</v>
      </c>
      <c r="AD460" s="70">
        <f>'RESUMEN TOTAL'!AK573</f>
        <v>0</v>
      </c>
      <c r="AE460" s="70">
        <f>'RESUMEN TOTAL'!AL573</f>
        <v>0</v>
      </c>
      <c r="AF460" s="70">
        <f>'RESUMEN TOTAL'!AM573</f>
        <v>0</v>
      </c>
      <c r="AG460" s="70">
        <f>'RESUMEN TOTAL'!AN573</f>
        <v>0</v>
      </c>
      <c r="AH460" s="70">
        <f>'RESUMEN TOTAL'!AO573</f>
        <v>0</v>
      </c>
      <c r="AI460" s="70">
        <f>'RESUMEN TOTAL'!AP573</f>
        <v>0</v>
      </c>
      <c r="AJ460" s="70">
        <f>'RESUMEN TOTAL'!AQ573</f>
        <v>0</v>
      </c>
    </row>
    <row r="461" spans="1:36" x14ac:dyDescent="0.25">
      <c r="A461" t="str">
        <f>[1]Hoja1!A1</f>
        <v>ALTAMIRA</v>
      </c>
      <c r="B461" t="str">
        <f>[1]Hoja1!B1</f>
        <v>ALT 03</v>
      </c>
      <c r="C461" t="str">
        <f>[1]Hoja1!D1</f>
        <v>Bombero Galarza y Necochea</v>
      </c>
      <c r="D461" s="30" t="str">
        <f>[1]Hoja1!E1</f>
        <v>Domo</v>
      </c>
      <c r="E461" s="30" t="str">
        <f>[1]Hoja1!F1</f>
        <v>Fibra Optica</v>
      </c>
      <c r="F461" s="70">
        <f>[1]Hoja1!L1</f>
        <v>0</v>
      </c>
      <c r="G461" s="70">
        <f>[1]Hoja1!M1</f>
        <v>0</v>
      </c>
      <c r="H461" s="70">
        <f>[1]Hoja1!N1</f>
        <v>0</v>
      </c>
      <c r="I461" s="70">
        <f>[1]Hoja1!O1</f>
        <v>0</v>
      </c>
      <c r="J461" s="70">
        <f>[1]Hoja1!P1</f>
        <v>0</v>
      </c>
      <c r="K461" s="70">
        <f>[1]Hoja1!Q1</f>
        <v>0</v>
      </c>
      <c r="L461" s="70">
        <f>[1]Hoja1!R1</f>
        <v>0</v>
      </c>
      <c r="M461" s="70">
        <f>[1]Hoja1!S1</f>
        <v>0</v>
      </c>
      <c r="N461" s="70">
        <f>[1]Hoja1!T1</f>
        <v>0</v>
      </c>
      <c r="O461" s="70">
        <f>[1]Hoja1!U1</f>
        <v>0</v>
      </c>
      <c r="P461" s="70">
        <f>[1]Hoja1!V1</f>
        <v>0</v>
      </c>
      <c r="Q461" s="70">
        <f>[1]Hoja1!W1</f>
        <v>0</v>
      </c>
      <c r="R461" s="70">
        <f>[1]Hoja1!X1</f>
        <v>0</v>
      </c>
      <c r="S461" s="70">
        <f>[1]Hoja1!Y1</f>
        <v>0</v>
      </c>
      <c r="T461" s="70">
        <f>[1]Hoja1!Z1</f>
        <v>0</v>
      </c>
      <c r="U461" s="70">
        <f>[1]Hoja1!AA1</f>
        <v>0</v>
      </c>
      <c r="V461" s="70">
        <f>[1]Hoja1!AB1</f>
        <v>0</v>
      </c>
      <c r="W461" s="70">
        <f>[1]Hoja1!AC1</f>
        <v>0</v>
      </c>
      <c r="X461" s="70">
        <f>[1]Hoja1!AD1</f>
        <v>0</v>
      </c>
      <c r="Y461" s="70">
        <f>[1]Hoja1!AE1</f>
        <v>0</v>
      </c>
      <c r="Z461" s="70">
        <f>[1]Hoja1!AF1</f>
        <v>0</v>
      </c>
      <c r="AA461" s="70">
        <f>[1]Hoja1!AG1</f>
        <v>0</v>
      </c>
      <c r="AB461" s="70">
        <f>[1]Hoja1!AH1</f>
        <v>0</v>
      </c>
      <c r="AC461" s="70">
        <f>[1]Hoja1!AI1</f>
        <v>0</v>
      </c>
      <c r="AD461" s="70">
        <f>[1]Hoja1!AJ1</f>
        <v>0</v>
      </c>
      <c r="AE461" s="70">
        <f>[1]Hoja1!AK1</f>
        <v>0</v>
      </c>
      <c r="AF461" s="70">
        <f>[1]Hoja1!AL1</f>
        <v>0</v>
      </c>
      <c r="AG461" s="70">
        <f>[1]Hoja1!AM1</f>
        <v>0</v>
      </c>
      <c r="AH461" s="70">
        <f>[1]Hoja1!AN1</f>
        <v>0</v>
      </c>
      <c r="AI461" s="70">
        <f>[1]Hoja1!AO1</f>
        <v>0</v>
      </c>
      <c r="AJ461" s="70">
        <f>[1]Hoja1!AP1</f>
        <v>0</v>
      </c>
    </row>
    <row r="462" spans="1:36" x14ac:dyDescent="0.25">
      <c r="A462" t="str">
        <f>[1]Hoja1!A2</f>
        <v>ALTAMIRA</v>
      </c>
      <c r="B462" t="str">
        <f>[1]Hoja1!B2</f>
        <v>ALT 04</v>
      </c>
      <c r="C462" t="str">
        <f>[1]Hoja1!D2</f>
        <v>Francia y Necochea</v>
      </c>
      <c r="D462" s="30" t="str">
        <f>[1]Hoja1!E2</f>
        <v>Domo</v>
      </c>
      <c r="E462" s="30" t="str">
        <f>[1]Hoja1!F2</f>
        <v>Fibra Optica</v>
      </c>
      <c r="F462" s="70">
        <f>[1]Hoja1!L2</f>
        <v>0</v>
      </c>
      <c r="G462" s="70">
        <f>[1]Hoja1!M2</f>
        <v>0</v>
      </c>
      <c r="H462" s="70">
        <f>[1]Hoja1!N2</f>
        <v>0</v>
      </c>
      <c r="I462" s="70">
        <f>[1]Hoja1!O2</f>
        <v>0</v>
      </c>
      <c r="J462" s="70">
        <f>[1]Hoja1!P2</f>
        <v>0</v>
      </c>
      <c r="K462" s="70">
        <f>[1]Hoja1!Q2</f>
        <v>0</v>
      </c>
      <c r="L462" s="70">
        <f>[1]Hoja1!R2</f>
        <v>0</v>
      </c>
      <c r="M462" s="70">
        <f>[1]Hoja1!S2</f>
        <v>0</v>
      </c>
      <c r="N462" s="70">
        <f>[1]Hoja1!T2</f>
        <v>0</v>
      </c>
      <c r="O462" s="70">
        <f>[1]Hoja1!U2</f>
        <v>0</v>
      </c>
      <c r="P462" s="70">
        <f>[1]Hoja1!V2</f>
        <v>0</v>
      </c>
      <c r="Q462" s="70">
        <f>[1]Hoja1!W2</f>
        <v>0</v>
      </c>
      <c r="R462" s="70">
        <f>[1]Hoja1!X2</f>
        <v>0</v>
      </c>
      <c r="S462" s="70">
        <f>[1]Hoja1!Y2</f>
        <v>0</v>
      </c>
      <c r="T462" s="70">
        <f>[1]Hoja1!Z2</f>
        <v>0</v>
      </c>
      <c r="U462" s="70">
        <f>[1]Hoja1!AA2</f>
        <v>0</v>
      </c>
      <c r="V462" s="70">
        <f>[1]Hoja1!AB2</f>
        <v>0</v>
      </c>
      <c r="W462" s="70">
        <f>[1]Hoja1!AC2</f>
        <v>0</v>
      </c>
      <c r="X462" s="70">
        <f>[1]Hoja1!AD2</f>
        <v>0</v>
      </c>
      <c r="Y462" s="70">
        <f>[1]Hoja1!AE2</f>
        <v>0</v>
      </c>
      <c r="Z462" s="70">
        <f>[1]Hoja1!AF2</f>
        <v>0</v>
      </c>
      <c r="AA462" s="70">
        <f>[1]Hoja1!AG2</f>
        <v>0</v>
      </c>
      <c r="AB462" s="70">
        <f>[1]Hoja1!AH2</f>
        <v>0</v>
      </c>
      <c r="AC462" s="70">
        <f>[1]Hoja1!AI2</f>
        <v>0</v>
      </c>
      <c r="AD462" s="70">
        <f>[1]Hoja1!AJ2</f>
        <v>0</v>
      </c>
      <c r="AE462" s="70">
        <f>[1]Hoja1!AK2</f>
        <v>0</v>
      </c>
      <c r="AF462" s="70">
        <f>[1]Hoja1!AL2</f>
        <v>0</v>
      </c>
      <c r="AG462" s="70">
        <f>[1]Hoja1!AM2</f>
        <v>0</v>
      </c>
      <c r="AH462" s="70">
        <f>[1]Hoja1!AN2</f>
        <v>0</v>
      </c>
      <c r="AI462" s="70">
        <f>[1]Hoja1!AO2</f>
        <v>0</v>
      </c>
      <c r="AJ462" s="70">
        <f>[1]Hoja1!AP2</f>
        <v>0</v>
      </c>
    </row>
    <row r="463" spans="1:36" x14ac:dyDescent="0.25">
      <c r="A463" t="str">
        <f>[1]Hoja1!A3</f>
        <v>ALTAMIRA</v>
      </c>
      <c r="B463" t="str">
        <f>[1]Hoja1!B3</f>
        <v>ALT 06</v>
      </c>
      <c r="C463" t="str">
        <f>[1]Hoja1!D3</f>
        <v>LOPE DE VEGA Y NECOCHEA</v>
      </c>
      <c r="D463" s="30" t="str">
        <f>[1]Hoja1!E3</f>
        <v>Domo</v>
      </c>
      <c r="E463" s="30" t="str">
        <f>[1]Hoja1!F3</f>
        <v>PTO A FO</v>
      </c>
      <c r="F463" s="70">
        <f>[1]Hoja1!L3</f>
        <v>0</v>
      </c>
      <c r="G463" s="70">
        <f>[1]Hoja1!M3</f>
        <v>0</v>
      </c>
      <c r="H463" s="70">
        <f>[1]Hoja1!N3</f>
        <v>0</v>
      </c>
      <c r="I463" s="70">
        <f>[1]Hoja1!O3</f>
        <v>0</v>
      </c>
      <c r="J463" s="70">
        <f>[1]Hoja1!P3</f>
        <v>0</v>
      </c>
      <c r="K463" s="70">
        <f>[1]Hoja1!Q3</f>
        <v>0</v>
      </c>
      <c r="L463" s="70">
        <f>[1]Hoja1!R3</f>
        <v>0</v>
      </c>
      <c r="M463" s="70">
        <f>[1]Hoja1!S3</f>
        <v>0</v>
      </c>
      <c r="N463" s="70">
        <f>[1]Hoja1!T3</f>
        <v>0</v>
      </c>
      <c r="O463" s="70">
        <f>[1]Hoja1!U3</f>
        <v>0</v>
      </c>
      <c r="P463" s="70">
        <f>[1]Hoja1!V3</f>
        <v>0</v>
      </c>
      <c r="Q463" s="70">
        <v>0</v>
      </c>
      <c r="R463" s="70">
        <f>[1]Hoja1!X3</f>
        <v>0</v>
      </c>
      <c r="S463" s="70">
        <f>[1]Hoja1!Y3</f>
        <v>0</v>
      </c>
      <c r="T463" s="70">
        <f>[1]Hoja1!Z3</f>
        <v>0</v>
      </c>
      <c r="U463" s="70">
        <f>[1]Hoja1!AA3</f>
        <v>0</v>
      </c>
      <c r="V463" s="70">
        <f>[1]Hoja1!AB3</f>
        <v>0</v>
      </c>
      <c r="W463" s="70">
        <f>[1]Hoja1!AC3</f>
        <v>0</v>
      </c>
      <c r="X463" s="70">
        <f>[1]Hoja1!AD3</f>
        <v>0</v>
      </c>
      <c r="Y463" s="70">
        <f>[1]Hoja1!AE3</f>
        <v>0</v>
      </c>
      <c r="Z463" s="70">
        <f>[1]Hoja1!AF3</f>
        <v>0</v>
      </c>
      <c r="AA463" s="70">
        <f>[1]Hoja1!AG3</f>
        <v>0</v>
      </c>
      <c r="AB463" s="70">
        <f>[1]Hoja1!AH3</f>
        <v>0</v>
      </c>
      <c r="AC463" s="70">
        <f>[1]Hoja1!AI3</f>
        <v>0</v>
      </c>
      <c r="AD463" s="70">
        <f>[1]Hoja1!AJ3</f>
        <v>0</v>
      </c>
      <c r="AE463" s="70">
        <f>[1]Hoja1!AK3</f>
        <v>0</v>
      </c>
      <c r="AF463" s="70">
        <f>[1]Hoja1!AL3</f>
        <v>0</v>
      </c>
      <c r="AG463" s="70">
        <f>[1]Hoja1!AM3</f>
        <v>0</v>
      </c>
      <c r="AH463" s="70">
        <f>[1]Hoja1!AN3</f>
        <v>0</v>
      </c>
      <c r="AI463" s="70">
        <f>[1]Hoja1!AO3</f>
        <v>0</v>
      </c>
      <c r="AJ463" s="70">
        <f>[1]Hoja1!AP3</f>
        <v>0</v>
      </c>
    </row>
    <row r="464" spans="1:36" x14ac:dyDescent="0.25">
      <c r="A464" t="str">
        <f>[1]Hoja1!A4</f>
        <v>BOSQUES CENTRO</v>
      </c>
      <c r="B464" t="str">
        <f>[1]Hoja1!B4</f>
        <v>PAVE01</v>
      </c>
      <c r="C464" t="str">
        <f>[1]Hoja1!D4</f>
        <v>Touring Club y Ramallo</v>
      </c>
      <c r="D464" s="30" t="str">
        <f>[1]Hoja1!E4</f>
        <v>Domo</v>
      </c>
      <c r="E464" s="30" t="str">
        <f>[1]Hoja1!F4</f>
        <v>Fibra Optica</v>
      </c>
      <c r="F464" s="70">
        <f>[1]Hoja1!L4</f>
        <v>0</v>
      </c>
      <c r="G464" s="70">
        <f>[1]Hoja1!M4</f>
        <v>0</v>
      </c>
      <c r="H464" s="70">
        <f>[1]Hoja1!N4</f>
        <v>0</v>
      </c>
      <c r="I464" s="70">
        <f>[1]Hoja1!O4</f>
        <v>0</v>
      </c>
      <c r="J464" s="70">
        <f>[1]Hoja1!P4</f>
        <v>0</v>
      </c>
      <c r="K464" s="70">
        <f>[1]Hoja1!Q4</f>
        <v>0</v>
      </c>
      <c r="L464" s="70">
        <f>[1]Hoja1!R4</f>
        <v>0</v>
      </c>
      <c r="M464" s="70">
        <f>[1]Hoja1!S4</f>
        <v>0</v>
      </c>
      <c r="N464" s="70">
        <f>[1]Hoja1!T4</f>
        <v>0</v>
      </c>
      <c r="O464" s="70">
        <f>[1]Hoja1!U4</f>
        <v>0</v>
      </c>
      <c r="P464" s="70">
        <f>[1]Hoja1!V4</f>
        <v>0</v>
      </c>
      <c r="Q464" s="70">
        <f>[1]Hoja1!W3</f>
        <v>0</v>
      </c>
      <c r="R464" s="70">
        <f>[1]Hoja1!X4</f>
        <v>0</v>
      </c>
      <c r="S464" s="70">
        <f>[1]Hoja1!Y4</f>
        <v>0</v>
      </c>
      <c r="T464" s="70">
        <f>[1]Hoja1!Z4</f>
        <v>0</v>
      </c>
      <c r="U464" s="70">
        <f>[1]Hoja1!AA4</f>
        <v>0</v>
      </c>
      <c r="V464" s="70">
        <f>[1]Hoja1!AB4</f>
        <v>0</v>
      </c>
      <c r="W464" s="70">
        <f>[1]Hoja1!AC4</f>
        <v>0</v>
      </c>
      <c r="X464" s="70">
        <f>[1]Hoja1!AD4</f>
        <v>0</v>
      </c>
      <c r="Y464" s="70">
        <f>[1]Hoja1!AE4</f>
        <v>0</v>
      </c>
      <c r="Z464" s="70">
        <f>[1]Hoja1!AF4</f>
        <v>0</v>
      </c>
      <c r="AA464" s="70">
        <f>[1]Hoja1!AG4</f>
        <v>0</v>
      </c>
      <c r="AB464" s="70">
        <f>[1]Hoja1!AH4</f>
        <v>0</v>
      </c>
      <c r="AC464" s="70">
        <f>[1]Hoja1!AI4</f>
        <v>0</v>
      </c>
      <c r="AD464" s="70">
        <f>[1]Hoja1!AJ4</f>
        <v>0</v>
      </c>
      <c r="AE464" s="70">
        <f>[1]Hoja1!AK4</f>
        <v>0</v>
      </c>
      <c r="AF464" s="70">
        <f>[1]Hoja1!AL4</f>
        <v>0</v>
      </c>
      <c r="AG464" s="70">
        <f>[1]Hoja1!AM4</f>
        <v>0</v>
      </c>
      <c r="AH464" s="70">
        <f>[1]Hoja1!AN4</f>
        <v>0</v>
      </c>
      <c r="AI464" s="70">
        <f>[1]Hoja1!AO4</f>
        <v>0</v>
      </c>
      <c r="AJ464" s="70">
        <f>[1]Hoja1!AP4</f>
        <v>0</v>
      </c>
    </row>
    <row r="465" spans="1:36" x14ac:dyDescent="0.25">
      <c r="A465" t="str">
        <f>[1]Hoja1!A5</f>
        <v>BOSQUES CENTRO</v>
      </c>
      <c r="B465" t="str">
        <f>[1]Hoja1!B5</f>
        <v>PAVE02</v>
      </c>
      <c r="C465" t="str">
        <f>[1]Hoja1!D5</f>
        <v xml:space="preserve">Ramallo y Calingasta </v>
      </c>
      <c r="D465" s="30">
        <f>[1]Hoja1!E5</f>
        <v>0</v>
      </c>
      <c r="E465" s="30" t="str">
        <f>[1]Hoja1!F5</f>
        <v>Fibra Optica</v>
      </c>
      <c r="F465" s="70">
        <f>[1]Hoja1!L5</f>
        <v>0</v>
      </c>
      <c r="G465" s="70">
        <f>[1]Hoja1!M5</f>
        <v>0</v>
      </c>
      <c r="H465" s="70">
        <f>[1]Hoja1!N5</f>
        <v>0</v>
      </c>
      <c r="I465" s="70">
        <f>[1]Hoja1!O5</f>
        <v>0</v>
      </c>
      <c r="J465" s="70">
        <f>[1]Hoja1!P5</f>
        <v>0</v>
      </c>
      <c r="K465" s="70">
        <f>[1]Hoja1!Q5</f>
        <v>0</v>
      </c>
      <c r="L465" s="70">
        <f>[1]Hoja1!R5</f>
        <v>0</v>
      </c>
      <c r="M465" s="70">
        <f>[1]Hoja1!S5</f>
        <v>0</v>
      </c>
      <c r="N465" s="70">
        <f>[1]Hoja1!T5</f>
        <v>0</v>
      </c>
      <c r="O465" s="70">
        <f>[1]Hoja1!U5</f>
        <v>0</v>
      </c>
      <c r="P465" s="70">
        <f>[1]Hoja1!V5</f>
        <v>0</v>
      </c>
      <c r="Q465" s="70">
        <v>0</v>
      </c>
      <c r="R465" s="70">
        <f>[1]Hoja1!X5</f>
        <v>0</v>
      </c>
      <c r="S465" s="70">
        <f>[1]Hoja1!Y5</f>
        <v>0</v>
      </c>
      <c r="T465" s="70">
        <f>[1]Hoja1!Z5</f>
        <v>0</v>
      </c>
      <c r="U465" s="70">
        <f>[1]Hoja1!AA5</f>
        <v>0</v>
      </c>
      <c r="V465" s="70">
        <f>[1]Hoja1!AB5</f>
        <v>0</v>
      </c>
      <c r="W465" s="70">
        <f>[1]Hoja1!AC5</f>
        <v>0</v>
      </c>
      <c r="X465" s="70">
        <f>[1]Hoja1!AD5</f>
        <v>0</v>
      </c>
      <c r="Y465" s="70">
        <f>[1]Hoja1!AE5</f>
        <v>0</v>
      </c>
      <c r="Z465" s="70">
        <f>[1]Hoja1!AF5</f>
        <v>0</v>
      </c>
      <c r="AA465" s="70">
        <f>[1]Hoja1!AG5</f>
        <v>0</v>
      </c>
      <c r="AB465" s="70">
        <f>[1]Hoja1!AH5</f>
        <v>0</v>
      </c>
      <c r="AC465" s="70">
        <f>[1]Hoja1!AI5</f>
        <v>0</v>
      </c>
      <c r="AD465" s="70">
        <f>[1]Hoja1!AJ5</f>
        <v>0</v>
      </c>
      <c r="AE465" s="70">
        <f>[1]Hoja1!AK5</f>
        <v>0</v>
      </c>
      <c r="AF465" s="70">
        <f>[1]Hoja1!AL5</f>
        <v>0</v>
      </c>
      <c r="AG465" s="70">
        <f>[1]Hoja1!AM5</f>
        <v>0</v>
      </c>
      <c r="AH465" s="70">
        <f>[1]Hoja1!AN5</f>
        <v>0</v>
      </c>
      <c r="AI465" s="70">
        <f>[1]Hoja1!AO5</f>
        <v>0</v>
      </c>
      <c r="AJ465" s="70">
        <f>[1]Hoja1!AP5</f>
        <v>0</v>
      </c>
    </row>
    <row r="466" spans="1:36" x14ac:dyDescent="0.25">
      <c r="A466" t="str">
        <f>[1]Hoja1!A6</f>
        <v>LA CAROLINA 2</v>
      </c>
      <c r="B466" t="str">
        <f>[1]Hoja1!B6</f>
        <v>CAR01 (Fija 1)</v>
      </c>
      <c r="C466" t="str">
        <f>[1]Hoja1!D6</f>
        <v>Azurduy y Vergara</v>
      </c>
      <c r="D466" s="30" t="str">
        <f>[1]Hoja1!E6</f>
        <v>Fija</v>
      </c>
      <c r="E466" s="30" t="str">
        <f>[1]Hoja1!F6</f>
        <v>Fibra Optica</v>
      </c>
      <c r="F466" s="70">
        <f>[1]Hoja1!L6</f>
        <v>0</v>
      </c>
      <c r="G466" s="70">
        <f>[1]Hoja1!M6</f>
        <v>0</v>
      </c>
      <c r="H466" s="70">
        <f>[1]Hoja1!N6</f>
        <v>0</v>
      </c>
      <c r="I466" s="70">
        <f>[1]Hoja1!O6</f>
        <v>0</v>
      </c>
      <c r="J466" s="70">
        <f>[1]Hoja1!P6</f>
        <v>0</v>
      </c>
      <c r="K466" s="70">
        <f>[1]Hoja1!Q6</f>
        <v>0</v>
      </c>
      <c r="L466" s="70">
        <f>[1]Hoja1!R6</f>
        <v>0</v>
      </c>
      <c r="M466" s="70">
        <f>[1]Hoja1!S6</f>
        <v>0</v>
      </c>
      <c r="N466" s="70">
        <f>[1]Hoja1!T6</f>
        <v>0</v>
      </c>
      <c r="O466" s="70">
        <f>[1]Hoja1!U6</f>
        <v>0</v>
      </c>
      <c r="P466" s="70">
        <f>[1]Hoja1!V6</f>
        <v>0</v>
      </c>
      <c r="Q466" s="70" t="e">
        <f>'RESUMEN TOTAL'!#REF!</f>
        <v>#REF!</v>
      </c>
      <c r="R466" s="70">
        <f>[1]Hoja1!X6</f>
        <v>0</v>
      </c>
      <c r="S466" s="70">
        <f>[1]Hoja1!Y6</f>
        <v>0</v>
      </c>
      <c r="T466" s="70">
        <f>[1]Hoja1!Z6</f>
        <v>0</v>
      </c>
      <c r="U466" s="70">
        <f>[1]Hoja1!AA6</f>
        <v>0</v>
      </c>
      <c r="V466" s="70">
        <f>[1]Hoja1!AB6</f>
        <v>0</v>
      </c>
      <c r="W466" s="70">
        <f>[1]Hoja1!AC6</f>
        <v>0</v>
      </c>
      <c r="X466" s="70">
        <f>[1]Hoja1!AD6</f>
        <v>0</v>
      </c>
      <c r="Y466" s="70">
        <f>[1]Hoja1!AE6</f>
        <v>0</v>
      </c>
      <c r="Z466" s="70">
        <f>[1]Hoja1!AF6</f>
        <v>0</v>
      </c>
      <c r="AA466" s="70">
        <f>[1]Hoja1!AG6</f>
        <v>0</v>
      </c>
      <c r="AB466" s="70">
        <f>[1]Hoja1!AH6</f>
        <v>0</v>
      </c>
      <c r="AC466" s="70">
        <f>[1]Hoja1!AI6</f>
        <v>0</v>
      </c>
      <c r="AD466" s="70">
        <f>[1]Hoja1!AJ6</f>
        <v>0</v>
      </c>
      <c r="AE466" s="70">
        <f>[1]Hoja1!AK6</f>
        <v>0</v>
      </c>
      <c r="AF466" s="70">
        <f>[1]Hoja1!AL6</f>
        <v>0</v>
      </c>
      <c r="AG466" s="70">
        <f>[1]Hoja1!AM6</f>
        <v>0</v>
      </c>
      <c r="AH466" s="70">
        <f>[1]Hoja1!AN6</f>
        <v>0</v>
      </c>
      <c r="AI466" s="70">
        <f>[1]Hoja1!AO6</f>
        <v>0</v>
      </c>
      <c r="AJ466" s="70">
        <f>[1]Hoja1!AP6</f>
        <v>0</v>
      </c>
    </row>
    <row r="467" spans="1:36" x14ac:dyDescent="0.25">
      <c r="A467" t="str">
        <f>[1]Hoja1!A7</f>
        <v>LA CAROLINA 2</v>
      </c>
      <c r="B467" t="str">
        <f>[1]Hoja1!B7</f>
        <v>CAR02 (Fija 2)</v>
      </c>
      <c r="C467" t="str">
        <f>[1]Hoja1!D7</f>
        <v>Azurduy y Vergara</v>
      </c>
      <c r="D467" s="30" t="str">
        <f>[1]Hoja1!E7</f>
        <v>Fija</v>
      </c>
      <c r="E467" s="30" t="str">
        <f>[1]Hoja1!F7</f>
        <v>Fibra Optica</v>
      </c>
      <c r="F467" s="70">
        <f>[1]Hoja1!L7</f>
        <v>0</v>
      </c>
      <c r="G467" s="70">
        <f>[1]Hoja1!M7</f>
        <v>0</v>
      </c>
      <c r="H467" s="70">
        <f>[1]Hoja1!N7</f>
        <v>0</v>
      </c>
      <c r="I467" s="70">
        <f>[1]Hoja1!O7</f>
        <v>0</v>
      </c>
      <c r="J467" s="70">
        <f>[1]Hoja1!P7</f>
        <v>0</v>
      </c>
      <c r="K467" s="70">
        <f>[1]Hoja1!Q7</f>
        <v>0</v>
      </c>
      <c r="L467" s="70">
        <f>[1]Hoja1!R7</f>
        <v>0</v>
      </c>
      <c r="M467" s="70">
        <f>[1]Hoja1!S7</f>
        <v>0</v>
      </c>
      <c r="N467" s="70">
        <f>[1]Hoja1!T7</f>
        <v>0</v>
      </c>
      <c r="O467" s="70">
        <f>[1]Hoja1!U7</f>
        <v>0</v>
      </c>
      <c r="P467" s="70">
        <f>[1]Hoja1!V7</f>
        <v>0</v>
      </c>
      <c r="Q467" s="70">
        <f>[1]Hoja1!W7</f>
        <v>0</v>
      </c>
      <c r="R467" s="70">
        <f>[1]Hoja1!X7</f>
        <v>0</v>
      </c>
      <c r="S467" s="70">
        <f>[1]Hoja1!Y7</f>
        <v>0</v>
      </c>
      <c r="T467" s="70">
        <f>[1]Hoja1!Z7</f>
        <v>0</v>
      </c>
      <c r="U467" s="70">
        <f>[1]Hoja1!AA7</f>
        <v>0</v>
      </c>
      <c r="V467" s="70">
        <f>[1]Hoja1!AB7</f>
        <v>0</v>
      </c>
      <c r="W467" s="70">
        <f>[1]Hoja1!AC7</f>
        <v>0</v>
      </c>
      <c r="X467" s="70">
        <f>[1]Hoja1!AD7</f>
        <v>0</v>
      </c>
      <c r="Y467" s="70">
        <f>[1]Hoja1!AE7</f>
        <v>0</v>
      </c>
      <c r="Z467" s="70">
        <f>[1]Hoja1!AF7</f>
        <v>0</v>
      </c>
      <c r="AA467" s="70">
        <f>[1]Hoja1!AG7</f>
        <v>0</v>
      </c>
      <c r="AB467" s="70">
        <f>[1]Hoja1!AH7</f>
        <v>0</v>
      </c>
      <c r="AC467" s="70">
        <f>[1]Hoja1!AI7</f>
        <v>0</v>
      </c>
      <c r="AD467" s="70">
        <f>[1]Hoja1!AJ7</f>
        <v>0</v>
      </c>
      <c r="AE467" s="70">
        <f>[1]Hoja1!AK7</f>
        <v>0</v>
      </c>
      <c r="AF467" s="70">
        <f>[1]Hoja1!AL7</f>
        <v>0</v>
      </c>
      <c r="AG467" s="70">
        <f>[1]Hoja1!AM7</f>
        <v>0</v>
      </c>
      <c r="AH467" s="70">
        <f>[1]Hoja1!AN7</f>
        <v>0</v>
      </c>
      <c r="AI467" s="70">
        <f>[1]Hoja1!AO7</f>
        <v>0</v>
      </c>
      <c r="AJ467" s="70">
        <f>[1]Hoja1!AP7</f>
        <v>0</v>
      </c>
    </row>
    <row r="468" spans="1:36" x14ac:dyDescent="0.25">
      <c r="A468" t="str">
        <f>[1]Hoja1!A8</f>
        <v>CENTRO</v>
      </c>
      <c r="B468" t="str">
        <f>[1]Hoja1!B8</f>
        <v>CEN06</v>
      </c>
      <c r="C468" t="str">
        <f>[1]Hoja1!D8</f>
        <v>Monteagudo y A.del Valle</v>
      </c>
      <c r="D468" s="30" t="str">
        <f>[1]Hoja1!E8</f>
        <v>Fija</v>
      </c>
      <c r="E468" s="30" t="str">
        <f>[1]Hoja1!F8</f>
        <v>Fibra Optica</v>
      </c>
      <c r="F468" s="70">
        <f>[1]Hoja1!L8</f>
        <v>0</v>
      </c>
      <c r="G468" s="70">
        <f>[1]Hoja1!M8</f>
        <v>0</v>
      </c>
      <c r="H468" s="70">
        <f>[1]Hoja1!N8</f>
        <v>0</v>
      </c>
      <c r="I468" s="70">
        <f>[1]Hoja1!O8</f>
        <v>0</v>
      </c>
      <c r="J468" s="70">
        <f>[1]Hoja1!P8</f>
        <v>0</v>
      </c>
      <c r="K468" s="70">
        <f>[1]Hoja1!Q8</f>
        <v>0</v>
      </c>
      <c r="L468" s="70">
        <f>[1]Hoja1!R8</f>
        <v>0</v>
      </c>
      <c r="M468" s="70">
        <f>[1]Hoja1!S8</f>
        <v>0</v>
      </c>
      <c r="N468" s="70">
        <f>[1]Hoja1!T8</f>
        <v>0</v>
      </c>
      <c r="O468" s="70">
        <f>[1]Hoja1!U8</f>
        <v>0</v>
      </c>
      <c r="P468" s="70">
        <f>[1]Hoja1!V8</f>
        <v>0</v>
      </c>
      <c r="Q468" s="70">
        <f>[1]Hoja1!W8</f>
        <v>0</v>
      </c>
      <c r="R468" s="70">
        <f>[1]Hoja1!X8</f>
        <v>0</v>
      </c>
      <c r="S468" s="70">
        <f>[1]Hoja1!Y8</f>
        <v>0</v>
      </c>
      <c r="T468" s="70">
        <f>[1]Hoja1!Z8</f>
        <v>0</v>
      </c>
      <c r="U468" s="70">
        <f>[1]Hoja1!AA8</f>
        <v>0</v>
      </c>
      <c r="V468" s="70">
        <f>[1]Hoja1!AB8</f>
        <v>0</v>
      </c>
      <c r="W468" s="70">
        <f>[1]Hoja1!AC8</f>
        <v>0</v>
      </c>
      <c r="X468" s="70">
        <f>[1]Hoja1!AD8</f>
        <v>0</v>
      </c>
      <c r="Y468" s="70">
        <f>[1]Hoja1!AE8</f>
        <v>0</v>
      </c>
      <c r="Z468" s="70">
        <f>[1]Hoja1!AF8</f>
        <v>0</v>
      </c>
      <c r="AA468" s="70">
        <f>[1]Hoja1!AG8</f>
        <v>0</v>
      </c>
      <c r="AB468" s="70">
        <f>[1]Hoja1!AH8</f>
        <v>0</v>
      </c>
      <c r="AC468" s="70">
        <f>[1]Hoja1!AI8</f>
        <v>0</v>
      </c>
      <c r="AD468" s="70">
        <f>[1]Hoja1!AJ8</f>
        <v>0</v>
      </c>
      <c r="AE468" s="70">
        <f>[1]Hoja1!AK8</f>
        <v>0</v>
      </c>
      <c r="AF468" s="70">
        <f>[1]Hoja1!AL8</f>
        <v>0</v>
      </c>
      <c r="AG468" s="70">
        <f>[1]Hoja1!AM8</f>
        <v>0</v>
      </c>
      <c r="AH468" s="70">
        <f>[1]Hoja1!AN8</f>
        <v>0</v>
      </c>
      <c r="AI468" s="70">
        <f>[1]Hoja1!AO8</f>
        <v>0</v>
      </c>
      <c r="AJ468" s="70">
        <f>[1]Hoja1!AP8</f>
        <v>0</v>
      </c>
    </row>
    <row r="469" spans="1:36" x14ac:dyDescent="0.25">
      <c r="A469" t="str">
        <f>[1]Hoja1!A9</f>
        <v>CENTRO</v>
      </c>
      <c r="B469" t="str">
        <f>[1]Hoja1!B9</f>
        <v>CEN21</v>
      </c>
      <c r="C469" t="str">
        <f>[1]Hoja1!D9</f>
        <v>Misiones y Urquiza</v>
      </c>
      <c r="D469" s="30" t="str">
        <f>[1]Hoja1!E9</f>
        <v>Fija</v>
      </c>
      <c r="E469" s="30" t="str">
        <f>[1]Hoja1!F9</f>
        <v>Radio</v>
      </c>
      <c r="F469" s="70">
        <f>[1]Hoja1!L9</f>
        <v>0</v>
      </c>
      <c r="G469" s="70">
        <f>[1]Hoja1!M9</f>
        <v>0</v>
      </c>
      <c r="H469" s="70">
        <f>[1]Hoja1!N9</f>
        <v>0</v>
      </c>
      <c r="I469" s="70">
        <f>[1]Hoja1!O9</f>
        <v>0</v>
      </c>
      <c r="J469" s="70">
        <f>[1]Hoja1!P9</f>
        <v>0</v>
      </c>
      <c r="K469" s="70">
        <f>[1]Hoja1!Q9</f>
        <v>0</v>
      </c>
      <c r="L469" s="70">
        <f>[1]Hoja1!R9</f>
        <v>0</v>
      </c>
      <c r="M469" s="70">
        <f>[1]Hoja1!S9</f>
        <v>0</v>
      </c>
      <c r="N469" s="70">
        <f>[1]Hoja1!T9</f>
        <v>0</v>
      </c>
      <c r="O469" s="70">
        <f>[1]Hoja1!U9</f>
        <v>0</v>
      </c>
      <c r="P469" s="70">
        <f>[1]Hoja1!V9</f>
        <v>0</v>
      </c>
      <c r="Q469" s="70">
        <f>[1]Hoja1!W9</f>
        <v>0</v>
      </c>
      <c r="R469" s="70">
        <f>[1]Hoja1!X9</f>
        <v>0</v>
      </c>
      <c r="S469" s="70">
        <f>[1]Hoja1!Y9</f>
        <v>0</v>
      </c>
      <c r="T469" s="70">
        <f>[1]Hoja1!Z9</f>
        <v>0</v>
      </c>
      <c r="U469" s="70">
        <f>[1]Hoja1!AA9</f>
        <v>0</v>
      </c>
      <c r="V469" s="70">
        <f>[1]Hoja1!AB9</f>
        <v>0</v>
      </c>
      <c r="W469" s="70">
        <f>[1]Hoja1!AC9</f>
        <v>0</v>
      </c>
      <c r="X469" s="70">
        <f>[1]Hoja1!AD9</f>
        <v>0</v>
      </c>
      <c r="Y469" s="70">
        <f>[1]Hoja1!AE9</f>
        <v>0</v>
      </c>
      <c r="Z469" s="70">
        <f>[1]Hoja1!AF9</f>
        <v>0</v>
      </c>
      <c r="AA469" s="70">
        <f>[1]Hoja1!AG9</f>
        <v>0</v>
      </c>
      <c r="AB469" s="70">
        <f>[1]Hoja1!AH9</f>
        <v>0</v>
      </c>
      <c r="AC469" s="70">
        <f>[1]Hoja1!AI9</f>
        <v>0</v>
      </c>
      <c r="AD469" s="70">
        <f>[1]Hoja1!AJ9</f>
        <v>0</v>
      </c>
      <c r="AE469" s="70">
        <f>[1]Hoja1!AK9</f>
        <v>0</v>
      </c>
      <c r="AF469" s="70">
        <f>[1]Hoja1!AL9</f>
        <v>0</v>
      </c>
      <c r="AG469" s="70">
        <f>[1]Hoja1!AM9</f>
        <v>0</v>
      </c>
      <c r="AH469" s="70">
        <f>[1]Hoja1!AN9</f>
        <v>0</v>
      </c>
      <c r="AI469" s="70">
        <f>[1]Hoja1!AO9</f>
        <v>0</v>
      </c>
      <c r="AJ469" s="70">
        <f>[1]Hoja1!AP9</f>
        <v>0</v>
      </c>
    </row>
    <row r="470" spans="1:36" x14ac:dyDescent="0.25">
      <c r="A470" t="str">
        <f>[1]Hoja1!A10</f>
        <v>CENTRO</v>
      </c>
      <c r="B470" t="str">
        <f>[1]Hoja1!B10</f>
        <v>CEN25</v>
      </c>
      <c r="C470" t="str">
        <f>[1]Hoja1!D10</f>
        <v>SAN MARTIN Y 9 DE JULIO</v>
      </c>
      <c r="D470" s="30" t="str">
        <f>[1]Hoja1!E10</f>
        <v>Domo</v>
      </c>
      <c r="E470" s="30" t="str">
        <f>[1]Hoja1!F10</f>
        <v>Fibra Optica</v>
      </c>
      <c r="F470" s="70">
        <f>[1]Hoja1!L10</f>
        <v>0</v>
      </c>
      <c r="G470" s="70">
        <f>[1]Hoja1!M10</f>
        <v>0</v>
      </c>
      <c r="H470" s="70">
        <f>[1]Hoja1!N10</f>
        <v>0</v>
      </c>
      <c r="I470" s="70">
        <f>[1]Hoja1!O10</f>
        <v>0</v>
      </c>
      <c r="J470" s="70">
        <f>[1]Hoja1!P10</f>
        <v>0</v>
      </c>
      <c r="K470" s="70">
        <f>[1]Hoja1!Q10</f>
        <v>0</v>
      </c>
      <c r="L470" s="70">
        <f>[1]Hoja1!R10</f>
        <v>0</v>
      </c>
      <c r="M470" s="70">
        <f>[1]Hoja1!S10</f>
        <v>0</v>
      </c>
      <c r="N470" s="70">
        <f>[1]Hoja1!T10</f>
        <v>0</v>
      </c>
      <c r="O470" s="70">
        <f>[1]Hoja1!U10</f>
        <v>0</v>
      </c>
      <c r="P470" s="70">
        <f>[1]Hoja1!V10</f>
        <v>0</v>
      </c>
      <c r="Q470" s="70">
        <f>[1]Hoja1!W10</f>
        <v>0</v>
      </c>
      <c r="R470" s="70">
        <f>[1]Hoja1!X10</f>
        <v>0</v>
      </c>
      <c r="S470" s="70">
        <f>[1]Hoja1!Y10</f>
        <v>0</v>
      </c>
      <c r="T470" s="70">
        <f>[1]Hoja1!Z10</f>
        <v>0</v>
      </c>
      <c r="U470" s="70">
        <f>[1]Hoja1!AA10</f>
        <v>0</v>
      </c>
      <c r="V470" s="70">
        <f>[1]Hoja1!AB10</f>
        <v>0</v>
      </c>
      <c r="W470" s="70">
        <f>[1]Hoja1!AC10</f>
        <v>0</v>
      </c>
      <c r="X470" s="70">
        <f>[1]Hoja1!AD10</f>
        <v>0</v>
      </c>
      <c r="Y470" s="70">
        <f>[1]Hoja1!AE10</f>
        <v>0</v>
      </c>
      <c r="Z470" s="70">
        <f>[1]Hoja1!AF10</f>
        <v>0</v>
      </c>
      <c r="AA470" s="70">
        <f>[1]Hoja1!AG10</f>
        <v>0</v>
      </c>
      <c r="AB470" s="70">
        <f>[1]Hoja1!AH10</f>
        <v>0</v>
      </c>
      <c r="AC470" s="70">
        <f>[1]Hoja1!AI10</f>
        <v>0</v>
      </c>
      <c r="AD470" s="70">
        <f>[1]Hoja1!AJ10</f>
        <v>0</v>
      </c>
      <c r="AE470" s="70">
        <f>[1]Hoja1!AK10</f>
        <v>0</v>
      </c>
      <c r="AF470" s="70">
        <f>[1]Hoja1!AL10</f>
        <v>0</v>
      </c>
      <c r="AG470" s="70">
        <f>[1]Hoja1!AM10</f>
        <v>0</v>
      </c>
      <c r="AH470" s="70">
        <f>[1]Hoja1!AN10</f>
        <v>0</v>
      </c>
      <c r="AI470" s="70">
        <f>[1]Hoja1!AO10</f>
        <v>0</v>
      </c>
      <c r="AJ470" s="70">
        <f>[1]Hoja1!AP10</f>
        <v>0</v>
      </c>
    </row>
    <row r="471" spans="1:36" x14ac:dyDescent="0.25">
      <c r="A471" t="str">
        <f>[1]Hoja1!A11</f>
        <v>CENTRO</v>
      </c>
      <c r="B471" t="str">
        <f>[1]Hoja1!B11</f>
        <v>CEN43</v>
      </c>
      <c r="C471" t="str">
        <f>[1]Hoja1!D11</f>
        <v>Sallares y Alberdi</v>
      </c>
      <c r="D471" s="30" t="str">
        <f>[1]Hoja1!E11</f>
        <v>Domo</v>
      </c>
      <c r="E471" s="30" t="str">
        <f>[1]Hoja1!F11</f>
        <v>Fibra Optica</v>
      </c>
      <c r="F471" s="70">
        <f>[1]Hoja1!L11</f>
        <v>0</v>
      </c>
      <c r="G471" s="70">
        <f>[1]Hoja1!M11</f>
        <v>0</v>
      </c>
      <c r="H471" s="70">
        <f>[1]Hoja1!N11</f>
        <v>0</v>
      </c>
      <c r="I471" s="70">
        <f>[1]Hoja1!O11</f>
        <v>0</v>
      </c>
      <c r="J471" s="70">
        <f>[1]Hoja1!P11</f>
        <v>0</v>
      </c>
      <c r="K471" s="70">
        <f>[1]Hoja1!Q11</f>
        <v>0</v>
      </c>
      <c r="L471" s="70">
        <f>[1]Hoja1!R11</f>
        <v>0</v>
      </c>
      <c r="M471" s="70">
        <f>[1]Hoja1!S11</f>
        <v>0</v>
      </c>
      <c r="N471" s="70">
        <f>[1]Hoja1!T11</f>
        <v>0</v>
      </c>
      <c r="O471" s="70">
        <f>[1]Hoja1!U11</f>
        <v>0</v>
      </c>
      <c r="P471" s="70">
        <f>[1]Hoja1!V11</f>
        <v>0</v>
      </c>
      <c r="Q471" s="70">
        <f>[1]Hoja1!W11</f>
        <v>0</v>
      </c>
      <c r="R471" s="70">
        <f>[1]Hoja1!X11</f>
        <v>0</v>
      </c>
      <c r="S471" s="70">
        <f>[1]Hoja1!Y11</f>
        <v>0</v>
      </c>
      <c r="T471" s="70">
        <f>[1]Hoja1!Z11</f>
        <v>0</v>
      </c>
      <c r="U471" s="70">
        <f>[1]Hoja1!AA11</f>
        <v>0</v>
      </c>
      <c r="V471" s="70">
        <f>[1]Hoja1!AB11</f>
        <v>0</v>
      </c>
      <c r="W471" s="70">
        <f>[1]Hoja1!AC11</f>
        <v>0</v>
      </c>
      <c r="X471" s="70">
        <f>[1]Hoja1!AD11</f>
        <v>0</v>
      </c>
      <c r="Y471" s="70">
        <f>[1]Hoja1!AE11</f>
        <v>0</v>
      </c>
      <c r="Z471" s="70">
        <f>[1]Hoja1!AF11</f>
        <v>0</v>
      </c>
      <c r="AA471" s="70">
        <f>[1]Hoja1!AG11</f>
        <v>0</v>
      </c>
      <c r="AB471" s="70">
        <f>[1]Hoja1!AH11</f>
        <v>0</v>
      </c>
      <c r="AC471" s="70">
        <f>[1]Hoja1!AI11</f>
        <v>0</v>
      </c>
      <c r="AD471" s="70">
        <f>[1]Hoja1!AJ11</f>
        <v>0</v>
      </c>
      <c r="AE471" s="70">
        <f>[1]Hoja1!AK11</f>
        <v>0</v>
      </c>
      <c r="AF471" s="70">
        <f>[1]Hoja1!AL11</f>
        <v>0</v>
      </c>
      <c r="AG471" s="70">
        <f>[1]Hoja1!AM11</f>
        <v>0</v>
      </c>
      <c r="AH471" s="70">
        <f>[1]Hoja1!AN11</f>
        <v>0</v>
      </c>
      <c r="AI471" s="70">
        <f>[1]Hoja1!AO11</f>
        <v>0</v>
      </c>
      <c r="AJ471" s="70">
        <f>[1]Hoja1!AP11</f>
        <v>0</v>
      </c>
    </row>
    <row r="472" spans="1:36" x14ac:dyDescent="0.25">
      <c r="A472" t="str">
        <f>[1]Hoja1!A12</f>
        <v>CENTRO</v>
      </c>
      <c r="B472" t="str">
        <f>[1]Hoja1!B12</f>
        <v>CEN44</v>
      </c>
      <c r="C472" t="str">
        <f>[1]Hoja1!D12</f>
        <v>Mitre y Brown</v>
      </c>
      <c r="D472" s="30" t="str">
        <f>[1]Hoja1!E12</f>
        <v>Domo</v>
      </c>
      <c r="E472" s="30" t="str">
        <f>[1]Hoja1!F12</f>
        <v>Fibra Optica</v>
      </c>
      <c r="F472" s="70">
        <f>[1]Hoja1!L12</f>
        <v>0</v>
      </c>
      <c r="G472" s="70">
        <f>[1]Hoja1!M12</f>
        <v>0</v>
      </c>
      <c r="H472" s="70">
        <f>[1]Hoja1!N12</f>
        <v>0</v>
      </c>
      <c r="I472" s="70">
        <f>[1]Hoja1!O12</f>
        <v>0</v>
      </c>
      <c r="J472" s="70">
        <f>[1]Hoja1!P12</f>
        <v>0</v>
      </c>
      <c r="K472" s="70">
        <f>[1]Hoja1!Q12</f>
        <v>0</v>
      </c>
      <c r="L472" s="70">
        <f>[1]Hoja1!R12</f>
        <v>0</v>
      </c>
      <c r="M472" s="70">
        <f>[1]Hoja1!S12</f>
        <v>0</v>
      </c>
      <c r="N472" s="70">
        <f>[1]Hoja1!T12</f>
        <v>0</v>
      </c>
      <c r="O472" s="70">
        <f>[1]Hoja1!U12</f>
        <v>0</v>
      </c>
      <c r="P472" s="70">
        <f>[1]Hoja1!V12</f>
        <v>0</v>
      </c>
      <c r="Q472" s="70">
        <f>[1]Hoja1!W12</f>
        <v>0</v>
      </c>
      <c r="R472" s="70">
        <f>[1]Hoja1!X12</f>
        <v>0</v>
      </c>
      <c r="S472" s="70">
        <f>[1]Hoja1!Y12</f>
        <v>0</v>
      </c>
      <c r="T472" s="70">
        <f>[1]Hoja1!Z12</f>
        <v>0</v>
      </c>
      <c r="U472" s="70">
        <f>[1]Hoja1!AA12</f>
        <v>0</v>
      </c>
      <c r="V472" s="70">
        <f>[1]Hoja1!AB12</f>
        <v>0</v>
      </c>
      <c r="W472" s="70">
        <f>[1]Hoja1!AC12</f>
        <v>0</v>
      </c>
      <c r="X472" s="70">
        <f>[1]Hoja1!AD12</f>
        <v>0</v>
      </c>
      <c r="Y472" s="70">
        <f>[1]Hoja1!AE12</f>
        <v>0</v>
      </c>
      <c r="Z472" s="70">
        <f>[1]Hoja1!AF12</f>
        <v>0</v>
      </c>
      <c r="AA472" s="70">
        <f>[1]Hoja1!AG12</f>
        <v>0</v>
      </c>
      <c r="AB472" s="70">
        <f>[1]Hoja1!AH12</f>
        <v>0</v>
      </c>
      <c r="AC472" s="70">
        <f>[1]Hoja1!AI12</f>
        <v>0</v>
      </c>
      <c r="AD472" s="70">
        <f>[1]Hoja1!AJ12</f>
        <v>0</v>
      </c>
      <c r="AE472" s="70">
        <f>[1]Hoja1!AK12</f>
        <v>0</v>
      </c>
      <c r="AF472" s="70">
        <f>[1]Hoja1!AL12</f>
        <v>0</v>
      </c>
      <c r="AG472" s="70">
        <f>[1]Hoja1!AM12</f>
        <v>0</v>
      </c>
      <c r="AH472" s="70">
        <f>[1]Hoja1!AN12</f>
        <v>0</v>
      </c>
      <c r="AI472" s="70">
        <f>[1]Hoja1!AO12</f>
        <v>0</v>
      </c>
      <c r="AJ472" s="70">
        <f>[1]Hoja1!AP12</f>
        <v>0</v>
      </c>
    </row>
    <row r="473" spans="1:36" x14ac:dyDescent="0.25">
      <c r="A473" t="str">
        <f>[1]Hoja1!A13</f>
        <v>CENTRO</v>
      </c>
      <c r="B473" t="str">
        <f>[1]Hoja1!B13</f>
        <v>CEN47</v>
      </c>
      <c r="C473" t="str">
        <f>[1]Hoja1!D13</f>
        <v>Sallares y Brown</v>
      </c>
      <c r="D473" s="30" t="str">
        <f>[1]Hoja1!E13</f>
        <v>Domo</v>
      </c>
      <c r="E473" s="30" t="str">
        <f>[1]Hoja1!F13</f>
        <v>Fibra Optica</v>
      </c>
      <c r="F473" s="70">
        <f>[1]Hoja1!L13</f>
        <v>0</v>
      </c>
      <c r="G473" s="70">
        <f>[1]Hoja1!M13</f>
        <v>0</v>
      </c>
      <c r="H473" s="70">
        <f>[1]Hoja1!N13</f>
        <v>0</v>
      </c>
      <c r="I473" s="70">
        <f>[1]Hoja1!O13</f>
        <v>0</v>
      </c>
      <c r="J473" s="70">
        <f>[1]Hoja1!P13</f>
        <v>0</v>
      </c>
      <c r="K473" s="70">
        <f>[1]Hoja1!Q13</f>
        <v>0</v>
      </c>
      <c r="L473" s="70">
        <f>[1]Hoja1!R13</f>
        <v>0</v>
      </c>
      <c r="M473" s="70">
        <f>[1]Hoja1!S13</f>
        <v>0</v>
      </c>
      <c r="N473" s="70">
        <f>[1]Hoja1!T13</f>
        <v>0</v>
      </c>
      <c r="O473" s="70">
        <f>[1]Hoja1!U13</f>
        <v>0</v>
      </c>
      <c r="P473" s="70">
        <f>[1]Hoja1!V13</f>
        <v>0</v>
      </c>
      <c r="Q473" s="70">
        <f>[1]Hoja1!W13</f>
        <v>0</v>
      </c>
      <c r="R473" s="70">
        <f>[1]Hoja1!X13</f>
        <v>0</v>
      </c>
      <c r="S473" s="70">
        <f>[1]Hoja1!Y13</f>
        <v>0</v>
      </c>
      <c r="T473" s="70">
        <f>[1]Hoja1!Z13</f>
        <v>0</v>
      </c>
      <c r="U473" s="70">
        <f>[1]Hoja1!AA13</f>
        <v>0</v>
      </c>
      <c r="V473" s="70">
        <f>[1]Hoja1!AB13</f>
        <v>0</v>
      </c>
      <c r="W473" s="70">
        <f>[1]Hoja1!AC13</f>
        <v>0</v>
      </c>
      <c r="X473" s="70">
        <f>[1]Hoja1!AD13</f>
        <v>0</v>
      </c>
      <c r="Y473" s="70">
        <f>[1]Hoja1!AE13</f>
        <v>0</v>
      </c>
      <c r="Z473" s="70">
        <f>[1]Hoja1!AF13</f>
        <v>0</v>
      </c>
      <c r="AA473" s="70">
        <f>[1]Hoja1!AG13</f>
        <v>0</v>
      </c>
      <c r="AB473" s="70">
        <f>[1]Hoja1!AH13</f>
        <v>0</v>
      </c>
      <c r="AC473" s="70">
        <f>[1]Hoja1!AI13</f>
        <v>0</v>
      </c>
      <c r="AD473" s="70">
        <f>[1]Hoja1!AJ13</f>
        <v>0</v>
      </c>
      <c r="AE473" s="70">
        <f>[1]Hoja1!AK13</f>
        <v>0</v>
      </c>
      <c r="AF473" s="70">
        <f>[1]Hoja1!AL13</f>
        <v>0</v>
      </c>
      <c r="AG473" s="70">
        <f>[1]Hoja1!AM13</f>
        <v>0</v>
      </c>
      <c r="AH473" s="70">
        <f>[1]Hoja1!AN13</f>
        <v>0</v>
      </c>
      <c r="AI473" s="70">
        <f>[1]Hoja1!AO13</f>
        <v>0</v>
      </c>
      <c r="AJ473" s="70">
        <f>[1]Hoja1!AP13</f>
        <v>0</v>
      </c>
    </row>
    <row r="474" spans="1:36" x14ac:dyDescent="0.25">
      <c r="A474" t="str">
        <f>[1]Hoja1!A14</f>
        <v>CENTRO</v>
      </c>
      <c r="B474" t="str">
        <f>[1]Hoja1!B14</f>
        <v>CEN 82</v>
      </c>
      <c r="C474" t="str">
        <f>[1]Hoja1!D14</f>
        <v>DORREGO Y BOUREL</v>
      </c>
      <c r="D474" s="30" t="str">
        <f>[1]Hoja1!E14</f>
        <v>Domo</v>
      </c>
      <c r="E474" s="30" t="str">
        <f>[1]Hoja1!F14</f>
        <v>Fibra Optica</v>
      </c>
      <c r="F474" s="70">
        <f>[1]Hoja1!L14</f>
        <v>0</v>
      </c>
      <c r="G474" s="70">
        <f>[1]Hoja1!M14</f>
        <v>0</v>
      </c>
      <c r="H474" s="70">
        <f>[1]Hoja1!N14</f>
        <v>0</v>
      </c>
      <c r="I474" s="70">
        <f>[1]Hoja1!O14</f>
        <v>0</v>
      </c>
      <c r="J474" s="70">
        <f>[1]Hoja1!P14</f>
        <v>0</v>
      </c>
      <c r="K474" s="70">
        <f>[1]Hoja1!Q14</f>
        <v>0</v>
      </c>
      <c r="L474" s="70">
        <f>[1]Hoja1!R14</f>
        <v>0</v>
      </c>
      <c r="M474" s="70">
        <f>[1]Hoja1!S14</f>
        <v>0</v>
      </c>
      <c r="N474" s="70">
        <f>[1]Hoja1!T14</f>
        <v>0</v>
      </c>
      <c r="O474" s="70">
        <f>[1]Hoja1!U14</f>
        <v>0</v>
      </c>
      <c r="P474" s="70">
        <f>[1]Hoja1!V14</f>
        <v>0</v>
      </c>
      <c r="Q474" s="70">
        <f>[1]Hoja1!W14</f>
        <v>0</v>
      </c>
      <c r="R474" s="70">
        <f>[1]Hoja1!X14</f>
        <v>0</v>
      </c>
      <c r="S474" s="70">
        <f>[1]Hoja1!Y14</f>
        <v>0</v>
      </c>
      <c r="T474" s="70">
        <f>[1]Hoja1!Z14</f>
        <v>0</v>
      </c>
      <c r="U474" s="70">
        <f>[1]Hoja1!AA14</f>
        <v>0</v>
      </c>
      <c r="V474" s="70">
        <f>[1]Hoja1!AB14</f>
        <v>0</v>
      </c>
      <c r="W474" s="70">
        <f>[1]Hoja1!AC14</f>
        <v>0</v>
      </c>
      <c r="X474" s="70">
        <f>[1]Hoja1!AD14</f>
        <v>0</v>
      </c>
      <c r="Y474" s="70">
        <f>[1]Hoja1!AE14</f>
        <v>0</v>
      </c>
      <c r="Z474" s="70">
        <f>[1]Hoja1!AF14</f>
        <v>0</v>
      </c>
      <c r="AA474" s="70">
        <f>[1]Hoja1!AG14</f>
        <v>0</v>
      </c>
      <c r="AB474" s="70">
        <f>[1]Hoja1!AH14</f>
        <v>0</v>
      </c>
      <c r="AC474" s="70">
        <f>[1]Hoja1!AI14</f>
        <v>0</v>
      </c>
      <c r="AD474" s="70">
        <f>[1]Hoja1!AJ14</f>
        <v>0</v>
      </c>
      <c r="AE474" s="70">
        <f>[1]Hoja1!AK14</f>
        <v>0</v>
      </c>
      <c r="AF474" s="70">
        <f>[1]Hoja1!AL14</f>
        <v>0</v>
      </c>
      <c r="AG474" s="70">
        <f>[1]Hoja1!AM14</f>
        <v>0</v>
      </c>
      <c r="AH474" s="70">
        <f>[1]Hoja1!AN14</f>
        <v>0</v>
      </c>
      <c r="AI474" s="70">
        <f>[1]Hoja1!AO14</f>
        <v>0</v>
      </c>
      <c r="AJ474" s="70">
        <f>[1]Hoja1!AP14</f>
        <v>0</v>
      </c>
    </row>
    <row r="475" spans="1:36" x14ac:dyDescent="0.25">
      <c r="A475" t="str">
        <f>[1]Hoja1!A15</f>
        <v>CHACABUCO</v>
      </c>
      <c r="B475" t="str">
        <f>[1]Hoja1!B15</f>
        <v>CHA02</v>
      </c>
      <c r="C475" t="str">
        <f>[1]Hoja1!D15</f>
        <v>Pte. Illia y Posadas</v>
      </c>
      <c r="D475" s="30" t="str">
        <f>[1]Hoja1!E15</f>
        <v>Domo</v>
      </c>
      <c r="E475" s="30" t="str">
        <f>[1]Hoja1!F15</f>
        <v>Radio</v>
      </c>
      <c r="F475" s="70">
        <f>[1]Hoja1!L15</f>
        <v>0</v>
      </c>
      <c r="G475" s="70">
        <f>[1]Hoja1!M15</f>
        <v>0</v>
      </c>
      <c r="H475" s="70">
        <f>[1]Hoja1!N15</f>
        <v>0</v>
      </c>
      <c r="I475" s="70">
        <f>[1]Hoja1!O15</f>
        <v>0</v>
      </c>
      <c r="J475" s="70">
        <f>[1]Hoja1!P15</f>
        <v>0</v>
      </c>
      <c r="K475" s="70">
        <f>[1]Hoja1!Q15</f>
        <v>0</v>
      </c>
      <c r="L475" s="70">
        <f>[1]Hoja1!R15</f>
        <v>0</v>
      </c>
      <c r="M475" s="70">
        <f>[1]Hoja1!S15</f>
        <v>0</v>
      </c>
      <c r="N475" s="70">
        <f>[1]Hoja1!T15</f>
        <v>0</v>
      </c>
      <c r="O475" s="70">
        <f>[1]Hoja1!U15</f>
        <v>0</v>
      </c>
      <c r="P475" s="70">
        <f>[1]Hoja1!V15</f>
        <v>0</v>
      </c>
      <c r="Q475" s="70">
        <f>[1]Hoja1!W15</f>
        <v>0</v>
      </c>
      <c r="R475" s="70">
        <f>[1]Hoja1!X15</f>
        <v>0</v>
      </c>
      <c r="S475" s="70">
        <f>[1]Hoja1!Y15</f>
        <v>0</v>
      </c>
      <c r="T475" s="70">
        <f>[1]Hoja1!Z15</f>
        <v>0</v>
      </c>
      <c r="U475" s="70">
        <f>[1]Hoja1!AA15</f>
        <v>0</v>
      </c>
      <c r="V475" s="70">
        <f>[1]Hoja1!AB15</f>
        <v>0</v>
      </c>
      <c r="W475" s="70">
        <f>[1]Hoja1!AC15</f>
        <v>0</v>
      </c>
      <c r="X475" s="70">
        <f>[1]Hoja1!AD15</f>
        <v>0</v>
      </c>
      <c r="Y475" s="70">
        <f>[1]Hoja1!AE15</f>
        <v>0</v>
      </c>
      <c r="Z475" s="70">
        <f>[1]Hoja1!AF15</f>
        <v>0</v>
      </c>
      <c r="AA475" s="70">
        <f>[1]Hoja1!AG15</f>
        <v>0</v>
      </c>
      <c r="AB475" s="70">
        <f>[1]Hoja1!AH15</f>
        <v>0</v>
      </c>
      <c r="AC475" s="70">
        <f>[1]Hoja1!AI15</f>
        <v>0</v>
      </c>
      <c r="AD475" s="70">
        <f>[1]Hoja1!AJ15</f>
        <v>0</v>
      </c>
      <c r="AE475" s="70">
        <f>[1]Hoja1!AK15</f>
        <v>0</v>
      </c>
      <c r="AF475" s="70">
        <f>[1]Hoja1!AL15</f>
        <v>0</v>
      </c>
      <c r="AG475" s="70">
        <f>[1]Hoja1!AM15</f>
        <v>0</v>
      </c>
      <c r="AH475" s="70">
        <f>[1]Hoja1!AN15</f>
        <v>0</v>
      </c>
      <c r="AI475" s="70">
        <f>[1]Hoja1!AO15</f>
        <v>0</v>
      </c>
      <c r="AJ475" s="70">
        <f>[1]Hoja1!AP15</f>
        <v>0</v>
      </c>
    </row>
    <row r="476" spans="1:36" x14ac:dyDescent="0.25">
      <c r="A476" t="str">
        <f>[1]Hoja1!A16</f>
        <v>DON JOSE</v>
      </c>
      <c r="B476" t="str">
        <f>[1]Hoja1!B16</f>
        <v>DJO01</v>
      </c>
      <c r="C476" t="str">
        <f>[1]Hoja1!D16</f>
        <v>Monteverde y Donato Alvarez</v>
      </c>
      <c r="D476" s="30" t="str">
        <f>[1]Hoja1!E16</f>
        <v>Domo</v>
      </c>
      <c r="E476" s="30" t="str">
        <f>[1]Hoja1!F16</f>
        <v>Radio</v>
      </c>
      <c r="F476" s="70">
        <f>[1]Hoja1!L16</f>
        <v>0</v>
      </c>
      <c r="G476" s="70">
        <f>[1]Hoja1!M16</f>
        <v>0</v>
      </c>
      <c r="H476" s="70">
        <f>[1]Hoja1!N16</f>
        <v>0</v>
      </c>
      <c r="I476" s="70">
        <f>[1]Hoja1!O16</f>
        <v>0</v>
      </c>
      <c r="J476" s="70">
        <f>[1]Hoja1!P16</f>
        <v>0</v>
      </c>
      <c r="K476" s="70">
        <f>[1]Hoja1!Q16</f>
        <v>0</v>
      </c>
      <c r="L476" s="70">
        <f>[1]Hoja1!R16</f>
        <v>0</v>
      </c>
      <c r="M476" s="70">
        <f>[1]Hoja1!S16</f>
        <v>0</v>
      </c>
      <c r="N476" s="70">
        <f>[1]Hoja1!T16</f>
        <v>0</v>
      </c>
      <c r="O476" s="70">
        <f>[1]Hoja1!U16</f>
        <v>0</v>
      </c>
      <c r="P476" s="70">
        <f>[1]Hoja1!V16</f>
        <v>0</v>
      </c>
      <c r="Q476" s="70">
        <f>[1]Hoja1!W16</f>
        <v>0</v>
      </c>
      <c r="R476" s="70">
        <f>[1]Hoja1!X16</f>
        <v>0</v>
      </c>
      <c r="S476" s="70">
        <f>[1]Hoja1!Y16</f>
        <v>0</v>
      </c>
      <c r="T476" s="70">
        <f>[1]Hoja1!Z16</f>
        <v>0</v>
      </c>
      <c r="U476" s="70">
        <f>[1]Hoja1!AA16</f>
        <v>0</v>
      </c>
      <c r="V476" s="70">
        <f>[1]Hoja1!AB16</f>
        <v>0</v>
      </c>
      <c r="W476" s="70">
        <f>[1]Hoja1!AC16</f>
        <v>0</v>
      </c>
      <c r="X476" s="70">
        <f>[1]Hoja1!AD16</f>
        <v>0</v>
      </c>
      <c r="Y476" s="70">
        <f>[1]Hoja1!AE16</f>
        <v>0</v>
      </c>
      <c r="Z476" s="70">
        <f>[1]Hoja1!AF16</f>
        <v>0</v>
      </c>
      <c r="AA476" s="70">
        <f>[1]Hoja1!AG16</f>
        <v>0</v>
      </c>
      <c r="AB476" s="70">
        <f>[1]Hoja1!AH16</f>
        <v>0</v>
      </c>
      <c r="AC476" s="70">
        <f>[1]Hoja1!AI16</f>
        <v>0</v>
      </c>
      <c r="AD476" s="70">
        <f>[1]Hoja1!AJ16</f>
        <v>0</v>
      </c>
      <c r="AE476" s="70">
        <f>[1]Hoja1!AK16</f>
        <v>0</v>
      </c>
      <c r="AF476" s="70">
        <f>[1]Hoja1!AL16</f>
        <v>0</v>
      </c>
      <c r="AG476" s="70">
        <f>[1]Hoja1!AM16</f>
        <v>0</v>
      </c>
      <c r="AH476" s="70">
        <f>[1]Hoja1!AN16</f>
        <v>0</v>
      </c>
      <c r="AI476" s="70">
        <f>[1]Hoja1!AO16</f>
        <v>0</v>
      </c>
      <c r="AJ476" s="70">
        <f>[1]Hoja1!AP16</f>
        <v>0</v>
      </c>
    </row>
    <row r="477" spans="1:36" x14ac:dyDescent="0.25">
      <c r="A477" t="str">
        <f>[1]Hoja1!A17</f>
        <v>DON JOSE</v>
      </c>
      <c r="B477" t="str">
        <f>[1]Hoja1!B17</f>
        <v>DJO 04 (Fija 1)</v>
      </c>
      <c r="C477" t="str">
        <f>[1]Hoja1!D17</f>
        <v>MONTEVERDE Y EL INDIO</v>
      </c>
      <c r="D477" s="30" t="str">
        <f>[1]Hoja1!E17</f>
        <v>Fija</v>
      </c>
      <c r="E477" s="30" t="str">
        <f>[1]Hoja1!F17</f>
        <v>PTO A FO</v>
      </c>
      <c r="F477" s="70">
        <f>[1]Hoja1!L17</f>
        <v>0</v>
      </c>
      <c r="G477" s="70">
        <f>[1]Hoja1!M17</f>
        <v>0</v>
      </c>
      <c r="H477" s="70">
        <f>[1]Hoja1!N17</f>
        <v>0</v>
      </c>
      <c r="I477" s="70">
        <f>[1]Hoja1!O17</f>
        <v>0</v>
      </c>
      <c r="J477" s="70">
        <f>[1]Hoja1!P17</f>
        <v>0</v>
      </c>
      <c r="K477" s="70">
        <f>[1]Hoja1!Q17</f>
        <v>0</v>
      </c>
      <c r="L477" s="70">
        <f>[1]Hoja1!R17</f>
        <v>0</v>
      </c>
      <c r="M477" s="70">
        <f>[1]Hoja1!S17</f>
        <v>0</v>
      </c>
      <c r="N477" s="70">
        <f>[1]Hoja1!T17</f>
        <v>0</v>
      </c>
      <c r="O477" s="70">
        <f>[1]Hoja1!U17</f>
        <v>0</v>
      </c>
      <c r="P477" s="70">
        <f>[1]Hoja1!V17</f>
        <v>0</v>
      </c>
      <c r="Q477" s="70">
        <f>[1]Hoja1!W17</f>
        <v>0</v>
      </c>
      <c r="R477" s="70">
        <f>[1]Hoja1!X17</f>
        <v>0</v>
      </c>
      <c r="S477" s="70">
        <f>[1]Hoja1!Y17</f>
        <v>0</v>
      </c>
      <c r="T477" s="70">
        <f>[1]Hoja1!Z17</f>
        <v>0</v>
      </c>
      <c r="U477" s="70">
        <f>[1]Hoja1!AA17</f>
        <v>0</v>
      </c>
      <c r="V477" s="70">
        <f>[1]Hoja1!AB17</f>
        <v>0</v>
      </c>
      <c r="W477" s="70">
        <f>[1]Hoja1!AC17</f>
        <v>0</v>
      </c>
      <c r="X477" s="70">
        <f>[1]Hoja1!AD17</f>
        <v>0</v>
      </c>
      <c r="Y477" s="70">
        <f>[1]Hoja1!AE17</f>
        <v>0</v>
      </c>
      <c r="Z477" s="70">
        <f>[1]Hoja1!AF17</f>
        <v>0</v>
      </c>
      <c r="AA477" s="70">
        <f>[1]Hoja1!AG17</f>
        <v>0</v>
      </c>
      <c r="AB477" s="70">
        <f>[1]Hoja1!AH17</f>
        <v>0</v>
      </c>
      <c r="AC477" s="70">
        <f>[1]Hoja1!AI17</f>
        <v>0</v>
      </c>
      <c r="AD477" s="70">
        <f>[1]Hoja1!AJ17</f>
        <v>0</v>
      </c>
      <c r="AE477" s="70">
        <f>[1]Hoja1!AK17</f>
        <v>0</v>
      </c>
      <c r="AF477" s="70">
        <f>[1]Hoja1!AL17</f>
        <v>0</v>
      </c>
      <c r="AG477" s="70">
        <f>[1]Hoja1!AM17</f>
        <v>0</v>
      </c>
      <c r="AH477" s="70">
        <f>[1]Hoja1!AN17</f>
        <v>0</v>
      </c>
      <c r="AI477" s="70">
        <f>[1]Hoja1!AO17</f>
        <v>0</v>
      </c>
      <c r="AJ477" s="70">
        <f>[1]Hoja1!AP17</f>
        <v>0</v>
      </c>
    </row>
    <row r="478" spans="1:36" x14ac:dyDescent="0.25">
      <c r="A478" t="str">
        <f>[1]Hoja1!A18</f>
        <v>DON JOSE</v>
      </c>
      <c r="B478" t="str">
        <f>[1]Hoja1!B18</f>
        <v>DJO 05 (Fija 2)</v>
      </c>
      <c r="C478" t="str">
        <f>[1]Hoja1!D18</f>
        <v>MONTEVERDE Y EL INDIO</v>
      </c>
      <c r="D478" s="30" t="str">
        <f>[1]Hoja1!E18</f>
        <v>Fija</v>
      </c>
      <c r="E478" s="30" t="str">
        <f>[1]Hoja1!F18</f>
        <v>PTO A FO</v>
      </c>
      <c r="F478" s="70">
        <f>[1]Hoja1!L18</f>
        <v>0</v>
      </c>
      <c r="G478" s="70">
        <f>[1]Hoja1!M18</f>
        <v>0</v>
      </c>
      <c r="H478" s="70">
        <f>[1]Hoja1!N18</f>
        <v>0</v>
      </c>
      <c r="I478" s="70">
        <f>[1]Hoja1!O18</f>
        <v>0</v>
      </c>
      <c r="J478" s="70">
        <f>[1]Hoja1!P18</f>
        <v>0</v>
      </c>
      <c r="K478" s="70">
        <f>[1]Hoja1!Q18</f>
        <v>0</v>
      </c>
      <c r="L478" s="70">
        <f>[1]Hoja1!R18</f>
        <v>0</v>
      </c>
      <c r="M478" s="70">
        <f>[1]Hoja1!S18</f>
        <v>0</v>
      </c>
      <c r="N478" s="70">
        <f>[1]Hoja1!T18</f>
        <v>0</v>
      </c>
      <c r="O478" s="70">
        <f>[1]Hoja1!U18</f>
        <v>0</v>
      </c>
      <c r="P478" s="70">
        <f>[1]Hoja1!V18</f>
        <v>0</v>
      </c>
      <c r="Q478" s="70">
        <f>[1]Hoja1!W18</f>
        <v>0</v>
      </c>
      <c r="R478" s="70">
        <f>[1]Hoja1!X18</f>
        <v>0</v>
      </c>
      <c r="S478" s="70">
        <f>[1]Hoja1!Y18</f>
        <v>0</v>
      </c>
      <c r="T478" s="70">
        <f>[1]Hoja1!Z18</f>
        <v>0</v>
      </c>
      <c r="U478" s="70">
        <f>[1]Hoja1!AA18</f>
        <v>0</v>
      </c>
      <c r="V478" s="70">
        <f>[1]Hoja1!AB18</f>
        <v>0</v>
      </c>
      <c r="W478" s="70">
        <f>[1]Hoja1!AC18</f>
        <v>0</v>
      </c>
      <c r="X478" s="70">
        <f>[1]Hoja1!AD18</f>
        <v>0</v>
      </c>
      <c r="Y478" s="70">
        <f>[1]Hoja1!AE18</f>
        <v>0</v>
      </c>
      <c r="Z478" s="70">
        <f>[1]Hoja1!AF18</f>
        <v>0</v>
      </c>
      <c r="AA478" s="70">
        <f>[1]Hoja1!AG18</f>
        <v>0</v>
      </c>
      <c r="AB478" s="70">
        <f>[1]Hoja1!AH18</f>
        <v>0</v>
      </c>
      <c r="AC478" s="70">
        <f>[1]Hoja1!AI18</f>
        <v>0</v>
      </c>
      <c r="AD478" s="70">
        <f>[1]Hoja1!AJ18</f>
        <v>0</v>
      </c>
      <c r="AE478" s="70">
        <f>[1]Hoja1!AK18</f>
        <v>0</v>
      </c>
      <c r="AF478" s="70">
        <f>[1]Hoja1!AL18</f>
        <v>0</v>
      </c>
      <c r="AG478" s="70">
        <f>[1]Hoja1!AM18</f>
        <v>0</v>
      </c>
      <c r="AH478" s="70">
        <f>[1]Hoja1!AN18</f>
        <v>0</v>
      </c>
      <c r="AI478" s="70">
        <f>[1]Hoja1!AO18</f>
        <v>0</v>
      </c>
      <c r="AJ478" s="70">
        <f>[1]Hoja1!AP18</f>
        <v>0</v>
      </c>
    </row>
    <row r="479" spans="1:36" x14ac:dyDescent="0.25">
      <c r="A479" t="str">
        <f>[1]Hoja1!A19</f>
        <v>KM 26700 (JULIO A. COSTA)</v>
      </c>
      <c r="B479" t="str">
        <f>[1]Hoja1!B19</f>
        <v>KM04</v>
      </c>
      <c r="C479" t="str">
        <f>[1]Hoja1!D19</f>
        <v>El Ombu y El Zonda</v>
      </c>
      <c r="D479" s="30" t="str">
        <f>[1]Hoja1!E19</f>
        <v>Domo</v>
      </c>
      <c r="E479" s="30" t="str">
        <f>[1]Hoja1!F19</f>
        <v>Radio</v>
      </c>
      <c r="F479" s="70">
        <f>[1]Hoja1!L19</f>
        <v>0</v>
      </c>
      <c r="G479" s="70">
        <f>[1]Hoja1!M19</f>
        <v>0</v>
      </c>
      <c r="H479" s="70">
        <f>[1]Hoja1!N19</f>
        <v>0</v>
      </c>
      <c r="I479" s="70">
        <f>[1]Hoja1!O19</f>
        <v>0</v>
      </c>
      <c r="J479" s="70">
        <f>[1]Hoja1!P19</f>
        <v>0</v>
      </c>
      <c r="K479" s="70">
        <f>[1]Hoja1!Q19</f>
        <v>0</v>
      </c>
      <c r="L479" s="70">
        <f>[1]Hoja1!R19</f>
        <v>0</v>
      </c>
      <c r="M479" s="70">
        <f>[1]Hoja1!S19</f>
        <v>0</v>
      </c>
      <c r="N479" s="70">
        <f>[1]Hoja1!T19</f>
        <v>0</v>
      </c>
      <c r="O479" s="70">
        <f>[1]Hoja1!U19</f>
        <v>0</v>
      </c>
      <c r="P479" s="70">
        <f>[1]Hoja1!V19</f>
        <v>0</v>
      </c>
      <c r="Q479" s="70">
        <f>[1]Hoja1!W19</f>
        <v>0</v>
      </c>
      <c r="R479" s="70">
        <f>[1]Hoja1!X19</f>
        <v>0</v>
      </c>
      <c r="S479" s="70">
        <f>[1]Hoja1!Y19</f>
        <v>0</v>
      </c>
      <c r="T479" s="70">
        <f>[1]Hoja1!Z19</f>
        <v>0</v>
      </c>
      <c r="U479" s="70">
        <f>[1]Hoja1!AA19</f>
        <v>0</v>
      </c>
      <c r="V479" s="70">
        <f>[1]Hoja1!AB19</f>
        <v>0</v>
      </c>
      <c r="W479" s="70">
        <f>[1]Hoja1!AC19</f>
        <v>0</v>
      </c>
      <c r="X479" s="70">
        <f>[1]Hoja1!AD19</f>
        <v>0</v>
      </c>
      <c r="Y479" s="70">
        <f>[1]Hoja1!AE19</f>
        <v>0</v>
      </c>
      <c r="Z479" s="70">
        <f>[1]Hoja1!AF19</f>
        <v>0</v>
      </c>
      <c r="AA479" s="70">
        <f>[1]Hoja1!AG19</f>
        <v>0</v>
      </c>
      <c r="AB479" s="70">
        <f>[1]Hoja1!AH19</f>
        <v>0</v>
      </c>
      <c r="AC479" s="70">
        <f>[1]Hoja1!AI19</f>
        <v>0</v>
      </c>
      <c r="AD479" s="70">
        <f>[1]Hoja1!AJ19</f>
        <v>0</v>
      </c>
      <c r="AE479" s="70">
        <f>[1]Hoja1!AK19</f>
        <v>0</v>
      </c>
      <c r="AF479" s="70">
        <f>[1]Hoja1!AL19</f>
        <v>0</v>
      </c>
      <c r="AG479" s="70">
        <f>[1]Hoja1!AM19</f>
        <v>0</v>
      </c>
      <c r="AH479" s="70">
        <f>[1]Hoja1!AN19</f>
        <v>0</v>
      </c>
      <c r="AI479" s="70">
        <f>[1]Hoja1!AO19</f>
        <v>0</v>
      </c>
      <c r="AJ479" s="70">
        <f>[1]Hoja1!AP19</f>
        <v>0</v>
      </c>
    </row>
    <row r="480" spans="1:36" x14ac:dyDescent="0.25">
      <c r="A480" t="str">
        <f>[1]Hoja1!A20</f>
        <v>KM 26700 (JULIO A. COSTA)</v>
      </c>
      <c r="B480" t="str">
        <f>[1]Hoja1!B20</f>
        <v>KM05</v>
      </c>
      <c r="C480" t="str">
        <f>[1]Hoja1!D20</f>
        <v>El Ombu y Los Charruas</v>
      </c>
      <c r="D480" s="30" t="str">
        <f>[1]Hoja1!E20</f>
        <v>Domo</v>
      </c>
      <c r="E480" s="30" t="str">
        <f>[1]Hoja1!F20</f>
        <v>Radio</v>
      </c>
      <c r="F480" s="70">
        <f>[1]Hoja1!L20</f>
        <v>0</v>
      </c>
      <c r="G480" s="70">
        <f>[1]Hoja1!M20</f>
        <v>0</v>
      </c>
      <c r="H480" s="70">
        <f>[1]Hoja1!N20</f>
        <v>0</v>
      </c>
      <c r="I480" s="70">
        <f>[1]Hoja1!O20</f>
        <v>0</v>
      </c>
      <c r="J480" s="70">
        <f>[1]Hoja1!P20</f>
        <v>0</v>
      </c>
      <c r="K480" s="70">
        <f>[1]Hoja1!Q20</f>
        <v>0</v>
      </c>
      <c r="L480" s="70">
        <f>[1]Hoja1!R20</f>
        <v>0</v>
      </c>
      <c r="M480" s="70">
        <f>[1]Hoja1!S20</f>
        <v>0</v>
      </c>
      <c r="N480" s="70">
        <f>[1]Hoja1!T20</f>
        <v>0</v>
      </c>
      <c r="O480" s="70">
        <f>[1]Hoja1!U20</f>
        <v>0</v>
      </c>
      <c r="P480" s="70">
        <f>[1]Hoja1!V20</f>
        <v>0</v>
      </c>
      <c r="Q480" s="70">
        <f>[1]Hoja1!W20</f>
        <v>0</v>
      </c>
      <c r="R480" s="70">
        <f>[1]Hoja1!X20</f>
        <v>0</v>
      </c>
      <c r="S480" s="70">
        <f>[1]Hoja1!Y20</f>
        <v>0</v>
      </c>
      <c r="T480" s="70">
        <f>[1]Hoja1!Z20</f>
        <v>0</v>
      </c>
      <c r="U480" s="70">
        <f>[1]Hoja1!AA20</f>
        <v>0</v>
      </c>
      <c r="V480" s="70">
        <f>[1]Hoja1!AB20</f>
        <v>0</v>
      </c>
      <c r="W480" s="70">
        <f>[1]Hoja1!AC20</f>
        <v>0</v>
      </c>
      <c r="X480" s="70">
        <f>[1]Hoja1!AD20</f>
        <v>0</v>
      </c>
      <c r="Y480" s="70">
        <f>[1]Hoja1!AE20</f>
        <v>0</v>
      </c>
      <c r="Z480" s="70">
        <f>[1]Hoja1!AF20</f>
        <v>0</v>
      </c>
      <c r="AA480" s="70">
        <f>[1]Hoja1!AG20</f>
        <v>0</v>
      </c>
      <c r="AB480" s="70">
        <f>[1]Hoja1!AH20</f>
        <v>0</v>
      </c>
      <c r="AC480" s="70">
        <f>[1]Hoja1!AI20</f>
        <v>0</v>
      </c>
      <c r="AD480" s="70">
        <f>[1]Hoja1!AJ20</f>
        <v>0</v>
      </c>
      <c r="AE480" s="70">
        <f>[1]Hoja1!AK20</f>
        <v>0</v>
      </c>
      <c r="AF480" s="70">
        <f>[1]Hoja1!AL20</f>
        <v>0</v>
      </c>
      <c r="AG480" s="70">
        <f>[1]Hoja1!AM20</f>
        <v>0</v>
      </c>
      <c r="AH480" s="70">
        <f>[1]Hoja1!AN20</f>
        <v>0</v>
      </c>
      <c r="AI480" s="70">
        <f>[1]Hoja1!AO20</f>
        <v>0</v>
      </c>
      <c r="AJ480" s="70">
        <f>[1]Hoja1!AP20</f>
        <v>0</v>
      </c>
    </row>
    <row r="481" spans="1:36" x14ac:dyDescent="0.25">
      <c r="A481" t="str">
        <f>[1]Hoja1!A21</f>
        <v>z</v>
      </c>
      <c r="B481" t="str">
        <f>[1]Hoja1!B21</f>
        <v>LPI 01</v>
      </c>
      <c r="C481" t="str">
        <f>[1]Hoja1!D21</f>
        <v>Maipu y Posadas</v>
      </c>
      <c r="D481" s="30" t="str">
        <f>[1]Hoja1!E21</f>
        <v>Domo</v>
      </c>
      <c r="E481" s="30" t="str">
        <f>[1]Hoja1!F21</f>
        <v>Radio</v>
      </c>
      <c r="F481" s="70">
        <f>[1]Hoja1!L21</f>
        <v>0</v>
      </c>
      <c r="G481" s="70">
        <f>[1]Hoja1!M21</f>
        <v>0</v>
      </c>
      <c r="H481" s="70">
        <f>[1]Hoja1!N21</f>
        <v>0</v>
      </c>
      <c r="I481" s="70">
        <f>[1]Hoja1!O21</f>
        <v>0</v>
      </c>
      <c r="J481" s="70">
        <f>[1]Hoja1!P21</f>
        <v>0</v>
      </c>
      <c r="K481" s="70">
        <f>[1]Hoja1!Q21</f>
        <v>0</v>
      </c>
      <c r="L481" s="70">
        <f>[1]Hoja1!R21</f>
        <v>0</v>
      </c>
      <c r="M481" s="70">
        <f>[1]Hoja1!S21</f>
        <v>0</v>
      </c>
      <c r="N481" s="70">
        <f>[1]Hoja1!T21</f>
        <v>0</v>
      </c>
      <c r="O481" s="70">
        <f>[1]Hoja1!U21</f>
        <v>0</v>
      </c>
      <c r="P481" s="70">
        <f>[1]Hoja1!V21</f>
        <v>0</v>
      </c>
      <c r="Q481" s="70">
        <f>[1]Hoja1!W21</f>
        <v>0</v>
      </c>
      <c r="R481" s="70">
        <f>[1]Hoja1!X21</f>
        <v>0</v>
      </c>
      <c r="S481" s="70">
        <f>[1]Hoja1!Y21</f>
        <v>0</v>
      </c>
      <c r="T481" s="70">
        <f>[1]Hoja1!Z21</f>
        <v>0</v>
      </c>
      <c r="U481" s="70">
        <f>[1]Hoja1!AA21</f>
        <v>0</v>
      </c>
      <c r="V481" s="70">
        <f>[1]Hoja1!AB21</f>
        <v>0</v>
      </c>
      <c r="W481" s="70">
        <f>[1]Hoja1!AC21</f>
        <v>0</v>
      </c>
      <c r="X481" s="70">
        <f>[1]Hoja1!AD21</f>
        <v>0</v>
      </c>
      <c r="Y481" s="70">
        <f>[1]Hoja1!AE21</f>
        <v>0</v>
      </c>
      <c r="Z481" s="70">
        <f>[1]Hoja1!AF21</f>
        <v>0</v>
      </c>
      <c r="AA481" s="70">
        <f>[1]Hoja1!AG21</f>
        <v>0</v>
      </c>
      <c r="AB481" s="70">
        <f>[1]Hoja1!AH21</f>
        <v>0</v>
      </c>
      <c r="AC481" s="70">
        <f>[1]Hoja1!AI21</f>
        <v>0</v>
      </c>
      <c r="AD481" s="70">
        <f>[1]Hoja1!AJ21</f>
        <v>0</v>
      </c>
      <c r="AE481" s="70">
        <f>[1]Hoja1!AK21</f>
        <v>0</v>
      </c>
      <c r="AF481" s="70">
        <f>[1]Hoja1!AL21</f>
        <v>0</v>
      </c>
      <c r="AG481" s="70">
        <f>[1]Hoja1!AM21</f>
        <v>0</v>
      </c>
      <c r="AH481" s="70">
        <f>[1]Hoja1!AN21</f>
        <v>0</v>
      </c>
      <c r="AI481" s="70">
        <f>[1]Hoja1!AO21</f>
        <v>0</v>
      </c>
      <c r="AJ481" s="70">
        <f>[1]Hoja1!AP21</f>
        <v>0</v>
      </c>
    </row>
    <row r="482" spans="1:36" x14ac:dyDescent="0.25">
      <c r="A482" t="str">
        <f>[1]Hoja1!A22</f>
        <v>LA PILETA</v>
      </c>
      <c r="B482" t="str">
        <f>[1]Hoja1!B22</f>
        <v>LPI03 (fija 2)</v>
      </c>
      <c r="C482" t="str">
        <f>[1]Hoja1!D22</f>
        <v>MAIPU Y POSADAS</v>
      </c>
      <c r="D482" s="30" t="str">
        <f>[1]Hoja1!E22</f>
        <v>Fija</v>
      </c>
      <c r="E482" s="30" t="str">
        <f>[1]Hoja1!F22</f>
        <v>Fibra Optica</v>
      </c>
      <c r="F482" s="70">
        <f>[1]Hoja1!L22</f>
        <v>0</v>
      </c>
      <c r="G482" s="70">
        <f>[1]Hoja1!M22</f>
        <v>0</v>
      </c>
      <c r="H482" s="70">
        <f>[1]Hoja1!N22</f>
        <v>0</v>
      </c>
      <c r="I482" s="70">
        <f>[1]Hoja1!O22</f>
        <v>0</v>
      </c>
      <c r="J482" s="70">
        <f>[1]Hoja1!P22</f>
        <v>0</v>
      </c>
      <c r="K482" s="70">
        <f>[1]Hoja1!Q22</f>
        <v>0</v>
      </c>
      <c r="L482" s="70">
        <f>[1]Hoja1!R22</f>
        <v>0</v>
      </c>
      <c r="M482" s="70">
        <f>[1]Hoja1!S22</f>
        <v>0</v>
      </c>
      <c r="N482" s="70">
        <f>[1]Hoja1!T22</f>
        <v>0</v>
      </c>
      <c r="O482" s="70">
        <f>[1]Hoja1!U22</f>
        <v>0</v>
      </c>
      <c r="P482" s="70">
        <f>[1]Hoja1!V22</f>
        <v>0</v>
      </c>
      <c r="Q482" s="70">
        <f>[1]Hoja1!W22</f>
        <v>0</v>
      </c>
      <c r="R482" s="70">
        <f>[1]Hoja1!X22</f>
        <v>0</v>
      </c>
      <c r="S482" s="70">
        <f>[1]Hoja1!Y22</f>
        <v>0</v>
      </c>
      <c r="T482" s="70">
        <f>[1]Hoja1!Z22</f>
        <v>0</v>
      </c>
      <c r="U482" s="70">
        <f>[1]Hoja1!AA22</f>
        <v>0</v>
      </c>
      <c r="V482" s="70">
        <f>[1]Hoja1!AB22</f>
        <v>0</v>
      </c>
      <c r="W482" s="70">
        <f>[1]Hoja1!AC22</f>
        <v>0</v>
      </c>
      <c r="X482" s="70">
        <f>[1]Hoja1!AD22</f>
        <v>0</v>
      </c>
      <c r="Y482" s="70">
        <f>[1]Hoja1!AE22</f>
        <v>0</v>
      </c>
      <c r="Z482" s="70">
        <f>[1]Hoja1!AF22</f>
        <v>0</v>
      </c>
      <c r="AA482" s="70">
        <f>[1]Hoja1!AG22</f>
        <v>0</v>
      </c>
      <c r="AB482" s="70">
        <f>[1]Hoja1!AH22</f>
        <v>0</v>
      </c>
      <c r="AC482" s="70">
        <f>[1]Hoja1!AI22</f>
        <v>0</v>
      </c>
      <c r="AD482" s="70">
        <f>[1]Hoja1!AJ22</f>
        <v>0</v>
      </c>
      <c r="AE482" s="70">
        <f>[1]Hoja1!AK22</f>
        <v>0</v>
      </c>
      <c r="AF482" s="70">
        <f>[1]Hoja1!AL22</f>
        <v>0</v>
      </c>
      <c r="AG482" s="70">
        <f>[1]Hoja1!AM22</f>
        <v>0</v>
      </c>
      <c r="AH482" s="70">
        <f>[1]Hoja1!AN22</f>
        <v>0</v>
      </c>
      <c r="AI482" s="70">
        <f>[1]Hoja1!AO22</f>
        <v>0</v>
      </c>
      <c r="AJ482" s="70">
        <f>[1]Hoja1!AP22</f>
        <v>0</v>
      </c>
    </row>
    <row r="483" spans="1:36" x14ac:dyDescent="0.25">
      <c r="A483" t="str">
        <f>[1]Hoja1!A23</f>
        <v>LA PILETA</v>
      </c>
      <c r="B483" t="str">
        <f>[1]Hoja1!B23</f>
        <v>LPI04 (fija 1)</v>
      </c>
      <c r="C483" t="str">
        <f>[1]Hoja1!D23</f>
        <v>MAIPU Y POSADAS</v>
      </c>
      <c r="D483" s="30" t="str">
        <f>[1]Hoja1!E23</f>
        <v>FIJA</v>
      </c>
      <c r="E483" s="30" t="str">
        <f>[1]Hoja1!F23</f>
        <v>Fibra Optica</v>
      </c>
      <c r="F483" s="70">
        <f>[1]Hoja1!L23</f>
        <v>0</v>
      </c>
      <c r="G483" s="70">
        <f>[1]Hoja1!M23</f>
        <v>0</v>
      </c>
      <c r="H483" s="70">
        <f>[1]Hoja1!N23</f>
        <v>0</v>
      </c>
      <c r="I483" s="70">
        <f>[1]Hoja1!O23</f>
        <v>0</v>
      </c>
      <c r="J483" s="70">
        <f>[1]Hoja1!P23</f>
        <v>0</v>
      </c>
      <c r="K483" s="70">
        <f>[1]Hoja1!Q23</f>
        <v>0</v>
      </c>
      <c r="L483" s="70">
        <f>[1]Hoja1!R23</f>
        <v>0</v>
      </c>
      <c r="M483" s="70">
        <f>[1]Hoja1!S23</f>
        <v>0</v>
      </c>
      <c r="N483" s="70">
        <f>[1]Hoja1!T23</f>
        <v>0</v>
      </c>
      <c r="O483" s="70">
        <f>[1]Hoja1!U23</f>
        <v>0</v>
      </c>
      <c r="P483" s="70">
        <f>[1]Hoja1!V23</f>
        <v>0</v>
      </c>
      <c r="Q483" s="70">
        <f>[1]Hoja1!W23</f>
        <v>0</v>
      </c>
      <c r="R483" s="70">
        <f>[1]Hoja1!X23</f>
        <v>0</v>
      </c>
      <c r="S483" s="70">
        <f>[1]Hoja1!Y23</f>
        <v>0</v>
      </c>
      <c r="T483" s="70">
        <f>[1]Hoja1!Z23</f>
        <v>0</v>
      </c>
      <c r="U483" s="70">
        <f>[1]Hoja1!AA23</f>
        <v>0</v>
      </c>
      <c r="V483" s="70">
        <f>[1]Hoja1!AB23</f>
        <v>0</v>
      </c>
      <c r="W483" s="70">
        <f>[1]Hoja1!AC23</f>
        <v>0</v>
      </c>
      <c r="X483" s="70">
        <f>[1]Hoja1!AD23</f>
        <v>0</v>
      </c>
      <c r="Y483" s="70">
        <f>[1]Hoja1!AE23</f>
        <v>0</v>
      </c>
      <c r="Z483" s="70">
        <f>[1]Hoja1!AF23</f>
        <v>0</v>
      </c>
      <c r="AA483" s="70">
        <f>[1]Hoja1!AG23</f>
        <v>0</v>
      </c>
      <c r="AB483" s="70">
        <f>[1]Hoja1!AH23</f>
        <v>0</v>
      </c>
      <c r="AC483" s="70">
        <f>[1]Hoja1!AI23</f>
        <v>0</v>
      </c>
      <c r="AD483" s="70">
        <f>[1]Hoja1!AJ23</f>
        <v>0</v>
      </c>
      <c r="AE483" s="70">
        <f>[1]Hoja1!AK23</f>
        <v>0</v>
      </c>
      <c r="AF483" s="70">
        <f>[1]Hoja1!AL23</f>
        <v>0</v>
      </c>
      <c r="AG483" s="70">
        <f>[1]Hoja1!AM23</f>
        <v>0</v>
      </c>
      <c r="AH483" s="70">
        <f>[1]Hoja1!AN23</f>
        <v>0</v>
      </c>
      <c r="AI483" s="70">
        <f>[1]Hoja1!AO23</f>
        <v>0</v>
      </c>
      <c r="AJ483" s="70">
        <f>[1]Hoja1!AP23</f>
        <v>0</v>
      </c>
    </row>
    <row r="484" spans="1:36" x14ac:dyDescent="0.25">
      <c r="A484" t="str">
        <f>[1]Hoja1!A24</f>
        <v>LUJAN</v>
      </c>
      <c r="B484" t="str">
        <f>[1]Hoja1!B24</f>
        <v>LUJ 01</v>
      </c>
      <c r="C484" t="str">
        <f>[1]Hoja1!D24</f>
        <v>ñandu y Los Pinos</v>
      </c>
      <c r="D484" s="30" t="str">
        <f>[1]Hoja1!E24</f>
        <v>Domo</v>
      </c>
      <c r="E484" s="30" t="str">
        <f>[1]Hoja1!F24</f>
        <v>Radio</v>
      </c>
      <c r="F484" s="70">
        <f>[1]Hoja1!L24</f>
        <v>0</v>
      </c>
      <c r="G484" s="70">
        <f>[1]Hoja1!M24</f>
        <v>0</v>
      </c>
      <c r="H484" s="70">
        <f>[1]Hoja1!N24</f>
        <v>0</v>
      </c>
      <c r="I484" s="70">
        <f>[1]Hoja1!O24</f>
        <v>0</v>
      </c>
      <c r="J484" s="70">
        <f>[1]Hoja1!P24</f>
        <v>0</v>
      </c>
      <c r="K484" s="70">
        <f>[1]Hoja1!Q24</f>
        <v>0</v>
      </c>
      <c r="L484" s="70">
        <f>[1]Hoja1!R24</f>
        <v>0</v>
      </c>
      <c r="M484" s="70">
        <f>[1]Hoja1!S24</f>
        <v>0</v>
      </c>
      <c r="N484" s="70">
        <f>[1]Hoja1!T24</f>
        <v>0</v>
      </c>
      <c r="O484" s="70">
        <f>[1]Hoja1!U24</f>
        <v>0</v>
      </c>
      <c r="P484" s="70">
        <f>[1]Hoja1!V24</f>
        <v>0</v>
      </c>
      <c r="Q484" s="70">
        <f>[1]Hoja1!W24</f>
        <v>0</v>
      </c>
      <c r="R484" s="70">
        <f>[1]Hoja1!X24</f>
        <v>0</v>
      </c>
      <c r="S484" s="70">
        <f>[1]Hoja1!Y24</f>
        <v>0</v>
      </c>
      <c r="T484" s="70">
        <f>[1]Hoja1!Z24</f>
        <v>0</v>
      </c>
      <c r="U484" s="70">
        <f>[1]Hoja1!AA24</f>
        <v>0</v>
      </c>
      <c r="V484" s="70">
        <f>[1]Hoja1!AB24</f>
        <v>0</v>
      </c>
      <c r="W484" s="70">
        <f>[1]Hoja1!AC24</f>
        <v>0</v>
      </c>
      <c r="X484" s="70">
        <f>[1]Hoja1!AD24</f>
        <v>0</v>
      </c>
      <c r="Y484" s="70">
        <f>[1]Hoja1!AE24</f>
        <v>0</v>
      </c>
      <c r="Z484" s="70">
        <f>[1]Hoja1!AF24</f>
        <v>0</v>
      </c>
      <c r="AA484" s="70">
        <f>[1]Hoja1!AG24</f>
        <v>0</v>
      </c>
      <c r="AB484" s="70">
        <f>[1]Hoja1!AH24</f>
        <v>0</v>
      </c>
      <c r="AC484" s="70">
        <f>[1]Hoja1!AI24</f>
        <v>0</v>
      </c>
      <c r="AD484" s="70">
        <f>[1]Hoja1!AJ24</f>
        <v>0</v>
      </c>
      <c r="AE484" s="70">
        <f>[1]Hoja1!AK24</f>
        <v>0</v>
      </c>
      <c r="AF484" s="70">
        <f>[1]Hoja1!AL24</f>
        <v>0</v>
      </c>
      <c r="AG484" s="70">
        <f>[1]Hoja1!AM24</f>
        <v>0</v>
      </c>
      <c r="AH484" s="70">
        <f>[1]Hoja1!AN24</f>
        <v>0</v>
      </c>
      <c r="AI484" s="70">
        <f>[1]Hoja1!AO24</f>
        <v>0</v>
      </c>
      <c r="AJ484" s="70">
        <f>[1]Hoja1!AP24</f>
        <v>0</v>
      </c>
    </row>
    <row r="485" spans="1:36" x14ac:dyDescent="0.25">
      <c r="A485">
        <f>[1]Hoja1!A25</f>
        <v>0</v>
      </c>
      <c r="B485" t="str">
        <f>[1]Hoja1!B25</f>
        <v>MCUD 02</v>
      </c>
      <c r="C485" t="str">
        <f>[1]Hoja1!D25</f>
        <v>CALLE 115 A Y 158</v>
      </c>
      <c r="D485" s="30" t="str">
        <f>[1]Hoja1!E25</f>
        <v>DOMO</v>
      </c>
      <c r="E485" s="30" t="str">
        <f>[1]Hoja1!F25</f>
        <v>Fibra Optica</v>
      </c>
      <c r="F485" s="70">
        <f>[1]Hoja1!L25</f>
        <v>0</v>
      </c>
      <c r="G485" s="70">
        <f>[1]Hoja1!M25</f>
        <v>0</v>
      </c>
      <c r="H485" s="70">
        <f>[1]Hoja1!N25</f>
        <v>0</v>
      </c>
      <c r="I485" s="70">
        <f>[1]Hoja1!O25</f>
        <v>0</v>
      </c>
      <c r="J485" s="70">
        <f>[1]Hoja1!P25</f>
        <v>0</v>
      </c>
      <c r="K485" s="70">
        <f>[1]Hoja1!Q25</f>
        <v>0</v>
      </c>
      <c r="L485" s="70">
        <f>[1]Hoja1!R25</f>
        <v>0</v>
      </c>
      <c r="M485" s="70">
        <f>[1]Hoja1!S25</f>
        <v>0</v>
      </c>
      <c r="N485" s="70">
        <f>[1]Hoja1!T25</f>
        <v>0</v>
      </c>
      <c r="O485" s="70">
        <f>[1]Hoja1!U25</f>
        <v>0</v>
      </c>
      <c r="P485" s="70">
        <f>[1]Hoja1!V25</f>
        <v>0</v>
      </c>
      <c r="Q485" s="70">
        <f>[1]Hoja1!W25</f>
        <v>0</v>
      </c>
      <c r="R485" s="70">
        <f>[1]Hoja1!X25</f>
        <v>0</v>
      </c>
      <c r="S485" s="70">
        <f>[1]Hoja1!Y25</f>
        <v>0</v>
      </c>
      <c r="T485" s="70">
        <f>[1]Hoja1!Z25</f>
        <v>0</v>
      </c>
      <c r="U485" s="70">
        <f>[1]Hoja1!AA25</f>
        <v>0</v>
      </c>
      <c r="V485" s="70">
        <f>[1]Hoja1!AB25</f>
        <v>0</v>
      </c>
      <c r="W485" s="70">
        <f>[1]Hoja1!AC25</f>
        <v>0</v>
      </c>
      <c r="X485" s="70">
        <f>[1]Hoja1!AD25</f>
        <v>0</v>
      </c>
      <c r="Y485" s="70">
        <f>[1]Hoja1!AE25</f>
        <v>0</v>
      </c>
      <c r="Z485" s="70">
        <f>[1]Hoja1!AF25</f>
        <v>0</v>
      </c>
      <c r="AA485" s="70">
        <f>[1]Hoja1!AG25</f>
        <v>0</v>
      </c>
      <c r="AB485" s="70">
        <f>[1]Hoja1!AH25</f>
        <v>0</v>
      </c>
      <c r="AC485" s="70">
        <f>[1]Hoja1!AI25</f>
        <v>0</v>
      </c>
      <c r="AD485" s="70">
        <f>[1]Hoja1!AJ25</f>
        <v>0</v>
      </c>
      <c r="AE485" s="70">
        <f>[1]Hoja1!AK25</f>
        <v>0</v>
      </c>
      <c r="AF485" s="70">
        <f>[1]Hoja1!AL25</f>
        <v>0</v>
      </c>
      <c r="AG485" s="70">
        <f>[1]Hoja1!AM25</f>
        <v>0</v>
      </c>
      <c r="AH485" s="70">
        <f>[1]Hoja1!AN25</f>
        <v>0</v>
      </c>
      <c r="AI485" s="70">
        <f>[1]Hoja1!AO25</f>
        <v>0</v>
      </c>
      <c r="AJ485" s="70">
        <f>[1]Hoja1!AP25</f>
        <v>0</v>
      </c>
    </row>
    <row r="486" spans="1:36" x14ac:dyDescent="0.25">
      <c r="A486" t="str">
        <f>[1]Hoja1!A26</f>
        <v>SAN EMILIO</v>
      </c>
      <c r="B486" t="str">
        <f>[1]Hoja1!B26</f>
        <v>SEMI 02</v>
      </c>
      <c r="C486" t="str">
        <f>[1]Hoja1!D26</f>
        <v>Cno. Gral. Belgrano y Francia</v>
      </c>
      <c r="D486" s="30" t="str">
        <f>[1]Hoja1!E26</f>
        <v>Domo</v>
      </c>
      <c r="E486" s="30" t="str">
        <f>[1]Hoja1!F26</f>
        <v>Fibra Optica</v>
      </c>
      <c r="F486" s="70">
        <f>[1]Hoja1!L26</f>
        <v>0</v>
      </c>
      <c r="G486" s="70">
        <f>[1]Hoja1!M26</f>
        <v>0</v>
      </c>
      <c r="H486" s="70">
        <f>[1]Hoja1!N26</f>
        <v>0</v>
      </c>
      <c r="I486" s="70">
        <f>[1]Hoja1!O26</f>
        <v>0</v>
      </c>
      <c r="J486" s="70">
        <f>[1]Hoja1!P26</f>
        <v>0</v>
      </c>
      <c r="K486" s="70">
        <f>[1]Hoja1!Q26</f>
        <v>0</v>
      </c>
      <c r="L486" s="70">
        <f>[1]Hoja1!R26</f>
        <v>0</v>
      </c>
      <c r="M486" s="70">
        <f>[1]Hoja1!S26</f>
        <v>0</v>
      </c>
      <c r="N486" s="70">
        <f>[1]Hoja1!T26</f>
        <v>0</v>
      </c>
      <c r="O486" s="70">
        <f>[1]Hoja1!U26</f>
        <v>0</v>
      </c>
      <c r="P486" s="70">
        <f>[1]Hoja1!V26</f>
        <v>0</v>
      </c>
      <c r="Q486" s="70">
        <f>[1]Hoja1!W26</f>
        <v>0</v>
      </c>
      <c r="R486" s="70">
        <f>[1]Hoja1!X26</f>
        <v>0</v>
      </c>
      <c r="S486" s="70">
        <f>[1]Hoja1!Y26</f>
        <v>0</v>
      </c>
      <c r="T486" s="70">
        <f>[1]Hoja1!Z26</f>
        <v>0</v>
      </c>
      <c r="U486" s="70">
        <f>[1]Hoja1!AA26</f>
        <v>0</v>
      </c>
      <c r="V486" s="70">
        <f>[1]Hoja1!AB26</f>
        <v>0</v>
      </c>
      <c r="W486" s="70">
        <f>[1]Hoja1!AC26</f>
        <v>0</v>
      </c>
      <c r="X486" s="70">
        <f>[1]Hoja1!AD26</f>
        <v>0</v>
      </c>
      <c r="Y486" s="70">
        <f>[1]Hoja1!AE26</f>
        <v>0</v>
      </c>
      <c r="Z486" s="70">
        <f>[1]Hoja1!AF26</f>
        <v>0</v>
      </c>
      <c r="AA486" s="70">
        <f>[1]Hoja1!AG26</f>
        <v>0</v>
      </c>
      <c r="AB486" s="70">
        <f>[1]Hoja1!AH26</f>
        <v>0</v>
      </c>
      <c r="AC486" s="70">
        <f>[1]Hoja1!AI26</f>
        <v>0</v>
      </c>
      <c r="AD486" s="70">
        <f>[1]Hoja1!AJ26</f>
        <v>0</v>
      </c>
      <c r="AE486" s="70">
        <f>[1]Hoja1!AK26</f>
        <v>0</v>
      </c>
      <c r="AF486" s="70">
        <f>[1]Hoja1!AL26</f>
        <v>0</v>
      </c>
      <c r="AG486" s="70">
        <f>[1]Hoja1!AM26</f>
        <v>0</v>
      </c>
      <c r="AH486" s="70">
        <f>[1]Hoja1!AN26</f>
        <v>0</v>
      </c>
      <c r="AI486" s="70">
        <f>[1]Hoja1!AO26</f>
        <v>0</v>
      </c>
      <c r="AJ486" s="70">
        <f>[1]Hoja1!AP26</f>
        <v>0</v>
      </c>
    </row>
    <row r="487" spans="1:36" x14ac:dyDescent="0.25">
      <c r="A487" t="str">
        <f>[1]Hoja1!A27</f>
        <v>LA SIRENA</v>
      </c>
      <c r="B487" t="str">
        <f>[1]Hoja1!B27</f>
        <v>SIR01</v>
      </c>
      <c r="C487" t="str">
        <f>[1]Hoja1!D27</f>
        <v>Moran y Calle 14</v>
      </c>
      <c r="D487" s="30" t="str">
        <f>[1]Hoja1!E27</f>
        <v>DOMO</v>
      </c>
      <c r="E487" s="30" t="str">
        <f>[1]Hoja1!F27</f>
        <v>Radio</v>
      </c>
      <c r="F487" s="70">
        <f>[1]Hoja1!L27</f>
        <v>0</v>
      </c>
      <c r="G487" s="70">
        <f>[1]Hoja1!M27</f>
        <v>0</v>
      </c>
      <c r="H487" s="70">
        <f>[1]Hoja1!N27</f>
        <v>0</v>
      </c>
      <c r="I487" s="70">
        <f>[1]Hoja1!O27</f>
        <v>0</v>
      </c>
      <c r="J487" s="70">
        <f>[1]Hoja1!P27</f>
        <v>0</v>
      </c>
      <c r="K487" s="70">
        <f>[1]Hoja1!Q27</f>
        <v>0</v>
      </c>
      <c r="L487" s="70">
        <f>[1]Hoja1!R27</f>
        <v>0</v>
      </c>
      <c r="M487" s="70">
        <f>[1]Hoja1!S27</f>
        <v>0</v>
      </c>
      <c r="N487" s="70">
        <f>[1]Hoja1!T27</f>
        <v>0</v>
      </c>
      <c r="O487" s="70">
        <f>[1]Hoja1!U27</f>
        <v>0</v>
      </c>
      <c r="P487" s="70">
        <f>[1]Hoja1!V27</f>
        <v>0</v>
      </c>
      <c r="Q487" s="70">
        <f>[1]Hoja1!W27</f>
        <v>0</v>
      </c>
      <c r="R487" s="70">
        <f>[1]Hoja1!X27</f>
        <v>0</v>
      </c>
      <c r="S487" s="70">
        <f>[1]Hoja1!Y27</f>
        <v>0</v>
      </c>
      <c r="T487" s="70">
        <f>[1]Hoja1!Z27</f>
        <v>0</v>
      </c>
      <c r="U487" s="70">
        <f>[1]Hoja1!AA27</f>
        <v>0</v>
      </c>
      <c r="V487" s="70">
        <f>[1]Hoja1!AB27</f>
        <v>0</v>
      </c>
      <c r="W487" s="70">
        <f>[1]Hoja1!AC27</f>
        <v>0</v>
      </c>
      <c r="X487" s="70">
        <f>[1]Hoja1!AD27</f>
        <v>0</v>
      </c>
      <c r="Y487" s="70">
        <f>[1]Hoja1!AE27</f>
        <v>0</v>
      </c>
      <c r="Z487" s="70">
        <f>[1]Hoja1!AF27</f>
        <v>0</v>
      </c>
      <c r="AA487" s="70">
        <f>[1]Hoja1!AG27</f>
        <v>0</v>
      </c>
      <c r="AB487" s="70">
        <f>[1]Hoja1!AH27</f>
        <v>0</v>
      </c>
      <c r="AC487" s="70">
        <f>[1]Hoja1!AI27</f>
        <v>0</v>
      </c>
      <c r="AD487" s="70">
        <f>[1]Hoja1!AJ27</f>
        <v>0</v>
      </c>
      <c r="AE487" s="70">
        <f>[1]Hoja1!AK27</f>
        <v>0</v>
      </c>
      <c r="AF487" s="70">
        <f>[1]Hoja1!AL27</f>
        <v>0</v>
      </c>
      <c r="AG487" s="70">
        <f>[1]Hoja1!AM27</f>
        <v>0</v>
      </c>
      <c r="AH487" s="70">
        <f>[1]Hoja1!AN27</f>
        <v>0</v>
      </c>
      <c r="AI487" s="70">
        <f>[1]Hoja1!AO27</f>
        <v>0</v>
      </c>
      <c r="AJ487" s="70">
        <f>[1]Hoja1!AP27</f>
        <v>0</v>
      </c>
    </row>
    <row r="488" spans="1:36" x14ac:dyDescent="0.25">
      <c r="A488" t="str">
        <f>[1]Hoja1!A28</f>
        <v>SAN EDUARDO</v>
      </c>
      <c r="B488" t="str">
        <f>[1]Hoja1!B28</f>
        <v>SIR 02</v>
      </c>
      <c r="C488" t="str">
        <f>[1]Hoja1!D28</f>
        <v>Victorino de la Plaza y Argentina</v>
      </c>
      <c r="D488" s="30" t="str">
        <f>[1]Hoja1!E28</f>
        <v>Domo</v>
      </c>
      <c r="E488" s="30" t="str">
        <f>[1]Hoja1!F28</f>
        <v>Radio</v>
      </c>
      <c r="F488" s="70">
        <f>[1]Hoja1!L28</f>
        <v>0</v>
      </c>
      <c r="G488" s="70">
        <f>[1]Hoja1!M28</f>
        <v>0</v>
      </c>
      <c r="H488" s="70">
        <f>[1]Hoja1!N28</f>
        <v>0</v>
      </c>
      <c r="I488" s="70">
        <f>[1]Hoja1!O28</f>
        <v>0</v>
      </c>
      <c r="J488" s="70">
        <f>[1]Hoja1!P28</f>
        <v>0</v>
      </c>
      <c r="K488" s="70">
        <f>[1]Hoja1!Q28</f>
        <v>0</v>
      </c>
      <c r="L488" s="70">
        <f>[1]Hoja1!R28</f>
        <v>0</v>
      </c>
      <c r="M488" s="70">
        <f>[1]Hoja1!S28</f>
        <v>0</v>
      </c>
      <c r="N488" s="70">
        <f>[1]Hoja1!T28</f>
        <v>0</v>
      </c>
      <c r="O488" s="70">
        <f>[1]Hoja1!U28</f>
        <v>0</v>
      </c>
      <c r="P488" s="70">
        <f>[1]Hoja1!V28</f>
        <v>0</v>
      </c>
      <c r="Q488" s="70">
        <f>[1]Hoja1!W28</f>
        <v>0</v>
      </c>
      <c r="R488" s="70">
        <f>[1]Hoja1!X28</f>
        <v>0</v>
      </c>
      <c r="S488" s="70">
        <f>[1]Hoja1!Y28</f>
        <v>0</v>
      </c>
      <c r="T488" s="70">
        <f>[1]Hoja1!Z28</f>
        <v>0</v>
      </c>
      <c r="U488" s="70">
        <f>[1]Hoja1!AA28</f>
        <v>0</v>
      </c>
      <c r="V488" s="70">
        <f>[1]Hoja1!AB28</f>
        <v>0</v>
      </c>
      <c r="W488" s="70">
        <f>[1]Hoja1!AC28</f>
        <v>0</v>
      </c>
      <c r="X488" s="70">
        <f>[1]Hoja1!AD28</f>
        <v>0</v>
      </c>
      <c r="Y488" s="70">
        <f>[1]Hoja1!AE28</f>
        <v>0</v>
      </c>
      <c r="Z488" s="70">
        <f>[1]Hoja1!AF28</f>
        <v>0</v>
      </c>
      <c r="AA488" s="70">
        <f>[1]Hoja1!AG28</f>
        <v>0</v>
      </c>
      <c r="AB488" s="70">
        <f>[1]Hoja1!AH28</f>
        <v>0</v>
      </c>
      <c r="AC488" s="70">
        <f>[1]Hoja1!AI28</f>
        <v>0</v>
      </c>
      <c r="AD488" s="70">
        <f>[1]Hoja1!AJ28</f>
        <v>0</v>
      </c>
      <c r="AE488" s="70">
        <f>[1]Hoja1!AK28</f>
        <v>0</v>
      </c>
      <c r="AF488" s="70">
        <f>[1]Hoja1!AL28</f>
        <v>0</v>
      </c>
      <c r="AG488" s="70">
        <f>[1]Hoja1!AM28</f>
        <v>0</v>
      </c>
      <c r="AH488" s="70">
        <f>[1]Hoja1!AN28</f>
        <v>0</v>
      </c>
      <c r="AI488" s="70">
        <f>[1]Hoja1!AO28</f>
        <v>0</v>
      </c>
      <c r="AJ488" s="70">
        <f>[1]Hoja1!AP28</f>
        <v>0</v>
      </c>
    </row>
    <row r="489" spans="1:36" x14ac:dyDescent="0.25">
      <c r="A489" t="str">
        <f>[1]Hoja1!A29</f>
        <v>SAN EDUARDO</v>
      </c>
      <c r="B489" t="str">
        <f>[1]Hoja1!B29</f>
        <v>SIR 03</v>
      </c>
      <c r="C489" t="str">
        <f>[1]Hoja1!D29</f>
        <v>MONTES Y LONARDI</v>
      </c>
      <c r="D489" s="30" t="str">
        <f>[1]Hoja1!E29</f>
        <v>DOMO</v>
      </c>
      <c r="E489" s="30" t="str">
        <f>[1]Hoja1!F29</f>
        <v>Radio</v>
      </c>
      <c r="F489" s="70">
        <f>[1]Hoja1!L29</f>
        <v>0</v>
      </c>
      <c r="G489" s="70">
        <f>[1]Hoja1!M29</f>
        <v>0</v>
      </c>
      <c r="H489" s="70">
        <f>[1]Hoja1!N29</f>
        <v>0</v>
      </c>
      <c r="I489" s="70">
        <f>[1]Hoja1!O29</f>
        <v>0</v>
      </c>
      <c r="J489" s="70">
        <f>[1]Hoja1!P29</f>
        <v>0</v>
      </c>
      <c r="K489" s="70">
        <f>[1]Hoja1!Q29</f>
        <v>0</v>
      </c>
      <c r="L489" s="70">
        <f>[1]Hoja1!R29</f>
        <v>0</v>
      </c>
      <c r="M489" s="70">
        <f>[1]Hoja1!S29</f>
        <v>0</v>
      </c>
      <c r="N489" s="70">
        <f>[1]Hoja1!T29</f>
        <v>0</v>
      </c>
      <c r="O489" s="70">
        <f>[1]Hoja1!U29</f>
        <v>0</v>
      </c>
      <c r="P489" s="70">
        <f>[1]Hoja1!V29</f>
        <v>0</v>
      </c>
      <c r="Q489" s="70">
        <f>[1]Hoja1!W29</f>
        <v>0</v>
      </c>
      <c r="R489" s="70">
        <f>[1]Hoja1!X29</f>
        <v>0</v>
      </c>
      <c r="S489" s="70">
        <f>[1]Hoja1!Y29</f>
        <v>0</v>
      </c>
      <c r="T489" s="70">
        <f>[1]Hoja1!Z29</f>
        <v>0</v>
      </c>
      <c r="U489" s="70">
        <f>[1]Hoja1!AA29</f>
        <v>0</v>
      </c>
      <c r="V489" s="70">
        <f>[1]Hoja1!AB29</f>
        <v>0</v>
      </c>
      <c r="W489" s="70">
        <f>[1]Hoja1!AC29</f>
        <v>0</v>
      </c>
      <c r="X489" s="70">
        <f>[1]Hoja1!AD29</f>
        <v>0</v>
      </c>
      <c r="Y489" s="70">
        <f>[1]Hoja1!AE29</f>
        <v>0</v>
      </c>
      <c r="Z489" s="70">
        <f>[1]Hoja1!AF29</f>
        <v>0</v>
      </c>
      <c r="AA489" s="70">
        <f>[1]Hoja1!AG29</f>
        <v>0</v>
      </c>
      <c r="AB489" s="70">
        <f>[1]Hoja1!AH29</f>
        <v>0</v>
      </c>
      <c r="AC489" s="70">
        <f>[1]Hoja1!AI29</f>
        <v>0</v>
      </c>
      <c r="AD489" s="70">
        <f>[1]Hoja1!AJ29</f>
        <v>0</v>
      </c>
      <c r="AE489" s="70">
        <f>[1]Hoja1!AK29</f>
        <v>0</v>
      </c>
      <c r="AF489" s="70">
        <f>[1]Hoja1!AL29</f>
        <v>0</v>
      </c>
      <c r="AG489" s="70">
        <f>[1]Hoja1!AM29</f>
        <v>0</v>
      </c>
      <c r="AH489" s="70">
        <f>[1]Hoja1!AN29</f>
        <v>0</v>
      </c>
      <c r="AI489" s="70">
        <f>[1]Hoja1!AO29</f>
        <v>0</v>
      </c>
      <c r="AJ489" s="70">
        <f>[1]Hoja1!AP29</f>
        <v>0</v>
      </c>
    </row>
    <row r="490" spans="1:36" x14ac:dyDescent="0.25">
      <c r="A490" t="str">
        <f>[1]Hoja1!A30</f>
        <v>VILLA AURORA</v>
      </c>
      <c r="B490" t="str">
        <f>[1]Hoja1!B30</f>
        <v>VAU 07</v>
      </c>
      <c r="C490" t="str">
        <f>[1]Hoja1!D30</f>
        <v>VICTORINO DE LA PLAZA Y MONTEVERDE</v>
      </c>
      <c r="D490" s="30" t="str">
        <f>[1]Hoja1!E30</f>
        <v>Domo</v>
      </c>
      <c r="E490" s="30" t="str">
        <f>[1]Hoja1!F30</f>
        <v>Fibra Optica</v>
      </c>
      <c r="F490" s="70">
        <f>[1]Hoja1!L30</f>
        <v>0</v>
      </c>
      <c r="G490" s="70">
        <f>[1]Hoja1!M30</f>
        <v>0</v>
      </c>
      <c r="H490" s="70">
        <f>[1]Hoja1!N30</f>
        <v>0</v>
      </c>
      <c r="I490" s="70">
        <f>[1]Hoja1!O30</f>
        <v>0</v>
      </c>
      <c r="J490" s="70">
        <f>[1]Hoja1!P30</f>
        <v>0</v>
      </c>
      <c r="K490" s="70">
        <f>[1]Hoja1!Q30</f>
        <v>0</v>
      </c>
      <c r="L490" s="70">
        <f>[1]Hoja1!R30</f>
        <v>0</v>
      </c>
      <c r="M490" s="70">
        <f>[1]Hoja1!S30</f>
        <v>0</v>
      </c>
      <c r="N490" s="70">
        <f>[1]Hoja1!T30</f>
        <v>0</v>
      </c>
      <c r="O490" s="70">
        <f>[1]Hoja1!U30</f>
        <v>0</v>
      </c>
      <c r="P490" s="70">
        <f>[1]Hoja1!V30</f>
        <v>0</v>
      </c>
      <c r="Q490" s="70">
        <f>[1]Hoja1!W30</f>
        <v>0</v>
      </c>
      <c r="R490" s="70">
        <f>[1]Hoja1!X30</f>
        <v>0</v>
      </c>
      <c r="S490" s="70">
        <f>[1]Hoja1!Y30</f>
        <v>0</v>
      </c>
      <c r="T490" s="70">
        <f>[1]Hoja1!Z30</f>
        <v>0</v>
      </c>
      <c r="U490" s="70">
        <f>[1]Hoja1!AA30</f>
        <v>0</v>
      </c>
      <c r="V490" s="70">
        <f>[1]Hoja1!AB30</f>
        <v>0</v>
      </c>
      <c r="W490" s="70">
        <f>[1]Hoja1!AC30</f>
        <v>0</v>
      </c>
      <c r="X490" s="70">
        <f>[1]Hoja1!AD30</f>
        <v>0</v>
      </c>
      <c r="Y490" s="70">
        <f>[1]Hoja1!AE30</f>
        <v>0</v>
      </c>
      <c r="Z490" s="70">
        <f>[1]Hoja1!AF30</f>
        <v>0</v>
      </c>
      <c r="AA490" s="70">
        <f>[1]Hoja1!AG30</f>
        <v>0</v>
      </c>
      <c r="AB490" s="70">
        <f>[1]Hoja1!AH30</f>
        <v>0</v>
      </c>
      <c r="AC490" s="70">
        <f>[1]Hoja1!AI30</f>
        <v>0</v>
      </c>
      <c r="AD490" s="70">
        <f>[1]Hoja1!AJ30</f>
        <v>0</v>
      </c>
      <c r="AE490" s="70">
        <f>[1]Hoja1!AK30</f>
        <v>0</v>
      </c>
      <c r="AF490" s="70">
        <f>[1]Hoja1!AL30</f>
        <v>0</v>
      </c>
      <c r="AG490" s="70">
        <f>[1]Hoja1!AM30</f>
        <v>0</v>
      </c>
      <c r="AH490" s="70">
        <f>[1]Hoja1!AN30</f>
        <v>0</v>
      </c>
      <c r="AI490" s="70">
        <f>[1]Hoja1!AO30</f>
        <v>0</v>
      </c>
      <c r="AJ490" s="70">
        <f>[1]Hoja1!AP30</f>
        <v>0</v>
      </c>
    </row>
    <row r="491" spans="1:36" x14ac:dyDescent="0.25">
      <c r="A491" t="str">
        <f>[1]Hoja1!A31</f>
        <v>VILLA AURORA</v>
      </c>
      <c r="B491" t="str">
        <f>[1]Hoja1!B31</f>
        <v>VAU08</v>
      </c>
      <c r="C491" t="str">
        <f>[1]Hoja1!D31</f>
        <v>MONTEVERDE Y WASHINGTON</v>
      </c>
      <c r="D491" s="30" t="str">
        <f>[1]Hoja1!E31</f>
        <v>DOMO</v>
      </c>
      <c r="E491" s="30" t="str">
        <f>[1]Hoja1!F31</f>
        <v>Fibra Optica</v>
      </c>
      <c r="F491" s="70">
        <f>[1]Hoja1!L31</f>
        <v>0</v>
      </c>
      <c r="G491" s="70">
        <f>[1]Hoja1!M31</f>
        <v>0</v>
      </c>
      <c r="H491" s="70">
        <f>[1]Hoja1!N31</f>
        <v>0</v>
      </c>
      <c r="I491" s="70">
        <f>[1]Hoja1!O31</f>
        <v>0</v>
      </c>
      <c r="J491" s="70">
        <f>[1]Hoja1!P31</f>
        <v>0</v>
      </c>
      <c r="K491" s="70">
        <f>[1]Hoja1!Q31</f>
        <v>0</v>
      </c>
      <c r="L491" s="70">
        <f>[1]Hoja1!R31</f>
        <v>0</v>
      </c>
      <c r="M491" s="70">
        <f>[1]Hoja1!S31</f>
        <v>0</v>
      </c>
      <c r="N491" s="70">
        <f>[1]Hoja1!T31</f>
        <v>0</v>
      </c>
      <c r="O491" s="70">
        <f>[1]Hoja1!U31</f>
        <v>0</v>
      </c>
      <c r="P491" s="70">
        <f>[1]Hoja1!V31</f>
        <v>0</v>
      </c>
      <c r="Q491" s="70">
        <f>[1]Hoja1!W31</f>
        <v>0</v>
      </c>
      <c r="R491" s="70">
        <f>[1]Hoja1!X31</f>
        <v>0</v>
      </c>
      <c r="S491" s="70">
        <f>[1]Hoja1!Y31</f>
        <v>0</v>
      </c>
      <c r="T491" s="70">
        <f>[1]Hoja1!Z31</f>
        <v>0</v>
      </c>
      <c r="U491" s="70">
        <f>[1]Hoja1!AA31</f>
        <v>0</v>
      </c>
      <c r="V491" s="70">
        <f>[1]Hoja1!AB31</f>
        <v>0</v>
      </c>
      <c r="W491" s="70">
        <f>[1]Hoja1!AC31</f>
        <v>0</v>
      </c>
      <c r="X491" s="70">
        <f>[1]Hoja1!AD31</f>
        <v>0</v>
      </c>
      <c r="Y491" s="70">
        <f>[1]Hoja1!AE31</f>
        <v>0</v>
      </c>
      <c r="Z491" s="70">
        <f>[1]Hoja1!AF31</f>
        <v>0</v>
      </c>
      <c r="AA491" s="70">
        <f>[1]Hoja1!AG31</f>
        <v>0</v>
      </c>
      <c r="AB491" s="70">
        <f>[1]Hoja1!AH31</f>
        <v>0</v>
      </c>
      <c r="AC491" s="70">
        <f>[1]Hoja1!AI31</f>
        <v>0</v>
      </c>
      <c r="AD491" s="70">
        <f>[1]Hoja1!AJ31</f>
        <v>0</v>
      </c>
      <c r="AE491" s="70">
        <f>[1]Hoja1!AK31</f>
        <v>0</v>
      </c>
      <c r="AF491" s="70">
        <f>[1]Hoja1!AL31</f>
        <v>0</v>
      </c>
      <c r="AG491" s="70">
        <f>[1]Hoja1!AM31</f>
        <v>0</v>
      </c>
      <c r="AH491" s="70">
        <f>[1]Hoja1!AN31</f>
        <v>0</v>
      </c>
      <c r="AI491" s="70">
        <f>[1]Hoja1!AO31</f>
        <v>0</v>
      </c>
      <c r="AJ491" s="70">
        <f>[1]Hoja1!AP31</f>
        <v>0</v>
      </c>
    </row>
    <row r="492" spans="1:36" x14ac:dyDescent="0.25">
      <c r="A492" t="str">
        <f>[1]Hoja1!A32</f>
        <v>LA COLORADA ESTE</v>
      </c>
      <c r="B492" t="str">
        <f>[1]Hoja1!B32</f>
        <v>COL 03</v>
      </c>
      <c r="C492" t="str">
        <f>[1]Hoja1!D32</f>
        <v>CARIBONI Y LA ANCIANIDAD</v>
      </c>
      <c r="D492" s="30" t="str">
        <f>[1]Hoja1!E32</f>
        <v>DOMO</v>
      </c>
      <c r="E492" s="30" t="str">
        <f>[1]Hoja1!F32</f>
        <v>Radio</v>
      </c>
      <c r="F492" s="70">
        <f>[1]Hoja1!L32</f>
        <v>0</v>
      </c>
      <c r="G492" s="70">
        <f>[1]Hoja1!M32</f>
        <v>0</v>
      </c>
      <c r="H492" s="70">
        <f>[1]Hoja1!N32</f>
        <v>0</v>
      </c>
      <c r="I492" s="70">
        <f>[1]Hoja1!O32</f>
        <v>0</v>
      </c>
      <c r="J492" s="70">
        <f>[1]Hoja1!P32</f>
        <v>0</v>
      </c>
      <c r="K492" s="70">
        <f>[1]Hoja1!Q32</f>
        <v>0</v>
      </c>
      <c r="L492" s="70">
        <f>[1]Hoja1!R32</f>
        <v>0</v>
      </c>
      <c r="M492" s="70">
        <f>[1]Hoja1!S32</f>
        <v>0</v>
      </c>
      <c r="N492" s="70">
        <f>[1]Hoja1!T32</f>
        <v>0</v>
      </c>
      <c r="O492" s="70">
        <f>[1]Hoja1!U32</f>
        <v>0</v>
      </c>
      <c r="P492" s="70">
        <f>[1]Hoja1!V32</f>
        <v>0</v>
      </c>
      <c r="Q492" s="70">
        <f>[1]Hoja1!W32</f>
        <v>0</v>
      </c>
      <c r="R492" s="70">
        <f>[1]Hoja1!X32</f>
        <v>0</v>
      </c>
      <c r="S492" s="70">
        <f>[1]Hoja1!Y32</f>
        <v>0</v>
      </c>
      <c r="T492" s="70">
        <f>[1]Hoja1!Z32</f>
        <v>0</v>
      </c>
      <c r="U492" s="70">
        <f>[1]Hoja1!AA32</f>
        <v>0</v>
      </c>
      <c r="V492" s="70">
        <f>[1]Hoja1!AB32</f>
        <v>0</v>
      </c>
      <c r="W492" s="70">
        <f>[1]Hoja1!AC32</f>
        <v>0</v>
      </c>
      <c r="X492" s="70">
        <f>[1]Hoja1!AD32</f>
        <v>0</v>
      </c>
      <c r="Y492" s="70">
        <f>[1]Hoja1!AE32</f>
        <v>0</v>
      </c>
      <c r="Z492" s="70">
        <f>[1]Hoja1!AF32</f>
        <v>0</v>
      </c>
      <c r="AA492" s="70">
        <f>[1]Hoja1!AG32</f>
        <v>0</v>
      </c>
      <c r="AB492" s="70">
        <f>[1]Hoja1!AH32</f>
        <v>0</v>
      </c>
      <c r="AC492" s="70">
        <f>[1]Hoja1!AI32</f>
        <v>0</v>
      </c>
      <c r="AD492" s="70">
        <f>[1]Hoja1!AJ32</f>
        <v>0</v>
      </c>
      <c r="AE492" s="70">
        <f>[1]Hoja1!AK32</f>
        <v>0</v>
      </c>
      <c r="AF492" s="70">
        <f>[1]Hoja1!AL32</f>
        <v>0</v>
      </c>
      <c r="AG492" s="70">
        <f>[1]Hoja1!AM32</f>
        <v>0</v>
      </c>
      <c r="AH492" s="70">
        <f>[1]Hoja1!AN32</f>
        <v>0</v>
      </c>
      <c r="AI492" s="70">
        <f>[1]Hoja1!AO32</f>
        <v>0</v>
      </c>
      <c r="AJ492" s="70">
        <f>[1]Hoja1!AP32</f>
        <v>0</v>
      </c>
    </row>
    <row r="493" spans="1:36" x14ac:dyDescent="0.25">
      <c r="A493" t="str">
        <f>[1]Hoja1!A33</f>
        <v>INFICO</v>
      </c>
      <c r="B493" t="str">
        <f>[1]Hoja1!B33</f>
        <v>INF 01</v>
      </c>
      <c r="C493" t="str">
        <f>[1]Hoja1!D33</f>
        <v>AV. HUDSON Y CARIBONI</v>
      </c>
      <c r="D493" s="30">
        <f>[1]Hoja1!E33</f>
        <v>0</v>
      </c>
      <c r="E493" s="30" t="str">
        <f>[1]Hoja1!F33</f>
        <v>Fibra Optica</v>
      </c>
      <c r="F493" s="70">
        <f>[1]Hoja1!L33</f>
        <v>0</v>
      </c>
      <c r="G493" s="70">
        <f>[1]Hoja1!M33</f>
        <v>0</v>
      </c>
      <c r="H493" s="70">
        <f>[1]Hoja1!N33</f>
        <v>0</v>
      </c>
      <c r="I493" s="70">
        <f>[1]Hoja1!O33</f>
        <v>0</v>
      </c>
      <c r="J493" s="70">
        <f>[1]Hoja1!P33</f>
        <v>0</v>
      </c>
      <c r="K493" s="70">
        <f>[1]Hoja1!Q33</f>
        <v>0</v>
      </c>
      <c r="L493" s="70">
        <f>[1]Hoja1!R33</f>
        <v>0</v>
      </c>
      <c r="M493" s="70">
        <f>[1]Hoja1!S33</f>
        <v>0</v>
      </c>
      <c r="N493" s="70">
        <f>[1]Hoja1!T33</f>
        <v>0</v>
      </c>
      <c r="O493" s="70">
        <f>[1]Hoja1!U33</f>
        <v>0</v>
      </c>
      <c r="P493" s="70">
        <f>[1]Hoja1!V33</f>
        <v>0</v>
      </c>
      <c r="Q493" s="70">
        <f>[1]Hoja1!W33</f>
        <v>0</v>
      </c>
      <c r="R493" s="70">
        <f>[1]Hoja1!X33</f>
        <v>0</v>
      </c>
      <c r="S493" s="70">
        <f>[1]Hoja1!Y33</f>
        <v>0</v>
      </c>
      <c r="T493" s="70">
        <f>[1]Hoja1!Z33</f>
        <v>0</v>
      </c>
      <c r="U493" s="70">
        <f>[1]Hoja1!AA33</f>
        <v>0</v>
      </c>
      <c r="V493" s="70">
        <f>[1]Hoja1!AB33</f>
        <v>0</v>
      </c>
      <c r="W493" s="70">
        <f>[1]Hoja1!AC33</f>
        <v>0</v>
      </c>
      <c r="X493" s="70">
        <f>[1]Hoja1!AD33</f>
        <v>0</v>
      </c>
      <c r="Y493" s="70">
        <f>[1]Hoja1!AE33</f>
        <v>0</v>
      </c>
      <c r="Z493" s="70">
        <f>[1]Hoja1!AF33</f>
        <v>0</v>
      </c>
      <c r="AA493" s="70">
        <f>[1]Hoja1!AG33</f>
        <v>0</v>
      </c>
      <c r="AB493" s="70">
        <f>[1]Hoja1!AH33</f>
        <v>0</v>
      </c>
      <c r="AC493" s="70">
        <f>[1]Hoja1!AI33</f>
        <v>0</v>
      </c>
      <c r="AD493" s="70">
        <f>[1]Hoja1!AJ33</f>
        <v>0</v>
      </c>
      <c r="AE493" s="70">
        <f>[1]Hoja1!AK33</f>
        <v>0</v>
      </c>
      <c r="AF493" s="70">
        <f>[1]Hoja1!AL33</f>
        <v>0</v>
      </c>
      <c r="AG493" s="70">
        <f>[1]Hoja1!AM33</f>
        <v>0</v>
      </c>
      <c r="AH493" s="70">
        <f>[1]Hoja1!AN33</f>
        <v>0</v>
      </c>
      <c r="AI493" s="70">
        <f>[1]Hoja1!AO33</f>
        <v>0</v>
      </c>
      <c r="AJ493" s="70">
        <f>[1]Hoja1!AP33</f>
        <v>0</v>
      </c>
    </row>
    <row r="494" spans="1:36" x14ac:dyDescent="0.25">
      <c r="A494" t="str">
        <f>[1]Hoja1!A34</f>
        <v>LIBERTAD</v>
      </c>
      <c r="B494" t="str">
        <f>[1]Hoja1!B34</f>
        <v>LIBER 01</v>
      </c>
      <c r="C494" t="str">
        <f>[1]Hoja1!D34</f>
        <v>511 Y 574 FIJA 01</v>
      </c>
      <c r="D494" s="30" t="str">
        <f>[1]Hoja1!E34</f>
        <v>Fija</v>
      </c>
      <c r="E494" s="30" t="str">
        <f>[1]Hoja1!F34</f>
        <v>RADIO</v>
      </c>
      <c r="F494" s="70">
        <f>[1]Hoja1!L34</f>
        <v>0</v>
      </c>
      <c r="G494" s="70">
        <f>[1]Hoja1!M34</f>
        <v>0</v>
      </c>
      <c r="H494" s="70">
        <f>[1]Hoja1!N34</f>
        <v>0</v>
      </c>
      <c r="I494" s="70">
        <f>[1]Hoja1!O34</f>
        <v>0</v>
      </c>
      <c r="J494" s="70">
        <f>[1]Hoja1!P34</f>
        <v>0</v>
      </c>
      <c r="K494" s="70">
        <f>[1]Hoja1!Q34</f>
        <v>0</v>
      </c>
      <c r="L494" s="70">
        <f>[1]Hoja1!R34</f>
        <v>0</v>
      </c>
      <c r="M494" s="70">
        <f>[1]Hoja1!S34</f>
        <v>0</v>
      </c>
      <c r="N494" s="70">
        <f>[1]Hoja1!T34</f>
        <v>0</v>
      </c>
      <c r="O494" s="70">
        <f>[1]Hoja1!U34</f>
        <v>0</v>
      </c>
      <c r="P494" s="70">
        <f>[1]Hoja1!V34</f>
        <v>0</v>
      </c>
      <c r="Q494" s="70">
        <f>[1]Hoja1!W34</f>
        <v>0</v>
      </c>
      <c r="R494" s="70">
        <f>[1]Hoja1!X34</f>
        <v>0</v>
      </c>
      <c r="S494" s="70">
        <f>[1]Hoja1!Y34</f>
        <v>0</v>
      </c>
      <c r="T494" s="70">
        <f>[1]Hoja1!Z34</f>
        <v>0</v>
      </c>
      <c r="U494" s="70">
        <f>[1]Hoja1!AA34</f>
        <v>0</v>
      </c>
      <c r="V494" s="70">
        <f>[1]Hoja1!AB34</f>
        <v>0</v>
      </c>
      <c r="W494" s="70">
        <f>[1]Hoja1!AC34</f>
        <v>0</v>
      </c>
      <c r="X494" s="70">
        <f>[1]Hoja1!AD34</f>
        <v>0</v>
      </c>
      <c r="Y494" s="70">
        <f>[1]Hoja1!AE34</f>
        <v>0</v>
      </c>
      <c r="Z494" s="70">
        <f>[1]Hoja1!AF34</f>
        <v>0</v>
      </c>
      <c r="AA494" s="70">
        <f>[1]Hoja1!AG34</f>
        <v>0</v>
      </c>
      <c r="AB494" s="70">
        <f>[1]Hoja1!AH34</f>
        <v>0</v>
      </c>
      <c r="AC494" s="70">
        <f>[1]Hoja1!AI34</f>
        <v>0</v>
      </c>
      <c r="AD494" s="70">
        <f>[1]Hoja1!AJ34</f>
        <v>0</v>
      </c>
      <c r="AE494" s="70">
        <f>[1]Hoja1!AK34</f>
        <v>0</v>
      </c>
      <c r="AF494" s="70">
        <f>[1]Hoja1!AL34</f>
        <v>0</v>
      </c>
      <c r="AG494" s="70">
        <f>[1]Hoja1!AM34</f>
        <v>0</v>
      </c>
      <c r="AH494" s="70">
        <f>[1]Hoja1!AN34</f>
        <v>0</v>
      </c>
      <c r="AI494" s="70">
        <f>[1]Hoja1!AO34</f>
        <v>0</v>
      </c>
      <c r="AJ494" s="70">
        <f>[1]Hoja1!AP34</f>
        <v>0</v>
      </c>
    </row>
    <row r="495" spans="1:36" x14ac:dyDescent="0.25">
      <c r="A495" t="str">
        <f>[1]Hoja1!A35</f>
        <v>LIBERTAD</v>
      </c>
      <c r="B495" t="str">
        <f>[1]Hoja1!B35</f>
        <v>LIBER 02</v>
      </c>
      <c r="C495" t="str">
        <f>[1]Hoja1!D35</f>
        <v>511 Y 574 FIJA 02</v>
      </c>
      <c r="D495" s="30" t="str">
        <f>[1]Hoja1!E35</f>
        <v>Fija</v>
      </c>
      <c r="E495" s="30" t="str">
        <f>[1]Hoja1!F35</f>
        <v>Radio</v>
      </c>
      <c r="F495" s="70">
        <f>[1]Hoja1!L35</f>
        <v>0</v>
      </c>
      <c r="G495" s="70">
        <f>[1]Hoja1!M35</f>
        <v>0</v>
      </c>
      <c r="H495" s="70">
        <f>[1]Hoja1!N35</f>
        <v>0</v>
      </c>
      <c r="I495" s="70">
        <f>[1]Hoja1!O35</f>
        <v>0</v>
      </c>
      <c r="J495" s="70">
        <f>[1]Hoja1!P35</f>
        <v>0</v>
      </c>
      <c r="K495" s="70">
        <f>[1]Hoja1!Q35</f>
        <v>0</v>
      </c>
      <c r="L495" s="70">
        <f>[1]Hoja1!R35</f>
        <v>0</v>
      </c>
      <c r="M495" s="70">
        <f>[1]Hoja1!S35</f>
        <v>0</v>
      </c>
      <c r="N495" s="70">
        <f>[1]Hoja1!T35</f>
        <v>0</v>
      </c>
      <c r="O495" s="70">
        <f>[1]Hoja1!U35</f>
        <v>0</v>
      </c>
      <c r="P495" s="70">
        <f>[1]Hoja1!V35</f>
        <v>0</v>
      </c>
      <c r="Q495" s="70">
        <f>[1]Hoja1!W35</f>
        <v>0</v>
      </c>
      <c r="R495" s="70">
        <f>[1]Hoja1!X35</f>
        <v>0</v>
      </c>
      <c r="S495" s="70">
        <f>[1]Hoja1!Y35</f>
        <v>0</v>
      </c>
      <c r="T495" s="70">
        <f>[1]Hoja1!Z35</f>
        <v>0</v>
      </c>
      <c r="U495" s="70">
        <f>[1]Hoja1!AA35</f>
        <v>0</v>
      </c>
      <c r="V495" s="70">
        <f>[1]Hoja1!AB35</f>
        <v>0</v>
      </c>
      <c r="W495" s="70">
        <f>[1]Hoja1!AC35</f>
        <v>0</v>
      </c>
      <c r="X495" s="70">
        <f>[1]Hoja1!AD35</f>
        <v>0</v>
      </c>
      <c r="Y495" s="70">
        <f>[1]Hoja1!AE35</f>
        <v>0</v>
      </c>
      <c r="Z495" s="70">
        <f>[1]Hoja1!AF35</f>
        <v>0</v>
      </c>
      <c r="AA495" s="70">
        <f>[1]Hoja1!AG35</f>
        <v>0</v>
      </c>
      <c r="AB495" s="70">
        <f>[1]Hoja1!AH35</f>
        <v>0</v>
      </c>
      <c r="AC495" s="70">
        <f>[1]Hoja1!AI35</f>
        <v>0</v>
      </c>
      <c r="AD495" s="70">
        <f>[1]Hoja1!AJ35</f>
        <v>0</v>
      </c>
      <c r="AE495" s="70">
        <f>[1]Hoja1!AK35</f>
        <v>0</v>
      </c>
      <c r="AF495" s="70">
        <f>[1]Hoja1!AL35</f>
        <v>0</v>
      </c>
      <c r="AG495" s="70">
        <f>[1]Hoja1!AM35</f>
        <v>0</v>
      </c>
      <c r="AH495" s="70">
        <f>[1]Hoja1!AN35</f>
        <v>0</v>
      </c>
      <c r="AI495" s="70">
        <f>[1]Hoja1!AO35</f>
        <v>0</v>
      </c>
      <c r="AJ495" s="70">
        <f>[1]Hoja1!AP35</f>
        <v>0</v>
      </c>
    </row>
    <row r="496" spans="1:36" x14ac:dyDescent="0.25">
      <c r="A496" t="str">
        <f>[1]Hoja1!A36</f>
        <v>LOS PILARES</v>
      </c>
      <c r="B496" t="str">
        <f>[1]Hoja1!B36</f>
        <v>LPR 01</v>
      </c>
      <c r="C496" t="str">
        <f>[1]Hoja1!D36</f>
        <v>EVA PERON E/ CACHEUTA Y 1406</v>
      </c>
      <c r="D496" s="30" t="str">
        <f>[1]Hoja1!E36</f>
        <v>DOMO</v>
      </c>
      <c r="E496" s="30" t="str">
        <f>[1]Hoja1!F36</f>
        <v>Fibra Optica</v>
      </c>
      <c r="F496" s="70">
        <f>[1]Hoja1!L36</f>
        <v>0</v>
      </c>
      <c r="G496" s="70">
        <f>[1]Hoja1!M36</f>
        <v>0</v>
      </c>
      <c r="H496" s="70">
        <f>[1]Hoja1!N36</f>
        <v>0</v>
      </c>
      <c r="I496" s="70">
        <f>[1]Hoja1!O36</f>
        <v>0</v>
      </c>
      <c r="J496" s="70">
        <f>[1]Hoja1!P36</f>
        <v>0</v>
      </c>
      <c r="K496" s="70">
        <f>[1]Hoja1!Q36</f>
        <v>0</v>
      </c>
      <c r="L496" s="70">
        <f>[1]Hoja1!R36</f>
        <v>0</v>
      </c>
      <c r="M496" s="70">
        <f>[1]Hoja1!S36</f>
        <v>0</v>
      </c>
      <c r="N496" s="70">
        <f>[1]Hoja1!T36</f>
        <v>0</v>
      </c>
      <c r="O496" s="70">
        <f>[1]Hoja1!U36</f>
        <v>0</v>
      </c>
      <c r="P496" s="70">
        <f>[1]Hoja1!V36</f>
        <v>0</v>
      </c>
      <c r="Q496" s="70">
        <f>[1]Hoja1!W36</f>
        <v>0</v>
      </c>
      <c r="R496" s="70">
        <f>[1]Hoja1!X36</f>
        <v>0</v>
      </c>
      <c r="S496" s="70">
        <f>[1]Hoja1!Y36</f>
        <v>0</v>
      </c>
      <c r="T496" s="70">
        <f>[1]Hoja1!Z36</f>
        <v>0</v>
      </c>
      <c r="U496" s="70">
        <f>[1]Hoja1!AA36</f>
        <v>0</v>
      </c>
      <c r="V496" s="70">
        <f>[1]Hoja1!AB36</f>
        <v>0</v>
      </c>
      <c r="W496" s="70">
        <f>[1]Hoja1!AC36</f>
        <v>0</v>
      </c>
      <c r="X496" s="70">
        <f>[1]Hoja1!AD36</f>
        <v>0</v>
      </c>
      <c r="Y496" s="70">
        <f>[1]Hoja1!AE36</f>
        <v>0</v>
      </c>
      <c r="Z496" s="70">
        <f>[1]Hoja1!AF36</f>
        <v>0</v>
      </c>
      <c r="AA496" s="70">
        <f>[1]Hoja1!AG36</f>
        <v>0</v>
      </c>
      <c r="AB496" s="70">
        <f>[1]Hoja1!AH36</f>
        <v>0</v>
      </c>
      <c r="AC496" s="70">
        <f>[1]Hoja1!AI36</f>
        <v>0</v>
      </c>
      <c r="AD496" s="70">
        <f>[1]Hoja1!AJ36</f>
        <v>0</v>
      </c>
      <c r="AE496" s="70">
        <f>[1]Hoja1!AK36</f>
        <v>0</v>
      </c>
      <c r="AF496" s="70">
        <f>[1]Hoja1!AL36</f>
        <v>0</v>
      </c>
      <c r="AG496" s="70">
        <f>[1]Hoja1!AM36</f>
        <v>0</v>
      </c>
      <c r="AH496" s="70">
        <f>[1]Hoja1!AN36</f>
        <v>0</v>
      </c>
      <c r="AI496" s="70">
        <f>[1]Hoja1!AO36</f>
        <v>0</v>
      </c>
      <c r="AJ496" s="70">
        <f>[1]Hoja1!AP36</f>
        <v>0</v>
      </c>
    </row>
    <row r="497" spans="1:36" x14ac:dyDescent="0.25">
      <c r="A497" t="str">
        <f>[1]Hoja1!A37</f>
        <v>LOS PILARES</v>
      </c>
      <c r="B497" t="str">
        <f>[1]Hoja1!B37</f>
        <v>LPR02 (fija 1)</v>
      </c>
      <c r="C497" t="str">
        <f>[1]Hoja1!D37</f>
        <v>EVA PERON Y CACHEUTA</v>
      </c>
      <c r="D497" s="30" t="str">
        <f>[1]Hoja1!E37</f>
        <v>Fija</v>
      </c>
      <c r="E497" s="30" t="str">
        <f>[1]Hoja1!F37</f>
        <v>Fibra Optica</v>
      </c>
      <c r="F497" s="70">
        <f>[1]Hoja1!L37</f>
        <v>0</v>
      </c>
      <c r="G497" s="70">
        <f>[1]Hoja1!M37</f>
        <v>0</v>
      </c>
      <c r="H497" s="70">
        <f>[1]Hoja1!N37</f>
        <v>0</v>
      </c>
      <c r="I497" s="70">
        <f>[1]Hoja1!O37</f>
        <v>0</v>
      </c>
      <c r="J497" s="70">
        <f>[1]Hoja1!P37</f>
        <v>0</v>
      </c>
      <c r="K497" s="70">
        <f>[1]Hoja1!Q37</f>
        <v>0</v>
      </c>
      <c r="L497" s="70">
        <f>[1]Hoja1!R37</f>
        <v>0</v>
      </c>
      <c r="M497" s="70">
        <f>[1]Hoja1!S37</f>
        <v>0</v>
      </c>
      <c r="N497" s="70">
        <f>[1]Hoja1!T37</f>
        <v>0</v>
      </c>
      <c r="O497" s="70">
        <f>[1]Hoja1!U37</f>
        <v>0</v>
      </c>
      <c r="P497" s="70">
        <f>[1]Hoja1!V37</f>
        <v>0</v>
      </c>
      <c r="Q497" s="70">
        <f>[1]Hoja1!W37</f>
        <v>0</v>
      </c>
      <c r="R497" s="70">
        <f>[1]Hoja1!X37</f>
        <v>0</v>
      </c>
      <c r="S497" s="70">
        <f>[1]Hoja1!Y37</f>
        <v>0</v>
      </c>
      <c r="T497" s="70">
        <f>[1]Hoja1!Z37</f>
        <v>0</v>
      </c>
      <c r="U497" s="70">
        <f>[1]Hoja1!AA37</f>
        <v>0</v>
      </c>
      <c r="V497" s="70">
        <f>[1]Hoja1!AB37</f>
        <v>0</v>
      </c>
      <c r="W497" s="70">
        <f>[1]Hoja1!AC37</f>
        <v>0</v>
      </c>
      <c r="X497" s="70">
        <f>[1]Hoja1!AD37</f>
        <v>0</v>
      </c>
      <c r="Y497" s="70">
        <f>[1]Hoja1!AE37</f>
        <v>0</v>
      </c>
      <c r="Z497" s="70">
        <f>[1]Hoja1!AF37</f>
        <v>0</v>
      </c>
      <c r="AA497" s="70">
        <f>[1]Hoja1!AG37</f>
        <v>0</v>
      </c>
      <c r="AB497" s="70">
        <f>[1]Hoja1!AH37</f>
        <v>0</v>
      </c>
      <c r="AC497" s="70">
        <f>[1]Hoja1!AI37</f>
        <v>0</v>
      </c>
      <c r="AD497" s="70">
        <f>[1]Hoja1!AJ37</f>
        <v>0</v>
      </c>
      <c r="AE497" s="70">
        <f>[1]Hoja1!AK37</f>
        <v>0</v>
      </c>
      <c r="AF497" s="70">
        <f>[1]Hoja1!AL37</f>
        <v>0</v>
      </c>
      <c r="AG497" s="70">
        <f>[1]Hoja1!AM37</f>
        <v>0</v>
      </c>
      <c r="AH497" s="70">
        <f>[1]Hoja1!AN37</f>
        <v>0</v>
      </c>
      <c r="AI497" s="70">
        <f>[1]Hoja1!AO37</f>
        <v>0</v>
      </c>
      <c r="AJ497" s="70">
        <f>[1]Hoja1!AP37</f>
        <v>0</v>
      </c>
    </row>
    <row r="498" spans="1:36" x14ac:dyDescent="0.25">
      <c r="A498" t="str">
        <f>[1]Hoja1!A38</f>
        <v>LOS PILARES</v>
      </c>
      <c r="B498" t="str">
        <f>[1]Hoja1!B38</f>
        <v>LPR03 (fija 2)</v>
      </c>
      <c r="C498" t="str">
        <f>[1]Hoja1!D38</f>
        <v>EVA PERON Y CACHEUTA</v>
      </c>
      <c r="D498" s="30" t="str">
        <f>[1]Hoja1!E38</f>
        <v>Fija</v>
      </c>
      <c r="E498" s="30" t="str">
        <f>[1]Hoja1!F38</f>
        <v>Fibra Optica</v>
      </c>
      <c r="F498" s="70">
        <f>[1]Hoja1!L38</f>
        <v>0</v>
      </c>
      <c r="G498" s="70">
        <f>[1]Hoja1!M38</f>
        <v>0</v>
      </c>
      <c r="H498" s="70">
        <f>[1]Hoja1!N38</f>
        <v>0</v>
      </c>
      <c r="I498" s="70">
        <f>[1]Hoja1!O38</f>
        <v>0</v>
      </c>
      <c r="J498" s="70">
        <f>[1]Hoja1!P38</f>
        <v>0</v>
      </c>
      <c r="K498" s="70">
        <f>[1]Hoja1!Q38</f>
        <v>0</v>
      </c>
      <c r="L498" s="70">
        <f>[1]Hoja1!R38</f>
        <v>0</v>
      </c>
      <c r="M498" s="70">
        <f>[1]Hoja1!S38</f>
        <v>0</v>
      </c>
      <c r="N498" s="70">
        <f>[1]Hoja1!T38</f>
        <v>0</v>
      </c>
      <c r="O498" s="70">
        <f>[1]Hoja1!U38</f>
        <v>0</v>
      </c>
      <c r="P498" s="70">
        <f>[1]Hoja1!V38</f>
        <v>0</v>
      </c>
      <c r="Q498" s="70">
        <f>[1]Hoja1!W38</f>
        <v>0</v>
      </c>
      <c r="R498" s="70">
        <f>[1]Hoja1!X38</f>
        <v>0</v>
      </c>
      <c r="S498" s="70">
        <f>[1]Hoja1!Y38</f>
        <v>0</v>
      </c>
      <c r="T498" s="70">
        <f>[1]Hoja1!Z38</f>
        <v>0</v>
      </c>
      <c r="U498" s="70">
        <f>[1]Hoja1!AA38</f>
        <v>0</v>
      </c>
      <c r="V498" s="70">
        <f>[1]Hoja1!AB38</f>
        <v>0</v>
      </c>
      <c r="W498" s="70">
        <f>[1]Hoja1!AC38</f>
        <v>0</v>
      </c>
      <c r="X498" s="70">
        <f>[1]Hoja1!AD38</f>
        <v>0</v>
      </c>
      <c r="Y498" s="70">
        <f>[1]Hoja1!AE38</f>
        <v>0</v>
      </c>
      <c r="Z498" s="70">
        <f>[1]Hoja1!AF38</f>
        <v>0</v>
      </c>
      <c r="AA498" s="70">
        <f>[1]Hoja1!AG38</f>
        <v>0</v>
      </c>
      <c r="AB498" s="70">
        <f>[1]Hoja1!AH38</f>
        <v>0</v>
      </c>
      <c r="AC498" s="70">
        <f>[1]Hoja1!AI38</f>
        <v>0</v>
      </c>
      <c r="AD498" s="70">
        <f>[1]Hoja1!AJ38</f>
        <v>0</v>
      </c>
      <c r="AE498" s="70">
        <f>[1]Hoja1!AK38</f>
        <v>0</v>
      </c>
      <c r="AF498" s="70">
        <f>[1]Hoja1!AL38</f>
        <v>0</v>
      </c>
      <c r="AG498" s="70">
        <f>[1]Hoja1!AM38</f>
        <v>0</v>
      </c>
      <c r="AH498" s="70">
        <f>[1]Hoja1!AN38</f>
        <v>0</v>
      </c>
      <c r="AI498" s="70">
        <f>[1]Hoja1!AO38</f>
        <v>0</v>
      </c>
      <c r="AJ498" s="70">
        <f>[1]Hoja1!AP38</f>
        <v>0</v>
      </c>
    </row>
    <row r="499" spans="1:36" x14ac:dyDescent="0.25">
      <c r="A499" t="str">
        <f>[1]Hoja1!A39</f>
        <v>VILLA ARGENTINA</v>
      </c>
      <c r="B499" t="str">
        <f>[1]Hoja1!B39</f>
        <v>LUJ 02</v>
      </c>
      <c r="C499" t="str">
        <f>[1]Hoja1!D39</f>
        <v>DIAG. LOS TILOS Y 527</v>
      </c>
      <c r="D499" s="30" t="str">
        <f>[1]Hoja1!E39</f>
        <v>DOMO</v>
      </c>
      <c r="E499" s="30" t="str">
        <f>[1]Hoja1!F39</f>
        <v>PTO A FO</v>
      </c>
      <c r="F499" s="70">
        <f>[1]Hoja1!L39</f>
        <v>0</v>
      </c>
      <c r="G499" s="70">
        <f>[1]Hoja1!M39</f>
        <v>0</v>
      </c>
      <c r="H499" s="70">
        <f>[1]Hoja1!N39</f>
        <v>0</v>
      </c>
      <c r="I499" s="70">
        <f>[1]Hoja1!O39</f>
        <v>0</v>
      </c>
      <c r="J499" s="70">
        <f>[1]Hoja1!P39</f>
        <v>0</v>
      </c>
      <c r="K499" s="70">
        <f>[1]Hoja1!Q39</f>
        <v>0</v>
      </c>
      <c r="L499" s="70">
        <f>[1]Hoja1!R39</f>
        <v>0</v>
      </c>
      <c r="M499" s="70">
        <f>[1]Hoja1!S39</f>
        <v>0</v>
      </c>
      <c r="N499" s="70">
        <f>[1]Hoja1!T39</f>
        <v>0</v>
      </c>
      <c r="O499" s="70">
        <f>[1]Hoja1!U39</f>
        <v>0</v>
      </c>
      <c r="P499" s="70">
        <f>[1]Hoja1!V39</f>
        <v>0</v>
      </c>
      <c r="Q499" s="70">
        <f>[1]Hoja1!W39</f>
        <v>0</v>
      </c>
      <c r="R499" s="70">
        <f>[1]Hoja1!X39</f>
        <v>0</v>
      </c>
      <c r="S499" s="70">
        <f>[1]Hoja1!Y39</f>
        <v>0</v>
      </c>
      <c r="T499" s="70">
        <f>[1]Hoja1!Z39</f>
        <v>0</v>
      </c>
      <c r="U499" s="70">
        <f>[1]Hoja1!AA39</f>
        <v>0</v>
      </c>
      <c r="V499" s="70">
        <f>[1]Hoja1!AB39</f>
        <v>0</v>
      </c>
      <c r="W499" s="70">
        <f>[1]Hoja1!AC39</f>
        <v>0</v>
      </c>
      <c r="X499" s="70">
        <f>[1]Hoja1!AD39</f>
        <v>0</v>
      </c>
      <c r="Y499" s="70">
        <f>[1]Hoja1!AE39</f>
        <v>0</v>
      </c>
      <c r="Z499" s="70">
        <f>[1]Hoja1!AF39</f>
        <v>0</v>
      </c>
      <c r="AA499" s="70">
        <f>[1]Hoja1!AG39</f>
        <v>0</v>
      </c>
      <c r="AB499" s="70">
        <f>[1]Hoja1!AH39</f>
        <v>0</v>
      </c>
      <c r="AC499" s="70">
        <f>[1]Hoja1!AI39</f>
        <v>0</v>
      </c>
      <c r="AD499" s="70">
        <f>[1]Hoja1!AJ39</f>
        <v>0</v>
      </c>
      <c r="AE499" s="70">
        <f>[1]Hoja1!AK39</f>
        <v>0</v>
      </c>
      <c r="AF499" s="70">
        <f>[1]Hoja1!AL39</f>
        <v>0</v>
      </c>
      <c r="AG499" s="70">
        <f>[1]Hoja1!AM39</f>
        <v>0</v>
      </c>
      <c r="AH499" s="70">
        <f>[1]Hoja1!AN39</f>
        <v>0</v>
      </c>
      <c r="AI499" s="70">
        <f>[1]Hoja1!AO39</f>
        <v>0</v>
      </c>
      <c r="AJ499" s="70">
        <f>[1]Hoja1!AP39</f>
        <v>0</v>
      </c>
    </row>
    <row r="500" spans="1:36" x14ac:dyDescent="0.25">
      <c r="A500" t="str">
        <f>[1]Hoja1!A40</f>
        <v>PRESIDENTE PERON (PEPSI)</v>
      </c>
      <c r="B500" t="str">
        <f>[1]Hoja1!B40</f>
        <v>MAR 01</v>
      </c>
      <c r="C500" t="str">
        <f>[1]Hoja1!D40</f>
        <v>RP36 Y LA ESMERALDA</v>
      </c>
      <c r="D500" s="30" t="str">
        <f>[1]Hoja1!E40</f>
        <v>DOMO</v>
      </c>
      <c r="E500" s="30" t="str">
        <f>[1]Hoja1!F40</f>
        <v>PTO A FO</v>
      </c>
      <c r="F500" s="70">
        <f>[1]Hoja1!L40</f>
        <v>0</v>
      </c>
      <c r="G500" s="70">
        <f>[1]Hoja1!M40</f>
        <v>0</v>
      </c>
      <c r="H500" s="70">
        <f>[1]Hoja1!N40</f>
        <v>0</v>
      </c>
      <c r="I500" s="70">
        <f>[1]Hoja1!O40</f>
        <v>0</v>
      </c>
      <c r="J500" s="70">
        <f>[1]Hoja1!P40</f>
        <v>0</v>
      </c>
      <c r="K500" s="70">
        <f>[1]Hoja1!Q40</f>
        <v>0</v>
      </c>
      <c r="L500" s="70">
        <f>[1]Hoja1!R40</f>
        <v>0</v>
      </c>
      <c r="M500" s="70">
        <f>[1]Hoja1!S40</f>
        <v>0</v>
      </c>
      <c r="N500" s="70">
        <f>[1]Hoja1!T40</f>
        <v>0</v>
      </c>
      <c r="O500" s="70">
        <f>[1]Hoja1!U40</f>
        <v>0</v>
      </c>
      <c r="P500" s="70">
        <f>[1]Hoja1!V40</f>
        <v>0</v>
      </c>
      <c r="Q500" s="70">
        <f>[1]Hoja1!W40</f>
        <v>0</v>
      </c>
      <c r="R500" s="70">
        <f>[1]Hoja1!X40</f>
        <v>0</v>
      </c>
      <c r="S500" s="70">
        <f>[1]Hoja1!Y40</f>
        <v>0</v>
      </c>
      <c r="T500" s="70">
        <f>[1]Hoja1!Z40</f>
        <v>0</v>
      </c>
      <c r="U500" s="70">
        <f>[1]Hoja1!AA40</f>
        <v>0</v>
      </c>
      <c r="V500" s="70">
        <f>[1]Hoja1!AB40</f>
        <v>0</v>
      </c>
      <c r="W500" s="70">
        <f>[1]Hoja1!AC40</f>
        <v>0</v>
      </c>
      <c r="X500" s="70">
        <f>[1]Hoja1!AD40</f>
        <v>0</v>
      </c>
      <c r="Y500" s="70">
        <f>[1]Hoja1!AE40</f>
        <v>0</v>
      </c>
      <c r="Z500" s="70">
        <f>[1]Hoja1!AF40</f>
        <v>0</v>
      </c>
      <c r="AA500" s="70">
        <f>[1]Hoja1!AG40</f>
        <v>0</v>
      </c>
      <c r="AB500" s="70">
        <f>[1]Hoja1!AH40</f>
        <v>0</v>
      </c>
      <c r="AC500" s="70">
        <f>[1]Hoja1!AI40</f>
        <v>0</v>
      </c>
      <c r="AD500" s="70">
        <f>[1]Hoja1!AJ40</f>
        <v>0</v>
      </c>
      <c r="AE500" s="70">
        <f>[1]Hoja1!AK40</f>
        <v>0</v>
      </c>
      <c r="AF500" s="70">
        <f>[1]Hoja1!AL40</f>
        <v>0</v>
      </c>
      <c r="AG500" s="70">
        <f>[1]Hoja1!AM40</f>
        <v>0</v>
      </c>
      <c r="AH500" s="70">
        <f>[1]Hoja1!AN40</f>
        <v>0</v>
      </c>
      <c r="AI500" s="70">
        <f>[1]Hoja1!AO40</f>
        <v>0</v>
      </c>
      <c r="AJ500" s="70">
        <f>[1]Hoja1!AP40</f>
        <v>0</v>
      </c>
    </row>
    <row r="501" spans="1:36" x14ac:dyDescent="0.25">
      <c r="A501" t="str">
        <f>[1]Hoja1!A41</f>
        <v>MAYOL</v>
      </c>
      <c r="B501" t="str">
        <f>[1]Hoja1!B41</f>
        <v>MAY 01</v>
      </c>
      <c r="C501" t="str">
        <f>[1]Hoja1!D41</f>
        <v>Eva Peron y Cabildo</v>
      </c>
      <c r="D501" s="30" t="str">
        <f>[1]Hoja1!E41</f>
        <v>Domo</v>
      </c>
      <c r="E501" s="30" t="str">
        <f>[1]Hoja1!F41</f>
        <v>Fibra Optica</v>
      </c>
      <c r="F501" s="70">
        <f>[1]Hoja1!L41</f>
        <v>0</v>
      </c>
      <c r="G501" s="70">
        <f>[1]Hoja1!M41</f>
        <v>0</v>
      </c>
      <c r="H501" s="70">
        <f>[1]Hoja1!N41</f>
        <v>0</v>
      </c>
      <c r="I501" s="70">
        <f>[1]Hoja1!O41</f>
        <v>0</v>
      </c>
      <c r="J501" s="70">
        <f>[1]Hoja1!P41</f>
        <v>0</v>
      </c>
      <c r="K501" s="70">
        <f>[1]Hoja1!Q41</f>
        <v>0</v>
      </c>
      <c r="L501" s="70">
        <f>[1]Hoja1!R41</f>
        <v>0</v>
      </c>
      <c r="M501" s="70">
        <f>[1]Hoja1!S41</f>
        <v>0</v>
      </c>
      <c r="N501" s="70">
        <f>[1]Hoja1!T41</f>
        <v>0</v>
      </c>
      <c r="O501" s="70">
        <f>[1]Hoja1!U41</f>
        <v>0</v>
      </c>
      <c r="P501" s="70">
        <f>[1]Hoja1!V41</f>
        <v>0</v>
      </c>
      <c r="Q501" s="70">
        <f>[1]Hoja1!W41</f>
        <v>0</v>
      </c>
      <c r="R501" s="70">
        <f>[1]Hoja1!X41</f>
        <v>0</v>
      </c>
      <c r="S501" s="70">
        <f>[1]Hoja1!Y41</f>
        <v>0</v>
      </c>
      <c r="T501" s="70">
        <f>[1]Hoja1!Z41</f>
        <v>0</v>
      </c>
      <c r="U501" s="70">
        <f>[1]Hoja1!AA41</f>
        <v>0</v>
      </c>
      <c r="V501" s="70">
        <f>[1]Hoja1!AB41</f>
        <v>0</v>
      </c>
      <c r="W501" s="70">
        <f>[1]Hoja1!AC41</f>
        <v>0</v>
      </c>
      <c r="X501" s="70">
        <f>[1]Hoja1!AD41</f>
        <v>0</v>
      </c>
      <c r="Y501" s="70">
        <f>[1]Hoja1!AE41</f>
        <v>0</v>
      </c>
      <c r="Z501" s="70">
        <f>[1]Hoja1!AF41</f>
        <v>0</v>
      </c>
      <c r="AA501" s="70">
        <f>[1]Hoja1!AG41</f>
        <v>0</v>
      </c>
      <c r="AB501" s="70">
        <f>[1]Hoja1!AH41</f>
        <v>0</v>
      </c>
      <c r="AC501" s="70">
        <f>[1]Hoja1!AI41</f>
        <v>0</v>
      </c>
      <c r="AD501" s="70">
        <f>[1]Hoja1!AJ41</f>
        <v>0</v>
      </c>
      <c r="AE501" s="70">
        <f>[1]Hoja1!AK41</f>
        <v>0</v>
      </c>
      <c r="AF501" s="70">
        <f>[1]Hoja1!AL41</f>
        <v>0</v>
      </c>
      <c r="AG501" s="70">
        <f>[1]Hoja1!AM41</f>
        <v>0</v>
      </c>
      <c r="AH501" s="70">
        <f>[1]Hoja1!AN41</f>
        <v>0</v>
      </c>
      <c r="AI501" s="70">
        <f>[1]Hoja1!AO41</f>
        <v>0</v>
      </c>
      <c r="AJ501" s="70">
        <f>[1]Hoja1!AP41</f>
        <v>0</v>
      </c>
    </row>
    <row r="502" spans="1:36" x14ac:dyDescent="0.25">
      <c r="A502" t="str">
        <f>[1]Hoja1!A42</f>
        <v>MAYOL</v>
      </c>
      <c r="B502" t="str">
        <f>[1]Hoja1!B42</f>
        <v>MAY 03</v>
      </c>
      <c r="C502" t="str">
        <f>[1]Hoja1!D42</f>
        <v>CHAÑAR Y SAN NICOLAS</v>
      </c>
      <c r="D502" s="30" t="str">
        <f>[1]Hoja1!E42</f>
        <v>DOMO</v>
      </c>
      <c r="E502" s="30" t="str">
        <f>[1]Hoja1!F42</f>
        <v>PTO A FO</v>
      </c>
      <c r="F502" s="70">
        <f>[1]Hoja1!L42</f>
        <v>0</v>
      </c>
      <c r="G502" s="70">
        <f>[1]Hoja1!M42</f>
        <v>0</v>
      </c>
      <c r="H502" s="70">
        <f>[1]Hoja1!N42</f>
        <v>0</v>
      </c>
      <c r="I502" s="70">
        <f>[1]Hoja1!O42</f>
        <v>0</v>
      </c>
      <c r="J502" s="70">
        <f>[1]Hoja1!P42</f>
        <v>0</v>
      </c>
      <c r="K502" s="70">
        <f>[1]Hoja1!Q42</f>
        <v>0</v>
      </c>
      <c r="L502" s="70">
        <f>[1]Hoja1!R42</f>
        <v>0</v>
      </c>
      <c r="M502" s="70">
        <f>[1]Hoja1!S42</f>
        <v>0</v>
      </c>
      <c r="N502" s="70">
        <f>[1]Hoja1!T42</f>
        <v>0</v>
      </c>
      <c r="O502" s="70">
        <f>[1]Hoja1!U42</f>
        <v>0</v>
      </c>
      <c r="P502" s="70">
        <f>[1]Hoja1!V42</f>
        <v>0</v>
      </c>
      <c r="Q502" s="70">
        <f>[1]Hoja1!W42</f>
        <v>0</v>
      </c>
      <c r="R502" s="70">
        <f>[1]Hoja1!X42</f>
        <v>0</v>
      </c>
      <c r="S502" s="70">
        <f>[1]Hoja1!Y42</f>
        <v>0</v>
      </c>
      <c r="T502" s="70">
        <f>[1]Hoja1!Z42</f>
        <v>0</v>
      </c>
      <c r="U502" s="70">
        <f>[1]Hoja1!AA42</f>
        <v>0</v>
      </c>
      <c r="V502" s="70">
        <f>[1]Hoja1!AB42</f>
        <v>0</v>
      </c>
      <c r="W502" s="70">
        <f>[1]Hoja1!AC42</f>
        <v>0</v>
      </c>
      <c r="X502" s="70">
        <f>[1]Hoja1!AD42</f>
        <v>0</v>
      </c>
      <c r="Y502" s="70">
        <f>[1]Hoja1!AE42</f>
        <v>0</v>
      </c>
      <c r="Z502" s="70">
        <f>[1]Hoja1!AF42</f>
        <v>0</v>
      </c>
      <c r="AA502" s="70">
        <f>[1]Hoja1!AG42</f>
        <v>0</v>
      </c>
      <c r="AB502" s="70">
        <f>[1]Hoja1!AH42</f>
        <v>0</v>
      </c>
      <c r="AC502" s="70">
        <f>[1]Hoja1!AI42</f>
        <v>0</v>
      </c>
      <c r="AD502" s="70">
        <f>[1]Hoja1!AJ42</f>
        <v>0</v>
      </c>
      <c r="AE502" s="70">
        <f>[1]Hoja1!AK42</f>
        <v>0</v>
      </c>
      <c r="AF502" s="70">
        <f>[1]Hoja1!AL42</f>
        <v>0</v>
      </c>
      <c r="AG502" s="70">
        <f>[1]Hoja1!AM42</f>
        <v>0</v>
      </c>
      <c r="AH502" s="70">
        <f>[1]Hoja1!AN42</f>
        <v>0</v>
      </c>
      <c r="AI502" s="70">
        <f>[1]Hoja1!AO42</f>
        <v>0</v>
      </c>
      <c r="AJ502" s="70">
        <f>[1]Hoja1!AP42</f>
        <v>0</v>
      </c>
    </row>
    <row r="503" spans="1:36" x14ac:dyDescent="0.25">
      <c r="A503" t="str">
        <f>[1]Hoja1!A43</f>
        <v>EL PARQUE</v>
      </c>
      <c r="B503" t="str">
        <f>[1]Hoja1!B43</f>
        <v>PUNTO SEGURO - EL PARQUE (domo)</v>
      </c>
      <c r="C503" t="str">
        <f>[1]Hoja1!D43</f>
        <v>CALLE 1282 Y 1201</v>
      </c>
      <c r="D503" s="30" t="str">
        <f>[1]Hoja1!E43</f>
        <v>DOMO</v>
      </c>
      <c r="E503" s="30" t="str">
        <f>[1]Hoja1!F43</f>
        <v>Fibra Optica</v>
      </c>
      <c r="F503" s="70">
        <f>[1]Hoja1!L43</f>
        <v>0</v>
      </c>
      <c r="G503" s="70">
        <f>[1]Hoja1!M43</f>
        <v>0</v>
      </c>
      <c r="H503" s="70">
        <f>[1]Hoja1!N43</f>
        <v>0</v>
      </c>
      <c r="I503" s="70">
        <f>[1]Hoja1!O43</f>
        <v>0</v>
      </c>
      <c r="J503" s="70">
        <f>[1]Hoja1!P43</f>
        <v>0</v>
      </c>
      <c r="K503" s="70">
        <f>[1]Hoja1!Q43</f>
        <v>0</v>
      </c>
      <c r="L503" s="70">
        <f>[1]Hoja1!R43</f>
        <v>0</v>
      </c>
      <c r="M503" s="70">
        <f>[1]Hoja1!S43</f>
        <v>0</v>
      </c>
      <c r="N503" s="70">
        <f>[1]Hoja1!T43</f>
        <v>0</v>
      </c>
      <c r="O503" s="70">
        <f>[1]Hoja1!U43</f>
        <v>0</v>
      </c>
      <c r="P503" s="70">
        <f>[1]Hoja1!V43</f>
        <v>0</v>
      </c>
      <c r="Q503" s="70">
        <f>[1]Hoja1!W43</f>
        <v>0</v>
      </c>
      <c r="R503" s="70">
        <f>[1]Hoja1!X43</f>
        <v>0</v>
      </c>
      <c r="S503" s="70">
        <f>[1]Hoja1!Y43</f>
        <v>0</v>
      </c>
      <c r="T503" s="70">
        <f>[1]Hoja1!Z43</f>
        <v>0</v>
      </c>
      <c r="U503" s="70">
        <f>[1]Hoja1!AA43</f>
        <v>0</v>
      </c>
      <c r="V503" s="70">
        <f>[1]Hoja1!AB43</f>
        <v>0</v>
      </c>
      <c r="W503" s="70">
        <f>[1]Hoja1!AC43</f>
        <v>0</v>
      </c>
      <c r="X503" s="70">
        <f>[1]Hoja1!AD43</f>
        <v>0</v>
      </c>
      <c r="Y503" s="70">
        <f>[1]Hoja1!AE43</f>
        <v>0</v>
      </c>
      <c r="Z503" s="70">
        <f>[1]Hoja1!AF43</f>
        <v>0</v>
      </c>
      <c r="AA503" s="70">
        <f>[1]Hoja1!AG43</f>
        <v>0</v>
      </c>
      <c r="AB503" s="70">
        <f>[1]Hoja1!AH43</f>
        <v>0</v>
      </c>
      <c r="AC503" s="70">
        <f>[1]Hoja1!AI43</f>
        <v>0</v>
      </c>
      <c r="AD503" s="70">
        <f>[1]Hoja1!AJ43</f>
        <v>0</v>
      </c>
      <c r="AE503" s="70">
        <f>[1]Hoja1!AK43</f>
        <v>0</v>
      </c>
      <c r="AF503" s="70">
        <f>[1]Hoja1!AL43</f>
        <v>0</v>
      </c>
      <c r="AG503" s="70">
        <f>[1]Hoja1!AM43</f>
        <v>0</v>
      </c>
      <c r="AH503" s="70">
        <f>[1]Hoja1!AN43</f>
        <v>0</v>
      </c>
      <c r="AI503" s="70">
        <f>[1]Hoja1!AO43</f>
        <v>0</v>
      </c>
      <c r="AJ503" s="70">
        <f>[1]Hoja1!AP43</f>
        <v>0</v>
      </c>
    </row>
    <row r="504" spans="1:36" x14ac:dyDescent="0.25">
      <c r="A504" t="str">
        <f>[1]Hoja1!A44</f>
        <v>SAN JORGE</v>
      </c>
      <c r="B504" t="str">
        <f>[1]Hoja1!B44</f>
        <v>Punto Seguro - San Jorge (Fija)</v>
      </c>
      <c r="C504" t="str">
        <f>[1]Hoja1!D44</f>
        <v>CALLE 523 E/ 554 Y 556</v>
      </c>
      <c r="D504" s="30" t="str">
        <f>[1]Hoja1!E44</f>
        <v>Fija</v>
      </c>
      <c r="E504" s="30" t="str">
        <f>[1]Hoja1!F44</f>
        <v>Fibra Optica</v>
      </c>
      <c r="F504" s="70">
        <f>[1]Hoja1!L44</f>
        <v>0</v>
      </c>
      <c r="G504" s="70">
        <f>[1]Hoja1!M44</f>
        <v>0</v>
      </c>
      <c r="H504" s="70">
        <f>[1]Hoja1!N44</f>
        <v>0</v>
      </c>
      <c r="I504" s="70">
        <f>[1]Hoja1!O44</f>
        <v>0</v>
      </c>
      <c r="J504" s="70">
        <f>[1]Hoja1!P44</f>
        <v>0</v>
      </c>
      <c r="K504" s="70">
        <f>[1]Hoja1!Q44</f>
        <v>0</v>
      </c>
      <c r="L504" s="70">
        <f>[1]Hoja1!R44</f>
        <v>0</v>
      </c>
      <c r="M504" s="70">
        <f>[1]Hoja1!S44</f>
        <v>0</v>
      </c>
      <c r="N504" s="70">
        <f>[1]Hoja1!T44</f>
        <v>0</v>
      </c>
      <c r="O504" s="70">
        <f>[1]Hoja1!U44</f>
        <v>0</v>
      </c>
      <c r="P504" s="70">
        <f>[1]Hoja1!V44</f>
        <v>0</v>
      </c>
      <c r="Q504" s="70">
        <f>[1]Hoja1!W44</f>
        <v>0</v>
      </c>
      <c r="R504" s="70">
        <f>[1]Hoja1!X44</f>
        <v>0</v>
      </c>
      <c r="S504" s="70">
        <f>[1]Hoja1!Y44</f>
        <v>0</v>
      </c>
      <c r="T504" s="70">
        <f>[1]Hoja1!Z44</f>
        <v>0</v>
      </c>
      <c r="U504" s="70">
        <f>[1]Hoja1!AA44</f>
        <v>0</v>
      </c>
      <c r="V504" s="70">
        <f>[1]Hoja1!AB44</f>
        <v>0</v>
      </c>
      <c r="W504" s="70">
        <f>[1]Hoja1!AC44</f>
        <v>0</v>
      </c>
      <c r="X504" s="70">
        <f>[1]Hoja1!AD44</f>
        <v>0</v>
      </c>
      <c r="Y504" s="70">
        <f>[1]Hoja1!AE44</f>
        <v>0</v>
      </c>
      <c r="Z504" s="70">
        <f>[1]Hoja1!AF44</f>
        <v>0</v>
      </c>
      <c r="AA504" s="70">
        <f>[1]Hoja1!AG44</f>
        <v>0</v>
      </c>
      <c r="AB504" s="70">
        <f>[1]Hoja1!AH44</f>
        <v>0</v>
      </c>
      <c r="AC504" s="70">
        <f>[1]Hoja1!AI44</f>
        <v>0</v>
      </c>
      <c r="AD504" s="70">
        <f>[1]Hoja1!AJ44</f>
        <v>0</v>
      </c>
      <c r="AE504" s="70">
        <f>[1]Hoja1!AK44</f>
        <v>0</v>
      </c>
      <c r="AF504" s="70">
        <f>[1]Hoja1!AL44</f>
        <v>0</v>
      </c>
      <c r="AG504" s="70">
        <f>[1]Hoja1!AM44</f>
        <v>0</v>
      </c>
      <c r="AH504" s="70">
        <f>[1]Hoja1!AN44</f>
        <v>0</v>
      </c>
      <c r="AI504" s="70">
        <f>[1]Hoja1!AO44</f>
        <v>0</v>
      </c>
      <c r="AJ504" s="70">
        <f>[1]Hoja1!AP44</f>
        <v>0</v>
      </c>
    </row>
    <row r="505" spans="1:36" x14ac:dyDescent="0.25">
      <c r="A505" t="str">
        <f>[1]Hoja1!A45</f>
        <v>ZONA RURAL SANTA ROSA</v>
      </c>
      <c r="B505" t="str">
        <f>[1]Hoja1!B45</f>
        <v>PUNTO SEGURO - SANTA ROSA (domo)</v>
      </c>
      <c r="C505" t="str">
        <f>[1]Hoja1!D45</f>
        <v>BRUSELAS Y SICILIA</v>
      </c>
      <c r="D505" s="30" t="str">
        <f>[1]Hoja1!E45</f>
        <v>DOMO</v>
      </c>
      <c r="E505" s="30" t="str">
        <f>[1]Hoja1!F45</f>
        <v>Fibra Optica</v>
      </c>
      <c r="F505" s="70">
        <f>[1]Hoja1!L45</f>
        <v>0</v>
      </c>
      <c r="G505" s="70">
        <f>[1]Hoja1!M45</f>
        <v>0</v>
      </c>
      <c r="H505" s="70">
        <f>[1]Hoja1!N45</f>
        <v>0</v>
      </c>
      <c r="I505" s="70">
        <f>[1]Hoja1!O45</f>
        <v>0</v>
      </c>
      <c r="J505" s="70">
        <f>[1]Hoja1!P45</f>
        <v>0</v>
      </c>
      <c r="K505" s="70">
        <f>[1]Hoja1!Q45</f>
        <v>0</v>
      </c>
      <c r="L505" s="70">
        <f>[1]Hoja1!R45</f>
        <v>0</v>
      </c>
      <c r="M505" s="70">
        <f>[1]Hoja1!S45</f>
        <v>0</v>
      </c>
      <c r="N505" s="70">
        <f>[1]Hoja1!T45</f>
        <v>0</v>
      </c>
      <c r="O505" s="70">
        <f>[1]Hoja1!U45</f>
        <v>0</v>
      </c>
      <c r="P505" s="70">
        <f>[1]Hoja1!V45</f>
        <v>0</v>
      </c>
      <c r="Q505" s="70">
        <f>[1]Hoja1!W45</f>
        <v>0</v>
      </c>
      <c r="R505" s="70">
        <f>[1]Hoja1!X45</f>
        <v>0</v>
      </c>
      <c r="S505" s="70">
        <f>[1]Hoja1!Y45</f>
        <v>0</v>
      </c>
      <c r="T505" s="70">
        <f>[1]Hoja1!Z45</f>
        <v>0</v>
      </c>
      <c r="U505" s="70">
        <f>[1]Hoja1!AA45</f>
        <v>0</v>
      </c>
      <c r="V505" s="70">
        <f>[1]Hoja1!AB45</f>
        <v>0</v>
      </c>
      <c r="W505" s="70">
        <f>[1]Hoja1!AC45</f>
        <v>0</v>
      </c>
      <c r="X505" s="70">
        <f>[1]Hoja1!AD45</f>
        <v>0</v>
      </c>
      <c r="Y505" s="70">
        <f>[1]Hoja1!AE45</f>
        <v>0</v>
      </c>
      <c r="Z505" s="70">
        <f>[1]Hoja1!AF45</f>
        <v>0</v>
      </c>
      <c r="AA505" s="70">
        <f>[1]Hoja1!AG45</f>
        <v>0</v>
      </c>
      <c r="AB505" s="70">
        <f>[1]Hoja1!AH45</f>
        <v>0</v>
      </c>
      <c r="AC505" s="70">
        <f>[1]Hoja1!AI45</f>
        <v>0</v>
      </c>
      <c r="AD505" s="70">
        <f>[1]Hoja1!AJ45</f>
        <v>0</v>
      </c>
      <c r="AE505" s="70">
        <f>[1]Hoja1!AK45</f>
        <v>0</v>
      </c>
      <c r="AF505" s="70">
        <f>[1]Hoja1!AL45</f>
        <v>0</v>
      </c>
      <c r="AG505" s="70">
        <f>[1]Hoja1!AM45</f>
        <v>0</v>
      </c>
      <c r="AH505" s="70">
        <f>[1]Hoja1!AN45</f>
        <v>0</v>
      </c>
      <c r="AI505" s="70">
        <f>[1]Hoja1!AO45</f>
        <v>0</v>
      </c>
      <c r="AJ505" s="70">
        <f>[1]Hoja1!AP45</f>
        <v>0</v>
      </c>
    </row>
    <row r="506" spans="1:36" x14ac:dyDescent="0.25">
      <c r="A506" t="str">
        <f>[1]Hoja1!A46</f>
        <v>RICARDO ROJAS</v>
      </c>
      <c r="B506" t="str">
        <f>[1]Hoja1!B46</f>
        <v>RRJ 14</v>
      </c>
      <c r="C506" t="str">
        <f>[1]Hoja1!D46</f>
        <v> Constancio Vigil y Ruta 36 Domo</v>
      </c>
      <c r="D506" s="30" t="str">
        <f>[1]Hoja1!E46</f>
        <v>DOMO</v>
      </c>
      <c r="E506" s="30" t="str">
        <f>[1]Hoja1!F46</f>
        <v>PTO A FO</v>
      </c>
      <c r="F506" s="70">
        <f>[1]Hoja1!L46</f>
        <v>0</v>
      </c>
      <c r="G506" s="70">
        <f>[1]Hoja1!M46</f>
        <v>0</v>
      </c>
      <c r="H506" s="70">
        <f>[1]Hoja1!N46</f>
        <v>0</v>
      </c>
      <c r="I506" s="70">
        <f>[1]Hoja1!O46</f>
        <v>0</v>
      </c>
      <c r="J506" s="70">
        <f>[1]Hoja1!P46</f>
        <v>0</v>
      </c>
      <c r="K506" s="70">
        <f>[1]Hoja1!Q46</f>
        <v>0</v>
      </c>
      <c r="L506" s="70">
        <f>[1]Hoja1!R46</f>
        <v>0</v>
      </c>
      <c r="M506" s="70">
        <f>[1]Hoja1!S46</f>
        <v>0</v>
      </c>
      <c r="N506" s="70">
        <f>[1]Hoja1!T46</f>
        <v>0</v>
      </c>
      <c r="O506" s="70">
        <f>[1]Hoja1!U46</f>
        <v>0</v>
      </c>
      <c r="P506" s="70">
        <f>[1]Hoja1!V46</f>
        <v>0</v>
      </c>
      <c r="Q506" s="70">
        <f>[1]Hoja1!W46</f>
        <v>0</v>
      </c>
      <c r="R506" s="70">
        <f>[1]Hoja1!X46</f>
        <v>0</v>
      </c>
      <c r="S506" s="70">
        <f>[1]Hoja1!Y46</f>
        <v>0</v>
      </c>
      <c r="T506" s="70">
        <f>[1]Hoja1!Z46</f>
        <v>0</v>
      </c>
      <c r="U506" s="70">
        <f>[1]Hoja1!AA46</f>
        <v>0</v>
      </c>
      <c r="V506" s="70">
        <f>[1]Hoja1!AB46</f>
        <v>0</v>
      </c>
      <c r="W506" s="70">
        <f>[1]Hoja1!AC46</f>
        <v>0</v>
      </c>
      <c r="X506" s="70">
        <f>[1]Hoja1!AD46</f>
        <v>0</v>
      </c>
      <c r="Y506" s="70">
        <f>[1]Hoja1!AE46</f>
        <v>0</v>
      </c>
      <c r="Z506" s="70">
        <f>[1]Hoja1!AF46</f>
        <v>0</v>
      </c>
      <c r="AA506" s="70">
        <f>[1]Hoja1!AG46</f>
        <v>0</v>
      </c>
      <c r="AB506" s="70">
        <f>[1]Hoja1!AH46</f>
        <v>0</v>
      </c>
      <c r="AC506" s="70">
        <f>[1]Hoja1!AI46</f>
        <v>0</v>
      </c>
      <c r="AD506" s="70">
        <f>[1]Hoja1!AJ46</f>
        <v>0</v>
      </c>
      <c r="AE506" s="70">
        <f>[1]Hoja1!AK46</f>
        <v>0</v>
      </c>
      <c r="AF506" s="70">
        <f>[1]Hoja1!AL46</f>
        <v>0</v>
      </c>
      <c r="AG506" s="70">
        <f>[1]Hoja1!AM46</f>
        <v>0</v>
      </c>
      <c r="AH506" s="70">
        <f>[1]Hoja1!AN46</f>
        <v>0</v>
      </c>
      <c r="AI506" s="70">
        <f>[1]Hoja1!AO46</f>
        <v>0</v>
      </c>
      <c r="AJ506" s="70">
        <f>[1]Hoja1!AP46</f>
        <v>0</v>
      </c>
    </row>
    <row r="507" spans="1:36" x14ac:dyDescent="0.25">
      <c r="A507" t="str">
        <f>[1]Hoja1!A47</f>
        <v>RICARDO ROJAS</v>
      </c>
      <c r="B507" t="str">
        <f>[1]Hoja1!B47</f>
        <v>RRJ 15</v>
      </c>
      <c r="C507" t="str">
        <f>[1]Hoja1!D47</f>
        <v>Constancio Vigil y Ruta 36 fija</v>
      </c>
      <c r="D507" s="30" t="str">
        <f>[1]Hoja1!E47</f>
        <v>Fija</v>
      </c>
      <c r="E507" s="30" t="str">
        <f>[1]Hoja1!F47</f>
        <v>PTO A FO</v>
      </c>
      <c r="F507" s="70">
        <f>[1]Hoja1!L47</f>
        <v>0</v>
      </c>
      <c r="G507" s="70">
        <f>[1]Hoja1!M47</f>
        <v>0</v>
      </c>
      <c r="H507" s="70">
        <f>[1]Hoja1!N47</f>
        <v>0</v>
      </c>
      <c r="I507" s="70">
        <f>[1]Hoja1!O47</f>
        <v>0</v>
      </c>
      <c r="J507" s="70">
        <f>[1]Hoja1!P47</f>
        <v>0</v>
      </c>
      <c r="K507" s="70">
        <f>[1]Hoja1!Q47</f>
        <v>0</v>
      </c>
      <c r="L507" s="70">
        <f>[1]Hoja1!R47</f>
        <v>0</v>
      </c>
      <c r="M507" s="70">
        <f>[1]Hoja1!S47</f>
        <v>0</v>
      </c>
      <c r="N507" s="70">
        <f>[1]Hoja1!T47</f>
        <v>0</v>
      </c>
      <c r="O507" s="70">
        <f>[1]Hoja1!U47</f>
        <v>0</v>
      </c>
      <c r="P507" s="70">
        <f>[1]Hoja1!V47</f>
        <v>0</v>
      </c>
      <c r="Q507" s="70">
        <f>[1]Hoja1!W47</f>
        <v>0</v>
      </c>
      <c r="R507" s="70">
        <f>[1]Hoja1!X47</f>
        <v>0</v>
      </c>
      <c r="S507" s="70">
        <f>[1]Hoja1!Y47</f>
        <v>0</v>
      </c>
      <c r="T507" s="70">
        <f>[1]Hoja1!Z47</f>
        <v>0</v>
      </c>
      <c r="U507" s="70">
        <f>[1]Hoja1!AA47</f>
        <v>0</v>
      </c>
      <c r="V507" s="70">
        <f>[1]Hoja1!AB47</f>
        <v>0</v>
      </c>
      <c r="W507" s="70">
        <f>[1]Hoja1!AC47</f>
        <v>0</v>
      </c>
      <c r="X507" s="70">
        <f>[1]Hoja1!AD47</f>
        <v>0</v>
      </c>
      <c r="Y507" s="70">
        <f>[1]Hoja1!AE47</f>
        <v>0</v>
      </c>
      <c r="Z507" s="70">
        <f>[1]Hoja1!AF47</f>
        <v>0</v>
      </c>
      <c r="AA507" s="70">
        <f>[1]Hoja1!AG47</f>
        <v>0</v>
      </c>
      <c r="AB507" s="70">
        <f>[1]Hoja1!AH47</f>
        <v>0</v>
      </c>
      <c r="AC507" s="70">
        <f>[1]Hoja1!AI47</f>
        <v>0</v>
      </c>
      <c r="AD507" s="70">
        <f>[1]Hoja1!AJ47</f>
        <v>0</v>
      </c>
      <c r="AE507" s="70">
        <f>[1]Hoja1!AK47</f>
        <v>0</v>
      </c>
      <c r="AF507" s="70">
        <f>[1]Hoja1!AL47</f>
        <v>0</v>
      </c>
      <c r="AG507" s="70">
        <f>[1]Hoja1!AM47</f>
        <v>0</v>
      </c>
      <c r="AH507" s="70">
        <f>[1]Hoja1!AN47</f>
        <v>0</v>
      </c>
      <c r="AI507" s="70">
        <f>[1]Hoja1!AO47</f>
        <v>0</v>
      </c>
      <c r="AJ507" s="70">
        <f>[1]Hoja1!AP47</f>
        <v>0</v>
      </c>
    </row>
    <row r="508" spans="1:36" x14ac:dyDescent="0.25">
      <c r="A508" t="str">
        <f>[1]Hoja1!A48</f>
        <v>RICARDO ROJAS</v>
      </c>
      <c r="B508" t="str">
        <f>[1]Hoja1!B48</f>
        <v>RRJ 16</v>
      </c>
      <c r="C508" t="str">
        <f>[1]Hoja1!D48</f>
        <v>Constancio Vigil y Lujan</v>
      </c>
      <c r="D508" s="30" t="str">
        <f>[1]Hoja1!E48</f>
        <v>DOMO</v>
      </c>
      <c r="E508" s="30" t="str">
        <f>[1]Hoja1!F48</f>
        <v>Fibra Optica</v>
      </c>
      <c r="F508" s="70">
        <f>[1]Hoja1!L48</f>
        <v>0</v>
      </c>
      <c r="G508" s="70">
        <f>[1]Hoja1!M48</f>
        <v>0</v>
      </c>
      <c r="H508" s="70">
        <f>[1]Hoja1!N48</f>
        <v>0</v>
      </c>
      <c r="I508" s="70">
        <f>[1]Hoja1!O48</f>
        <v>0</v>
      </c>
      <c r="J508" s="70">
        <f>[1]Hoja1!P48</f>
        <v>0</v>
      </c>
      <c r="K508" s="70">
        <f>[1]Hoja1!Q48</f>
        <v>0</v>
      </c>
      <c r="L508" s="70">
        <f>[1]Hoja1!R48</f>
        <v>0</v>
      </c>
      <c r="M508" s="70">
        <f>[1]Hoja1!S48</f>
        <v>0</v>
      </c>
      <c r="N508" s="70">
        <f>[1]Hoja1!T48</f>
        <v>0</v>
      </c>
      <c r="O508" s="70">
        <f>[1]Hoja1!U48</f>
        <v>0</v>
      </c>
      <c r="P508" s="70">
        <f>[1]Hoja1!V48</f>
        <v>0</v>
      </c>
      <c r="Q508" s="70">
        <f>[1]Hoja1!W48</f>
        <v>0</v>
      </c>
      <c r="R508" s="70">
        <f>[1]Hoja1!X48</f>
        <v>0</v>
      </c>
      <c r="S508" s="70">
        <f>[1]Hoja1!Y48</f>
        <v>0</v>
      </c>
      <c r="T508" s="70">
        <f>[1]Hoja1!Z48</f>
        <v>0</v>
      </c>
      <c r="U508" s="70">
        <f>[1]Hoja1!AA48</f>
        <v>0</v>
      </c>
      <c r="V508" s="70">
        <f>[1]Hoja1!AB48</f>
        <v>0</v>
      </c>
      <c r="W508" s="70">
        <f>[1]Hoja1!AC48</f>
        <v>0</v>
      </c>
      <c r="X508" s="70">
        <f>[1]Hoja1!AD48</f>
        <v>0</v>
      </c>
      <c r="Y508" s="70">
        <f>[1]Hoja1!AE48</f>
        <v>0</v>
      </c>
      <c r="Z508" s="70">
        <f>[1]Hoja1!AF48</f>
        <v>0</v>
      </c>
      <c r="AA508" s="70">
        <f>[1]Hoja1!AG48</f>
        <v>0</v>
      </c>
      <c r="AB508" s="70">
        <f>[1]Hoja1!AH48</f>
        <v>0</v>
      </c>
      <c r="AC508" s="70">
        <f>[1]Hoja1!AI48</f>
        <v>0</v>
      </c>
      <c r="AD508" s="70">
        <f>[1]Hoja1!AJ48</f>
        <v>0</v>
      </c>
      <c r="AE508" s="70">
        <f>[1]Hoja1!AK48</f>
        <v>0</v>
      </c>
      <c r="AF508" s="70">
        <f>[1]Hoja1!AL48</f>
        <v>0</v>
      </c>
      <c r="AG508" s="70">
        <f>[1]Hoja1!AM48</f>
        <v>0</v>
      </c>
      <c r="AH508" s="70">
        <f>[1]Hoja1!AN48</f>
        <v>0</v>
      </c>
      <c r="AI508" s="70">
        <f>[1]Hoja1!AO48</f>
        <v>0</v>
      </c>
      <c r="AJ508" s="70">
        <f>[1]Hoja1!AP48</f>
        <v>0</v>
      </c>
    </row>
    <row r="509" spans="1:36" x14ac:dyDescent="0.25">
      <c r="A509" t="str">
        <f>[1]Hoja1!A49</f>
        <v>SANTA ANA</v>
      </c>
      <c r="B509" t="str">
        <f>[1]Hoja1!B49</f>
        <v>SAN 02</v>
      </c>
      <c r="C509" t="str">
        <f>[1]Hoja1!D49</f>
        <v>HUDSON Y SUIPACHA</v>
      </c>
      <c r="D509" s="30" t="str">
        <f>[1]Hoja1!E49</f>
        <v>Fija 2</v>
      </c>
      <c r="E509" s="30" t="str">
        <f>[1]Hoja1!F49</f>
        <v>Fibra Optica</v>
      </c>
      <c r="F509" s="70">
        <f>[1]Hoja1!L49</f>
        <v>0</v>
      </c>
      <c r="G509" s="70">
        <f>[1]Hoja1!M49</f>
        <v>0</v>
      </c>
      <c r="H509" s="70">
        <f>[1]Hoja1!N49</f>
        <v>0</v>
      </c>
      <c r="I509" s="70">
        <f>[1]Hoja1!O49</f>
        <v>0</v>
      </c>
      <c r="J509" s="70">
        <f>[1]Hoja1!P49</f>
        <v>0</v>
      </c>
      <c r="K509" s="70">
        <f>[1]Hoja1!Q49</f>
        <v>0</v>
      </c>
      <c r="L509" s="70">
        <f>[1]Hoja1!R49</f>
        <v>0</v>
      </c>
      <c r="M509" s="70">
        <f>[1]Hoja1!S49</f>
        <v>0</v>
      </c>
      <c r="N509" s="70">
        <f>[1]Hoja1!T49</f>
        <v>0</v>
      </c>
      <c r="O509" s="70">
        <f>[1]Hoja1!U49</f>
        <v>0</v>
      </c>
      <c r="P509" s="70">
        <f>[1]Hoja1!V49</f>
        <v>0</v>
      </c>
      <c r="Q509" s="70">
        <f>[1]Hoja1!W49</f>
        <v>0</v>
      </c>
      <c r="R509" s="70">
        <f>[1]Hoja1!X49</f>
        <v>0</v>
      </c>
      <c r="S509" s="70">
        <f>[1]Hoja1!Y49</f>
        <v>0</v>
      </c>
      <c r="T509" s="70">
        <f>[1]Hoja1!Z49</f>
        <v>0</v>
      </c>
      <c r="U509" s="70">
        <f>[1]Hoja1!AA49</f>
        <v>0</v>
      </c>
      <c r="V509" s="70">
        <f>[1]Hoja1!AB49</f>
        <v>0</v>
      </c>
      <c r="W509" s="70">
        <f>[1]Hoja1!AC49</f>
        <v>0</v>
      </c>
      <c r="X509" s="70">
        <f>[1]Hoja1!AD49</f>
        <v>0</v>
      </c>
      <c r="Y509" s="70">
        <f>[1]Hoja1!AE49</f>
        <v>0</v>
      </c>
      <c r="Z509" s="70">
        <f>[1]Hoja1!AF49</f>
        <v>0</v>
      </c>
      <c r="AA509" s="70">
        <f>[1]Hoja1!AG49</f>
        <v>0</v>
      </c>
      <c r="AB509" s="70">
        <f>[1]Hoja1!AH49</f>
        <v>0</v>
      </c>
      <c r="AC509" s="70">
        <f>[1]Hoja1!AI49</f>
        <v>0</v>
      </c>
      <c r="AD509" s="70">
        <f>[1]Hoja1!AJ49</f>
        <v>0</v>
      </c>
      <c r="AE509" s="70">
        <f>[1]Hoja1!AK49</f>
        <v>0</v>
      </c>
      <c r="AF509" s="70">
        <f>[1]Hoja1!AL49</f>
        <v>0</v>
      </c>
      <c r="AG509" s="70">
        <f>[1]Hoja1!AM49</f>
        <v>0</v>
      </c>
      <c r="AH509" s="70">
        <f>[1]Hoja1!AN49</f>
        <v>0</v>
      </c>
      <c r="AI509" s="70">
        <f>[1]Hoja1!AO49</f>
        <v>0</v>
      </c>
      <c r="AJ509" s="70">
        <f>[1]Hoja1!AP49</f>
        <v>0</v>
      </c>
    </row>
    <row r="510" spans="1:36" x14ac:dyDescent="0.25">
      <c r="A510" t="str">
        <f>[1]Hoja1!A50</f>
        <v>SANTA ANA</v>
      </c>
      <c r="B510" t="str">
        <f>[1]Hoja1!B50</f>
        <v>SAN01</v>
      </c>
      <c r="C510" t="str">
        <f>[1]Hoja1!D50</f>
        <v>HUDSON Y SUIPACHA</v>
      </c>
      <c r="D510" s="30" t="str">
        <f>[1]Hoja1!E50</f>
        <v>Fija 1</v>
      </c>
      <c r="E510" s="30" t="str">
        <f>[1]Hoja1!F50</f>
        <v>Fibra Optica</v>
      </c>
      <c r="F510" s="70">
        <f>[1]Hoja1!L50</f>
        <v>0</v>
      </c>
      <c r="G510" s="70">
        <f>[1]Hoja1!M50</f>
        <v>0</v>
      </c>
      <c r="H510" s="70">
        <f>[1]Hoja1!N50</f>
        <v>0</v>
      </c>
      <c r="I510" s="70">
        <f>[1]Hoja1!O50</f>
        <v>0</v>
      </c>
      <c r="J510" s="70">
        <f>[1]Hoja1!P50</f>
        <v>0</v>
      </c>
      <c r="K510" s="70">
        <f>[1]Hoja1!Q50</f>
        <v>0</v>
      </c>
      <c r="L510" s="70">
        <f>[1]Hoja1!R50</f>
        <v>0</v>
      </c>
      <c r="M510" s="70">
        <f>[1]Hoja1!S50</f>
        <v>0</v>
      </c>
      <c r="N510" s="70">
        <f>[1]Hoja1!T50</f>
        <v>0</v>
      </c>
      <c r="O510" s="70">
        <f>[1]Hoja1!U50</f>
        <v>0</v>
      </c>
      <c r="P510" s="70">
        <f>[1]Hoja1!V50</f>
        <v>0</v>
      </c>
      <c r="Q510" s="70">
        <f>[1]Hoja1!W50</f>
        <v>0</v>
      </c>
      <c r="R510" s="70">
        <f>[1]Hoja1!X50</f>
        <v>0</v>
      </c>
      <c r="S510" s="70">
        <f>[1]Hoja1!Y50</f>
        <v>0</v>
      </c>
      <c r="T510" s="70">
        <f>[1]Hoja1!Z50</f>
        <v>0</v>
      </c>
      <c r="U510" s="70">
        <f>[1]Hoja1!AA50</f>
        <v>0</v>
      </c>
      <c r="V510" s="70">
        <f>[1]Hoja1!AB52</f>
        <v>0</v>
      </c>
      <c r="W510" s="70">
        <f>[1]Hoja1!AC50</f>
        <v>0</v>
      </c>
      <c r="X510" s="70">
        <f>[1]Hoja1!AD50</f>
        <v>0</v>
      </c>
      <c r="Y510" s="70">
        <f>[1]Hoja1!AE50</f>
        <v>0</v>
      </c>
      <c r="Z510" s="70">
        <f>[1]Hoja1!AF50</f>
        <v>0</v>
      </c>
      <c r="AA510" s="70">
        <f>[1]Hoja1!AG50</f>
        <v>0</v>
      </c>
      <c r="AB510" s="70">
        <f>[1]Hoja1!AH50</f>
        <v>0</v>
      </c>
      <c r="AC510" s="70">
        <f>[1]Hoja1!AI50</f>
        <v>0</v>
      </c>
      <c r="AD510" s="70">
        <f>[1]Hoja1!AJ50</f>
        <v>0</v>
      </c>
      <c r="AE510" s="70">
        <f>[1]Hoja1!AK50</f>
        <v>0</v>
      </c>
      <c r="AF510" s="70">
        <f>[1]Hoja1!AL50</f>
        <v>0</v>
      </c>
      <c r="AG510" s="70">
        <f>[1]Hoja1!AM50</f>
        <v>0</v>
      </c>
      <c r="AH510" s="70">
        <f>[1]Hoja1!AN50</f>
        <v>0</v>
      </c>
      <c r="AI510" s="70">
        <f>[1]Hoja1!AO50</f>
        <v>0</v>
      </c>
      <c r="AJ510" s="70">
        <f>[1]Hoja1!AP50</f>
        <v>0</v>
      </c>
    </row>
    <row r="511" spans="1:36" x14ac:dyDescent="0.25">
      <c r="A511" t="str">
        <f>[1]Hoja1!A53</f>
        <v>VILLA GENERAL SAN MARTIN</v>
      </c>
      <c r="B511" t="str">
        <f>[1]Hoja1!B53</f>
        <v>SMA 03</v>
      </c>
      <c r="C511" t="str">
        <f>[1]Hoja1!D53</f>
        <v>ROSARIO Y SAN NICOLAS</v>
      </c>
      <c r="D511" s="30" t="str">
        <f>[1]Hoja1!E53</f>
        <v>Domo</v>
      </c>
      <c r="E511" s="30" t="str">
        <f>[1]Hoja1!F53</f>
        <v>Radio</v>
      </c>
      <c r="F511" s="70">
        <f>[1]Hoja1!L53</f>
        <v>0</v>
      </c>
      <c r="G511" s="70">
        <f>[1]Hoja1!M53</f>
        <v>0</v>
      </c>
      <c r="H511" s="70">
        <f>[1]Hoja1!N53</f>
        <v>0</v>
      </c>
      <c r="I511" s="70">
        <f>[1]Hoja1!O53</f>
        <v>0</v>
      </c>
      <c r="J511" s="70">
        <f>[1]Hoja1!P53</f>
        <v>0</v>
      </c>
      <c r="K511" s="70">
        <f>[1]Hoja1!Q53</f>
        <v>0</v>
      </c>
      <c r="L511" s="70">
        <f>[1]Hoja1!R53</f>
        <v>0</v>
      </c>
      <c r="M511" s="70">
        <f>[1]Hoja1!S53</f>
        <v>0</v>
      </c>
      <c r="N511" s="70">
        <f>[1]Hoja1!T53</f>
        <v>0</v>
      </c>
      <c r="O511" s="70">
        <f>[1]Hoja1!U53</f>
        <v>0</v>
      </c>
      <c r="P511" s="70">
        <f>[1]Hoja1!W57</f>
        <v>0</v>
      </c>
      <c r="Q511" s="70">
        <f>[1]Hoja1!W53</f>
        <v>0</v>
      </c>
      <c r="R511" s="70">
        <f>[1]Hoja1!X53</f>
        <v>0</v>
      </c>
      <c r="S511" s="70">
        <f>[1]Hoja1!Y53</f>
        <v>0</v>
      </c>
      <c r="T511" s="70">
        <f>[1]Hoja1!Z53</f>
        <v>0</v>
      </c>
      <c r="U511" s="70">
        <f>[1]Hoja1!AA53</f>
        <v>0</v>
      </c>
      <c r="V511" s="70">
        <f>[1]Hoja1!AB53</f>
        <v>0</v>
      </c>
      <c r="W511" s="70">
        <f>[1]Hoja1!AC53</f>
        <v>0</v>
      </c>
      <c r="X511" s="70">
        <f>[1]Hoja1!AD53</f>
        <v>0</v>
      </c>
      <c r="Y511" s="70">
        <f>[1]Hoja1!AE53</f>
        <v>0</v>
      </c>
      <c r="Z511" s="70">
        <f>[1]Hoja1!AF53</f>
        <v>0</v>
      </c>
      <c r="AA511" s="70">
        <f>[1]Hoja1!AG53</f>
        <v>0</v>
      </c>
      <c r="AB511" s="70">
        <f>[1]Hoja1!AH53</f>
        <v>0</v>
      </c>
      <c r="AC511" s="70">
        <f>[1]Hoja1!AI53</f>
        <v>0</v>
      </c>
      <c r="AD511" s="70">
        <f>[1]Hoja1!AJ53</f>
        <v>0</v>
      </c>
      <c r="AE511" s="70">
        <f>[1]Hoja1!AK53</f>
        <v>0</v>
      </c>
      <c r="AF511" s="70">
        <f>[1]Hoja1!AL53</f>
        <v>0</v>
      </c>
      <c r="AG511" s="70">
        <f>[1]Hoja1!AM53</f>
        <v>0</v>
      </c>
      <c r="AH511" s="70">
        <f>[1]Hoja1!AN53</f>
        <v>0</v>
      </c>
      <c r="AI511" s="70">
        <f>[1]Hoja1!AO53</f>
        <v>0</v>
      </c>
      <c r="AJ511" s="70">
        <f>[1]Hoja1!AP53</f>
        <v>0</v>
      </c>
    </row>
    <row r="512" spans="1:36" x14ac:dyDescent="0.25">
      <c r="A512" t="str">
        <f>[1]Hoja1!A54</f>
        <v>VILLA GENERAL SAN MARTIN</v>
      </c>
      <c r="B512" t="str">
        <f>[1]Hoja1!B54</f>
        <v>SMA 06</v>
      </c>
      <c r="C512" t="str">
        <f>[1]Hoja1!D54</f>
        <v>AV. HUDSON Y RIO IGUAZU</v>
      </c>
      <c r="D512" s="30" t="str">
        <f>[1]Hoja1!E54</f>
        <v>DOMO</v>
      </c>
      <c r="E512" s="30" t="str">
        <f>[1]Hoja1!F54</f>
        <v>Fibra Optica</v>
      </c>
      <c r="F512" s="70">
        <f>[1]Hoja1!L54</f>
        <v>0</v>
      </c>
      <c r="G512" s="70">
        <f>[1]Hoja1!M54</f>
        <v>0</v>
      </c>
      <c r="H512" s="70">
        <f>[1]Hoja1!N54</f>
        <v>0</v>
      </c>
      <c r="I512" s="70">
        <f>[1]Hoja1!O54</f>
        <v>0</v>
      </c>
      <c r="J512" s="70">
        <f>[1]Hoja1!P54</f>
        <v>0</v>
      </c>
      <c r="K512" s="70">
        <f>[1]Hoja1!Q54</f>
        <v>0</v>
      </c>
      <c r="L512" s="70">
        <f>[1]Hoja1!R54</f>
        <v>0</v>
      </c>
      <c r="M512" s="70">
        <f>[1]Hoja1!S54</f>
        <v>0</v>
      </c>
      <c r="N512" s="70">
        <f>[1]Hoja1!T54</f>
        <v>0</v>
      </c>
      <c r="O512" s="70">
        <f>[1]Hoja1!U54</f>
        <v>0</v>
      </c>
      <c r="P512" s="70">
        <f>[1]Hoja1!V54</f>
        <v>0</v>
      </c>
      <c r="Q512" s="70">
        <f>[1]Hoja1!W54</f>
        <v>0</v>
      </c>
      <c r="R512" s="70">
        <f>[1]Hoja1!X54</f>
        <v>0</v>
      </c>
      <c r="S512" s="70">
        <f>[1]Hoja1!Y54</f>
        <v>0</v>
      </c>
      <c r="T512" s="70">
        <f>[1]Hoja1!Z54</f>
        <v>0</v>
      </c>
      <c r="U512" s="70">
        <f>[1]Hoja1!AA54</f>
        <v>0</v>
      </c>
      <c r="V512" s="70">
        <f>[1]Hoja1!AB54</f>
        <v>0</v>
      </c>
      <c r="W512" s="70">
        <f>[1]Hoja1!AC54</f>
        <v>0</v>
      </c>
      <c r="X512" s="70">
        <f>[1]Hoja1!AD54</f>
        <v>0</v>
      </c>
      <c r="Y512" s="70">
        <f>[1]Hoja1!AE54</f>
        <v>0</v>
      </c>
      <c r="Z512" s="70">
        <f>[1]Hoja1!AF54</f>
        <v>0</v>
      </c>
      <c r="AA512" s="70">
        <f>[1]Hoja1!AG54</f>
        <v>0</v>
      </c>
      <c r="AB512" s="70">
        <f>[1]Hoja1!AH54</f>
        <v>0</v>
      </c>
      <c r="AC512" s="70">
        <f>[1]Hoja1!AI54</f>
        <v>0</v>
      </c>
      <c r="AD512" s="70">
        <f>[1]Hoja1!AJ54</f>
        <v>0</v>
      </c>
      <c r="AE512" s="70">
        <f>[1]Hoja1!AK54</f>
        <v>0</v>
      </c>
      <c r="AF512" s="70">
        <f>[1]Hoja1!AL54</f>
        <v>0</v>
      </c>
      <c r="AG512" s="70">
        <f>[1]Hoja1!AM54</f>
        <v>0</v>
      </c>
      <c r="AH512" s="70">
        <f>[1]Hoja1!AN54</f>
        <v>0</v>
      </c>
      <c r="AI512" s="70">
        <f>[1]Hoja1!AO54</f>
        <v>0</v>
      </c>
      <c r="AJ512" s="70">
        <f>[1]Hoja1!AP54</f>
        <v>0</v>
      </c>
    </row>
    <row r="513" spans="1:36" x14ac:dyDescent="0.25">
      <c r="A513" t="str">
        <f>[1]Hoja1!A55</f>
        <v>VILLA GENERAL SAN MARTIN</v>
      </c>
      <c r="B513" t="str">
        <f>[1]Hoja1!B55</f>
        <v>SMA 07</v>
      </c>
      <c r="C513" t="str">
        <f>[1]Hoja1!D55</f>
        <v>AV. HUDSON Y RIO TURBIO</v>
      </c>
      <c r="D513" s="30" t="str">
        <f>[1]Hoja1!E55</f>
        <v>DOMO</v>
      </c>
      <c r="E513" s="30" t="str">
        <f>[1]Hoja1!F55</f>
        <v>Fibra Optica</v>
      </c>
      <c r="F513" s="70">
        <f>[1]Hoja1!L55</f>
        <v>0</v>
      </c>
      <c r="G513" s="70">
        <f>[1]Hoja1!M55</f>
        <v>0</v>
      </c>
      <c r="H513" s="70">
        <f>[1]Hoja1!N55</f>
        <v>0</v>
      </c>
      <c r="I513" s="70">
        <f>[1]Hoja1!O55</f>
        <v>0</v>
      </c>
      <c r="J513" s="70">
        <f>[1]Hoja1!P55</f>
        <v>0</v>
      </c>
      <c r="K513" s="70">
        <f>[1]Hoja1!Q55</f>
        <v>0</v>
      </c>
      <c r="L513" s="70">
        <f>[1]Hoja1!R55</f>
        <v>0</v>
      </c>
      <c r="M513" s="70">
        <f>[1]Hoja1!S55</f>
        <v>0</v>
      </c>
      <c r="N513" s="70">
        <f>[1]Hoja1!T55</f>
        <v>0</v>
      </c>
      <c r="O513" s="70">
        <f>[1]Hoja1!U55</f>
        <v>0</v>
      </c>
      <c r="P513" s="70">
        <f>[1]Hoja1!V55</f>
        <v>0</v>
      </c>
      <c r="Q513" s="70">
        <f>[1]Hoja1!W55</f>
        <v>0</v>
      </c>
      <c r="R513" s="70">
        <f>[1]Hoja1!X55</f>
        <v>0</v>
      </c>
      <c r="S513" s="70">
        <f>[1]Hoja1!Y55</f>
        <v>0</v>
      </c>
      <c r="T513" s="70">
        <f>[1]Hoja1!Z55</f>
        <v>0</v>
      </c>
      <c r="U513" s="70">
        <f>[1]Hoja1!AA55</f>
        <v>0</v>
      </c>
      <c r="V513" s="70">
        <f>[1]Hoja1!AB55</f>
        <v>0</v>
      </c>
      <c r="W513" s="70">
        <f>[1]Hoja1!AC55</f>
        <v>0</v>
      </c>
      <c r="X513" s="70">
        <f>[1]Hoja1!AD55</f>
        <v>0</v>
      </c>
      <c r="Y513" s="70">
        <f>[1]Hoja1!AE55</f>
        <v>0</v>
      </c>
      <c r="Z513" s="70">
        <f>[1]Hoja1!AF55</f>
        <v>0</v>
      </c>
      <c r="AA513" s="70">
        <f>[1]Hoja1!AG55</f>
        <v>0</v>
      </c>
      <c r="AB513" s="70">
        <f>[1]Hoja1!AH55</f>
        <v>0</v>
      </c>
      <c r="AC513" s="70">
        <f>[1]Hoja1!AI55</f>
        <v>0</v>
      </c>
      <c r="AD513" s="70">
        <f>[1]Hoja1!AJ55</f>
        <v>0</v>
      </c>
      <c r="AE513" s="70">
        <f>[1]Hoja1!AK55</f>
        <v>0</v>
      </c>
      <c r="AF513" s="70">
        <f>[1]Hoja1!AL55</f>
        <v>0</v>
      </c>
      <c r="AG513" s="70">
        <f>[1]Hoja1!AM55</f>
        <v>0</v>
      </c>
      <c r="AH513" s="70">
        <f>[1]Hoja1!AN55</f>
        <v>0</v>
      </c>
      <c r="AI513" s="70">
        <f>[1]Hoja1!AO55</f>
        <v>0</v>
      </c>
      <c r="AJ513" s="70">
        <f>[1]Hoja1!AP55</f>
        <v>0</v>
      </c>
    </row>
    <row r="514" spans="1:36" x14ac:dyDescent="0.25">
      <c r="A514" t="str">
        <f>[1]Hoja1!A56</f>
        <v>SAN RUDECINDO</v>
      </c>
      <c r="B514" t="str">
        <f>[1]Hoja1!B56</f>
        <v>SRU03</v>
      </c>
      <c r="C514" t="str">
        <f>[1]Hoja1!D56</f>
        <v>SANTA SOFIA Y LUIS AGOTE</v>
      </c>
      <c r="D514" s="30" t="str">
        <f>[1]Hoja1!E56</f>
        <v>DOMO</v>
      </c>
      <c r="E514" s="30" t="str">
        <f>[1]Hoja1!F56</f>
        <v>Fibra Optica</v>
      </c>
      <c r="F514" s="70">
        <f>[1]Hoja1!L56</f>
        <v>0</v>
      </c>
      <c r="G514" s="70">
        <f>[1]Hoja1!M56</f>
        <v>0</v>
      </c>
      <c r="H514" s="70">
        <f>[1]Hoja1!N56</f>
        <v>0</v>
      </c>
      <c r="I514" s="70">
        <f>[1]Hoja1!O56</f>
        <v>0</v>
      </c>
      <c r="J514" s="70">
        <f>[1]Hoja1!P56</f>
        <v>0</v>
      </c>
      <c r="K514" s="70">
        <f>[1]Hoja1!Q56</f>
        <v>0</v>
      </c>
      <c r="L514" s="70">
        <f>[1]Hoja1!R56</f>
        <v>0</v>
      </c>
      <c r="M514" s="70">
        <f>[1]Hoja1!S56</f>
        <v>0</v>
      </c>
      <c r="N514" s="70">
        <f>[1]Hoja1!T56</f>
        <v>0</v>
      </c>
      <c r="O514" s="70">
        <f>[1]Hoja1!U56</f>
        <v>0</v>
      </c>
      <c r="P514" s="70">
        <f>[1]Hoja1!V56</f>
        <v>0</v>
      </c>
      <c r="Q514" s="70" t="e">
        <f>'RESUMEN TOTAL'!#REF!</f>
        <v>#REF!</v>
      </c>
      <c r="R514" s="70">
        <f>[1]Hoja1!X56</f>
        <v>0</v>
      </c>
      <c r="S514" s="70">
        <f>[1]Hoja1!Y56</f>
        <v>0</v>
      </c>
      <c r="T514" s="70">
        <f>[1]Hoja1!Z56</f>
        <v>0</v>
      </c>
      <c r="U514" s="70">
        <f>[1]Hoja1!AA56</f>
        <v>0</v>
      </c>
      <c r="V514" s="70">
        <f>[1]Hoja1!AB56</f>
        <v>0</v>
      </c>
      <c r="W514" s="70">
        <f>[1]Hoja1!AC56</f>
        <v>0</v>
      </c>
      <c r="X514" s="70">
        <f>[1]Hoja1!AD56</f>
        <v>0</v>
      </c>
      <c r="Y514" s="70">
        <f>[1]Hoja1!AE56</f>
        <v>0</v>
      </c>
      <c r="Z514" s="70">
        <f>[1]Hoja1!AF56</f>
        <v>0</v>
      </c>
      <c r="AA514" s="70">
        <f>[1]Hoja1!AG56</f>
        <v>0</v>
      </c>
      <c r="AB514" s="70">
        <f>[1]Hoja1!AH56</f>
        <v>0</v>
      </c>
      <c r="AC514" s="70">
        <f>[1]Hoja1!AI56</f>
        <v>0</v>
      </c>
      <c r="AD514" s="70">
        <f>[1]Hoja1!AJ56</f>
        <v>0</v>
      </c>
      <c r="AE514" s="70">
        <f>[1]Hoja1!AK56</f>
        <v>0</v>
      </c>
      <c r="AF514" s="70">
        <f>[1]Hoja1!AL56</f>
        <v>0</v>
      </c>
      <c r="AG514" s="70">
        <f>[1]Hoja1!AM56</f>
        <v>0</v>
      </c>
      <c r="AH514" s="70">
        <f>[1]Hoja1!AN56</f>
        <v>0</v>
      </c>
      <c r="AI514" s="70">
        <f>[1]Hoja1!AO56</f>
        <v>0</v>
      </c>
      <c r="AJ514" s="70">
        <f>[1]Hoja1!AP56</f>
        <v>0</v>
      </c>
    </row>
    <row r="515" spans="1:36" x14ac:dyDescent="0.25">
      <c r="A515" t="str">
        <f>[1]Hoja1!A57</f>
        <v>VILLA ARGENTINA</v>
      </c>
      <c r="B515" t="str">
        <f>[1]Hoja1!B57</f>
        <v>VAR07</v>
      </c>
      <c r="C515" t="str">
        <f>[1]Hoja1!D57</f>
        <v>DIAG. LOS TILOS Y 517</v>
      </c>
      <c r="D515" s="30" t="str">
        <f>[1]Hoja1!E57</f>
        <v>DOMO</v>
      </c>
      <c r="E515" s="30" t="str">
        <f>[1]Hoja1!F57</f>
        <v>Fibra Optica</v>
      </c>
      <c r="F515" s="70">
        <f>[1]Hoja1!L57</f>
        <v>0</v>
      </c>
      <c r="G515" s="70">
        <f>[1]Hoja1!M57</f>
        <v>0</v>
      </c>
      <c r="H515" s="70">
        <f>[1]Hoja1!N57</f>
        <v>0</v>
      </c>
      <c r="I515" s="70">
        <f>[1]Hoja1!O57</f>
        <v>0</v>
      </c>
      <c r="J515" s="70">
        <f>[1]Hoja1!P57</f>
        <v>0</v>
      </c>
      <c r="K515" s="70">
        <f>[1]Hoja1!Q57</f>
        <v>0</v>
      </c>
      <c r="L515" s="70">
        <f>[1]Hoja1!R57</f>
        <v>0</v>
      </c>
      <c r="M515" s="70">
        <f>[1]Hoja1!S57</f>
        <v>0</v>
      </c>
      <c r="N515" s="70">
        <f>[1]Hoja1!T57</f>
        <v>0</v>
      </c>
      <c r="O515" s="70">
        <f>[1]Hoja1!U57</f>
        <v>0</v>
      </c>
      <c r="P515" s="70">
        <f>[1]Hoja1!V57</f>
        <v>0</v>
      </c>
      <c r="Q515" s="70" t="e">
        <f>'RESUMEN TOTAL'!#REF!</f>
        <v>#REF!</v>
      </c>
      <c r="R515" s="70">
        <f>[1]Hoja1!X57</f>
        <v>0</v>
      </c>
      <c r="S515" s="70">
        <f>[1]Hoja1!Y57</f>
        <v>0</v>
      </c>
      <c r="T515" s="70">
        <f>[1]Hoja1!Z57</f>
        <v>0</v>
      </c>
      <c r="U515" s="70">
        <f>[1]Hoja1!AA57</f>
        <v>0</v>
      </c>
      <c r="V515" s="70">
        <f>[1]Hoja1!AB57</f>
        <v>0</v>
      </c>
      <c r="W515" s="70">
        <f>[1]Hoja1!AC57</f>
        <v>0</v>
      </c>
      <c r="X515" s="70">
        <f>[1]Hoja1!AD57</f>
        <v>0</v>
      </c>
      <c r="Y515" s="70">
        <f>[1]Hoja1!AE57</f>
        <v>0</v>
      </c>
      <c r="Z515" s="70">
        <f>[1]Hoja1!AF57</f>
        <v>0</v>
      </c>
      <c r="AA515" s="70">
        <f>[1]Hoja1!AG57</f>
        <v>0</v>
      </c>
      <c r="AB515" s="70">
        <f>[1]Hoja1!AH57</f>
        <v>0</v>
      </c>
      <c r="AC515" s="70">
        <f>[1]Hoja1!AI57</f>
        <v>0</v>
      </c>
      <c r="AD515" s="70">
        <f>[1]Hoja1!AJ57</f>
        <v>0</v>
      </c>
      <c r="AE515" s="70">
        <f>[1]Hoja1!AK57</f>
        <v>0</v>
      </c>
      <c r="AF515" s="70">
        <f>[1]Hoja1!AL57</f>
        <v>0</v>
      </c>
      <c r="AG515" s="70">
        <f>[1]Hoja1!AM57</f>
        <v>0</v>
      </c>
      <c r="AH515" s="70">
        <f>[1]Hoja1!AN57</f>
        <v>0</v>
      </c>
      <c r="AI515" s="70">
        <f>[1]Hoja1!AO57</f>
        <v>0</v>
      </c>
      <c r="AJ515" s="70">
        <f>[1]Hoja1!AP57</f>
        <v>0</v>
      </c>
    </row>
    <row r="516" spans="1:36" x14ac:dyDescent="0.25">
      <c r="A516" t="str">
        <f>[1]Hoja1!A58</f>
        <v>VILLA ARIAS</v>
      </c>
      <c r="B516" t="str">
        <f>[1]Hoja1!B58</f>
        <v>VLA 01 (fija 1)</v>
      </c>
      <c r="C516" t="str">
        <f>[1]Hoja1!D58</f>
        <v>820 Y SOLER</v>
      </c>
      <c r="D516" s="30" t="str">
        <f>[1]Hoja1!E58</f>
        <v>Fija</v>
      </c>
      <c r="E516" s="30" t="str">
        <f>[1]Hoja1!F58</f>
        <v>Fibra Optica</v>
      </c>
      <c r="F516" s="70">
        <f>[1]Hoja1!L58</f>
        <v>0</v>
      </c>
      <c r="G516" s="70">
        <f>[1]Hoja1!M58</f>
        <v>0</v>
      </c>
      <c r="H516" s="70">
        <f>[1]Hoja1!N58</f>
        <v>0</v>
      </c>
      <c r="I516" s="70">
        <f>[1]Hoja1!O58</f>
        <v>0</v>
      </c>
      <c r="J516" s="70">
        <f>[1]Hoja1!P58</f>
        <v>0</v>
      </c>
      <c r="K516" s="70">
        <f>[1]Hoja1!Q58</f>
        <v>0</v>
      </c>
      <c r="L516" s="70">
        <f>[1]Hoja1!R58</f>
        <v>0</v>
      </c>
      <c r="M516" s="70">
        <f>[1]Hoja1!S58</f>
        <v>0</v>
      </c>
      <c r="N516" s="70">
        <f>[1]Hoja1!T58</f>
        <v>0</v>
      </c>
      <c r="O516" s="70">
        <f>[1]Hoja1!U58</f>
        <v>0</v>
      </c>
      <c r="P516" s="70">
        <f>[1]Hoja1!V58</f>
        <v>0</v>
      </c>
      <c r="Q516" s="70">
        <f>[1]Hoja1!W58</f>
        <v>0</v>
      </c>
      <c r="R516" s="70">
        <f>[1]Hoja1!X58</f>
        <v>0</v>
      </c>
      <c r="S516" s="70">
        <f>[1]Hoja1!Y58</f>
        <v>0</v>
      </c>
      <c r="T516" s="70">
        <f>[1]Hoja1!Z58</f>
        <v>0</v>
      </c>
      <c r="U516" s="70">
        <f>[1]Hoja1!AA58</f>
        <v>0</v>
      </c>
      <c r="V516" s="70">
        <f>[1]Hoja1!AB58</f>
        <v>0</v>
      </c>
      <c r="W516" s="70">
        <f>[1]Hoja1!AC58</f>
        <v>0</v>
      </c>
      <c r="X516" s="70">
        <f>[1]Hoja1!AD58</f>
        <v>0</v>
      </c>
      <c r="Y516" s="70">
        <f>[1]Hoja1!AE58</f>
        <v>0</v>
      </c>
      <c r="Z516" s="70">
        <f>[1]Hoja1!AF58</f>
        <v>0</v>
      </c>
      <c r="AA516" s="70">
        <f>[1]Hoja1!AG58</f>
        <v>0</v>
      </c>
      <c r="AB516" s="70">
        <f>[1]Hoja1!AH58</f>
        <v>0</v>
      </c>
      <c r="AC516" s="70">
        <f>[1]Hoja1!AI58</f>
        <v>0</v>
      </c>
      <c r="AD516" s="70">
        <f>[1]Hoja1!AJ58</f>
        <v>0</v>
      </c>
      <c r="AE516" s="70">
        <f>[1]Hoja1!AK58</f>
        <v>0</v>
      </c>
      <c r="AF516" s="70">
        <f>[1]Hoja1!AL58</f>
        <v>0</v>
      </c>
      <c r="AG516" s="70">
        <f>[1]Hoja1!AM58</f>
        <v>0</v>
      </c>
      <c r="AH516" s="70">
        <f>[1]Hoja1!AN58</f>
        <v>0</v>
      </c>
      <c r="AI516" s="70">
        <f>[1]Hoja1!AO58</f>
        <v>0</v>
      </c>
      <c r="AJ516" s="70">
        <f>[1]Hoja1!AP58</f>
        <v>0</v>
      </c>
    </row>
    <row r="517" spans="1:36" x14ac:dyDescent="0.25">
      <c r="A517" t="str">
        <f>[1]Hoja1!A59</f>
        <v>VILLA ARIAS</v>
      </c>
      <c r="B517" t="str">
        <f>[1]Hoja1!B59</f>
        <v>VLA03 (fija 2)</v>
      </c>
      <c r="C517" t="str">
        <f>[1]Hoja1!D59</f>
        <v>820 y SOLER</v>
      </c>
      <c r="D517" s="30" t="str">
        <f>[1]Hoja1!E59</f>
        <v>Fija</v>
      </c>
      <c r="E517" s="30" t="str">
        <f>[1]Hoja1!F59</f>
        <v>Fibra Optica</v>
      </c>
      <c r="F517" s="70">
        <f>[1]Hoja1!L59</f>
        <v>0</v>
      </c>
      <c r="G517" s="70">
        <f>[1]Hoja1!M59</f>
        <v>0</v>
      </c>
      <c r="H517" s="70">
        <f>[1]Hoja1!N59</f>
        <v>0</v>
      </c>
      <c r="I517" s="70">
        <f>[1]Hoja1!O59</f>
        <v>0</v>
      </c>
      <c r="J517" s="70">
        <f>[1]Hoja1!P59</f>
        <v>0</v>
      </c>
      <c r="K517" s="70">
        <f>[1]Hoja1!Q59</f>
        <v>0</v>
      </c>
      <c r="L517" s="70">
        <f>[1]Hoja1!R59</f>
        <v>0</v>
      </c>
      <c r="M517" s="70">
        <f>[1]Hoja1!S59</f>
        <v>0</v>
      </c>
      <c r="N517" s="70">
        <f>[1]Hoja1!T59</f>
        <v>0</v>
      </c>
      <c r="O517" s="70">
        <f>[1]Hoja1!U59</f>
        <v>0</v>
      </c>
      <c r="P517" s="70">
        <f>[1]Hoja1!V59</f>
        <v>0</v>
      </c>
      <c r="Q517" s="70">
        <f>[1]Hoja1!W59</f>
        <v>0</v>
      </c>
      <c r="R517" s="70">
        <f>[1]Hoja1!X59</f>
        <v>0</v>
      </c>
      <c r="S517" s="70">
        <f>[1]Hoja1!Y59</f>
        <v>0</v>
      </c>
      <c r="T517" s="70">
        <f>[1]Hoja1!Z59</f>
        <v>0</v>
      </c>
      <c r="U517" s="70">
        <f>[1]Hoja1!AA59</f>
        <v>0</v>
      </c>
      <c r="V517" s="70">
        <f>[1]Hoja1!AB59</f>
        <v>0</v>
      </c>
      <c r="W517" s="70">
        <f>[1]Hoja1!AC59</f>
        <v>0</v>
      </c>
      <c r="X517" s="70">
        <f>[1]Hoja1!AD59</f>
        <v>0</v>
      </c>
      <c r="Y517" s="70">
        <f>[1]Hoja1!AE59</f>
        <v>0</v>
      </c>
      <c r="Z517" s="70">
        <f>[1]Hoja1!AF59</f>
        <v>0</v>
      </c>
      <c r="AA517" s="70">
        <f>[1]Hoja1!AG59</f>
        <v>0</v>
      </c>
      <c r="AB517" s="70">
        <f>[1]Hoja1!AH59</f>
        <v>0</v>
      </c>
      <c r="AC517" s="70">
        <f>[1]Hoja1!AI59</f>
        <v>0</v>
      </c>
      <c r="AD517" s="70">
        <f>[1]Hoja1!AJ59</f>
        <v>0</v>
      </c>
      <c r="AE517" s="70">
        <f>[1]Hoja1!AK59</f>
        <v>0</v>
      </c>
      <c r="AF517" s="70">
        <f>[1]Hoja1!AL59</f>
        <v>0</v>
      </c>
      <c r="AG517" s="70">
        <f>[1]Hoja1!AM59</f>
        <v>0</v>
      </c>
      <c r="AH517" s="70">
        <f>[1]Hoja1!AN59</f>
        <v>0</v>
      </c>
      <c r="AI517" s="70">
        <f>[1]Hoja1!AO59</f>
        <v>0</v>
      </c>
      <c r="AJ517" s="70">
        <f>[1]Hoja1!AP59</f>
        <v>0</v>
      </c>
    </row>
    <row r="518" spans="1:36" x14ac:dyDescent="0.25">
      <c r="A518">
        <f>[1]Hoja1!A60</f>
        <v>0</v>
      </c>
      <c r="B518">
        <f>[1]Hoja1!B60</f>
        <v>0</v>
      </c>
      <c r="C518">
        <f>[1]Hoja1!D60</f>
        <v>0</v>
      </c>
      <c r="D518" s="30">
        <f>[1]Hoja1!E60</f>
        <v>0</v>
      </c>
      <c r="E518" s="30">
        <f>[1]Hoja1!F60</f>
        <v>0</v>
      </c>
      <c r="F518" s="70">
        <f>[1]Hoja1!L60</f>
        <v>0</v>
      </c>
      <c r="G518" s="70">
        <f>[1]Hoja1!M60</f>
        <v>0</v>
      </c>
      <c r="H518" s="70">
        <f>[1]Hoja1!N60</f>
        <v>0</v>
      </c>
      <c r="I518" s="70">
        <f>[1]Hoja1!O60</f>
        <v>0</v>
      </c>
      <c r="J518" s="70">
        <f>[1]Hoja1!P60</f>
        <v>0</v>
      </c>
      <c r="K518" s="70">
        <f>[1]Hoja1!Q60</f>
        <v>0</v>
      </c>
      <c r="L518" s="70">
        <f>[1]Hoja1!R60</f>
        <v>0</v>
      </c>
      <c r="M518" s="70">
        <f>[1]Hoja1!S60</f>
        <v>0</v>
      </c>
      <c r="N518" s="70">
        <f>[1]Hoja1!T60</f>
        <v>0</v>
      </c>
      <c r="O518" s="70">
        <f>[1]Hoja1!U60</f>
        <v>0</v>
      </c>
      <c r="P518" s="70">
        <f>[1]Hoja1!V60</f>
        <v>0</v>
      </c>
      <c r="Q518" s="70">
        <f>[1]Hoja1!W60</f>
        <v>0</v>
      </c>
      <c r="R518" s="70">
        <f>[1]Hoja1!X60</f>
        <v>0</v>
      </c>
      <c r="S518" s="70">
        <f>[1]Hoja1!Y60</f>
        <v>0</v>
      </c>
      <c r="T518" s="70">
        <f>[1]Hoja1!Z60</f>
        <v>0</v>
      </c>
      <c r="U518" s="70">
        <f>[1]Hoja1!AA60</f>
        <v>0</v>
      </c>
      <c r="V518" s="70">
        <f>[1]Hoja1!AB60</f>
        <v>0</v>
      </c>
      <c r="W518" s="70">
        <f>[1]Hoja1!AC60</f>
        <v>0</v>
      </c>
      <c r="X518" s="70">
        <f>[1]Hoja1!AD60</f>
        <v>0</v>
      </c>
      <c r="Y518" s="70">
        <f>[1]Hoja1!AE60</f>
        <v>0</v>
      </c>
      <c r="Z518" s="70">
        <f>[1]Hoja1!AF60</f>
        <v>0</v>
      </c>
      <c r="AA518" s="70">
        <f>[1]Hoja1!AG60</f>
        <v>0</v>
      </c>
      <c r="AB518" s="70">
        <f>[1]Hoja1!AH60</f>
        <v>0</v>
      </c>
      <c r="AC518" s="70">
        <f>[1]Hoja1!AI60</f>
        <v>0</v>
      </c>
      <c r="AD518" s="70">
        <f>[1]Hoja1!AJ60</f>
        <v>0</v>
      </c>
      <c r="AE518" s="70">
        <f>[1]Hoja1!AK60</f>
        <v>0</v>
      </c>
      <c r="AF518" s="70">
        <f>[1]Hoja1!AL60</f>
        <v>0</v>
      </c>
      <c r="AG518" s="70">
        <f>[1]Hoja1!AM60</f>
        <v>0</v>
      </c>
      <c r="AH518" s="70">
        <f>[1]Hoja1!AN60</f>
        <v>0</v>
      </c>
      <c r="AI518" s="70">
        <f>[1]Hoja1!AO60</f>
        <v>0</v>
      </c>
      <c r="AJ518" s="70">
        <f>[1]Hoja1!AP60</f>
        <v>0</v>
      </c>
    </row>
    <row r="519" spans="1:36" x14ac:dyDescent="0.25">
      <c r="A519">
        <f>[1]Hoja1!A61</f>
        <v>0</v>
      </c>
      <c r="B519">
        <f>[1]Hoja1!B61</f>
        <v>0</v>
      </c>
      <c r="C519">
        <f>[1]Hoja1!D61</f>
        <v>0</v>
      </c>
      <c r="D519" s="30">
        <f>[1]Hoja1!E61</f>
        <v>0</v>
      </c>
      <c r="E519" s="30">
        <f>[1]Hoja1!F61</f>
        <v>0</v>
      </c>
      <c r="F519" s="70">
        <f>[1]Hoja1!L61</f>
        <v>0</v>
      </c>
      <c r="G519" s="70">
        <f>[1]Hoja1!M61</f>
        <v>0</v>
      </c>
      <c r="H519" s="70">
        <f>[1]Hoja1!N61</f>
        <v>0</v>
      </c>
      <c r="I519" s="70">
        <f>[1]Hoja1!O61</f>
        <v>0</v>
      </c>
      <c r="J519" s="70">
        <f>[1]Hoja1!P61</f>
        <v>0</v>
      </c>
      <c r="K519" s="70">
        <f>[1]Hoja1!Q61</f>
        <v>0</v>
      </c>
      <c r="L519" s="70">
        <f>[1]Hoja1!R61</f>
        <v>0</v>
      </c>
      <c r="M519" s="70">
        <f>[1]Hoja1!S61</f>
        <v>0</v>
      </c>
      <c r="N519" s="70">
        <f>[1]Hoja1!T61</f>
        <v>0</v>
      </c>
      <c r="O519" s="70">
        <f>[1]Hoja1!U61</f>
        <v>0</v>
      </c>
      <c r="P519" s="70">
        <f>[1]Hoja1!V61</f>
        <v>0</v>
      </c>
      <c r="Q519" s="70">
        <f>[1]Hoja1!W61</f>
        <v>0</v>
      </c>
      <c r="R519" s="70">
        <f>[1]Hoja1!X61</f>
        <v>0</v>
      </c>
      <c r="S519" s="70">
        <f>[1]Hoja1!Y61</f>
        <v>0</v>
      </c>
      <c r="T519" s="70">
        <f>[1]Hoja1!Z61</f>
        <v>0</v>
      </c>
      <c r="U519" s="70">
        <f>[1]Hoja1!AA61</f>
        <v>0</v>
      </c>
      <c r="V519" s="70">
        <f>[1]Hoja1!AB61</f>
        <v>0</v>
      </c>
      <c r="W519" s="70">
        <f>[1]Hoja1!AC61</f>
        <v>0</v>
      </c>
      <c r="X519" s="70">
        <f>[1]Hoja1!AD61</f>
        <v>0</v>
      </c>
      <c r="Y519" s="70">
        <f>[1]Hoja1!AE61</f>
        <v>0</v>
      </c>
      <c r="Z519" s="70">
        <f>[1]Hoja1!AF61</f>
        <v>0</v>
      </c>
      <c r="AA519" s="70">
        <f>[1]Hoja1!AG61</f>
        <v>0</v>
      </c>
      <c r="AB519" s="70">
        <f>[1]Hoja1!AH61</f>
        <v>0</v>
      </c>
      <c r="AC519" s="70">
        <f>[1]Hoja1!AI61</f>
        <v>0</v>
      </c>
      <c r="AD519" s="70">
        <f>[1]Hoja1!AJ61</f>
        <v>0</v>
      </c>
      <c r="AE519" s="70">
        <f>[1]Hoja1!AK61</f>
        <v>0</v>
      </c>
      <c r="AF519" s="70">
        <f>[1]Hoja1!AL61</f>
        <v>0</v>
      </c>
      <c r="AG519" s="70">
        <f>[1]Hoja1!AM61</f>
        <v>0</v>
      </c>
      <c r="AH519" s="70">
        <f>[1]Hoja1!AN61</f>
        <v>0</v>
      </c>
      <c r="AI519" s="70">
        <f>[1]Hoja1!AO61</f>
        <v>0</v>
      </c>
      <c r="AJ519" s="70">
        <f>[1]Hoja1!AP61</f>
        <v>0</v>
      </c>
    </row>
    <row r="520" spans="1:36" x14ac:dyDescent="0.25">
      <c r="A520">
        <f>[1]Hoja1!A62</f>
        <v>0</v>
      </c>
      <c r="B520">
        <f>[1]Hoja1!B62</f>
        <v>0</v>
      </c>
      <c r="C520">
        <f>[1]Hoja1!D62</f>
        <v>0</v>
      </c>
      <c r="D520" s="30">
        <f>[1]Hoja1!E62</f>
        <v>0</v>
      </c>
      <c r="E520" s="30">
        <f>[1]Hoja1!F62</f>
        <v>0</v>
      </c>
      <c r="F520" s="70">
        <f>[1]Hoja1!L62</f>
        <v>0</v>
      </c>
      <c r="G520" s="70">
        <f>[1]Hoja1!M62</f>
        <v>0</v>
      </c>
      <c r="H520" s="70">
        <f>[1]Hoja1!N62</f>
        <v>0</v>
      </c>
      <c r="I520" s="70">
        <f>[1]Hoja1!O62</f>
        <v>0</v>
      </c>
      <c r="J520" s="70">
        <f>[1]Hoja1!P62</f>
        <v>0</v>
      </c>
      <c r="K520" s="70">
        <f>[1]Hoja1!Q62</f>
        <v>0</v>
      </c>
      <c r="L520" s="70">
        <f>[1]Hoja1!R62</f>
        <v>0</v>
      </c>
      <c r="M520" s="70">
        <f>[1]Hoja1!S62</f>
        <v>0</v>
      </c>
      <c r="N520" s="70">
        <f>[1]Hoja1!T62</f>
        <v>0</v>
      </c>
      <c r="O520" s="70">
        <f>[1]Hoja1!U62</f>
        <v>0</v>
      </c>
      <c r="P520" s="70">
        <f>[1]Hoja1!V62</f>
        <v>0</v>
      </c>
      <c r="Q520" s="70">
        <f>[1]Hoja1!W62</f>
        <v>0</v>
      </c>
      <c r="R520" s="70">
        <f>[1]Hoja1!X62</f>
        <v>0</v>
      </c>
      <c r="S520" s="70">
        <f>[1]Hoja1!Y62</f>
        <v>0</v>
      </c>
      <c r="T520" s="70">
        <f>[1]Hoja1!Z62</f>
        <v>0</v>
      </c>
      <c r="U520" s="70">
        <f>[1]Hoja1!AA62</f>
        <v>0</v>
      </c>
      <c r="V520" s="70">
        <f>[1]Hoja1!AB62</f>
        <v>0</v>
      </c>
      <c r="W520" s="70">
        <f>[1]Hoja1!AC62</f>
        <v>0</v>
      </c>
      <c r="X520" s="70">
        <f>[1]Hoja1!AD62</f>
        <v>0</v>
      </c>
      <c r="Y520" s="70">
        <f>[1]Hoja1!AE62</f>
        <v>0</v>
      </c>
      <c r="Z520" s="70">
        <f>[1]Hoja1!AF62</f>
        <v>0</v>
      </c>
      <c r="AA520" s="70">
        <f>[1]Hoja1!AG62</f>
        <v>0</v>
      </c>
      <c r="AB520" s="70">
        <f>[1]Hoja1!AH62</f>
        <v>0</v>
      </c>
      <c r="AC520" s="70">
        <f>[1]Hoja1!AI62</f>
        <v>0</v>
      </c>
      <c r="AD520" s="70">
        <f>[1]Hoja1!AJ62</f>
        <v>0</v>
      </c>
      <c r="AE520" s="70">
        <f>[1]Hoja1!AK62</f>
        <v>0</v>
      </c>
      <c r="AF520" s="70">
        <f>[1]Hoja1!AL62</f>
        <v>0</v>
      </c>
      <c r="AG520" s="70">
        <f>[1]Hoja1!AM62</f>
        <v>0</v>
      </c>
      <c r="AH520" s="70">
        <f>[1]Hoja1!AN62</f>
        <v>0</v>
      </c>
      <c r="AI520" s="70">
        <f>[1]Hoja1!AO62</f>
        <v>0</v>
      </c>
      <c r="AJ520" s="70">
        <f>[1]Hoja1!AP62</f>
        <v>0</v>
      </c>
    </row>
    <row r="521" spans="1:36" x14ac:dyDescent="0.25">
      <c r="A521">
        <f>[1]Hoja1!A63</f>
        <v>0</v>
      </c>
      <c r="B521">
        <f>[1]Hoja1!B63</f>
        <v>0</v>
      </c>
      <c r="C521">
        <f>[1]Hoja1!D63</f>
        <v>0</v>
      </c>
      <c r="D521" s="30">
        <f>[1]Hoja1!E63</f>
        <v>0</v>
      </c>
      <c r="E521" s="30">
        <f>[1]Hoja1!F63</f>
        <v>0</v>
      </c>
      <c r="F521" s="70">
        <f>[1]Hoja1!L63</f>
        <v>0</v>
      </c>
      <c r="G521" s="70">
        <f>[1]Hoja1!M63</f>
        <v>0</v>
      </c>
      <c r="H521" s="70">
        <f>[1]Hoja1!N63</f>
        <v>0</v>
      </c>
      <c r="I521" s="70">
        <f>[1]Hoja1!O63</f>
        <v>0</v>
      </c>
      <c r="J521" s="70">
        <f>[1]Hoja1!P63</f>
        <v>0</v>
      </c>
      <c r="K521" s="70">
        <f>[1]Hoja1!Q63</f>
        <v>0</v>
      </c>
      <c r="L521" s="70">
        <f>[1]Hoja1!R63</f>
        <v>0</v>
      </c>
      <c r="M521" s="70">
        <f>[1]Hoja1!S63</f>
        <v>0</v>
      </c>
      <c r="N521" s="70">
        <f>[1]Hoja1!T63</f>
        <v>0</v>
      </c>
      <c r="O521" s="70">
        <f>[1]Hoja1!U63</f>
        <v>0</v>
      </c>
      <c r="P521" s="70">
        <f>[1]Hoja1!V63</f>
        <v>0</v>
      </c>
      <c r="Q521" s="70">
        <f>[1]Hoja1!W63</f>
        <v>0</v>
      </c>
      <c r="R521" s="70">
        <f>[1]Hoja1!X63</f>
        <v>0</v>
      </c>
      <c r="S521" s="70">
        <f>[1]Hoja1!Y63</f>
        <v>0</v>
      </c>
      <c r="T521" s="70">
        <f>[1]Hoja1!Z63</f>
        <v>0</v>
      </c>
      <c r="U521" s="70">
        <f>[1]Hoja1!AA63</f>
        <v>0</v>
      </c>
      <c r="V521" s="70">
        <f>[1]Hoja1!AB63</f>
        <v>0</v>
      </c>
      <c r="W521" s="70">
        <f>[1]Hoja1!AC63</f>
        <v>0</v>
      </c>
      <c r="X521" s="70">
        <f>[1]Hoja1!AD63</f>
        <v>0</v>
      </c>
      <c r="Y521" s="70">
        <f>[1]Hoja1!AE63</f>
        <v>0</v>
      </c>
      <c r="Z521" s="70">
        <f>[1]Hoja1!AF63</f>
        <v>0</v>
      </c>
      <c r="AA521" s="70">
        <f>[1]Hoja1!AG63</f>
        <v>0</v>
      </c>
      <c r="AB521" s="70">
        <f>[1]Hoja1!AH63</f>
        <v>0</v>
      </c>
      <c r="AC521" s="70">
        <f>[1]Hoja1!AI63</f>
        <v>0</v>
      </c>
      <c r="AD521" s="70">
        <f>[1]Hoja1!AJ63</f>
        <v>0</v>
      </c>
      <c r="AE521" s="70">
        <f>[1]Hoja1!AK63</f>
        <v>0</v>
      </c>
      <c r="AF521" s="70">
        <f>[1]Hoja1!AL63</f>
        <v>0</v>
      </c>
      <c r="AG521" s="70">
        <f>[1]Hoja1!AM63</f>
        <v>0</v>
      </c>
      <c r="AH521" s="70">
        <f>[1]Hoja1!AN63</f>
        <v>0</v>
      </c>
      <c r="AI521" s="70">
        <f>[1]Hoja1!AO63</f>
        <v>0</v>
      </c>
      <c r="AJ521" s="70">
        <f>[1]Hoja1!AP63</f>
        <v>0</v>
      </c>
    </row>
    <row r="522" spans="1:36" x14ac:dyDescent="0.25">
      <c r="A522">
        <f>[1]Hoja1!A64</f>
        <v>0</v>
      </c>
      <c r="B522">
        <f>[1]Hoja1!B64</f>
        <v>0</v>
      </c>
      <c r="C522">
        <f>[1]Hoja1!D64</f>
        <v>0</v>
      </c>
      <c r="D522" s="30">
        <f>[1]Hoja1!E64</f>
        <v>0</v>
      </c>
      <c r="E522" s="30">
        <f>[1]Hoja1!F64</f>
        <v>0</v>
      </c>
      <c r="F522" s="70">
        <f>[1]Hoja1!L64</f>
        <v>0</v>
      </c>
      <c r="G522" s="70">
        <f>[1]Hoja1!M64</f>
        <v>0</v>
      </c>
      <c r="H522" s="70">
        <f>[1]Hoja1!N64</f>
        <v>0</v>
      </c>
      <c r="I522" s="70">
        <f>[1]Hoja1!O64</f>
        <v>0</v>
      </c>
      <c r="J522" s="70">
        <f>[1]Hoja1!P64</f>
        <v>0</v>
      </c>
      <c r="K522" s="70">
        <f>[1]Hoja1!Q64</f>
        <v>0</v>
      </c>
      <c r="L522" s="70">
        <f>[1]Hoja1!R64</f>
        <v>0</v>
      </c>
      <c r="M522" s="70">
        <f>[1]Hoja1!S64</f>
        <v>0</v>
      </c>
      <c r="N522" s="70">
        <f>[1]Hoja1!T64</f>
        <v>0</v>
      </c>
      <c r="O522" s="70">
        <f>[1]Hoja1!U64</f>
        <v>0</v>
      </c>
      <c r="P522" s="70">
        <f>[1]Hoja1!V64</f>
        <v>0</v>
      </c>
      <c r="Q522" s="70">
        <f>[1]Hoja1!W64</f>
        <v>0</v>
      </c>
      <c r="R522" s="70">
        <f>[1]Hoja1!X64</f>
        <v>0</v>
      </c>
      <c r="S522" s="70">
        <f>[1]Hoja1!Y64</f>
        <v>0</v>
      </c>
      <c r="T522" s="70">
        <f>[1]Hoja1!Z64</f>
        <v>0</v>
      </c>
      <c r="U522" s="70">
        <f>[1]Hoja1!AA64</f>
        <v>0</v>
      </c>
      <c r="V522" s="70">
        <f>[1]Hoja1!AB64</f>
        <v>0</v>
      </c>
      <c r="W522" s="70">
        <f>[1]Hoja1!AC64</f>
        <v>0</v>
      </c>
      <c r="X522" s="70">
        <f>[1]Hoja1!AD64</f>
        <v>0</v>
      </c>
      <c r="Y522" s="70">
        <f>[1]Hoja1!AE64</f>
        <v>0</v>
      </c>
      <c r="Z522" s="70">
        <f>[1]Hoja1!AF64</f>
        <v>0</v>
      </c>
      <c r="AA522" s="70">
        <f>[1]Hoja1!AG64</f>
        <v>0</v>
      </c>
      <c r="AB522" s="70">
        <f>[1]Hoja1!AH64</f>
        <v>0</v>
      </c>
      <c r="AC522" s="70">
        <f>[1]Hoja1!AI64</f>
        <v>0</v>
      </c>
      <c r="AD522" s="70">
        <f>[1]Hoja1!AJ64</f>
        <v>0</v>
      </c>
      <c r="AE522" s="70">
        <f>[1]Hoja1!AK64</f>
        <v>0</v>
      </c>
      <c r="AF522" s="70">
        <f>[1]Hoja1!AL64</f>
        <v>0</v>
      </c>
      <c r="AG522" s="70">
        <f>[1]Hoja1!AM64</f>
        <v>0</v>
      </c>
      <c r="AH522" s="70">
        <f>[1]Hoja1!AN64</f>
        <v>0</v>
      </c>
      <c r="AI522" s="70">
        <f>[1]Hoja1!AO64</f>
        <v>0</v>
      </c>
      <c r="AJ522" s="70">
        <f>[1]Hoja1!AP64</f>
        <v>0</v>
      </c>
    </row>
    <row r="523" spans="1:36" x14ac:dyDescent="0.25">
      <c r="A523">
        <f>[1]Hoja1!A65</f>
        <v>0</v>
      </c>
      <c r="B523">
        <f>[1]Hoja1!B65</f>
        <v>0</v>
      </c>
      <c r="C523">
        <f>[1]Hoja1!D65</f>
        <v>0</v>
      </c>
      <c r="D523" s="30">
        <f>[1]Hoja1!E65</f>
        <v>0</v>
      </c>
      <c r="E523" s="30">
        <f>[1]Hoja1!F65</f>
        <v>0</v>
      </c>
      <c r="F523" s="70">
        <f>[1]Hoja1!L65</f>
        <v>0</v>
      </c>
      <c r="G523" s="70">
        <f>[1]Hoja1!M65</f>
        <v>0</v>
      </c>
      <c r="H523" s="70">
        <f>[1]Hoja1!N65</f>
        <v>0</v>
      </c>
      <c r="I523" s="70">
        <f>[1]Hoja1!O65</f>
        <v>0</v>
      </c>
      <c r="J523" s="70">
        <f>[1]Hoja1!P65</f>
        <v>0</v>
      </c>
      <c r="K523" s="70">
        <f>[1]Hoja1!Q65</f>
        <v>0</v>
      </c>
      <c r="L523" s="70">
        <f>[1]Hoja1!R65</f>
        <v>0</v>
      </c>
      <c r="M523" s="70">
        <f>[1]Hoja1!S65</f>
        <v>0</v>
      </c>
      <c r="N523" s="70">
        <f>[1]Hoja1!T65</f>
        <v>0</v>
      </c>
      <c r="O523" s="70">
        <f>[1]Hoja1!U65</f>
        <v>0</v>
      </c>
      <c r="P523" s="70">
        <f>[1]Hoja1!V65</f>
        <v>0</v>
      </c>
      <c r="Q523" s="70">
        <f>[1]Hoja1!W65</f>
        <v>0</v>
      </c>
      <c r="R523" s="70">
        <f>[1]Hoja1!X65</f>
        <v>0</v>
      </c>
      <c r="S523" s="70">
        <f>[1]Hoja1!Y65</f>
        <v>0</v>
      </c>
      <c r="T523" s="70">
        <f>[1]Hoja1!Z65</f>
        <v>0</v>
      </c>
      <c r="U523" s="70">
        <f>[1]Hoja1!AA65</f>
        <v>0</v>
      </c>
      <c r="V523" s="70">
        <f>[1]Hoja1!AB65</f>
        <v>0</v>
      </c>
      <c r="W523" s="70">
        <f>[1]Hoja1!AC65</f>
        <v>0</v>
      </c>
      <c r="X523" s="70">
        <f>[1]Hoja1!AD65</f>
        <v>0</v>
      </c>
      <c r="Y523" s="70">
        <f>[1]Hoja1!AE65</f>
        <v>0</v>
      </c>
      <c r="Z523" s="70">
        <f>[1]Hoja1!AF65</f>
        <v>0</v>
      </c>
      <c r="AA523" s="70">
        <f>[1]Hoja1!AG65</f>
        <v>0</v>
      </c>
      <c r="AB523" s="70">
        <f>[1]Hoja1!AH65</f>
        <v>0</v>
      </c>
      <c r="AC523" s="70">
        <f>[1]Hoja1!AI65</f>
        <v>0</v>
      </c>
      <c r="AD523" s="70">
        <f>[1]Hoja1!AJ65</f>
        <v>0</v>
      </c>
      <c r="AE523" s="70">
        <f>[1]Hoja1!AK65</f>
        <v>0</v>
      </c>
      <c r="AF523" s="70">
        <f>[1]Hoja1!AL65</f>
        <v>0</v>
      </c>
      <c r="AG523" s="70">
        <f>[1]Hoja1!AM65</f>
        <v>0</v>
      </c>
      <c r="AH523" s="70">
        <f>[1]Hoja1!AN65</f>
        <v>0</v>
      </c>
      <c r="AI523" s="70">
        <f>[1]Hoja1!AO65</f>
        <v>0</v>
      </c>
      <c r="AJ523" s="70">
        <f>[1]Hoja1!AP65</f>
        <v>0</v>
      </c>
    </row>
    <row r="524" spans="1:36" x14ac:dyDescent="0.25">
      <c r="A524">
        <f>[1]Hoja1!A66</f>
        <v>0</v>
      </c>
      <c r="B524">
        <f>[1]Hoja1!B66</f>
        <v>0</v>
      </c>
      <c r="C524">
        <f>[1]Hoja1!D66</f>
        <v>0</v>
      </c>
      <c r="D524" s="30">
        <f>[1]Hoja1!E66</f>
        <v>0</v>
      </c>
      <c r="E524" s="30">
        <f>[1]Hoja1!F66</f>
        <v>0</v>
      </c>
      <c r="F524" s="70">
        <f>[1]Hoja1!L66</f>
        <v>0</v>
      </c>
      <c r="G524" s="70">
        <f>[1]Hoja1!M66</f>
        <v>0</v>
      </c>
      <c r="H524" s="70">
        <f>[1]Hoja1!N66</f>
        <v>0</v>
      </c>
      <c r="I524" s="70">
        <f>[1]Hoja1!O66</f>
        <v>0</v>
      </c>
      <c r="J524" s="70">
        <f>[1]Hoja1!P66</f>
        <v>0</v>
      </c>
      <c r="K524" s="70">
        <f>[1]Hoja1!Q66</f>
        <v>0</v>
      </c>
      <c r="L524" s="70">
        <f>[1]Hoja1!R66</f>
        <v>0</v>
      </c>
      <c r="M524" s="70">
        <f>[1]Hoja1!S66</f>
        <v>0</v>
      </c>
      <c r="N524" s="70">
        <f>[1]Hoja1!T66</f>
        <v>0</v>
      </c>
      <c r="O524" s="70">
        <f>[1]Hoja1!U66</f>
        <v>0</v>
      </c>
      <c r="P524" s="70">
        <f>[1]Hoja1!V66</f>
        <v>0</v>
      </c>
      <c r="Q524" s="70">
        <f>[1]Hoja1!W66</f>
        <v>0</v>
      </c>
      <c r="R524" s="70">
        <f>[1]Hoja1!X66</f>
        <v>0</v>
      </c>
      <c r="S524" s="70">
        <f>[1]Hoja1!Y66</f>
        <v>0</v>
      </c>
      <c r="T524" s="70">
        <f>[1]Hoja1!Z66</f>
        <v>0</v>
      </c>
      <c r="U524" s="70">
        <f>[1]Hoja1!AA66</f>
        <v>0</v>
      </c>
      <c r="V524" s="70">
        <f>[1]Hoja1!AB66</f>
        <v>0</v>
      </c>
      <c r="W524" s="70">
        <f>[1]Hoja1!AC66</f>
        <v>0</v>
      </c>
      <c r="X524" s="70">
        <f>[1]Hoja1!AD66</f>
        <v>0</v>
      </c>
      <c r="Y524" s="70">
        <f>[1]Hoja1!AE66</f>
        <v>0</v>
      </c>
      <c r="Z524" s="70">
        <f>[1]Hoja1!AF66</f>
        <v>0</v>
      </c>
      <c r="AA524" s="70">
        <f>[1]Hoja1!AG66</f>
        <v>0</v>
      </c>
      <c r="AB524" s="70">
        <f>[1]Hoja1!AH66</f>
        <v>0</v>
      </c>
      <c r="AC524" s="70">
        <f>[1]Hoja1!AI66</f>
        <v>0</v>
      </c>
      <c r="AD524" s="70">
        <f>[1]Hoja1!AJ66</f>
        <v>0</v>
      </c>
      <c r="AE524" s="70">
        <f>[1]Hoja1!AK66</f>
        <v>0</v>
      </c>
      <c r="AF524" s="70">
        <f>[1]Hoja1!AL66</f>
        <v>0</v>
      </c>
      <c r="AG524" s="70">
        <f>[1]Hoja1!AM66</f>
        <v>0</v>
      </c>
      <c r="AH524" s="70">
        <f>[1]Hoja1!AN66</f>
        <v>0</v>
      </c>
      <c r="AI524" s="70">
        <f>[1]Hoja1!AO66</f>
        <v>0</v>
      </c>
      <c r="AJ524" s="70">
        <f>[1]Hoja1!AP66</f>
        <v>0</v>
      </c>
    </row>
    <row r="525" spans="1:36" x14ac:dyDescent="0.25">
      <c r="A525">
        <f>[1]Hoja1!A67</f>
        <v>0</v>
      </c>
      <c r="B525">
        <f>[1]Hoja1!B67</f>
        <v>0</v>
      </c>
      <c r="C525">
        <f>[1]Hoja1!D67</f>
        <v>0</v>
      </c>
      <c r="D525" s="30">
        <f>[1]Hoja1!E67</f>
        <v>0</v>
      </c>
      <c r="E525" s="30">
        <f>[1]Hoja1!F67</f>
        <v>0</v>
      </c>
      <c r="F525" s="70">
        <f>[1]Hoja1!L67</f>
        <v>0</v>
      </c>
      <c r="G525" s="70">
        <f>[1]Hoja1!M67</f>
        <v>0</v>
      </c>
      <c r="H525" s="70">
        <f>[1]Hoja1!N67</f>
        <v>0</v>
      </c>
      <c r="I525" s="70">
        <f>[1]Hoja1!O67</f>
        <v>0</v>
      </c>
      <c r="J525" s="70">
        <f>[1]Hoja1!P67</f>
        <v>0</v>
      </c>
      <c r="K525" s="70">
        <f>[1]Hoja1!Q67</f>
        <v>0</v>
      </c>
      <c r="L525" s="70">
        <f>[1]Hoja1!R67</f>
        <v>0</v>
      </c>
      <c r="M525" s="70">
        <f>[1]Hoja1!S67</f>
        <v>0</v>
      </c>
      <c r="N525" s="70">
        <f>[1]Hoja1!T67</f>
        <v>0</v>
      </c>
      <c r="O525" s="70">
        <f>[1]Hoja1!U67</f>
        <v>0</v>
      </c>
      <c r="P525" s="70">
        <f>[1]Hoja1!V67</f>
        <v>0</v>
      </c>
      <c r="Q525" s="70">
        <f>[1]Hoja1!W67</f>
        <v>0</v>
      </c>
      <c r="R525" s="70">
        <f>[1]Hoja1!X67</f>
        <v>0</v>
      </c>
      <c r="S525" s="70">
        <f>[1]Hoja1!Y67</f>
        <v>0</v>
      </c>
      <c r="T525" s="70">
        <f>[1]Hoja1!Z67</f>
        <v>0</v>
      </c>
      <c r="U525" s="70">
        <f>[1]Hoja1!AA67</f>
        <v>0</v>
      </c>
      <c r="V525" s="70">
        <f>[1]Hoja1!AB67</f>
        <v>0</v>
      </c>
      <c r="W525" s="70">
        <f>[1]Hoja1!AC67</f>
        <v>0</v>
      </c>
      <c r="X525" s="70">
        <f>[1]Hoja1!AD67</f>
        <v>0</v>
      </c>
      <c r="Y525" s="70">
        <f>[1]Hoja1!AE67</f>
        <v>0</v>
      </c>
      <c r="Z525" s="70">
        <f>[1]Hoja1!AF67</f>
        <v>0</v>
      </c>
      <c r="AA525" s="70">
        <f>[1]Hoja1!AG67</f>
        <v>0</v>
      </c>
      <c r="AB525" s="70">
        <f>[1]Hoja1!AH67</f>
        <v>0</v>
      </c>
      <c r="AC525" s="70">
        <f>[1]Hoja1!AI67</f>
        <v>0</v>
      </c>
      <c r="AD525" s="70">
        <f>[1]Hoja1!AJ67</f>
        <v>0</v>
      </c>
      <c r="AE525" s="70">
        <f>[1]Hoja1!AK67</f>
        <v>0</v>
      </c>
      <c r="AF525" s="70">
        <f>[1]Hoja1!AL67</f>
        <v>0</v>
      </c>
      <c r="AG525" s="70">
        <f>[1]Hoja1!AM67</f>
        <v>0</v>
      </c>
      <c r="AH525" s="70">
        <f>[1]Hoja1!AN67</f>
        <v>0</v>
      </c>
      <c r="AI525" s="70">
        <f>[1]Hoja1!AO67</f>
        <v>0</v>
      </c>
      <c r="AJ525" s="70">
        <f>[1]Hoja1!AP67</f>
        <v>0</v>
      </c>
    </row>
    <row r="526" spans="1:36" x14ac:dyDescent="0.25">
      <c r="A526">
        <f>[1]Hoja1!A68</f>
        <v>0</v>
      </c>
      <c r="B526">
        <f>[1]Hoja1!B68</f>
        <v>0</v>
      </c>
      <c r="C526">
        <f>[1]Hoja1!D68</f>
        <v>0</v>
      </c>
      <c r="D526" s="30">
        <f>[1]Hoja1!E68</f>
        <v>0</v>
      </c>
      <c r="E526" s="30">
        <f>[1]Hoja1!F68</f>
        <v>0</v>
      </c>
      <c r="F526" s="70">
        <f>[1]Hoja1!L68</f>
        <v>0</v>
      </c>
      <c r="G526" s="70">
        <f>[1]Hoja1!M68</f>
        <v>0</v>
      </c>
      <c r="H526" s="70">
        <f>[1]Hoja1!N68</f>
        <v>0</v>
      </c>
      <c r="I526" s="70">
        <f>[1]Hoja1!O68</f>
        <v>0</v>
      </c>
      <c r="J526" s="70">
        <f>[1]Hoja1!P68</f>
        <v>0</v>
      </c>
      <c r="K526" s="70">
        <f>[1]Hoja1!Q68</f>
        <v>0</v>
      </c>
      <c r="L526" s="70">
        <f>[1]Hoja1!R68</f>
        <v>0</v>
      </c>
      <c r="M526" s="70">
        <f>[1]Hoja1!S68</f>
        <v>0</v>
      </c>
      <c r="N526" s="70">
        <f>[1]Hoja1!T68</f>
        <v>0</v>
      </c>
      <c r="O526" s="70">
        <f>[1]Hoja1!U68</f>
        <v>0</v>
      </c>
      <c r="P526" s="70">
        <f>[1]Hoja1!V68</f>
        <v>0</v>
      </c>
      <c r="Q526" s="70">
        <f>[1]Hoja1!W68</f>
        <v>0</v>
      </c>
      <c r="R526" s="70">
        <f>[1]Hoja1!X68</f>
        <v>0</v>
      </c>
      <c r="S526" s="70">
        <f>[1]Hoja1!Y68</f>
        <v>0</v>
      </c>
      <c r="T526" s="70">
        <f>[1]Hoja1!Z68</f>
        <v>0</v>
      </c>
      <c r="U526" s="70">
        <f>[1]Hoja1!AA68</f>
        <v>0</v>
      </c>
      <c r="V526" s="70">
        <f>[1]Hoja1!AB68</f>
        <v>0</v>
      </c>
      <c r="W526" s="70">
        <f>[1]Hoja1!AC68</f>
        <v>0</v>
      </c>
      <c r="X526" s="70">
        <f>[1]Hoja1!AD68</f>
        <v>0</v>
      </c>
      <c r="Y526" s="70">
        <f>[1]Hoja1!AE68</f>
        <v>0</v>
      </c>
      <c r="Z526" s="70">
        <f>[1]Hoja1!AF68</f>
        <v>0</v>
      </c>
      <c r="AA526" s="70">
        <f>[1]Hoja1!AG68</f>
        <v>0</v>
      </c>
      <c r="AB526" s="70">
        <f>[1]Hoja1!AH68</f>
        <v>0</v>
      </c>
      <c r="AC526" s="70">
        <f>[1]Hoja1!AI68</f>
        <v>0</v>
      </c>
      <c r="AD526" s="70">
        <f>[1]Hoja1!AJ68</f>
        <v>0</v>
      </c>
      <c r="AE526" s="70">
        <f>[1]Hoja1!AK68</f>
        <v>0</v>
      </c>
      <c r="AF526" s="70">
        <f>[1]Hoja1!AL68</f>
        <v>0</v>
      </c>
      <c r="AG526" s="70">
        <f>[1]Hoja1!AM68</f>
        <v>0</v>
      </c>
      <c r="AH526" s="70">
        <f>[1]Hoja1!AN68</f>
        <v>0</v>
      </c>
      <c r="AI526" s="70">
        <f>[1]Hoja1!AO68</f>
        <v>0</v>
      </c>
      <c r="AJ526" s="70">
        <f>[1]Hoja1!AP68</f>
        <v>0</v>
      </c>
    </row>
    <row r="527" spans="1:36" x14ac:dyDescent="0.25">
      <c r="A527">
        <f>[1]Hoja1!A69</f>
        <v>0</v>
      </c>
      <c r="B527">
        <f>[1]Hoja1!B69</f>
        <v>0</v>
      </c>
      <c r="C527">
        <f>[1]Hoja1!D69</f>
        <v>0</v>
      </c>
      <c r="D527" s="30">
        <f>[1]Hoja1!E69</f>
        <v>0</v>
      </c>
      <c r="E527" s="30">
        <f>[1]Hoja1!F69</f>
        <v>0</v>
      </c>
      <c r="F527" s="70">
        <f>[1]Hoja1!L69</f>
        <v>0</v>
      </c>
      <c r="G527" s="70">
        <f>[1]Hoja1!M69</f>
        <v>0</v>
      </c>
      <c r="H527" s="70">
        <f>[1]Hoja1!N69</f>
        <v>0</v>
      </c>
      <c r="I527" s="70">
        <f>[1]Hoja1!O69</f>
        <v>0</v>
      </c>
      <c r="J527" s="70">
        <f>[1]Hoja1!P69</f>
        <v>0</v>
      </c>
      <c r="K527" s="70">
        <f>[1]Hoja1!Q69</f>
        <v>0</v>
      </c>
      <c r="L527" s="70">
        <f>[1]Hoja1!R69</f>
        <v>0</v>
      </c>
      <c r="M527" s="70">
        <f>[1]Hoja1!S69</f>
        <v>0</v>
      </c>
      <c r="N527" s="70">
        <f>[1]Hoja1!T69</f>
        <v>0</v>
      </c>
      <c r="O527" s="70">
        <f>[1]Hoja1!U69</f>
        <v>0</v>
      </c>
      <c r="P527" s="70">
        <f>[1]Hoja1!V69</f>
        <v>0</v>
      </c>
      <c r="Q527" s="70">
        <f>[1]Hoja1!W69</f>
        <v>0</v>
      </c>
      <c r="R527" s="70">
        <f>[1]Hoja1!X69</f>
        <v>0</v>
      </c>
      <c r="S527" s="70">
        <f>[1]Hoja1!Y69</f>
        <v>0</v>
      </c>
      <c r="T527" s="70">
        <f>[1]Hoja1!Z69</f>
        <v>0</v>
      </c>
      <c r="U527" s="70">
        <f>[1]Hoja1!AA69</f>
        <v>0</v>
      </c>
      <c r="V527" s="70">
        <f>[1]Hoja1!AB69</f>
        <v>0</v>
      </c>
      <c r="W527" s="70">
        <f>[1]Hoja1!AC69</f>
        <v>0</v>
      </c>
      <c r="X527" s="70">
        <f>[1]Hoja1!AD69</f>
        <v>0</v>
      </c>
      <c r="Y527" s="70">
        <f>[1]Hoja1!AE69</f>
        <v>0</v>
      </c>
      <c r="Z527" s="70">
        <f>[1]Hoja1!AF69</f>
        <v>0</v>
      </c>
      <c r="AA527" s="70">
        <f>[1]Hoja1!AG69</f>
        <v>0</v>
      </c>
      <c r="AB527" s="70">
        <f>[1]Hoja1!AH69</f>
        <v>0</v>
      </c>
      <c r="AC527" s="70">
        <f>[1]Hoja1!AI69</f>
        <v>0</v>
      </c>
      <c r="AD527" s="70">
        <f>[1]Hoja1!AJ69</f>
        <v>0</v>
      </c>
      <c r="AE527" s="70">
        <f>[1]Hoja1!AK69</f>
        <v>0</v>
      </c>
      <c r="AF527" s="70">
        <f>[1]Hoja1!AL69</f>
        <v>0</v>
      </c>
      <c r="AG527" s="70">
        <f>[1]Hoja1!AM69</f>
        <v>0</v>
      </c>
      <c r="AH527" s="70">
        <f>[1]Hoja1!AN69</f>
        <v>0</v>
      </c>
      <c r="AI527" s="70">
        <f>[1]Hoja1!AO69</f>
        <v>0</v>
      </c>
      <c r="AJ527" s="70">
        <f>[1]Hoja1!AP69</f>
        <v>0</v>
      </c>
    </row>
    <row r="528" spans="1:36" x14ac:dyDescent="0.25">
      <c r="A528">
        <f>[1]Hoja1!A70</f>
        <v>0</v>
      </c>
      <c r="B528">
        <f>[1]Hoja1!B70</f>
        <v>0</v>
      </c>
      <c r="C528">
        <f>[1]Hoja1!D70</f>
        <v>0</v>
      </c>
      <c r="D528" s="30">
        <f>[1]Hoja1!E70</f>
        <v>0</v>
      </c>
      <c r="E528" s="30">
        <f>[1]Hoja1!F70</f>
        <v>0</v>
      </c>
      <c r="F528" s="70">
        <f>[1]Hoja1!L70</f>
        <v>0</v>
      </c>
      <c r="G528" s="70">
        <f>[1]Hoja1!M70</f>
        <v>0</v>
      </c>
      <c r="H528" s="70">
        <f>[1]Hoja1!N70</f>
        <v>0</v>
      </c>
      <c r="I528" s="70">
        <f>[1]Hoja1!O70</f>
        <v>0</v>
      </c>
      <c r="J528" s="70">
        <f>[1]Hoja1!P70</f>
        <v>0</v>
      </c>
      <c r="K528" s="70">
        <f>[1]Hoja1!Q70</f>
        <v>0</v>
      </c>
      <c r="L528" s="70">
        <f>[1]Hoja1!R70</f>
        <v>0</v>
      </c>
      <c r="M528" s="70">
        <f>[1]Hoja1!S70</f>
        <v>0</v>
      </c>
      <c r="N528" s="70">
        <f>[1]Hoja1!T70</f>
        <v>0</v>
      </c>
      <c r="O528" s="70">
        <f>[1]Hoja1!U70</f>
        <v>0</v>
      </c>
      <c r="P528" s="70">
        <f>[1]Hoja1!V70</f>
        <v>0</v>
      </c>
      <c r="Q528" s="70">
        <f>[1]Hoja1!W70</f>
        <v>0</v>
      </c>
      <c r="R528" s="70">
        <f>[1]Hoja1!X70</f>
        <v>0</v>
      </c>
      <c r="S528" s="70">
        <f>[1]Hoja1!Y70</f>
        <v>0</v>
      </c>
      <c r="T528" s="70">
        <f>[1]Hoja1!Z70</f>
        <v>0</v>
      </c>
      <c r="U528" s="70">
        <f>[1]Hoja1!AA70</f>
        <v>0</v>
      </c>
      <c r="V528" s="70">
        <f>[1]Hoja1!AB70</f>
        <v>0</v>
      </c>
      <c r="W528" s="70">
        <f>[1]Hoja1!AC70</f>
        <v>0</v>
      </c>
      <c r="X528" s="70">
        <f>[1]Hoja1!AD70</f>
        <v>0</v>
      </c>
      <c r="Y528" s="70">
        <f>[1]Hoja1!AE70</f>
        <v>0</v>
      </c>
      <c r="Z528" s="70">
        <f>[1]Hoja1!AF70</f>
        <v>0</v>
      </c>
      <c r="AA528" s="70">
        <f>[1]Hoja1!AG70</f>
        <v>0</v>
      </c>
      <c r="AB528" s="70">
        <f>[1]Hoja1!AH70</f>
        <v>0</v>
      </c>
      <c r="AC528" s="70">
        <f>[1]Hoja1!AI70</f>
        <v>0</v>
      </c>
      <c r="AD528" s="70">
        <f>[1]Hoja1!AJ70</f>
        <v>0</v>
      </c>
      <c r="AE528" s="70">
        <f>[1]Hoja1!AK70</f>
        <v>0</v>
      </c>
      <c r="AF528" s="70">
        <f>[1]Hoja1!AL70</f>
        <v>0</v>
      </c>
      <c r="AG528" s="70">
        <f>[1]Hoja1!AM70</f>
        <v>0</v>
      </c>
      <c r="AH528" s="70">
        <f>[1]Hoja1!AN70</f>
        <v>0</v>
      </c>
      <c r="AI528" s="70">
        <f>[1]Hoja1!AO70</f>
        <v>0</v>
      </c>
      <c r="AJ528" s="70">
        <f>[1]Hoja1!AP70</f>
        <v>0</v>
      </c>
    </row>
    <row r="529" spans="1:36" x14ac:dyDescent="0.25">
      <c r="A529">
        <f>[1]Hoja1!A71</f>
        <v>0</v>
      </c>
      <c r="B529">
        <f>[1]Hoja1!B71</f>
        <v>0</v>
      </c>
      <c r="C529">
        <f>[1]Hoja1!D71</f>
        <v>0</v>
      </c>
      <c r="D529" s="30">
        <f>[1]Hoja1!E71</f>
        <v>0</v>
      </c>
      <c r="E529" s="30">
        <f>[1]Hoja1!F71</f>
        <v>0</v>
      </c>
      <c r="F529" s="70">
        <f>[1]Hoja1!L71</f>
        <v>0</v>
      </c>
      <c r="G529" s="70">
        <f>[1]Hoja1!M71</f>
        <v>0</v>
      </c>
      <c r="H529" s="70">
        <f>[1]Hoja1!N71</f>
        <v>0</v>
      </c>
      <c r="I529" s="70">
        <f>[1]Hoja1!O71</f>
        <v>0</v>
      </c>
      <c r="J529" s="70">
        <f>[1]Hoja1!P71</f>
        <v>0</v>
      </c>
      <c r="K529" s="70">
        <f>[1]Hoja1!Q71</f>
        <v>0</v>
      </c>
      <c r="L529" s="70">
        <f>[1]Hoja1!R71</f>
        <v>0</v>
      </c>
      <c r="M529" s="70">
        <f>[1]Hoja1!S71</f>
        <v>0</v>
      </c>
      <c r="N529" s="70">
        <f>[1]Hoja1!T71</f>
        <v>0</v>
      </c>
      <c r="O529" s="70">
        <f>[1]Hoja1!U71</f>
        <v>0</v>
      </c>
      <c r="P529" s="70">
        <f>[1]Hoja1!V71</f>
        <v>0</v>
      </c>
      <c r="Q529" s="70">
        <f>[1]Hoja1!W71</f>
        <v>0</v>
      </c>
      <c r="R529" s="70">
        <f>[1]Hoja1!X71</f>
        <v>0</v>
      </c>
      <c r="S529" s="70">
        <f>[1]Hoja1!Y71</f>
        <v>0</v>
      </c>
      <c r="T529" s="70">
        <f>[1]Hoja1!Z71</f>
        <v>0</v>
      </c>
      <c r="U529" s="70">
        <f>[1]Hoja1!AA71</f>
        <v>0</v>
      </c>
      <c r="V529" s="70">
        <f>[1]Hoja1!AB71</f>
        <v>0</v>
      </c>
      <c r="W529" s="70">
        <f>[1]Hoja1!AC71</f>
        <v>0</v>
      </c>
      <c r="X529" s="70">
        <f>[1]Hoja1!AD71</f>
        <v>0</v>
      </c>
      <c r="Y529" s="70">
        <f>[1]Hoja1!AE71</f>
        <v>0</v>
      </c>
      <c r="Z529" s="70">
        <f>[1]Hoja1!AF71</f>
        <v>0</v>
      </c>
      <c r="AA529" s="70">
        <f>[1]Hoja1!AG71</f>
        <v>0</v>
      </c>
      <c r="AB529" s="70">
        <f>[1]Hoja1!AH71</f>
        <v>0</v>
      </c>
      <c r="AC529" s="70">
        <f>[1]Hoja1!AI71</f>
        <v>0</v>
      </c>
      <c r="AD529" s="70">
        <f>[1]Hoja1!AJ71</f>
        <v>0</v>
      </c>
      <c r="AE529" s="70">
        <f>[1]Hoja1!AK71</f>
        <v>0</v>
      </c>
      <c r="AF529" s="70">
        <f>[1]Hoja1!AL71</f>
        <v>0</v>
      </c>
      <c r="AG529" s="70">
        <f>[1]Hoja1!AM71</f>
        <v>0</v>
      </c>
      <c r="AH529" s="70">
        <f>[1]Hoja1!AN71</f>
        <v>0</v>
      </c>
      <c r="AI529" s="70">
        <f>[1]Hoja1!AO71</f>
        <v>0</v>
      </c>
      <c r="AJ529" s="70">
        <f>[1]Hoja1!AP71</f>
        <v>0</v>
      </c>
    </row>
    <row r="530" spans="1:36" x14ac:dyDescent="0.25">
      <c r="A530">
        <f>[1]Hoja1!A72</f>
        <v>0</v>
      </c>
      <c r="B530">
        <f>[1]Hoja1!B72</f>
        <v>0</v>
      </c>
      <c r="C530">
        <f>[1]Hoja1!D72</f>
        <v>0</v>
      </c>
      <c r="D530" s="30">
        <f>[1]Hoja1!E72</f>
        <v>0</v>
      </c>
      <c r="E530" s="30">
        <f>[1]Hoja1!F72</f>
        <v>0</v>
      </c>
      <c r="F530" s="70">
        <f>[1]Hoja1!L72</f>
        <v>0</v>
      </c>
      <c r="G530" s="70">
        <f>[1]Hoja1!M72</f>
        <v>0</v>
      </c>
      <c r="H530" s="70">
        <f>[1]Hoja1!N72</f>
        <v>0</v>
      </c>
      <c r="I530" s="70">
        <f>[1]Hoja1!O72</f>
        <v>0</v>
      </c>
      <c r="J530" s="70">
        <f>[1]Hoja1!P72</f>
        <v>0</v>
      </c>
      <c r="K530" s="70">
        <f>[1]Hoja1!Q72</f>
        <v>0</v>
      </c>
      <c r="L530" s="70">
        <f>[1]Hoja1!R72</f>
        <v>0</v>
      </c>
      <c r="M530" s="70">
        <f>[1]Hoja1!S72</f>
        <v>0</v>
      </c>
      <c r="N530" s="70">
        <f>[1]Hoja1!T72</f>
        <v>0</v>
      </c>
      <c r="O530" s="70">
        <f>[1]Hoja1!U72</f>
        <v>0</v>
      </c>
      <c r="P530" s="70">
        <f>[1]Hoja1!V72</f>
        <v>0</v>
      </c>
      <c r="Q530" s="70">
        <f>[1]Hoja1!W72</f>
        <v>0</v>
      </c>
      <c r="R530" s="70">
        <f>[1]Hoja1!X72</f>
        <v>0</v>
      </c>
      <c r="S530" s="70">
        <f>[1]Hoja1!Y72</f>
        <v>0</v>
      </c>
      <c r="T530" s="70">
        <f>[1]Hoja1!Z72</f>
        <v>0</v>
      </c>
      <c r="U530" s="70">
        <f>[1]Hoja1!AA72</f>
        <v>0</v>
      </c>
      <c r="V530" s="70">
        <f>[1]Hoja1!AB72</f>
        <v>0</v>
      </c>
      <c r="W530" s="70">
        <f>[1]Hoja1!AC72</f>
        <v>0</v>
      </c>
      <c r="X530" s="70">
        <f>[1]Hoja1!AD72</f>
        <v>0</v>
      </c>
      <c r="Y530" s="70">
        <f>[1]Hoja1!AE72</f>
        <v>0</v>
      </c>
      <c r="Z530" s="70">
        <f>[1]Hoja1!AF72</f>
        <v>0</v>
      </c>
      <c r="AA530" s="70">
        <f>[1]Hoja1!AG72</f>
        <v>0</v>
      </c>
      <c r="AB530" s="70">
        <f>[1]Hoja1!AH72</f>
        <v>0</v>
      </c>
      <c r="AC530" s="70">
        <f>[1]Hoja1!AI72</f>
        <v>0</v>
      </c>
      <c r="AD530" s="70">
        <f>[1]Hoja1!AJ72</f>
        <v>0</v>
      </c>
      <c r="AE530" s="70">
        <f>[1]Hoja1!AK72</f>
        <v>0</v>
      </c>
      <c r="AF530" s="70">
        <f>[1]Hoja1!AL72</f>
        <v>0</v>
      </c>
      <c r="AG530" s="70">
        <f>[1]Hoja1!AM72</f>
        <v>0</v>
      </c>
      <c r="AH530" s="70">
        <f>[1]Hoja1!AN72</f>
        <v>0</v>
      </c>
      <c r="AI530" s="70">
        <f>[1]Hoja1!AO72</f>
        <v>0</v>
      </c>
      <c r="AJ530" s="70">
        <f>[1]Hoja1!AP72</f>
        <v>0</v>
      </c>
    </row>
    <row r="531" spans="1:36" x14ac:dyDescent="0.25">
      <c r="A531">
        <f>[1]Hoja1!A73</f>
        <v>0</v>
      </c>
      <c r="B531">
        <f>[1]Hoja1!B73</f>
        <v>0</v>
      </c>
      <c r="C531">
        <f>[1]Hoja1!D73</f>
        <v>0</v>
      </c>
      <c r="D531" s="30">
        <f>[1]Hoja1!E73</f>
        <v>0</v>
      </c>
      <c r="E531" s="30">
        <f>[1]Hoja1!F73</f>
        <v>0</v>
      </c>
      <c r="F531" s="70">
        <f>[1]Hoja1!L73</f>
        <v>0</v>
      </c>
      <c r="G531" s="70">
        <f>[1]Hoja1!M73</f>
        <v>0</v>
      </c>
      <c r="H531" s="70">
        <f>[1]Hoja1!N73</f>
        <v>0</v>
      </c>
      <c r="I531" s="70">
        <f>[1]Hoja1!O73</f>
        <v>0</v>
      </c>
      <c r="J531" s="70">
        <f>[1]Hoja1!P73</f>
        <v>0</v>
      </c>
      <c r="K531" s="70">
        <f>[1]Hoja1!Q73</f>
        <v>0</v>
      </c>
      <c r="L531" s="70">
        <f>[1]Hoja1!R73</f>
        <v>0</v>
      </c>
      <c r="M531" s="70">
        <f>[1]Hoja1!S73</f>
        <v>0</v>
      </c>
      <c r="N531" s="70">
        <f>[1]Hoja1!T73</f>
        <v>0</v>
      </c>
      <c r="O531" s="70">
        <f>[1]Hoja1!U73</f>
        <v>0</v>
      </c>
      <c r="P531" s="70">
        <f>[1]Hoja1!V73</f>
        <v>0</v>
      </c>
      <c r="Q531" s="70">
        <f>[1]Hoja1!W73</f>
        <v>0</v>
      </c>
      <c r="R531" s="70">
        <f>[1]Hoja1!X73</f>
        <v>0</v>
      </c>
      <c r="S531" s="70">
        <f>[1]Hoja1!Y73</f>
        <v>0</v>
      </c>
      <c r="T531" s="70">
        <f>[1]Hoja1!Z73</f>
        <v>0</v>
      </c>
      <c r="U531" s="70">
        <f>[1]Hoja1!AA73</f>
        <v>0</v>
      </c>
      <c r="V531" s="70">
        <f>[1]Hoja1!AB73</f>
        <v>0</v>
      </c>
      <c r="W531" s="70">
        <f>[1]Hoja1!AC73</f>
        <v>0</v>
      </c>
      <c r="X531" s="70">
        <f>[1]Hoja1!AD73</f>
        <v>0</v>
      </c>
      <c r="Y531" s="70">
        <f>[1]Hoja1!AE73</f>
        <v>0</v>
      </c>
      <c r="Z531" s="70">
        <f>[1]Hoja1!AF73</f>
        <v>0</v>
      </c>
      <c r="AA531" s="70">
        <f>[1]Hoja1!AG73</f>
        <v>0</v>
      </c>
      <c r="AB531" s="70">
        <f>[1]Hoja1!AH73</f>
        <v>0</v>
      </c>
      <c r="AC531" s="70">
        <f>[1]Hoja1!AI73</f>
        <v>0</v>
      </c>
      <c r="AD531" s="70">
        <f>[1]Hoja1!AJ73</f>
        <v>0</v>
      </c>
      <c r="AE531" s="70">
        <f>[1]Hoja1!AK73</f>
        <v>0</v>
      </c>
      <c r="AF531" s="70">
        <f>[1]Hoja1!AL73</f>
        <v>0</v>
      </c>
      <c r="AG531" s="70">
        <f>[1]Hoja1!AM73</f>
        <v>0</v>
      </c>
      <c r="AH531" s="70">
        <f>[1]Hoja1!AN73</f>
        <v>0</v>
      </c>
      <c r="AI531" s="70">
        <f>[1]Hoja1!AO73</f>
        <v>0</v>
      </c>
      <c r="AJ531" s="70">
        <f>[1]Hoja1!AP73</f>
        <v>0</v>
      </c>
    </row>
    <row r="532" spans="1:36" x14ac:dyDescent="0.25">
      <c r="A532">
        <f>[1]Hoja1!A74</f>
        <v>0</v>
      </c>
      <c r="B532">
        <f>[1]Hoja1!B74</f>
        <v>0</v>
      </c>
      <c r="C532">
        <f>[1]Hoja1!D74</f>
        <v>0</v>
      </c>
      <c r="D532" s="30">
        <f>[1]Hoja1!E74</f>
        <v>0</v>
      </c>
      <c r="E532" s="30">
        <f>[1]Hoja1!F74</f>
        <v>0</v>
      </c>
      <c r="F532" s="70">
        <f>[1]Hoja1!L74</f>
        <v>0</v>
      </c>
      <c r="G532" s="70">
        <f>[1]Hoja1!M74</f>
        <v>0</v>
      </c>
      <c r="H532" s="70">
        <f>[1]Hoja1!N74</f>
        <v>0</v>
      </c>
      <c r="I532" s="70">
        <f>[1]Hoja1!O74</f>
        <v>0</v>
      </c>
      <c r="J532" s="70">
        <f>[1]Hoja1!P74</f>
        <v>0</v>
      </c>
      <c r="K532" s="70">
        <f>[1]Hoja1!Q74</f>
        <v>0</v>
      </c>
      <c r="L532" s="70">
        <f>[1]Hoja1!R74</f>
        <v>0</v>
      </c>
      <c r="M532" s="70">
        <f>[1]Hoja1!S74</f>
        <v>0</v>
      </c>
      <c r="N532" s="70">
        <f>[1]Hoja1!T74</f>
        <v>0</v>
      </c>
      <c r="O532" s="70">
        <f>[1]Hoja1!U74</f>
        <v>0</v>
      </c>
      <c r="P532" s="70">
        <f>[1]Hoja1!V74</f>
        <v>0</v>
      </c>
      <c r="Q532" s="70">
        <f>[1]Hoja1!W74</f>
        <v>0</v>
      </c>
      <c r="R532" s="70">
        <f>[1]Hoja1!X74</f>
        <v>0</v>
      </c>
      <c r="S532" s="70">
        <f>[1]Hoja1!Y74</f>
        <v>0</v>
      </c>
      <c r="T532" s="70">
        <f>[1]Hoja1!Z74</f>
        <v>0</v>
      </c>
      <c r="U532" s="70">
        <f>[1]Hoja1!AA74</f>
        <v>0</v>
      </c>
      <c r="V532" s="70">
        <f>[1]Hoja1!AB74</f>
        <v>0</v>
      </c>
      <c r="W532" s="70">
        <f>[1]Hoja1!AC74</f>
        <v>0</v>
      </c>
      <c r="X532" s="70">
        <f>[1]Hoja1!AD74</f>
        <v>0</v>
      </c>
      <c r="Y532" s="70">
        <f>[1]Hoja1!AE74</f>
        <v>0</v>
      </c>
      <c r="Z532" s="70">
        <f>[1]Hoja1!AF74</f>
        <v>0</v>
      </c>
      <c r="AA532" s="70">
        <f>[1]Hoja1!AG74</f>
        <v>0</v>
      </c>
      <c r="AB532" s="70">
        <f>[1]Hoja1!AH74</f>
        <v>0</v>
      </c>
      <c r="AC532" s="70">
        <f>[1]Hoja1!AI74</f>
        <v>0</v>
      </c>
      <c r="AD532" s="70">
        <f>[1]Hoja1!AJ74</f>
        <v>0</v>
      </c>
      <c r="AE532" s="70">
        <f>[1]Hoja1!AK74</f>
        <v>0</v>
      </c>
      <c r="AF532" s="70">
        <f>[1]Hoja1!AL74</f>
        <v>0</v>
      </c>
      <c r="AG532" s="70">
        <f>[1]Hoja1!AM74</f>
        <v>0</v>
      </c>
      <c r="AH532" s="70">
        <f>[1]Hoja1!AN74</f>
        <v>0</v>
      </c>
      <c r="AI532" s="70">
        <f>[1]Hoja1!AO74</f>
        <v>0</v>
      </c>
      <c r="AJ532" s="70">
        <f>[1]Hoja1!AP74</f>
        <v>0</v>
      </c>
    </row>
    <row r="533" spans="1:36" x14ac:dyDescent="0.25">
      <c r="A533">
        <f>[1]Hoja1!A75</f>
        <v>0</v>
      </c>
      <c r="B533">
        <f>[1]Hoja1!B75</f>
        <v>0</v>
      </c>
      <c r="C533">
        <f>[1]Hoja1!D75</f>
        <v>0</v>
      </c>
      <c r="D533" s="30">
        <f>[1]Hoja1!E75</f>
        <v>0</v>
      </c>
      <c r="E533" s="30">
        <f>[1]Hoja1!F75</f>
        <v>0</v>
      </c>
      <c r="F533" s="70">
        <f>[1]Hoja1!L75</f>
        <v>0</v>
      </c>
      <c r="G533" s="70">
        <f>[1]Hoja1!M75</f>
        <v>0</v>
      </c>
      <c r="H533" s="70">
        <f>[1]Hoja1!N75</f>
        <v>0</v>
      </c>
      <c r="I533" s="70">
        <f>[1]Hoja1!O75</f>
        <v>0</v>
      </c>
      <c r="J533" s="70">
        <f>[1]Hoja1!P75</f>
        <v>0</v>
      </c>
      <c r="K533" s="70">
        <f>[1]Hoja1!Q75</f>
        <v>0</v>
      </c>
      <c r="L533" s="70">
        <f>[1]Hoja1!R75</f>
        <v>0</v>
      </c>
      <c r="M533" s="70">
        <f>[1]Hoja1!S75</f>
        <v>0</v>
      </c>
      <c r="N533" s="70">
        <f>[1]Hoja1!T75</f>
        <v>0</v>
      </c>
      <c r="O533" s="70">
        <f>[1]Hoja1!U75</f>
        <v>0</v>
      </c>
      <c r="P533" s="70">
        <f>[1]Hoja1!V75</f>
        <v>0</v>
      </c>
      <c r="Q533" s="70">
        <f>[1]Hoja1!W75</f>
        <v>0</v>
      </c>
      <c r="R533" s="70">
        <f>[1]Hoja1!X75</f>
        <v>0</v>
      </c>
      <c r="S533" s="70">
        <f>[1]Hoja1!Y75</f>
        <v>0</v>
      </c>
      <c r="T533" s="70">
        <f>[1]Hoja1!Z75</f>
        <v>0</v>
      </c>
      <c r="U533" s="70">
        <f>[1]Hoja1!AA75</f>
        <v>0</v>
      </c>
      <c r="V533" s="70">
        <f>[1]Hoja1!AB75</f>
        <v>0</v>
      </c>
      <c r="W533" s="70">
        <f>[1]Hoja1!AC75</f>
        <v>0</v>
      </c>
      <c r="X533" s="70">
        <f>[1]Hoja1!AD75</f>
        <v>0</v>
      </c>
      <c r="Y533" s="70">
        <f>[1]Hoja1!AE75</f>
        <v>0</v>
      </c>
      <c r="Z533" s="70">
        <f>[1]Hoja1!AF75</f>
        <v>0</v>
      </c>
      <c r="AA533" s="70">
        <f>[1]Hoja1!AG75</f>
        <v>0</v>
      </c>
      <c r="AB533" s="70">
        <f>[1]Hoja1!AH75</f>
        <v>0</v>
      </c>
      <c r="AC533" s="70">
        <f>[1]Hoja1!AI75</f>
        <v>0</v>
      </c>
      <c r="AD533" s="70">
        <f>[1]Hoja1!AJ75</f>
        <v>0</v>
      </c>
      <c r="AE533" s="70">
        <f>[1]Hoja1!AK75</f>
        <v>0</v>
      </c>
      <c r="AF533" s="70">
        <f>[1]Hoja1!AL75</f>
        <v>0</v>
      </c>
      <c r="AG533" s="70">
        <f>[1]Hoja1!AM75</f>
        <v>0</v>
      </c>
      <c r="AH533" s="70">
        <f>[1]Hoja1!AN75</f>
        <v>0</v>
      </c>
      <c r="AI533" s="70">
        <f>[1]Hoja1!AO75</f>
        <v>0</v>
      </c>
      <c r="AJ533" s="70">
        <f>[1]Hoja1!AP75</f>
        <v>0</v>
      </c>
    </row>
    <row r="534" spans="1:36" x14ac:dyDescent="0.25">
      <c r="A534">
        <f>[1]Hoja1!A76</f>
        <v>0</v>
      </c>
      <c r="B534">
        <f>[1]Hoja1!B76</f>
        <v>0</v>
      </c>
      <c r="C534">
        <f>[1]Hoja1!D76</f>
        <v>0</v>
      </c>
      <c r="D534" s="30">
        <f>[1]Hoja1!E76</f>
        <v>0</v>
      </c>
      <c r="E534" s="30">
        <f>[1]Hoja1!F76</f>
        <v>0</v>
      </c>
      <c r="F534" s="70">
        <f>[1]Hoja1!L76</f>
        <v>0</v>
      </c>
      <c r="G534" s="70">
        <f>[1]Hoja1!M76</f>
        <v>0</v>
      </c>
      <c r="H534" s="70">
        <f>[1]Hoja1!N76</f>
        <v>0</v>
      </c>
      <c r="I534" s="70">
        <f>[1]Hoja1!O76</f>
        <v>0</v>
      </c>
      <c r="J534" s="70">
        <f>[1]Hoja1!P76</f>
        <v>0</v>
      </c>
      <c r="K534" s="70">
        <f>[1]Hoja1!Q76</f>
        <v>0</v>
      </c>
      <c r="L534" s="70">
        <f>[1]Hoja1!R76</f>
        <v>0</v>
      </c>
      <c r="M534" s="70">
        <f>[1]Hoja1!S76</f>
        <v>0</v>
      </c>
      <c r="N534" s="70">
        <f>[1]Hoja1!T76</f>
        <v>0</v>
      </c>
      <c r="O534" s="70">
        <f>[1]Hoja1!U76</f>
        <v>0</v>
      </c>
      <c r="P534" s="70">
        <f>[1]Hoja1!V76</f>
        <v>0</v>
      </c>
      <c r="Q534" s="70">
        <f>[1]Hoja1!W76</f>
        <v>0</v>
      </c>
      <c r="R534" s="70">
        <f>[1]Hoja1!X76</f>
        <v>0</v>
      </c>
      <c r="S534" s="70">
        <f>[1]Hoja1!Y76</f>
        <v>0</v>
      </c>
      <c r="T534" s="70">
        <f>[1]Hoja1!Z76</f>
        <v>0</v>
      </c>
      <c r="U534" s="70">
        <f>[1]Hoja1!AA76</f>
        <v>0</v>
      </c>
      <c r="V534" s="70">
        <f>[1]Hoja1!AB76</f>
        <v>0</v>
      </c>
      <c r="W534" s="70">
        <f>[1]Hoja1!AC76</f>
        <v>0</v>
      </c>
      <c r="X534" s="70">
        <f>[1]Hoja1!AD76</f>
        <v>0</v>
      </c>
      <c r="Y534" s="70">
        <f>[1]Hoja1!AE76</f>
        <v>0</v>
      </c>
      <c r="Z534" s="70">
        <f>[1]Hoja1!AF76</f>
        <v>0</v>
      </c>
      <c r="AA534" s="70">
        <f>[1]Hoja1!AG76</f>
        <v>0</v>
      </c>
      <c r="AB534" s="70">
        <f>[1]Hoja1!AH76</f>
        <v>0</v>
      </c>
      <c r="AC534" s="70">
        <f>[1]Hoja1!AI76</f>
        <v>0</v>
      </c>
      <c r="AD534" s="70">
        <f>[1]Hoja1!AJ76</f>
        <v>0</v>
      </c>
      <c r="AE534" s="70">
        <f>[1]Hoja1!AK76</f>
        <v>0</v>
      </c>
      <c r="AF534" s="70">
        <f>[1]Hoja1!AL76</f>
        <v>0</v>
      </c>
      <c r="AG534" s="70">
        <f>[1]Hoja1!AM76</f>
        <v>0</v>
      </c>
      <c r="AH534" s="70">
        <f>[1]Hoja1!AN76</f>
        <v>0</v>
      </c>
      <c r="AI534" s="70">
        <f>[1]Hoja1!AO76</f>
        <v>0</v>
      </c>
      <c r="AJ534" s="70">
        <f>[1]Hoja1!AP76</f>
        <v>0</v>
      </c>
    </row>
    <row r="535" spans="1:36" x14ac:dyDescent="0.25">
      <c r="A535">
        <f>[1]Hoja1!A77</f>
        <v>0</v>
      </c>
      <c r="B535">
        <f>[1]Hoja1!B77</f>
        <v>0</v>
      </c>
      <c r="C535">
        <f>[1]Hoja1!D77</f>
        <v>0</v>
      </c>
      <c r="D535" s="30">
        <f>[1]Hoja1!E77</f>
        <v>0</v>
      </c>
      <c r="E535" s="30">
        <f>[1]Hoja1!F77</f>
        <v>0</v>
      </c>
      <c r="F535" s="70">
        <f>[1]Hoja1!L77</f>
        <v>0</v>
      </c>
      <c r="G535" s="70">
        <f>[1]Hoja1!M77</f>
        <v>0</v>
      </c>
      <c r="H535" s="70">
        <f>[1]Hoja1!N77</f>
        <v>0</v>
      </c>
      <c r="I535" s="70">
        <f>[1]Hoja1!O77</f>
        <v>0</v>
      </c>
      <c r="J535" s="70">
        <f>[1]Hoja1!P77</f>
        <v>0</v>
      </c>
      <c r="K535" s="70">
        <f>[1]Hoja1!Q77</f>
        <v>0</v>
      </c>
      <c r="L535" s="70">
        <f>[1]Hoja1!R77</f>
        <v>0</v>
      </c>
      <c r="M535" s="70">
        <f>[1]Hoja1!S77</f>
        <v>0</v>
      </c>
      <c r="N535" s="70">
        <f>[1]Hoja1!T77</f>
        <v>0</v>
      </c>
      <c r="O535" s="70">
        <f>[1]Hoja1!U77</f>
        <v>0</v>
      </c>
      <c r="P535" s="70">
        <f>[1]Hoja1!V77</f>
        <v>0</v>
      </c>
      <c r="Q535" s="70">
        <f>[1]Hoja1!W77</f>
        <v>0</v>
      </c>
      <c r="R535" s="70">
        <f>[1]Hoja1!X77</f>
        <v>0</v>
      </c>
      <c r="S535" s="70">
        <f>[1]Hoja1!Y77</f>
        <v>0</v>
      </c>
      <c r="T535" s="70">
        <f>[1]Hoja1!Z77</f>
        <v>0</v>
      </c>
      <c r="U535" s="70">
        <f>[1]Hoja1!AA77</f>
        <v>0</v>
      </c>
      <c r="V535" s="70">
        <f>[1]Hoja1!AB77</f>
        <v>0</v>
      </c>
      <c r="W535" s="70">
        <f>[1]Hoja1!AC77</f>
        <v>0</v>
      </c>
      <c r="X535" s="70">
        <f>[1]Hoja1!AD77</f>
        <v>0</v>
      </c>
      <c r="Y535" s="70">
        <f>[1]Hoja1!AE77</f>
        <v>0</v>
      </c>
      <c r="Z535" s="70">
        <f>[1]Hoja1!AF77</f>
        <v>0</v>
      </c>
      <c r="AA535" s="70">
        <f>[1]Hoja1!AG77</f>
        <v>0</v>
      </c>
      <c r="AB535" s="70">
        <f>[1]Hoja1!AH77</f>
        <v>0</v>
      </c>
      <c r="AC535" s="70">
        <f>[1]Hoja1!AI77</f>
        <v>0</v>
      </c>
      <c r="AD535" s="70">
        <f>[1]Hoja1!AJ77</f>
        <v>0</v>
      </c>
      <c r="AE535" s="70">
        <f>[1]Hoja1!AK77</f>
        <v>0</v>
      </c>
      <c r="AF535" s="70">
        <f>[1]Hoja1!AL77</f>
        <v>0</v>
      </c>
      <c r="AG535" s="70">
        <f>[1]Hoja1!AM77</f>
        <v>0</v>
      </c>
      <c r="AH535" s="70">
        <f>[1]Hoja1!AN77</f>
        <v>0</v>
      </c>
      <c r="AI535" s="70">
        <f>[1]Hoja1!AO77</f>
        <v>0</v>
      </c>
      <c r="AJ535" s="70">
        <f>[1]Hoja1!AP77</f>
        <v>0</v>
      </c>
    </row>
    <row r="536" spans="1:36" x14ac:dyDescent="0.25">
      <c r="A536">
        <f>[1]Hoja1!A78</f>
        <v>0</v>
      </c>
      <c r="B536">
        <f>[1]Hoja1!B78</f>
        <v>0</v>
      </c>
      <c r="C536">
        <f>[1]Hoja1!D78</f>
        <v>0</v>
      </c>
      <c r="D536" s="30">
        <f>[1]Hoja1!E78</f>
        <v>0</v>
      </c>
      <c r="E536" s="30">
        <f>[1]Hoja1!F78</f>
        <v>0</v>
      </c>
      <c r="F536" s="70">
        <f>[1]Hoja1!L78</f>
        <v>0</v>
      </c>
      <c r="G536" s="70">
        <f>[1]Hoja1!M78</f>
        <v>0</v>
      </c>
      <c r="H536" s="70">
        <f>[1]Hoja1!N78</f>
        <v>0</v>
      </c>
      <c r="I536" s="70">
        <f>[1]Hoja1!O78</f>
        <v>0</v>
      </c>
      <c r="J536" s="70">
        <f>[1]Hoja1!P78</f>
        <v>0</v>
      </c>
      <c r="K536" s="70">
        <f>[1]Hoja1!Q78</f>
        <v>0</v>
      </c>
      <c r="L536" s="70">
        <f>[1]Hoja1!R78</f>
        <v>0</v>
      </c>
      <c r="M536" s="70">
        <f>[1]Hoja1!S78</f>
        <v>0</v>
      </c>
      <c r="N536" s="70">
        <f>[1]Hoja1!T78</f>
        <v>0</v>
      </c>
      <c r="O536" s="70">
        <f>[1]Hoja1!U78</f>
        <v>0</v>
      </c>
      <c r="P536" s="70">
        <f>[1]Hoja1!V78</f>
        <v>0</v>
      </c>
      <c r="Q536" s="70">
        <f>[1]Hoja1!W78</f>
        <v>0</v>
      </c>
      <c r="R536" s="70">
        <f>[1]Hoja1!X78</f>
        <v>0</v>
      </c>
      <c r="S536" s="70">
        <f>[1]Hoja1!Y78</f>
        <v>0</v>
      </c>
      <c r="T536" s="70">
        <f>[1]Hoja1!Z78</f>
        <v>0</v>
      </c>
      <c r="U536" s="70">
        <f>[1]Hoja1!AA78</f>
        <v>0</v>
      </c>
      <c r="V536" s="70">
        <f>[1]Hoja1!AB78</f>
        <v>0</v>
      </c>
      <c r="W536" s="70">
        <f>[1]Hoja1!AC78</f>
        <v>0</v>
      </c>
      <c r="X536" s="70">
        <f>[1]Hoja1!AD78</f>
        <v>0</v>
      </c>
      <c r="Y536" s="70">
        <f>[1]Hoja1!AE78</f>
        <v>0</v>
      </c>
      <c r="Z536" s="70">
        <f>[1]Hoja1!AF78</f>
        <v>0</v>
      </c>
      <c r="AA536" s="70">
        <f>[1]Hoja1!AG78</f>
        <v>0</v>
      </c>
      <c r="AB536" s="70">
        <f>[1]Hoja1!AH78</f>
        <v>0</v>
      </c>
      <c r="AC536" s="70">
        <f>[1]Hoja1!AI78</f>
        <v>0</v>
      </c>
      <c r="AD536" s="70">
        <f>[1]Hoja1!AJ78</f>
        <v>0</v>
      </c>
      <c r="AE536" s="70">
        <f>[1]Hoja1!AK78</f>
        <v>0</v>
      </c>
      <c r="AF536" s="70">
        <f>[1]Hoja1!AL78</f>
        <v>0</v>
      </c>
      <c r="AG536" s="70">
        <f>[1]Hoja1!AM78</f>
        <v>0</v>
      </c>
      <c r="AH536" s="70">
        <f>[1]Hoja1!AN78</f>
        <v>0</v>
      </c>
      <c r="AI536" s="70">
        <f>[1]Hoja1!AO78</f>
        <v>0</v>
      </c>
      <c r="AJ536" s="70">
        <f>[1]Hoja1!AP78</f>
        <v>0</v>
      </c>
    </row>
    <row r="537" spans="1:36" x14ac:dyDescent="0.25">
      <c r="A537">
        <f>[1]Hoja1!A79</f>
        <v>0</v>
      </c>
      <c r="B537">
        <f>[1]Hoja1!B79</f>
        <v>0</v>
      </c>
      <c r="C537">
        <f>[1]Hoja1!D79</f>
        <v>0</v>
      </c>
      <c r="D537" s="30">
        <f>[1]Hoja1!E79</f>
        <v>0</v>
      </c>
      <c r="E537" s="30">
        <f>[1]Hoja1!F79</f>
        <v>0</v>
      </c>
      <c r="F537" s="70">
        <f>[1]Hoja1!L79</f>
        <v>0</v>
      </c>
      <c r="G537" s="70">
        <f>[1]Hoja1!M79</f>
        <v>0</v>
      </c>
      <c r="H537" s="70">
        <f>[1]Hoja1!N79</f>
        <v>0</v>
      </c>
      <c r="I537" s="70">
        <f>[1]Hoja1!O79</f>
        <v>0</v>
      </c>
      <c r="J537" s="70">
        <f>[1]Hoja1!P79</f>
        <v>0</v>
      </c>
      <c r="K537" s="70">
        <f>[1]Hoja1!Q79</f>
        <v>0</v>
      </c>
      <c r="L537" s="70">
        <f>[1]Hoja1!R79</f>
        <v>0</v>
      </c>
      <c r="M537" s="70">
        <f>[1]Hoja1!S79</f>
        <v>0</v>
      </c>
      <c r="N537" s="70">
        <f>[1]Hoja1!T79</f>
        <v>0</v>
      </c>
      <c r="O537" s="70">
        <f>[1]Hoja1!U79</f>
        <v>0</v>
      </c>
      <c r="P537" s="70">
        <f>[1]Hoja1!V79</f>
        <v>0</v>
      </c>
      <c r="Q537" s="70">
        <f>[1]Hoja1!W79</f>
        <v>0</v>
      </c>
      <c r="R537" s="70">
        <f>[1]Hoja1!X79</f>
        <v>0</v>
      </c>
      <c r="S537" s="70">
        <f>[1]Hoja1!Y79</f>
        <v>0</v>
      </c>
      <c r="T537" s="70">
        <f>[1]Hoja1!Z79</f>
        <v>0</v>
      </c>
      <c r="U537" s="70">
        <f>[1]Hoja1!AA79</f>
        <v>0</v>
      </c>
      <c r="V537" s="70">
        <f>[1]Hoja1!AB79</f>
        <v>0</v>
      </c>
      <c r="W537" s="70">
        <f>[1]Hoja1!AC79</f>
        <v>0</v>
      </c>
      <c r="X537" s="70">
        <f>[1]Hoja1!AD79</f>
        <v>0</v>
      </c>
      <c r="Y537" s="70">
        <f>[1]Hoja1!AE79</f>
        <v>0</v>
      </c>
      <c r="Z537" s="70">
        <f>[1]Hoja1!AF79</f>
        <v>0</v>
      </c>
      <c r="AA537" s="70">
        <f>[1]Hoja1!AG79</f>
        <v>0</v>
      </c>
      <c r="AB537" s="70">
        <f>[1]Hoja1!AH79</f>
        <v>0</v>
      </c>
      <c r="AC537" s="70">
        <f>[1]Hoja1!AI79</f>
        <v>0</v>
      </c>
      <c r="AD537" s="70">
        <f>[1]Hoja1!AJ79</f>
        <v>0</v>
      </c>
      <c r="AE537" s="70">
        <f>[1]Hoja1!AK79</f>
        <v>0</v>
      </c>
      <c r="AF537" s="70">
        <f>[1]Hoja1!AL79</f>
        <v>0</v>
      </c>
      <c r="AG537" s="70">
        <f>[1]Hoja1!AM79</f>
        <v>0</v>
      </c>
      <c r="AH537" s="70">
        <f>[1]Hoja1!AN79</f>
        <v>0</v>
      </c>
      <c r="AI537" s="70">
        <f>[1]Hoja1!AO79</f>
        <v>0</v>
      </c>
      <c r="AJ537" s="70">
        <f>[1]Hoja1!AP79</f>
        <v>0</v>
      </c>
    </row>
    <row r="538" spans="1:36" x14ac:dyDescent="0.25">
      <c r="A538">
        <f>[1]Hoja1!A80</f>
        <v>0</v>
      </c>
      <c r="B538">
        <f>[1]Hoja1!B80</f>
        <v>0</v>
      </c>
      <c r="C538">
        <f>[1]Hoja1!D80</f>
        <v>0</v>
      </c>
      <c r="D538" s="30">
        <f>[1]Hoja1!E80</f>
        <v>0</v>
      </c>
      <c r="E538" s="30">
        <f>[1]Hoja1!F80</f>
        <v>0</v>
      </c>
      <c r="F538" s="70">
        <f>[1]Hoja1!L80</f>
        <v>0</v>
      </c>
      <c r="G538" s="70">
        <f>[1]Hoja1!M80</f>
        <v>0</v>
      </c>
      <c r="H538" s="70">
        <f>[1]Hoja1!N80</f>
        <v>0</v>
      </c>
      <c r="I538" s="70">
        <f>[1]Hoja1!O80</f>
        <v>0</v>
      </c>
      <c r="J538" s="70">
        <f>[1]Hoja1!P80</f>
        <v>0</v>
      </c>
      <c r="K538" s="70">
        <f>[1]Hoja1!Q80</f>
        <v>0</v>
      </c>
      <c r="L538" s="70">
        <f>[1]Hoja1!R80</f>
        <v>0</v>
      </c>
      <c r="M538" s="70">
        <f>[1]Hoja1!S80</f>
        <v>0</v>
      </c>
      <c r="N538" s="70">
        <f>[1]Hoja1!T80</f>
        <v>0</v>
      </c>
      <c r="O538" s="70">
        <f>[1]Hoja1!U80</f>
        <v>0</v>
      </c>
      <c r="P538" s="70">
        <f>[1]Hoja1!V80</f>
        <v>0</v>
      </c>
      <c r="Q538" s="70">
        <f>[1]Hoja1!W80</f>
        <v>0</v>
      </c>
      <c r="R538" s="70">
        <f>[1]Hoja1!X80</f>
        <v>0</v>
      </c>
      <c r="S538" s="70">
        <f>[1]Hoja1!Y80</f>
        <v>0</v>
      </c>
      <c r="T538" s="70">
        <f>[1]Hoja1!Z80</f>
        <v>0</v>
      </c>
      <c r="U538" s="70">
        <f>[1]Hoja1!AA80</f>
        <v>0</v>
      </c>
      <c r="V538" s="70">
        <f>[1]Hoja1!AB80</f>
        <v>0</v>
      </c>
      <c r="W538" s="70">
        <f>[1]Hoja1!AC80</f>
        <v>0</v>
      </c>
      <c r="X538" s="70">
        <f>[1]Hoja1!AD80</f>
        <v>0</v>
      </c>
      <c r="Y538" s="70">
        <f>[1]Hoja1!AE80</f>
        <v>0</v>
      </c>
      <c r="Z538" s="70">
        <f>[1]Hoja1!AF80</f>
        <v>0</v>
      </c>
      <c r="AA538" s="70">
        <f>[1]Hoja1!AG80</f>
        <v>0</v>
      </c>
      <c r="AB538" s="70">
        <f>[1]Hoja1!AH80</f>
        <v>0</v>
      </c>
      <c r="AC538" s="70">
        <f>[1]Hoja1!AI80</f>
        <v>0</v>
      </c>
      <c r="AD538" s="70">
        <f>[1]Hoja1!AJ80</f>
        <v>0</v>
      </c>
      <c r="AE538" s="70">
        <f>[1]Hoja1!AK80</f>
        <v>0</v>
      </c>
      <c r="AF538" s="70">
        <f>[1]Hoja1!AL80</f>
        <v>0</v>
      </c>
      <c r="AG538" s="70">
        <f>[1]Hoja1!AM80</f>
        <v>0</v>
      </c>
      <c r="AH538" s="70">
        <f>[1]Hoja1!AN80</f>
        <v>0</v>
      </c>
      <c r="AI538" s="70">
        <f>[1]Hoja1!AO80</f>
        <v>0</v>
      </c>
      <c r="AJ538" s="70">
        <f>[1]Hoja1!AP80</f>
        <v>0</v>
      </c>
    </row>
    <row r="539" spans="1:36" x14ac:dyDescent="0.25">
      <c r="A539">
        <v>0</v>
      </c>
      <c r="B539">
        <v>0</v>
      </c>
      <c r="C539">
        <v>0</v>
      </c>
      <c r="D539" s="30">
        <v>0</v>
      </c>
      <c r="E539" s="30">
        <v>0</v>
      </c>
      <c r="F539" s="70" t="e">
        <f>'RESUMEN TOTAL'!#REF!</f>
        <v>#REF!</v>
      </c>
      <c r="G539" s="70" t="e">
        <f>'RESUMEN TOTAL'!#REF!</f>
        <v>#REF!</v>
      </c>
      <c r="H539" s="70" t="e">
        <f>'RESUMEN TOTAL'!#REF!</f>
        <v>#REF!</v>
      </c>
      <c r="I539" s="70" t="e">
        <f>'RESUMEN TOTAL'!#REF!</f>
        <v>#REF!</v>
      </c>
      <c r="J539" s="70" t="e">
        <f>'RESUMEN TOTAL'!#REF!</f>
        <v>#REF!</v>
      </c>
      <c r="K539" s="70" t="e">
        <f>'RESUMEN TOTAL'!#REF!</f>
        <v>#REF!</v>
      </c>
      <c r="L539" s="70" t="e">
        <f>'RESUMEN TOTAL'!#REF!</f>
        <v>#REF!</v>
      </c>
      <c r="M539" s="70" t="e">
        <f>'RESUMEN TOTAL'!#REF!</f>
        <v>#REF!</v>
      </c>
      <c r="N539" s="70" t="e">
        <f>'RESUMEN TOTAL'!#REF!</f>
        <v>#REF!</v>
      </c>
      <c r="O539" s="70" t="e">
        <f>'RESUMEN TOTAL'!#REF!</f>
        <v>#REF!</v>
      </c>
      <c r="P539" s="70" t="e">
        <f>'RESUMEN TOTAL'!#REF!</f>
        <v>#REF!</v>
      </c>
      <c r="Q539" s="70" t="e">
        <f>'RESUMEN TOTAL'!#REF!</f>
        <v>#REF!</v>
      </c>
      <c r="R539" s="70" t="e">
        <f>'RESUMEN TOTAL'!#REF!</f>
        <v>#REF!</v>
      </c>
      <c r="S539" s="70" t="e">
        <f>'RESUMEN TOTAL'!#REF!</f>
        <v>#REF!</v>
      </c>
      <c r="T539" s="70" t="e">
        <f>'RESUMEN TOTAL'!#REF!</f>
        <v>#REF!</v>
      </c>
      <c r="U539" s="70" t="e">
        <f>'RESUMEN TOTAL'!#REF!</f>
        <v>#REF!</v>
      </c>
      <c r="V539" s="70" t="e">
        <f>'RESUMEN TOTAL'!#REF!</f>
        <v>#REF!</v>
      </c>
      <c r="W539" s="70" t="e">
        <f>'RESUMEN TOTAL'!#REF!</f>
        <v>#REF!</v>
      </c>
      <c r="X539" s="70" t="e">
        <f>'RESUMEN TOTAL'!#REF!</f>
        <v>#REF!</v>
      </c>
      <c r="Y539" s="70" t="e">
        <f>'RESUMEN TOTAL'!#REF!</f>
        <v>#REF!</v>
      </c>
      <c r="Z539" s="70" t="e">
        <f>'RESUMEN TOTAL'!#REF!</f>
        <v>#REF!</v>
      </c>
      <c r="AA539" s="70" t="e">
        <f>'RESUMEN TOTAL'!#REF!</f>
        <v>#REF!</v>
      </c>
      <c r="AB539" s="70" t="e">
        <f>'RESUMEN TOTAL'!#REF!</f>
        <v>#REF!</v>
      </c>
      <c r="AC539" s="70" t="e">
        <f>'RESUMEN TOTAL'!#REF!</f>
        <v>#REF!</v>
      </c>
      <c r="AD539" s="70" t="e">
        <f>'RESUMEN TOTAL'!#REF!</f>
        <v>#REF!</v>
      </c>
      <c r="AE539" s="70" t="e">
        <f>'RESUMEN TOTAL'!#REF!</f>
        <v>#REF!</v>
      </c>
      <c r="AF539" s="70" t="e">
        <f>'RESUMEN TOTAL'!#REF!</f>
        <v>#REF!</v>
      </c>
      <c r="AG539" s="70" t="e">
        <f>'RESUMEN TOTAL'!#REF!</f>
        <v>#REF!</v>
      </c>
      <c r="AH539" s="70" t="e">
        <f>'RESUMEN TOTAL'!#REF!</f>
        <v>#REF!</v>
      </c>
      <c r="AI539" s="70" t="e">
        <f>'RESUMEN TOTAL'!#REF!</f>
        <v>#REF!</v>
      </c>
      <c r="AJ539" s="70" t="e">
        <f>'RESUMEN TOTAL'!#REF!</f>
        <v>#REF!</v>
      </c>
    </row>
    <row r="540" spans="1:36" x14ac:dyDescent="0.25">
      <c r="A540">
        <v>0</v>
      </c>
      <c r="B540">
        <v>0</v>
      </c>
      <c r="C540">
        <v>0</v>
      </c>
      <c r="D540" s="30">
        <v>0</v>
      </c>
      <c r="E540" s="30">
        <v>0</v>
      </c>
      <c r="F540" s="70" t="e">
        <f>'RESUMEN TOTAL'!#REF!</f>
        <v>#REF!</v>
      </c>
      <c r="G540" s="70" t="e">
        <f>'RESUMEN TOTAL'!#REF!</f>
        <v>#REF!</v>
      </c>
      <c r="H540" s="70" t="e">
        <f>'RESUMEN TOTAL'!#REF!</f>
        <v>#REF!</v>
      </c>
      <c r="I540" s="70" t="e">
        <f>'RESUMEN TOTAL'!#REF!</f>
        <v>#REF!</v>
      </c>
      <c r="J540" s="70" t="e">
        <f>'RESUMEN TOTAL'!#REF!</f>
        <v>#REF!</v>
      </c>
      <c r="K540" s="70" t="e">
        <f>'RESUMEN TOTAL'!#REF!</f>
        <v>#REF!</v>
      </c>
      <c r="L540" s="70" t="e">
        <f>'RESUMEN TOTAL'!#REF!</f>
        <v>#REF!</v>
      </c>
      <c r="M540" s="70" t="e">
        <f>'RESUMEN TOTAL'!#REF!</f>
        <v>#REF!</v>
      </c>
      <c r="N540" s="70" t="e">
        <f>'RESUMEN TOTAL'!#REF!</f>
        <v>#REF!</v>
      </c>
      <c r="O540" s="70" t="e">
        <f>'RESUMEN TOTAL'!#REF!</f>
        <v>#REF!</v>
      </c>
      <c r="P540" s="70" t="e">
        <f>'RESUMEN TOTAL'!#REF!</f>
        <v>#REF!</v>
      </c>
      <c r="Q540" s="70" t="e">
        <f>'RESUMEN TOTAL'!#REF!</f>
        <v>#REF!</v>
      </c>
      <c r="R540" s="70" t="e">
        <f>'RESUMEN TOTAL'!#REF!</f>
        <v>#REF!</v>
      </c>
      <c r="S540" s="70" t="e">
        <f>'RESUMEN TOTAL'!#REF!</f>
        <v>#REF!</v>
      </c>
      <c r="T540" s="70" t="e">
        <f>'RESUMEN TOTAL'!#REF!</f>
        <v>#REF!</v>
      </c>
      <c r="U540" s="70" t="e">
        <f>'RESUMEN TOTAL'!#REF!</f>
        <v>#REF!</v>
      </c>
      <c r="V540" s="70" t="e">
        <f>'RESUMEN TOTAL'!#REF!</f>
        <v>#REF!</v>
      </c>
      <c r="W540" s="70" t="e">
        <f>'RESUMEN TOTAL'!#REF!</f>
        <v>#REF!</v>
      </c>
      <c r="X540" s="70" t="e">
        <f>'RESUMEN TOTAL'!#REF!</f>
        <v>#REF!</v>
      </c>
      <c r="Y540" s="70" t="e">
        <f>'RESUMEN TOTAL'!#REF!</f>
        <v>#REF!</v>
      </c>
      <c r="Z540" s="70" t="e">
        <f>'RESUMEN TOTAL'!#REF!</f>
        <v>#REF!</v>
      </c>
      <c r="AA540" s="70" t="e">
        <f>'RESUMEN TOTAL'!#REF!</f>
        <v>#REF!</v>
      </c>
      <c r="AB540" s="70" t="e">
        <f>'RESUMEN TOTAL'!#REF!</f>
        <v>#REF!</v>
      </c>
      <c r="AC540" s="70" t="e">
        <f>'RESUMEN TOTAL'!#REF!</f>
        <v>#REF!</v>
      </c>
      <c r="AD540" s="70" t="e">
        <f>'RESUMEN TOTAL'!#REF!</f>
        <v>#REF!</v>
      </c>
      <c r="AE540" s="70" t="e">
        <f>'RESUMEN TOTAL'!#REF!</f>
        <v>#REF!</v>
      </c>
      <c r="AF540" s="70" t="e">
        <f>'RESUMEN TOTAL'!#REF!</f>
        <v>#REF!</v>
      </c>
      <c r="AG540" s="70" t="e">
        <f>'RESUMEN TOTAL'!#REF!</f>
        <v>#REF!</v>
      </c>
      <c r="AH540" s="70" t="e">
        <f>'RESUMEN TOTAL'!#REF!</f>
        <v>#REF!</v>
      </c>
      <c r="AI540" s="70" t="e">
        <f>'RESUMEN TOTAL'!#REF!</f>
        <v>#REF!</v>
      </c>
      <c r="AJ540" s="70" t="e">
        <f>'RESUMEN TOTAL'!#REF!</f>
        <v>#REF!</v>
      </c>
    </row>
    <row r="541" spans="1:36" x14ac:dyDescent="0.25">
      <c r="A541">
        <v>0</v>
      </c>
      <c r="B541">
        <v>0</v>
      </c>
      <c r="C541">
        <v>0</v>
      </c>
      <c r="D541" s="30">
        <v>0</v>
      </c>
      <c r="E541" s="30">
        <v>0</v>
      </c>
      <c r="F541" s="70" t="e">
        <f>'RESUMEN TOTAL'!#REF!</f>
        <v>#REF!</v>
      </c>
      <c r="G541" s="70" t="e">
        <f>'RESUMEN TOTAL'!#REF!</f>
        <v>#REF!</v>
      </c>
      <c r="H541" s="70" t="e">
        <f>'RESUMEN TOTAL'!#REF!</f>
        <v>#REF!</v>
      </c>
      <c r="I541" s="70" t="e">
        <f>'RESUMEN TOTAL'!#REF!</f>
        <v>#REF!</v>
      </c>
      <c r="J541" s="70" t="e">
        <f>'RESUMEN TOTAL'!#REF!</f>
        <v>#REF!</v>
      </c>
      <c r="K541" s="70" t="e">
        <f>'RESUMEN TOTAL'!#REF!</f>
        <v>#REF!</v>
      </c>
      <c r="L541" s="70" t="e">
        <f>'RESUMEN TOTAL'!#REF!</f>
        <v>#REF!</v>
      </c>
      <c r="M541" s="70" t="e">
        <f>'RESUMEN TOTAL'!#REF!</f>
        <v>#REF!</v>
      </c>
      <c r="N541" s="70" t="e">
        <f>'RESUMEN TOTAL'!#REF!</f>
        <v>#REF!</v>
      </c>
      <c r="O541" s="70" t="e">
        <f>'RESUMEN TOTAL'!#REF!</f>
        <v>#REF!</v>
      </c>
      <c r="P541" s="70" t="e">
        <f>'RESUMEN TOTAL'!#REF!</f>
        <v>#REF!</v>
      </c>
      <c r="Q541" s="70" t="e">
        <f>'RESUMEN TOTAL'!#REF!</f>
        <v>#REF!</v>
      </c>
      <c r="R541" s="70" t="e">
        <f>'RESUMEN TOTAL'!#REF!</f>
        <v>#REF!</v>
      </c>
      <c r="S541" s="70" t="e">
        <f>'RESUMEN TOTAL'!#REF!</f>
        <v>#REF!</v>
      </c>
      <c r="T541" s="70" t="e">
        <f>'RESUMEN TOTAL'!#REF!</f>
        <v>#REF!</v>
      </c>
      <c r="U541" s="70" t="e">
        <f>'RESUMEN TOTAL'!#REF!</f>
        <v>#REF!</v>
      </c>
      <c r="V541" s="70" t="e">
        <f>'RESUMEN TOTAL'!#REF!</f>
        <v>#REF!</v>
      </c>
      <c r="W541" s="70" t="e">
        <f>'RESUMEN TOTAL'!#REF!</f>
        <v>#REF!</v>
      </c>
      <c r="X541" s="70" t="e">
        <f>'RESUMEN TOTAL'!#REF!</f>
        <v>#REF!</v>
      </c>
      <c r="Y541" s="70" t="e">
        <f>'RESUMEN TOTAL'!#REF!</f>
        <v>#REF!</v>
      </c>
      <c r="Z541" s="70" t="e">
        <f>'RESUMEN TOTAL'!#REF!</f>
        <v>#REF!</v>
      </c>
      <c r="AA541" s="70" t="e">
        <f>'RESUMEN TOTAL'!#REF!</f>
        <v>#REF!</v>
      </c>
      <c r="AB541" s="70" t="e">
        <f>'RESUMEN TOTAL'!#REF!</f>
        <v>#REF!</v>
      </c>
      <c r="AC541" s="70" t="e">
        <f>'RESUMEN TOTAL'!#REF!</f>
        <v>#REF!</v>
      </c>
      <c r="AD541" s="70" t="e">
        <f>'RESUMEN TOTAL'!#REF!</f>
        <v>#REF!</v>
      </c>
      <c r="AE541" s="70" t="e">
        <f>'RESUMEN TOTAL'!#REF!</f>
        <v>#REF!</v>
      </c>
      <c r="AF541" s="70" t="e">
        <f>'RESUMEN TOTAL'!#REF!</f>
        <v>#REF!</v>
      </c>
      <c r="AG541" s="70" t="e">
        <f>'RESUMEN TOTAL'!#REF!</f>
        <v>#REF!</v>
      </c>
      <c r="AH541" s="70" t="e">
        <f>'RESUMEN TOTAL'!#REF!</f>
        <v>#REF!</v>
      </c>
      <c r="AI541" s="70" t="e">
        <f>'RESUMEN TOTAL'!#REF!</f>
        <v>#REF!</v>
      </c>
      <c r="AJ541" s="70" t="e">
        <f>'RESUMEN TOTAL'!#REF!</f>
        <v>#REF!</v>
      </c>
    </row>
    <row r="542" spans="1:36" x14ac:dyDescent="0.25">
      <c r="A542">
        <v>0</v>
      </c>
      <c r="B542">
        <v>0</v>
      </c>
      <c r="C542">
        <v>0</v>
      </c>
      <c r="D542" s="30">
        <v>0</v>
      </c>
      <c r="E542" s="30">
        <v>0</v>
      </c>
      <c r="F542" s="70" t="e">
        <f>'RESUMEN TOTAL'!#REF!</f>
        <v>#REF!</v>
      </c>
      <c r="G542" s="70" t="e">
        <f>'RESUMEN TOTAL'!#REF!</f>
        <v>#REF!</v>
      </c>
      <c r="H542" s="70" t="e">
        <f>'RESUMEN TOTAL'!#REF!</f>
        <v>#REF!</v>
      </c>
      <c r="I542" s="70" t="e">
        <f>'RESUMEN TOTAL'!#REF!</f>
        <v>#REF!</v>
      </c>
      <c r="J542" s="70" t="e">
        <f>'RESUMEN TOTAL'!#REF!</f>
        <v>#REF!</v>
      </c>
      <c r="K542" s="70" t="e">
        <f>'RESUMEN TOTAL'!#REF!</f>
        <v>#REF!</v>
      </c>
      <c r="L542" s="70" t="e">
        <f>'RESUMEN TOTAL'!#REF!</f>
        <v>#REF!</v>
      </c>
      <c r="M542" s="70" t="e">
        <f>'RESUMEN TOTAL'!#REF!</f>
        <v>#REF!</v>
      </c>
      <c r="N542" s="70" t="e">
        <f>'RESUMEN TOTAL'!#REF!</f>
        <v>#REF!</v>
      </c>
      <c r="O542" s="70" t="e">
        <f>'RESUMEN TOTAL'!#REF!</f>
        <v>#REF!</v>
      </c>
      <c r="P542" s="70" t="e">
        <f>'RESUMEN TOTAL'!#REF!</f>
        <v>#REF!</v>
      </c>
      <c r="Q542" s="70" t="e">
        <f>'RESUMEN TOTAL'!#REF!</f>
        <v>#REF!</v>
      </c>
      <c r="R542" s="70" t="e">
        <f>'RESUMEN TOTAL'!#REF!</f>
        <v>#REF!</v>
      </c>
      <c r="S542" s="70" t="e">
        <f>'RESUMEN TOTAL'!#REF!</f>
        <v>#REF!</v>
      </c>
      <c r="T542" s="70" t="e">
        <f>'RESUMEN TOTAL'!#REF!</f>
        <v>#REF!</v>
      </c>
      <c r="U542" s="70" t="e">
        <f>'RESUMEN TOTAL'!#REF!</f>
        <v>#REF!</v>
      </c>
      <c r="V542" s="70" t="e">
        <f>'RESUMEN TOTAL'!#REF!</f>
        <v>#REF!</v>
      </c>
      <c r="W542" s="70" t="e">
        <f>'RESUMEN TOTAL'!#REF!</f>
        <v>#REF!</v>
      </c>
      <c r="X542" s="70" t="e">
        <f>'RESUMEN TOTAL'!#REF!</f>
        <v>#REF!</v>
      </c>
      <c r="Y542" s="70" t="e">
        <f>'RESUMEN TOTAL'!#REF!</f>
        <v>#REF!</v>
      </c>
      <c r="Z542" s="70" t="e">
        <f>'RESUMEN TOTAL'!#REF!</f>
        <v>#REF!</v>
      </c>
      <c r="AA542" s="70" t="e">
        <f>'RESUMEN TOTAL'!#REF!</f>
        <v>#REF!</v>
      </c>
      <c r="AB542" s="70" t="e">
        <f>'RESUMEN TOTAL'!#REF!</f>
        <v>#REF!</v>
      </c>
      <c r="AC542" s="70" t="e">
        <f>'RESUMEN TOTAL'!#REF!</f>
        <v>#REF!</v>
      </c>
      <c r="AD542" s="70" t="e">
        <f>'RESUMEN TOTAL'!#REF!</f>
        <v>#REF!</v>
      </c>
      <c r="AE542" s="70" t="e">
        <f>'RESUMEN TOTAL'!#REF!</f>
        <v>#REF!</v>
      </c>
      <c r="AF542" s="70" t="e">
        <f>'RESUMEN TOTAL'!#REF!</f>
        <v>#REF!</v>
      </c>
      <c r="AG542" s="70" t="e">
        <f>'RESUMEN TOTAL'!#REF!</f>
        <v>#REF!</v>
      </c>
      <c r="AH542" s="70" t="e">
        <f>'RESUMEN TOTAL'!#REF!</f>
        <v>#REF!</v>
      </c>
      <c r="AI542" s="70" t="e">
        <f>'RESUMEN TOTAL'!#REF!</f>
        <v>#REF!</v>
      </c>
      <c r="AJ542" s="70" t="e">
        <f>'RESUMEN TOTAL'!#REF!</f>
        <v>#REF!</v>
      </c>
    </row>
    <row r="543" spans="1:36" x14ac:dyDescent="0.25">
      <c r="A543">
        <v>0</v>
      </c>
      <c r="B543">
        <v>0</v>
      </c>
      <c r="C543">
        <v>0</v>
      </c>
      <c r="D543" s="30">
        <v>0</v>
      </c>
      <c r="E543" s="30">
        <v>0</v>
      </c>
      <c r="F543" s="70" t="e">
        <f>'RESUMEN TOTAL'!#REF!</f>
        <v>#REF!</v>
      </c>
      <c r="G543" s="70" t="e">
        <f>'RESUMEN TOTAL'!#REF!</f>
        <v>#REF!</v>
      </c>
      <c r="H543" s="70" t="e">
        <f>'RESUMEN TOTAL'!#REF!</f>
        <v>#REF!</v>
      </c>
      <c r="I543" s="70" t="e">
        <f>'RESUMEN TOTAL'!#REF!</f>
        <v>#REF!</v>
      </c>
      <c r="J543" s="70" t="e">
        <f>'RESUMEN TOTAL'!#REF!</f>
        <v>#REF!</v>
      </c>
      <c r="K543" s="70" t="e">
        <f>'RESUMEN TOTAL'!#REF!</f>
        <v>#REF!</v>
      </c>
      <c r="L543" s="70" t="e">
        <f>'RESUMEN TOTAL'!#REF!</f>
        <v>#REF!</v>
      </c>
      <c r="M543" s="70" t="e">
        <f>'RESUMEN TOTAL'!#REF!</f>
        <v>#REF!</v>
      </c>
      <c r="N543" s="70" t="e">
        <f>'RESUMEN TOTAL'!#REF!</f>
        <v>#REF!</v>
      </c>
      <c r="O543" s="70" t="e">
        <f>'RESUMEN TOTAL'!#REF!</f>
        <v>#REF!</v>
      </c>
      <c r="P543" s="70" t="e">
        <f>'RESUMEN TOTAL'!#REF!</f>
        <v>#REF!</v>
      </c>
      <c r="Q543" s="70" t="e">
        <f>'RESUMEN TOTAL'!#REF!</f>
        <v>#REF!</v>
      </c>
      <c r="R543" s="70" t="e">
        <f>'RESUMEN TOTAL'!#REF!</f>
        <v>#REF!</v>
      </c>
      <c r="S543" s="70" t="e">
        <f>'RESUMEN TOTAL'!#REF!</f>
        <v>#REF!</v>
      </c>
      <c r="T543" s="70" t="e">
        <f>'RESUMEN TOTAL'!#REF!</f>
        <v>#REF!</v>
      </c>
      <c r="U543" s="70" t="e">
        <f>'RESUMEN TOTAL'!#REF!</f>
        <v>#REF!</v>
      </c>
      <c r="V543" s="70" t="e">
        <f>'RESUMEN TOTAL'!#REF!</f>
        <v>#REF!</v>
      </c>
      <c r="W543" s="70" t="e">
        <f>'RESUMEN TOTAL'!#REF!</f>
        <v>#REF!</v>
      </c>
      <c r="X543" s="70" t="e">
        <f>'RESUMEN TOTAL'!#REF!</f>
        <v>#REF!</v>
      </c>
      <c r="Y543" s="70" t="e">
        <f>'RESUMEN TOTAL'!#REF!</f>
        <v>#REF!</v>
      </c>
      <c r="Z543" s="70" t="e">
        <f>'RESUMEN TOTAL'!#REF!</f>
        <v>#REF!</v>
      </c>
      <c r="AA543" s="70" t="e">
        <f>'RESUMEN TOTAL'!#REF!</f>
        <v>#REF!</v>
      </c>
      <c r="AB543" s="70" t="e">
        <f>'RESUMEN TOTAL'!#REF!</f>
        <v>#REF!</v>
      </c>
      <c r="AC543" s="70" t="e">
        <f>'RESUMEN TOTAL'!#REF!</f>
        <v>#REF!</v>
      </c>
      <c r="AD543" s="70" t="e">
        <f>'RESUMEN TOTAL'!#REF!</f>
        <v>#REF!</v>
      </c>
      <c r="AE543" s="70" t="e">
        <f>'RESUMEN TOTAL'!#REF!</f>
        <v>#REF!</v>
      </c>
      <c r="AF543" s="70" t="e">
        <f>'RESUMEN TOTAL'!#REF!</f>
        <v>#REF!</v>
      </c>
      <c r="AG543" s="70" t="e">
        <f>'RESUMEN TOTAL'!#REF!</f>
        <v>#REF!</v>
      </c>
      <c r="AH543" s="70" t="e">
        <f>'RESUMEN TOTAL'!#REF!</f>
        <v>#REF!</v>
      </c>
      <c r="AI543" s="70" t="e">
        <f>'RESUMEN TOTAL'!#REF!</f>
        <v>#REF!</v>
      </c>
      <c r="AJ543" s="70" t="e">
        <f>'RESUMEN TOTAL'!#REF!</f>
        <v>#REF!</v>
      </c>
    </row>
    <row r="544" spans="1:36" x14ac:dyDescent="0.25">
      <c r="A544">
        <v>0</v>
      </c>
      <c r="B544">
        <v>0</v>
      </c>
      <c r="C544">
        <v>0</v>
      </c>
      <c r="D544" s="30">
        <v>0</v>
      </c>
      <c r="E544" s="30">
        <v>0</v>
      </c>
      <c r="F544" s="70" t="e">
        <f>'RESUMEN TOTAL'!#REF!</f>
        <v>#REF!</v>
      </c>
      <c r="G544" s="70" t="e">
        <f>'RESUMEN TOTAL'!#REF!</f>
        <v>#REF!</v>
      </c>
      <c r="H544" s="70" t="e">
        <f>'RESUMEN TOTAL'!#REF!</f>
        <v>#REF!</v>
      </c>
      <c r="I544" s="70" t="e">
        <f>'RESUMEN TOTAL'!#REF!</f>
        <v>#REF!</v>
      </c>
      <c r="J544" s="70" t="e">
        <f>'RESUMEN TOTAL'!#REF!</f>
        <v>#REF!</v>
      </c>
      <c r="K544" s="70" t="e">
        <f>'RESUMEN TOTAL'!#REF!</f>
        <v>#REF!</v>
      </c>
      <c r="L544" s="70" t="e">
        <f>'RESUMEN TOTAL'!#REF!</f>
        <v>#REF!</v>
      </c>
      <c r="M544" s="70" t="e">
        <f>'RESUMEN TOTAL'!#REF!</f>
        <v>#REF!</v>
      </c>
      <c r="N544" s="70" t="e">
        <f>'RESUMEN TOTAL'!#REF!</f>
        <v>#REF!</v>
      </c>
      <c r="O544" s="70" t="e">
        <f>'RESUMEN TOTAL'!#REF!</f>
        <v>#REF!</v>
      </c>
      <c r="P544" s="70" t="e">
        <f>'RESUMEN TOTAL'!#REF!</f>
        <v>#REF!</v>
      </c>
      <c r="Q544" s="70" t="e">
        <f>'RESUMEN TOTAL'!#REF!</f>
        <v>#REF!</v>
      </c>
      <c r="R544" s="70" t="e">
        <f>'RESUMEN TOTAL'!#REF!</f>
        <v>#REF!</v>
      </c>
      <c r="S544" s="70" t="e">
        <f>'RESUMEN TOTAL'!#REF!</f>
        <v>#REF!</v>
      </c>
      <c r="T544" s="70" t="e">
        <f>'RESUMEN TOTAL'!#REF!</f>
        <v>#REF!</v>
      </c>
      <c r="U544" s="70" t="e">
        <f>'RESUMEN TOTAL'!#REF!</f>
        <v>#REF!</v>
      </c>
      <c r="V544" s="70" t="e">
        <f>'RESUMEN TOTAL'!#REF!</f>
        <v>#REF!</v>
      </c>
      <c r="W544" s="70" t="e">
        <f>'RESUMEN TOTAL'!#REF!</f>
        <v>#REF!</v>
      </c>
      <c r="X544" s="70" t="e">
        <f>'RESUMEN TOTAL'!#REF!</f>
        <v>#REF!</v>
      </c>
      <c r="Y544" s="70" t="e">
        <f>'RESUMEN TOTAL'!#REF!</f>
        <v>#REF!</v>
      </c>
      <c r="Z544" s="70" t="e">
        <f>'RESUMEN TOTAL'!#REF!</f>
        <v>#REF!</v>
      </c>
      <c r="AA544" s="70" t="e">
        <f>'RESUMEN TOTAL'!#REF!</f>
        <v>#REF!</v>
      </c>
      <c r="AB544" s="70" t="e">
        <f>'RESUMEN TOTAL'!#REF!</f>
        <v>#REF!</v>
      </c>
      <c r="AC544" s="70" t="e">
        <f>'RESUMEN TOTAL'!#REF!</f>
        <v>#REF!</v>
      </c>
      <c r="AD544" s="70" t="e">
        <f>'RESUMEN TOTAL'!#REF!</f>
        <v>#REF!</v>
      </c>
      <c r="AE544" s="70" t="e">
        <f>'RESUMEN TOTAL'!#REF!</f>
        <v>#REF!</v>
      </c>
      <c r="AF544" s="70" t="e">
        <f>'RESUMEN TOTAL'!#REF!</f>
        <v>#REF!</v>
      </c>
      <c r="AG544" s="70" t="e">
        <f>'RESUMEN TOTAL'!#REF!</f>
        <v>#REF!</v>
      </c>
      <c r="AH544" s="70" t="e">
        <f>'RESUMEN TOTAL'!#REF!</f>
        <v>#REF!</v>
      </c>
      <c r="AI544" s="70" t="e">
        <f>'RESUMEN TOTAL'!#REF!</f>
        <v>#REF!</v>
      </c>
      <c r="AJ544" s="70" t="e">
        <f>'RESUMEN TOTAL'!#REF!</f>
        <v>#REF!</v>
      </c>
    </row>
    <row r="545" spans="1:36" x14ac:dyDescent="0.25">
      <c r="A545">
        <v>0</v>
      </c>
      <c r="B545">
        <v>0</v>
      </c>
      <c r="C545">
        <v>0</v>
      </c>
      <c r="D545" s="30">
        <v>0</v>
      </c>
      <c r="E545" s="30">
        <v>0</v>
      </c>
      <c r="F545" s="70" t="e">
        <f>'RESUMEN TOTAL'!#REF!</f>
        <v>#REF!</v>
      </c>
      <c r="G545" s="70" t="e">
        <f>'RESUMEN TOTAL'!#REF!</f>
        <v>#REF!</v>
      </c>
      <c r="H545" s="70" t="e">
        <f>'RESUMEN TOTAL'!#REF!</f>
        <v>#REF!</v>
      </c>
      <c r="I545" s="70" t="e">
        <f>'RESUMEN TOTAL'!#REF!</f>
        <v>#REF!</v>
      </c>
      <c r="J545" s="70" t="e">
        <f>'RESUMEN TOTAL'!#REF!</f>
        <v>#REF!</v>
      </c>
      <c r="K545" s="70" t="e">
        <f>'RESUMEN TOTAL'!#REF!</f>
        <v>#REF!</v>
      </c>
      <c r="L545" s="70" t="e">
        <f>'RESUMEN TOTAL'!#REF!</f>
        <v>#REF!</v>
      </c>
      <c r="M545" s="70" t="e">
        <f>'RESUMEN TOTAL'!#REF!</f>
        <v>#REF!</v>
      </c>
      <c r="N545" s="70" t="e">
        <f>'RESUMEN TOTAL'!#REF!</f>
        <v>#REF!</v>
      </c>
      <c r="O545" s="70" t="e">
        <f>'RESUMEN TOTAL'!#REF!</f>
        <v>#REF!</v>
      </c>
      <c r="P545" s="70" t="e">
        <f>'RESUMEN TOTAL'!#REF!</f>
        <v>#REF!</v>
      </c>
      <c r="Q545" s="70" t="e">
        <f>'RESUMEN TOTAL'!#REF!</f>
        <v>#REF!</v>
      </c>
      <c r="R545" s="70" t="e">
        <f>'RESUMEN TOTAL'!#REF!</f>
        <v>#REF!</v>
      </c>
      <c r="S545" s="70" t="e">
        <f>'RESUMEN TOTAL'!#REF!</f>
        <v>#REF!</v>
      </c>
      <c r="T545" s="70" t="e">
        <f>'RESUMEN TOTAL'!#REF!</f>
        <v>#REF!</v>
      </c>
      <c r="U545" s="70" t="e">
        <f>'RESUMEN TOTAL'!#REF!</f>
        <v>#REF!</v>
      </c>
      <c r="V545" s="70" t="e">
        <f>'RESUMEN TOTAL'!#REF!</f>
        <v>#REF!</v>
      </c>
      <c r="W545" s="70" t="e">
        <f>'RESUMEN TOTAL'!#REF!</f>
        <v>#REF!</v>
      </c>
      <c r="X545" s="70" t="e">
        <f>'RESUMEN TOTAL'!#REF!</f>
        <v>#REF!</v>
      </c>
      <c r="Y545" s="70" t="e">
        <f>'RESUMEN TOTAL'!#REF!</f>
        <v>#REF!</v>
      </c>
      <c r="Z545" s="70" t="e">
        <f>'RESUMEN TOTAL'!#REF!</f>
        <v>#REF!</v>
      </c>
      <c r="AA545" s="70" t="e">
        <f>'RESUMEN TOTAL'!#REF!</f>
        <v>#REF!</v>
      </c>
      <c r="AB545" s="70" t="e">
        <f>'RESUMEN TOTAL'!#REF!</f>
        <v>#REF!</v>
      </c>
      <c r="AC545" s="70" t="e">
        <f>'RESUMEN TOTAL'!#REF!</f>
        <v>#REF!</v>
      </c>
      <c r="AD545" s="70" t="e">
        <f>'RESUMEN TOTAL'!#REF!</f>
        <v>#REF!</v>
      </c>
      <c r="AE545" s="70" t="e">
        <f>'RESUMEN TOTAL'!#REF!</f>
        <v>#REF!</v>
      </c>
      <c r="AF545" s="70" t="e">
        <f>'RESUMEN TOTAL'!#REF!</f>
        <v>#REF!</v>
      </c>
      <c r="AG545" s="70" t="e">
        <f>'RESUMEN TOTAL'!#REF!</f>
        <v>#REF!</v>
      </c>
      <c r="AH545" s="70" t="e">
        <f>'RESUMEN TOTAL'!#REF!</f>
        <v>#REF!</v>
      </c>
      <c r="AI545" s="70" t="e">
        <f>'RESUMEN TOTAL'!#REF!</f>
        <v>#REF!</v>
      </c>
      <c r="AJ545" s="70" t="e">
        <f>'RESUMEN TOTAL'!#REF!</f>
        <v>#REF!</v>
      </c>
    </row>
    <row r="546" spans="1:36" x14ac:dyDescent="0.25">
      <c r="A546">
        <f>[1]Hoja1!A81</f>
        <v>0</v>
      </c>
      <c r="B546">
        <f>[1]Hoja1!B81</f>
        <v>0</v>
      </c>
      <c r="C546">
        <f>[1]Hoja1!D81</f>
        <v>0</v>
      </c>
      <c r="D546" s="30">
        <f>[1]Hoja1!E81</f>
        <v>0</v>
      </c>
      <c r="E546" s="30">
        <f>[1]Hoja1!F81</f>
        <v>0</v>
      </c>
      <c r="F546" s="70">
        <f>[1]Hoja1!L81</f>
        <v>0</v>
      </c>
      <c r="G546" s="70">
        <f>[1]Hoja1!M81</f>
        <v>0</v>
      </c>
      <c r="H546" s="70">
        <f>[1]Hoja1!N81</f>
        <v>0</v>
      </c>
      <c r="I546" s="70">
        <f>[1]Hoja1!O81</f>
        <v>0</v>
      </c>
      <c r="J546" s="70">
        <f>[1]Hoja1!P81</f>
        <v>0</v>
      </c>
      <c r="K546" s="70">
        <f>[1]Hoja1!Q81</f>
        <v>0</v>
      </c>
      <c r="L546" s="70">
        <f>[1]Hoja1!R81</f>
        <v>0</v>
      </c>
      <c r="M546" s="70">
        <f>[1]Hoja1!S81</f>
        <v>0</v>
      </c>
      <c r="N546" s="70">
        <f>[1]Hoja1!T81</f>
        <v>0</v>
      </c>
      <c r="O546" s="70">
        <f>[1]Hoja1!U81</f>
        <v>0</v>
      </c>
      <c r="P546" s="70">
        <f>[1]Hoja1!V81</f>
        <v>0</v>
      </c>
      <c r="Q546" s="70">
        <f>[1]Hoja1!W81</f>
        <v>0</v>
      </c>
      <c r="R546" s="70">
        <f>[1]Hoja1!X81</f>
        <v>0</v>
      </c>
      <c r="S546" s="70">
        <f>[1]Hoja1!Y81</f>
        <v>0</v>
      </c>
      <c r="T546" s="70">
        <f>[1]Hoja1!Z81</f>
        <v>0</v>
      </c>
      <c r="U546" s="70">
        <f>[1]Hoja1!AA81</f>
        <v>0</v>
      </c>
      <c r="V546" s="70">
        <f>[1]Hoja1!AB81</f>
        <v>0</v>
      </c>
      <c r="W546" s="70">
        <f>[1]Hoja1!AC81</f>
        <v>0</v>
      </c>
      <c r="X546" s="70">
        <f>[1]Hoja1!AD81</f>
        <v>0</v>
      </c>
      <c r="Y546" s="70">
        <f>[1]Hoja1!AE81</f>
        <v>0</v>
      </c>
      <c r="Z546" s="70">
        <f>[1]Hoja1!AF81</f>
        <v>0</v>
      </c>
      <c r="AA546" s="70">
        <f>[1]Hoja1!AG81</f>
        <v>0</v>
      </c>
      <c r="AB546" s="70">
        <f>[1]Hoja1!AH81</f>
        <v>0</v>
      </c>
      <c r="AC546" s="70">
        <f>[1]Hoja1!AI81</f>
        <v>0</v>
      </c>
      <c r="AD546" s="70">
        <f>[1]Hoja1!AJ81</f>
        <v>0</v>
      </c>
      <c r="AE546" s="70">
        <f>[1]Hoja1!AK81</f>
        <v>0</v>
      </c>
      <c r="AF546" s="70">
        <f>[1]Hoja1!AL81</f>
        <v>0</v>
      </c>
      <c r="AG546" s="70">
        <f>[1]Hoja1!AM81</f>
        <v>0</v>
      </c>
      <c r="AH546" s="70">
        <f>[1]Hoja1!AN81</f>
        <v>0</v>
      </c>
      <c r="AI546" s="70">
        <f>[1]Hoja1!AO81</f>
        <v>0</v>
      </c>
      <c r="AJ546" s="70">
        <f>[1]Hoja1!AP81</f>
        <v>0</v>
      </c>
    </row>
    <row r="547" spans="1:36" x14ac:dyDescent="0.25">
      <c r="A547">
        <v>0</v>
      </c>
      <c r="B547">
        <v>0</v>
      </c>
      <c r="C547">
        <v>0</v>
      </c>
      <c r="D547" s="30">
        <v>0</v>
      </c>
      <c r="E547" s="30">
        <v>0</v>
      </c>
      <c r="F547" s="70" t="e">
        <f>'RESUMEN TOTAL'!#REF!</f>
        <v>#REF!</v>
      </c>
      <c r="G547" s="70" t="e">
        <f>'RESUMEN TOTAL'!#REF!</f>
        <v>#REF!</v>
      </c>
      <c r="H547" s="70" t="e">
        <f>'RESUMEN TOTAL'!#REF!</f>
        <v>#REF!</v>
      </c>
      <c r="I547" s="70" t="e">
        <f>'RESUMEN TOTAL'!#REF!</f>
        <v>#REF!</v>
      </c>
      <c r="J547" s="70" t="e">
        <f>'RESUMEN TOTAL'!#REF!</f>
        <v>#REF!</v>
      </c>
      <c r="K547" s="70" t="e">
        <f>'RESUMEN TOTAL'!#REF!</f>
        <v>#REF!</v>
      </c>
      <c r="L547" s="70" t="e">
        <f>'RESUMEN TOTAL'!#REF!</f>
        <v>#REF!</v>
      </c>
      <c r="M547" s="70" t="e">
        <f>'RESUMEN TOTAL'!#REF!</f>
        <v>#REF!</v>
      </c>
      <c r="N547" s="70" t="e">
        <f>'RESUMEN TOTAL'!#REF!</f>
        <v>#REF!</v>
      </c>
      <c r="O547" s="70" t="e">
        <f>'RESUMEN TOTAL'!#REF!</f>
        <v>#REF!</v>
      </c>
      <c r="P547" s="70" t="e">
        <f>'RESUMEN TOTAL'!#REF!</f>
        <v>#REF!</v>
      </c>
      <c r="Q547" s="70" t="e">
        <f>'RESUMEN TOTAL'!#REF!</f>
        <v>#REF!</v>
      </c>
      <c r="R547" s="70" t="e">
        <f>'RESUMEN TOTAL'!#REF!</f>
        <v>#REF!</v>
      </c>
      <c r="S547" s="70" t="e">
        <f>'RESUMEN TOTAL'!#REF!</f>
        <v>#REF!</v>
      </c>
      <c r="T547" s="70" t="e">
        <f>'RESUMEN TOTAL'!#REF!</f>
        <v>#REF!</v>
      </c>
      <c r="U547" s="70" t="e">
        <f>'RESUMEN TOTAL'!#REF!</f>
        <v>#REF!</v>
      </c>
      <c r="V547" s="70" t="e">
        <f>'RESUMEN TOTAL'!#REF!</f>
        <v>#REF!</v>
      </c>
      <c r="W547" s="70" t="e">
        <f>'RESUMEN TOTAL'!#REF!</f>
        <v>#REF!</v>
      </c>
      <c r="X547" s="70" t="e">
        <f>'RESUMEN TOTAL'!#REF!</f>
        <v>#REF!</v>
      </c>
      <c r="Y547" s="70" t="e">
        <f>'RESUMEN TOTAL'!#REF!</f>
        <v>#REF!</v>
      </c>
      <c r="Z547" s="70" t="e">
        <f>'RESUMEN TOTAL'!#REF!</f>
        <v>#REF!</v>
      </c>
      <c r="AA547" s="70" t="e">
        <f>'RESUMEN TOTAL'!#REF!</f>
        <v>#REF!</v>
      </c>
      <c r="AB547" s="70" t="e">
        <f>'RESUMEN TOTAL'!#REF!</f>
        <v>#REF!</v>
      </c>
      <c r="AC547" s="70" t="e">
        <f>'RESUMEN TOTAL'!#REF!</f>
        <v>#REF!</v>
      </c>
      <c r="AD547" s="70" t="e">
        <f>'RESUMEN TOTAL'!#REF!</f>
        <v>#REF!</v>
      </c>
      <c r="AE547" s="70" t="e">
        <f>'RESUMEN TOTAL'!#REF!</f>
        <v>#REF!</v>
      </c>
      <c r="AF547" s="70" t="e">
        <f>'RESUMEN TOTAL'!#REF!</f>
        <v>#REF!</v>
      </c>
      <c r="AG547" s="70" t="e">
        <f>'RESUMEN TOTAL'!#REF!</f>
        <v>#REF!</v>
      </c>
      <c r="AH547" s="70" t="e">
        <f>'RESUMEN TOTAL'!#REF!</f>
        <v>#REF!</v>
      </c>
      <c r="AI547" s="70" t="e">
        <f>'RESUMEN TOTAL'!#REF!</f>
        <v>#REF!</v>
      </c>
      <c r="AJ547" s="70" t="e">
        <f>'RESUMEN TOTAL'!#REF!</f>
        <v>#REF!</v>
      </c>
    </row>
    <row r="548" spans="1:36" x14ac:dyDescent="0.25">
      <c r="A548">
        <f>[1]Hoja1!A82</f>
        <v>0</v>
      </c>
      <c r="B548">
        <f>[1]Hoja1!B82</f>
        <v>0</v>
      </c>
      <c r="C548">
        <f>[1]Hoja1!D82</f>
        <v>0</v>
      </c>
      <c r="D548" s="30">
        <f>[1]Hoja1!E82</f>
        <v>0</v>
      </c>
      <c r="E548" s="30">
        <f>[1]Hoja1!F82</f>
        <v>0</v>
      </c>
      <c r="F548" s="70">
        <f>[1]Hoja1!L82</f>
        <v>0</v>
      </c>
      <c r="G548" s="70">
        <f>[1]Hoja1!M82</f>
        <v>0</v>
      </c>
      <c r="H548" s="70">
        <f>[1]Hoja1!N82</f>
        <v>0</v>
      </c>
      <c r="I548" s="70">
        <f>[1]Hoja1!O82</f>
        <v>0</v>
      </c>
      <c r="J548" s="70">
        <f>[1]Hoja1!P82</f>
        <v>0</v>
      </c>
      <c r="K548" s="70">
        <f>[1]Hoja1!Q82</f>
        <v>0</v>
      </c>
      <c r="L548" s="70">
        <f>[1]Hoja1!R82</f>
        <v>0</v>
      </c>
      <c r="M548" s="70">
        <f>[1]Hoja1!S82</f>
        <v>0</v>
      </c>
      <c r="N548" s="70">
        <f>[1]Hoja1!T82</f>
        <v>0</v>
      </c>
      <c r="O548" s="70">
        <f>[1]Hoja1!U82</f>
        <v>0</v>
      </c>
      <c r="P548" s="70">
        <f>[1]Hoja1!V82</f>
        <v>0</v>
      </c>
      <c r="Q548" s="70">
        <f>[1]Hoja1!W82</f>
        <v>0</v>
      </c>
      <c r="R548" s="70">
        <f>[1]Hoja1!X82</f>
        <v>0</v>
      </c>
      <c r="S548" s="70">
        <f>[1]Hoja1!Y82</f>
        <v>0</v>
      </c>
      <c r="T548" s="70">
        <f>[1]Hoja1!Z82</f>
        <v>0</v>
      </c>
      <c r="U548" s="70">
        <f>[1]Hoja1!AA82</f>
        <v>0</v>
      </c>
      <c r="V548" s="70">
        <f>[1]Hoja1!AB82</f>
        <v>0</v>
      </c>
      <c r="W548" s="70">
        <f>[1]Hoja1!AC82</f>
        <v>0</v>
      </c>
      <c r="X548" s="70">
        <f>[1]Hoja1!AD82</f>
        <v>0</v>
      </c>
      <c r="Y548" s="70">
        <f>[1]Hoja1!AE82</f>
        <v>0</v>
      </c>
      <c r="Z548" s="70">
        <f>[1]Hoja1!AF82</f>
        <v>0</v>
      </c>
      <c r="AA548" s="70">
        <f>[1]Hoja1!AG82</f>
        <v>0</v>
      </c>
      <c r="AB548" s="70">
        <f>[1]Hoja1!AH82</f>
        <v>0</v>
      </c>
      <c r="AC548" s="70">
        <f>[1]Hoja1!AI82</f>
        <v>0</v>
      </c>
      <c r="AD548" s="70">
        <f>[1]Hoja1!AJ82</f>
        <v>0</v>
      </c>
      <c r="AE548" s="70">
        <f>[1]Hoja1!AK82</f>
        <v>0</v>
      </c>
      <c r="AF548" s="70">
        <f>[1]Hoja1!AL82</f>
        <v>0</v>
      </c>
      <c r="AG548" s="70">
        <f>[1]Hoja1!AM82</f>
        <v>0</v>
      </c>
      <c r="AH548" s="70">
        <f>[1]Hoja1!AN82</f>
        <v>0</v>
      </c>
      <c r="AI548" s="70">
        <f>[1]Hoja1!AO82</f>
        <v>0</v>
      </c>
      <c r="AJ548" s="70">
        <f>[1]Hoja1!AP82</f>
        <v>0</v>
      </c>
    </row>
    <row r="549" spans="1:36" x14ac:dyDescent="0.25">
      <c r="A549">
        <f>'RESUMEN TOTAL'!A660</f>
        <v>0</v>
      </c>
      <c r="B549">
        <f>'RESUMEN TOTAL'!B660</f>
        <v>0</v>
      </c>
      <c r="C549">
        <f>'RESUMEN TOTAL'!D660</f>
        <v>0</v>
      </c>
      <c r="D549" s="30">
        <f>'RESUMEN TOTAL'!E660</f>
        <v>0</v>
      </c>
      <c r="E549" s="30">
        <f>'RESUMEN TOTAL'!F660</f>
        <v>0</v>
      </c>
      <c r="F549" s="70">
        <f>'RESUMEN TOTAL'!M660</f>
        <v>0</v>
      </c>
      <c r="G549" s="70">
        <f>'RESUMEN TOTAL'!N660</f>
        <v>0</v>
      </c>
      <c r="H549" s="70">
        <f>'RESUMEN TOTAL'!O660</f>
        <v>0</v>
      </c>
      <c r="I549" s="70">
        <f>'RESUMEN TOTAL'!P660</f>
        <v>0</v>
      </c>
      <c r="J549" s="70">
        <f>'RESUMEN TOTAL'!Q660</f>
        <v>0</v>
      </c>
      <c r="K549" s="70">
        <f>'RESUMEN TOTAL'!R660</f>
        <v>0</v>
      </c>
      <c r="L549" s="70">
        <f>'RESUMEN TOTAL'!S660</f>
        <v>0</v>
      </c>
      <c r="M549" s="70">
        <f>'RESUMEN TOTAL'!T660</f>
        <v>0</v>
      </c>
      <c r="N549" s="70">
        <f>'RESUMEN TOTAL'!U660</f>
        <v>0</v>
      </c>
      <c r="O549" s="70">
        <f>'RESUMEN TOTAL'!V660</f>
        <v>0</v>
      </c>
      <c r="P549" s="70">
        <f>'RESUMEN TOTAL'!W660</f>
        <v>0</v>
      </c>
      <c r="Q549" s="70">
        <f>'RESUMEN TOTAL'!X660</f>
        <v>0</v>
      </c>
      <c r="R549" s="70">
        <f>'RESUMEN TOTAL'!Y660</f>
        <v>0</v>
      </c>
      <c r="S549" s="70">
        <f>'RESUMEN TOTAL'!Z660</f>
        <v>0</v>
      </c>
      <c r="T549" s="70">
        <f>'RESUMEN TOTAL'!AA660</f>
        <v>0</v>
      </c>
      <c r="U549" s="70">
        <f>'RESUMEN TOTAL'!AB660</f>
        <v>0</v>
      </c>
      <c r="V549" s="70">
        <f>'RESUMEN TOTAL'!AC660</f>
        <v>0</v>
      </c>
      <c r="W549" s="70">
        <f>'RESUMEN TOTAL'!AD660</f>
        <v>0</v>
      </c>
      <c r="X549" s="70">
        <f>'RESUMEN TOTAL'!AE660</f>
        <v>0</v>
      </c>
      <c r="Y549" s="70">
        <f>'RESUMEN TOTAL'!AF660</f>
        <v>0</v>
      </c>
      <c r="Z549" s="70">
        <f>'RESUMEN TOTAL'!AG660</f>
        <v>0</v>
      </c>
      <c r="AA549" s="70">
        <f>'RESUMEN TOTAL'!AH660</f>
        <v>0</v>
      </c>
      <c r="AB549" s="70">
        <f>'RESUMEN TOTAL'!AI660</f>
        <v>0</v>
      </c>
      <c r="AC549" s="70">
        <f>'RESUMEN TOTAL'!AJ660</f>
        <v>0</v>
      </c>
      <c r="AD549" s="70">
        <f>'RESUMEN TOTAL'!AK660</f>
        <v>0</v>
      </c>
      <c r="AE549" s="70">
        <f>'RESUMEN TOTAL'!AL660</f>
        <v>0</v>
      </c>
      <c r="AF549" s="70">
        <f>'RESUMEN TOTAL'!AM660</f>
        <v>0</v>
      </c>
      <c r="AG549" s="70">
        <f>'RESUMEN TOTAL'!AN660</f>
        <v>0</v>
      </c>
      <c r="AH549" s="70">
        <f>'RESUMEN TOTAL'!AO660</f>
        <v>0</v>
      </c>
      <c r="AI549" s="70">
        <f>'RESUMEN TOTAL'!AP660</f>
        <v>0</v>
      </c>
      <c r="AJ549" s="70">
        <f>'RESUMEN TOTAL'!AQ660</f>
        <v>0</v>
      </c>
    </row>
    <row r="550" spans="1:36" x14ac:dyDescent="0.25">
      <c r="A550">
        <f>'RESUMEN TOTAL'!A661</f>
        <v>0</v>
      </c>
      <c r="B550">
        <f>'RESUMEN TOTAL'!B661</f>
        <v>0</v>
      </c>
      <c r="C550">
        <f>'RESUMEN TOTAL'!D661</f>
        <v>0</v>
      </c>
      <c r="D550" s="30">
        <f>'RESUMEN TOTAL'!E661</f>
        <v>0</v>
      </c>
      <c r="E550" s="30">
        <f>'RESUMEN TOTAL'!F661</f>
        <v>0</v>
      </c>
      <c r="F550" s="70">
        <f>'RESUMEN TOTAL'!M661</f>
        <v>0</v>
      </c>
      <c r="G550" s="70">
        <f>'RESUMEN TOTAL'!N661</f>
        <v>0</v>
      </c>
      <c r="H550" s="70">
        <f>'RESUMEN TOTAL'!O661</f>
        <v>0</v>
      </c>
      <c r="I550" s="70">
        <f>'RESUMEN TOTAL'!P661</f>
        <v>0</v>
      </c>
      <c r="J550" s="70">
        <f>'RESUMEN TOTAL'!Q661</f>
        <v>0</v>
      </c>
      <c r="K550" s="70">
        <f>'RESUMEN TOTAL'!R661</f>
        <v>0</v>
      </c>
      <c r="L550" s="70">
        <f>'RESUMEN TOTAL'!S661</f>
        <v>0</v>
      </c>
      <c r="M550" s="70">
        <f>'RESUMEN TOTAL'!T661</f>
        <v>0</v>
      </c>
      <c r="N550" s="70">
        <f>'RESUMEN TOTAL'!U661</f>
        <v>0</v>
      </c>
      <c r="O550" s="70">
        <f>'RESUMEN TOTAL'!V661</f>
        <v>0</v>
      </c>
      <c r="P550" s="70">
        <f>'RESUMEN TOTAL'!W661</f>
        <v>0</v>
      </c>
      <c r="Q550" s="70">
        <f>'RESUMEN TOTAL'!X661</f>
        <v>0</v>
      </c>
      <c r="R550" s="70">
        <f>'RESUMEN TOTAL'!Y661</f>
        <v>0</v>
      </c>
      <c r="S550" s="70">
        <f>'RESUMEN TOTAL'!Z661</f>
        <v>0</v>
      </c>
      <c r="T550" s="70">
        <f>'RESUMEN TOTAL'!AA661</f>
        <v>0</v>
      </c>
      <c r="U550" s="70">
        <f>'RESUMEN TOTAL'!AB661</f>
        <v>0</v>
      </c>
      <c r="V550" s="70">
        <f>'RESUMEN TOTAL'!AC661</f>
        <v>0</v>
      </c>
      <c r="W550" s="70">
        <f>'RESUMEN TOTAL'!AD661</f>
        <v>0</v>
      </c>
      <c r="X550" s="70">
        <f>'RESUMEN TOTAL'!AE661</f>
        <v>0</v>
      </c>
      <c r="Y550" s="70">
        <f>'RESUMEN TOTAL'!AF661</f>
        <v>0</v>
      </c>
      <c r="Z550" s="70">
        <f>'RESUMEN TOTAL'!AG661</f>
        <v>0</v>
      </c>
      <c r="AA550" s="70">
        <f>'RESUMEN TOTAL'!AH661</f>
        <v>0</v>
      </c>
      <c r="AB550" s="70">
        <f>'RESUMEN TOTAL'!AI661</f>
        <v>0</v>
      </c>
      <c r="AC550" s="70">
        <f>'RESUMEN TOTAL'!AJ661</f>
        <v>0</v>
      </c>
      <c r="AD550" s="70">
        <f>'RESUMEN TOTAL'!AK661</f>
        <v>0</v>
      </c>
      <c r="AE550" s="70">
        <f>'RESUMEN TOTAL'!AL661</f>
        <v>0</v>
      </c>
      <c r="AF550" s="70">
        <f>'RESUMEN TOTAL'!AM661</f>
        <v>0</v>
      </c>
      <c r="AG550" s="70">
        <f>'RESUMEN TOTAL'!AN661</f>
        <v>0</v>
      </c>
      <c r="AH550" s="70">
        <f>'RESUMEN TOTAL'!AO661</f>
        <v>0</v>
      </c>
      <c r="AI550" s="70">
        <f>'RESUMEN TOTAL'!AP661</f>
        <v>0</v>
      </c>
      <c r="AJ550" s="70">
        <f>'RESUMEN TOTAL'!AQ661</f>
        <v>0</v>
      </c>
    </row>
    <row r="551" spans="1:36" x14ac:dyDescent="0.25">
      <c r="A551">
        <f>'RESUMEN TOTAL'!A662</f>
        <v>0</v>
      </c>
      <c r="B551">
        <f>'RESUMEN TOTAL'!B662</f>
        <v>0</v>
      </c>
      <c r="C551">
        <f>'RESUMEN TOTAL'!D662</f>
        <v>0</v>
      </c>
      <c r="D551" s="30">
        <f>'RESUMEN TOTAL'!E662</f>
        <v>0</v>
      </c>
      <c r="E551" s="30">
        <f>'RESUMEN TOTAL'!F662</f>
        <v>0</v>
      </c>
      <c r="F551" s="70">
        <f>'RESUMEN TOTAL'!M662</f>
        <v>0</v>
      </c>
      <c r="G551" s="70">
        <f>'RESUMEN TOTAL'!N662</f>
        <v>0</v>
      </c>
      <c r="H551" s="70">
        <f>'RESUMEN TOTAL'!O662</f>
        <v>0</v>
      </c>
      <c r="I551" s="70">
        <f>'RESUMEN TOTAL'!P662</f>
        <v>0</v>
      </c>
      <c r="J551" s="70">
        <f>'RESUMEN TOTAL'!Q662</f>
        <v>0</v>
      </c>
      <c r="K551" s="70">
        <f>'RESUMEN TOTAL'!R662</f>
        <v>0</v>
      </c>
      <c r="L551" s="70">
        <f>'RESUMEN TOTAL'!S662</f>
        <v>0</v>
      </c>
      <c r="M551" s="70">
        <f>'RESUMEN TOTAL'!T662</f>
        <v>0</v>
      </c>
      <c r="N551" s="70">
        <f>'RESUMEN TOTAL'!U662</f>
        <v>0</v>
      </c>
      <c r="O551" s="70">
        <f>'RESUMEN TOTAL'!V662</f>
        <v>0</v>
      </c>
      <c r="P551" s="70">
        <f>'RESUMEN TOTAL'!W662</f>
        <v>0</v>
      </c>
      <c r="Q551" s="70">
        <f>'RESUMEN TOTAL'!X662</f>
        <v>0</v>
      </c>
      <c r="R551" s="70">
        <f>'RESUMEN TOTAL'!Y662</f>
        <v>0</v>
      </c>
      <c r="S551" s="70">
        <f>'RESUMEN TOTAL'!Z662</f>
        <v>0</v>
      </c>
      <c r="T551" s="70">
        <f>'RESUMEN TOTAL'!AA662</f>
        <v>0</v>
      </c>
      <c r="U551" s="70">
        <f>'RESUMEN TOTAL'!AB662</f>
        <v>0</v>
      </c>
      <c r="V551" s="70">
        <f>'RESUMEN TOTAL'!AC662</f>
        <v>0</v>
      </c>
      <c r="W551" s="70">
        <f>'RESUMEN TOTAL'!AD662</f>
        <v>0</v>
      </c>
      <c r="X551" s="70">
        <f>'RESUMEN TOTAL'!AE662</f>
        <v>0</v>
      </c>
      <c r="Y551" s="70">
        <f>'RESUMEN TOTAL'!AF662</f>
        <v>0</v>
      </c>
      <c r="Z551" s="70">
        <f>'RESUMEN TOTAL'!AG662</f>
        <v>0</v>
      </c>
      <c r="AA551" s="70">
        <f>'RESUMEN TOTAL'!AH662</f>
        <v>0</v>
      </c>
      <c r="AB551" s="70">
        <f>'RESUMEN TOTAL'!AI662</f>
        <v>0</v>
      </c>
      <c r="AC551" s="70">
        <f>'RESUMEN TOTAL'!AJ662</f>
        <v>0</v>
      </c>
      <c r="AD551" s="70">
        <f>'RESUMEN TOTAL'!AK662</f>
        <v>0</v>
      </c>
      <c r="AE551" s="70">
        <f>'RESUMEN TOTAL'!AL662</f>
        <v>0</v>
      </c>
      <c r="AF551" s="70">
        <f>'RESUMEN TOTAL'!AM662</f>
        <v>0</v>
      </c>
      <c r="AG551" s="70">
        <f>'RESUMEN TOTAL'!AN662</f>
        <v>0</v>
      </c>
      <c r="AH551" s="70">
        <f>'RESUMEN TOTAL'!AO662</f>
        <v>0</v>
      </c>
      <c r="AI551" s="70">
        <f>'RESUMEN TOTAL'!AP662</f>
        <v>0</v>
      </c>
      <c r="AJ551" s="70">
        <f>'RESUMEN TOTAL'!AQ662</f>
        <v>0</v>
      </c>
    </row>
    <row r="552" spans="1:36" x14ac:dyDescent="0.25">
      <c r="A552">
        <f>'RESUMEN TOTAL'!A663</f>
        <v>0</v>
      </c>
      <c r="B552">
        <f>'RESUMEN TOTAL'!B663</f>
        <v>0</v>
      </c>
      <c r="C552">
        <f>'RESUMEN TOTAL'!D663</f>
        <v>0</v>
      </c>
      <c r="D552" s="30">
        <f>'RESUMEN TOTAL'!E663</f>
        <v>0</v>
      </c>
      <c r="E552" s="30">
        <f>'RESUMEN TOTAL'!F663</f>
        <v>0</v>
      </c>
      <c r="F552" s="70">
        <f>'RESUMEN TOTAL'!M663</f>
        <v>0</v>
      </c>
      <c r="G552" s="70">
        <f>'RESUMEN TOTAL'!N663</f>
        <v>0</v>
      </c>
      <c r="H552" s="70">
        <f>'RESUMEN TOTAL'!O663</f>
        <v>0</v>
      </c>
      <c r="I552" s="70">
        <f>'RESUMEN TOTAL'!P663</f>
        <v>0</v>
      </c>
      <c r="J552" s="70">
        <f>'RESUMEN TOTAL'!Q663</f>
        <v>0</v>
      </c>
      <c r="K552" s="70">
        <f>'RESUMEN TOTAL'!R663</f>
        <v>0</v>
      </c>
      <c r="L552" s="70">
        <f>'RESUMEN TOTAL'!S663</f>
        <v>0</v>
      </c>
      <c r="M552" s="70">
        <f>'RESUMEN TOTAL'!T663</f>
        <v>0</v>
      </c>
      <c r="N552" s="70">
        <f>'RESUMEN TOTAL'!U663</f>
        <v>0</v>
      </c>
      <c r="O552" s="70">
        <f>'RESUMEN TOTAL'!V663</f>
        <v>0</v>
      </c>
      <c r="P552" s="70">
        <f>'RESUMEN TOTAL'!W663</f>
        <v>0</v>
      </c>
      <c r="Q552" s="70">
        <f>'RESUMEN TOTAL'!X663</f>
        <v>0</v>
      </c>
      <c r="R552" s="70">
        <f>'RESUMEN TOTAL'!Y663</f>
        <v>0</v>
      </c>
      <c r="S552" s="70">
        <f>'RESUMEN TOTAL'!Z663</f>
        <v>0</v>
      </c>
      <c r="T552" s="70">
        <f>'RESUMEN TOTAL'!AA663</f>
        <v>0</v>
      </c>
      <c r="U552" s="70">
        <f>'RESUMEN TOTAL'!AB663</f>
        <v>0</v>
      </c>
      <c r="V552" s="70">
        <f>'RESUMEN TOTAL'!AC663</f>
        <v>0</v>
      </c>
      <c r="W552" s="70">
        <f>'RESUMEN TOTAL'!AD663</f>
        <v>0</v>
      </c>
      <c r="X552" s="70">
        <f>'RESUMEN TOTAL'!AE663</f>
        <v>0</v>
      </c>
      <c r="Y552" s="70">
        <f>'RESUMEN TOTAL'!AF663</f>
        <v>0</v>
      </c>
      <c r="Z552" s="70">
        <f>'RESUMEN TOTAL'!AG663</f>
        <v>0</v>
      </c>
      <c r="AA552" s="70">
        <f>'RESUMEN TOTAL'!AH663</f>
        <v>0</v>
      </c>
      <c r="AB552" s="70">
        <f>'RESUMEN TOTAL'!AI663</f>
        <v>0</v>
      </c>
      <c r="AC552" s="70">
        <f>'RESUMEN TOTAL'!AJ663</f>
        <v>0</v>
      </c>
      <c r="AD552" s="70">
        <f>'RESUMEN TOTAL'!AK663</f>
        <v>0</v>
      </c>
      <c r="AE552" s="70">
        <f>'RESUMEN TOTAL'!AL663</f>
        <v>0</v>
      </c>
      <c r="AF552" s="70">
        <f>'RESUMEN TOTAL'!AM663</f>
        <v>0</v>
      </c>
      <c r="AG552" s="70">
        <f>'RESUMEN TOTAL'!AN663</f>
        <v>0</v>
      </c>
      <c r="AH552" s="70">
        <f>'RESUMEN TOTAL'!AO663</f>
        <v>0</v>
      </c>
      <c r="AI552" s="70">
        <f>'RESUMEN TOTAL'!AP663</f>
        <v>0</v>
      </c>
      <c r="AJ552" s="70">
        <f>'RESUMEN TOTAL'!AQ663</f>
        <v>0</v>
      </c>
    </row>
    <row r="553" spans="1:36" x14ac:dyDescent="0.25">
      <c r="A553">
        <f>'RESUMEN TOTAL'!A664</f>
        <v>0</v>
      </c>
      <c r="B553">
        <f>'RESUMEN TOTAL'!B664</f>
        <v>0</v>
      </c>
      <c r="C553">
        <f>'RESUMEN TOTAL'!D664</f>
        <v>0</v>
      </c>
      <c r="D553" s="30">
        <f>'RESUMEN TOTAL'!E664</f>
        <v>0</v>
      </c>
      <c r="E553" s="30">
        <f>'RESUMEN TOTAL'!F664</f>
        <v>0</v>
      </c>
      <c r="F553" s="70">
        <f>'RESUMEN TOTAL'!M664</f>
        <v>0</v>
      </c>
      <c r="G553" s="70">
        <f>'RESUMEN TOTAL'!N664</f>
        <v>0</v>
      </c>
      <c r="H553" s="70">
        <f>'RESUMEN TOTAL'!O664</f>
        <v>0</v>
      </c>
      <c r="I553" s="70">
        <f>'RESUMEN TOTAL'!P664</f>
        <v>0</v>
      </c>
      <c r="J553" s="70">
        <f>'RESUMEN TOTAL'!Q664</f>
        <v>0</v>
      </c>
      <c r="K553" s="70">
        <f>'RESUMEN TOTAL'!R664</f>
        <v>0</v>
      </c>
      <c r="L553" s="70">
        <f>'RESUMEN TOTAL'!S664</f>
        <v>0</v>
      </c>
      <c r="M553" s="70">
        <f>'RESUMEN TOTAL'!T664</f>
        <v>0</v>
      </c>
      <c r="N553" s="70">
        <f>'RESUMEN TOTAL'!U664</f>
        <v>0</v>
      </c>
      <c r="O553" s="70">
        <f>'RESUMEN TOTAL'!V664</f>
        <v>0</v>
      </c>
      <c r="P553" s="70">
        <f>'RESUMEN TOTAL'!W664</f>
        <v>0</v>
      </c>
      <c r="Q553" s="70">
        <f>'RESUMEN TOTAL'!X664</f>
        <v>0</v>
      </c>
      <c r="R553" s="70">
        <f>'RESUMEN TOTAL'!Y664</f>
        <v>0</v>
      </c>
      <c r="S553" s="70">
        <f>'RESUMEN TOTAL'!Z664</f>
        <v>0</v>
      </c>
      <c r="T553" s="70">
        <f>'RESUMEN TOTAL'!AA664</f>
        <v>0</v>
      </c>
      <c r="U553" s="70">
        <f>'RESUMEN TOTAL'!AB664</f>
        <v>0</v>
      </c>
      <c r="V553" s="70">
        <f>'RESUMEN TOTAL'!AC664</f>
        <v>0</v>
      </c>
      <c r="W553" s="70">
        <f>'RESUMEN TOTAL'!AD664</f>
        <v>0</v>
      </c>
      <c r="X553" s="70">
        <f>'RESUMEN TOTAL'!AE664</f>
        <v>0</v>
      </c>
      <c r="Y553" s="70">
        <f>'RESUMEN TOTAL'!AF664</f>
        <v>0</v>
      </c>
      <c r="Z553" s="70">
        <f>'RESUMEN TOTAL'!AG664</f>
        <v>0</v>
      </c>
      <c r="AA553" s="70">
        <f>'RESUMEN TOTAL'!AH664</f>
        <v>0</v>
      </c>
      <c r="AB553" s="70">
        <f>'RESUMEN TOTAL'!AI664</f>
        <v>0</v>
      </c>
      <c r="AC553" s="70">
        <f>'RESUMEN TOTAL'!AJ664</f>
        <v>0</v>
      </c>
      <c r="AD553" s="70">
        <f>'RESUMEN TOTAL'!AK664</f>
        <v>0</v>
      </c>
      <c r="AE553" s="70">
        <f>'RESUMEN TOTAL'!AL664</f>
        <v>0</v>
      </c>
      <c r="AF553" s="70">
        <f>'RESUMEN TOTAL'!AM664</f>
        <v>0</v>
      </c>
      <c r="AG553" s="70">
        <f>'RESUMEN TOTAL'!AN664</f>
        <v>0</v>
      </c>
      <c r="AH553" s="70">
        <f>'RESUMEN TOTAL'!AO664</f>
        <v>0</v>
      </c>
      <c r="AI553" s="70">
        <f>'RESUMEN TOTAL'!AP664</f>
        <v>0</v>
      </c>
      <c r="AJ553" s="70">
        <f>'RESUMEN TOTAL'!AQ664</f>
        <v>0</v>
      </c>
    </row>
    <row r="554" spans="1:36" x14ac:dyDescent="0.25">
      <c r="A554">
        <f>'RESUMEN TOTAL'!A665</f>
        <v>0</v>
      </c>
      <c r="B554">
        <f>'RESUMEN TOTAL'!B665</f>
        <v>0</v>
      </c>
      <c r="C554">
        <f>'RESUMEN TOTAL'!D665</f>
        <v>0</v>
      </c>
      <c r="D554" s="30">
        <f>'RESUMEN TOTAL'!E665</f>
        <v>0</v>
      </c>
      <c r="E554" s="30">
        <f>'RESUMEN TOTAL'!F665</f>
        <v>0</v>
      </c>
      <c r="F554" s="70">
        <f>'RESUMEN TOTAL'!M665</f>
        <v>0</v>
      </c>
      <c r="G554" s="70">
        <f>'RESUMEN TOTAL'!N665</f>
        <v>0</v>
      </c>
      <c r="H554" s="70">
        <f>'RESUMEN TOTAL'!O665</f>
        <v>0</v>
      </c>
      <c r="I554" s="70">
        <f>'RESUMEN TOTAL'!P665</f>
        <v>0</v>
      </c>
      <c r="J554" s="70">
        <f>'RESUMEN TOTAL'!Q665</f>
        <v>0</v>
      </c>
      <c r="K554" s="70">
        <f>'RESUMEN TOTAL'!R665</f>
        <v>0</v>
      </c>
      <c r="L554" s="70">
        <f>'RESUMEN TOTAL'!S665</f>
        <v>0</v>
      </c>
      <c r="M554" s="70">
        <f>'RESUMEN TOTAL'!T665</f>
        <v>0</v>
      </c>
      <c r="N554" s="70">
        <f>'RESUMEN TOTAL'!U665</f>
        <v>0</v>
      </c>
      <c r="O554" s="70">
        <f>'RESUMEN TOTAL'!V665</f>
        <v>0</v>
      </c>
      <c r="P554" s="70">
        <f>'RESUMEN TOTAL'!W665</f>
        <v>0</v>
      </c>
      <c r="Q554" s="70">
        <f>'RESUMEN TOTAL'!X665</f>
        <v>0</v>
      </c>
      <c r="R554" s="70">
        <f>'RESUMEN TOTAL'!Y665</f>
        <v>0</v>
      </c>
      <c r="S554" s="70">
        <f>'RESUMEN TOTAL'!Z665</f>
        <v>0</v>
      </c>
      <c r="T554" s="70">
        <f>'RESUMEN TOTAL'!AA665</f>
        <v>0</v>
      </c>
      <c r="U554" s="70">
        <f>'RESUMEN TOTAL'!AB665</f>
        <v>0</v>
      </c>
      <c r="V554" s="70">
        <f>'RESUMEN TOTAL'!AC665</f>
        <v>0</v>
      </c>
      <c r="W554" s="70">
        <f>'RESUMEN TOTAL'!AD665</f>
        <v>0</v>
      </c>
      <c r="X554" s="70">
        <f>'RESUMEN TOTAL'!AE665</f>
        <v>0</v>
      </c>
      <c r="Y554" s="70">
        <f>'RESUMEN TOTAL'!AF665</f>
        <v>0</v>
      </c>
      <c r="Z554" s="70">
        <f>'RESUMEN TOTAL'!AG665</f>
        <v>0</v>
      </c>
      <c r="AA554" s="70">
        <f>'RESUMEN TOTAL'!AH665</f>
        <v>0</v>
      </c>
      <c r="AB554" s="70">
        <f>'RESUMEN TOTAL'!AI665</f>
        <v>0</v>
      </c>
      <c r="AC554" s="70">
        <f>'RESUMEN TOTAL'!AJ665</f>
        <v>0</v>
      </c>
      <c r="AD554" s="70">
        <f>'RESUMEN TOTAL'!AK665</f>
        <v>0</v>
      </c>
      <c r="AE554" s="70">
        <f>'RESUMEN TOTAL'!AL665</f>
        <v>0</v>
      </c>
      <c r="AF554" s="70">
        <f>'RESUMEN TOTAL'!AM665</f>
        <v>0</v>
      </c>
      <c r="AG554" s="70">
        <f>'RESUMEN TOTAL'!AN665</f>
        <v>0</v>
      </c>
      <c r="AH554" s="70">
        <f>'RESUMEN TOTAL'!AO665</f>
        <v>0</v>
      </c>
      <c r="AI554" s="70">
        <f>'RESUMEN TOTAL'!AP665</f>
        <v>0</v>
      </c>
      <c r="AJ554" s="70">
        <f>'RESUMEN TOTAL'!AQ665</f>
        <v>0</v>
      </c>
    </row>
    <row r="555" spans="1:36" x14ac:dyDescent="0.25">
      <c r="A555">
        <f>'RESUMEN TOTAL'!A666</f>
        <v>0</v>
      </c>
      <c r="B555">
        <f>'RESUMEN TOTAL'!B666</f>
        <v>0</v>
      </c>
      <c r="C555">
        <f>'RESUMEN TOTAL'!D666</f>
        <v>0</v>
      </c>
      <c r="D555" s="30">
        <f>'RESUMEN TOTAL'!E666</f>
        <v>0</v>
      </c>
      <c r="E555" s="30">
        <f>'RESUMEN TOTAL'!F666</f>
        <v>0</v>
      </c>
      <c r="F555" s="70">
        <f>'RESUMEN TOTAL'!M666</f>
        <v>0</v>
      </c>
      <c r="G555" s="70">
        <f>'RESUMEN TOTAL'!N666</f>
        <v>0</v>
      </c>
      <c r="H555" s="70">
        <f>'RESUMEN TOTAL'!O666</f>
        <v>0</v>
      </c>
      <c r="I555" s="70">
        <f>'RESUMEN TOTAL'!P666</f>
        <v>0</v>
      </c>
      <c r="J555" s="70">
        <f>'RESUMEN TOTAL'!Q666</f>
        <v>0</v>
      </c>
      <c r="K555" s="70">
        <f>'RESUMEN TOTAL'!R666</f>
        <v>0</v>
      </c>
      <c r="L555" s="70">
        <f>'RESUMEN TOTAL'!S666</f>
        <v>0</v>
      </c>
      <c r="M555" s="70">
        <f>'RESUMEN TOTAL'!T666</f>
        <v>0</v>
      </c>
      <c r="N555" s="70">
        <f>'RESUMEN TOTAL'!U666</f>
        <v>0</v>
      </c>
      <c r="O555" s="70">
        <f>'RESUMEN TOTAL'!V666</f>
        <v>0</v>
      </c>
      <c r="P555" s="70">
        <f>'RESUMEN TOTAL'!W666</f>
        <v>0</v>
      </c>
      <c r="Q555" s="70">
        <f>'RESUMEN TOTAL'!X666</f>
        <v>0</v>
      </c>
      <c r="R555" s="70">
        <f>'RESUMEN TOTAL'!Y666</f>
        <v>0</v>
      </c>
      <c r="S555" s="70">
        <f>'RESUMEN TOTAL'!Z666</f>
        <v>0</v>
      </c>
      <c r="T555" s="70">
        <f>'RESUMEN TOTAL'!AA666</f>
        <v>0</v>
      </c>
      <c r="U555" s="70">
        <f>'RESUMEN TOTAL'!AB666</f>
        <v>0</v>
      </c>
      <c r="V555" s="70">
        <f>'RESUMEN TOTAL'!AC666</f>
        <v>0</v>
      </c>
      <c r="W555" s="70">
        <f>'RESUMEN TOTAL'!AD666</f>
        <v>0</v>
      </c>
      <c r="X555" s="70">
        <f>'RESUMEN TOTAL'!AE666</f>
        <v>0</v>
      </c>
      <c r="Y555" s="70">
        <f>'RESUMEN TOTAL'!AF666</f>
        <v>0</v>
      </c>
      <c r="Z555" s="70">
        <f>'RESUMEN TOTAL'!AG666</f>
        <v>0</v>
      </c>
      <c r="AA555" s="70">
        <f>'RESUMEN TOTAL'!AH666</f>
        <v>0</v>
      </c>
      <c r="AB555" s="70">
        <f>'RESUMEN TOTAL'!AI666</f>
        <v>0</v>
      </c>
      <c r="AC555" s="70">
        <f>'RESUMEN TOTAL'!AJ666</f>
        <v>0</v>
      </c>
      <c r="AD555" s="70">
        <f>'RESUMEN TOTAL'!AK666</f>
        <v>0</v>
      </c>
      <c r="AE555" s="70">
        <f>'RESUMEN TOTAL'!AL666</f>
        <v>0</v>
      </c>
      <c r="AF555" s="70">
        <f>'RESUMEN TOTAL'!AM666</f>
        <v>0</v>
      </c>
      <c r="AG555" s="70">
        <f>'RESUMEN TOTAL'!AN666</f>
        <v>0</v>
      </c>
      <c r="AH555" s="70">
        <f>'RESUMEN TOTAL'!AO666</f>
        <v>0</v>
      </c>
      <c r="AI555" s="70">
        <f>'RESUMEN TOTAL'!AP666</f>
        <v>0</v>
      </c>
      <c r="AJ555" s="70">
        <f>'RESUMEN TOTAL'!AQ666</f>
        <v>0</v>
      </c>
    </row>
    <row r="556" spans="1:36" x14ac:dyDescent="0.25">
      <c r="A556">
        <f>'RESUMEN TOTAL'!A667</f>
        <v>0</v>
      </c>
      <c r="B556">
        <f>'RESUMEN TOTAL'!B667</f>
        <v>0</v>
      </c>
      <c r="C556">
        <f>'RESUMEN TOTAL'!D667</f>
        <v>0</v>
      </c>
      <c r="D556" s="30">
        <f>'RESUMEN TOTAL'!E667</f>
        <v>0</v>
      </c>
      <c r="E556" s="30">
        <f>'RESUMEN TOTAL'!F667</f>
        <v>0</v>
      </c>
      <c r="F556" s="70">
        <f>'RESUMEN TOTAL'!M667</f>
        <v>0</v>
      </c>
      <c r="G556" s="70">
        <f>'RESUMEN TOTAL'!N667</f>
        <v>0</v>
      </c>
      <c r="H556" s="70">
        <f>'RESUMEN TOTAL'!O667</f>
        <v>0</v>
      </c>
      <c r="I556" s="70">
        <f>'RESUMEN TOTAL'!P667</f>
        <v>0</v>
      </c>
      <c r="J556" s="70">
        <f>'RESUMEN TOTAL'!Q667</f>
        <v>0</v>
      </c>
      <c r="K556" s="70">
        <f>'RESUMEN TOTAL'!R667</f>
        <v>0</v>
      </c>
      <c r="L556" s="70">
        <f>'RESUMEN TOTAL'!S667</f>
        <v>0</v>
      </c>
      <c r="M556" s="70">
        <f>'RESUMEN TOTAL'!T667</f>
        <v>0</v>
      </c>
      <c r="N556" s="70">
        <f>'RESUMEN TOTAL'!U667</f>
        <v>0</v>
      </c>
      <c r="O556" s="70">
        <f>'RESUMEN TOTAL'!V667</f>
        <v>0</v>
      </c>
      <c r="P556" s="70">
        <f>'RESUMEN TOTAL'!W667</f>
        <v>0</v>
      </c>
      <c r="Q556" s="70">
        <f>'RESUMEN TOTAL'!X667</f>
        <v>0</v>
      </c>
      <c r="R556" s="70">
        <f>'RESUMEN TOTAL'!Y667</f>
        <v>0</v>
      </c>
      <c r="S556" s="70">
        <f>'RESUMEN TOTAL'!Z667</f>
        <v>0</v>
      </c>
      <c r="T556" s="70">
        <f>'RESUMEN TOTAL'!AA667</f>
        <v>0</v>
      </c>
      <c r="U556" s="70">
        <f>'RESUMEN TOTAL'!AB667</f>
        <v>0</v>
      </c>
      <c r="V556" s="70">
        <f>'RESUMEN TOTAL'!AC667</f>
        <v>0</v>
      </c>
      <c r="W556" s="70">
        <f>'RESUMEN TOTAL'!AD667</f>
        <v>0</v>
      </c>
      <c r="X556" s="70">
        <f>'RESUMEN TOTAL'!AE667</f>
        <v>0</v>
      </c>
      <c r="Y556" s="70">
        <f>'RESUMEN TOTAL'!AF667</f>
        <v>0</v>
      </c>
      <c r="Z556" s="70">
        <f>'RESUMEN TOTAL'!AG667</f>
        <v>0</v>
      </c>
      <c r="AA556" s="70">
        <f>'RESUMEN TOTAL'!AH667</f>
        <v>0</v>
      </c>
      <c r="AB556" s="70">
        <f>'RESUMEN TOTAL'!AI667</f>
        <v>0</v>
      </c>
      <c r="AC556" s="70">
        <f>'RESUMEN TOTAL'!AJ667</f>
        <v>0</v>
      </c>
      <c r="AD556" s="70">
        <f>'RESUMEN TOTAL'!AK667</f>
        <v>0</v>
      </c>
      <c r="AE556" s="70">
        <f>'RESUMEN TOTAL'!AL667</f>
        <v>0</v>
      </c>
      <c r="AF556" s="70">
        <f>'RESUMEN TOTAL'!AM667</f>
        <v>0</v>
      </c>
      <c r="AG556" s="70">
        <f>'RESUMEN TOTAL'!AN667</f>
        <v>0</v>
      </c>
      <c r="AH556" s="70">
        <f>'RESUMEN TOTAL'!AO667</f>
        <v>0</v>
      </c>
      <c r="AI556" s="70">
        <f>'RESUMEN TOTAL'!AP667</f>
        <v>0</v>
      </c>
      <c r="AJ556" s="70">
        <f>'RESUMEN TOTAL'!AQ667</f>
        <v>0</v>
      </c>
    </row>
    <row r="557" spans="1:36" x14ac:dyDescent="0.25">
      <c r="A557">
        <f>'RESUMEN TOTAL'!A668</f>
        <v>0</v>
      </c>
      <c r="B557">
        <f>'RESUMEN TOTAL'!B668</f>
        <v>0</v>
      </c>
      <c r="C557">
        <f>'RESUMEN TOTAL'!D668</f>
        <v>0</v>
      </c>
      <c r="D557" s="30">
        <f>'RESUMEN TOTAL'!E668</f>
        <v>0</v>
      </c>
      <c r="E557" s="30">
        <f>'RESUMEN TOTAL'!F668</f>
        <v>0</v>
      </c>
      <c r="F557" s="70">
        <f>'RESUMEN TOTAL'!M668</f>
        <v>0</v>
      </c>
      <c r="G557" s="70">
        <f>'RESUMEN TOTAL'!N668</f>
        <v>0</v>
      </c>
      <c r="H557" s="70">
        <f>'RESUMEN TOTAL'!O668</f>
        <v>0</v>
      </c>
      <c r="I557" s="70">
        <f>'RESUMEN TOTAL'!P668</f>
        <v>0</v>
      </c>
      <c r="J557" s="70">
        <f>'RESUMEN TOTAL'!Q668</f>
        <v>0</v>
      </c>
      <c r="K557" s="70">
        <f>'RESUMEN TOTAL'!R668</f>
        <v>0</v>
      </c>
      <c r="L557" s="70">
        <f>'RESUMEN TOTAL'!S668</f>
        <v>0</v>
      </c>
      <c r="M557" s="70">
        <f>'RESUMEN TOTAL'!T668</f>
        <v>0</v>
      </c>
      <c r="N557" s="70">
        <f>'RESUMEN TOTAL'!U668</f>
        <v>0</v>
      </c>
      <c r="O557" s="70">
        <f>'RESUMEN TOTAL'!V668</f>
        <v>0</v>
      </c>
      <c r="P557" s="70">
        <f>'RESUMEN TOTAL'!W668</f>
        <v>0</v>
      </c>
      <c r="Q557" s="70">
        <f>'RESUMEN TOTAL'!X668</f>
        <v>0</v>
      </c>
      <c r="R557" s="70">
        <f>'RESUMEN TOTAL'!Y668</f>
        <v>0</v>
      </c>
      <c r="S557" s="70">
        <f>'RESUMEN TOTAL'!Z668</f>
        <v>0</v>
      </c>
      <c r="T557" s="70">
        <f>'RESUMEN TOTAL'!AA668</f>
        <v>0</v>
      </c>
      <c r="U557" s="70">
        <f>'RESUMEN TOTAL'!AB668</f>
        <v>0</v>
      </c>
      <c r="V557" s="70">
        <f>'RESUMEN TOTAL'!AC668</f>
        <v>0</v>
      </c>
      <c r="W557" s="70">
        <f>'RESUMEN TOTAL'!AD668</f>
        <v>0</v>
      </c>
      <c r="X557" s="70">
        <f>'RESUMEN TOTAL'!AE668</f>
        <v>0</v>
      </c>
      <c r="Y557" s="70">
        <f>'RESUMEN TOTAL'!AF668</f>
        <v>0</v>
      </c>
      <c r="Z557" s="70">
        <f>'RESUMEN TOTAL'!AG668</f>
        <v>0</v>
      </c>
      <c r="AA557" s="70">
        <f>'RESUMEN TOTAL'!AH668</f>
        <v>0</v>
      </c>
      <c r="AB557" s="70">
        <f>'RESUMEN TOTAL'!AI668</f>
        <v>0</v>
      </c>
      <c r="AC557" s="70">
        <f>'RESUMEN TOTAL'!AJ668</f>
        <v>0</v>
      </c>
      <c r="AD557" s="70">
        <f>'RESUMEN TOTAL'!AK668</f>
        <v>0</v>
      </c>
      <c r="AE557" s="70">
        <f>'RESUMEN TOTAL'!AL668</f>
        <v>0</v>
      </c>
      <c r="AF557" s="70">
        <f>'RESUMEN TOTAL'!AM668</f>
        <v>0</v>
      </c>
      <c r="AG557" s="70">
        <f>'RESUMEN TOTAL'!AN668</f>
        <v>0</v>
      </c>
      <c r="AH557" s="70">
        <f>'RESUMEN TOTAL'!AO668</f>
        <v>0</v>
      </c>
      <c r="AI557" s="70">
        <f>'RESUMEN TOTAL'!AP668</f>
        <v>0</v>
      </c>
      <c r="AJ557" s="70">
        <f>'RESUMEN TOTAL'!AQ668</f>
        <v>0</v>
      </c>
    </row>
    <row r="558" spans="1:36" x14ac:dyDescent="0.25">
      <c r="A558">
        <f>'RESUMEN TOTAL'!A669</f>
        <v>0</v>
      </c>
      <c r="B558">
        <f>'RESUMEN TOTAL'!B669</f>
        <v>0</v>
      </c>
      <c r="C558">
        <f>'RESUMEN TOTAL'!D669</f>
        <v>0</v>
      </c>
      <c r="D558" s="30">
        <f>'RESUMEN TOTAL'!E669</f>
        <v>0</v>
      </c>
      <c r="E558" s="30">
        <f>'RESUMEN TOTAL'!F669</f>
        <v>0</v>
      </c>
      <c r="F558" s="70">
        <f>'RESUMEN TOTAL'!M669</f>
        <v>0</v>
      </c>
      <c r="G558" s="70">
        <f>'RESUMEN TOTAL'!N669</f>
        <v>0</v>
      </c>
      <c r="H558" s="70">
        <f>'RESUMEN TOTAL'!O669</f>
        <v>0</v>
      </c>
      <c r="I558" s="70">
        <f>'RESUMEN TOTAL'!P669</f>
        <v>0</v>
      </c>
      <c r="J558" s="70">
        <f>'RESUMEN TOTAL'!Q669</f>
        <v>0</v>
      </c>
      <c r="K558" s="70">
        <f>'RESUMEN TOTAL'!R669</f>
        <v>0</v>
      </c>
      <c r="L558" s="70">
        <f>'RESUMEN TOTAL'!S669</f>
        <v>0</v>
      </c>
      <c r="M558" s="70">
        <f>'RESUMEN TOTAL'!T669</f>
        <v>0</v>
      </c>
      <c r="N558" s="70">
        <f>'RESUMEN TOTAL'!U669</f>
        <v>0</v>
      </c>
      <c r="O558" s="70">
        <f>'RESUMEN TOTAL'!V669</f>
        <v>0</v>
      </c>
      <c r="P558" s="70">
        <f>'RESUMEN TOTAL'!W669</f>
        <v>0</v>
      </c>
      <c r="Q558" s="70">
        <f>'RESUMEN TOTAL'!X669</f>
        <v>0</v>
      </c>
      <c r="R558" s="70">
        <f>'RESUMEN TOTAL'!Y669</f>
        <v>0</v>
      </c>
      <c r="S558" s="70">
        <f>'RESUMEN TOTAL'!Z669</f>
        <v>0</v>
      </c>
      <c r="T558" s="70">
        <f>'RESUMEN TOTAL'!AA669</f>
        <v>0</v>
      </c>
      <c r="U558" s="70">
        <f>'RESUMEN TOTAL'!AB669</f>
        <v>0</v>
      </c>
      <c r="V558" s="70">
        <f>'RESUMEN TOTAL'!AC669</f>
        <v>0</v>
      </c>
      <c r="W558" s="70">
        <f>'RESUMEN TOTAL'!AD669</f>
        <v>0</v>
      </c>
      <c r="X558" s="70">
        <f>'RESUMEN TOTAL'!AE669</f>
        <v>0</v>
      </c>
      <c r="Y558" s="70">
        <f>'RESUMEN TOTAL'!AF669</f>
        <v>0</v>
      </c>
      <c r="Z558" s="70">
        <f>'RESUMEN TOTAL'!AG669</f>
        <v>0</v>
      </c>
      <c r="AA558" s="70">
        <f>'RESUMEN TOTAL'!AH669</f>
        <v>0</v>
      </c>
      <c r="AB558" s="70">
        <f>'RESUMEN TOTAL'!AI669</f>
        <v>0</v>
      </c>
      <c r="AC558" s="70">
        <f>'RESUMEN TOTAL'!AJ669</f>
        <v>0</v>
      </c>
      <c r="AD558" s="70">
        <f>'RESUMEN TOTAL'!AK669</f>
        <v>0</v>
      </c>
      <c r="AE558" s="70">
        <f>'RESUMEN TOTAL'!AL669</f>
        <v>0</v>
      </c>
      <c r="AF558" s="70">
        <f>'RESUMEN TOTAL'!AM669</f>
        <v>0</v>
      </c>
      <c r="AG558" s="70">
        <f>'RESUMEN TOTAL'!AN669</f>
        <v>0</v>
      </c>
      <c r="AH558" s="70">
        <f>'RESUMEN TOTAL'!AO669</f>
        <v>0</v>
      </c>
      <c r="AI558" s="70">
        <f>'RESUMEN TOTAL'!AP669</f>
        <v>0</v>
      </c>
      <c r="AJ558" s="70">
        <f>'RESUMEN TOTAL'!AQ669</f>
        <v>0</v>
      </c>
    </row>
    <row r="559" spans="1:36" x14ac:dyDescent="0.25">
      <c r="A559">
        <f>'RESUMEN TOTAL'!A670</f>
        <v>0</v>
      </c>
      <c r="B559">
        <f>'RESUMEN TOTAL'!B670</f>
        <v>0</v>
      </c>
      <c r="C559">
        <f>'RESUMEN TOTAL'!D670</f>
        <v>0</v>
      </c>
      <c r="D559" s="30">
        <f>'RESUMEN TOTAL'!E670</f>
        <v>0</v>
      </c>
      <c r="E559" s="30">
        <f>'RESUMEN TOTAL'!F670</f>
        <v>0</v>
      </c>
      <c r="F559" s="70">
        <f>'RESUMEN TOTAL'!M670</f>
        <v>0</v>
      </c>
      <c r="G559" s="70">
        <f>'RESUMEN TOTAL'!N670</f>
        <v>0</v>
      </c>
      <c r="H559" s="70">
        <f>'RESUMEN TOTAL'!O670</f>
        <v>0</v>
      </c>
      <c r="I559" s="70">
        <f>'RESUMEN TOTAL'!P670</f>
        <v>0</v>
      </c>
      <c r="J559" s="70">
        <f>'RESUMEN TOTAL'!Q670</f>
        <v>0</v>
      </c>
      <c r="K559" s="70">
        <f>'RESUMEN TOTAL'!R670</f>
        <v>0</v>
      </c>
      <c r="L559" s="70">
        <f>'RESUMEN TOTAL'!S670</f>
        <v>0</v>
      </c>
      <c r="M559" s="70">
        <f>'RESUMEN TOTAL'!T670</f>
        <v>0</v>
      </c>
      <c r="N559" s="70">
        <f>'RESUMEN TOTAL'!U670</f>
        <v>0</v>
      </c>
      <c r="O559" s="70">
        <f>'RESUMEN TOTAL'!V670</f>
        <v>0</v>
      </c>
      <c r="P559" s="70">
        <f>'RESUMEN TOTAL'!W670</f>
        <v>0</v>
      </c>
      <c r="Q559" s="70">
        <f>'RESUMEN TOTAL'!X670</f>
        <v>0</v>
      </c>
      <c r="R559" s="70">
        <f>'RESUMEN TOTAL'!Y670</f>
        <v>0</v>
      </c>
      <c r="S559" s="70">
        <f>'RESUMEN TOTAL'!Z670</f>
        <v>0</v>
      </c>
      <c r="T559" s="70">
        <f>'RESUMEN TOTAL'!AA670</f>
        <v>0</v>
      </c>
      <c r="U559" s="70">
        <f>'RESUMEN TOTAL'!AB670</f>
        <v>0</v>
      </c>
      <c r="V559" s="70">
        <f>'RESUMEN TOTAL'!AC670</f>
        <v>0</v>
      </c>
      <c r="W559" s="70">
        <f>'RESUMEN TOTAL'!AD670</f>
        <v>0</v>
      </c>
      <c r="X559" s="70">
        <f>'RESUMEN TOTAL'!AE670</f>
        <v>0</v>
      </c>
      <c r="Y559" s="70">
        <f>'RESUMEN TOTAL'!AF670</f>
        <v>0</v>
      </c>
      <c r="Z559" s="70">
        <f>'RESUMEN TOTAL'!AG670</f>
        <v>0</v>
      </c>
      <c r="AA559" s="70">
        <f>'RESUMEN TOTAL'!AH670</f>
        <v>0</v>
      </c>
      <c r="AB559" s="70">
        <f>'RESUMEN TOTAL'!AI670</f>
        <v>0</v>
      </c>
      <c r="AC559" s="70">
        <f>'RESUMEN TOTAL'!AJ670</f>
        <v>0</v>
      </c>
      <c r="AD559" s="70">
        <f>'RESUMEN TOTAL'!AK670</f>
        <v>0</v>
      </c>
      <c r="AE559" s="70">
        <f>'RESUMEN TOTAL'!AL670</f>
        <v>0</v>
      </c>
      <c r="AF559" s="70">
        <f>'RESUMEN TOTAL'!AM670</f>
        <v>0</v>
      </c>
      <c r="AG559" s="70">
        <f>'RESUMEN TOTAL'!AN670</f>
        <v>0</v>
      </c>
      <c r="AH559" s="70">
        <f>'RESUMEN TOTAL'!AO670</f>
        <v>0</v>
      </c>
      <c r="AI559" s="70">
        <f>'RESUMEN TOTAL'!AP670</f>
        <v>0</v>
      </c>
      <c r="AJ559" s="70">
        <f>'RESUMEN TOTAL'!AQ670</f>
        <v>0</v>
      </c>
    </row>
    <row r="560" spans="1:36" x14ac:dyDescent="0.25">
      <c r="A560">
        <f>'RESUMEN TOTAL'!A671</f>
        <v>0</v>
      </c>
      <c r="B560">
        <f>'RESUMEN TOTAL'!B671</f>
        <v>0</v>
      </c>
      <c r="C560">
        <f>'RESUMEN TOTAL'!D671</f>
        <v>0</v>
      </c>
      <c r="D560" s="30">
        <f>'RESUMEN TOTAL'!E671</f>
        <v>0</v>
      </c>
      <c r="E560" s="30">
        <f>'RESUMEN TOTAL'!F671</f>
        <v>0</v>
      </c>
      <c r="F560" s="70">
        <f>'RESUMEN TOTAL'!M671</f>
        <v>0</v>
      </c>
      <c r="G560" s="70">
        <f>'RESUMEN TOTAL'!N671</f>
        <v>0</v>
      </c>
      <c r="H560" s="70">
        <f>'RESUMEN TOTAL'!O671</f>
        <v>0</v>
      </c>
      <c r="I560" s="70">
        <f>'RESUMEN TOTAL'!P671</f>
        <v>0</v>
      </c>
      <c r="J560" s="70">
        <f>'RESUMEN TOTAL'!Q671</f>
        <v>0</v>
      </c>
      <c r="K560" s="70">
        <f>'RESUMEN TOTAL'!R671</f>
        <v>0</v>
      </c>
      <c r="L560" s="70">
        <f>'RESUMEN TOTAL'!S671</f>
        <v>0</v>
      </c>
      <c r="M560" s="70">
        <f>'RESUMEN TOTAL'!T671</f>
        <v>0</v>
      </c>
      <c r="N560" s="70">
        <f>'RESUMEN TOTAL'!U671</f>
        <v>0</v>
      </c>
      <c r="O560" s="70">
        <f>'RESUMEN TOTAL'!V671</f>
        <v>0</v>
      </c>
      <c r="P560" s="70">
        <f>'RESUMEN TOTAL'!W671</f>
        <v>0</v>
      </c>
      <c r="Q560" s="70">
        <f>'RESUMEN TOTAL'!X671</f>
        <v>0</v>
      </c>
      <c r="R560" s="70">
        <f>'RESUMEN TOTAL'!Y671</f>
        <v>0</v>
      </c>
      <c r="S560" s="70">
        <f>'RESUMEN TOTAL'!Z671</f>
        <v>0</v>
      </c>
      <c r="T560" s="70">
        <f>'RESUMEN TOTAL'!AA671</f>
        <v>0</v>
      </c>
      <c r="U560" s="70">
        <f>'RESUMEN TOTAL'!AB671</f>
        <v>0</v>
      </c>
      <c r="V560" s="70">
        <f>'RESUMEN TOTAL'!AC671</f>
        <v>0</v>
      </c>
      <c r="W560" s="70">
        <f>'RESUMEN TOTAL'!AD671</f>
        <v>0</v>
      </c>
      <c r="X560" s="70">
        <f>'RESUMEN TOTAL'!AE671</f>
        <v>0</v>
      </c>
      <c r="Y560" s="70">
        <f>'RESUMEN TOTAL'!AF671</f>
        <v>0</v>
      </c>
      <c r="Z560" s="70">
        <f>'RESUMEN TOTAL'!AG671</f>
        <v>0</v>
      </c>
      <c r="AA560" s="70">
        <f>'RESUMEN TOTAL'!AH671</f>
        <v>0</v>
      </c>
      <c r="AB560" s="70">
        <f>'RESUMEN TOTAL'!AI671</f>
        <v>0</v>
      </c>
      <c r="AC560" s="70">
        <f>'RESUMEN TOTAL'!AJ671</f>
        <v>0</v>
      </c>
      <c r="AD560" s="70">
        <f>'RESUMEN TOTAL'!AK671</f>
        <v>0</v>
      </c>
      <c r="AE560" s="70">
        <f>'RESUMEN TOTAL'!AL671</f>
        <v>0</v>
      </c>
      <c r="AF560" s="70">
        <f>'RESUMEN TOTAL'!AM671</f>
        <v>0</v>
      </c>
      <c r="AG560" s="70">
        <f>'RESUMEN TOTAL'!AN671</f>
        <v>0</v>
      </c>
      <c r="AH560" s="70">
        <f>'RESUMEN TOTAL'!AO671</f>
        <v>0</v>
      </c>
      <c r="AI560" s="70">
        <f>'RESUMEN TOTAL'!AP671</f>
        <v>0</v>
      </c>
      <c r="AJ560" s="70">
        <f>'RESUMEN TOTAL'!AQ671</f>
        <v>0</v>
      </c>
    </row>
    <row r="561" spans="1:36" x14ac:dyDescent="0.25">
      <c r="A561">
        <f>'RESUMEN TOTAL'!A672</f>
        <v>0</v>
      </c>
      <c r="B561">
        <f>'RESUMEN TOTAL'!B672</f>
        <v>0</v>
      </c>
      <c r="C561">
        <f>'RESUMEN TOTAL'!D672</f>
        <v>0</v>
      </c>
      <c r="D561" s="30">
        <f>'RESUMEN TOTAL'!E672</f>
        <v>0</v>
      </c>
      <c r="E561" s="30">
        <f>'RESUMEN TOTAL'!F672</f>
        <v>0</v>
      </c>
      <c r="F561" s="70">
        <f>'RESUMEN TOTAL'!M672</f>
        <v>0</v>
      </c>
      <c r="G561" s="70">
        <f>'RESUMEN TOTAL'!N672</f>
        <v>0</v>
      </c>
      <c r="H561" s="70">
        <f>'RESUMEN TOTAL'!O672</f>
        <v>0</v>
      </c>
      <c r="I561" s="70">
        <f>'RESUMEN TOTAL'!P672</f>
        <v>0</v>
      </c>
      <c r="J561" s="70">
        <f>'RESUMEN TOTAL'!Q672</f>
        <v>0</v>
      </c>
      <c r="K561" s="70">
        <f>'RESUMEN TOTAL'!R672</f>
        <v>0</v>
      </c>
      <c r="L561" s="70">
        <f>'RESUMEN TOTAL'!S672</f>
        <v>0</v>
      </c>
      <c r="M561" s="70">
        <f>'RESUMEN TOTAL'!T672</f>
        <v>0</v>
      </c>
      <c r="N561" s="70">
        <f>'RESUMEN TOTAL'!U672</f>
        <v>0</v>
      </c>
      <c r="O561" s="70">
        <f>'RESUMEN TOTAL'!V672</f>
        <v>0</v>
      </c>
      <c r="P561" s="70">
        <f>'RESUMEN TOTAL'!W672</f>
        <v>0</v>
      </c>
      <c r="Q561" s="70">
        <f>'RESUMEN TOTAL'!X672</f>
        <v>0</v>
      </c>
      <c r="R561" s="70">
        <f>'RESUMEN TOTAL'!Y672</f>
        <v>0</v>
      </c>
      <c r="S561" s="70">
        <f>'RESUMEN TOTAL'!Z672</f>
        <v>0</v>
      </c>
      <c r="T561" s="70">
        <f>'RESUMEN TOTAL'!AA672</f>
        <v>0</v>
      </c>
      <c r="U561" s="70">
        <f>'RESUMEN TOTAL'!AB672</f>
        <v>0</v>
      </c>
      <c r="V561" s="70">
        <f>'RESUMEN TOTAL'!AC672</f>
        <v>0</v>
      </c>
      <c r="W561" s="70">
        <f>'RESUMEN TOTAL'!AD672</f>
        <v>0</v>
      </c>
      <c r="X561" s="70">
        <f>'RESUMEN TOTAL'!AE672</f>
        <v>0</v>
      </c>
      <c r="Y561" s="70">
        <f>'RESUMEN TOTAL'!AF672</f>
        <v>0</v>
      </c>
      <c r="Z561" s="70">
        <f>'RESUMEN TOTAL'!AG672</f>
        <v>0</v>
      </c>
      <c r="AA561" s="70">
        <f>'RESUMEN TOTAL'!AH672</f>
        <v>0</v>
      </c>
      <c r="AB561" s="70">
        <f>'RESUMEN TOTAL'!AI672</f>
        <v>0</v>
      </c>
      <c r="AC561" s="70">
        <f>'RESUMEN TOTAL'!AJ672</f>
        <v>0</v>
      </c>
      <c r="AD561" s="70">
        <f>'RESUMEN TOTAL'!AK672</f>
        <v>0</v>
      </c>
      <c r="AE561" s="70">
        <f>'RESUMEN TOTAL'!AL672</f>
        <v>0</v>
      </c>
      <c r="AF561" s="70">
        <f>'RESUMEN TOTAL'!AM672</f>
        <v>0</v>
      </c>
      <c r="AG561" s="70">
        <f>'RESUMEN TOTAL'!AN672</f>
        <v>0</v>
      </c>
      <c r="AH561" s="70">
        <f>'RESUMEN TOTAL'!AO672</f>
        <v>0</v>
      </c>
      <c r="AI561" s="70">
        <f>'RESUMEN TOTAL'!AP672</f>
        <v>0</v>
      </c>
      <c r="AJ561" s="70">
        <f>'RESUMEN TOTAL'!AQ672</f>
        <v>0</v>
      </c>
    </row>
    <row r="562" spans="1:36" x14ac:dyDescent="0.25">
      <c r="A562">
        <f>'RESUMEN TOTAL'!A673</f>
        <v>0</v>
      </c>
      <c r="B562">
        <f>'RESUMEN TOTAL'!B673</f>
        <v>0</v>
      </c>
      <c r="C562">
        <f>'RESUMEN TOTAL'!D673</f>
        <v>0</v>
      </c>
      <c r="D562" s="30">
        <f>'RESUMEN TOTAL'!E673</f>
        <v>0</v>
      </c>
      <c r="E562" s="30">
        <f>'RESUMEN TOTAL'!F673</f>
        <v>0</v>
      </c>
      <c r="F562" s="70">
        <f>'RESUMEN TOTAL'!M673</f>
        <v>0</v>
      </c>
      <c r="G562" s="70">
        <f>'RESUMEN TOTAL'!N673</f>
        <v>0</v>
      </c>
      <c r="H562" s="70">
        <f>'RESUMEN TOTAL'!O673</f>
        <v>0</v>
      </c>
      <c r="I562" s="70">
        <f>'RESUMEN TOTAL'!P673</f>
        <v>0</v>
      </c>
      <c r="J562" s="70">
        <f>'RESUMEN TOTAL'!Q673</f>
        <v>0</v>
      </c>
      <c r="K562" s="70">
        <f>'RESUMEN TOTAL'!R673</f>
        <v>0</v>
      </c>
      <c r="L562" s="70">
        <f>'RESUMEN TOTAL'!S673</f>
        <v>0</v>
      </c>
      <c r="M562" s="70">
        <f>'RESUMEN TOTAL'!T673</f>
        <v>0</v>
      </c>
      <c r="N562" s="70">
        <f>'RESUMEN TOTAL'!U673</f>
        <v>0</v>
      </c>
      <c r="O562" s="70">
        <f>'RESUMEN TOTAL'!V673</f>
        <v>0</v>
      </c>
      <c r="P562" s="70">
        <f>'RESUMEN TOTAL'!W673</f>
        <v>0</v>
      </c>
      <c r="Q562" s="70">
        <f>'RESUMEN TOTAL'!X673</f>
        <v>0</v>
      </c>
      <c r="R562" s="70">
        <f>'RESUMEN TOTAL'!Y673</f>
        <v>0</v>
      </c>
      <c r="S562" s="70">
        <f>'RESUMEN TOTAL'!Z673</f>
        <v>0</v>
      </c>
      <c r="T562" s="70">
        <f>'RESUMEN TOTAL'!AA673</f>
        <v>0</v>
      </c>
      <c r="U562" s="70">
        <f>'RESUMEN TOTAL'!AB673</f>
        <v>0</v>
      </c>
      <c r="V562" s="70">
        <f>'RESUMEN TOTAL'!AC673</f>
        <v>0</v>
      </c>
      <c r="W562" s="70">
        <f>'RESUMEN TOTAL'!AD673</f>
        <v>0</v>
      </c>
      <c r="X562" s="70">
        <f>'RESUMEN TOTAL'!AE673</f>
        <v>0</v>
      </c>
      <c r="Y562" s="70">
        <f>'RESUMEN TOTAL'!AF673</f>
        <v>0</v>
      </c>
      <c r="Z562" s="70">
        <f>'RESUMEN TOTAL'!AG673</f>
        <v>0</v>
      </c>
      <c r="AA562" s="70">
        <f>'RESUMEN TOTAL'!AH673</f>
        <v>0</v>
      </c>
      <c r="AB562" s="70">
        <f>'RESUMEN TOTAL'!AI673</f>
        <v>0</v>
      </c>
      <c r="AC562" s="70">
        <f>'RESUMEN TOTAL'!AJ673</f>
        <v>0</v>
      </c>
      <c r="AD562" s="70">
        <f>'RESUMEN TOTAL'!AK673</f>
        <v>0</v>
      </c>
      <c r="AE562" s="70">
        <f>'RESUMEN TOTAL'!AL673</f>
        <v>0</v>
      </c>
      <c r="AF562" s="70">
        <f>'RESUMEN TOTAL'!AM673</f>
        <v>0</v>
      </c>
      <c r="AG562" s="70">
        <f>'RESUMEN TOTAL'!AN673</f>
        <v>0</v>
      </c>
      <c r="AH562" s="70">
        <f>'RESUMEN TOTAL'!AO673</f>
        <v>0</v>
      </c>
      <c r="AI562" s="70">
        <f>'RESUMEN TOTAL'!AP673</f>
        <v>0</v>
      </c>
      <c r="AJ562" s="70">
        <f>'RESUMEN TOTAL'!AQ673</f>
        <v>0</v>
      </c>
    </row>
    <row r="563" spans="1:36" x14ac:dyDescent="0.25">
      <c r="A563">
        <f>'RESUMEN TOTAL'!A674</f>
        <v>0</v>
      </c>
      <c r="B563">
        <f>'RESUMEN TOTAL'!B674</f>
        <v>0</v>
      </c>
      <c r="C563">
        <f>'RESUMEN TOTAL'!D674</f>
        <v>0</v>
      </c>
      <c r="D563" s="30">
        <f>'RESUMEN TOTAL'!E674</f>
        <v>0</v>
      </c>
      <c r="E563" s="30">
        <f>'RESUMEN TOTAL'!F674</f>
        <v>0</v>
      </c>
      <c r="F563" s="70">
        <f>'RESUMEN TOTAL'!M674</f>
        <v>0</v>
      </c>
      <c r="G563" s="70">
        <f>'RESUMEN TOTAL'!N674</f>
        <v>0</v>
      </c>
      <c r="H563" s="70">
        <f>'RESUMEN TOTAL'!O674</f>
        <v>0</v>
      </c>
      <c r="I563" s="70">
        <f>'RESUMEN TOTAL'!P674</f>
        <v>0</v>
      </c>
      <c r="J563" s="70">
        <f>'RESUMEN TOTAL'!Q674</f>
        <v>0</v>
      </c>
      <c r="K563" s="70">
        <f>'RESUMEN TOTAL'!R674</f>
        <v>0</v>
      </c>
      <c r="L563" s="70">
        <f>'RESUMEN TOTAL'!S674</f>
        <v>0</v>
      </c>
      <c r="M563" s="70">
        <f>'RESUMEN TOTAL'!T674</f>
        <v>0</v>
      </c>
      <c r="N563" s="70">
        <f>'RESUMEN TOTAL'!U674</f>
        <v>0</v>
      </c>
      <c r="O563" s="70">
        <f>'RESUMEN TOTAL'!V674</f>
        <v>0</v>
      </c>
      <c r="P563" s="70">
        <f>'RESUMEN TOTAL'!W674</f>
        <v>0</v>
      </c>
      <c r="Q563" s="70">
        <f>'RESUMEN TOTAL'!X674</f>
        <v>0</v>
      </c>
      <c r="R563" s="70">
        <f>'RESUMEN TOTAL'!Y674</f>
        <v>0</v>
      </c>
      <c r="S563" s="70">
        <f>'RESUMEN TOTAL'!Z674</f>
        <v>0</v>
      </c>
      <c r="T563" s="70">
        <f>'RESUMEN TOTAL'!AA674</f>
        <v>0</v>
      </c>
      <c r="U563" s="70">
        <f>'RESUMEN TOTAL'!AB674</f>
        <v>0</v>
      </c>
      <c r="V563" s="70">
        <f>'RESUMEN TOTAL'!AC674</f>
        <v>0</v>
      </c>
      <c r="W563" s="70">
        <f>'RESUMEN TOTAL'!AD674</f>
        <v>0</v>
      </c>
      <c r="X563" s="70">
        <f>'RESUMEN TOTAL'!AE674</f>
        <v>0</v>
      </c>
      <c r="Y563" s="70">
        <f>'RESUMEN TOTAL'!AF674</f>
        <v>0</v>
      </c>
      <c r="Z563" s="70">
        <f>'RESUMEN TOTAL'!AG674</f>
        <v>0</v>
      </c>
      <c r="AA563" s="70">
        <f>'RESUMEN TOTAL'!AH674</f>
        <v>0</v>
      </c>
      <c r="AB563" s="70">
        <f>'RESUMEN TOTAL'!AI674</f>
        <v>0</v>
      </c>
      <c r="AC563" s="70">
        <f>'RESUMEN TOTAL'!AJ674</f>
        <v>0</v>
      </c>
      <c r="AD563" s="70">
        <f>'RESUMEN TOTAL'!AK674</f>
        <v>0</v>
      </c>
      <c r="AE563" s="70">
        <f>'RESUMEN TOTAL'!AL674</f>
        <v>0</v>
      </c>
      <c r="AF563" s="70">
        <f>'RESUMEN TOTAL'!AM674</f>
        <v>0</v>
      </c>
      <c r="AG563" s="70">
        <f>'RESUMEN TOTAL'!AN674</f>
        <v>0</v>
      </c>
      <c r="AH563" s="70">
        <f>'RESUMEN TOTAL'!AO674</f>
        <v>0</v>
      </c>
      <c r="AI563" s="70">
        <f>'RESUMEN TOTAL'!AP674</f>
        <v>0</v>
      </c>
      <c r="AJ563" s="70">
        <f>'RESUMEN TOTAL'!AQ674</f>
        <v>0</v>
      </c>
    </row>
    <row r="564" spans="1:36" x14ac:dyDescent="0.25">
      <c r="A564">
        <f>'RESUMEN TOTAL'!A675</f>
        <v>0</v>
      </c>
      <c r="B564">
        <f>'RESUMEN TOTAL'!B675</f>
        <v>0</v>
      </c>
      <c r="C564">
        <f>'RESUMEN TOTAL'!D675</f>
        <v>0</v>
      </c>
      <c r="D564" s="30">
        <f>'RESUMEN TOTAL'!E675</f>
        <v>0</v>
      </c>
      <c r="E564" s="30">
        <f>'RESUMEN TOTAL'!F675</f>
        <v>0</v>
      </c>
      <c r="F564" s="70">
        <f>'RESUMEN TOTAL'!M675</f>
        <v>0</v>
      </c>
      <c r="G564" s="70">
        <f>'RESUMEN TOTAL'!N675</f>
        <v>0</v>
      </c>
      <c r="H564" s="70">
        <f>'RESUMEN TOTAL'!O675</f>
        <v>0</v>
      </c>
      <c r="I564" s="70">
        <f>'RESUMEN TOTAL'!P675</f>
        <v>0</v>
      </c>
      <c r="J564" s="70">
        <f>'RESUMEN TOTAL'!Q675</f>
        <v>0</v>
      </c>
      <c r="K564" s="70">
        <f>'RESUMEN TOTAL'!R675</f>
        <v>0</v>
      </c>
      <c r="L564" s="70">
        <f>'RESUMEN TOTAL'!S675</f>
        <v>0</v>
      </c>
      <c r="M564" s="70">
        <f>'RESUMEN TOTAL'!T675</f>
        <v>0</v>
      </c>
      <c r="N564" s="70">
        <f>'RESUMEN TOTAL'!U675</f>
        <v>0</v>
      </c>
      <c r="O564" s="70">
        <f>'RESUMEN TOTAL'!V675</f>
        <v>0</v>
      </c>
      <c r="P564" s="70">
        <f>'RESUMEN TOTAL'!W675</f>
        <v>0</v>
      </c>
      <c r="Q564" s="70">
        <f>'RESUMEN TOTAL'!X675</f>
        <v>0</v>
      </c>
      <c r="R564" s="70">
        <f>'RESUMEN TOTAL'!Y675</f>
        <v>0</v>
      </c>
      <c r="S564" s="70">
        <f>'RESUMEN TOTAL'!Z675</f>
        <v>0</v>
      </c>
      <c r="T564" s="70">
        <f>'RESUMEN TOTAL'!AA675</f>
        <v>0</v>
      </c>
      <c r="U564" s="70">
        <f>'RESUMEN TOTAL'!AB675</f>
        <v>0</v>
      </c>
      <c r="V564" s="70">
        <f>'RESUMEN TOTAL'!AC675</f>
        <v>0</v>
      </c>
      <c r="W564" s="70">
        <f>'RESUMEN TOTAL'!AD675</f>
        <v>0</v>
      </c>
      <c r="X564" s="70">
        <f>'RESUMEN TOTAL'!AE675</f>
        <v>0</v>
      </c>
      <c r="Y564" s="70">
        <f>'RESUMEN TOTAL'!AF675</f>
        <v>0</v>
      </c>
      <c r="Z564" s="70">
        <f>'RESUMEN TOTAL'!AG675</f>
        <v>0</v>
      </c>
      <c r="AA564" s="70">
        <f>'RESUMEN TOTAL'!AH675</f>
        <v>0</v>
      </c>
      <c r="AB564" s="70">
        <f>'RESUMEN TOTAL'!AI675</f>
        <v>0</v>
      </c>
      <c r="AC564" s="70">
        <f>'RESUMEN TOTAL'!AJ675</f>
        <v>0</v>
      </c>
      <c r="AD564" s="70">
        <f>'RESUMEN TOTAL'!AK675</f>
        <v>0</v>
      </c>
      <c r="AE564" s="70">
        <f>'RESUMEN TOTAL'!AL675</f>
        <v>0</v>
      </c>
      <c r="AF564" s="70">
        <f>'RESUMEN TOTAL'!AM675</f>
        <v>0</v>
      </c>
      <c r="AG564" s="70">
        <f>'RESUMEN TOTAL'!AN675</f>
        <v>0</v>
      </c>
      <c r="AH564" s="70">
        <f>'RESUMEN TOTAL'!AO675</f>
        <v>0</v>
      </c>
      <c r="AI564" s="70">
        <f>'RESUMEN TOTAL'!AP675</f>
        <v>0</v>
      </c>
      <c r="AJ564" s="70">
        <f>'RESUMEN TOTAL'!AQ675</f>
        <v>0</v>
      </c>
    </row>
    <row r="565" spans="1:36" x14ac:dyDescent="0.25">
      <c r="A565">
        <f>'RESUMEN TOTAL'!A676</f>
        <v>0</v>
      </c>
      <c r="B565">
        <f>'RESUMEN TOTAL'!B676</f>
        <v>0</v>
      </c>
      <c r="C565">
        <f>'RESUMEN TOTAL'!D676</f>
        <v>0</v>
      </c>
      <c r="D565" s="30">
        <f>'RESUMEN TOTAL'!E676</f>
        <v>0</v>
      </c>
      <c r="E565" s="30">
        <f>'RESUMEN TOTAL'!F676</f>
        <v>0</v>
      </c>
      <c r="F565" s="70">
        <f>'RESUMEN TOTAL'!M676</f>
        <v>0</v>
      </c>
      <c r="G565" s="70">
        <f>'RESUMEN TOTAL'!N676</f>
        <v>0</v>
      </c>
      <c r="H565" s="70">
        <f>'RESUMEN TOTAL'!O676</f>
        <v>0</v>
      </c>
      <c r="I565" s="70">
        <f>'RESUMEN TOTAL'!P676</f>
        <v>0</v>
      </c>
      <c r="J565" s="70">
        <f>'RESUMEN TOTAL'!Q676</f>
        <v>0</v>
      </c>
      <c r="K565" s="70">
        <f>'RESUMEN TOTAL'!R676</f>
        <v>0</v>
      </c>
      <c r="L565" s="70">
        <f>'RESUMEN TOTAL'!S676</f>
        <v>0</v>
      </c>
      <c r="M565" s="70">
        <f>'RESUMEN TOTAL'!T676</f>
        <v>0</v>
      </c>
      <c r="N565" s="70">
        <f>'RESUMEN TOTAL'!U676</f>
        <v>0</v>
      </c>
      <c r="O565" s="70">
        <f>'RESUMEN TOTAL'!V676</f>
        <v>0</v>
      </c>
      <c r="P565" s="70">
        <f>'RESUMEN TOTAL'!W676</f>
        <v>0</v>
      </c>
      <c r="Q565" s="70">
        <f>'RESUMEN TOTAL'!X676</f>
        <v>0</v>
      </c>
      <c r="R565" s="70">
        <f>'RESUMEN TOTAL'!Y676</f>
        <v>0</v>
      </c>
      <c r="S565" s="70">
        <f>'RESUMEN TOTAL'!Z676</f>
        <v>0</v>
      </c>
      <c r="T565" s="70">
        <f>'RESUMEN TOTAL'!AA676</f>
        <v>0</v>
      </c>
      <c r="U565" s="70">
        <f>'RESUMEN TOTAL'!AB676</f>
        <v>0</v>
      </c>
      <c r="V565" s="70">
        <f>'RESUMEN TOTAL'!AC676</f>
        <v>0</v>
      </c>
      <c r="W565" s="70">
        <f>'RESUMEN TOTAL'!AD676</f>
        <v>0</v>
      </c>
      <c r="X565" s="70">
        <f>'RESUMEN TOTAL'!AE676</f>
        <v>0</v>
      </c>
      <c r="Y565" s="70">
        <f>'RESUMEN TOTAL'!AF676</f>
        <v>0</v>
      </c>
      <c r="Z565" s="70">
        <f>'RESUMEN TOTAL'!AG676</f>
        <v>0</v>
      </c>
      <c r="AA565" s="70">
        <f>'RESUMEN TOTAL'!AH676</f>
        <v>0</v>
      </c>
      <c r="AB565" s="70">
        <f>'RESUMEN TOTAL'!AI676</f>
        <v>0</v>
      </c>
      <c r="AC565" s="70">
        <f>'RESUMEN TOTAL'!AJ676</f>
        <v>0</v>
      </c>
      <c r="AD565" s="70">
        <f>'RESUMEN TOTAL'!AK676</f>
        <v>0</v>
      </c>
      <c r="AE565" s="70">
        <f>'RESUMEN TOTAL'!AL676</f>
        <v>0</v>
      </c>
      <c r="AF565" s="70">
        <f>'RESUMEN TOTAL'!AM676</f>
        <v>0</v>
      </c>
      <c r="AG565" s="70">
        <f>'RESUMEN TOTAL'!AN676</f>
        <v>0</v>
      </c>
      <c r="AH565" s="70">
        <f>'RESUMEN TOTAL'!AO676</f>
        <v>0</v>
      </c>
      <c r="AI565" s="70">
        <f>'RESUMEN TOTAL'!AP676</f>
        <v>0</v>
      </c>
      <c r="AJ565" s="70">
        <f>'RESUMEN TOTAL'!AQ676</f>
        <v>0</v>
      </c>
    </row>
    <row r="566" spans="1:36" x14ac:dyDescent="0.25">
      <c r="A566">
        <f>'RESUMEN TOTAL'!A677</f>
        <v>0</v>
      </c>
      <c r="B566">
        <f>'RESUMEN TOTAL'!B677</f>
        <v>0</v>
      </c>
      <c r="C566">
        <f>'RESUMEN TOTAL'!D677</f>
        <v>0</v>
      </c>
      <c r="D566" s="30">
        <f>'RESUMEN TOTAL'!E677</f>
        <v>0</v>
      </c>
      <c r="E566" s="30">
        <f>'RESUMEN TOTAL'!F677</f>
        <v>0</v>
      </c>
      <c r="F566" s="70">
        <f>'RESUMEN TOTAL'!M677</f>
        <v>0</v>
      </c>
      <c r="G566" s="70">
        <f>'RESUMEN TOTAL'!N677</f>
        <v>0</v>
      </c>
      <c r="H566" s="70">
        <f>'RESUMEN TOTAL'!O677</f>
        <v>0</v>
      </c>
      <c r="I566" s="70">
        <f>'RESUMEN TOTAL'!P677</f>
        <v>0</v>
      </c>
      <c r="J566" s="70">
        <f>'RESUMEN TOTAL'!Q677</f>
        <v>0</v>
      </c>
      <c r="K566" s="70">
        <f>'RESUMEN TOTAL'!R677</f>
        <v>0</v>
      </c>
      <c r="L566" s="70">
        <f>'RESUMEN TOTAL'!S677</f>
        <v>0</v>
      </c>
      <c r="M566" s="70">
        <f>'RESUMEN TOTAL'!T677</f>
        <v>0</v>
      </c>
      <c r="N566" s="70">
        <f>'RESUMEN TOTAL'!U677</f>
        <v>0</v>
      </c>
      <c r="O566" s="70">
        <f>'RESUMEN TOTAL'!V677</f>
        <v>0</v>
      </c>
      <c r="P566" s="70">
        <f>'RESUMEN TOTAL'!W677</f>
        <v>0</v>
      </c>
      <c r="Q566" s="70">
        <f>'RESUMEN TOTAL'!X677</f>
        <v>0</v>
      </c>
      <c r="R566" s="70">
        <f>'RESUMEN TOTAL'!Y677</f>
        <v>0</v>
      </c>
      <c r="S566" s="70">
        <f>'RESUMEN TOTAL'!Z677</f>
        <v>0</v>
      </c>
      <c r="T566" s="70">
        <f>'RESUMEN TOTAL'!AA677</f>
        <v>0</v>
      </c>
      <c r="U566" s="70">
        <f>'RESUMEN TOTAL'!AB677</f>
        <v>0</v>
      </c>
      <c r="V566" s="70">
        <f>'RESUMEN TOTAL'!AC677</f>
        <v>0</v>
      </c>
      <c r="W566" s="70">
        <f>'RESUMEN TOTAL'!AD677</f>
        <v>0</v>
      </c>
      <c r="X566" s="70">
        <f>'RESUMEN TOTAL'!AE677</f>
        <v>0</v>
      </c>
      <c r="Y566" s="70">
        <f>'RESUMEN TOTAL'!AF677</f>
        <v>0</v>
      </c>
      <c r="Z566" s="70">
        <f>'RESUMEN TOTAL'!AG677</f>
        <v>0</v>
      </c>
      <c r="AA566" s="70">
        <f>'RESUMEN TOTAL'!AH677</f>
        <v>0</v>
      </c>
      <c r="AB566" s="70">
        <f>'RESUMEN TOTAL'!AI677</f>
        <v>0</v>
      </c>
      <c r="AC566" s="70">
        <f>'RESUMEN TOTAL'!AJ677</f>
        <v>0</v>
      </c>
      <c r="AD566" s="70">
        <f>'RESUMEN TOTAL'!AK677</f>
        <v>0</v>
      </c>
      <c r="AE566" s="70">
        <f>'RESUMEN TOTAL'!AL677</f>
        <v>0</v>
      </c>
      <c r="AF566" s="70">
        <f>'RESUMEN TOTAL'!AM677</f>
        <v>0</v>
      </c>
      <c r="AG566" s="70">
        <f>'RESUMEN TOTAL'!AN677</f>
        <v>0</v>
      </c>
      <c r="AH566" s="70">
        <f>'RESUMEN TOTAL'!AO677</f>
        <v>0</v>
      </c>
      <c r="AI566" s="70">
        <f>'RESUMEN TOTAL'!AP677</f>
        <v>0</v>
      </c>
      <c r="AJ566" s="70">
        <f>'RESUMEN TOTAL'!AQ677</f>
        <v>0</v>
      </c>
    </row>
    <row r="567" spans="1:36" x14ac:dyDescent="0.25">
      <c r="A567">
        <f>'RESUMEN TOTAL'!A678</f>
        <v>0</v>
      </c>
      <c r="B567">
        <f>'RESUMEN TOTAL'!B678</f>
        <v>0</v>
      </c>
      <c r="C567">
        <f>'RESUMEN TOTAL'!D678</f>
        <v>0</v>
      </c>
      <c r="D567" s="30">
        <f>'RESUMEN TOTAL'!E678</f>
        <v>0</v>
      </c>
      <c r="E567" s="30">
        <f>'RESUMEN TOTAL'!F678</f>
        <v>0</v>
      </c>
      <c r="F567" s="70">
        <f>'RESUMEN TOTAL'!M678</f>
        <v>0</v>
      </c>
      <c r="G567" s="70">
        <f>'RESUMEN TOTAL'!N678</f>
        <v>0</v>
      </c>
      <c r="H567" s="70">
        <f>'RESUMEN TOTAL'!O678</f>
        <v>0</v>
      </c>
      <c r="I567" s="70">
        <f>'RESUMEN TOTAL'!P678</f>
        <v>0</v>
      </c>
      <c r="J567" s="70">
        <f>'RESUMEN TOTAL'!Q678</f>
        <v>0</v>
      </c>
      <c r="K567" s="70">
        <f>'RESUMEN TOTAL'!R678</f>
        <v>0</v>
      </c>
      <c r="L567" s="70">
        <f>'RESUMEN TOTAL'!S678</f>
        <v>0</v>
      </c>
      <c r="M567" s="70">
        <f>'RESUMEN TOTAL'!T678</f>
        <v>0</v>
      </c>
      <c r="N567" s="70">
        <f>'RESUMEN TOTAL'!U678</f>
        <v>0</v>
      </c>
      <c r="O567" s="70">
        <f>'RESUMEN TOTAL'!V678</f>
        <v>0</v>
      </c>
      <c r="P567" s="70">
        <f>'RESUMEN TOTAL'!W678</f>
        <v>0</v>
      </c>
      <c r="Q567" s="70">
        <f>'RESUMEN TOTAL'!X678</f>
        <v>0</v>
      </c>
      <c r="R567" s="70">
        <f>'RESUMEN TOTAL'!Y678</f>
        <v>0</v>
      </c>
      <c r="S567" s="70">
        <f>'RESUMEN TOTAL'!Z678</f>
        <v>0</v>
      </c>
      <c r="T567" s="70">
        <f>'RESUMEN TOTAL'!AA678</f>
        <v>0</v>
      </c>
      <c r="U567" s="70">
        <f>'RESUMEN TOTAL'!AB678</f>
        <v>0</v>
      </c>
      <c r="V567" s="70">
        <f>'RESUMEN TOTAL'!AC678</f>
        <v>0</v>
      </c>
      <c r="W567" s="70">
        <f>'RESUMEN TOTAL'!AD678</f>
        <v>0</v>
      </c>
      <c r="X567" s="70">
        <f>'RESUMEN TOTAL'!AE678</f>
        <v>0</v>
      </c>
      <c r="Y567" s="70">
        <f>'RESUMEN TOTAL'!AF678</f>
        <v>0</v>
      </c>
      <c r="Z567" s="70">
        <f>'RESUMEN TOTAL'!AG678</f>
        <v>0</v>
      </c>
      <c r="AA567" s="70">
        <f>'RESUMEN TOTAL'!AH678</f>
        <v>0</v>
      </c>
      <c r="AB567" s="70">
        <f>'RESUMEN TOTAL'!AI678</f>
        <v>0</v>
      </c>
      <c r="AC567" s="70">
        <f>'RESUMEN TOTAL'!AJ678</f>
        <v>0</v>
      </c>
      <c r="AD567" s="70">
        <f>'RESUMEN TOTAL'!AK678</f>
        <v>0</v>
      </c>
      <c r="AE567" s="70">
        <f>'RESUMEN TOTAL'!AL678</f>
        <v>0</v>
      </c>
      <c r="AF567" s="70">
        <f>'RESUMEN TOTAL'!AM678</f>
        <v>0</v>
      </c>
      <c r="AG567" s="70">
        <f>'RESUMEN TOTAL'!AN678</f>
        <v>0</v>
      </c>
      <c r="AH567" s="70">
        <f>'RESUMEN TOTAL'!AO678</f>
        <v>0</v>
      </c>
      <c r="AI567" s="70">
        <f>'RESUMEN TOTAL'!AP678</f>
        <v>0</v>
      </c>
      <c r="AJ567" s="70">
        <f>'RESUMEN TOTAL'!AQ678</f>
        <v>0</v>
      </c>
    </row>
    <row r="568" spans="1:36" x14ac:dyDescent="0.25">
      <c r="A568">
        <f>'RESUMEN TOTAL'!A679</f>
        <v>0</v>
      </c>
      <c r="B568">
        <f>'RESUMEN TOTAL'!B679</f>
        <v>0</v>
      </c>
      <c r="C568">
        <f>'RESUMEN TOTAL'!D679</f>
        <v>0</v>
      </c>
      <c r="D568" s="30">
        <f>'RESUMEN TOTAL'!E679</f>
        <v>0</v>
      </c>
      <c r="E568" s="30">
        <f>'RESUMEN TOTAL'!F679</f>
        <v>0</v>
      </c>
      <c r="F568" s="70">
        <f>'RESUMEN TOTAL'!M679</f>
        <v>0</v>
      </c>
      <c r="G568" s="70">
        <f>'RESUMEN TOTAL'!N679</f>
        <v>0</v>
      </c>
      <c r="H568" s="70">
        <f>'RESUMEN TOTAL'!O679</f>
        <v>0</v>
      </c>
      <c r="I568" s="70">
        <f>'RESUMEN TOTAL'!P679</f>
        <v>0</v>
      </c>
      <c r="J568" s="70">
        <f>'RESUMEN TOTAL'!Q679</f>
        <v>0</v>
      </c>
      <c r="K568" s="70">
        <f>'RESUMEN TOTAL'!R679</f>
        <v>0</v>
      </c>
      <c r="L568" s="70">
        <f>'RESUMEN TOTAL'!S679</f>
        <v>0</v>
      </c>
      <c r="M568" s="70">
        <f>'RESUMEN TOTAL'!T679</f>
        <v>0</v>
      </c>
      <c r="N568" s="70">
        <f>'RESUMEN TOTAL'!U679</f>
        <v>0</v>
      </c>
      <c r="O568" s="70">
        <f>'RESUMEN TOTAL'!V679</f>
        <v>0</v>
      </c>
      <c r="P568" s="70">
        <f>'RESUMEN TOTAL'!W679</f>
        <v>0</v>
      </c>
      <c r="Q568" s="70">
        <f>'RESUMEN TOTAL'!X679</f>
        <v>0</v>
      </c>
      <c r="R568" s="70">
        <f>'RESUMEN TOTAL'!Y679</f>
        <v>0</v>
      </c>
      <c r="S568" s="70">
        <f>'RESUMEN TOTAL'!Z679</f>
        <v>0</v>
      </c>
      <c r="T568" s="70">
        <f>'RESUMEN TOTAL'!AA679</f>
        <v>0</v>
      </c>
      <c r="U568" s="70">
        <f>'RESUMEN TOTAL'!AB679</f>
        <v>0</v>
      </c>
      <c r="V568" s="70">
        <f>'RESUMEN TOTAL'!AC679</f>
        <v>0</v>
      </c>
      <c r="W568" s="70">
        <f>'RESUMEN TOTAL'!AD679</f>
        <v>0</v>
      </c>
      <c r="X568" s="70">
        <f>'RESUMEN TOTAL'!AE679</f>
        <v>0</v>
      </c>
      <c r="Y568" s="70">
        <f>'RESUMEN TOTAL'!AF679</f>
        <v>0</v>
      </c>
      <c r="Z568" s="70">
        <f>'RESUMEN TOTAL'!AG679</f>
        <v>0</v>
      </c>
      <c r="AA568" s="70">
        <f>'RESUMEN TOTAL'!AH679</f>
        <v>0</v>
      </c>
      <c r="AB568" s="70">
        <f>'RESUMEN TOTAL'!AI679</f>
        <v>0</v>
      </c>
      <c r="AC568" s="70">
        <f>'RESUMEN TOTAL'!AJ679</f>
        <v>0</v>
      </c>
      <c r="AD568" s="70">
        <f>'RESUMEN TOTAL'!AK679</f>
        <v>0</v>
      </c>
      <c r="AE568" s="70">
        <f>'RESUMEN TOTAL'!AL679</f>
        <v>0</v>
      </c>
      <c r="AF568" s="70">
        <f>'RESUMEN TOTAL'!AM679</f>
        <v>0</v>
      </c>
      <c r="AG568" s="70">
        <f>'RESUMEN TOTAL'!AN679</f>
        <v>0</v>
      </c>
      <c r="AH568" s="70">
        <f>'RESUMEN TOTAL'!AO679</f>
        <v>0</v>
      </c>
      <c r="AI568" s="70">
        <f>'RESUMEN TOTAL'!AP679</f>
        <v>0</v>
      </c>
      <c r="AJ568" s="70">
        <f>'RESUMEN TOTAL'!AQ679</f>
        <v>0</v>
      </c>
    </row>
    <row r="569" spans="1:36" x14ac:dyDescent="0.25">
      <c r="A569">
        <f>'RESUMEN TOTAL'!A680</f>
        <v>0</v>
      </c>
      <c r="B569">
        <f>'RESUMEN TOTAL'!B680</f>
        <v>0</v>
      </c>
      <c r="C569">
        <f>'RESUMEN TOTAL'!D680</f>
        <v>0</v>
      </c>
      <c r="D569" s="30">
        <f>'RESUMEN TOTAL'!E680</f>
        <v>0</v>
      </c>
      <c r="E569" s="30">
        <f>'RESUMEN TOTAL'!F680</f>
        <v>0</v>
      </c>
      <c r="F569" s="70">
        <f>'RESUMEN TOTAL'!M680</f>
        <v>0</v>
      </c>
      <c r="G569" s="70">
        <f>'RESUMEN TOTAL'!N680</f>
        <v>0</v>
      </c>
      <c r="H569" s="70">
        <f>'RESUMEN TOTAL'!O680</f>
        <v>0</v>
      </c>
      <c r="I569" s="70">
        <f>'RESUMEN TOTAL'!P680</f>
        <v>0</v>
      </c>
      <c r="J569" s="70">
        <f>'RESUMEN TOTAL'!Q680</f>
        <v>0</v>
      </c>
      <c r="K569" s="70">
        <f>'RESUMEN TOTAL'!R680</f>
        <v>0</v>
      </c>
      <c r="L569" s="70">
        <f>'RESUMEN TOTAL'!S680</f>
        <v>0</v>
      </c>
      <c r="M569" s="70">
        <f>'RESUMEN TOTAL'!T680</f>
        <v>0</v>
      </c>
      <c r="N569" s="70">
        <f>'RESUMEN TOTAL'!U680</f>
        <v>0</v>
      </c>
      <c r="O569" s="70">
        <f>'RESUMEN TOTAL'!V680</f>
        <v>0</v>
      </c>
      <c r="P569" s="70">
        <f>'RESUMEN TOTAL'!W680</f>
        <v>0</v>
      </c>
      <c r="Q569" s="70">
        <f>'RESUMEN TOTAL'!X680</f>
        <v>0</v>
      </c>
      <c r="R569" s="70">
        <f>'RESUMEN TOTAL'!Y680</f>
        <v>0</v>
      </c>
      <c r="S569" s="70">
        <f>'RESUMEN TOTAL'!Z680</f>
        <v>0</v>
      </c>
      <c r="T569" s="70">
        <f>'RESUMEN TOTAL'!AA680</f>
        <v>0</v>
      </c>
      <c r="U569" s="70">
        <f>'RESUMEN TOTAL'!AB680</f>
        <v>0</v>
      </c>
      <c r="V569" s="70">
        <f>'RESUMEN TOTAL'!AC680</f>
        <v>0</v>
      </c>
      <c r="W569" s="70">
        <f>'RESUMEN TOTAL'!AD680</f>
        <v>0</v>
      </c>
      <c r="X569" s="70">
        <f>'RESUMEN TOTAL'!AE680</f>
        <v>0</v>
      </c>
      <c r="Y569" s="70">
        <f>'RESUMEN TOTAL'!AF680</f>
        <v>0</v>
      </c>
      <c r="Z569" s="70">
        <f>'RESUMEN TOTAL'!AG680</f>
        <v>0</v>
      </c>
      <c r="AA569" s="70">
        <f>'RESUMEN TOTAL'!AH680</f>
        <v>0</v>
      </c>
      <c r="AB569" s="70">
        <f>'RESUMEN TOTAL'!AI680</f>
        <v>0</v>
      </c>
      <c r="AC569" s="70">
        <f>'RESUMEN TOTAL'!AJ680</f>
        <v>0</v>
      </c>
      <c r="AD569" s="70">
        <f>'RESUMEN TOTAL'!AK680</f>
        <v>0</v>
      </c>
      <c r="AE569" s="70">
        <f>'RESUMEN TOTAL'!AL680</f>
        <v>0</v>
      </c>
      <c r="AF569" s="70">
        <f>'RESUMEN TOTAL'!AM680</f>
        <v>0</v>
      </c>
      <c r="AG569" s="70">
        <f>'RESUMEN TOTAL'!AN680</f>
        <v>0</v>
      </c>
      <c r="AH569" s="70">
        <f>'RESUMEN TOTAL'!AO680</f>
        <v>0</v>
      </c>
      <c r="AI569" s="70">
        <f>'RESUMEN TOTAL'!AP680</f>
        <v>0</v>
      </c>
      <c r="AJ569" s="70">
        <f>'RESUMEN TOTAL'!AQ680</f>
        <v>0</v>
      </c>
    </row>
    <row r="570" spans="1:36" x14ac:dyDescent="0.25">
      <c r="A570">
        <f>'RESUMEN TOTAL'!A681</f>
        <v>0</v>
      </c>
      <c r="B570">
        <f>'RESUMEN TOTAL'!B681</f>
        <v>0</v>
      </c>
      <c r="C570">
        <f>'RESUMEN TOTAL'!D681</f>
        <v>0</v>
      </c>
      <c r="D570" s="30">
        <f>'RESUMEN TOTAL'!E681</f>
        <v>0</v>
      </c>
      <c r="E570" s="30">
        <f>'RESUMEN TOTAL'!F681</f>
        <v>0</v>
      </c>
      <c r="F570" s="70">
        <f>'RESUMEN TOTAL'!M681</f>
        <v>0</v>
      </c>
      <c r="G570" s="70">
        <f>'RESUMEN TOTAL'!N681</f>
        <v>0</v>
      </c>
      <c r="H570" s="70">
        <f>'RESUMEN TOTAL'!O681</f>
        <v>0</v>
      </c>
      <c r="I570" s="70">
        <f>'RESUMEN TOTAL'!P681</f>
        <v>0</v>
      </c>
      <c r="J570" s="70">
        <f>'RESUMEN TOTAL'!Q681</f>
        <v>0</v>
      </c>
      <c r="K570" s="70">
        <f>'RESUMEN TOTAL'!R681</f>
        <v>0</v>
      </c>
      <c r="L570" s="70">
        <f>'RESUMEN TOTAL'!S681</f>
        <v>0</v>
      </c>
      <c r="M570" s="70">
        <f>'RESUMEN TOTAL'!T681</f>
        <v>0</v>
      </c>
      <c r="N570" s="70">
        <f>'RESUMEN TOTAL'!U681</f>
        <v>0</v>
      </c>
      <c r="O570" s="70">
        <f>'RESUMEN TOTAL'!V681</f>
        <v>0</v>
      </c>
      <c r="P570" s="70">
        <f>'RESUMEN TOTAL'!W681</f>
        <v>0</v>
      </c>
      <c r="Q570" s="70">
        <f>'RESUMEN TOTAL'!X681</f>
        <v>0</v>
      </c>
      <c r="R570" s="70">
        <f>'RESUMEN TOTAL'!Y681</f>
        <v>0</v>
      </c>
      <c r="S570" s="70">
        <f>'RESUMEN TOTAL'!Z681</f>
        <v>0</v>
      </c>
      <c r="T570" s="70">
        <f>'RESUMEN TOTAL'!AA681</f>
        <v>0</v>
      </c>
      <c r="U570" s="70">
        <f>'RESUMEN TOTAL'!AB681</f>
        <v>0</v>
      </c>
      <c r="V570" s="70">
        <f>'RESUMEN TOTAL'!AC681</f>
        <v>0</v>
      </c>
      <c r="W570" s="70">
        <f>'RESUMEN TOTAL'!AD681</f>
        <v>0</v>
      </c>
      <c r="X570" s="70">
        <f>'RESUMEN TOTAL'!AE681</f>
        <v>0</v>
      </c>
      <c r="Y570" s="70">
        <f>'RESUMEN TOTAL'!AF681</f>
        <v>0</v>
      </c>
      <c r="Z570" s="70">
        <f>'RESUMEN TOTAL'!AG681</f>
        <v>0</v>
      </c>
      <c r="AA570" s="70">
        <f>'RESUMEN TOTAL'!AH681</f>
        <v>0</v>
      </c>
      <c r="AB570" s="70">
        <f>'RESUMEN TOTAL'!AI681</f>
        <v>0</v>
      </c>
      <c r="AC570" s="70">
        <f>'RESUMEN TOTAL'!AJ681</f>
        <v>0</v>
      </c>
      <c r="AD570" s="70">
        <f>'RESUMEN TOTAL'!AK681</f>
        <v>0</v>
      </c>
      <c r="AE570" s="70">
        <f>'RESUMEN TOTAL'!AL681</f>
        <v>0</v>
      </c>
      <c r="AF570" s="70">
        <f>'RESUMEN TOTAL'!AM681</f>
        <v>0</v>
      </c>
      <c r="AG570" s="70">
        <f>'RESUMEN TOTAL'!AN681</f>
        <v>0</v>
      </c>
      <c r="AH570" s="70">
        <f>'RESUMEN TOTAL'!AO681</f>
        <v>0</v>
      </c>
      <c r="AI570" s="70">
        <f>'RESUMEN TOTAL'!AP681</f>
        <v>0</v>
      </c>
      <c r="AJ570" s="70">
        <f>'RESUMEN TOTAL'!AQ681</f>
        <v>0</v>
      </c>
    </row>
    <row r="571" spans="1:36" x14ac:dyDescent="0.25">
      <c r="A571">
        <f>'RESUMEN TOTAL'!A682</f>
        <v>0</v>
      </c>
      <c r="B571">
        <f>'RESUMEN TOTAL'!B682</f>
        <v>0</v>
      </c>
      <c r="C571">
        <f>'RESUMEN TOTAL'!D682</f>
        <v>0</v>
      </c>
      <c r="D571" s="30">
        <f>'RESUMEN TOTAL'!E682</f>
        <v>0</v>
      </c>
      <c r="E571" s="30">
        <f>'RESUMEN TOTAL'!F682</f>
        <v>0</v>
      </c>
      <c r="F571" s="70">
        <f>'RESUMEN TOTAL'!M682</f>
        <v>0</v>
      </c>
      <c r="G571" s="70">
        <f>'RESUMEN TOTAL'!N682</f>
        <v>0</v>
      </c>
      <c r="H571" s="70">
        <f>'RESUMEN TOTAL'!O682</f>
        <v>0</v>
      </c>
      <c r="I571" s="70">
        <f>'RESUMEN TOTAL'!P682</f>
        <v>0</v>
      </c>
      <c r="J571" s="70">
        <f>'RESUMEN TOTAL'!Q682</f>
        <v>0</v>
      </c>
      <c r="K571" s="70">
        <f>'RESUMEN TOTAL'!R682</f>
        <v>0</v>
      </c>
      <c r="L571" s="70">
        <f>'RESUMEN TOTAL'!S682</f>
        <v>0</v>
      </c>
      <c r="M571" s="70">
        <f>'RESUMEN TOTAL'!T682</f>
        <v>0</v>
      </c>
      <c r="N571" s="70">
        <f>'RESUMEN TOTAL'!U682</f>
        <v>0</v>
      </c>
      <c r="O571" s="70">
        <f>'RESUMEN TOTAL'!V682</f>
        <v>0</v>
      </c>
      <c r="P571" s="70">
        <f>'RESUMEN TOTAL'!W682</f>
        <v>0</v>
      </c>
      <c r="Q571" s="70">
        <f>'RESUMEN TOTAL'!X682</f>
        <v>0</v>
      </c>
      <c r="R571" s="70">
        <f>'RESUMEN TOTAL'!Y682</f>
        <v>0</v>
      </c>
      <c r="S571" s="70">
        <f>'RESUMEN TOTAL'!Z682</f>
        <v>0</v>
      </c>
      <c r="T571" s="70">
        <f>'RESUMEN TOTAL'!AA682</f>
        <v>0</v>
      </c>
      <c r="U571" s="70">
        <f>'RESUMEN TOTAL'!AB682</f>
        <v>0</v>
      </c>
      <c r="V571" s="70">
        <f>'RESUMEN TOTAL'!AC682</f>
        <v>0</v>
      </c>
      <c r="W571" s="70">
        <f>'RESUMEN TOTAL'!AD682</f>
        <v>0</v>
      </c>
      <c r="X571" s="70">
        <f>'RESUMEN TOTAL'!AE682</f>
        <v>0</v>
      </c>
      <c r="Y571" s="70">
        <f>'RESUMEN TOTAL'!AF682</f>
        <v>0</v>
      </c>
      <c r="Z571" s="70">
        <f>'RESUMEN TOTAL'!AG682</f>
        <v>0</v>
      </c>
      <c r="AA571" s="70">
        <f>'RESUMEN TOTAL'!AH682</f>
        <v>0</v>
      </c>
      <c r="AB571" s="70">
        <f>'RESUMEN TOTAL'!AI682</f>
        <v>0</v>
      </c>
      <c r="AC571" s="70">
        <f>'RESUMEN TOTAL'!AJ682</f>
        <v>0</v>
      </c>
      <c r="AD571" s="70">
        <f>'RESUMEN TOTAL'!AK682</f>
        <v>0</v>
      </c>
      <c r="AE571" s="70">
        <f>'RESUMEN TOTAL'!AL682</f>
        <v>0</v>
      </c>
      <c r="AF571" s="70">
        <f>'RESUMEN TOTAL'!AM682</f>
        <v>0</v>
      </c>
      <c r="AG571" s="70">
        <f>'RESUMEN TOTAL'!AN682</f>
        <v>0</v>
      </c>
      <c r="AH571" s="70">
        <f>'RESUMEN TOTAL'!AO682</f>
        <v>0</v>
      </c>
      <c r="AI571" s="70">
        <f>'RESUMEN TOTAL'!AP682</f>
        <v>0</v>
      </c>
      <c r="AJ571" s="70">
        <f>'RESUMEN TOTAL'!AQ682</f>
        <v>0</v>
      </c>
    </row>
    <row r="572" spans="1:36" x14ac:dyDescent="0.25">
      <c r="A572">
        <f>'RESUMEN TOTAL'!A683</f>
        <v>0</v>
      </c>
      <c r="B572">
        <f>'RESUMEN TOTAL'!B683</f>
        <v>0</v>
      </c>
      <c r="C572">
        <f>'RESUMEN TOTAL'!D683</f>
        <v>0</v>
      </c>
      <c r="D572" s="30">
        <f>'RESUMEN TOTAL'!E683</f>
        <v>0</v>
      </c>
      <c r="E572" s="30">
        <f>'RESUMEN TOTAL'!F683</f>
        <v>0</v>
      </c>
      <c r="F572" s="70">
        <f>'RESUMEN TOTAL'!M683</f>
        <v>0</v>
      </c>
      <c r="G572" s="70">
        <f>'RESUMEN TOTAL'!N683</f>
        <v>0</v>
      </c>
      <c r="H572" s="70">
        <f>'RESUMEN TOTAL'!O683</f>
        <v>0</v>
      </c>
      <c r="I572" s="70">
        <f>'RESUMEN TOTAL'!P683</f>
        <v>0</v>
      </c>
      <c r="J572" s="70">
        <f>'RESUMEN TOTAL'!Q683</f>
        <v>0</v>
      </c>
      <c r="K572" s="70">
        <f>'RESUMEN TOTAL'!R683</f>
        <v>0</v>
      </c>
      <c r="L572" s="70">
        <f>'RESUMEN TOTAL'!S683</f>
        <v>0</v>
      </c>
      <c r="M572" s="70">
        <f>'RESUMEN TOTAL'!T683</f>
        <v>0</v>
      </c>
      <c r="N572" s="70">
        <f>'RESUMEN TOTAL'!U683</f>
        <v>0</v>
      </c>
      <c r="O572" s="70">
        <f>'RESUMEN TOTAL'!V683</f>
        <v>0</v>
      </c>
      <c r="P572" s="70">
        <f>'RESUMEN TOTAL'!W683</f>
        <v>0</v>
      </c>
      <c r="Q572" s="70">
        <f>'RESUMEN TOTAL'!X683</f>
        <v>0</v>
      </c>
      <c r="R572" s="70">
        <f>'RESUMEN TOTAL'!Y683</f>
        <v>0</v>
      </c>
      <c r="S572" s="70">
        <f>'RESUMEN TOTAL'!Z683</f>
        <v>0</v>
      </c>
      <c r="T572" s="70">
        <f>'RESUMEN TOTAL'!AA683</f>
        <v>0</v>
      </c>
      <c r="U572" s="70">
        <f>'RESUMEN TOTAL'!AB683</f>
        <v>0</v>
      </c>
      <c r="V572" s="70">
        <f>'RESUMEN TOTAL'!AC683</f>
        <v>0</v>
      </c>
      <c r="W572" s="70">
        <f>'RESUMEN TOTAL'!AD683</f>
        <v>0</v>
      </c>
      <c r="X572" s="70">
        <f>'RESUMEN TOTAL'!AE683</f>
        <v>0</v>
      </c>
      <c r="Y572" s="70">
        <f>'RESUMEN TOTAL'!AF683</f>
        <v>0</v>
      </c>
      <c r="Z572" s="70">
        <f>'RESUMEN TOTAL'!AG683</f>
        <v>0</v>
      </c>
      <c r="AA572" s="70">
        <f>'RESUMEN TOTAL'!AH683</f>
        <v>0</v>
      </c>
      <c r="AB572" s="70">
        <f>'RESUMEN TOTAL'!AI683</f>
        <v>0</v>
      </c>
      <c r="AC572" s="70">
        <f>'RESUMEN TOTAL'!AJ683</f>
        <v>0</v>
      </c>
      <c r="AD572" s="70">
        <f>'RESUMEN TOTAL'!AK683</f>
        <v>0</v>
      </c>
      <c r="AE572" s="70">
        <f>'RESUMEN TOTAL'!AL683</f>
        <v>0</v>
      </c>
      <c r="AF572" s="70">
        <f>'RESUMEN TOTAL'!AM683</f>
        <v>0</v>
      </c>
      <c r="AG572" s="70">
        <f>'RESUMEN TOTAL'!AN683</f>
        <v>0</v>
      </c>
      <c r="AH572" s="70">
        <f>'RESUMEN TOTAL'!AO683</f>
        <v>0</v>
      </c>
      <c r="AI572" s="70">
        <f>'RESUMEN TOTAL'!AP683</f>
        <v>0</v>
      </c>
      <c r="AJ572" s="70">
        <f>'RESUMEN TOTAL'!AQ683</f>
        <v>0</v>
      </c>
    </row>
    <row r="573" spans="1:36" x14ac:dyDescent="0.25">
      <c r="A573">
        <f>'RESUMEN TOTAL'!A684</f>
        <v>0</v>
      </c>
      <c r="B573">
        <f>'RESUMEN TOTAL'!B684</f>
        <v>0</v>
      </c>
      <c r="C573">
        <f>'RESUMEN TOTAL'!D684</f>
        <v>0</v>
      </c>
      <c r="D573" s="30">
        <f>'RESUMEN TOTAL'!E684</f>
        <v>0</v>
      </c>
      <c r="E573" s="30">
        <f>'RESUMEN TOTAL'!F684</f>
        <v>0</v>
      </c>
      <c r="F573" s="70">
        <f>'RESUMEN TOTAL'!M684</f>
        <v>0</v>
      </c>
      <c r="G573" s="70">
        <f>'RESUMEN TOTAL'!N684</f>
        <v>0</v>
      </c>
      <c r="H573" s="70">
        <f>'RESUMEN TOTAL'!O684</f>
        <v>0</v>
      </c>
      <c r="I573" s="70">
        <f>'RESUMEN TOTAL'!P684</f>
        <v>0</v>
      </c>
      <c r="J573" s="70">
        <f>'RESUMEN TOTAL'!Q684</f>
        <v>0</v>
      </c>
      <c r="K573" s="70">
        <f>'RESUMEN TOTAL'!R684</f>
        <v>0</v>
      </c>
      <c r="L573" s="70">
        <f>'RESUMEN TOTAL'!S684</f>
        <v>0</v>
      </c>
      <c r="M573" s="70">
        <f>'RESUMEN TOTAL'!T684</f>
        <v>0</v>
      </c>
      <c r="N573" s="70">
        <f>'RESUMEN TOTAL'!U684</f>
        <v>0</v>
      </c>
      <c r="O573" s="70">
        <f>'RESUMEN TOTAL'!V684</f>
        <v>0</v>
      </c>
      <c r="P573" s="70">
        <f>'RESUMEN TOTAL'!W684</f>
        <v>0</v>
      </c>
      <c r="Q573" s="70">
        <f>'RESUMEN TOTAL'!X684</f>
        <v>0</v>
      </c>
      <c r="R573" s="70">
        <f>'RESUMEN TOTAL'!Y684</f>
        <v>0</v>
      </c>
      <c r="S573" s="70">
        <f>'RESUMEN TOTAL'!Z684</f>
        <v>0</v>
      </c>
      <c r="T573" s="70">
        <f>'RESUMEN TOTAL'!AA684</f>
        <v>0</v>
      </c>
      <c r="U573" s="70">
        <f>'RESUMEN TOTAL'!AB684</f>
        <v>0</v>
      </c>
      <c r="V573" s="70">
        <f>'RESUMEN TOTAL'!AC684</f>
        <v>0</v>
      </c>
      <c r="W573" s="70">
        <f>'RESUMEN TOTAL'!AD684</f>
        <v>0</v>
      </c>
      <c r="X573" s="70">
        <f>'RESUMEN TOTAL'!AE684</f>
        <v>0</v>
      </c>
      <c r="Y573" s="70">
        <f>'RESUMEN TOTAL'!AF684</f>
        <v>0</v>
      </c>
      <c r="Z573" s="70">
        <f>'RESUMEN TOTAL'!AG684</f>
        <v>0</v>
      </c>
      <c r="AA573" s="70">
        <f>'RESUMEN TOTAL'!AH684</f>
        <v>0</v>
      </c>
      <c r="AB573" s="70">
        <f>'RESUMEN TOTAL'!AI684</f>
        <v>0</v>
      </c>
      <c r="AC573" s="70">
        <f>'RESUMEN TOTAL'!AJ684</f>
        <v>0</v>
      </c>
      <c r="AD573" s="70">
        <f>'RESUMEN TOTAL'!AK684</f>
        <v>0</v>
      </c>
      <c r="AE573" s="70">
        <f>'RESUMEN TOTAL'!AL684</f>
        <v>0</v>
      </c>
      <c r="AF573" s="70">
        <f>'RESUMEN TOTAL'!AM684</f>
        <v>0</v>
      </c>
      <c r="AG573" s="70">
        <f>'RESUMEN TOTAL'!AN684</f>
        <v>0</v>
      </c>
      <c r="AH573" s="70">
        <f>'RESUMEN TOTAL'!AO684</f>
        <v>0</v>
      </c>
      <c r="AI573" s="70">
        <f>'RESUMEN TOTAL'!AP684</f>
        <v>0</v>
      </c>
      <c r="AJ573" s="70">
        <f>'RESUMEN TOTAL'!AQ684</f>
        <v>0</v>
      </c>
    </row>
    <row r="574" spans="1:36" x14ac:dyDescent="0.25">
      <c r="A574">
        <f>'RESUMEN TOTAL'!A685</f>
        <v>0</v>
      </c>
      <c r="B574">
        <f>'RESUMEN TOTAL'!B685</f>
        <v>0</v>
      </c>
      <c r="C574">
        <f>'RESUMEN TOTAL'!D685</f>
        <v>0</v>
      </c>
      <c r="D574" s="30">
        <f>'RESUMEN TOTAL'!E685</f>
        <v>0</v>
      </c>
      <c r="E574" s="30">
        <f>'RESUMEN TOTAL'!F685</f>
        <v>0</v>
      </c>
      <c r="F574" s="70">
        <f>'RESUMEN TOTAL'!M685</f>
        <v>0</v>
      </c>
      <c r="G574" s="70">
        <f>'RESUMEN TOTAL'!N685</f>
        <v>0</v>
      </c>
      <c r="H574" s="70">
        <f>'RESUMEN TOTAL'!O685</f>
        <v>0</v>
      </c>
      <c r="I574" s="70">
        <f>'RESUMEN TOTAL'!P685</f>
        <v>0</v>
      </c>
      <c r="J574" s="70">
        <f>'RESUMEN TOTAL'!Q685</f>
        <v>0</v>
      </c>
      <c r="K574" s="70">
        <f>'RESUMEN TOTAL'!R685</f>
        <v>0</v>
      </c>
      <c r="L574" s="70">
        <f>'RESUMEN TOTAL'!S685</f>
        <v>0</v>
      </c>
      <c r="M574" s="70">
        <f>'RESUMEN TOTAL'!T685</f>
        <v>0</v>
      </c>
      <c r="N574" s="70">
        <f>'RESUMEN TOTAL'!U685</f>
        <v>0</v>
      </c>
      <c r="O574" s="70">
        <f>'RESUMEN TOTAL'!V685</f>
        <v>0</v>
      </c>
      <c r="P574" s="70">
        <f>'RESUMEN TOTAL'!W685</f>
        <v>0</v>
      </c>
      <c r="Q574" s="70">
        <f>'RESUMEN TOTAL'!X685</f>
        <v>0</v>
      </c>
      <c r="R574" s="70">
        <f>'RESUMEN TOTAL'!Y685</f>
        <v>0</v>
      </c>
      <c r="S574" s="70">
        <f>'RESUMEN TOTAL'!Z685</f>
        <v>0</v>
      </c>
      <c r="T574" s="70">
        <f>'RESUMEN TOTAL'!AA685</f>
        <v>0</v>
      </c>
      <c r="U574" s="70">
        <f>'RESUMEN TOTAL'!AB685</f>
        <v>0</v>
      </c>
      <c r="V574" s="70">
        <f>'RESUMEN TOTAL'!AC685</f>
        <v>0</v>
      </c>
      <c r="W574" s="70">
        <f>'RESUMEN TOTAL'!AD685</f>
        <v>0</v>
      </c>
      <c r="X574" s="70">
        <f>'RESUMEN TOTAL'!AE685</f>
        <v>0</v>
      </c>
      <c r="Y574" s="70">
        <f>'RESUMEN TOTAL'!AF685</f>
        <v>0</v>
      </c>
      <c r="Z574" s="70">
        <f>'RESUMEN TOTAL'!AG685</f>
        <v>0</v>
      </c>
      <c r="AA574" s="70">
        <f>'RESUMEN TOTAL'!AH685</f>
        <v>0</v>
      </c>
      <c r="AB574" s="70">
        <f>'RESUMEN TOTAL'!AI685</f>
        <v>0</v>
      </c>
      <c r="AC574" s="70">
        <f>'RESUMEN TOTAL'!AJ685</f>
        <v>0</v>
      </c>
      <c r="AD574" s="70">
        <f>'RESUMEN TOTAL'!AK685</f>
        <v>0</v>
      </c>
      <c r="AE574" s="70">
        <f>'RESUMEN TOTAL'!AL685</f>
        <v>0</v>
      </c>
      <c r="AF574" s="70">
        <f>'RESUMEN TOTAL'!AM685</f>
        <v>0</v>
      </c>
      <c r="AG574" s="70">
        <f>'RESUMEN TOTAL'!AN685</f>
        <v>0</v>
      </c>
      <c r="AH574" s="70">
        <f>'RESUMEN TOTAL'!AO685</f>
        <v>0</v>
      </c>
      <c r="AI574" s="70">
        <f>'RESUMEN TOTAL'!AP685</f>
        <v>0</v>
      </c>
      <c r="AJ574" s="70">
        <f>'RESUMEN TOTAL'!AQ685</f>
        <v>0</v>
      </c>
    </row>
    <row r="575" spans="1:36" x14ac:dyDescent="0.25">
      <c r="A575">
        <f>'RESUMEN TOTAL'!A686</f>
        <v>0</v>
      </c>
      <c r="B575">
        <f>'RESUMEN TOTAL'!B686</f>
        <v>0</v>
      </c>
      <c r="C575">
        <f>'RESUMEN TOTAL'!D686</f>
        <v>0</v>
      </c>
      <c r="D575" s="30">
        <f>'RESUMEN TOTAL'!E686</f>
        <v>0</v>
      </c>
      <c r="E575" s="30">
        <f>'RESUMEN TOTAL'!F686</f>
        <v>0</v>
      </c>
      <c r="F575" s="70">
        <f>'RESUMEN TOTAL'!M686</f>
        <v>0</v>
      </c>
      <c r="G575" s="70">
        <f>'RESUMEN TOTAL'!N686</f>
        <v>0</v>
      </c>
      <c r="H575" s="70">
        <f>'RESUMEN TOTAL'!O686</f>
        <v>0</v>
      </c>
      <c r="I575" s="70">
        <f>'RESUMEN TOTAL'!P686</f>
        <v>0</v>
      </c>
      <c r="J575" s="70">
        <f>'RESUMEN TOTAL'!Q686</f>
        <v>0</v>
      </c>
      <c r="K575" s="70">
        <f>'RESUMEN TOTAL'!R686</f>
        <v>0</v>
      </c>
      <c r="L575" s="70">
        <f>'RESUMEN TOTAL'!S686</f>
        <v>0</v>
      </c>
      <c r="M575" s="70">
        <f>'RESUMEN TOTAL'!T686</f>
        <v>0</v>
      </c>
      <c r="N575" s="70">
        <f>'RESUMEN TOTAL'!U686</f>
        <v>0</v>
      </c>
      <c r="O575" s="70">
        <f>'RESUMEN TOTAL'!V686</f>
        <v>0</v>
      </c>
      <c r="P575" s="70">
        <f>'RESUMEN TOTAL'!W686</f>
        <v>0</v>
      </c>
      <c r="Q575" s="70">
        <f>'RESUMEN TOTAL'!X686</f>
        <v>0</v>
      </c>
      <c r="R575" s="70">
        <f>'RESUMEN TOTAL'!Y686</f>
        <v>0</v>
      </c>
      <c r="S575" s="70">
        <f>'RESUMEN TOTAL'!Z686</f>
        <v>0</v>
      </c>
      <c r="T575" s="70">
        <f>'RESUMEN TOTAL'!AA686</f>
        <v>0</v>
      </c>
      <c r="U575" s="70">
        <f>'RESUMEN TOTAL'!AB686</f>
        <v>0</v>
      </c>
      <c r="V575" s="70">
        <f>'RESUMEN TOTAL'!AC686</f>
        <v>0</v>
      </c>
      <c r="W575" s="70">
        <f>'RESUMEN TOTAL'!AD686</f>
        <v>0</v>
      </c>
      <c r="X575" s="70">
        <f>'RESUMEN TOTAL'!AE686</f>
        <v>0</v>
      </c>
      <c r="Y575" s="70">
        <f>'RESUMEN TOTAL'!AF686</f>
        <v>0</v>
      </c>
      <c r="Z575" s="70">
        <f>'RESUMEN TOTAL'!AG686</f>
        <v>0</v>
      </c>
      <c r="AA575" s="70">
        <f>'RESUMEN TOTAL'!AH686</f>
        <v>0</v>
      </c>
      <c r="AB575" s="70">
        <f>'RESUMEN TOTAL'!AI686</f>
        <v>0</v>
      </c>
      <c r="AC575" s="70">
        <f>'RESUMEN TOTAL'!AJ686</f>
        <v>0</v>
      </c>
      <c r="AD575" s="70">
        <f>'RESUMEN TOTAL'!AK686</f>
        <v>0</v>
      </c>
      <c r="AE575" s="70">
        <f>'RESUMEN TOTAL'!AL686</f>
        <v>0</v>
      </c>
      <c r="AF575" s="70">
        <f>'RESUMEN TOTAL'!AM686</f>
        <v>0</v>
      </c>
      <c r="AG575" s="70">
        <f>'RESUMEN TOTAL'!AN686</f>
        <v>0</v>
      </c>
      <c r="AH575" s="70">
        <f>'RESUMEN TOTAL'!AO686</f>
        <v>0</v>
      </c>
      <c r="AI575" s="70">
        <f>'RESUMEN TOTAL'!AP686</f>
        <v>0</v>
      </c>
      <c r="AJ575" s="70">
        <f>'RESUMEN TOTAL'!AQ686</f>
        <v>0</v>
      </c>
    </row>
    <row r="576" spans="1:36" x14ac:dyDescent="0.25">
      <c r="A576">
        <f>'RESUMEN TOTAL'!A687</f>
        <v>0</v>
      </c>
      <c r="B576">
        <f>'RESUMEN TOTAL'!B687</f>
        <v>0</v>
      </c>
      <c r="C576">
        <f>'RESUMEN TOTAL'!D687</f>
        <v>0</v>
      </c>
      <c r="D576" s="30">
        <f>'RESUMEN TOTAL'!E687</f>
        <v>0</v>
      </c>
      <c r="E576" s="30">
        <f>'RESUMEN TOTAL'!F687</f>
        <v>0</v>
      </c>
      <c r="F576" s="70">
        <f>'RESUMEN TOTAL'!M687</f>
        <v>0</v>
      </c>
      <c r="G576" s="70">
        <f>'RESUMEN TOTAL'!N687</f>
        <v>0</v>
      </c>
      <c r="H576" s="70">
        <f>'RESUMEN TOTAL'!O687</f>
        <v>0</v>
      </c>
      <c r="I576" s="70">
        <f>'RESUMEN TOTAL'!P687</f>
        <v>0</v>
      </c>
      <c r="J576" s="70">
        <f>'RESUMEN TOTAL'!Q687</f>
        <v>0</v>
      </c>
      <c r="K576" s="70">
        <f>'RESUMEN TOTAL'!R687</f>
        <v>0</v>
      </c>
      <c r="L576" s="70">
        <f>'RESUMEN TOTAL'!S687</f>
        <v>0</v>
      </c>
      <c r="M576" s="70">
        <f>'RESUMEN TOTAL'!T687</f>
        <v>0</v>
      </c>
      <c r="N576" s="70">
        <f>'RESUMEN TOTAL'!U687</f>
        <v>0</v>
      </c>
      <c r="O576" s="70">
        <f>'RESUMEN TOTAL'!V687</f>
        <v>0</v>
      </c>
      <c r="P576" s="70">
        <f>'RESUMEN TOTAL'!W687</f>
        <v>0</v>
      </c>
      <c r="Q576" s="70">
        <f>'RESUMEN TOTAL'!X687</f>
        <v>0</v>
      </c>
      <c r="R576" s="70">
        <f>'RESUMEN TOTAL'!Y687</f>
        <v>0</v>
      </c>
      <c r="S576" s="70">
        <f>'RESUMEN TOTAL'!Z687</f>
        <v>0</v>
      </c>
      <c r="T576" s="70">
        <f>'RESUMEN TOTAL'!AA687</f>
        <v>0</v>
      </c>
      <c r="U576" s="70">
        <f>'RESUMEN TOTAL'!AB687</f>
        <v>0</v>
      </c>
      <c r="V576" s="70">
        <f>'RESUMEN TOTAL'!AC687</f>
        <v>0</v>
      </c>
      <c r="W576" s="70">
        <f>'RESUMEN TOTAL'!AD687</f>
        <v>0</v>
      </c>
      <c r="X576" s="70">
        <f>'RESUMEN TOTAL'!AE687</f>
        <v>0</v>
      </c>
      <c r="Y576" s="70">
        <f>'RESUMEN TOTAL'!AF687</f>
        <v>0</v>
      </c>
      <c r="Z576" s="70">
        <f>'RESUMEN TOTAL'!AG687</f>
        <v>0</v>
      </c>
      <c r="AA576" s="70">
        <f>'RESUMEN TOTAL'!AH687</f>
        <v>0</v>
      </c>
      <c r="AB576" s="70">
        <f>'RESUMEN TOTAL'!AI687</f>
        <v>0</v>
      </c>
      <c r="AC576" s="70">
        <f>'RESUMEN TOTAL'!AJ687</f>
        <v>0</v>
      </c>
      <c r="AD576" s="70">
        <f>'RESUMEN TOTAL'!AK687</f>
        <v>0</v>
      </c>
      <c r="AE576" s="70">
        <f>'RESUMEN TOTAL'!AL687</f>
        <v>0</v>
      </c>
      <c r="AF576" s="70">
        <f>'RESUMEN TOTAL'!AM687</f>
        <v>0</v>
      </c>
      <c r="AG576" s="70">
        <f>'RESUMEN TOTAL'!AN687</f>
        <v>0</v>
      </c>
      <c r="AH576" s="70">
        <f>'RESUMEN TOTAL'!AO687</f>
        <v>0</v>
      </c>
      <c r="AI576" s="70">
        <f>'RESUMEN TOTAL'!AP687</f>
        <v>0</v>
      </c>
      <c r="AJ576" s="70">
        <f>'RESUMEN TOTAL'!AQ687</f>
        <v>0</v>
      </c>
    </row>
    <row r="577" spans="1:36" x14ac:dyDescent="0.25">
      <c r="A577">
        <f>'RESUMEN TOTAL'!A688</f>
        <v>0</v>
      </c>
      <c r="B577">
        <f>'RESUMEN TOTAL'!B688</f>
        <v>0</v>
      </c>
      <c r="C577">
        <f>'RESUMEN TOTAL'!D688</f>
        <v>0</v>
      </c>
      <c r="D577" s="30">
        <f>'RESUMEN TOTAL'!E688</f>
        <v>0</v>
      </c>
      <c r="E577" s="30">
        <f>'RESUMEN TOTAL'!F688</f>
        <v>0</v>
      </c>
      <c r="F577" s="70">
        <f>'RESUMEN TOTAL'!M688</f>
        <v>0</v>
      </c>
      <c r="G577" s="70">
        <f>'RESUMEN TOTAL'!N688</f>
        <v>0</v>
      </c>
      <c r="H577" s="70">
        <f>'RESUMEN TOTAL'!O688</f>
        <v>0</v>
      </c>
      <c r="I577" s="70">
        <f>'RESUMEN TOTAL'!P688</f>
        <v>0</v>
      </c>
      <c r="J577" s="70">
        <f>'RESUMEN TOTAL'!Q688</f>
        <v>0</v>
      </c>
      <c r="K577" s="70">
        <f>'RESUMEN TOTAL'!R688</f>
        <v>0</v>
      </c>
      <c r="L577" s="70">
        <f>'RESUMEN TOTAL'!S688</f>
        <v>0</v>
      </c>
      <c r="M577" s="70">
        <f>'RESUMEN TOTAL'!T688</f>
        <v>0</v>
      </c>
      <c r="N577" s="70">
        <f>'RESUMEN TOTAL'!U688</f>
        <v>0</v>
      </c>
      <c r="O577" s="70">
        <f>'RESUMEN TOTAL'!V688</f>
        <v>0</v>
      </c>
      <c r="P577" s="70">
        <f>'RESUMEN TOTAL'!W688</f>
        <v>0</v>
      </c>
      <c r="Q577" s="70">
        <f>'RESUMEN TOTAL'!X688</f>
        <v>0</v>
      </c>
      <c r="R577" s="70">
        <f>'RESUMEN TOTAL'!Y688</f>
        <v>0</v>
      </c>
      <c r="S577" s="70">
        <f>'RESUMEN TOTAL'!Z688</f>
        <v>0</v>
      </c>
      <c r="T577" s="70">
        <f>'RESUMEN TOTAL'!AA688</f>
        <v>0</v>
      </c>
      <c r="U577" s="70">
        <f>'RESUMEN TOTAL'!AB688</f>
        <v>0</v>
      </c>
      <c r="V577" s="70">
        <f>'RESUMEN TOTAL'!AC688</f>
        <v>0</v>
      </c>
      <c r="W577" s="70">
        <f>'RESUMEN TOTAL'!AD688</f>
        <v>0</v>
      </c>
      <c r="X577" s="70">
        <f>'RESUMEN TOTAL'!AE688</f>
        <v>0</v>
      </c>
      <c r="Y577" s="70">
        <f>'RESUMEN TOTAL'!AF688</f>
        <v>0</v>
      </c>
      <c r="Z577" s="70">
        <f>'RESUMEN TOTAL'!AG688</f>
        <v>0</v>
      </c>
      <c r="AA577" s="70">
        <f>'RESUMEN TOTAL'!AH688</f>
        <v>0</v>
      </c>
      <c r="AB577" s="70">
        <f>'RESUMEN TOTAL'!AI688</f>
        <v>0</v>
      </c>
      <c r="AC577" s="70">
        <f>'RESUMEN TOTAL'!AJ688</f>
        <v>0</v>
      </c>
      <c r="AD577" s="70">
        <f>'RESUMEN TOTAL'!AK688</f>
        <v>0</v>
      </c>
      <c r="AE577" s="70">
        <f>'RESUMEN TOTAL'!AL688</f>
        <v>0</v>
      </c>
      <c r="AF577" s="70">
        <f>'RESUMEN TOTAL'!AM688</f>
        <v>0</v>
      </c>
      <c r="AG577" s="70">
        <f>'RESUMEN TOTAL'!AN688</f>
        <v>0</v>
      </c>
      <c r="AH577" s="70">
        <f>'RESUMEN TOTAL'!AO688</f>
        <v>0</v>
      </c>
      <c r="AI577" s="70">
        <f>'RESUMEN TOTAL'!AP688</f>
        <v>0</v>
      </c>
      <c r="AJ577" s="70">
        <f>'RESUMEN TOTAL'!AQ688</f>
        <v>0</v>
      </c>
    </row>
    <row r="578" spans="1:36" x14ac:dyDescent="0.25">
      <c r="A578">
        <f>'RESUMEN TOTAL'!A689</f>
        <v>0</v>
      </c>
      <c r="B578">
        <f>'RESUMEN TOTAL'!B689</f>
        <v>0</v>
      </c>
      <c r="C578">
        <f>'RESUMEN TOTAL'!D689</f>
        <v>0</v>
      </c>
      <c r="D578" s="30">
        <f>'RESUMEN TOTAL'!E689</f>
        <v>0</v>
      </c>
      <c r="E578" s="30">
        <f>'RESUMEN TOTAL'!F689</f>
        <v>0</v>
      </c>
      <c r="F578" s="70">
        <f>'RESUMEN TOTAL'!M689</f>
        <v>0</v>
      </c>
      <c r="G578" s="70">
        <f>'RESUMEN TOTAL'!N689</f>
        <v>0</v>
      </c>
      <c r="H578" s="70">
        <f>'RESUMEN TOTAL'!O689</f>
        <v>0</v>
      </c>
      <c r="I578" s="70">
        <f>'RESUMEN TOTAL'!P689</f>
        <v>0</v>
      </c>
      <c r="J578" s="70">
        <f>'RESUMEN TOTAL'!Q689</f>
        <v>0</v>
      </c>
      <c r="K578" s="70">
        <f>'RESUMEN TOTAL'!R689</f>
        <v>0</v>
      </c>
      <c r="L578" s="70">
        <f>'RESUMEN TOTAL'!S689</f>
        <v>0</v>
      </c>
      <c r="M578" s="70">
        <f>'RESUMEN TOTAL'!T689</f>
        <v>0</v>
      </c>
      <c r="N578" s="70">
        <f>'RESUMEN TOTAL'!U689</f>
        <v>0</v>
      </c>
      <c r="O578" s="70">
        <f>'RESUMEN TOTAL'!V689</f>
        <v>0</v>
      </c>
      <c r="P578" s="70">
        <f>'RESUMEN TOTAL'!W689</f>
        <v>0</v>
      </c>
      <c r="Q578" s="70">
        <f>'RESUMEN TOTAL'!X689</f>
        <v>0</v>
      </c>
      <c r="R578" s="70">
        <f>'RESUMEN TOTAL'!Y689</f>
        <v>0</v>
      </c>
      <c r="S578" s="70">
        <f>'RESUMEN TOTAL'!Z689</f>
        <v>0</v>
      </c>
      <c r="T578" s="70">
        <f>'RESUMEN TOTAL'!AA689</f>
        <v>0</v>
      </c>
      <c r="U578" s="70">
        <f>'RESUMEN TOTAL'!AB689</f>
        <v>0</v>
      </c>
      <c r="V578" s="70">
        <f>'RESUMEN TOTAL'!AC689</f>
        <v>0</v>
      </c>
      <c r="W578" s="70">
        <f>'RESUMEN TOTAL'!AD689</f>
        <v>0</v>
      </c>
      <c r="X578" s="70">
        <f>'RESUMEN TOTAL'!AE689</f>
        <v>0</v>
      </c>
      <c r="Y578" s="70">
        <f>'RESUMEN TOTAL'!AF689</f>
        <v>0</v>
      </c>
      <c r="Z578" s="70">
        <f>'RESUMEN TOTAL'!AG689</f>
        <v>0</v>
      </c>
      <c r="AA578" s="70">
        <f>'RESUMEN TOTAL'!AH689</f>
        <v>0</v>
      </c>
      <c r="AB578" s="70">
        <f>'RESUMEN TOTAL'!AI689</f>
        <v>0</v>
      </c>
      <c r="AC578" s="70">
        <f>'RESUMEN TOTAL'!AJ689</f>
        <v>0</v>
      </c>
      <c r="AD578" s="70">
        <f>'RESUMEN TOTAL'!AK689</f>
        <v>0</v>
      </c>
      <c r="AE578" s="70">
        <f>'RESUMEN TOTAL'!AL689</f>
        <v>0</v>
      </c>
      <c r="AF578" s="70">
        <f>'RESUMEN TOTAL'!AM689</f>
        <v>0</v>
      </c>
      <c r="AG578" s="70">
        <f>'RESUMEN TOTAL'!AN689</f>
        <v>0</v>
      </c>
      <c r="AH578" s="70">
        <f>'RESUMEN TOTAL'!AO689</f>
        <v>0</v>
      </c>
      <c r="AI578" s="70">
        <f>'RESUMEN TOTAL'!AP689</f>
        <v>0</v>
      </c>
      <c r="AJ578" s="70">
        <f>'RESUMEN TOTAL'!AQ689</f>
        <v>0</v>
      </c>
    </row>
    <row r="579" spans="1:36" x14ac:dyDescent="0.25">
      <c r="A579">
        <f>'RESUMEN TOTAL'!A690</f>
        <v>0</v>
      </c>
      <c r="B579">
        <f>'RESUMEN TOTAL'!B690</f>
        <v>0</v>
      </c>
      <c r="C579">
        <f>'RESUMEN TOTAL'!D690</f>
        <v>0</v>
      </c>
      <c r="D579" s="30">
        <f>'RESUMEN TOTAL'!E690</f>
        <v>0</v>
      </c>
      <c r="E579" s="30">
        <f>'RESUMEN TOTAL'!F690</f>
        <v>0</v>
      </c>
      <c r="F579" s="70">
        <f>'RESUMEN TOTAL'!M690</f>
        <v>0</v>
      </c>
      <c r="G579" s="70">
        <f>'RESUMEN TOTAL'!N690</f>
        <v>0</v>
      </c>
      <c r="H579" s="70">
        <f>'RESUMEN TOTAL'!O690</f>
        <v>0</v>
      </c>
      <c r="I579" s="70">
        <f>'RESUMEN TOTAL'!P690</f>
        <v>0</v>
      </c>
      <c r="J579" s="70">
        <f>'RESUMEN TOTAL'!Q690</f>
        <v>0</v>
      </c>
      <c r="K579" s="70">
        <f>'RESUMEN TOTAL'!R690</f>
        <v>0</v>
      </c>
      <c r="L579" s="70">
        <f>'RESUMEN TOTAL'!S690</f>
        <v>0</v>
      </c>
      <c r="M579" s="70">
        <f>'RESUMEN TOTAL'!T690</f>
        <v>0</v>
      </c>
      <c r="N579" s="70">
        <f>'RESUMEN TOTAL'!U690</f>
        <v>0</v>
      </c>
      <c r="O579" s="70">
        <f>'RESUMEN TOTAL'!V690</f>
        <v>0</v>
      </c>
      <c r="P579" s="70">
        <f>'RESUMEN TOTAL'!W690</f>
        <v>0</v>
      </c>
      <c r="Q579" s="70">
        <f>'RESUMEN TOTAL'!X690</f>
        <v>0</v>
      </c>
      <c r="R579" s="70">
        <f>'RESUMEN TOTAL'!Y690</f>
        <v>0</v>
      </c>
      <c r="S579" s="70">
        <f>'RESUMEN TOTAL'!Z690</f>
        <v>0</v>
      </c>
      <c r="T579" s="70">
        <f>'RESUMEN TOTAL'!AA690</f>
        <v>0</v>
      </c>
      <c r="U579" s="70">
        <f>'RESUMEN TOTAL'!AB690</f>
        <v>0</v>
      </c>
      <c r="V579" s="70">
        <f>'RESUMEN TOTAL'!AC690</f>
        <v>0</v>
      </c>
      <c r="W579" s="70">
        <f>'RESUMEN TOTAL'!AD690</f>
        <v>0</v>
      </c>
      <c r="X579" s="70">
        <f>'RESUMEN TOTAL'!AE690</f>
        <v>0</v>
      </c>
      <c r="Y579" s="70">
        <f>'RESUMEN TOTAL'!AF690</f>
        <v>0</v>
      </c>
      <c r="Z579" s="70">
        <f>'RESUMEN TOTAL'!AG690</f>
        <v>0</v>
      </c>
      <c r="AA579" s="70">
        <f>'RESUMEN TOTAL'!AH690</f>
        <v>0</v>
      </c>
      <c r="AB579" s="70">
        <f>'RESUMEN TOTAL'!AI690</f>
        <v>0</v>
      </c>
      <c r="AC579" s="70">
        <f>'RESUMEN TOTAL'!AJ690</f>
        <v>0</v>
      </c>
      <c r="AD579" s="70">
        <f>'RESUMEN TOTAL'!AK690</f>
        <v>0</v>
      </c>
      <c r="AE579" s="70">
        <f>'RESUMEN TOTAL'!AL690</f>
        <v>0</v>
      </c>
      <c r="AF579" s="70">
        <f>'RESUMEN TOTAL'!AM690</f>
        <v>0</v>
      </c>
      <c r="AG579" s="70">
        <f>'RESUMEN TOTAL'!AN690</f>
        <v>0</v>
      </c>
      <c r="AH579" s="70">
        <f>'RESUMEN TOTAL'!AO690</f>
        <v>0</v>
      </c>
      <c r="AI579" s="70">
        <f>'RESUMEN TOTAL'!AP690</f>
        <v>0</v>
      </c>
      <c r="AJ579" s="70">
        <f>'RESUMEN TOTAL'!AQ690</f>
        <v>0</v>
      </c>
    </row>
    <row r="580" spans="1:36" x14ac:dyDescent="0.25">
      <c r="A580">
        <f>'RESUMEN TOTAL'!A691</f>
        <v>0</v>
      </c>
      <c r="B580">
        <f>'RESUMEN TOTAL'!B691</f>
        <v>0</v>
      </c>
      <c r="C580">
        <f>'RESUMEN TOTAL'!D691</f>
        <v>0</v>
      </c>
      <c r="D580" s="30">
        <f>'RESUMEN TOTAL'!E691</f>
        <v>0</v>
      </c>
      <c r="E580" s="30">
        <f>'RESUMEN TOTAL'!F691</f>
        <v>0</v>
      </c>
      <c r="F580" s="70">
        <f>'RESUMEN TOTAL'!M691</f>
        <v>0</v>
      </c>
      <c r="G580" s="70">
        <f>'RESUMEN TOTAL'!N691</f>
        <v>0</v>
      </c>
      <c r="H580" s="70">
        <f>'RESUMEN TOTAL'!O691</f>
        <v>0</v>
      </c>
      <c r="I580" s="70">
        <f>'RESUMEN TOTAL'!P691</f>
        <v>0</v>
      </c>
      <c r="J580" s="70">
        <f>'RESUMEN TOTAL'!Q691</f>
        <v>0</v>
      </c>
      <c r="K580" s="70">
        <f>'RESUMEN TOTAL'!R691</f>
        <v>0</v>
      </c>
      <c r="L580" s="70">
        <f>'RESUMEN TOTAL'!S691</f>
        <v>0</v>
      </c>
      <c r="M580" s="70">
        <f>'RESUMEN TOTAL'!T691</f>
        <v>0</v>
      </c>
      <c r="N580" s="70">
        <f>'RESUMEN TOTAL'!U691</f>
        <v>0</v>
      </c>
      <c r="O580" s="70">
        <f>'RESUMEN TOTAL'!V691</f>
        <v>0</v>
      </c>
      <c r="P580" s="70">
        <f>'RESUMEN TOTAL'!W691</f>
        <v>0</v>
      </c>
      <c r="Q580" s="70">
        <f>'RESUMEN TOTAL'!X691</f>
        <v>0</v>
      </c>
      <c r="R580" s="70">
        <f>'RESUMEN TOTAL'!Y691</f>
        <v>0</v>
      </c>
      <c r="S580" s="70">
        <f>'RESUMEN TOTAL'!Z691</f>
        <v>0</v>
      </c>
      <c r="T580" s="70">
        <f>'RESUMEN TOTAL'!AA691</f>
        <v>0</v>
      </c>
      <c r="U580" s="70">
        <f>'RESUMEN TOTAL'!AB691</f>
        <v>0</v>
      </c>
      <c r="V580" s="70">
        <f>'RESUMEN TOTAL'!AC691</f>
        <v>0</v>
      </c>
      <c r="W580" s="70">
        <f>'RESUMEN TOTAL'!AD691</f>
        <v>0</v>
      </c>
      <c r="X580" s="70">
        <f>'RESUMEN TOTAL'!AE691</f>
        <v>0</v>
      </c>
      <c r="Y580" s="70">
        <f>'RESUMEN TOTAL'!AF691</f>
        <v>0</v>
      </c>
      <c r="Z580" s="70">
        <f>'RESUMEN TOTAL'!AG691</f>
        <v>0</v>
      </c>
      <c r="AA580" s="70">
        <f>'RESUMEN TOTAL'!AH691</f>
        <v>0</v>
      </c>
      <c r="AB580" s="70">
        <f>'RESUMEN TOTAL'!AI691</f>
        <v>0</v>
      </c>
      <c r="AC580" s="70">
        <f>'RESUMEN TOTAL'!AJ691</f>
        <v>0</v>
      </c>
      <c r="AD580" s="70">
        <f>'RESUMEN TOTAL'!AK691</f>
        <v>0</v>
      </c>
      <c r="AE580" s="70">
        <f>'RESUMEN TOTAL'!AL691</f>
        <v>0</v>
      </c>
      <c r="AF580" s="70">
        <f>'RESUMEN TOTAL'!AM691</f>
        <v>0</v>
      </c>
      <c r="AG580" s="70">
        <f>'RESUMEN TOTAL'!AN691</f>
        <v>0</v>
      </c>
      <c r="AH580" s="70">
        <f>'RESUMEN TOTAL'!AO691</f>
        <v>0</v>
      </c>
      <c r="AI580" s="70">
        <f>'RESUMEN TOTAL'!AP691</f>
        <v>0</v>
      </c>
      <c r="AJ580" s="70">
        <f>'RESUMEN TOTAL'!AQ691</f>
        <v>0</v>
      </c>
    </row>
    <row r="581" spans="1:36" x14ac:dyDescent="0.25">
      <c r="A581">
        <f>'RESUMEN TOTAL'!A692</f>
        <v>0</v>
      </c>
      <c r="B581">
        <f>'RESUMEN TOTAL'!B692</f>
        <v>0</v>
      </c>
      <c r="C581">
        <f>'RESUMEN TOTAL'!D692</f>
        <v>0</v>
      </c>
      <c r="D581" s="30">
        <f>'RESUMEN TOTAL'!E692</f>
        <v>0</v>
      </c>
      <c r="E581" s="30">
        <f>'RESUMEN TOTAL'!F692</f>
        <v>0</v>
      </c>
      <c r="F581" s="70">
        <f>'RESUMEN TOTAL'!M692</f>
        <v>0</v>
      </c>
      <c r="G581" s="70">
        <f>'RESUMEN TOTAL'!N692</f>
        <v>0</v>
      </c>
      <c r="H581" s="70">
        <f>'RESUMEN TOTAL'!O692</f>
        <v>0</v>
      </c>
      <c r="I581" s="70">
        <f>'RESUMEN TOTAL'!P692</f>
        <v>0</v>
      </c>
      <c r="J581" s="70">
        <f>'RESUMEN TOTAL'!Q692</f>
        <v>0</v>
      </c>
      <c r="K581" s="70">
        <f>'RESUMEN TOTAL'!R692</f>
        <v>0</v>
      </c>
      <c r="L581" s="70">
        <f>'RESUMEN TOTAL'!S692</f>
        <v>0</v>
      </c>
      <c r="M581" s="70">
        <f>'RESUMEN TOTAL'!T692</f>
        <v>0</v>
      </c>
      <c r="N581" s="70">
        <f>'RESUMEN TOTAL'!U692</f>
        <v>0</v>
      </c>
      <c r="O581" s="70">
        <f>'RESUMEN TOTAL'!V692</f>
        <v>0</v>
      </c>
      <c r="P581" s="70">
        <f>'RESUMEN TOTAL'!W692</f>
        <v>0</v>
      </c>
      <c r="Q581" s="70">
        <f>'RESUMEN TOTAL'!X692</f>
        <v>0</v>
      </c>
      <c r="R581" s="70">
        <f>'RESUMEN TOTAL'!Y692</f>
        <v>0</v>
      </c>
      <c r="S581" s="70">
        <f>'RESUMEN TOTAL'!Z692</f>
        <v>0</v>
      </c>
      <c r="T581" s="70">
        <f>'RESUMEN TOTAL'!AA692</f>
        <v>0</v>
      </c>
      <c r="U581" s="70">
        <f>'RESUMEN TOTAL'!AB692</f>
        <v>0</v>
      </c>
      <c r="V581" s="70">
        <f>'RESUMEN TOTAL'!AC692</f>
        <v>0</v>
      </c>
      <c r="W581" s="70">
        <f>'RESUMEN TOTAL'!AD692</f>
        <v>0</v>
      </c>
      <c r="X581" s="70">
        <f>'RESUMEN TOTAL'!AE692</f>
        <v>0</v>
      </c>
      <c r="Y581" s="70">
        <f>'RESUMEN TOTAL'!AF692</f>
        <v>0</v>
      </c>
      <c r="Z581" s="70">
        <f>'RESUMEN TOTAL'!AG692</f>
        <v>0</v>
      </c>
      <c r="AA581" s="70">
        <f>'RESUMEN TOTAL'!AH692</f>
        <v>0</v>
      </c>
      <c r="AB581" s="70">
        <f>'RESUMEN TOTAL'!AI692</f>
        <v>0</v>
      </c>
      <c r="AC581" s="70">
        <f>'RESUMEN TOTAL'!AJ692</f>
        <v>0</v>
      </c>
      <c r="AD581" s="70">
        <f>'RESUMEN TOTAL'!AK692</f>
        <v>0</v>
      </c>
      <c r="AE581" s="70">
        <f>'RESUMEN TOTAL'!AL692</f>
        <v>0</v>
      </c>
      <c r="AF581" s="70">
        <f>'RESUMEN TOTAL'!AM692</f>
        <v>0</v>
      </c>
      <c r="AG581" s="70">
        <f>'RESUMEN TOTAL'!AN692</f>
        <v>0</v>
      </c>
      <c r="AH581" s="70">
        <f>'RESUMEN TOTAL'!AO692</f>
        <v>0</v>
      </c>
      <c r="AI581" s="70">
        <f>'RESUMEN TOTAL'!AP692</f>
        <v>0</v>
      </c>
      <c r="AJ581" s="70">
        <f>'RESUMEN TOTAL'!AQ692</f>
        <v>0</v>
      </c>
    </row>
    <row r="582" spans="1:36" x14ac:dyDescent="0.25">
      <c r="A582">
        <f>'RESUMEN TOTAL'!A693</f>
        <v>0</v>
      </c>
      <c r="B582">
        <f>'RESUMEN TOTAL'!B693</f>
        <v>0</v>
      </c>
      <c r="C582">
        <f>'RESUMEN TOTAL'!D693</f>
        <v>0</v>
      </c>
      <c r="D582" s="30">
        <f>'RESUMEN TOTAL'!E693</f>
        <v>0</v>
      </c>
      <c r="E582" s="30">
        <f>'RESUMEN TOTAL'!F693</f>
        <v>0</v>
      </c>
      <c r="F582" s="70">
        <f>'RESUMEN TOTAL'!M693</f>
        <v>0</v>
      </c>
      <c r="G582" s="70">
        <f>'RESUMEN TOTAL'!N693</f>
        <v>0</v>
      </c>
      <c r="H582" s="70">
        <f>'RESUMEN TOTAL'!O693</f>
        <v>0</v>
      </c>
      <c r="I582" s="70">
        <f>'RESUMEN TOTAL'!P693</f>
        <v>0</v>
      </c>
      <c r="J582" s="70">
        <f>'RESUMEN TOTAL'!Q693</f>
        <v>0</v>
      </c>
      <c r="K582" s="70">
        <f>'RESUMEN TOTAL'!R693</f>
        <v>0</v>
      </c>
      <c r="L582" s="70">
        <f>'RESUMEN TOTAL'!S693</f>
        <v>0</v>
      </c>
      <c r="M582" s="70">
        <f>'RESUMEN TOTAL'!T693</f>
        <v>0</v>
      </c>
      <c r="N582" s="70">
        <f>'RESUMEN TOTAL'!U693</f>
        <v>0</v>
      </c>
      <c r="O582" s="70">
        <f>'RESUMEN TOTAL'!V693</f>
        <v>0</v>
      </c>
      <c r="P582" s="70">
        <f>'RESUMEN TOTAL'!W693</f>
        <v>0</v>
      </c>
      <c r="Q582" s="70">
        <f>'RESUMEN TOTAL'!X693</f>
        <v>0</v>
      </c>
      <c r="R582" s="70">
        <f>'RESUMEN TOTAL'!Y693</f>
        <v>0</v>
      </c>
      <c r="S582" s="70">
        <f>'RESUMEN TOTAL'!Z693</f>
        <v>0</v>
      </c>
      <c r="T582" s="70">
        <f>'RESUMEN TOTAL'!AA693</f>
        <v>0</v>
      </c>
      <c r="U582" s="70">
        <f>'RESUMEN TOTAL'!AB693</f>
        <v>0</v>
      </c>
      <c r="V582" s="70">
        <f>'RESUMEN TOTAL'!AC693</f>
        <v>0</v>
      </c>
      <c r="W582" s="70">
        <f>'RESUMEN TOTAL'!AD693</f>
        <v>0</v>
      </c>
      <c r="X582" s="70">
        <f>'RESUMEN TOTAL'!AE693</f>
        <v>0</v>
      </c>
      <c r="Y582" s="70">
        <f>'RESUMEN TOTAL'!AF693</f>
        <v>0</v>
      </c>
      <c r="Z582" s="70">
        <f>'RESUMEN TOTAL'!AG693</f>
        <v>0</v>
      </c>
      <c r="AA582" s="70">
        <f>'RESUMEN TOTAL'!AH693</f>
        <v>0</v>
      </c>
      <c r="AB582" s="70">
        <f>'RESUMEN TOTAL'!AI693</f>
        <v>0</v>
      </c>
      <c r="AC582" s="70">
        <f>'RESUMEN TOTAL'!AJ693</f>
        <v>0</v>
      </c>
      <c r="AD582" s="70">
        <f>'RESUMEN TOTAL'!AK693</f>
        <v>0</v>
      </c>
      <c r="AE582" s="70">
        <f>'RESUMEN TOTAL'!AL693</f>
        <v>0</v>
      </c>
      <c r="AF582" s="70">
        <f>'RESUMEN TOTAL'!AM693</f>
        <v>0</v>
      </c>
      <c r="AG582" s="70">
        <f>'RESUMEN TOTAL'!AN693</f>
        <v>0</v>
      </c>
      <c r="AH582" s="70">
        <f>'RESUMEN TOTAL'!AO693</f>
        <v>0</v>
      </c>
      <c r="AI582" s="70">
        <f>'RESUMEN TOTAL'!AP693</f>
        <v>0</v>
      </c>
      <c r="AJ582" s="70">
        <f>'RESUMEN TOTAL'!AQ693</f>
        <v>0</v>
      </c>
    </row>
    <row r="583" spans="1:36" x14ac:dyDescent="0.25">
      <c r="A583">
        <f>'RESUMEN TOTAL'!A694</f>
        <v>0</v>
      </c>
      <c r="B583">
        <f>'RESUMEN TOTAL'!B694</f>
        <v>0</v>
      </c>
      <c r="C583">
        <f>'RESUMEN TOTAL'!D694</f>
        <v>0</v>
      </c>
      <c r="D583" s="30">
        <f>'RESUMEN TOTAL'!E694</f>
        <v>0</v>
      </c>
      <c r="E583" s="30">
        <f>'RESUMEN TOTAL'!F694</f>
        <v>0</v>
      </c>
      <c r="F583" s="70">
        <f>'RESUMEN TOTAL'!M694</f>
        <v>0</v>
      </c>
      <c r="G583" s="70">
        <f>'RESUMEN TOTAL'!N694</f>
        <v>0</v>
      </c>
      <c r="H583" s="70">
        <f>'RESUMEN TOTAL'!O694</f>
        <v>0</v>
      </c>
      <c r="I583" s="70">
        <f>'RESUMEN TOTAL'!P694</f>
        <v>0</v>
      </c>
      <c r="J583" s="70">
        <f>'RESUMEN TOTAL'!Q694</f>
        <v>0</v>
      </c>
      <c r="K583" s="70">
        <f>'RESUMEN TOTAL'!R694</f>
        <v>0</v>
      </c>
      <c r="L583" s="70">
        <f>'RESUMEN TOTAL'!S694</f>
        <v>0</v>
      </c>
      <c r="M583" s="70">
        <f>'RESUMEN TOTAL'!T694</f>
        <v>0</v>
      </c>
      <c r="N583" s="70">
        <f>'RESUMEN TOTAL'!U694</f>
        <v>0</v>
      </c>
      <c r="O583" s="70">
        <f>'RESUMEN TOTAL'!V694</f>
        <v>0</v>
      </c>
      <c r="P583" s="70">
        <f>'RESUMEN TOTAL'!W694</f>
        <v>0</v>
      </c>
      <c r="Q583" s="70">
        <f>'RESUMEN TOTAL'!X694</f>
        <v>0</v>
      </c>
      <c r="R583" s="70">
        <f>'RESUMEN TOTAL'!Y694</f>
        <v>0</v>
      </c>
      <c r="S583" s="70">
        <f>'RESUMEN TOTAL'!Z694</f>
        <v>0</v>
      </c>
      <c r="T583" s="70">
        <f>'RESUMEN TOTAL'!AA694</f>
        <v>0</v>
      </c>
      <c r="U583" s="70">
        <f>'RESUMEN TOTAL'!AB694</f>
        <v>0</v>
      </c>
      <c r="V583" s="70">
        <f>'RESUMEN TOTAL'!AC694</f>
        <v>0</v>
      </c>
      <c r="W583" s="70">
        <f>'RESUMEN TOTAL'!AD694</f>
        <v>0</v>
      </c>
      <c r="X583" s="70">
        <f>'RESUMEN TOTAL'!AE694</f>
        <v>0</v>
      </c>
      <c r="Y583" s="70">
        <f>'RESUMEN TOTAL'!AF694</f>
        <v>0</v>
      </c>
      <c r="Z583" s="70">
        <f>'RESUMEN TOTAL'!AG694</f>
        <v>0</v>
      </c>
      <c r="AA583" s="70">
        <f>'RESUMEN TOTAL'!AH694</f>
        <v>0</v>
      </c>
      <c r="AB583" s="70">
        <f>'RESUMEN TOTAL'!AI694</f>
        <v>0</v>
      </c>
      <c r="AC583" s="70">
        <f>'RESUMEN TOTAL'!AJ694</f>
        <v>0</v>
      </c>
      <c r="AD583" s="70">
        <f>'RESUMEN TOTAL'!AK694</f>
        <v>0</v>
      </c>
      <c r="AE583" s="70">
        <f>'RESUMEN TOTAL'!AL694</f>
        <v>0</v>
      </c>
      <c r="AF583" s="70">
        <f>'RESUMEN TOTAL'!AM694</f>
        <v>0</v>
      </c>
      <c r="AG583" s="70">
        <f>'RESUMEN TOTAL'!AN694</f>
        <v>0</v>
      </c>
      <c r="AH583" s="70">
        <f>'RESUMEN TOTAL'!AO694</f>
        <v>0</v>
      </c>
      <c r="AI583" s="70">
        <f>'RESUMEN TOTAL'!AP694</f>
        <v>0</v>
      </c>
      <c r="AJ583" s="70">
        <f>'RESUMEN TOTAL'!AQ694</f>
        <v>0</v>
      </c>
    </row>
    <row r="584" spans="1:36" x14ac:dyDescent="0.25">
      <c r="A584">
        <f>'RESUMEN TOTAL'!A695</f>
        <v>0</v>
      </c>
      <c r="B584">
        <f>'RESUMEN TOTAL'!B695</f>
        <v>0</v>
      </c>
      <c r="C584">
        <f>'RESUMEN TOTAL'!D695</f>
        <v>0</v>
      </c>
      <c r="D584" s="30">
        <f>'RESUMEN TOTAL'!E695</f>
        <v>0</v>
      </c>
      <c r="E584" s="30">
        <f>'RESUMEN TOTAL'!F695</f>
        <v>0</v>
      </c>
      <c r="F584" s="70">
        <f>'RESUMEN TOTAL'!M695</f>
        <v>0</v>
      </c>
      <c r="G584" s="70">
        <f>'RESUMEN TOTAL'!N695</f>
        <v>0</v>
      </c>
      <c r="H584" s="70">
        <f>'RESUMEN TOTAL'!O695</f>
        <v>0</v>
      </c>
      <c r="I584" s="70">
        <f>'RESUMEN TOTAL'!P695</f>
        <v>0</v>
      </c>
      <c r="J584" s="70">
        <f>'RESUMEN TOTAL'!Q695</f>
        <v>0</v>
      </c>
      <c r="K584" s="70">
        <f>'RESUMEN TOTAL'!R695</f>
        <v>0</v>
      </c>
      <c r="L584" s="70">
        <f>'RESUMEN TOTAL'!S695</f>
        <v>0</v>
      </c>
      <c r="M584" s="70">
        <f>'RESUMEN TOTAL'!T695</f>
        <v>0</v>
      </c>
      <c r="N584" s="70">
        <f>'RESUMEN TOTAL'!U695</f>
        <v>0</v>
      </c>
      <c r="O584" s="70">
        <f>'RESUMEN TOTAL'!V695</f>
        <v>0</v>
      </c>
      <c r="P584" s="70">
        <f>'RESUMEN TOTAL'!W695</f>
        <v>0</v>
      </c>
      <c r="Q584" s="70">
        <f>'RESUMEN TOTAL'!X695</f>
        <v>0</v>
      </c>
      <c r="R584" s="70">
        <f>'RESUMEN TOTAL'!Y695</f>
        <v>0</v>
      </c>
      <c r="S584" s="70">
        <f>'RESUMEN TOTAL'!Z695</f>
        <v>0</v>
      </c>
      <c r="T584" s="70">
        <f>'RESUMEN TOTAL'!AA695</f>
        <v>0</v>
      </c>
      <c r="U584" s="70">
        <f>'RESUMEN TOTAL'!AB695</f>
        <v>0</v>
      </c>
      <c r="V584" s="70">
        <f>'RESUMEN TOTAL'!AC695</f>
        <v>0</v>
      </c>
      <c r="W584" s="70">
        <f>'RESUMEN TOTAL'!AD695</f>
        <v>0</v>
      </c>
      <c r="X584" s="70">
        <f>'RESUMEN TOTAL'!AE695</f>
        <v>0</v>
      </c>
      <c r="Y584" s="70">
        <f>'RESUMEN TOTAL'!AF695</f>
        <v>0</v>
      </c>
      <c r="Z584" s="70">
        <f>'RESUMEN TOTAL'!AG695</f>
        <v>0</v>
      </c>
      <c r="AA584" s="70">
        <f>'RESUMEN TOTAL'!AH695</f>
        <v>0</v>
      </c>
      <c r="AB584" s="70">
        <f>'RESUMEN TOTAL'!AI695</f>
        <v>0</v>
      </c>
      <c r="AC584" s="70">
        <f>'RESUMEN TOTAL'!AJ695</f>
        <v>0</v>
      </c>
      <c r="AD584" s="70">
        <f>'RESUMEN TOTAL'!AK695</f>
        <v>0</v>
      </c>
      <c r="AE584" s="70">
        <f>'RESUMEN TOTAL'!AL695</f>
        <v>0</v>
      </c>
      <c r="AF584" s="70">
        <f>'RESUMEN TOTAL'!AM695</f>
        <v>0</v>
      </c>
      <c r="AG584" s="70">
        <f>'RESUMEN TOTAL'!AN695</f>
        <v>0</v>
      </c>
      <c r="AH584" s="70">
        <f>'RESUMEN TOTAL'!AO695</f>
        <v>0</v>
      </c>
      <c r="AI584" s="70">
        <f>'RESUMEN TOTAL'!AP695</f>
        <v>0</v>
      </c>
      <c r="AJ584" s="70">
        <f>'RESUMEN TOTAL'!AQ695</f>
        <v>0</v>
      </c>
    </row>
    <row r="585" spans="1:36" x14ac:dyDescent="0.25">
      <c r="A585">
        <f>'RESUMEN TOTAL'!A696</f>
        <v>0</v>
      </c>
      <c r="B585">
        <f>'RESUMEN TOTAL'!B696</f>
        <v>0</v>
      </c>
      <c r="C585">
        <f>'RESUMEN TOTAL'!D696</f>
        <v>0</v>
      </c>
      <c r="D585" s="30">
        <f>'RESUMEN TOTAL'!E696</f>
        <v>0</v>
      </c>
      <c r="E585" s="30">
        <f>'RESUMEN TOTAL'!F696</f>
        <v>0</v>
      </c>
      <c r="F585" s="70">
        <f>'RESUMEN TOTAL'!M696</f>
        <v>0</v>
      </c>
      <c r="G585" s="70">
        <f>'RESUMEN TOTAL'!N696</f>
        <v>0</v>
      </c>
      <c r="H585" s="70">
        <f>'RESUMEN TOTAL'!O696</f>
        <v>0</v>
      </c>
      <c r="I585" s="70">
        <f>'RESUMEN TOTAL'!P696</f>
        <v>0</v>
      </c>
      <c r="J585" s="70">
        <f>'RESUMEN TOTAL'!Q696</f>
        <v>0</v>
      </c>
      <c r="K585" s="70">
        <f>'RESUMEN TOTAL'!R696</f>
        <v>0</v>
      </c>
      <c r="L585" s="70">
        <f>'RESUMEN TOTAL'!S696</f>
        <v>0</v>
      </c>
      <c r="M585" s="70">
        <f>'RESUMEN TOTAL'!T696</f>
        <v>0</v>
      </c>
      <c r="N585" s="70">
        <f>'RESUMEN TOTAL'!U696</f>
        <v>0</v>
      </c>
      <c r="O585" s="70">
        <f>'RESUMEN TOTAL'!V696</f>
        <v>0</v>
      </c>
      <c r="P585" s="70">
        <f>'RESUMEN TOTAL'!W696</f>
        <v>0</v>
      </c>
      <c r="Q585" s="70">
        <f>'RESUMEN TOTAL'!X696</f>
        <v>0</v>
      </c>
      <c r="R585" s="70">
        <f>'RESUMEN TOTAL'!Y696</f>
        <v>0</v>
      </c>
      <c r="S585" s="70">
        <f>'RESUMEN TOTAL'!Z696</f>
        <v>0</v>
      </c>
      <c r="T585" s="70">
        <f>'RESUMEN TOTAL'!AA696</f>
        <v>0</v>
      </c>
      <c r="U585" s="70">
        <f>'RESUMEN TOTAL'!AB696</f>
        <v>0</v>
      </c>
      <c r="V585" s="70">
        <f>'RESUMEN TOTAL'!AC696</f>
        <v>0</v>
      </c>
      <c r="W585" s="70">
        <f>'RESUMEN TOTAL'!AD696</f>
        <v>0</v>
      </c>
      <c r="X585" s="70">
        <f>'RESUMEN TOTAL'!AE696</f>
        <v>0</v>
      </c>
      <c r="Y585" s="70">
        <f>'RESUMEN TOTAL'!AF696</f>
        <v>0</v>
      </c>
      <c r="Z585" s="70">
        <f>'RESUMEN TOTAL'!AG696</f>
        <v>0</v>
      </c>
      <c r="AA585" s="70">
        <f>'RESUMEN TOTAL'!AH696</f>
        <v>0</v>
      </c>
      <c r="AB585" s="70">
        <f>'RESUMEN TOTAL'!AI696</f>
        <v>0</v>
      </c>
      <c r="AC585" s="70">
        <f>'RESUMEN TOTAL'!AJ696</f>
        <v>0</v>
      </c>
      <c r="AD585" s="70">
        <f>'RESUMEN TOTAL'!AK696</f>
        <v>0</v>
      </c>
      <c r="AE585" s="70">
        <f>'RESUMEN TOTAL'!AL696</f>
        <v>0</v>
      </c>
      <c r="AF585" s="70">
        <f>'RESUMEN TOTAL'!AM696</f>
        <v>0</v>
      </c>
      <c r="AG585" s="70">
        <f>'RESUMEN TOTAL'!AN696</f>
        <v>0</v>
      </c>
      <c r="AH585" s="70">
        <f>'RESUMEN TOTAL'!AO696</f>
        <v>0</v>
      </c>
      <c r="AI585" s="70">
        <f>'RESUMEN TOTAL'!AP696</f>
        <v>0</v>
      </c>
      <c r="AJ585" s="70">
        <f>'RESUMEN TOTAL'!AQ696</f>
        <v>0</v>
      </c>
    </row>
    <row r="586" spans="1:36" x14ac:dyDescent="0.25">
      <c r="A586">
        <f>'RESUMEN TOTAL'!A697</f>
        <v>0</v>
      </c>
      <c r="B586">
        <f>'RESUMEN TOTAL'!B697</f>
        <v>0</v>
      </c>
      <c r="C586">
        <f>'RESUMEN TOTAL'!D697</f>
        <v>0</v>
      </c>
      <c r="D586" s="30">
        <f>'RESUMEN TOTAL'!E697</f>
        <v>0</v>
      </c>
      <c r="E586" s="30">
        <f>'RESUMEN TOTAL'!F697</f>
        <v>0</v>
      </c>
      <c r="F586" s="70">
        <f>'RESUMEN TOTAL'!M697</f>
        <v>0</v>
      </c>
      <c r="G586" s="70">
        <f>'RESUMEN TOTAL'!N697</f>
        <v>0</v>
      </c>
      <c r="H586" s="70">
        <f>'RESUMEN TOTAL'!O697</f>
        <v>0</v>
      </c>
      <c r="I586" s="70">
        <f>'RESUMEN TOTAL'!P697</f>
        <v>0</v>
      </c>
      <c r="J586" s="70">
        <f>'RESUMEN TOTAL'!Q697</f>
        <v>0</v>
      </c>
      <c r="K586" s="70">
        <f>'RESUMEN TOTAL'!R697</f>
        <v>0</v>
      </c>
      <c r="L586" s="70">
        <f>'RESUMEN TOTAL'!S697</f>
        <v>0</v>
      </c>
      <c r="M586" s="70">
        <f>'RESUMEN TOTAL'!T697</f>
        <v>0</v>
      </c>
      <c r="N586" s="70">
        <f>'RESUMEN TOTAL'!U697</f>
        <v>0</v>
      </c>
      <c r="O586" s="70">
        <f>'RESUMEN TOTAL'!V697</f>
        <v>0</v>
      </c>
      <c r="P586" s="70">
        <f>'RESUMEN TOTAL'!W697</f>
        <v>0</v>
      </c>
      <c r="Q586" s="70">
        <f>'RESUMEN TOTAL'!X697</f>
        <v>0</v>
      </c>
      <c r="R586" s="70">
        <f>'RESUMEN TOTAL'!Y697</f>
        <v>0</v>
      </c>
      <c r="S586" s="70">
        <f>'RESUMEN TOTAL'!Z697</f>
        <v>0</v>
      </c>
      <c r="T586" s="70">
        <f>'RESUMEN TOTAL'!AA697</f>
        <v>0</v>
      </c>
      <c r="U586" s="70">
        <f>'RESUMEN TOTAL'!AB697</f>
        <v>0</v>
      </c>
      <c r="V586" s="70">
        <f>'RESUMEN TOTAL'!AC697</f>
        <v>0</v>
      </c>
      <c r="W586" s="70">
        <f>'RESUMEN TOTAL'!AD697</f>
        <v>0</v>
      </c>
      <c r="X586" s="70">
        <f>'RESUMEN TOTAL'!AE697</f>
        <v>0</v>
      </c>
      <c r="Y586" s="70">
        <f>'RESUMEN TOTAL'!AF697</f>
        <v>0</v>
      </c>
      <c r="Z586" s="70">
        <f>'RESUMEN TOTAL'!AG697</f>
        <v>0</v>
      </c>
      <c r="AA586" s="70">
        <f>'RESUMEN TOTAL'!AH697</f>
        <v>0</v>
      </c>
      <c r="AB586" s="70">
        <f>'RESUMEN TOTAL'!AI697</f>
        <v>0</v>
      </c>
      <c r="AC586" s="70">
        <f>'RESUMEN TOTAL'!AJ697</f>
        <v>0</v>
      </c>
      <c r="AD586" s="70">
        <f>'RESUMEN TOTAL'!AK697</f>
        <v>0</v>
      </c>
      <c r="AE586" s="70">
        <f>'RESUMEN TOTAL'!AL697</f>
        <v>0</v>
      </c>
      <c r="AF586" s="70">
        <f>'RESUMEN TOTAL'!AM697</f>
        <v>0</v>
      </c>
      <c r="AG586" s="70">
        <f>'RESUMEN TOTAL'!AN697</f>
        <v>0</v>
      </c>
      <c r="AH586" s="70">
        <f>'RESUMEN TOTAL'!AO697</f>
        <v>0</v>
      </c>
      <c r="AI586" s="70">
        <f>'RESUMEN TOTAL'!AP697</f>
        <v>0</v>
      </c>
      <c r="AJ586" s="70">
        <f>'RESUMEN TOTAL'!AQ697</f>
        <v>0</v>
      </c>
    </row>
    <row r="587" spans="1:36" x14ac:dyDescent="0.25">
      <c r="A587">
        <f>'RESUMEN TOTAL'!A698</f>
        <v>0</v>
      </c>
      <c r="B587">
        <f>'RESUMEN TOTAL'!B698</f>
        <v>0</v>
      </c>
      <c r="C587">
        <f>'RESUMEN TOTAL'!D698</f>
        <v>0</v>
      </c>
      <c r="D587" s="30">
        <f>'RESUMEN TOTAL'!E698</f>
        <v>0</v>
      </c>
      <c r="E587" s="30">
        <f>'RESUMEN TOTAL'!F698</f>
        <v>0</v>
      </c>
      <c r="F587" s="70">
        <f>'RESUMEN TOTAL'!M698</f>
        <v>0</v>
      </c>
      <c r="G587" s="70">
        <f>'RESUMEN TOTAL'!N698</f>
        <v>0</v>
      </c>
      <c r="H587" s="70">
        <f>'RESUMEN TOTAL'!O698</f>
        <v>0</v>
      </c>
      <c r="I587" s="70">
        <f>'RESUMEN TOTAL'!P698</f>
        <v>0</v>
      </c>
      <c r="J587" s="70">
        <f>'RESUMEN TOTAL'!Q698</f>
        <v>0</v>
      </c>
      <c r="K587" s="70">
        <f>'RESUMEN TOTAL'!R698</f>
        <v>0</v>
      </c>
      <c r="L587" s="70">
        <f>'RESUMEN TOTAL'!S698</f>
        <v>0</v>
      </c>
      <c r="M587" s="70">
        <f>'RESUMEN TOTAL'!T698</f>
        <v>0</v>
      </c>
      <c r="N587" s="70">
        <f>'RESUMEN TOTAL'!U698</f>
        <v>0</v>
      </c>
      <c r="O587" s="70">
        <f>'RESUMEN TOTAL'!V698</f>
        <v>0</v>
      </c>
      <c r="P587" s="70">
        <f>'RESUMEN TOTAL'!W698</f>
        <v>0</v>
      </c>
      <c r="Q587" s="70">
        <f>'RESUMEN TOTAL'!X698</f>
        <v>0</v>
      </c>
      <c r="R587" s="70">
        <f>'RESUMEN TOTAL'!Y698</f>
        <v>0</v>
      </c>
      <c r="S587" s="70">
        <f>'RESUMEN TOTAL'!Z698</f>
        <v>0</v>
      </c>
      <c r="T587" s="70">
        <f>'RESUMEN TOTAL'!AA698</f>
        <v>0</v>
      </c>
      <c r="U587" s="70">
        <f>'RESUMEN TOTAL'!AB698</f>
        <v>0</v>
      </c>
      <c r="V587" s="70">
        <f>'RESUMEN TOTAL'!AC698</f>
        <v>0</v>
      </c>
      <c r="W587" s="70">
        <f>'RESUMEN TOTAL'!AD698</f>
        <v>0</v>
      </c>
      <c r="X587" s="70">
        <f>'RESUMEN TOTAL'!AE698</f>
        <v>0</v>
      </c>
      <c r="Y587" s="70">
        <f>'RESUMEN TOTAL'!AF698</f>
        <v>0</v>
      </c>
      <c r="Z587" s="70">
        <f>'RESUMEN TOTAL'!AG698</f>
        <v>0</v>
      </c>
      <c r="AA587" s="70">
        <f>'RESUMEN TOTAL'!AH698</f>
        <v>0</v>
      </c>
      <c r="AB587" s="70">
        <f>'RESUMEN TOTAL'!AI698</f>
        <v>0</v>
      </c>
      <c r="AC587" s="70">
        <f>'RESUMEN TOTAL'!AJ698</f>
        <v>0</v>
      </c>
      <c r="AD587" s="70">
        <f>'RESUMEN TOTAL'!AK698</f>
        <v>0</v>
      </c>
      <c r="AE587" s="70">
        <f>'RESUMEN TOTAL'!AL698</f>
        <v>0</v>
      </c>
      <c r="AF587" s="70">
        <f>'RESUMEN TOTAL'!AM698</f>
        <v>0</v>
      </c>
      <c r="AG587" s="70">
        <f>'RESUMEN TOTAL'!AN698</f>
        <v>0</v>
      </c>
      <c r="AH587" s="70">
        <f>'RESUMEN TOTAL'!AO698</f>
        <v>0</v>
      </c>
      <c r="AI587" s="70">
        <f>'RESUMEN TOTAL'!AP698</f>
        <v>0</v>
      </c>
      <c r="AJ587" s="70">
        <f>'RESUMEN TOTAL'!AQ698</f>
        <v>0</v>
      </c>
    </row>
    <row r="588" spans="1:36" x14ac:dyDescent="0.25">
      <c r="A588">
        <f>'RESUMEN TOTAL'!A699</f>
        <v>0</v>
      </c>
      <c r="B588">
        <f>'RESUMEN TOTAL'!B699</f>
        <v>0</v>
      </c>
      <c r="C588">
        <f>'RESUMEN TOTAL'!D699</f>
        <v>0</v>
      </c>
      <c r="D588" s="30">
        <f>'RESUMEN TOTAL'!E699</f>
        <v>0</v>
      </c>
      <c r="E588" s="30">
        <f>'RESUMEN TOTAL'!F699</f>
        <v>0</v>
      </c>
      <c r="F588" s="70">
        <f>'RESUMEN TOTAL'!M699</f>
        <v>0</v>
      </c>
      <c r="G588" s="70">
        <f>'RESUMEN TOTAL'!N699</f>
        <v>0</v>
      </c>
      <c r="H588" s="70">
        <f>'RESUMEN TOTAL'!O699</f>
        <v>0</v>
      </c>
      <c r="I588" s="70">
        <f>'RESUMEN TOTAL'!P699</f>
        <v>0</v>
      </c>
      <c r="J588" s="70">
        <f>'RESUMEN TOTAL'!Q699</f>
        <v>0</v>
      </c>
      <c r="K588" s="70">
        <f>'RESUMEN TOTAL'!R699</f>
        <v>0</v>
      </c>
      <c r="L588" s="70">
        <f>'RESUMEN TOTAL'!S699</f>
        <v>0</v>
      </c>
      <c r="M588" s="70">
        <f>'RESUMEN TOTAL'!T699</f>
        <v>0</v>
      </c>
      <c r="N588" s="70">
        <f>'RESUMEN TOTAL'!U699</f>
        <v>0</v>
      </c>
      <c r="O588" s="70">
        <f>'RESUMEN TOTAL'!V699</f>
        <v>0</v>
      </c>
      <c r="P588" s="70">
        <f>'RESUMEN TOTAL'!W699</f>
        <v>0</v>
      </c>
      <c r="Q588" s="70">
        <f>'RESUMEN TOTAL'!X699</f>
        <v>0</v>
      </c>
      <c r="R588" s="70">
        <f>'RESUMEN TOTAL'!Y699</f>
        <v>0</v>
      </c>
      <c r="S588" s="70">
        <f>'RESUMEN TOTAL'!Z699</f>
        <v>0</v>
      </c>
      <c r="T588" s="70">
        <f>'RESUMEN TOTAL'!AA699</f>
        <v>0</v>
      </c>
      <c r="U588" s="70">
        <f>'RESUMEN TOTAL'!AB699</f>
        <v>0</v>
      </c>
      <c r="V588" s="70">
        <f>'RESUMEN TOTAL'!AC699</f>
        <v>0</v>
      </c>
      <c r="W588" s="70">
        <f>'RESUMEN TOTAL'!AD699</f>
        <v>0</v>
      </c>
      <c r="X588" s="70">
        <f>'RESUMEN TOTAL'!AE699</f>
        <v>0</v>
      </c>
      <c r="Y588" s="70">
        <f>'RESUMEN TOTAL'!AF699</f>
        <v>0</v>
      </c>
      <c r="Z588" s="70">
        <f>'RESUMEN TOTAL'!AG699</f>
        <v>0</v>
      </c>
      <c r="AA588" s="70">
        <f>'RESUMEN TOTAL'!AH699</f>
        <v>0</v>
      </c>
      <c r="AB588" s="70">
        <f>'RESUMEN TOTAL'!AI699</f>
        <v>0</v>
      </c>
      <c r="AC588" s="70">
        <f>'RESUMEN TOTAL'!AJ699</f>
        <v>0</v>
      </c>
      <c r="AD588" s="70">
        <f>'RESUMEN TOTAL'!AK699</f>
        <v>0</v>
      </c>
      <c r="AE588" s="70">
        <f>'RESUMEN TOTAL'!AL699</f>
        <v>0</v>
      </c>
      <c r="AF588" s="70">
        <f>'RESUMEN TOTAL'!AM699</f>
        <v>0</v>
      </c>
      <c r="AG588" s="70">
        <f>'RESUMEN TOTAL'!AN699</f>
        <v>0</v>
      </c>
      <c r="AH588" s="70">
        <f>'RESUMEN TOTAL'!AO699</f>
        <v>0</v>
      </c>
      <c r="AI588" s="70">
        <f>'RESUMEN TOTAL'!AP699</f>
        <v>0</v>
      </c>
      <c r="AJ588" s="70">
        <f>'RESUMEN TOTAL'!AQ699</f>
        <v>0</v>
      </c>
    </row>
    <row r="589" spans="1:36" x14ac:dyDescent="0.25">
      <c r="A589">
        <f>'RESUMEN TOTAL'!A700</f>
        <v>0</v>
      </c>
      <c r="B589">
        <f>'RESUMEN TOTAL'!B700</f>
        <v>0</v>
      </c>
      <c r="C589">
        <f>'RESUMEN TOTAL'!D700</f>
        <v>0</v>
      </c>
      <c r="D589" s="30">
        <f>'RESUMEN TOTAL'!E700</f>
        <v>0</v>
      </c>
      <c r="E589" s="30">
        <f>'RESUMEN TOTAL'!F700</f>
        <v>0</v>
      </c>
      <c r="F589" s="70">
        <f>'RESUMEN TOTAL'!M700</f>
        <v>0</v>
      </c>
      <c r="G589" s="70">
        <f>'RESUMEN TOTAL'!N700</f>
        <v>0</v>
      </c>
      <c r="H589" s="70">
        <f>'RESUMEN TOTAL'!O700</f>
        <v>0</v>
      </c>
      <c r="I589" s="70">
        <f>'RESUMEN TOTAL'!P700</f>
        <v>0</v>
      </c>
      <c r="J589" s="70">
        <f>'RESUMEN TOTAL'!Q700</f>
        <v>0</v>
      </c>
      <c r="K589" s="70">
        <f>'RESUMEN TOTAL'!R700</f>
        <v>0</v>
      </c>
      <c r="L589" s="70">
        <f>'RESUMEN TOTAL'!S700</f>
        <v>0</v>
      </c>
      <c r="M589" s="70">
        <f>'RESUMEN TOTAL'!T700</f>
        <v>0</v>
      </c>
      <c r="N589" s="70">
        <f>'RESUMEN TOTAL'!U700</f>
        <v>0</v>
      </c>
      <c r="O589" s="70">
        <f>'RESUMEN TOTAL'!V700</f>
        <v>0</v>
      </c>
      <c r="P589" s="70">
        <f>'RESUMEN TOTAL'!W700</f>
        <v>0</v>
      </c>
      <c r="Q589" s="70">
        <f>'RESUMEN TOTAL'!X700</f>
        <v>0</v>
      </c>
      <c r="R589" s="70">
        <f>'RESUMEN TOTAL'!Y700</f>
        <v>0</v>
      </c>
      <c r="S589" s="70">
        <f>'RESUMEN TOTAL'!Z700</f>
        <v>0</v>
      </c>
      <c r="T589" s="70">
        <f>'RESUMEN TOTAL'!AA700</f>
        <v>0</v>
      </c>
      <c r="U589" s="70">
        <f>'RESUMEN TOTAL'!AB700</f>
        <v>0</v>
      </c>
      <c r="V589" s="70">
        <f>'RESUMEN TOTAL'!AC700</f>
        <v>0</v>
      </c>
      <c r="W589" s="70">
        <f>'RESUMEN TOTAL'!AD700</f>
        <v>0</v>
      </c>
      <c r="X589" s="70">
        <f>'RESUMEN TOTAL'!AE700</f>
        <v>0</v>
      </c>
      <c r="Y589" s="70">
        <f>'RESUMEN TOTAL'!AF700</f>
        <v>0</v>
      </c>
      <c r="Z589" s="70">
        <f>'RESUMEN TOTAL'!AG700</f>
        <v>0</v>
      </c>
      <c r="AA589" s="70">
        <f>'RESUMEN TOTAL'!AH700</f>
        <v>0</v>
      </c>
      <c r="AB589" s="70">
        <f>'RESUMEN TOTAL'!AI700</f>
        <v>0</v>
      </c>
      <c r="AC589" s="70">
        <f>'RESUMEN TOTAL'!AJ700</f>
        <v>0</v>
      </c>
      <c r="AD589" s="70">
        <f>'RESUMEN TOTAL'!AK700</f>
        <v>0</v>
      </c>
      <c r="AE589" s="70">
        <f>'RESUMEN TOTAL'!AL700</f>
        <v>0</v>
      </c>
      <c r="AF589" s="70">
        <f>'RESUMEN TOTAL'!AM700</f>
        <v>0</v>
      </c>
      <c r="AG589" s="70">
        <f>'RESUMEN TOTAL'!AN700</f>
        <v>0</v>
      </c>
      <c r="AH589" s="70">
        <f>'RESUMEN TOTAL'!AO700</f>
        <v>0</v>
      </c>
      <c r="AI589" s="70">
        <f>'RESUMEN TOTAL'!AP700</f>
        <v>0</v>
      </c>
      <c r="AJ589" s="70">
        <f>'RESUMEN TOTAL'!AQ700</f>
        <v>0</v>
      </c>
    </row>
    <row r="590" spans="1:36" x14ac:dyDescent="0.25">
      <c r="A590">
        <f>'RESUMEN TOTAL'!A701</f>
        <v>0</v>
      </c>
      <c r="B590">
        <f>'RESUMEN TOTAL'!B701</f>
        <v>0</v>
      </c>
      <c r="C590">
        <f>'RESUMEN TOTAL'!D701</f>
        <v>0</v>
      </c>
      <c r="D590" s="30">
        <f>'RESUMEN TOTAL'!E701</f>
        <v>0</v>
      </c>
      <c r="E590" s="30">
        <f>'RESUMEN TOTAL'!F701</f>
        <v>0</v>
      </c>
      <c r="F590" s="70">
        <f>'RESUMEN TOTAL'!M701</f>
        <v>0</v>
      </c>
      <c r="G590" s="70">
        <f>'RESUMEN TOTAL'!N701</f>
        <v>0</v>
      </c>
      <c r="H590" s="70">
        <f>'RESUMEN TOTAL'!O701</f>
        <v>0</v>
      </c>
      <c r="I590" s="70">
        <f>'RESUMEN TOTAL'!P701</f>
        <v>0</v>
      </c>
      <c r="J590" s="70">
        <f>'RESUMEN TOTAL'!Q701</f>
        <v>0</v>
      </c>
      <c r="K590" s="70">
        <f>'RESUMEN TOTAL'!R701</f>
        <v>0</v>
      </c>
      <c r="L590" s="70">
        <f>'RESUMEN TOTAL'!S701</f>
        <v>0</v>
      </c>
      <c r="M590" s="70">
        <f>'RESUMEN TOTAL'!T701</f>
        <v>0</v>
      </c>
      <c r="N590" s="70">
        <f>'RESUMEN TOTAL'!U701</f>
        <v>0</v>
      </c>
      <c r="O590" s="70">
        <f>'RESUMEN TOTAL'!V701</f>
        <v>0</v>
      </c>
      <c r="P590" s="70">
        <f>'RESUMEN TOTAL'!W701</f>
        <v>0</v>
      </c>
      <c r="Q590" s="70">
        <f>'RESUMEN TOTAL'!X701</f>
        <v>0</v>
      </c>
      <c r="R590" s="70">
        <f>'RESUMEN TOTAL'!Y701</f>
        <v>0</v>
      </c>
      <c r="S590" s="70">
        <f>'RESUMEN TOTAL'!Z701</f>
        <v>0</v>
      </c>
      <c r="T590" s="70">
        <f>'RESUMEN TOTAL'!AA701</f>
        <v>0</v>
      </c>
      <c r="U590" s="70">
        <f>'RESUMEN TOTAL'!AB701</f>
        <v>0</v>
      </c>
      <c r="V590" s="70">
        <f>'RESUMEN TOTAL'!AC701</f>
        <v>0</v>
      </c>
      <c r="W590" s="70">
        <f>'RESUMEN TOTAL'!AD701</f>
        <v>0</v>
      </c>
      <c r="X590" s="70">
        <f>'RESUMEN TOTAL'!AE701</f>
        <v>0</v>
      </c>
      <c r="Y590" s="70">
        <f>'RESUMEN TOTAL'!AF701</f>
        <v>0</v>
      </c>
      <c r="Z590" s="70">
        <f>'RESUMEN TOTAL'!AG701</f>
        <v>0</v>
      </c>
      <c r="AA590" s="70">
        <f>'RESUMEN TOTAL'!AH701</f>
        <v>0</v>
      </c>
      <c r="AB590" s="70">
        <f>'RESUMEN TOTAL'!AI701</f>
        <v>0</v>
      </c>
      <c r="AC590" s="70">
        <f>'RESUMEN TOTAL'!AJ701</f>
        <v>0</v>
      </c>
      <c r="AD590" s="70">
        <f>'RESUMEN TOTAL'!AK701</f>
        <v>0</v>
      </c>
      <c r="AE590" s="70">
        <f>'RESUMEN TOTAL'!AL701</f>
        <v>0</v>
      </c>
      <c r="AF590" s="70">
        <f>'RESUMEN TOTAL'!AM701</f>
        <v>0</v>
      </c>
      <c r="AG590" s="70">
        <f>'RESUMEN TOTAL'!AN701</f>
        <v>0</v>
      </c>
      <c r="AH590" s="70">
        <f>'RESUMEN TOTAL'!AO701</f>
        <v>0</v>
      </c>
      <c r="AI590" s="70">
        <f>'RESUMEN TOTAL'!AP701</f>
        <v>0</v>
      </c>
      <c r="AJ590" s="70">
        <f>'RESUMEN TOTAL'!AQ701</f>
        <v>0</v>
      </c>
    </row>
    <row r="591" spans="1:36" x14ac:dyDescent="0.25">
      <c r="A591">
        <f>'RESUMEN TOTAL'!A702</f>
        <v>0</v>
      </c>
      <c r="B591">
        <f>'RESUMEN TOTAL'!B702</f>
        <v>0</v>
      </c>
      <c r="C591">
        <f>'RESUMEN TOTAL'!D702</f>
        <v>0</v>
      </c>
      <c r="D591" s="30">
        <f>'RESUMEN TOTAL'!E702</f>
        <v>0</v>
      </c>
      <c r="E591" s="30">
        <f>'RESUMEN TOTAL'!F702</f>
        <v>0</v>
      </c>
      <c r="F591" s="70">
        <f>'RESUMEN TOTAL'!M702</f>
        <v>0</v>
      </c>
      <c r="G591" s="70">
        <f>'RESUMEN TOTAL'!N702</f>
        <v>0</v>
      </c>
      <c r="H591" s="70">
        <f>'RESUMEN TOTAL'!O702</f>
        <v>0</v>
      </c>
      <c r="I591" s="70">
        <f>'RESUMEN TOTAL'!P702</f>
        <v>0</v>
      </c>
      <c r="J591" s="70">
        <f>'RESUMEN TOTAL'!Q702</f>
        <v>0</v>
      </c>
      <c r="K591" s="70">
        <f>'RESUMEN TOTAL'!R702</f>
        <v>0</v>
      </c>
      <c r="L591" s="70">
        <f>'RESUMEN TOTAL'!S702</f>
        <v>0</v>
      </c>
      <c r="M591" s="70">
        <f>'RESUMEN TOTAL'!T702</f>
        <v>0</v>
      </c>
      <c r="N591" s="70">
        <f>'RESUMEN TOTAL'!U702</f>
        <v>0</v>
      </c>
      <c r="O591" s="70">
        <f>'RESUMEN TOTAL'!V702</f>
        <v>0</v>
      </c>
      <c r="P591" s="70">
        <f>'RESUMEN TOTAL'!W702</f>
        <v>0</v>
      </c>
      <c r="Q591" s="70">
        <f>'RESUMEN TOTAL'!X702</f>
        <v>0</v>
      </c>
      <c r="R591" s="70">
        <f>'RESUMEN TOTAL'!Y702</f>
        <v>0</v>
      </c>
      <c r="S591" s="70">
        <f>'RESUMEN TOTAL'!Z702</f>
        <v>0</v>
      </c>
      <c r="T591" s="70">
        <f>'RESUMEN TOTAL'!AA702</f>
        <v>0</v>
      </c>
      <c r="U591" s="70">
        <f>'RESUMEN TOTAL'!AB702</f>
        <v>0</v>
      </c>
      <c r="V591" s="70">
        <f>'RESUMEN TOTAL'!AC702</f>
        <v>0</v>
      </c>
      <c r="W591" s="70">
        <f>'RESUMEN TOTAL'!AD702</f>
        <v>0</v>
      </c>
      <c r="X591" s="70">
        <f>'RESUMEN TOTAL'!AE702</f>
        <v>0</v>
      </c>
      <c r="Y591" s="70">
        <f>'RESUMEN TOTAL'!AF702</f>
        <v>0</v>
      </c>
      <c r="Z591" s="70">
        <f>'RESUMEN TOTAL'!AG702</f>
        <v>0</v>
      </c>
      <c r="AA591" s="70">
        <f>'RESUMEN TOTAL'!AH702</f>
        <v>0</v>
      </c>
      <c r="AB591" s="70">
        <f>'RESUMEN TOTAL'!AI702</f>
        <v>0</v>
      </c>
      <c r="AC591" s="70">
        <f>'RESUMEN TOTAL'!AJ702</f>
        <v>0</v>
      </c>
      <c r="AD591" s="70">
        <f>'RESUMEN TOTAL'!AK702</f>
        <v>0</v>
      </c>
      <c r="AE591" s="70">
        <f>'RESUMEN TOTAL'!AL702</f>
        <v>0</v>
      </c>
      <c r="AF591" s="70">
        <f>'RESUMEN TOTAL'!AM702</f>
        <v>0</v>
      </c>
      <c r="AG591" s="70">
        <f>'RESUMEN TOTAL'!AN702</f>
        <v>0</v>
      </c>
      <c r="AH591" s="70">
        <f>'RESUMEN TOTAL'!AO702</f>
        <v>0</v>
      </c>
      <c r="AI591" s="70">
        <f>'RESUMEN TOTAL'!AP702</f>
        <v>0</v>
      </c>
      <c r="AJ591" s="70">
        <f>'RESUMEN TOTAL'!AQ702</f>
        <v>0</v>
      </c>
    </row>
    <row r="592" spans="1:36" x14ac:dyDescent="0.25">
      <c r="A592">
        <f>'RESUMEN TOTAL'!A703</f>
        <v>0</v>
      </c>
      <c r="B592">
        <f>'RESUMEN TOTAL'!B703</f>
        <v>0</v>
      </c>
      <c r="C592">
        <f>'RESUMEN TOTAL'!D703</f>
        <v>0</v>
      </c>
      <c r="D592" s="30">
        <f>'RESUMEN TOTAL'!E703</f>
        <v>0</v>
      </c>
      <c r="E592" s="30">
        <f>'RESUMEN TOTAL'!F703</f>
        <v>0</v>
      </c>
      <c r="F592" s="70">
        <f>'RESUMEN TOTAL'!M703</f>
        <v>0</v>
      </c>
      <c r="G592" s="70">
        <f>'RESUMEN TOTAL'!N703</f>
        <v>0</v>
      </c>
      <c r="H592" s="70">
        <f>'RESUMEN TOTAL'!O703</f>
        <v>0</v>
      </c>
      <c r="I592" s="70">
        <f>'RESUMEN TOTAL'!P703</f>
        <v>0</v>
      </c>
      <c r="J592" s="70">
        <f>'RESUMEN TOTAL'!Q703</f>
        <v>0</v>
      </c>
      <c r="K592" s="70">
        <f>'RESUMEN TOTAL'!R703</f>
        <v>0</v>
      </c>
      <c r="L592" s="70">
        <f>'RESUMEN TOTAL'!S703</f>
        <v>0</v>
      </c>
      <c r="M592" s="70">
        <f>'RESUMEN TOTAL'!T703</f>
        <v>0</v>
      </c>
      <c r="N592" s="70">
        <f>'RESUMEN TOTAL'!U703</f>
        <v>0</v>
      </c>
      <c r="O592" s="70">
        <f>'RESUMEN TOTAL'!V703</f>
        <v>0</v>
      </c>
      <c r="P592" s="70">
        <f>'RESUMEN TOTAL'!W703</f>
        <v>0</v>
      </c>
      <c r="Q592" s="70">
        <f>'RESUMEN TOTAL'!X703</f>
        <v>0</v>
      </c>
      <c r="R592" s="70">
        <f>'RESUMEN TOTAL'!Y703</f>
        <v>0</v>
      </c>
      <c r="S592" s="70">
        <f>'RESUMEN TOTAL'!Z703</f>
        <v>0</v>
      </c>
      <c r="T592" s="70">
        <f>'RESUMEN TOTAL'!AA703</f>
        <v>0</v>
      </c>
      <c r="U592" s="70">
        <f>'RESUMEN TOTAL'!AB703</f>
        <v>0</v>
      </c>
      <c r="V592" s="70">
        <f>'RESUMEN TOTAL'!AC703</f>
        <v>0</v>
      </c>
      <c r="W592" s="70">
        <f>'RESUMEN TOTAL'!AD703</f>
        <v>0</v>
      </c>
      <c r="X592" s="70">
        <f>'RESUMEN TOTAL'!AE703</f>
        <v>0</v>
      </c>
      <c r="Y592" s="70">
        <f>'RESUMEN TOTAL'!AF703</f>
        <v>0</v>
      </c>
      <c r="Z592" s="70">
        <f>'RESUMEN TOTAL'!AG703</f>
        <v>0</v>
      </c>
      <c r="AA592" s="70">
        <f>'RESUMEN TOTAL'!AH703</f>
        <v>0</v>
      </c>
      <c r="AB592" s="70">
        <f>'RESUMEN TOTAL'!AI703</f>
        <v>0</v>
      </c>
      <c r="AC592" s="70">
        <f>'RESUMEN TOTAL'!AJ703</f>
        <v>0</v>
      </c>
      <c r="AD592" s="70">
        <f>'RESUMEN TOTAL'!AK703</f>
        <v>0</v>
      </c>
      <c r="AE592" s="70">
        <f>'RESUMEN TOTAL'!AL703</f>
        <v>0</v>
      </c>
      <c r="AF592" s="70">
        <f>'RESUMEN TOTAL'!AM703</f>
        <v>0</v>
      </c>
      <c r="AG592" s="70">
        <f>'RESUMEN TOTAL'!AN703</f>
        <v>0</v>
      </c>
      <c r="AH592" s="70">
        <f>'RESUMEN TOTAL'!AO703</f>
        <v>0</v>
      </c>
      <c r="AI592" s="70">
        <f>'RESUMEN TOTAL'!AP703</f>
        <v>0</v>
      </c>
      <c r="AJ592" s="70">
        <f>'RESUMEN TOTAL'!AQ703</f>
        <v>0</v>
      </c>
    </row>
    <row r="593" spans="1:36" x14ac:dyDescent="0.25">
      <c r="A593">
        <f>'RESUMEN TOTAL'!A704</f>
        <v>0</v>
      </c>
      <c r="B593">
        <f>'RESUMEN TOTAL'!B704</f>
        <v>0</v>
      </c>
      <c r="C593">
        <f>'RESUMEN TOTAL'!D704</f>
        <v>0</v>
      </c>
      <c r="D593" s="30">
        <f>'RESUMEN TOTAL'!E704</f>
        <v>0</v>
      </c>
      <c r="E593" s="30">
        <f>'RESUMEN TOTAL'!F704</f>
        <v>0</v>
      </c>
      <c r="F593" s="70">
        <f>'RESUMEN TOTAL'!M704</f>
        <v>0</v>
      </c>
      <c r="G593" s="70">
        <f>'RESUMEN TOTAL'!N704</f>
        <v>0</v>
      </c>
      <c r="H593" s="70">
        <f>'RESUMEN TOTAL'!O704</f>
        <v>0</v>
      </c>
      <c r="I593" s="70">
        <f>'RESUMEN TOTAL'!P704</f>
        <v>0</v>
      </c>
      <c r="J593" s="70">
        <f>'RESUMEN TOTAL'!Q704</f>
        <v>0</v>
      </c>
      <c r="K593" s="70">
        <f>'RESUMEN TOTAL'!R704</f>
        <v>0</v>
      </c>
      <c r="L593" s="70">
        <f>'RESUMEN TOTAL'!S704</f>
        <v>0</v>
      </c>
      <c r="M593" s="70">
        <f>'RESUMEN TOTAL'!T704</f>
        <v>0</v>
      </c>
      <c r="N593" s="70">
        <f>'RESUMEN TOTAL'!U704</f>
        <v>0</v>
      </c>
      <c r="O593" s="70">
        <f>'RESUMEN TOTAL'!V704</f>
        <v>0</v>
      </c>
      <c r="P593" s="70">
        <f>'RESUMEN TOTAL'!W704</f>
        <v>0</v>
      </c>
      <c r="Q593" s="70">
        <f>'RESUMEN TOTAL'!X704</f>
        <v>0</v>
      </c>
      <c r="R593" s="70">
        <f>'RESUMEN TOTAL'!Y704</f>
        <v>0</v>
      </c>
      <c r="S593" s="70">
        <f>'RESUMEN TOTAL'!Z704</f>
        <v>0</v>
      </c>
      <c r="T593" s="70">
        <f>'RESUMEN TOTAL'!AA704</f>
        <v>0</v>
      </c>
      <c r="U593" s="70">
        <f>'RESUMEN TOTAL'!AB704</f>
        <v>0</v>
      </c>
      <c r="V593" s="70">
        <f>'RESUMEN TOTAL'!AC704</f>
        <v>0</v>
      </c>
      <c r="W593" s="70">
        <f>'RESUMEN TOTAL'!AD704</f>
        <v>0</v>
      </c>
      <c r="X593" s="70">
        <f>'RESUMEN TOTAL'!AE704</f>
        <v>0</v>
      </c>
      <c r="Y593" s="70">
        <f>'RESUMEN TOTAL'!AF704</f>
        <v>0</v>
      </c>
      <c r="Z593" s="70">
        <f>'RESUMEN TOTAL'!AG704</f>
        <v>0</v>
      </c>
      <c r="AA593" s="70">
        <f>'RESUMEN TOTAL'!AH704</f>
        <v>0</v>
      </c>
      <c r="AB593" s="70">
        <f>'RESUMEN TOTAL'!AI704</f>
        <v>0</v>
      </c>
      <c r="AC593" s="70">
        <f>'RESUMEN TOTAL'!AJ704</f>
        <v>0</v>
      </c>
      <c r="AD593" s="70">
        <f>'RESUMEN TOTAL'!AK704</f>
        <v>0</v>
      </c>
      <c r="AE593" s="70">
        <f>'RESUMEN TOTAL'!AL704</f>
        <v>0</v>
      </c>
      <c r="AF593" s="70">
        <f>'RESUMEN TOTAL'!AM704</f>
        <v>0</v>
      </c>
      <c r="AG593" s="70">
        <f>'RESUMEN TOTAL'!AN704</f>
        <v>0</v>
      </c>
      <c r="AH593" s="70">
        <f>'RESUMEN TOTAL'!AO704</f>
        <v>0</v>
      </c>
      <c r="AI593" s="70">
        <f>'RESUMEN TOTAL'!AP704</f>
        <v>0</v>
      </c>
      <c r="AJ593" s="70">
        <f>'RESUMEN TOTAL'!AQ704</f>
        <v>0</v>
      </c>
    </row>
    <row r="594" spans="1:36" x14ac:dyDescent="0.25">
      <c r="A594">
        <f>'RESUMEN TOTAL'!A705</f>
        <v>0</v>
      </c>
      <c r="B594">
        <f>'RESUMEN TOTAL'!B705</f>
        <v>0</v>
      </c>
      <c r="C594">
        <f>'RESUMEN TOTAL'!D705</f>
        <v>0</v>
      </c>
      <c r="D594" s="30">
        <f>'RESUMEN TOTAL'!E705</f>
        <v>0</v>
      </c>
      <c r="E594" s="30">
        <f>'RESUMEN TOTAL'!F705</f>
        <v>0</v>
      </c>
      <c r="F594" s="70">
        <f>'RESUMEN TOTAL'!M705</f>
        <v>0</v>
      </c>
      <c r="G594" s="70">
        <f>'RESUMEN TOTAL'!N705</f>
        <v>0</v>
      </c>
      <c r="H594" s="70">
        <f>'RESUMEN TOTAL'!O705</f>
        <v>0</v>
      </c>
      <c r="I594" s="70">
        <f>'RESUMEN TOTAL'!P705</f>
        <v>0</v>
      </c>
      <c r="J594" s="70">
        <f>'RESUMEN TOTAL'!Q705</f>
        <v>0</v>
      </c>
      <c r="K594" s="70">
        <f>'RESUMEN TOTAL'!R705</f>
        <v>0</v>
      </c>
      <c r="L594" s="70">
        <f>'RESUMEN TOTAL'!S705</f>
        <v>0</v>
      </c>
      <c r="M594" s="70">
        <f>'RESUMEN TOTAL'!T705</f>
        <v>0</v>
      </c>
      <c r="N594" s="70">
        <f>'RESUMEN TOTAL'!U705</f>
        <v>0</v>
      </c>
      <c r="O594" s="70">
        <f>'RESUMEN TOTAL'!V705</f>
        <v>0</v>
      </c>
      <c r="P594" s="70">
        <f>'RESUMEN TOTAL'!W705</f>
        <v>0</v>
      </c>
      <c r="Q594" s="70">
        <f>'RESUMEN TOTAL'!X705</f>
        <v>0</v>
      </c>
      <c r="R594" s="70">
        <f>'RESUMEN TOTAL'!Y705</f>
        <v>0</v>
      </c>
      <c r="S594" s="70">
        <f>'RESUMEN TOTAL'!Z705</f>
        <v>0</v>
      </c>
      <c r="T594" s="70">
        <f>'RESUMEN TOTAL'!AA705</f>
        <v>0</v>
      </c>
      <c r="U594" s="70">
        <f>'RESUMEN TOTAL'!AB705</f>
        <v>0</v>
      </c>
      <c r="V594" s="70">
        <f>'RESUMEN TOTAL'!AC705</f>
        <v>0</v>
      </c>
      <c r="W594" s="70">
        <f>'RESUMEN TOTAL'!AD705</f>
        <v>0</v>
      </c>
      <c r="X594" s="70">
        <f>'RESUMEN TOTAL'!AE705</f>
        <v>0</v>
      </c>
      <c r="Y594" s="70">
        <f>'RESUMEN TOTAL'!AF705</f>
        <v>0</v>
      </c>
      <c r="Z594" s="70">
        <f>'RESUMEN TOTAL'!AG705</f>
        <v>0</v>
      </c>
      <c r="AA594" s="70">
        <f>'RESUMEN TOTAL'!AH705</f>
        <v>0</v>
      </c>
      <c r="AB594" s="70">
        <f>'RESUMEN TOTAL'!AI705</f>
        <v>0</v>
      </c>
      <c r="AC594" s="70">
        <f>'RESUMEN TOTAL'!AJ705</f>
        <v>0</v>
      </c>
      <c r="AD594" s="70">
        <f>'RESUMEN TOTAL'!AK705</f>
        <v>0</v>
      </c>
      <c r="AE594" s="70">
        <f>'RESUMEN TOTAL'!AL705</f>
        <v>0</v>
      </c>
      <c r="AF594" s="70">
        <f>'RESUMEN TOTAL'!AM705</f>
        <v>0</v>
      </c>
      <c r="AG594" s="70">
        <f>'RESUMEN TOTAL'!AN705</f>
        <v>0</v>
      </c>
      <c r="AH594" s="70">
        <f>'RESUMEN TOTAL'!AO705</f>
        <v>0</v>
      </c>
      <c r="AI594" s="70">
        <f>'RESUMEN TOTAL'!AP705</f>
        <v>0</v>
      </c>
      <c r="AJ594" s="70">
        <f>'RESUMEN TOTAL'!AQ705</f>
        <v>0</v>
      </c>
    </row>
    <row r="595" spans="1:36" x14ac:dyDescent="0.25">
      <c r="A595">
        <f>'RESUMEN TOTAL'!A706</f>
        <v>0</v>
      </c>
      <c r="B595">
        <f>'RESUMEN TOTAL'!B706</f>
        <v>0</v>
      </c>
      <c r="C595">
        <f>'RESUMEN TOTAL'!D706</f>
        <v>0</v>
      </c>
      <c r="D595" s="30">
        <f>'RESUMEN TOTAL'!E706</f>
        <v>0</v>
      </c>
      <c r="E595" s="30">
        <f>'RESUMEN TOTAL'!F706</f>
        <v>0</v>
      </c>
      <c r="F595" s="70">
        <f>'RESUMEN TOTAL'!M706</f>
        <v>0</v>
      </c>
      <c r="G595" s="70">
        <f>'RESUMEN TOTAL'!N706</f>
        <v>0</v>
      </c>
      <c r="H595" s="70">
        <f>'RESUMEN TOTAL'!O706</f>
        <v>0</v>
      </c>
      <c r="I595" s="70">
        <f>'RESUMEN TOTAL'!P706</f>
        <v>0</v>
      </c>
      <c r="J595" s="70">
        <f>'RESUMEN TOTAL'!Q706</f>
        <v>0</v>
      </c>
      <c r="K595" s="70">
        <f>'RESUMEN TOTAL'!R706</f>
        <v>0</v>
      </c>
      <c r="L595" s="70">
        <f>'RESUMEN TOTAL'!S706</f>
        <v>0</v>
      </c>
      <c r="M595" s="70">
        <f>'RESUMEN TOTAL'!T706</f>
        <v>0</v>
      </c>
      <c r="N595" s="70">
        <f>'RESUMEN TOTAL'!U706</f>
        <v>0</v>
      </c>
      <c r="O595" s="70">
        <f>'RESUMEN TOTAL'!V706</f>
        <v>0</v>
      </c>
      <c r="P595" s="70">
        <f>'RESUMEN TOTAL'!W706</f>
        <v>0</v>
      </c>
      <c r="Q595" s="70">
        <f>'RESUMEN TOTAL'!X706</f>
        <v>0</v>
      </c>
      <c r="R595" s="70">
        <f>'RESUMEN TOTAL'!Y706</f>
        <v>0</v>
      </c>
      <c r="S595" s="70">
        <f>'RESUMEN TOTAL'!Z706</f>
        <v>0</v>
      </c>
      <c r="T595" s="70">
        <f>'RESUMEN TOTAL'!AA706</f>
        <v>0</v>
      </c>
      <c r="U595" s="70">
        <f>'RESUMEN TOTAL'!AB706</f>
        <v>0</v>
      </c>
      <c r="V595" s="70">
        <f>'RESUMEN TOTAL'!AC706</f>
        <v>0</v>
      </c>
      <c r="W595" s="70">
        <f>'RESUMEN TOTAL'!AD706</f>
        <v>0</v>
      </c>
      <c r="X595" s="70">
        <f>'RESUMEN TOTAL'!AE706</f>
        <v>0</v>
      </c>
      <c r="Y595" s="70">
        <f>'RESUMEN TOTAL'!AF706</f>
        <v>0</v>
      </c>
      <c r="Z595" s="70">
        <f>'RESUMEN TOTAL'!AG706</f>
        <v>0</v>
      </c>
      <c r="AA595" s="70">
        <f>'RESUMEN TOTAL'!AH706</f>
        <v>0</v>
      </c>
      <c r="AB595" s="70">
        <f>'RESUMEN TOTAL'!AI706</f>
        <v>0</v>
      </c>
      <c r="AC595" s="70">
        <f>'RESUMEN TOTAL'!AJ706</f>
        <v>0</v>
      </c>
      <c r="AD595" s="70">
        <f>'RESUMEN TOTAL'!AK706</f>
        <v>0</v>
      </c>
      <c r="AE595" s="70">
        <f>'RESUMEN TOTAL'!AL706</f>
        <v>0</v>
      </c>
      <c r="AF595" s="70">
        <f>'RESUMEN TOTAL'!AM706</f>
        <v>0</v>
      </c>
      <c r="AG595" s="70">
        <f>'RESUMEN TOTAL'!AN706</f>
        <v>0</v>
      </c>
      <c r="AH595" s="70">
        <f>'RESUMEN TOTAL'!AO706</f>
        <v>0</v>
      </c>
      <c r="AI595" s="70">
        <f>'RESUMEN TOTAL'!AP706</f>
        <v>0</v>
      </c>
      <c r="AJ595" s="70">
        <f>'RESUMEN TOTAL'!AQ706</f>
        <v>0</v>
      </c>
    </row>
    <row r="596" spans="1:36" x14ac:dyDescent="0.25">
      <c r="A596">
        <f>'RESUMEN TOTAL'!A707</f>
        <v>0</v>
      </c>
      <c r="B596">
        <f>'RESUMEN TOTAL'!B707</f>
        <v>0</v>
      </c>
      <c r="C596">
        <f>'RESUMEN TOTAL'!D707</f>
        <v>0</v>
      </c>
      <c r="D596" s="30">
        <f>'RESUMEN TOTAL'!E707</f>
        <v>0</v>
      </c>
      <c r="E596" s="30">
        <f>'RESUMEN TOTAL'!F707</f>
        <v>0</v>
      </c>
      <c r="F596" s="70">
        <f>'RESUMEN TOTAL'!M707</f>
        <v>0</v>
      </c>
      <c r="G596" s="70">
        <f>'RESUMEN TOTAL'!N707</f>
        <v>0</v>
      </c>
      <c r="H596" s="70">
        <f>'RESUMEN TOTAL'!O707</f>
        <v>0</v>
      </c>
      <c r="I596" s="70">
        <f>'RESUMEN TOTAL'!P707</f>
        <v>0</v>
      </c>
      <c r="J596" s="70">
        <f>'RESUMEN TOTAL'!Q707</f>
        <v>0</v>
      </c>
      <c r="K596" s="70">
        <f>'RESUMEN TOTAL'!R707</f>
        <v>0</v>
      </c>
      <c r="L596" s="70">
        <f>'RESUMEN TOTAL'!S707</f>
        <v>0</v>
      </c>
      <c r="M596" s="70">
        <f>'RESUMEN TOTAL'!T707</f>
        <v>0</v>
      </c>
      <c r="N596" s="70">
        <f>'RESUMEN TOTAL'!U707</f>
        <v>0</v>
      </c>
      <c r="O596" s="70">
        <f>'RESUMEN TOTAL'!V707</f>
        <v>0</v>
      </c>
      <c r="P596" s="70">
        <f>'RESUMEN TOTAL'!W707</f>
        <v>0</v>
      </c>
      <c r="Q596" s="70">
        <f>'RESUMEN TOTAL'!X707</f>
        <v>0</v>
      </c>
      <c r="R596" s="70">
        <f>'RESUMEN TOTAL'!Y707</f>
        <v>0</v>
      </c>
      <c r="S596" s="70">
        <f>'RESUMEN TOTAL'!Z707</f>
        <v>0</v>
      </c>
      <c r="T596" s="70">
        <f>'RESUMEN TOTAL'!AA707</f>
        <v>0</v>
      </c>
      <c r="U596" s="70">
        <f>'RESUMEN TOTAL'!AB707</f>
        <v>0</v>
      </c>
      <c r="V596" s="70">
        <f>'RESUMEN TOTAL'!AC707</f>
        <v>0</v>
      </c>
      <c r="W596" s="70">
        <f>'RESUMEN TOTAL'!AD707</f>
        <v>0</v>
      </c>
      <c r="X596" s="70">
        <f>'RESUMEN TOTAL'!AE707</f>
        <v>0</v>
      </c>
      <c r="Y596" s="70">
        <f>'RESUMEN TOTAL'!AF707</f>
        <v>0</v>
      </c>
      <c r="Z596" s="70">
        <f>'RESUMEN TOTAL'!AG707</f>
        <v>0</v>
      </c>
      <c r="AA596" s="70">
        <f>'RESUMEN TOTAL'!AH707</f>
        <v>0</v>
      </c>
      <c r="AB596" s="70">
        <f>'RESUMEN TOTAL'!AI707</f>
        <v>0</v>
      </c>
      <c r="AC596" s="70">
        <f>'RESUMEN TOTAL'!AJ707</f>
        <v>0</v>
      </c>
      <c r="AD596" s="70">
        <f>'RESUMEN TOTAL'!AK707</f>
        <v>0</v>
      </c>
      <c r="AE596" s="70">
        <f>'RESUMEN TOTAL'!AL707</f>
        <v>0</v>
      </c>
      <c r="AF596" s="70">
        <f>'RESUMEN TOTAL'!AM707</f>
        <v>0</v>
      </c>
      <c r="AG596" s="70">
        <f>'RESUMEN TOTAL'!AN707</f>
        <v>0</v>
      </c>
      <c r="AH596" s="70">
        <f>'RESUMEN TOTAL'!AO707</f>
        <v>0</v>
      </c>
      <c r="AI596" s="70">
        <f>'RESUMEN TOTAL'!AP707</f>
        <v>0</v>
      </c>
      <c r="AJ596" s="70">
        <f>'RESUMEN TOTAL'!AQ707</f>
        <v>0</v>
      </c>
    </row>
    <row r="597" spans="1:36" x14ac:dyDescent="0.25">
      <c r="A597">
        <f>'RESUMEN TOTAL'!A708</f>
        <v>0</v>
      </c>
      <c r="B597">
        <f>'RESUMEN TOTAL'!B708</f>
        <v>0</v>
      </c>
      <c r="C597">
        <f>'RESUMEN TOTAL'!D708</f>
        <v>0</v>
      </c>
      <c r="D597" s="30">
        <f>'RESUMEN TOTAL'!E708</f>
        <v>0</v>
      </c>
      <c r="E597" s="30">
        <f>'RESUMEN TOTAL'!F708</f>
        <v>0</v>
      </c>
      <c r="F597" s="70">
        <f>'RESUMEN TOTAL'!M708</f>
        <v>0</v>
      </c>
      <c r="G597" s="70">
        <f>'RESUMEN TOTAL'!N708</f>
        <v>0</v>
      </c>
      <c r="H597" s="70">
        <f>'RESUMEN TOTAL'!O708</f>
        <v>0</v>
      </c>
      <c r="I597" s="70">
        <f>'RESUMEN TOTAL'!P708</f>
        <v>0</v>
      </c>
      <c r="J597" s="70">
        <f>'RESUMEN TOTAL'!Q708</f>
        <v>0</v>
      </c>
      <c r="K597" s="70">
        <f>'RESUMEN TOTAL'!R708</f>
        <v>0</v>
      </c>
      <c r="L597" s="70">
        <f>'RESUMEN TOTAL'!S708</f>
        <v>0</v>
      </c>
      <c r="M597" s="70">
        <f>'RESUMEN TOTAL'!T708</f>
        <v>0</v>
      </c>
      <c r="N597" s="70">
        <f>'RESUMEN TOTAL'!U708</f>
        <v>0</v>
      </c>
      <c r="O597" s="70">
        <f>'RESUMEN TOTAL'!V708</f>
        <v>0</v>
      </c>
      <c r="P597" s="70">
        <f>'RESUMEN TOTAL'!W708</f>
        <v>0</v>
      </c>
      <c r="Q597" s="70">
        <f>'RESUMEN TOTAL'!X708</f>
        <v>0</v>
      </c>
      <c r="R597" s="70">
        <f>'RESUMEN TOTAL'!Y708</f>
        <v>0</v>
      </c>
      <c r="S597" s="70">
        <f>'RESUMEN TOTAL'!Z708</f>
        <v>0</v>
      </c>
      <c r="T597" s="70">
        <f>'RESUMEN TOTAL'!AA708</f>
        <v>0</v>
      </c>
      <c r="U597" s="70">
        <f>'RESUMEN TOTAL'!AB708</f>
        <v>0</v>
      </c>
      <c r="V597" s="70">
        <f>'RESUMEN TOTAL'!AC708</f>
        <v>0</v>
      </c>
      <c r="W597" s="70">
        <f>'RESUMEN TOTAL'!AD708</f>
        <v>0</v>
      </c>
      <c r="X597" s="70">
        <f>'RESUMEN TOTAL'!AE708</f>
        <v>0</v>
      </c>
      <c r="Y597" s="70">
        <f>'RESUMEN TOTAL'!AF708</f>
        <v>0</v>
      </c>
      <c r="Z597" s="70">
        <f>'RESUMEN TOTAL'!AG708</f>
        <v>0</v>
      </c>
      <c r="AA597" s="70">
        <f>'RESUMEN TOTAL'!AH708</f>
        <v>0</v>
      </c>
      <c r="AB597" s="70">
        <f>'RESUMEN TOTAL'!AI708</f>
        <v>0</v>
      </c>
      <c r="AC597" s="70">
        <f>'RESUMEN TOTAL'!AJ708</f>
        <v>0</v>
      </c>
      <c r="AD597" s="70">
        <f>'RESUMEN TOTAL'!AK708</f>
        <v>0</v>
      </c>
      <c r="AE597" s="70">
        <f>'RESUMEN TOTAL'!AL708</f>
        <v>0</v>
      </c>
      <c r="AF597" s="70">
        <f>'RESUMEN TOTAL'!AM708</f>
        <v>0</v>
      </c>
      <c r="AG597" s="70">
        <f>'RESUMEN TOTAL'!AN708</f>
        <v>0</v>
      </c>
      <c r="AH597" s="70">
        <f>'RESUMEN TOTAL'!AO708</f>
        <v>0</v>
      </c>
      <c r="AI597" s="70">
        <f>'RESUMEN TOTAL'!AP708</f>
        <v>0</v>
      </c>
      <c r="AJ597" s="70">
        <f>'RESUMEN TOTAL'!AQ708</f>
        <v>0</v>
      </c>
    </row>
    <row r="598" spans="1:36" x14ac:dyDescent="0.25">
      <c r="A598">
        <f>'RESUMEN TOTAL'!A709</f>
        <v>0</v>
      </c>
      <c r="B598">
        <f>'RESUMEN TOTAL'!B709</f>
        <v>0</v>
      </c>
      <c r="C598">
        <f>'RESUMEN TOTAL'!D709</f>
        <v>0</v>
      </c>
      <c r="D598" s="30">
        <f>'RESUMEN TOTAL'!E709</f>
        <v>0</v>
      </c>
      <c r="E598" s="30">
        <f>'RESUMEN TOTAL'!F709</f>
        <v>0</v>
      </c>
      <c r="F598" s="70">
        <f>'RESUMEN TOTAL'!M709</f>
        <v>0</v>
      </c>
      <c r="G598" s="70">
        <f>'RESUMEN TOTAL'!N709</f>
        <v>0</v>
      </c>
      <c r="H598" s="70">
        <f>'RESUMEN TOTAL'!O709</f>
        <v>0</v>
      </c>
      <c r="I598" s="70">
        <f>'RESUMEN TOTAL'!P709</f>
        <v>0</v>
      </c>
      <c r="J598" s="70">
        <f>'RESUMEN TOTAL'!Q709</f>
        <v>0</v>
      </c>
      <c r="K598" s="70">
        <f>'RESUMEN TOTAL'!R709</f>
        <v>0</v>
      </c>
      <c r="L598" s="70">
        <f>'RESUMEN TOTAL'!S709</f>
        <v>0</v>
      </c>
      <c r="M598" s="70">
        <f>'RESUMEN TOTAL'!T709</f>
        <v>0</v>
      </c>
      <c r="N598" s="70">
        <f>'RESUMEN TOTAL'!U709</f>
        <v>0</v>
      </c>
      <c r="O598" s="70">
        <f>'RESUMEN TOTAL'!V709</f>
        <v>0</v>
      </c>
      <c r="P598" s="70">
        <f>'RESUMEN TOTAL'!W709</f>
        <v>0</v>
      </c>
      <c r="Q598" s="70">
        <f>'RESUMEN TOTAL'!X709</f>
        <v>0</v>
      </c>
      <c r="R598" s="70">
        <f>'RESUMEN TOTAL'!Y709</f>
        <v>0</v>
      </c>
      <c r="S598" s="70">
        <f>'RESUMEN TOTAL'!Z709</f>
        <v>0</v>
      </c>
      <c r="T598" s="70">
        <f>'RESUMEN TOTAL'!AA709</f>
        <v>0</v>
      </c>
      <c r="U598" s="70">
        <f>'RESUMEN TOTAL'!AB709</f>
        <v>0</v>
      </c>
      <c r="V598" s="70">
        <f>'RESUMEN TOTAL'!AC709</f>
        <v>0</v>
      </c>
      <c r="W598" s="70">
        <f>'RESUMEN TOTAL'!AD709</f>
        <v>0</v>
      </c>
      <c r="X598" s="70">
        <f>'RESUMEN TOTAL'!AE709</f>
        <v>0</v>
      </c>
      <c r="Y598" s="70">
        <f>'RESUMEN TOTAL'!AF709</f>
        <v>0</v>
      </c>
      <c r="Z598" s="70">
        <f>'RESUMEN TOTAL'!AG709</f>
        <v>0</v>
      </c>
      <c r="AA598" s="70">
        <f>'RESUMEN TOTAL'!AH709</f>
        <v>0</v>
      </c>
      <c r="AB598" s="70">
        <f>'RESUMEN TOTAL'!AI709</f>
        <v>0</v>
      </c>
      <c r="AC598" s="70">
        <f>'RESUMEN TOTAL'!AJ709</f>
        <v>0</v>
      </c>
      <c r="AD598" s="70">
        <f>'RESUMEN TOTAL'!AK709</f>
        <v>0</v>
      </c>
      <c r="AE598" s="70">
        <f>'RESUMEN TOTAL'!AL709</f>
        <v>0</v>
      </c>
      <c r="AF598" s="70">
        <f>'RESUMEN TOTAL'!AM709</f>
        <v>0</v>
      </c>
      <c r="AG598" s="70">
        <f>'RESUMEN TOTAL'!AN709</f>
        <v>0</v>
      </c>
      <c r="AH598" s="70">
        <f>'RESUMEN TOTAL'!AO709</f>
        <v>0</v>
      </c>
      <c r="AI598" s="70">
        <f>'RESUMEN TOTAL'!AP709</f>
        <v>0</v>
      </c>
      <c r="AJ598" s="70">
        <f>'RESUMEN TOTAL'!AQ709</f>
        <v>0</v>
      </c>
    </row>
    <row r="599" spans="1:36" x14ac:dyDescent="0.25">
      <c r="A599">
        <f>'RESUMEN TOTAL'!A710</f>
        <v>0</v>
      </c>
      <c r="B599">
        <f>'RESUMEN TOTAL'!B710</f>
        <v>0</v>
      </c>
      <c r="C599">
        <f>'RESUMEN TOTAL'!D710</f>
        <v>0</v>
      </c>
      <c r="D599" s="30">
        <f>'RESUMEN TOTAL'!E710</f>
        <v>0</v>
      </c>
      <c r="E599" s="30">
        <f>'RESUMEN TOTAL'!F710</f>
        <v>0</v>
      </c>
      <c r="F599" s="70">
        <f>'RESUMEN TOTAL'!M710</f>
        <v>0</v>
      </c>
      <c r="G599" s="70">
        <f>'RESUMEN TOTAL'!N710</f>
        <v>0</v>
      </c>
      <c r="H599" s="70">
        <f>'RESUMEN TOTAL'!O710</f>
        <v>0</v>
      </c>
      <c r="I599" s="70">
        <f>'RESUMEN TOTAL'!P710</f>
        <v>0</v>
      </c>
      <c r="J599" s="70">
        <f>'RESUMEN TOTAL'!Q710</f>
        <v>0</v>
      </c>
      <c r="K599" s="70">
        <f>'RESUMEN TOTAL'!R710</f>
        <v>0</v>
      </c>
      <c r="L599" s="70">
        <f>'RESUMEN TOTAL'!S710</f>
        <v>0</v>
      </c>
      <c r="M599" s="70">
        <f>'RESUMEN TOTAL'!T710</f>
        <v>0</v>
      </c>
      <c r="N599" s="70">
        <f>'RESUMEN TOTAL'!U710</f>
        <v>0</v>
      </c>
      <c r="O599" s="70">
        <f>'RESUMEN TOTAL'!V710</f>
        <v>0</v>
      </c>
      <c r="P599" s="70">
        <f>'RESUMEN TOTAL'!W710</f>
        <v>0</v>
      </c>
      <c r="Q599" s="70">
        <f>'RESUMEN TOTAL'!X710</f>
        <v>0</v>
      </c>
      <c r="R599" s="70">
        <f>'RESUMEN TOTAL'!Y710</f>
        <v>0</v>
      </c>
      <c r="S599" s="70">
        <f>'RESUMEN TOTAL'!Z710</f>
        <v>0</v>
      </c>
      <c r="T599" s="70">
        <f>'RESUMEN TOTAL'!AA710</f>
        <v>0</v>
      </c>
      <c r="U599" s="70">
        <f>'RESUMEN TOTAL'!AB710</f>
        <v>0</v>
      </c>
      <c r="V599" s="70">
        <f>'RESUMEN TOTAL'!AC710</f>
        <v>0</v>
      </c>
      <c r="W599" s="70">
        <f>'RESUMEN TOTAL'!AD710</f>
        <v>0</v>
      </c>
      <c r="X599" s="70">
        <f>'RESUMEN TOTAL'!AE710</f>
        <v>0</v>
      </c>
      <c r="Y599" s="70">
        <f>'RESUMEN TOTAL'!AF710</f>
        <v>0</v>
      </c>
      <c r="Z599" s="70">
        <f>'RESUMEN TOTAL'!AG710</f>
        <v>0</v>
      </c>
      <c r="AA599" s="70">
        <f>'RESUMEN TOTAL'!AH710</f>
        <v>0</v>
      </c>
      <c r="AB599" s="70">
        <f>'RESUMEN TOTAL'!AI710</f>
        <v>0</v>
      </c>
      <c r="AC599" s="70">
        <f>'RESUMEN TOTAL'!AJ710</f>
        <v>0</v>
      </c>
      <c r="AD599" s="70">
        <f>'RESUMEN TOTAL'!AK710</f>
        <v>0</v>
      </c>
      <c r="AE599" s="70">
        <f>'RESUMEN TOTAL'!AL710</f>
        <v>0</v>
      </c>
      <c r="AF599" s="70">
        <f>'RESUMEN TOTAL'!AM710</f>
        <v>0</v>
      </c>
      <c r="AG599" s="70">
        <f>'RESUMEN TOTAL'!AN710</f>
        <v>0</v>
      </c>
      <c r="AH599" s="70">
        <f>'RESUMEN TOTAL'!AO710</f>
        <v>0</v>
      </c>
      <c r="AI599" s="70">
        <f>'RESUMEN TOTAL'!AP710</f>
        <v>0</v>
      </c>
      <c r="AJ599" s="70">
        <f>'RESUMEN TOTAL'!AQ710</f>
        <v>0</v>
      </c>
    </row>
    <row r="600" spans="1:36" x14ac:dyDescent="0.25">
      <c r="A600">
        <f>'RESUMEN TOTAL'!A711</f>
        <v>0</v>
      </c>
      <c r="B600">
        <f>'RESUMEN TOTAL'!B711</f>
        <v>0</v>
      </c>
      <c r="C600">
        <f>'RESUMEN TOTAL'!D711</f>
        <v>0</v>
      </c>
      <c r="D600" s="30">
        <f>'RESUMEN TOTAL'!E711</f>
        <v>0</v>
      </c>
      <c r="E600" s="30">
        <f>'RESUMEN TOTAL'!F711</f>
        <v>0</v>
      </c>
      <c r="F600" s="70">
        <f>'RESUMEN TOTAL'!M711</f>
        <v>0</v>
      </c>
      <c r="G600" s="70">
        <f>'RESUMEN TOTAL'!N711</f>
        <v>0</v>
      </c>
      <c r="H600" s="70">
        <f>'RESUMEN TOTAL'!O711</f>
        <v>0</v>
      </c>
      <c r="I600" s="70">
        <f>'RESUMEN TOTAL'!P711</f>
        <v>0</v>
      </c>
      <c r="J600" s="70">
        <f>'RESUMEN TOTAL'!Q711</f>
        <v>0</v>
      </c>
      <c r="K600" s="70">
        <f>'RESUMEN TOTAL'!R711</f>
        <v>0</v>
      </c>
      <c r="L600" s="70">
        <f>'RESUMEN TOTAL'!S711</f>
        <v>0</v>
      </c>
      <c r="M600" s="70">
        <f>'RESUMEN TOTAL'!T711</f>
        <v>0</v>
      </c>
      <c r="N600" s="70">
        <f>'RESUMEN TOTAL'!U711</f>
        <v>0</v>
      </c>
      <c r="O600" s="70">
        <f>'RESUMEN TOTAL'!V711</f>
        <v>0</v>
      </c>
      <c r="P600" s="70">
        <f>'RESUMEN TOTAL'!W711</f>
        <v>0</v>
      </c>
      <c r="Q600" s="70">
        <f>'RESUMEN TOTAL'!X711</f>
        <v>0</v>
      </c>
      <c r="R600" s="70">
        <f>'RESUMEN TOTAL'!Y711</f>
        <v>0</v>
      </c>
      <c r="S600" s="70">
        <f>'RESUMEN TOTAL'!Z711</f>
        <v>0</v>
      </c>
      <c r="T600" s="70">
        <f>'RESUMEN TOTAL'!AA711</f>
        <v>0</v>
      </c>
      <c r="U600" s="70">
        <f>'RESUMEN TOTAL'!AB711</f>
        <v>0</v>
      </c>
      <c r="V600" s="70">
        <f>'RESUMEN TOTAL'!AC711</f>
        <v>0</v>
      </c>
      <c r="W600" s="70">
        <f>'RESUMEN TOTAL'!AD711</f>
        <v>0</v>
      </c>
      <c r="X600" s="70">
        <f>'RESUMEN TOTAL'!AE711</f>
        <v>0</v>
      </c>
      <c r="Y600" s="70">
        <f>'RESUMEN TOTAL'!AF711</f>
        <v>0</v>
      </c>
      <c r="Z600" s="70">
        <f>'RESUMEN TOTAL'!AG711</f>
        <v>0</v>
      </c>
      <c r="AA600" s="70">
        <f>'RESUMEN TOTAL'!AH711</f>
        <v>0</v>
      </c>
      <c r="AB600" s="70">
        <f>'RESUMEN TOTAL'!AI711</f>
        <v>0</v>
      </c>
      <c r="AC600" s="70">
        <f>'RESUMEN TOTAL'!AJ711</f>
        <v>0</v>
      </c>
      <c r="AD600" s="70">
        <f>'RESUMEN TOTAL'!AK711</f>
        <v>0</v>
      </c>
      <c r="AE600" s="70">
        <f>'RESUMEN TOTAL'!AL711</f>
        <v>0</v>
      </c>
      <c r="AF600" s="70">
        <f>'RESUMEN TOTAL'!AM711</f>
        <v>0</v>
      </c>
      <c r="AG600" s="70">
        <f>'RESUMEN TOTAL'!AN711</f>
        <v>0</v>
      </c>
      <c r="AH600" s="70">
        <f>'RESUMEN TOTAL'!AO711</f>
        <v>0</v>
      </c>
      <c r="AI600" s="70">
        <f>'RESUMEN TOTAL'!AP711</f>
        <v>0</v>
      </c>
      <c r="AJ600" s="70">
        <f>'RESUMEN TOTAL'!AQ711</f>
        <v>0</v>
      </c>
    </row>
    <row r="601" spans="1:36" x14ac:dyDescent="0.25">
      <c r="A601">
        <f>'RESUMEN TOTAL'!A712</f>
        <v>0</v>
      </c>
      <c r="B601">
        <f>'RESUMEN TOTAL'!B712</f>
        <v>0</v>
      </c>
      <c r="C601">
        <f>'RESUMEN TOTAL'!D712</f>
        <v>0</v>
      </c>
      <c r="D601" s="30">
        <f>'RESUMEN TOTAL'!E712</f>
        <v>0</v>
      </c>
      <c r="E601" s="30">
        <f>'RESUMEN TOTAL'!F712</f>
        <v>0</v>
      </c>
      <c r="F601" s="70">
        <f>'RESUMEN TOTAL'!M712</f>
        <v>0</v>
      </c>
      <c r="G601" s="70">
        <f>'RESUMEN TOTAL'!N712</f>
        <v>0</v>
      </c>
      <c r="H601" s="70">
        <f>'RESUMEN TOTAL'!O712</f>
        <v>0</v>
      </c>
      <c r="I601" s="70">
        <f>'RESUMEN TOTAL'!P712</f>
        <v>0</v>
      </c>
      <c r="J601" s="70">
        <f>'RESUMEN TOTAL'!Q712</f>
        <v>0</v>
      </c>
      <c r="K601" s="70">
        <f>'RESUMEN TOTAL'!R712</f>
        <v>0</v>
      </c>
      <c r="L601" s="70">
        <f>'RESUMEN TOTAL'!S712</f>
        <v>0</v>
      </c>
      <c r="M601" s="70">
        <f>'RESUMEN TOTAL'!T712</f>
        <v>0</v>
      </c>
      <c r="N601" s="70">
        <f>'RESUMEN TOTAL'!U712</f>
        <v>0</v>
      </c>
      <c r="O601" s="70">
        <f>'RESUMEN TOTAL'!V712</f>
        <v>0</v>
      </c>
      <c r="P601" s="70">
        <f>'RESUMEN TOTAL'!W712</f>
        <v>0</v>
      </c>
      <c r="Q601" s="70">
        <f>'RESUMEN TOTAL'!X712</f>
        <v>0</v>
      </c>
      <c r="R601" s="70">
        <f>'RESUMEN TOTAL'!Y712</f>
        <v>0</v>
      </c>
      <c r="S601" s="70">
        <f>'RESUMEN TOTAL'!Z712</f>
        <v>0</v>
      </c>
      <c r="T601" s="70">
        <f>'RESUMEN TOTAL'!AA712</f>
        <v>0</v>
      </c>
      <c r="U601" s="70">
        <f>'RESUMEN TOTAL'!AB712</f>
        <v>0</v>
      </c>
      <c r="V601" s="70">
        <f>'RESUMEN TOTAL'!AC712</f>
        <v>0</v>
      </c>
      <c r="W601" s="70">
        <f>'RESUMEN TOTAL'!AD712</f>
        <v>0</v>
      </c>
      <c r="X601" s="70">
        <f>'RESUMEN TOTAL'!AE712</f>
        <v>0</v>
      </c>
      <c r="Y601" s="70">
        <f>'RESUMEN TOTAL'!AF712</f>
        <v>0</v>
      </c>
      <c r="Z601" s="70">
        <f>'RESUMEN TOTAL'!AG712</f>
        <v>0</v>
      </c>
      <c r="AA601" s="70">
        <f>'RESUMEN TOTAL'!AH712</f>
        <v>0</v>
      </c>
      <c r="AB601" s="70">
        <f>'RESUMEN TOTAL'!AI712</f>
        <v>0</v>
      </c>
      <c r="AC601" s="70">
        <f>'RESUMEN TOTAL'!AJ712</f>
        <v>0</v>
      </c>
      <c r="AD601" s="70">
        <f>'RESUMEN TOTAL'!AK712</f>
        <v>0</v>
      </c>
      <c r="AE601" s="70">
        <f>'RESUMEN TOTAL'!AL712</f>
        <v>0</v>
      </c>
      <c r="AF601" s="70">
        <f>'RESUMEN TOTAL'!AM712</f>
        <v>0</v>
      </c>
      <c r="AG601" s="70">
        <f>'RESUMEN TOTAL'!AN712</f>
        <v>0</v>
      </c>
      <c r="AH601" s="70">
        <f>'RESUMEN TOTAL'!AO712</f>
        <v>0</v>
      </c>
      <c r="AI601" s="70">
        <f>'RESUMEN TOTAL'!AP712</f>
        <v>0</v>
      </c>
      <c r="AJ601" s="70">
        <f>'RESUMEN TOTAL'!AQ712</f>
        <v>0</v>
      </c>
    </row>
    <row r="602" spans="1:36" x14ac:dyDescent="0.25">
      <c r="A602">
        <f>'RESUMEN TOTAL'!A713</f>
        <v>0</v>
      </c>
      <c r="B602">
        <f>'RESUMEN TOTAL'!B713</f>
        <v>0</v>
      </c>
      <c r="C602">
        <f>'RESUMEN TOTAL'!D713</f>
        <v>0</v>
      </c>
      <c r="D602" s="30">
        <f>'RESUMEN TOTAL'!E713</f>
        <v>0</v>
      </c>
      <c r="E602" s="30">
        <f>'RESUMEN TOTAL'!F713</f>
        <v>0</v>
      </c>
      <c r="F602" s="70">
        <f>'RESUMEN TOTAL'!M713</f>
        <v>0</v>
      </c>
      <c r="G602" s="70">
        <f>'RESUMEN TOTAL'!N713</f>
        <v>0</v>
      </c>
      <c r="H602" s="70">
        <f>'RESUMEN TOTAL'!O713</f>
        <v>0</v>
      </c>
      <c r="I602" s="70">
        <f>'RESUMEN TOTAL'!P713</f>
        <v>0</v>
      </c>
      <c r="J602" s="70">
        <f>'RESUMEN TOTAL'!Q713</f>
        <v>0</v>
      </c>
      <c r="K602" s="70">
        <f>'RESUMEN TOTAL'!R713</f>
        <v>0</v>
      </c>
      <c r="L602" s="70">
        <f>'RESUMEN TOTAL'!S713</f>
        <v>0</v>
      </c>
      <c r="M602" s="70">
        <f>'RESUMEN TOTAL'!T713</f>
        <v>0</v>
      </c>
      <c r="N602" s="70">
        <f>'RESUMEN TOTAL'!U713</f>
        <v>0</v>
      </c>
      <c r="O602" s="70">
        <f>'RESUMEN TOTAL'!V713</f>
        <v>0</v>
      </c>
      <c r="P602" s="70">
        <f>'RESUMEN TOTAL'!W713</f>
        <v>0</v>
      </c>
      <c r="Q602" s="70">
        <f>'RESUMEN TOTAL'!X713</f>
        <v>0</v>
      </c>
      <c r="R602" s="70">
        <f>'RESUMEN TOTAL'!Y713</f>
        <v>0</v>
      </c>
      <c r="S602" s="70">
        <f>'RESUMEN TOTAL'!Z713</f>
        <v>0</v>
      </c>
      <c r="T602" s="70">
        <f>'RESUMEN TOTAL'!AA713</f>
        <v>0</v>
      </c>
      <c r="U602" s="70">
        <f>'RESUMEN TOTAL'!AB713</f>
        <v>0</v>
      </c>
      <c r="V602" s="70">
        <f>'RESUMEN TOTAL'!AC713</f>
        <v>0</v>
      </c>
      <c r="W602" s="70">
        <f>'RESUMEN TOTAL'!AD713</f>
        <v>0</v>
      </c>
      <c r="X602" s="70">
        <f>'RESUMEN TOTAL'!AE713</f>
        <v>0</v>
      </c>
      <c r="Y602" s="70">
        <f>'RESUMEN TOTAL'!AF713</f>
        <v>0</v>
      </c>
      <c r="Z602" s="70">
        <f>'RESUMEN TOTAL'!AG713</f>
        <v>0</v>
      </c>
      <c r="AA602" s="70">
        <f>'RESUMEN TOTAL'!AH713</f>
        <v>0</v>
      </c>
      <c r="AB602" s="70">
        <f>'RESUMEN TOTAL'!AI713</f>
        <v>0</v>
      </c>
      <c r="AC602" s="70">
        <f>'RESUMEN TOTAL'!AJ713</f>
        <v>0</v>
      </c>
      <c r="AD602" s="70">
        <f>'RESUMEN TOTAL'!AK713</f>
        <v>0</v>
      </c>
      <c r="AE602" s="70">
        <f>'RESUMEN TOTAL'!AL713</f>
        <v>0</v>
      </c>
      <c r="AF602" s="70">
        <f>'RESUMEN TOTAL'!AM713</f>
        <v>0</v>
      </c>
      <c r="AG602" s="70">
        <f>'RESUMEN TOTAL'!AN713</f>
        <v>0</v>
      </c>
      <c r="AH602" s="70">
        <f>'RESUMEN TOTAL'!AO713</f>
        <v>0</v>
      </c>
      <c r="AI602" s="70">
        <f>'RESUMEN TOTAL'!AP713</f>
        <v>0</v>
      </c>
      <c r="AJ602" s="70">
        <f>'RESUMEN TOTAL'!AQ713</f>
        <v>0</v>
      </c>
    </row>
    <row r="603" spans="1:36" x14ac:dyDescent="0.25">
      <c r="A603">
        <f>'RESUMEN TOTAL'!A714</f>
        <v>0</v>
      </c>
      <c r="B603">
        <f>'RESUMEN TOTAL'!B714</f>
        <v>0</v>
      </c>
      <c r="C603">
        <f>'RESUMEN TOTAL'!D714</f>
        <v>0</v>
      </c>
      <c r="D603" s="30">
        <f>'RESUMEN TOTAL'!E714</f>
        <v>0</v>
      </c>
      <c r="E603" s="30">
        <f>'RESUMEN TOTAL'!F714</f>
        <v>0</v>
      </c>
      <c r="F603" s="70">
        <f>'RESUMEN TOTAL'!M714</f>
        <v>0</v>
      </c>
      <c r="G603" s="70">
        <f>'RESUMEN TOTAL'!N714</f>
        <v>0</v>
      </c>
      <c r="H603" s="70">
        <f>'RESUMEN TOTAL'!O714</f>
        <v>0</v>
      </c>
      <c r="I603" s="70">
        <f>'RESUMEN TOTAL'!P714</f>
        <v>0</v>
      </c>
      <c r="J603" s="70">
        <f>'RESUMEN TOTAL'!Q714</f>
        <v>0</v>
      </c>
      <c r="K603" s="70">
        <f>'RESUMEN TOTAL'!R714</f>
        <v>0</v>
      </c>
      <c r="L603" s="70">
        <f>'RESUMEN TOTAL'!S714</f>
        <v>0</v>
      </c>
      <c r="M603" s="70">
        <f>'RESUMEN TOTAL'!T714</f>
        <v>0</v>
      </c>
      <c r="N603" s="70">
        <f>'RESUMEN TOTAL'!U714</f>
        <v>0</v>
      </c>
      <c r="O603" s="70">
        <f>'RESUMEN TOTAL'!V714</f>
        <v>0</v>
      </c>
      <c r="P603" s="70">
        <f>'RESUMEN TOTAL'!W714</f>
        <v>0</v>
      </c>
      <c r="Q603" s="70">
        <f>'RESUMEN TOTAL'!X714</f>
        <v>0</v>
      </c>
      <c r="R603" s="70">
        <f>'RESUMEN TOTAL'!Y714</f>
        <v>0</v>
      </c>
      <c r="S603" s="70">
        <f>'RESUMEN TOTAL'!Z714</f>
        <v>0</v>
      </c>
      <c r="T603" s="70">
        <f>'RESUMEN TOTAL'!AA714</f>
        <v>0</v>
      </c>
      <c r="U603" s="70">
        <f>'RESUMEN TOTAL'!AB714</f>
        <v>0</v>
      </c>
      <c r="V603" s="70">
        <f>'RESUMEN TOTAL'!AC714</f>
        <v>0</v>
      </c>
      <c r="W603" s="70">
        <f>'RESUMEN TOTAL'!AD714</f>
        <v>0</v>
      </c>
      <c r="X603" s="70">
        <f>'RESUMEN TOTAL'!AE714</f>
        <v>0</v>
      </c>
      <c r="Y603" s="70">
        <f>'RESUMEN TOTAL'!AF714</f>
        <v>0</v>
      </c>
      <c r="Z603" s="70">
        <f>'RESUMEN TOTAL'!AG714</f>
        <v>0</v>
      </c>
      <c r="AA603" s="70">
        <f>'RESUMEN TOTAL'!AH714</f>
        <v>0</v>
      </c>
      <c r="AB603" s="70">
        <f>'RESUMEN TOTAL'!AI714</f>
        <v>0</v>
      </c>
      <c r="AC603" s="70">
        <f>'RESUMEN TOTAL'!AJ714</f>
        <v>0</v>
      </c>
      <c r="AD603" s="70">
        <f>'RESUMEN TOTAL'!AK714</f>
        <v>0</v>
      </c>
      <c r="AE603" s="70">
        <f>'RESUMEN TOTAL'!AL714</f>
        <v>0</v>
      </c>
      <c r="AF603" s="70">
        <f>'RESUMEN TOTAL'!AM714</f>
        <v>0</v>
      </c>
      <c r="AG603" s="70">
        <f>'RESUMEN TOTAL'!AN714</f>
        <v>0</v>
      </c>
      <c r="AH603" s="70">
        <f>'RESUMEN TOTAL'!AO714</f>
        <v>0</v>
      </c>
      <c r="AI603" s="70">
        <f>'RESUMEN TOTAL'!AP714</f>
        <v>0</v>
      </c>
      <c r="AJ603" s="70">
        <f>'RESUMEN TOTAL'!AQ714</f>
        <v>0</v>
      </c>
    </row>
    <row r="604" spans="1:36" x14ac:dyDescent="0.25">
      <c r="A604">
        <f>'RESUMEN TOTAL'!A715</f>
        <v>0</v>
      </c>
      <c r="B604">
        <f>'RESUMEN TOTAL'!B715</f>
        <v>0</v>
      </c>
      <c r="C604">
        <f>'RESUMEN TOTAL'!D715</f>
        <v>0</v>
      </c>
      <c r="D604" s="30">
        <f>'RESUMEN TOTAL'!E715</f>
        <v>0</v>
      </c>
      <c r="E604" s="30">
        <f>'RESUMEN TOTAL'!F715</f>
        <v>0</v>
      </c>
      <c r="F604" s="70">
        <f>'RESUMEN TOTAL'!M715</f>
        <v>0</v>
      </c>
      <c r="G604" s="70">
        <f>'RESUMEN TOTAL'!N715</f>
        <v>0</v>
      </c>
      <c r="H604" s="70">
        <f>'RESUMEN TOTAL'!O715</f>
        <v>0</v>
      </c>
      <c r="I604" s="70">
        <f>'RESUMEN TOTAL'!P715</f>
        <v>0</v>
      </c>
      <c r="J604" s="70">
        <f>'RESUMEN TOTAL'!Q715</f>
        <v>0</v>
      </c>
      <c r="K604" s="70">
        <f>'RESUMEN TOTAL'!R715</f>
        <v>0</v>
      </c>
      <c r="L604" s="70">
        <f>'RESUMEN TOTAL'!S715</f>
        <v>0</v>
      </c>
      <c r="M604" s="70">
        <f>'RESUMEN TOTAL'!T715</f>
        <v>0</v>
      </c>
      <c r="N604" s="70">
        <f>'RESUMEN TOTAL'!U715</f>
        <v>0</v>
      </c>
      <c r="O604" s="70">
        <f>'RESUMEN TOTAL'!V715</f>
        <v>0</v>
      </c>
      <c r="P604" s="70">
        <f>'RESUMEN TOTAL'!W715</f>
        <v>0</v>
      </c>
      <c r="Q604" s="70">
        <f>'RESUMEN TOTAL'!X715</f>
        <v>0</v>
      </c>
      <c r="R604" s="70">
        <f>'RESUMEN TOTAL'!Y715</f>
        <v>0</v>
      </c>
      <c r="S604" s="70">
        <f>'RESUMEN TOTAL'!Z715</f>
        <v>0</v>
      </c>
      <c r="T604" s="70">
        <f>'RESUMEN TOTAL'!AA715</f>
        <v>0</v>
      </c>
      <c r="U604" s="70">
        <f>'RESUMEN TOTAL'!AB715</f>
        <v>0</v>
      </c>
      <c r="V604" s="70">
        <f>'RESUMEN TOTAL'!AC715</f>
        <v>0</v>
      </c>
      <c r="W604" s="70">
        <f>'RESUMEN TOTAL'!AD715</f>
        <v>0</v>
      </c>
      <c r="X604" s="70">
        <f>'RESUMEN TOTAL'!AE715</f>
        <v>0</v>
      </c>
      <c r="Y604" s="70">
        <f>'RESUMEN TOTAL'!AF715</f>
        <v>0</v>
      </c>
      <c r="Z604" s="70">
        <f>'RESUMEN TOTAL'!AG715</f>
        <v>0</v>
      </c>
      <c r="AA604" s="70">
        <f>'RESUMEN TOTAL'!AH715</f>
        <v>0</v>
      </c>
      <c r="AB604" s="70">
        <f>'RESUMEN TOTAL'!AI715</f>
        <v>0</v>
      </c>
      <c r="AC604" s="70">
        <f>'RESUMEN TOTAL'!AJ715</f>
        <v>0</v>
      </c>
      <c r="AD604" s="70">
        <f>'RESUMEN TOTAL'!AK715</f>
        <v>0</v>
      </c>
      <c r="AE604" s="70">
        <f>'RESUMEN TOTAL'!AL715</f>
        <v>0</v>
      </c>
      <c r="AF604" s="70">
        <f>'RESUMEN TOTAL'!AM715</f>
        <v>0</v>
      </c>
      <c r="AG604" s="70">
        <f>'RESUMEN TOTAL'!AN715</f>
        <v>0</v>
      </c>
      <c r="AH604" s="70">
        <f>'RESUMEN TOTAL'!AO715</f>
        <v>0</v>
      </c>
      <c r="AI604" s="70">
        <f>'RESUMEN TOTAL'!AP715</f>
        <v>0</v>
      </c>
      <c r="AJ604" s="70">
        <f>'RESUMEN TOTAL'!AQ715</f>
        <v>0</v>
      </c>
    </row>
    <row r="605" spans="1:36" x14ac:dyDescent="0.25">
      <c r="A605">
        <f>'RESUMEN TOTAL'!A716</f>
        <v>0</v>
      </c>
      <c r="B605">
        <f>'RESUMEN TOTAL'!B716</f>
        <v>0</v>
      </c>
      <c r="C605">
        <f>'RESUMEN TOTAL'!D716</f>
        <v>0</v>
      </c>
      <c r="D605" s="30">
        <f>'RESUMEN TOTAL'!E716</f>
        <v>0</v>
      </c>
      <c r="E605" s="30">
        <f>'RESUMEN TOTAL'!F716</f>
        <v>0</v>
      </c>
      <c r="F605" s="70">
        <f>'RESUMEN TOTAL'!M716</f>
        <v>0</v>
      </c>
      <c r="G605" s="70">
        <f>'RESUMEN TOTAL'!N716</f>
        <v>0</v>
      </c>
      <c r="H605" s="70">
        <f>'RESUMEN TOTAL'!O716</f>
        <v>0</v>
      </c>
      <c r="I605" s="70">
        <f>'RESUMEN TOTAL'!P716</f>
        <v>0</v>
      </c>
      <c r="J605" s="70">
        <f>'RESUMEN TOTAL'!Q716</f>
        <v>0</v>
      </c>
      <c r="K605" s="70">
        <f>'RESUMEN TOTAL'!R716</f>
        <v>0</v>
      </c>
      <c r="L605" s="70">
        <f>'RESUMEN TOTAL'!S716</f>
        <v>0</v>
      </c>
      <c r="M605" s="70">
        <f>'RESUMEN TOTAL'!T716</f>
        <v>0</v>
      </c>
      <c r="N605" s="70">
        <f>'RESUMEN TOTAL'!U716</f>
        <v>0</v>
      </c>
      <c r="O605" s="70">
        <f>'RESUMEN TOTAL'!V716</f>
        <v>0</v>
      </c>
      <c r="P605" s="70">
        <f>'RESUMEN TOTAL'!W716</f>
        <v>0</v>
      </c>
      <c r="Q605" s="70">
        <f>'RESUMEN TOTAL'!X716</f>
        <v>0</v>
      </c>
      <c r="R605" s="70">
        <f>'RESUMEN TOTAL'!Y716</f>
        <v>0</v>
      </c>
      <c r="S605" s="70">
        <f>'RESUMEN TOTAL'!Z716</f>
        <v>0</v>
      </c>
      <c r="T605" s="70">
        <f>'RESUMEN TOTAL'!AA716</f>
        <v>0</v>
      </c>
      <c r="U605" s="70">
        <f>'RESUMEN TOTAL'!AB716</f>
        <v>0</v>
      </c>
      <c r="V605" s="70">
        <f>'RESUMEN TOTAL'!AC716</f>
        <v>0</v>
      </c>
      <c r="W605" s="70">
        <f>'RESUMEN TOTAL'!AD716</f>
        <v>0</v>
      </c>
      <c r="X605" s="70">
        <f>'RESUMEN TOTAL'!AE716</f>
        <v>0</v>
      </c>
      <c r="Y605" s="70">
        <f>'RESUMEN TOTAL'!AF716</f>
        <v>0</v>
      </c>
      <c r="Z605" s="70">
        <f>'RESUMEN TOTAL'!AG716</f>
        <v>0</v>
      </c>
      <c r="AA605" s="70">
        <f>'RESUMEN TOTAL'!AH716</f>
        <v>0</v>
      </c>
      <c r="AB605" s="70">
        <f>'RESUMEN TOTAL'!AI716</f>
        <v>0</v>
      </c>
      <c r="AC605" s="70">
        <f>'RESUMEN TOTAL'!AJ716</f>
        <v>0</v>
      </c>
      <c r="AD605" s="70">
        <f>'RESUMEN TOTAL'!AK716</f>
        <v>0</v>
      </c>
      <c r="AE605" s="70">
        <f>'RESUMEN TOTAL'!AL716</f>
        <v>0</v>
      </c>
      <c r="AF605" s="70">
        <f>'RESUMEN TOTAL'!AM716</f>
        <v>0</v>
      </c>
      <c r="AG605" s="70">
        <f>'RESUMEN TOTAL'!AN716</f>
        <v>0</v>
      </c>
      <c r="AH605" s="70">
        <f>'RESUMEN TOTAL'!AO716</f>
        <v>0</v>
      </c>
      <c r="AI605" s="70">
        <f>'RESUMEN TOTAL'!AP716</f>
        <v>0</v>
      </c>
      <c r="AJ605" s="70">
        <f>'RESUMEN TOTAL'!AQ716</f>
        <v>0</v>
      </c>
    </row>
    <row r="606" spans="1:36" x14ac:dyDescent="0.25">
      <c r="A606">
        <f>'RESUMEN TOTAL'!A717</f>
        <v>0</v>
      </c>
      <c r="B606">
        <f>'RESUMEN TOTAL'!B717</f>
        <v>0</v>
      </c>
      <c r="C606">
        <f>'RESUMEN TOTAL'!D717</f>
        <v>0</v>
      </c>
      <c r="D606" s="30">
        <f>'RESUMEN TOTAL'!E717</f>
        <v>0</v>
      </c>
      <c r="E606" s="30">
        <f>'RESUMEN TOTAL'!F717</f>
        <v>0</v>
      </c>
      <c r="F606" s="70">
        <f>'RESUMEN TOTAL'!M717</f>
        <v>0</v>
      </c>
      <c r="G606" s="70">
        <f>'RESUMEN TOTAL'!N717</f>
        <v>0</v>
      </c>
      <c r="H606" s="70">
        <f>'RESUMEN TOTAL'!O717</f>
        <v>0</v>
      </c>
      <c r="I606" s="70">
        <f>'RESUMEN TOTAL'!P717</f>
        <v>0</v>
      </c>
      <c r="J606" s="70">
        <f>'RESUMEN TOTAL'!Q717</f>
        <v>0</v>
      </c>
      <c r="K606" s="70">
        <f>'RESUMEN TOTAL'!R717</f>
        <v>0</v>
      </c>
      <c r="L606" s="70">
        <f>'RESUMEN TOTAL'!S717</f>
        <v>0</v>
      </c>
      <c r="M606" s="70">
        <f>'RESUMEN TOTAL'!T717</f>
        <v>0</v>
      </c>
      <c r="N606" s="70">
        <f>'RESUMEN TOTAL'!U717</f>
        <v>0</v>
      </c>
      <c r="O606" s="70">
        <f>'RESUMEN TOTAL'!V717</f>
        <v>0</v>
      </c>
      <c r="P606" s="70">
        <f>'RESUMEN TOTAL'!W717</f>
        <v>0</v>
      </c>
      <c r="Q606" s="70">
        <f>'RESUMEN TOTAL'!X717</f>
        <v>0</v>
      </c>
      <c r="R606" s="70">
        <f>'RESUMEN TOTAL'!Y717</f>
        <v>0</v>
      </c>
      <c r="S606" s="70">
        <f>'RESUMEN TOTAL'!Z717</f>
        <v>0</v>
      </c>
      <c r="T606" s="70">
        <f>'RESUMEN TOTAL'!AA717</f>
        <v>0</v>
      </c>
      <c r="U606" s="70">
        <f>'RESUMEN TOTAL'!AB717</f>
        <v>0</v>
      </c>
      <c r="V606" s="70">
        <f>'RESUMEN TOTAL'!AC717</f>
        <v>0</v>
      </c>
      <c r="W606" s="70">
        <f>'RESUMEN TOTAL'!AD717</f>
        <v>0</v>
      </c>
      <c r="X606" s="70">
        <f>'RESUMEN TOTAL'!AE717</f>
        <v>0</v>
      </c>
      <c r="Y606" s="70">
        <f>'RESUMEN TOTAL'!AF717</f>
        <v>0</v>
      </c>
      <c r="Z606" s="70">
        <f>'RESUMEN TOTAL'!AG717</f>
        <v>0</v>
      </c>
      <c r="AA606" s="70">
        <f>'RESUMEN TOTAL'!AH717</f>
        <v>0</v>
      </c>
      <c r="AB606" s="70">
        <f>'RESUMEN TOTAL'!AI717</f>
        <v>0</v>
      </c>
      <c r="AC606" s="70">
        <f>'RESUMEN TOTAL'!AJ717</f>
        <v>0</v>
      </c>
      <c r="AD606" s="70">
        <f>'RESUMEN TOTAL'!AK717</f>
        <v>0</v>
      </c>
      <c r="AE606" s="70">
        <f>'RESUMEN TOTAL'!AL717</f>
        <v>0</v>
      </c>
      <c r="AF606" s="70">
        <f>'RESUMEN TOTAL'!AM717</f>
        <v>0</v>
      </c>
      <c r="AG606" s="70">
        <f>'RESUMEN TOTAL'!AN717</f>
        <v>0</v>
      </c>
      <c r="AH606" s="70">
        <f>'RESUMEN TOTAL'!AO717</f>
        <v>0</v>
      </c>
      <c r="AI606" s="70">
        <f>'RESUMEN TOTAL'!AP717</f>
        <v>0</v>
      </c>
      <c r="AJ606" s="70">
        <f>'RESUMEN TOTAL'!AQ717</f>
        <v>0</v>
      </c>
    </row>
    <row r="607" spans="1:36" x14ac:dyDescent="0.25">
      <c r="A607">
        <f>'RESUMEN TOTAL'!A718</f>
        <v>0</v>
      </c>
      <c r="B607">
        <f>'RESUMEN TOTAL'!B718</f>
        <v>0</v>
      </c>
      <c r="C607">
        <f>'RESUMEN TOTAL'!D718</f>
        <v>0</v>
      </c>
      <c r="D607" s="30">
        <f>'RESUMEN TOTAL'!E718</f>
        <v>0</v>
      </c>
      <c r="E607" s="30">
        <f>'RESUMEN TOTAL'!F718</f>
        <v>0</v>
      </c>
      <c r="F607" s="70">
        <f>'RESUMEN TOTAL'!M718</f>
        <v>0</v>
      </c>
      <c r="G607" s="70">
        <f>'RESUMEN TOTAL'!N718</f>
        <v>0</v>
      </c>
      <c r="H607" s="70">
        <f>'RESUMEN TOTAL'!O718</f>
        <v>0</v>
      </c>
      <c r="I607" s="70">
        <f>'RESUMEN TOTAL'!P718</f>
        <v>0</v>
      </c>
      <c r="J607" s="70">
        <f>'RESUMEN TOTAL'!Q718</f>
        <v>0</v>
      </c>
      <c r="K607" s="70">
        <f>'RESUMEN TOTAL'!R718</f>
        <v>0</v>
      </c>
      <c r="L607" s="70">
        <f>'RESUMEN TOTAL'!S718</f>
        <v>0</v>
      </c>
      <c r="M607" s="70">
        <f>'RESUMEN TOTAL'!T718</f>
        <v>0</v>
      </c>
      <c r="N607" s="70">
        <f>'RESUMEN TOTAL'!U718</f>
        <v>0</v>
      </c>
      <c r="O607" s="70">
        <f>'RESUMEN TOTAL'!V718</f>
        <v>0</v>
      </c>
      <c r="P607" s="70">
        <f>'RESUMEN TOTAL'!W718</f>
        <v>0</v>
      </c>
      <c r="Q607" s="70">
        <f>'RESUMEN TOTAL'!X718</f>
        <v>0</v>
      </c>
      <c r="R607" s="70">
        <f>'RESUMEN TOTAL'!Y718</f>
        <v>0</v>
      </c>
      <c r="S607" s="70">
        <f>'RESUMEN TOTAL'!Z718</f>
        <v>0</v>
      </c>
      <c r="T607" s="70">
        <f>'RESUMEN TOTAL'!AA718</f>
        <v>0</v>
      </c>
      <c r="U607" s="70">
        <f>'RESUMEN TOTAL'!AB718</f>
        <v>0</v>
      </c>
      <c r="V607" s="70">
        <f>'RESUMEN TOTAL'!AC718</f>
        <v>0</v>
      </c>
      <c r="W607" s="70">
        <f>'RESUMEN TOTAL'!AD718</f>
        <v>0</v>
      </c>
      <c r="X607" s="70">
        <f>'RESUMEN TOTAL'!AE718</f>
        <v>0</v>
      </c>
      <c r="Y607" s="70">
        <f>'RESUMEN TOTAL'!AF718</f>
        <v>0</v>
      </c>
      <c r="Z607" s="70">
        <f>'RESUMEN TOTAL'!AG718</f>
        <v>0</v>
      </c>
      <c r="AA607" s="70">
        <f>'RESUMEN TOTAL'!AH718</f>
        <v>0</v>
      </c>
      <c r="AB607" s="70">
        <f>'RESUMEN TOTAL'!AI718</f>
        <v>0</v>
      </c>
      <c r="AC607" s="70">
        <f>'RESUMEN TOTAL'!AJ718</f>
        <v>0</v>
      </c>
      <c r="AD607" s="70">
        <f>'RESUMEN TOTAL'!AK718</f>
        <v>0</v>
      </c>
      <c r="AE607" s="70">
        <f>'RESUMEN TOTAL'!AL718</f>
        <v>0</v>
      </c>
      <c r="AF607" s="70">
        <f>'RESUMEN TOTAL'!AM718</f>
        <v>0</v>
      </c>
      <c r="AG607" s="70">
        <f>'RESUMEN TOTAL'!AN718</f>
        <v>0</v>
      </c>
      <c r="AH607" s="70">
        <f>'RESUMEN TOTAL'!AO718</f>
        <v>0</v>
      </c>
      <c r="AI607" s="70">
        <f>'RESUMEN TOTAL'!AP718</f>
        <v>0</v>
      </c>
      <c r="AJ607" s="70">
        <f>'RESUMEN TOTAL'!AQ718</f>
        <v>0</v>
      </c>
    </row>
    <row r="608" spans="1:36" x14ac:dyDescent="0.25">
      <c r="A608">
        <f>'RESUMEN TOTAL'!A719</f>
        <v>0</v>
      </c>
      <c r="B608">
        <f>'RESUMEN TOTAL'!B719</f>
        <v>0</v>
      </c>
      <c r="C608">
        <f>'RESUMEN TOTAL'!D719</f>
        <v>0</v>
      </c>
      <c r="D608" s="30">
        <f>'RESUMEN TOTAL'!E719</f>
        <v>0</v>
      </c>
      <c r="E608" s="30">
        <f>'RESUMEN TOTAL'!F719</f>
        <v>0</v>
      </c>
      <c r="F608" s="70">
        <f>'RESUMEN TOTAL'!M719</f>
        <v>0</v>
      </c>
      <c r="G608" s="70">
        <f>'RESUMEN TOTAL'!N719</f>
        <v>0</v>
      </c>
      <c r="H608" s="70">
        <f>'RESUMEN TOTAL'!O719</f>
        <v>0</v>
      </c>
      <c r="I608" s="70">
        <f>'RESUMEN TOTAL'!P719</f>
        <v>0</v>
      </c>
      <c r="J608" s="70">
        <f>'RESUMEN TOTAL'!Q719</f>
        <v>0</v>
      </c>
      <c r="K608" s="70">
        <f>'RESUMEN TOTAL'!R719</f>
        <v>0</v>
      </c>
      <c r="L608" s="70">
        <f>'RESUMEN TOTAL'!S719</f>
        <v>0</v>
      </c>
      <c r="M608" s="70">
        <f>'RESUMEN TOTAL'!T719</f>
        <v>0</v>
      </c>
      <c r="N608" s="70">
        <f>'RESUMEN TOTAL'!U719</f>
        <v>0</v>
      </c>
      <c r="O608" s="70">
        <f>'RESUMEN TOTAL'!V719</f>
        <v>0</v>
      </c>
      <c r="P608" s="70">
        <f>'RESUMEN TOTAL'!W719</f>
        <v>0</v>
      </c>
      <c r="Q608" s="70">
        <f>'RESUMEN TOTAL'!X719</f>
        <v>0</v>
      </c>
      <c r="R608" s="70">
        <f>'RESUMEN TOTAL'!Y719</f>
        <v>0</v>
      </c>
      <c r="S608" s="70">
        <f>'RESUMEN TOTAL'!Z719</f>
        <v>0</v>
      </c>
      <c r="T608" s="70">
        <f>'RESUMEN TOTAL'!AA719</f>
        <v>0</v>
      </c>
      <c r="U608" s="70">
        <f>'RESUMEN TOTAL'!AB719</f>
        <v>0</v>
      </c>
      <c r="V608" s="70">
        <f>'RESUMEN TOTAL'!AC719</f>
        <v>0</v>
      </c>
      <c r="W608" s="70">
        <f>'RESUMEN TOTAL'!AD719</f>
        <v>0</v>
      </c>
      <c r="X608" s="70">
        <f>'RESUMEN TOTAL'!AE719</f>
        <v>0</v>
      </c>
      <c r="Y608" s="70">
        <f>'RESUMEN TOTAL'!AF719</f>
        <v>0</v>
      </c>
      <c r="Z608" s="70">
        <f>'RESUMEN TOTAL'!AG719</f>
        <v>0</v>
      </c>
      <c r="AA608" s="70">
        <f>'RESUMEN TOTAL'!AH719</f>
        <v>0</v>
      </c>
      <c r="AB608" s="70">
        <f>'RESUMEN TOTAL'!AI719</f>
        <v>0</v>
      </c>
      <c r="AC608" s="70">
        <f>'RESUMEN TOTAL'!AJ719</f>
        <v>0</v>
      </c>
      <c r="AD608" s="70">
        <f>'RESUMEN TOTAL'!AK719</f>
        <v>0</v>
      </c>
      <c r="AE608" s="70">
        <f>'RESUMEN TOTAL'!AL719</f>
        <v>0</v>
      </c>
      <c r="AF608" s="70">
        <f>'RESUMEN TOTAL'!AM719</f>
        <v>0</v>
      </c>
      <c r="AG608" s="70">
        <f>'RESUMEN TOTAL'!AN719</f>
        <v>0</v>
      </c>
      <c r="AH608" s="70">
        <f>'RESUMEN TOTAL'!AO719</f>
        <v>0</v>
      </c>
      <c r="AI608" s="70">
        <f>'RESUMEN TOTAL'!AP719</f>
        <v>0</v>
      </c>
      <c r="AJ608" s="70">
        <f>'RESUMEN TOTAL'!AQ719</f>
        <v>0</v>
      </c>
    </row>
    <row r="609" spans="1:36" x14ac:dyDescent="0.25">
      <c r="A609">
        <f>'RESUMEN TOTAL'!A720</f>
        <v>0</v>
      </c>
      <c r="B609">
        <f>'RESUMEN TOTAL'!B720</f>
        <v>0</v>
      </c>
      <c r="C609">
        <f>'RESUMEN TOTAL'!D720</f>
        <v>0</v>
      </c>
      <c r="D609" s="30">
        <f>'RESUMEN TOTAL'!E720</f>
        <v>0</v>
      </c>
      <c r="E609" s="30">
        <f>'RESUMEN TOTAL'!F720</f>
        <v>0</v>
      </c>
      <c r="F609" s="70">
        <f>'RESUMEN TOTAL'!M720</f>
        <v>0</v>
      </c>
      <c r="G609" s="70">
        <f>'RESUMEN TOTAL'!N720</f>
        <v>0</v>
      </c>
      <c r="H609" s="70">
        <f>'RESUMEN TOTAL'!O720</f>
        <v>0</v>
      </c>
      <c r="I609" s="70">
        <f>'RESUMEN TOTAL'!P720</f>
        <v>0</v>
      </c>
      <c r="J609" s="70">
        <f>'RESUMEN TOTAL'!Q720</f>
        <v>0</v>
      </c>
      <c r="K609" s="70">
        <f>'RESUMEN TOTAL'!R720</f>
        <v>0</v>
      </c>
      <c r="L609" s="70">
        <f>'RESUMEN TOTAL'!S720</f>
        <v>0</v>
      </c>
      <c r="M609" s="70">
        <f>'RESUMEN TOTAL'!T720</f>
        <v>0</v>
      </c>
      <c r="N609" s="70">
        <f>'RESUMEN TOTAL'!U720</f>
        <v>0</v>
      </c>
      <c r="O609" s="70">
        <f>'RESUMEN TOTAL'!V720</f>
        <v>0</v>
      </c>
      <c r="P609" s="70">
        <f>'RESUMEN TOTAL'!W720</f>
        <v>0</v>
      </c>
      <c r="Q609" s="70">
        <f>'RESUMEN TOTAL'!X720</f>
        <v>0</v>
      </c>
      <c r="R609" s="70">
        <f>'RESUMEN TOTAL'!Y720</f>
        <v>0</v>
      </c>
      <c r="S609" s="70">
        <f>'RESUMEN TOTAL'!Z720</f>
        <v>0</v>
      </c>
      <c r="T609" s="70">
        <f>'RESUMEN TOTAL'!AA720</f>
        <v>0</v>
      </c>
      <c r="U609" s="70">
        <f>'RESUMEN TOTAL'!AB720</f>
        <v>0</v>
      </c>
      <c r="V609" s="70">
        <f>'RESUMEN TOTAL'!AC720</f>
        <v>0</v>
      </c>
      <c r="W609" s="70">
        <f>'RESUMEN TOTAL'!AD720</f>
        <v>0</v>
      </c>
      <c r="X609" s="70">
        <f>'RESUMEN TOTAL'!AE720</f>
        <v>0</v>
      </c>
      <c r="Y609" s="70">
        <f>'RESUMEN TOTAL'!AF720</f>
        <v>0</v>
      </c>
      <c r="Z609" s="70">
        <f>'RESUMEN TOTAL'!AG720</f>
        <v>0</v>
      </c>
      <c r="AA609" s="70">
        <f>'RESUMEN TOTAL'!AH720</f>
        <v>0</v>
      </c>
      <c r="AB609" s="70">
        <f>'RESUMEN TOTAL'!AI720</f>
        <v>0</v>
      </c>
      <c r="AC609" s="70">
        <f>'RESUMEN TOTAL'!AJ720</f>
        <v>0</v>
      </c>
      <c r="AD609" s="70">
        <f>'RESUMEN TOTAL'!AK720</f>
        <v>0</v>
      </c>
      <c r="AE609" s="70">
        <f>'RESUMEN TOTAL'!AL720</f>
        <v>0</v>
      </c>
      <c r="AF609" s="70">
        <f>'RESUMEN TOTAL'!AM720</f>
        <v>0</v>
      </c>
      <c r="AG609" s="70">
        <f>'RESUMEN TOTAL'!AN720</f>
        <v>0</v>
      </c>
      <c r="AH609" s="70">
        <f>'RESUMEN TOTAL'!AO720</f>
        <v>0</v>
      </c>
      <c r="AI609" s="70">
        <f>'RESUMEN TOTAL'!AP720</f>
        <v>0</v>
      </c>
      <c r="AJ609" s="70">
        <f>'RESUMEN TOTAL'!AQ720</f>
        <v>0</v>
      </c>
    </row>
    <row r="610" spans="1:36" x14ac:dyDescent="0.25">
      <c r="A610">
        <f>'RESUMEN TOTAL'!A721</f>
        <v>0</v>
      </c>
      <c r="B610">
        <f>'RESUMEN TOTAL'!B721</f>
        <v>0</v>
      </c>
      <c r="C610">
        <f>'RESUMEN TOTAL'!D721</f>
        <v>0</v>
      </c>
      <c r="D610" s="30">
        <f>'RESUMEN TOTAL'!E721</f>
        <v>0</v>
      </c>
      <c r="E610" s="30">
        <f>'RESUMEN TOTAL'!F721</f>
        <v>0</v>
      </c>
      <c r="F610" s="70">
        <f>'RESUMEN TOTAL'!M721</f>
        <v>0</v>
      </c>
      <c r="G610" s="70">
        <f>'RESUMEN TOTAL'!N721</f>
        <v>0</v>
      </c>
      <c r="H610" s="70">
        <f>'RESUMEN TOTAL'!O721</f>
        <v>0</v>
      </c>
      <c r="I610" s="70">
        <f>'RESUMEN TOTAL'!P721</f>
        <v>0</v>
      </c>
      <c r="J610" s="70">
        <f>'RESUMEN TOTAL'!Q721</f>
        <v>0</v>
      </c>
      <c r="K610" s="70">
        <f>'RESUMEN TOTAL'!R721</f>
        <v>0</v>
      </c>
      <c r="L610" s="70">
        <f>'RESUMEN TOTAL'!S721</f>
        <v>0</v>
      </c>
      <c r="M610" s="70">
        <f>'RESUMEN TOTAL'!T721</f>
        <v>0</v>
      </c>
      <c r="N610" s="70">
        <f>'RESUMEN TOTAL'!U721</f>
        <v>0</v>
      </c>
      <c r="O610" s="70">
        <f>'RESUMEN TOTAL'!V721</f>
        <v>0</v>
      </c>
      <c r="P610" s="70">
        <f>'RESUMEN TOTAL'!W721</f>
        <v>0</v>
      </c>
      <c r="Q610" s="70">
        <f>'RESUMEN TOTAL'!X721</f>
        <v>0</v>
      </c>
      <c r="R610" s="70">
        <f>'RESUMEN TOTAL'!Y721</f>
        <v>0</v>
      </c>
      <c r="S610" s="70">
        <f>'RESUMEN TOTAL'!Z721</f>
        <v>0</v>
      </c>
      <c r="T610" s="70">
        <f>'RESUMEN TOTAL'!AA721</f>
        <v>0</v>
      </c>
      <c r="U610" s="70">
        <f>'RESUMEN TOTAL'!AB721</f>
        <v>0</v>
      </c>
      <c r="V610" s="70">
        <f>'RESUMEN TOTAL'!AC721</f>
        <v>0</v>
      </c>
      <c r="W610" s="70">
        <f>'RESUMEN TOTAL'!AD721</f>
        <v>0</v>
      </c>
      <c r="X610" s="70">
        <f>'RESUMEN TOTAL'!AE721</f>
        <v>0</v>
      </c>
      <c r="Y610" s="70">
        <f>'RESUMEN TOTAL'!AF721</f>
        <v>0</v>
      </c>
      <c r="Z610" s="70">
        <f>'RESUMEN TOTAL'!AG721</f>
        <v>0</v>
      </c>
      <c r="AA610" s="70">
        <f>'RESUMEN TOTAL'!AH721</f>
        <v>0</v>
      </c>
      <c r="AB610" s="70">
        <f>'RESUMEN TOTAL'!AI721</f>
        <v>0</v>
      </c>
      <c r="AC610" s="70">
        <f>'RESUMEN TOTAL'!AJ721</f>
        <v>0</v>
      </c>
      <c r="AD610" s="70">
        <f>'RESUMEN TOTAL'!AK721</f>
        <v>0</v>
      </c>
      <c r="AE610" s="70">
        <f>'RESUMEN TOTAL'!AL721</f>
        <v>0</v>
      </c>
      <c r="AF610" s="70">
        <f>'RESUMEN TOTAL'!AM721</f>
        <v>0</v>
      </c>
      <c r="AG610" s="70">
        <f>'RESUMEN TOTAL'!AN721</f>
        <v>0</v>
      </c>
      <c r="AH610" s="70">
        <f>'RESUMEN TOTAL'!AO721</f>
        <v>0</v>
      </c>
      <c r="AI610" s="70">
        <f>'RESUMEN TOTAL'!AP721</f>
        <v>0</v>
      </c>
      <c r="AJ610" s="70">
        <f>'RESUMEN TOTAL'!AQ721</f>
        <v>0</v>
      </c>
    </row>
    <row r="611" spans="1:36" x14ac:dyDescent="0.25">
      <c r="A611">
        <f>'RESUMEN TOTAL'!A722</f>
        <v>0</v>
      </c>
      <c r="B611">
        <f>'RESUMEN TOTAL'!B722</f>
        <v>0</v>
      </c>
      <c r="C611">
        <f>'RESUMEN TOTAL'!D722</f>
        <v>0</v>
      </c>
      <c r="D611" s="30">
        <f>'RESUMEN TOTAL'!E722</f>
        <v>0</v>
      </c>
      <c r="E611" s="30">
        <f>'RESUMEN TOTAL'!F722</f>
        <v>0</v>
      </c>
      <c r="F611" s="70">
        <f>'RESUMEN TOTAL'!M722</f>
        <v>0</v>
      </c>
      <c r="G611" s="70">
        <f>'RESUMEN TOTAL'!N722</f>
        <v>0</v>
      </c>
      <c r="H611" s="70">
        <f>'RESUMEN TOTAL'!O722</f>
        <v>0</v>
      </c>
      <c r="I611" s="70">
        <f>'RESUMEN TOTAL'!P722</f>
        <v>0</v>
      </c>
      <c r="J611" s="70">
        <f>'RESUMEN TOTAL'!Q722</f>
        <v>0</v>
      </c>
      <c r="K611" s="70">
        <f>'RESUMEN TOTAL'!R722</f>
        <v>0</v>
      </c>
      <c r="L611" s="70">
        <f>'RESUMEN TOTAL'!S722</f>
        <v>0</v>
      </c>
      <c r="M611" s="70">
        <f>'RESUMEN TOTAL'!T722</f>
        <v>0</v>
      </c>
      <c r="N611" s="70">
        <f>'RESUMEN TOTAL'!U722</f>
        <v>0</v>
      </c>
      <c r="O611" s="70">
        <f>'RESUMEN TOTAL'!V722</f>
        <v>0</v>
      </c>
      <c r="P611" s="70">
        <f>'RESUMEN TOTAL'!W722</f>
        <v>0</v>
      </c>
      <c r="Q611" s="70">
        <f>'RESUMEN TOTAL'!X722</f>
        <v>0</v>
      </c>
      <c r="R611" s="70">
        <f>'RESUMEN TOTAL'!Y722</f>
        <v>0</v>
      </c>
      <c r="S611" s="70">
        <f>'RESUMEN TOTAL'!Z722</f>
        <v>0</v>
      </c>
      <c r="T611" s="70">
        <f>'RESUMEN TOTAL'!AA722</f>
        <v>0</v>
      </c>
      <c r="U611" s="70">
        <f>'RESUMEN TOTAL'!AB722</f>
        <v>0</v>
      </c>
      <c r="V611" s="70">
        <f>'RESUMEN TOTAL'!AC722</f>
        <v>0</v>
      </c>
      <c r="W611" s="70">
        <f>'RESUMEN TOTAL'!AD722</f>
        <v>0</v>
      </c>
      <c r="X611" s="70">
        <f>'RESUMEN TOTAL'!AE722</f>
        <v>0</v>
      </c>
      <c r="Y611" s="70">
        <f>'RESUMEN TOTAL'!AF722</f>
        <v>0</v>
      </c>
      <c r="Z611" s="70">
        <f>'RESUMEN TOTAL'!AG722</f>
        <v>0</v>
      </c>
      <c r="AA611" s="70">
        <f>'RESUMEN TOTAL'!AH722</f>
        <v>0</v>
      </c>
      <c r="AB611" s="70">
        <f>'RESUMEN TOTAL'!AI722</f>
        <v>0</v>
      </c>
      <c r="AC611" s="70">
        <f>'RESUMEN TOTAL'!AJ722</f>
        <v>0</v>
      </c>
      <c r="AD611" s="70">
        <f>'RESUMEN TOTAL'!AK722</f>
        <v>0</v>
      </c>
      <c r="AE611" s="70">
        <f>'RESUMEN TOTAL'!AL722</f>
        <v>0</v>
      </c>
      <c r="AF611" s="70">
        <f>'RESUMEN TOTAL'!AM722</f>
        <v>0</v>
      </c>
      <c r="AG611" s="70">
        <f>'RESUMEN TOTAL'!AN722</f>
        <v>0</v>
      </c>
      <c r="AH611" s="70">
        <f>'RESUMEN TOTAL'!AO722</f>
        <v>0</v>
      </c>
      <c r="AI611" s="70">
        <f>'RESUMEN TOTAL'!AP722</f>
        <v>0</v>
      </c>
      <c r="AJ611" s="70">
        <f>'RESUMEN TOTAL'!AQ722</f>
        <v>0</v>
      </c>
    </row>
    <row r="612" spans="1:36" x14ac:dyDescent="0.25">
      <c r="A612">
        <f>'RESUMEN TOTAL'!A723</f>
        <v>0</v>
      </c>
      <c r="B612">
        <f>'RESUMEN TOTAL'!B723</f>
        <v>0</v>
      </c>
      <c r="C612">
        <f>'RESUMEN TOTAL'!D723</f>
        <v>0</v>
      </c>
      <c r="D612" s="30">
        <f>'RESUMEN TOTAL'!E723</f>
        <v>0</v>
      </c>
      <c r="E612" s="30">
        <f>'RESUMEN TOTAL'!F723</f>
        <v>0</v>
      </c>
      <c r="F612" s="70">
        <f>'RESUMEN TOTAL'!M723</f>
        <v>0</v>
      </c>
      <c r="G612" s="70">
        <f>'RESUMEN TOTAL'!N723</f>
        <v>0</v>
      </c>
      <c r="H612" s="70">
        <f>'RESUMEN TOTAL'!O723</f>
        <v>0</v>
      </c>
      <c r="I612" s="70">
        <f>'RESUMEN TOTAL'!P723</f>
        <v>0</v>
      </c>
      <c r="J612" s="70">
        <f>'RESUMEN TOTAL'!Q723</f>
        <v>0</v>
      </c>
      <c r="K612" s="70">
        <f>'RESUMEN TOTAL'!R723</f>
        <v>0</v>
      </c>
      <c r="L612" s="70">
        <f>'RESUMEN TOTAL'!S723</f>
        <v>0</v>
      </c>
      <c r="M612" s="70">
        <f>'RESUMEN TOTAL'!T723</f>
        <v>0</v>
      </c>
      <c r="N612" s="70">
        <f>'RESUMEN TOTAL'!U723</f>
        <v>0</v>
      </c>
      <c r="O612" s="70">
        <f>'RESUMEN TOTAL'!V723</f>
        <v>0</v>
      </c>
      <c r="P612" s="70">
        <f>'RESUMEN TOTAL'!W723</f>
        <v>0</v>
      </c>
      <c r="Q612" s="70">
        <f>'RESUMEN TOTAL'!X723</f>
        <v>0</v>
      </c>
      <c r="R612" s="70">
        <f>'RESUMEN TOTAL'!Y723</f>
        <v>0</v>
      </c>
      <c r="S612" s="70">
        <f>'RESUMEN TOTAL'!Z723</f>
        <v>0</v>
      </c>
      <c r="T612" s="70">
        <f>'RESUMEN TOTAL'!AA723</f>
        <v>0</v>
      </c>
      <c r="U612" s="70">
        <f>'RESUMEN TOTAL'!AB723</f>
        <v>0</v>
      </c>
      <c r="V612" s="70">
        <f>'RESUMEN TOTAL'!AC723</f>
        <v>0</v>
      </c>
      <c r="W612" s="70">
        <f>'RESUMEN TOTAL'!AD723</f>
        <v>0</v>
      </c>
      <c r="X612" s="70">
        <f>'RESUMEN TOTAL'!AE723</f>
        <v>0</v>
      </c>
      <c r="Y612" s="70">
        <f>'RESUMEN TOTAL'!AF723</f>
        <v>0</v>
      </c>
      <c r="Z612" s="70">
        <f>'RESUMEN TOTAL'!AG723</f>
        <v>0</v>
      </c>
      <c r="AA612" s="70">
        <f>'RESUMEN TOTAL'!AH723</f>
        <v>0</v>
      </c>
      <c r="AB612" s="70">
        <f>'RESUMEN TOTAL'!AI723</f>
        <v>0</v>
      </c>
      <c r="AC612" s="70">
        <f>'RESUMEN TOTAL'!AJ723</f>
        <v>0</v>
      </c>
      <c r="AD612" s="70">
        <f>'RESUMEN TOTAL'!AK723</f>
        <v>0</v>
      </c>
      <c r="AE612" s="70">
        <f>'RESUMEN TOTAL'!AL723</f>
        <v>0</v>
      </c>
      <c r="AF612" s="70">
        <f>'RESUMEN TOTAL'!AM723</f>
        <v>0</v>
      </c>
      <c r="AG612" s="70">
        <f>'RESUMEN TOTAL'!AN723</f>
        <v>0</v>
      </c>
      <c r="AH612" s="70">
        <f>'RESUMEN TOTAL'!AO723</f>
        <v>0</v>
      </c>
      <c r="AI612" s="70">
        <f>'RESUMEN TOTAL'!AP723</f>
        <v>0</v>
      </c>
      <c r="AJ612" s="70">
        <f>'RESUMEN TOTAL'!AQ723</f>
        <v>0</v>
      </c>
    </row>
    <row r="613" spans="1:36" x14ac:dyDescent="0.25">
      <c r="A613">
        <f>'RESUMEN TOTAL'!A724</f>
        <v>0</v>
      </c>
      <c r="B613">
        <f>'RESUMEN TOTAL'!B724</f>
        <v>0</v>
      </c>
      <c r="C613">
        <f>'RESUMEN TOTAL'!D724</f>
        <v>0</v>
      </c>
      <c r="D613" s="30">
        <f>'RESUMEN TOTAL'!E724</f>
        <v>0</v>
      </c>
      <c r="E613" s="30">
        <f>'RESUMEN TOTAL'!F724</f>
        <v>0</v>
      </c>
      <c r="F613" s="70">
        <f>'RESUMEN TOTAL'!M724</f>
        <v>0</v>
      </c>
      <c r="G613" s="70">
        <f>'RESUMEN TOTAL'!N724</f>
        <v>0</v>
      </c>
      <c r="H613" s="70">
        <f>'RESUMEN TOTAL'!O724</f>
        <v>0</v>
      </c>
      <c r="I613" s="70">
        <f>'RESUMEN TOTAL'!P724</f>
        <v>0</v>
      </c>
      <c r="J613" s="70">
        <f>'RESUMEN TOTAL'!Q724</f>
        <v>0</v>
      </c>
      <c r="K613" s="70">
        <f>'RESUMEN TOTAL'!R724</f>
        <v>0</v>
      </c>
      <c r="L613" s="70">
        <f>'RESUMEN TOTAL'!S724</f>
        <v>0</v>
      </c>
      <c r="M613" s="70">
        <f>'RESUMEN TOTAL'!T724</f>
        <v>0</v>
      </c>
      <c r="N613" s="70">
        <f>'RESUMEN TOTAL'!U724</f>
        <v>0</v>
      </c>
      <c r="O613" s="70">
        <f>'RESUMEN TOTAL'!V724</f>
        <v>0</v>
      </c>
      <c r="P613" s="70">
        <f>'RESUMEN TOTAL'!W724</f>
        <v>0</v>
      </c>
      <c r="Q613" s="70">
        <f>'RESUMEN TOTAL'!X724</f>
        <v>0</v>
      </c>
      <c r="R613" s="70">
        <f>'RESUMEN TOTAL'!Y724</f>
        <v>0</v>
      </c>
      <c r="S613" s="70">
        <f>'RESUMEN TOTAL'!Z724</f>
        <v>0</v>
      </c>
      <c r="T613" s="70">
        <f>'RESUMEN TOTAL'!AA724</f>
        <v>0</v>
      </c>
      <c r="U613" s="70">
        <f>'RESUMEN TOTAL'!AB724</f>
        <v>0</v>
      </c>
      <c r="V613" s="70">
        <f>'RESUMEN TOTAL'!AC724</f>
        <v>0</v>
      </c>
      <c r="W613" s="70">
        <f>'RESUMEN TOTAL'!AD724</f>
        <v>0</v>
      </c>
      <c r="X613" s="70">
        <f>'RESUMEN TOTAL'!AE724</f>
        <v>0</v>
      </c>
      <c r="Y613" s="70">
        <f>'RESUMEN TOTAL'!AF724</f>
        <v>0</v>
      </c>
      <c r="Z613" s="70">
        <f>'RESUMEN TOTAL'!AG724</f>
        <v>0</v>
      </c>
      <c r="AA613" s="70">
        <f>'RESUMEN TOTAL'!AH724</f>
        <v>0</v>
      </c>
      <c r="AB613" s="70">
        <f>'RESUMEN TOTAL'!AI724</f>
        <v>0</v>
      </c>
      <c r="AC613" s="70">
        <f>'RESUMEN TOTAL'!AJ724</f>
        <v>0</v>
      </c>
      <c r="AD613" s="70">
        <f>'RESUMEN TOTAL'!AK724</f>
        <v>0</v>
      </c>
      <c r="AE613" s="70">
        <f>'RESUMEN TOTAL'!AL724</f>
        <v>0</v>
      </c>
      <c r="AF613" s="70">
        <f>'RESUMEN TOTAL'!AM724</f>
        <v>0</v>
      </c>
      <c r="AG613" s="70">
        <f>'RESUMEN TOTAL'!AN724</f>
        <v>0</v>
      </c>
      <c r="AH613" s="70">
        <f>'RESUMEN TOTAL'!AO724</f>
        <v>0</v>
      </c>
      <c r="AI613" s="70">
        <f>'RESUMEN TOTAL'!AP724</f>
        <v>0</v>
      </c>
      <c r="AJ613" s="70">
        <f>'RESUMEN TOTAL'!AQ724</f>
        <v>0</v>
      </c>
    </row>
    <row r="614" spans="1:36" x14ac:dyDescent="0.25">
      <c r="A614">
        <f>'RESUMEN TOTAL'!A725</f>
        <v>0</v>
      </c>
      <c r="B614">
        <f>'RESUMEN TOTAL'!B725</f>
        <v>0</v>
      </c>
      <c r="C614">
        <f>'RESUMEN TOTAL'!D725</f>
        <v>0</v>
      </c>
      <c r="D614" s="30">
        <f>'RESUMEN TOTAL'!E725</f>
        <v>0</v>
      </c>
      <c r="E614" s="30">
        <f>'RESUMEN TOTAL'!F725</f>
        <v>0</v>
      </c>
      <c r="F614" s="70">
        <f>'RESUMEN TOTAL'!M725</f>
        <v>0</v>
      </c>
      <c r="G614" s="70">
        <f>'RESUMEN TOTAL'!N725</f>
        <v>0</v>
      </c>
      <c r="H614" s="70">
        <f>'RESUMEN TOTAL'!O725</f>
        <v>0</v>
      </c>
      <c r="I614" s="70">
        <f>'RESUMEN TOTAL'!P725</f>
        <v>0</v>
      </c>
      <c r="J614" s="70">
        <f>'RESUMEN TOTAL'!Q725</f>
        <v>0</v>
      </c>
      <c r="K614" s="70">
        <f>'RESUMEN TOTAL'!R725</f>
        <v>0</v>
      </c>
      <c r="L614" s="70">
        <f>'RESUMEN TOTAL'!S725</f>
        <v>0</v>
      </c>
      <c r="M614" s="70">
        <f>'RESUMEN TOTAL'!T725</f>
        <v>0</v>
      </c>
      <c r="N614" s="70">
        <f>'RESUMEN TOTAL'!U725</f>
        <v>0</v>
      </c>
      <c r="O614" s="70">
        <f>'RESUMEN TOTAL'!V725</f>
        <v>0</v>
      </c>
      <c r="P614" s="70">
        <f>'RESUMEN TOTAL'!W725</f>
        <v>0</v>
      </c>
      <c r="Q614" s="70">
        <f>'RESUMEN TOTAL'!X725</f>
        <v>0</v>
      </c>
      <c r="R614" s="70">
        <f>'RESUMEN TOTAL'!Y725</f>
        <v>0</v>
      </c>
      <c r="S614" s="70">
        <f>'RESUMEN TOTAL'!Z725</f>
        <v>0</v>
      </c>
      <c r="T614" s="70">
        <f>'RESUMEN TOTAL'!AA725</f>
        <v>0</v>
      </c>
      <c r="U614" s="70">
        <f>'RESUMEN TOTAL'!AB725</f>
        <v>0</v>
      </c>
      <c r="V614" s="70">
        <f>'RESUMEN TOTAL'!AC725</f>
        <v>0</v>
      </c>
      <c r="W614" s="70">
        <f>'RESUMEN TOTAL'!AD725</f>
        <v>0</v>
      </c>
      <c r="X614" s="70">
        <f>'RESUMEN TOTAL'!AE725</f>
        <v>0</v>
      </c>
      <c r="Y614" s="70">
        <f>'RESUMEN TOTAL'!AF725</f>
        <v>0</v>
      </c>
      <c r="Z614" s="70">
        <f>'RESUMEN TOTAL'!AG725</f>
        <v>0</v>
      </c>
      <c r="AA614" s="70">
        <f>'RESUMEN TOTAL'!AH725</f>
        <v>0</v>
      </c>
      <c r="AB614" s="70">
        <f>'RESUMEN TOTAL'!AI725</f>
        <v>0</v>
      </c>
      <c r="AC614" s="70">
        <f>'RESUMEN TOTAL'!AJ725</f>
        <v>0</v>
      </c>
      <c r="AD614" s="70">
        <f>'RESUMEN TOTAL'!AK725</f>
        <v>0</v>
      </c>
      <c r="AE614" s="70">
        <f>'RESUMEN TOTAL'!AL725</f>
        <v>0</v>
      </c>
      <c r="AF614" s="70">
        <f>'RESUMEN TOTAL'!AM725</f>
        <v>0</v>
      </c>
      <c r="AG614" s="70">
        <f>'RESUMEN TOTAL'!AN725</f>
        <v>0</v>
      </c>
      <c r="AH614" s="70">
        <f>'RESUMEN TOTAL'!AO725</f>
        <v>0</v>
      </c>
      <c r="AI614" s="70">
        <f>'RESUMEN TOTAL'!AP725</f>
        <v>0</v>
      </c>
      <c r="AJ614" s="70">
        <f>'RESUMEN TOTAL'!AQ725</f>
        <v>0</v>
      </c>
    </row>
    <row r="615" spans="1:36" x14ac:dyDescent="0.25">
      <c r="A615">
        <f>'RESUMEN TOTAL'!A726</f>
        <v>0</v>
      </c>
      <c r="B615">
        <f>'RESUMEN TOTAL'!B726</f>
        <v>0</v>
      </c>
      <c r="C615">
        <f>'RESUMEN TOTAL'!D726</f>
        <v>0</v>
      </c>
      <c r="D615" s="30">
        <f>'RESUMEN TOTAL'!E726</f>
        <v>0</v>
      </c>
      <c r="E615" s="30">
        <f>'RESUMEN TOTAL'!F726</f>
        <v>0</v>
      </c>
      <c r="F615" s="70">
        <f>'RESUMEN TOTAL'!M726</f>
        <v>0</v>
      </c>
      <c r="G615" s="70">
        <f>'RESUMEN TOTAL'!N726</f>
        <v>0</v>
      </c>
      <c r="H615" s="70">
        <f>'RESUMEN TOTAL'!O726</f>
        <v>0</v>
      </c>
      <c r="I615" s="70">
        <f>'RESUMEN TOTAL'!P726</f>
        <v>0</v>
      </c>
      <c r="J615" s="70">
        <f>'RESUMEN TOTAL'!Q726</f>
        <v>0</v>
      </c>
      <c r="K615" s="70">
        <f>'RESUMEN TOTAL'!R726</f>
        <v>0</v>
      </c>
      <c r="L615" s="70">
        <f>'RESUMEN TOTAL'!S726</f>
        <v>0</v>
      </c>
      <c r="M615" s="70">
        <f>'RESUMEN TOTAL'!T726</f>
        <v>0</v>
      </c>
      <c r="N615" s="70">
        <f>'RESUMEN TOTAL'!U726</f>
        <v>0</v>
      </c>
      <c r="O615" s="70">
        <f>'RESUMEN TOTAL'!V726</f>
        <v>0</v>
      </c>
      <c r="P615" s="70">
        <f>'RESUMEN TOTAL'!W726</f>
        <v>0</v>
      </c>
      <c r="Q615" s="70">
        <f>'RESUMEN TOTAL'!X726</f>
        <v>0</v>
      </c>
      <c r="R615" s="70">
        <f>'RESUMEN TOTAL'!Y726</f>
        <v>0</v>
      </c>
      <c r="S615" s="70">
        <f>'RESUMEN TOTAL'!Z726</f>
        <v>0</v>
      </c>
      <c r="T615" s="70">
        <f>'RESUMEN TOTAL'!AA726</f>
        <v>0</v>
      </c>
      <c r="U615" s="70">
        <f>'RESUMEN TOTAL'!AB726</f>
        <v>0</v>
      </c>
      <c r="V615" s="70">
        <f>'RESUMEN TOTAL'!AC726</f>
        <v>0</v>
      </c>
      <c r="W615" s="70">
        <f>'RESUMEN TOTAL'!AD726</f>
        <v>0</v>
      </c>
      <c r="X615" s="70">
        <f>'RESUMEN TOTAL'!AE726</f>
        <v>0</v>
      </c>
      <c r="Y615" s="70">
        <f>'RESUMEN TOTAL'!AF726</f>
        <v>0</v>
      </c>
      <c r="Z615" s="70">
        <f>'RESUMEN TOTAL'!AG726</f>
        <v>0</v>
      </c>
      <c r="AA615" s="70">
        <f>'RESUMEN TOTAL'!AH726</f>
        <v>0</v>
      </c>
      <c r="AB615" s="70">
        <f>'RESUMEN TOTAL'!AI726</f>
        <v>0</v>
      </c>
      <c r="AC615" s="70">
        <f>'RESUMEN TOTAL'!AJ726</f>
        <v>0</v>
      </c>
      <c r="AD615" s="70">
        <f>'RESUMEN TOTAL'!AK726</f>
        <v>0</v>
      </c>
      <c r="AE615" s="70">
        <f>'RESUMEN TOTAL'!AL726</f>
        <v>0</v>
      </c>
      <c r="AF615" s="70">
        <f>'RESUMEN TOTAL'!AM726</f>
        <v>0</v>
      </c>
      <c r="AG615" s="70">
        <f>'RESUMEN TOTAL'!AN726</f>
        <v>0</v>
      </c>
      <c r="AH615" s="70">
        <f>'RESUMEN TOTAL'!AO726</f>
        <v>0</v>
      </c>
      <c r="AI615" s="70">
        <f>'RESUMEN TOTAL'!AP726</f>
        <v>0</v>
      </c>
      <c r="AJ615" s="70">
        <f>'RESUMEN TOTAL'!AQ726</f>
        <v>0</v>
      </c>
    </row>
    <row r="616" spans="1:36" x14ac:dyDescent="0.25">
      <c r="A616">
        <f>'RESUMEN TOTAL'!A727</f>
        <v>0</v>
      </c>
      <c r="B616">
        <f>'RESUMEN TOTAL'!B727</f>
        <v>0</v>
      </c>
      <c r="C616">
        <f>'RESUMEN TOTAL'!D727</f>
        <v>0</v>
      </c>
      <c r="D616" s="30">
        <f>'RESUMEN TOTAL'!E727</f>
        <v>0</v>
      </c>
      <c r="E616" s="30">
        <f>'RESUMEN TOTAL'!F727</f>
        <v>0</v>
      </c>
      <c r="F616" s="70">
        <f>'RESUMEN TOTAL'!M727</f>
        <v>0</v>
      </c>
      <c r="G616" s="70">
        <f>'RESUMEN TOTAL'!N727</f>
        <v>0</v>
      </c>
      <c r="H616" s="70">
        <f>'RESUMEN TOTAL'!O727</f>
        <v>0</v>
      </c>
      <c r="I616" s="70">
        <f>'RESUMEN TOTAL'!P727</f>
        <v>0</v>
      </c>
      <c r="J616" s="70">
        <f>'RESUMEN TOTAL'!Q727</f>
        <v>0</v>
      </c>
      <c r="K616" s="70">
        <f>'RESUMEN TOTAL'!R727</f>
        <v>0</v>
      </c>
      <c r="L616" s="70">
        <f>'RESUMEN TOTAL'!S727</f>
        <v>0</v>
      </c>
      <c r="M616" s="70">
        <f>'RESUMEN TOTAL'!T727</f>
        <v>0</v>
      </c>
      <c r="N616" s="70">
        <f>'RESUMEN TOTAL'!U727</f>
        <v>0</v>
      </c>
      <c r="O616" s="70">
        <f>'RESUMEN TOTAL'!V727</f>
        <v>0</v>
      </c>
      <c r="P616" s="70">
        <f>'RESUMEN TOTAL'!W727</f>
        <v>0</v>
      </c>
      <c r="Q616" s="70">
        <f>'RESUMEN TOTAL'!X727</f>
        <v>0</v>
      </c>
      <c r="R616" s="70">
        <f>'RESUMEN TOTAL'!Y727</f>
        <v>0</v>
      </c>
      <c r="S616" s="70">
        <f>'RESUMEN TOTAL'!Z727</f>
        <v>0</v>
      </c>
      <c r="T616" s="70">
        <f>'RESUMEN TOTAL'!AA727</f>
        <v>0</v>
      </c>
      <c r="U616" s="70">
        <f>'RESUMEN TOTAL'!AB727</f>
        <v>0</v>
      </c>
      <c r="V616" s="70">
        <f>'RESUMEN TOTAL'!AC727</f>
        <v>0</v>
      </c>
      <c r="W616" s="70">
        <f>'RESUMEN TOTAL'!AD727</f>
        <v>0</v>
      </c>
      <c r="X616" s="70">
        <f>'RESUMEN TOTAL'!AE727</f>
        <v>0</v>
      </c>
      <c r="Y616" s="70">
        <f>'RESUMEN TOTAL'!AF727</f>
        <v>0</v>
      </c>
      <c r="Z616" s="70">
        <f>'RESUMEN TOTAL'!AG727</f>
        <v>0</v>
      </c>
      <c r="AA616" s="70">
        <f>'RESUMEN TOTAL'!AH727</f>
        <v>0</v>
      </c>
      <c r="AB616" s="70">
        <f>'RESUMEN TOTAL'!AI727</f>
        <v>0</v>
      </c>
      <c r="AC616" s="70">
        <f>'RESUMEN TOTAL'!AJ727</f>
        <v>0</v>
      </c>
      <c r="AD616" s="70">
        <f>'RESUMEN TOTAL'!AK727</f>
        <v>0</v>
      </c>
      <c r="AE616" s="70">
        <f>'RESUMEN TOTAL'!AL727</f>
        <v>0</v>
      </c>
      <c r="AF616" s="70">
        <f>'RESUMEN TOTAL'!AM727</f>
        <v>0</v>
      </c>
      <c r="AG616" s="70">
        <f>'RESUMEN TOTAL'!AN727</f>
        <v>0</v>
      </c>
      <c r="AH616" s="70">
        <f>'RESUMEN TOTAL'!AO727</f>
        <v>0</v>
      </c>
      <c r="AI616" s="70">
        <f>'RESUMEN TOTAL'!AP727</f>
        <v>0</v>
      </c>
      <c r="AJ616" s="70">
        <f>'RESUMEN TOTAL'!AQ727</f>
        <v>0</v>
      </c>
    </row>
    <row r="617" spans="1:36" x14ac:dyDescent="0.25">
      <c r="A617">
        <f>'RESUMEN TOTAL'!A728</f>
        <v>0</v>
      </c>
      <c r="B617">
        <f>'RESUMEN TOTAL'!B728</f>
        <v>0</v>
      </c>
      <c r="C617">
        <f>'RESUMEN TOTAL'!D728</f>
        <v>0</v>
      </c>
      <c r="D617" s="30">
        <f>'RESUMEN TOTAL'!E728</f>
        <v>0</v>
      </c>
      <c r="E617" s="30">
        <f>'RESUMEN TOTAL'!F728</f>
        <v>0</v>
      </c>
      <c r="F617" s="70">
        <f>'RESUMEN TOTAL'!M728</f>
        <v>0</v>
      </c>
      <c r="G617" s="70">
        <f>'RESUMEN TOTAL'!N728</f>
        <v>0</v>
      </c>
      <c r="H617" s="70">
        <f>'RESUMEN TOTAL'!O728</f>
        <v>0</v>
      </c>
      <c r="I617" s="70">
        <f>'RESUMEN TOTAL'!P728</f>
        <v>0</v>
      </c>
      <c r="J617" s="70">
        <f>'RESUMEN TOTAL'!Q728</f>
        <v>0</v>
      </c>
      <c r="K617" s="70">
        <f>'RESUMEN TOTAL'!R728</f>
        <v>0</v>
      </c>
      <c r="L617" s="70">
        <f>'RESUMEN TOTAL'!S728</f>
        <v>0</v>
      </c>
      <c r="M617" s="70">
        <f>'RESUMEN TOTAL'!T728</f>
        <v>0</v>
      </c>
      <c r="N617" s="70">
        <f>'RESUMEN TOTAL'!U728</f>
        <v>0</v>
      </c>
      <c r="O617" s="70">
        <f>'RESUMEN TOTAL'!V728</f>
        <v>0</v>
      </c>
      <c r="P617" s="70">
        <f>'RESUMEN TOTAL'!W728</f>
        <v>0</v>
      </c>
      <c r="Q617" s="70">
        <f>'RESUMEN TOTAL'!X728</f>
        <v>0</v>
      </c>
      <c r="R617" s="70">
        <f>'RESUMEN TOTAL'!Y728</f>
        <v>0</v>
      </c>
      <c r="S617" s="70">
        <f>'RESUMEN TOTAL'!Z728</f>
        <v>0</v>
      </c>
      <c r="T617" s="70">
        <f>'RESUMEN TOTAL'!AA728</f>
        <v>0</v>
      </c>
      <c r="U617" s="70">
        <f>'RESUMEN TOTAL'!AB728</f>
        <v>0</v>
      </c>
      <c r="V617" s="70">
        <f>'RESUMEN TOTAL'!AC728</f>
        <v>0</v>
      </c>
      <c r="W617" s="70">
        <f>'RESUMEN TOTAL'!AD728</f>
        <v>0</v>
      </c>
      <c r="X617" s="70">
        <f>'RESUMEN TOTAL'!AE728</f>
        <v>0</v>
      </c>
      <c r="Y617" s="70">
        <f>'RESUMEN TOTAL'!AF728</f>
        <v>0</v>
      </c>
      <c r="Z617" s="70">
        <f>'RESUMEN TOTAL'!AG728</f>
        <v>0</v>
      </c>
      <c r="AA617" s="70">
        <f>'RESUMEN TOTAL'!AH728</f>
        <v>0</v>
      </c>
      <c r="AB617" s="70">
        <f>'RESUMEN TOTAL'!AI728</f>
        <v>0</v>
      </c>
      <c r="AC617" s="70">
        <f>'RESUMEN TOTAL'!AJ728</f>
        <v>0</v>
      </c>
      <c r="AD617" s="70">
        <f>'RESUMEN TOTAL'!AK728</f>
        <v>0</v>
      </c>
      <c r="AE617" s="70">
        <f>'RESUMEN TOTAL'!AL728</f>
        <v>0</v>
      </c>
      <c r="AF617" s="70">
        <f>'RESUMEN TOTAL'!AM728</f>
        <v>0</v>
      </c>
      <c r="AG617" s="70">
        <f>'RESUMEN TOTAL'!AN728</f>
        <v>0</v>
      </c>
      <c r="AH617" s="70">
        <f>'RESUMEN TOTAL'!AO728</f>
        <v>0</v>
      </c>
      <c r="AI617" s="70">
        <f>'RESUMEN TOTAL'!AP728</f>
        <v>0</v>
      </c>
      <c r="AJ617" s="70">
        <f>'RESUMEN TOTAL'!AQ728</f>
        <v>0</v>
      </c>
    </row>
    <row r="618" spans="1:36" x14ac:dyDescent="0.25">
      <c r="A618">
        <f>'RESUMEN TOTAL'!A729</f>
        <v>0</v>
      </c>
      <c r="B618">
        <f>'RESUMEN TOTAL'!B729</f>
        <v>0</v>
      </c>
      <c r="C618">
        <f>'RESUMEN TOTAL'!D729</f>
        <v>0</v>
      </c>
      <c r="D618" s="30">
        <f>'RESUMEN TOTAL'!E729</f>
        <v>0</v>
      </c>
      <c r="E618" s="30">
        <f>'RESUMEN TOTAL'!F729</f>
        <v>0</v>
      </c>
      <c r="F618" s="70">
        <f>'RESUMEN TOTAL'!M729</f>
        <v>0</v>
      </c>
      <c r="G618" s="70">
        <f>'RESUMEN TOTAL'!N729</f>
        <v>0</v>
      </c>
      <c r="H618" s="70">
        <f>'RESUMEN TOTAL'!O729</f>
        <v>0</v>
      </c>
      <c r="I618" s="70">
        <f>'RESUMEN TOTAL'!P729</f>
        <v>0</v>
      </c>
      <c r="J618" s="70">
        <f>'RESUMEN TOTAL'!Q729</f>
        <v>0</v>
      </c>
      <c r="K618" s="70">
        <f>'RESUMEN TOTAL'!R729</f>
        <v>0</v>
      </c>
      <c r="L618" s="70">
        <f>'RESUMEN TOTAL'!S729</f>
        <v>0</v>
      </c>
      <c r="M618" s="70">
        <f>'RESUMEN TOTAL'!T729</f>
        <v>0</v>
      </c>
      <c r="N618" s="70">
        <f>'RESUMEN TOTAL'!U729</f>
        <v>0</v>
      </c>
      <c r="O618" s="70">
        <f>'RESUMEN TOTAL'!V729</f>
        <v>0</v>
      </c>
      <c r="P618" s="70">
        <f>'RESUMEN TOTAL'!W729</f>
        <v>0</v>
      </c>
      <c r="Q618" s="70">
        <f>'RESUMEN TOTAL'!X729</f>
        <v>0</v>
      </c>
      <c r="R618" s="70">
        <f>'RESUMEN TOTAL'!Y729</f>
        <v>0</v>
      </c>
      <c r="S618" s="70">
        <f>'RESUMEN TOTAL'!Z729</f>
        <v>0</v>
      </c>
      <c r="T618" s="70">
        <f>'RESUMEN TOTAL'!AA729</f>
        <v>0</v>
      </c>
      <c r="U618" s="70">
        <f>'RESUMEN TOTAL'!AB729</f>
        <v>0</v>
      </c>
      <c r="V618" s="70">
        <f>'RESUMEN TOTAL'!AC729</f>
        <v>0</v>
      </c>
      <c r="W618" s="70">
        <f>'RESUMEN TOTAL'!AD729</f>
        <v>0</v>
      </c>
      <c r="X618" s="70">
        <f>'RESUMEN TOTAL'!AE729</f>
        <v>0</v>
      </c>
      <c r="Y618" s="70">
        <f>'RESUMEN TOTAL'!AF729</f>
        <v>0</v>
      </c>
      <c r="Z618" s="70">
        <f>'RESUMEN TOTAL'!AG729</f>
        <v>0</v>
      </c>
      <c r="AA618" s="70">
        <f>'RESUMEN TOTAL'!AH729</f>
        <v>0</v>
      </c>
      <c r="AB618" s="70">
        <f>'RESUMEN TOTAL'!AI729</f>
        <v>0</v>
      </c>
      <c r="AC618" s="70">
        <f>'RESUMEN TOTAL'!AJ729</f>
        <v>0</v>
      </c>
      <c r="AD618" s="70">
        <f>'RESUMEN TOTAL'!AK729</f>
        <v>0</v>
      </c>
      <c r="AE618" s="70">
        <f>'RESUMEN TOTAL'!AL729</f>
        <v>0</v>
      </c>
      <c r="AF618" s="70">
        <f>'RESUMEN TOTAL'!AM729</f>
        <v>0</v>
      </c>
      <c r="AG618" s="70">
        <f>'RESUMEN TOTAL'!AN729</f>
        <v>0</v>
      </c>
      <c r="AH618" s="70">
        <f>'RESUMEN TOTAL'!AO729</f>
        <v>0</v>
      </c>
      <c r="AI618" s="70">
        <f>'RESUMEN TOTAL'!AP729</f>
        <v>0</v>
      </c>
      <c r="AJ618" s="70">
        <f>'RESUMEN TOTAL'!AQ729</f>
        <v>0</v>
      </c>
    </row>
    <row r="619" spans="1:36" x14ac:dyDescent="0.25">
      <c r="A619">
        <f>'RESUMEN TOTAL'!A730</f>
        <v>0</v>
      </c>
      <c r="B619">
        <f>'RESUMEN TOTAL'!B730</f>
        <v>0</v>
      </c>
      <c r="C619">
        <f>'RESUMEN TOTAL'!D730</f>
        <v>0</v>
      </c>
      <c r="D619" s="30">
        <f>'RESUMEN TOTAL'!E730</f>
        <v>0</v>
      </c>
      <c r="E619" s="30">
        <f>'RESUMEN TOTAL'!F730</f>
        <v>0</v>
      </c>
      <c r="F619" s="70">
        <f>'RESUMEN TOTAL'!M730</f>
        <v>0</v>
      </c>
      <c r="G619" s="70">
        <f>'RESUMEN TOTAL'!N730</f>
        <v>0</v>
      </c>
      <c r="H619" s="70">
        <f>'RESUMEN TOTAL'!O730</f>
        <v>0</v>
      </c>
      <c r="I619" s="70">
        <f>'RESUMEN TOTAL'!P730</f>
        <v>0</v>
      </c>
      <c r="J619" s="70">
        <f>'RESUMEN TOTAL'!Q730</f>
        <v>0</v>
      </c>
      <c r="K619" s="70">
        <f>'RESUMEN TOTAL'!R730</f>
        <v>0</v>
      </c>
      <c r="L619" s="70">
        <f>'RESUMEN TOTAL'!S730</f>
        <v>0</v>
      </c>
      <c r="M619" s="70">
        <f>'RESUMEN TOTAL'!T730</f>
        <v>0</v>
      </c>
      <c r="N619" s="70">
        <f>'RESUMEN TOTAL'!U730</f>
        <v>0</v>
      </c>
      <c r="O619" s="70">
        <f>'RESUMEN TOTAL'!V730</f>
        <v>0</v>
      </c>
      <c r="P619" s="70">
        <f>'RESUMEN TOTAL'!W730</f>
        <v>0</v>
      </c>
      <c r="Q619" s="70">
        <f>'RESUMEN TOTAL'!X730</f>
        <v>0</v>
      </c>
      <c r="R619" s="70">
        <f>'RESUMEN TOTAL'!Y730</f>
        <v>0</v>
      </c>
      <c r="S619" s="70">
        <f>'RESUMEN TOTAL'!Z730</f>
        <v>0</v>
      </c>
      <c r="T619" s="70">
        <f>'RESUMEN TOTAL'!AA730</f>
        <v>0</v>
      </c>
      <c r="U619" s="70">
        <f>'RESUMEN TOTAL'!AB730</f>
        <v>0</v>
      </c>
      <c r="V619" s="70">
        <f>'RESUMEN TOTAL'!AC730</f>
        <v>0</v>
      </c>
      <c r="W619" s="70">
        <f>'RESUMEN TOTAL'!AD730</f>
        <v>0</v>
      </c>
      <c r="X619" s="70">
        <f>'RESUMEN TOTAL'!AE730</f>
        <v>0</v>
      </c>
      <c r="Y619" s="70">
        <f>'RESUMEN TOTAL'!AF730</f>
        <v>0</v>
      </c>
      <c r="Z619" s="70">
        <f>'RESUMEN TOTAL'!AG730</f>
        <v>0</v>
      </c>
      <c r="AA619" s="70">
        <f>'RESUMEN TOTAL'!AH730</f>
        <v>0</v>
      </c>
      <c r="AB619" s="70">
        <f>'RESUMEN TOTAL'!AI730</f>
        <v>0</v>
      </c>
      <c r="AC619" s="70">
        <f>'RESUMEN TOTAL'!AJ730</f>
        <v>0</v>
      </c>
      <c r="AD619" s="70">
        <f>'RESUMEN TOTAL'!AK730</f>
        <v>0</v>
      </c>
      <c r="AE619" s="70">
        <f>'RESUMEN TOTAL'!AL730</f>
        <v>0</v>
      </c>
      <c r="AF619" s="70">
        <f>'RESUMEN TOTAL'!AM730</f>
        <v>0</v>
      </c>
      <c r="AG619" s="70">
        <f>'RESUMEN TOTAL'!AN730</f>
        <v>0</v>
      </c>
      <c r="AH619" s="70">
        <f>'RESUMEN TOTAL'!AO730</f>
        <v>0</v>
      </c>
      <c r="AI619" s="70">
        <f>'RESUMEN TOTAL'!AP730</f>
        <v>0</v>
      </c>
      <c r="AJ619" s="70">
        <f>'RESUMEN TOTAL'!AQ730</f>
        <v>0</v>
      </c>
    </row>
    <row r="620" spans="1:36" x14ac:dyDescent="0.25">
      <c r="A620">
        <f>'RESUMEN TOTAL'!A731</f>
        <v>0</v>
      </c>
      <c r="B620">
        <f>'RESUMEN TOTAL'!B731</f>
        <v>0</v>
      </c>
      <c r="C620">
        <f>'RESUMEN TOTAL'!D731</f>
        <v>0</v>
      </c>
      <c r="D620" s="30">
        <f>'RESUMEN TOTAL'!E731</f>
        <v>0</v>
      </c>
      <c r="E620" s="30">
        <f>'RESUMEN TOTAL'!F731</f>
        <v>0</v>
      </c>
      <c r="F620" s="70">
        <f>'RESUMEN TOTAL'!M731</f>
        <v>0</v>
      </c>
      <c r="G620" s="70">
        <f>'RESUMEN TOTAL'!N731</f>
        <v>0</v>
      </c>
      <c r="H620" s="70">
        <f>'RESUMEN TOTAL'!O731</f>
        <v>0</v>
      </c>
      <c r="I620" s="70">
        <f>'RESUMEN TOTAL'!P731</f>
        <v>0</v>
      </c>
      <c r="J620" s="70">
        <f>'RESUMEN TOTAL'!Q731</f>
        <v>0</v>
      </c>
      <c r="K620" s="70">
        <f>'RESUMEN TOTAL'!R731</f>
        <v>0</v>
      </c>
      <c r="L620" s="70">
        <f>'RESUMEN TOTAL'!S731</f>
        <v>0</v>
      </c>
      <c r="M620" s="70">
        <f>'RESUMEN TOTAL'!T731</f>
        <v>0</v>
      </c>
      <c r="N620" s="70">
        <f>'RESUMEN TOTAL'!U731</f>
        <v>0</v>
      </c>
      <c r="O620" s="70">
        <f>'RESUMEN TOTAL'!V731</f>
        <v>0</v>
      </c>
      <c r="P620" s="70">
        <f>'RESUMEN TOTAL'!W731</f>
        <v>0</v>
      </c>
      <c r="Q620" s="70">
        <f>'RESUMEN TOTAL'!X731</f>
        <v>0</v>
      </c>
      <c r="R620" s="70">
        <f>'RESUMEN TOTAL'!Y731</f>
        <v>0</v>
      </c>
      <c r="S620" s="70">
        <f>'RESUMEN TOTAL'!Z731</f>
        <v>0</v>
      </c>
      <c r="T620" s="70">
        <f>'RESUMEN TOTAL'!AA731</f>
        <v>0</v>
      </c>
      <c r="U620" s="70">
        <f>'RESUMEN TOTAL'!AB731</f>
        <v>0</v>
      </c>
      <c r="V620" s="70">
        <f>'RESUMEN TOTAL'!AC731</f>
        <v>0</v>
      </c>
      <c r="W620" s="70">
        <f>'RESUMEN TOTAL'!AD731</f>
        <v>0</v>
      </c>
      <c r="X620" s="70">
        <f>'RESUMEN TOTAL'!AE731</f>
        <v>0</v>
      </c>
      <c r="Y620" s="70">
        <f>'RESUMEN TOTAL'!AF731</f>
        <v>0</v>
      </c>
      <c r="Z620" s="70">
        <f>'RESUMEN TOTAL'!AG731</f>
        <v>0</v>
      </c>
      <c r="AA620" s="70">
        <f>'RESUMEN TOTAL'!AH731</f>
        <v>0</v>
      </c>
      <c r="AB620" s="70">
        <f>'RESUMEN TOTAL'!AI731</f>
        <v>0</v>
      </c>
      <c r="AC620" s="70">
        <f>'RESUMEN TOTAL'!AJ731</f>
        <v>0</v>
      </c>
      <c r="AD620" s="70">
        <f>'RESUMEN TOTAL'!AK731</f>
        <v>0</v>
      </c>
      <c r="AE620" s="70">
        <f>'RESUMEN TOTAL'!AL731</f>
        <v>0</v>
      </c>
      <c r="AF620" s="70">
        <f>'RESUMEN TOTAL'!AM731</f>
        <v>0</v>
      </c>
      <c r="AG620" s="70">
        <f>'RESUMEN TOTAL'!AN731</f>
        <v>0</v>
      </c>
      <c r="AH620" s="70">
        <f>'RESUMEN TOTAL'!AO731</f>
        <v>0</v>
      </c>
      <c r="AI620" s="70">
        <f>'RESUMEN TOTAL'!AP731</f>
        <v>0</v>
      </c>
      <c r="AJ620" s="70">
        <f>'RESUMEN TOTAL'!AQ731</f>
        <v>0</v>
      </c>
    </row>
    <row r="621" spans="1:36" x14ac:dyDescent="0.25">
      <c r="A621">
        <f>'RESUMEN TOTAL'!A732</f>
        <v>0</v>
      </c>
      <c r="B621">
        <f>'RESUMEN TOTAL'!B732</f>
        <v>0</v>
      </c>
      <c r="C621">
        <f>'RESUMEN TOTAL'!D732</f>
        <v>0</v>
      </c>
      <c r="D621" s="30">
        <f>'RESUMEN TOTAL'!E732</f>
        <v>0</v>
      </c>
      <c r="E621" s="30">
        <f>'RESUMEN TOTAL'!F732</f>
        <v>0</v>
      </c>
      <c r="F621" s="70">
        <f>'RESUMEN TOTAL'!M732</f>
        <v>0</v>
      </c>
      <c r="G621" s="70">
        <f>'RESUMEN TOTAL'!N732</f>
        <v>0</v>
      </c>
      <c r="H621" s="70">
        <f>'RESUMEN TOTAL'!O732</f>
        <v>0</v>
      </c>
      <c r="I621" s="70">
        <f>'RESUMEN TOTAL'!P732</f>
        <v>0</v>
      </c>
      <c r="J621" s="70">
        <f>'RESUMEN TOTAL'!Q732</f>
        <v>0</v>
      </c>
      <c r="K621" s="70">
        <f>'RESUMEN TOTAL'!R732</f>
        <v>0</v>
      </c>
      <c r="L621" s="70">
        <f>'RESUMEN TOTAL'!S732</f>
        <v>0</v>
      </c>
      <c r="M621" s="70">
        <f>'RESUMEN TOTAL'!T732</f>
        <v>0</v>
      </c>
      <c r="N621" s="70">
        <f>'RESUMEN TOTAL'!U732</f>
        <v>0</v>
      </c>
      <c r="O621" s="70">
        <f>'RESUMEN TOTAL'!V732</f>
        <v>0</v>
      </c>
      <c r="P621" s="70">
        <f>'RESUMEN TOTAL'!W732</f>
        <v>0</v>
      </c>
      <c r="Q621" s="70">
        <f>'RESUMEN TOTAL'!X732</f>
        <v>0</v>
      </c>
      <c r="R621" s="70">
        <f>'RESUMEN TOTAL'!Y732</f>
        <v>0</v>
      </c>
      <c r="S621" s="70">
        <f>'RESUMEN TOTAL'!Z732</f>
        <v>0</v>
      </c>
      <c r="T621" s="70">
        <f>'RESUMEN TOTAL'!AA732</f>
        <v>0</v>
      </c>
      <c r="U621" s="70">
        <f>'RESUMEN TOTAL'!AB732</f>
        <v>0</v>
      </c>
      <c r="V621" s="70">
        <f>'RESUMEN TOTAL'!AC732</f>
        <v>0</v>
      </c>
      <c r="W621" s="70">
        <f>'RESUMEN TOTAL'!AD732</f>
        <v>0</v>
      </c>
      <c r="X621" s="70">
        <f>'RESUMEN TOTAL'!AE732</f>
        <v>0</v>
      </c>
      <c r="Y621" s="70">
        <f>'RESUMEN TOTAL'!AF732</f>
        <v>0</v>
      </c>
      <c r="Z621" s="70">
        <f>'RESUMEN TOTAL'!AG732</f>
        <v>0</v>
      </c>
      <c r="AA621" s="70">
        <f>'RESUMEN TOTAL'!AH732</f>
        <v>0</v>
      </c>
      <c r="AB621" s="70">
        <f>'RESUMEN TOTAL'!AI732</f>
        <v>0</v>
      </c>
      <c r="AC621" s="70">
        <f>'RESUMEN TOTAL'!AJ732</f>
        <v>0</v>
      </c>
      <c r="AD621" s="70">
        <f>'RESUMEN TOTAL'!AK732</f>
        <v>0</v>
      </c>
      <c r="AE621" s="70">
        <f>'RESUMEN TOTAL'!AL732</f>
        <v>0</v>
      </c>
      <c r="AF621" s="70">
        <f>'RESUMEN TOTAL'!AM732</f>
        <v>0</v>
      </c>
      <c r="AG621" s="70">
        <f>'RESUMEN TOTAL'!AN732</f>
        <v>0</v>
      </c>
      <c r="AH621" s="70">
        <f>'RESUMEN TOTAL'!AO732</f>
        <v>0</v>
      </c>
      <c r="AI621" s="70">
        <f>'RESUMEN TOTAL'!AP732</f>
        <v>0</v>
      </c>
      <c r="AJ621" s="70">
        <f>'RESUMEN TOTAL'!AQ732</f>
        <v>0</v>
      </c>
    </row>
    <row r="622" spans="1:36" x14ac:dyDescent="0.25">
      <c r="A622">
        <f>'RESUMEN TOTAL'!A733</f>
        <v>0</v>
      </c>
      <c r="B622">
        <f>'RESUMEN TOTAL'!B733</f>
        <v>0</v>
      </c>
      <c r="C622">
        <f>'RESUMEN TOTAL'!D733</f>
        <v>0</v>
      </c>
      <c r="D622" s="30">
        <f>'RESUMEN TOTAL'!E733</f>
        <v>0</v>
      </c>
      <c r="E622" s="30">
        <f>'RESUMEN TOTAL'!F733</f>
        <v>0</v>
      </c>
      <c r="F622" s="70">
        <f>'RESUMEN TOTAL'!M733</f>
        <v>0</v>
      </c>
      <c r="G622" s="70">
        <f>'RESUMEN TOTAL'!N733</f>
        <v>0</v>
      </c>
      <c r="H622" s="70">
        <f>'RESUMEN TOTAL'!O733</f>
        <v>0</v>
      </c>
      <c r="I622" s="70">
        <f>'RESUMEN TOTAL'!P733</f>
        <v>0</v>
      </c>
      <c r="J622" s="70">
        <f>'RESUMEN TOTAL'!Q733</f>
        <v>0</v>
      </c>
      <c r="K622" s="70">
        <f>'RESUMEN TOTAL'!R733</f>
        <v>0</v>
      </c>
      <c r="L622" s="70">
        <f>'RESUMEN TOTAL'!S733</f>
        <v>0</v>
      </c>
      <c r="M622" s="70">
        <f>'RESUMEN TOTAL'!T733</f>
        <v>0</v>
      </c>
      <c r="N622" s="70">
        <f>'RESUMEN TOTAL'!U733</f>
        <v>0</v>
      </c>
      <c r="O622" s="70">
        <f>'RESUMEN TOTAL'!V733</f>
        <v>0</v>
      </c>
      <c r="P622" s="70">
        <f>'RESUMEN TOTAL'!W733</f>
        <v>0</v>
      </c>
      <c r="Q622" s="70">
        <f>'RESUMEN TOTAL'!X733</f>
        <v>0</v>
      </c>
      <c r="R622" s="70">
        <f>'RESUMEN TOTAL'!Y733</f>
        <v>0</v>
      </c>
      <c r="S622" s="70">
        <f>'RESUMEN TOTAL'!Z733</f>
        <v>0</v>
      </c>
      <c r="T622" s="70">
        <f>'RESUMEN TOTAL'!AA733</f>
        <v>0</v>
      </c>
      <c r="U622" s="70">
        <f>'RESUMEN TOTAL'!AB733</f>
        <v>0</v>
      </c>
      <c r="V622" s="70">
        <f>'RESUMEN TOTAL'!AC733</f>
        <v>0</v>
      </c>
      <c r="W622" s="70">
        <f>'RESUMEN TOTAL'!AD733</f>
        <v>0</v>
      </c>
      <c r="X622" s="70">
        <f>'RESUMEN TOTAL'!AE733</f>
        <v>0</v>
      </c>
      <c r="Y622" s="70">
        <f>'RESUMEN TOTAL'!AF733</f>
        <v>0</v>
      </c>
      <c r="Z622" s="70">
        <f>'RESUMEN TOTAL'!AG733</f>
        <v>0</v>
      </c>
      <c r="AA622" s="70">
        <f>'RESUMEN TOTAL'!AH733</f>
        <v>0</v>
      </c>
      <c r="AB622" s="70">
        <f>'RESUMEN TOTAL'!AI733</f>
        <v>0</v>
      </c>
      <c r="AC622" s="70">
        <f>'RESUMEN TOTAL'!AJ733</f>
        <v>0</v>
      </c>
      <c r="AD622" s="70">
        <f>'RESUMEN TOTAL'!AK733</f>
        <v>0</v>
      </c>
      <c r="AE622" s="70">
        <f>'RESUMEN TOTAL'!AL733</f>
        <v>0</v>
      </c>
      <c r="AF622" s="70">
        <f>'RESUMEN TOTAL'!AM733</f>
        <v>0</v>
      </c>
      <c r="AG622" s="70">
        <f>'RESUMEN TOTAL'!AN733</f>
        <v>0</v>
      </c>
      <c r="AH622" s="70">
        <f>'RESUMEN TOTAL'!AO733</f>
        <v>0</v>
      </c>
      <c r="AI622" s="70">
        <f>'RESUMEN TOTAL'!AP733</f>
        <v>0</v>
      </c>
      <c r="AJ622" s="70">
        <f>'RESUMEN TOTAL'!AQ733</f>
        <v>0</v>
      </c>
    </row>
    <row r="623" spans="1:36" x14ac:dyDescent="0.25">
      <c r="A623">
        <f>'RESUMEN TOTAL'!A734</f>
        <v>0</v>
      </c>
      <c r="B623">
        <f>'RESUMEN TOTAL'!B734</f>
        <v>0</v>
      </c>
      <c r="C623">
        <f>'RESUMEN TOTAL'!D734</f>
        <v>0</v>
      </c>
      <c r="D623" s="30">
        <f>'RESUMEN TOTAL'!E734</f>
        <v>0</v>
      </c>
      <c r="E623" s="30">
        <f>'RESUMEN TOTAL'!F734</f>
        <v>0</v>
      </c>
      <c r="F623" s="70">
        <f>'RESUMEN TOTAL'!M734</f>
        <v>0</v>
      </c>
      <c r="G623" s="70">
        <f>'RESUMEN TOTAL'!N734</f>
        <v>0</v>
      </c>
      <c r="H623" s="70">
        <f>'RESUMEN TOTAL'!O734</f>
        <v>0</v>
      </c>
      <c r="I623" s="70">
        <f>'RESUMEN TOTAL'!P734</f>
        <v>0</v>
      </c>
      <c r="J623" s="70">
        <f>'RESUMEN TOTAL'!Q734</f>
        <v>0</v>
      </c>
      <c r="K623" s="70">
        <f>'RESUMEN TOTAL'!R734</f>
        <v>0</v>
      </c>
      <c r="L623" s="70">
        <f>'RESUMEN TOTAL'!S734</f>
        <v>0</v>
      </c>
      <c r="M623" s="70">
        <f>'RESUMEN TOTAL'!T734</f>
        <v>0</v>
      </c>
      <c r="N623" s="70">
        <f>'RESUMEN TOTAL'!U734</f>
        <v>0</v>
      </c>
      <c r="O623" s="70">
        <f>'RESUMEN TOTAL'!V734</f>
        <v>0</v>
      </c>
      <c r="P623" s="70">
        <f>'RESUMEN TOTAL'!W734</f>
        <v>0</v>
      </c>
      <c r="Q623" s="70">
        <f>'RESUMEN TOTAL'!X734</f>
        <v>0</v>
      </c>
      <c r="R623" s="70">
        <f>'RESUMEN TOTAL'!Y734</f>
        <v>0</v>
      </c>
      <c r="S623" s="70">
        <f>'RESUMEN TOTAL'!Z734</f>
        <v>0</v>
      </c>
      <c r="T623" s="70">
        <f>'RESUMEN TOTAL'!AA734</f>
        <v>0</v>
      </c>
      <c r="U623" s="70">
        <f>'RESUMEN TOTAL'!AB734</f>
        <v>0</v>
      </c>
      <c r="V623" s="70">
        <f>'RESUMEN TOTAL'!AC734</f>
        <v>0</v>
      </c>
      <c r="W623" s="70">
        <f>'RESUMEN TOTAL'!AD734</f>
        <v>0</v>
      </c>
      <c r="X623" s="70">
        <f>'RESUMEN TOTAL'!AE734</f>
        <v>0</v>
      </c>
      <c r="Y623" s="70">
        <f>'RESUMEN TOTAL'!AF734</f>
        <v>0</v>
      </c>
      <c r="Z623" s="70">
        <f>'RESUMEN TOTAL'!AG734</f>
        <v>0</v>
      </c>
      <c r="AA623" s="70">
        <f>'RESUMEN TOTAL'!AH734</f>
        <v>0</v>
      </c>
      <c r="AB623" s="70">
        <f>'RESUMEN TOTAL'!AI734</f>
        <v>0</v>
      </c>
      <c r="AC623" s="70">
        <f>'RESUMEN TOTAL'!AJ734</f>
        <v>0</v>
      </c>
      <c r="AD623" s="70">
        <f>'RESUMEN TOTAL'!AK734</f>
        <v>0</v>
      </c>
      <c r="AE623" s="70">
        <f>'RESUMEN TOTAL'!AL734</f>
        <v>0</v>
      </c>
      <c r="AF623" s="70">
        <f>'RESUMEN TOTAL'!AM734</f>
        <v>0</v>
      </c>
      <c r="AG623" s="70">
        <f>'RESUMEN TOTAL'!AN734</f>
        <v>0</v>
      </c>
      <c r="AH623" s="70">
        <f>'RESUMEN TOTAL'!AO734</f>
        <v>0</v>
      </c>
      <c r="AI623" s="70">
        <f>'RESUMEN TOTAL'!AP734</f>
        <v>0</v>
      </c>
      <c r="AJ623" s="70">
        <f>'RESUMEN TOTAL'!AQ734</f>
        <v>0</v>
      </c>
    </row>
    <row r="624" spans="1:36" x14ac:dyDescent="0.25">
      <c r="A624">
        <f>'RESUMEN TOTAL'!A735</f>
        <v>0</v>
      </c>
      <c r="B624">
        <f>'RESUMEN TOTAL'!B735</f>
        <v>0</v>
      </c>
      <c r="C624">
        <f>'RESUMEN TOTAL'!D735</f>
        <v>0</v>
      </c>
      <c r="D624" s="30">
        <f>'RESUMEN TOTAL'!E735</f>
        <v>0</v>
      </c>
      <c r="E624" s="30">
        <f>'RESUMEN TOTAL'!F735</f>
        <v>0</v>
      </c>
      <c r="F624" s="70">
        <f>'RESUMEN TOTAL'!M735</f>
        <v>0</v>
      </c>
      <c r="G624" s="70">
        <f>'RESUMEN TOTAL'!N735</f>
        <v>0</v>
      </c>
      <c r="H624" s="70">
        <f>'RESUMEN TOTAL'!O735</f>
        <v>0</v>
      </c>
      <c r="I624" s="70">
        <f>'RESUMEN TOTAL'!P735</f>
        <v>0</v>
      </c>
      <c r="J624" s="70">
        <f>'RESUMEN TOTAL'!Q735</f>
        <v>0</v>
      </c>
      <c r="K624" s="70">
        <f>'RESUMEN TOTAL'!R735</f>
        <v>0</v>
      </c>
      <c r="L624" s="70">
        <f>'RESUMEN TOTAL'!S735</f>
        <v>0</v>
      </c>
      <c r="M624" s="70">
        <f>'RESUMEN TOTAL'!T735</f>
        <v>0</v>
      </c>
      <c r="N624" s="70">
        <f>'RESUMEN TOTAL'!U735</f>
        <v>0</v>
      </c>
      <c r="O624" s="70">
        <f>'RESUMEN TOTAL'!V735</f>
        <v>0</v>
      </c>
      <c r="P624" s="70">
        <f>'RESUMEN TOTAL'!W735</f>
        <v>0</v>
      </c>
      <c r="Q624" s="70">
        <f>'RESUMEN TOTAL'!X735</f>
        <v>0</v>
      </c>
      <c r="R624" s="70">
        <f>'RESUMEN TOTAL'!Y735</f>
        <v>0</v>
      </c>
      <c r="S624" s="70">
        <f>'RESUMEN TOTAL'!Z735</f>
        <v>0</v>
      </c>
      <c r="T624" s="70">
        <f>'RESUMEN TOTAL'!AA735</f>
        <v>0</v>
      </c>
      <c r="U624" s="70">
        <f>'RESUMEN TOTAL'!AB735</f>
        <v>0</v>
      </c>
      <c r="V624" s="70">
        <f>'RESUMEN TOTAL'!AC735</f>
        <v>0</v>
      </c>
      <c r="W624" s="70">
        <f>'RESUMEN TOTAL'!AD735</f>
        <v>0</v>
      </c>
      <c r="X624" s="70">
        <f>'RESUMEN TOTAL'!AE735</f>
        <v>0</v>
      </c>
      <c r="Y624" s="70">
        <f>'RESUMEN TOTAL'!AF735</f>
        <v>0</v>
      </c>
      <c r="Z624" s="70">
        <f>'RESUMEN TOTAL'!AG735</f>
        <v>0</v>
      </c>
      <c r="AA624" s="70">
        <f>'RESUMEN TOTAL'!AH735</f>
        <v>0</v>
      </c>
      <c r="AB624" s="70">
        <f>'RESUMEN TOTAL'!AI735</f>
        <v>0</v>
      </c>
      <c r="AC624" s="70">
        <f>'RESUMEN TOTAL'!AJ735</f>
        <v>0</v>
      </c>
      <c r="AD624" s="70">
        <f>'RESUMEN TOTAL'!AK735</f>
        <v>0</v>
      </c>
      <c r="AE624" s="70">
        <f>'RESUMEN TOTAL'!AL735</f>
        <v>0</v>
      </c>
      <c r="AF624" s="70">
        <f>'RESUMEN TOTAL'!AM735</f>
        <v>0</v>
      </c>
      <c r="AG624" s="70">
        <f>'RESUMEN TOTAL'!AN735</f>
        <v>0</v>
      </c>
      <c r="AH624" s="70">
        <f>'RESUMEN TOTAL'!AO735</f>
        <v>0</v>
      </c>
      <c r="AI624" s="70">
        <f>'RESUMEN TOTAL'!AP735</f>
        <v>0</v>
      </c>
      <c r="AJ624" s="70">
        <f>'RESUMEN TOTAL'!AQ735</f>
        <v>0</v>
      </c>
    </row>
    <row r="625" spans="1:36" x14ac:dyDescent="0.25">
      <c r="A625">
        <f>'RESUMEN TOTAL'!A736</f>
        <v>0</v>
      </c>
      <c r="B625">
        <f>'RESUMEN TOTAL'!B736</f>
        <v>0</v>
      </c>
      <c r="C625">
        <f>'RESUMEN TOTAL'!D736</f>
        <v>0</v>
      </c>
      <c r="D625" s="30">
        <f>'RESUMEN TOTAL'!E736</f>
        <v>0</v>
      </c>
      <c r="E625" s="30">
        <f>'RESUMEN TOTAL'!F736</f>
        <v>0</v>
      </c>
      <c r="F625" s="70">
        <f>'RESUMEN TOTAL'!M736</f>
        <v>0</v>
      </c>
      <c r="G625" s="70">
        <f>'RESUMEN TOTAL'!N736</f>
        <v>0</v>
      </c>
      <c r="H625" s="70">
        <f>'RESUMEN TOTAL'!O736</f>
        <v>0</v>
      </c>
      <c r="I625" s="70">
        <f>'RESUMEN TOTAL'!P736</f>
        <v>0</v>
      </c>
      <c r="J625" s="70">
        <f>'RESUMEN TOTAL'!Q736</f>
        <v>0</v>
      </c>
      <c r="K625" s="70">
        <f>'RESUMEN TOTAL'!R736</f>
        <v>0</v>
      </c>
      <c r="L625" s="70">
        <f>'RESUMEN TOTAL'!S736</f>
        <v>0</v>
      </c>
      <c r="M625" s="70">
        <f>'RESUMEN TOTAL'!T736</f>
        <v>0</v>
      </c>
      <c r="N625" s="70">
        <f>'RESUMEN TOTAL'!U736</f>
        <v>0</v>
      </c>
      <c r="O625" s="70">
        <f>'RESUMEN TOTAL'!V736</f>
        <v>0</v>
      </c>
      <c r="P625" s="70">
        <f>'RESUMEN TOTAL'!W736</f>
        <v>0</v>
      </c>
      <c r="Q625" s="70">
        <f>'RESUMEN TOTAL'!X736</f>
        <v>0</v>
      </c>
      <c r="R625" s="70">
        <f>'RESUMEN TOTAL'!Y736</f>
        <v>0</v>
      </c>
      <c r="S625" s="70">
        <f>'RESUMEN TOTAL'!Z736</f>
        <v>0</v>
      </c>
      <c r="T625" s="70">
        <f>'RESUMEN TOTAL'!AA736</f>
        <v>0</v>
      </c>
      <c r="U625" s="70">
        <f>'RESUMEN TOTAL'!AB736</f>
        <v>0</v>
      </c>
      <c r="V625" s="70">
        <f>'RESUMEN TOTAL'!AC736</f>
        <v>0</v>
      </c>
      <c r="W625" s="70">
        <f>'RESUMEN TOTAL'!AD736</f>
        <v>0</v>
      </c>
      <c r="X625" s="70">
        <f>'RESUMEN TOTAL'!AE736</f>
        <v>0</v>
      </c>
      <c r="Y625" s="70">
        <f>'RESUMEN TOTAL'!AF736</f>
        <v>0</v>
      </c>
      <c r="Z625" s="70">
        <f>'RESUMEN TOTAL'!AG736</f>
        <v>0</v>
      </c>
      <c r="AA625" s="70">
        <f>'RESUMEN TOTAL'!AH736</f>
        <v>0</v>
      </c>
      <c r="AB625" s="70">
        <f>'RESUMEN TOTAL'!AI736</f>
        <v>0</v>
      </c>
      <c r="AC625" s="70">
        <f>'RESUMEN TOTAL'!AJ736</f>
        <v>0</v>
      </c>
      <c r="AD625" s="70">
        <f>'RESUMEN TOTAL'!AK736</f>
        <v>0</v>
      </c>
      <c r="AE625" s="70">
        <f>'RESUMEN TOTAL'!AL736</f>
        <v>0</v>
      </c>
      <c r="AF625" s="70">
        <f>'RESUMEN TOTAL'!AM736</f>
        <v>0</v>
      </c>
      <c r="AG625" s="70">
        <f>'RESUMEN TOTAL'!AN736</f>
        <v>0</v>
      </c>
      <c r="AH625" s="70">
        <f>'RESUMEN TOTAL'!AO736</f>
        <v>0</v>
      </c>
      <c r="AI625" s="70">
        <f>'RESUMEN TOTAL'!AP736</f>
        <v>0</v>
      </c>
      <c r="AJ625" s="70">
        <f>'RESUMEN TOTAL'!AQ736</f>
        <v>0</v>
      </c>
    </row>
    <row r="626" spans="1:36" x14ac:dyDescent="0.25">
      <c r="A626">
        <f>'RESUMEN TOTAL'!A737</f>
        <v>0</v>
      </c>
      <c r="B626">
        <f>'RESUMEN TOTAL'!B737</f>
        <v>0</v>
      </c>
      <c r="C626">
        <f>'RESUMEN TOTAL'!D737</f>
        <v>0</v>
      </c>
      <c r="D626" s="30">
        <f>'RESUMEN TOTAL'!E737</f>
        <v>0</v>
      </c>
      <c r="E626" s="30">
        <f>'RESUMEN TOTAL'!F737</f>
        <v>0</v>
      </c>
      <c r="F626" s="70">
        <f>'RESUMEN TOTAL'!M737</f>
        <v>0</v>
      </c>
      <c r="G626" s="70">
        <f>'RESUMEN TOTAL'!N737</f>
        <v>0</v>
      </c>
      <c r="H626" s="70">
        <f>'RESUMEN TOTAL'!O737</f>
        <v>0</v>
      </c>
      <c r="I626" s="70">
        <f>'RESUMEN TOTAL'!P737</f>
        <v>0</v>
      </c>
      <c r="J626" s="70">
        <f>'RESUMEN TOTAL'!Q737</f>
        <v>0</v>
      </c>
      <c r="K626" s="70">
        <f>'RESUMEN TOTAL'!R737</f>
        <v>0</v>
      </c>
      <c r="L626" s="70">
        <f>'RESUMEN TOTAL'!S737</f>
        <v>0</v>
      </c>
      <c r="M626" s="70">
        <f>'RESUMEN TOTAL'!T737</f>
        <v>0</v>
      </c>
      <c r="N626" s="70">
        <f>'RESUMEN TOTAL'!U737</f>
        <v>0</v>
      </c>
      <c r="O626" s="70">
        <f>'RESUMEN TOTAL'!V737</f>
        <v>0</v>
      </c>
      <c r="P626" s="70">
        <f>'RESUMEN TOTAL'!W737</f>
        <v>0</v>
      </c>
      <c r="Q626" s="70">
        <f>'RESUMEN TOTAL'!X737</f>
        <v>0</v>
      </c>
      <c r="R626" s="70">
        <f>'RESUMEN TOTAL'!Y737</f>
        <v>0</v>
      </c>
      <c r="S626" s="70">
        <f>'RESUMEN TOTAL'!Z737</f>
        <v>0</v>
      </c>
      <c r="T626" s="70">
        <f>'RESUMEN TOTAL'!AA737</f>
        <v>0</v>
      </c>
      <c r="U626" s="70">
        <f>'RESUMEN TOTAL'!AB737</f>
        <v>0</v>
      </c>
      <c r="V626" s="70">
        <f>'RESUMEN TOTAL'!AC737</f>
        <v>0</v>
      </c>
      <c r="W626" s="70">
        <f>'RESUMEN TOTAL'!AD737</f>
        <v>0</v>
      </c>
      <c r="X626" s="70">
        <f>'RESUMEN TOTAL'!AE737</f>
        <v>0</v>
      </c>
      <c r="Y626" s="70">
        <f>'RESUMEN TOTAL'!AF737</f>
        <v>0</v>
      </c>
      <c r="Z626" s="70">
        <f>'RESUMEN TOTAL'!AG737</f>
        <v>0</v>
      </c>
      <c r="AA626" s="70">
        <f>'RESUMEN TOTAL'!AH737</f>
        <v>0</v>
      </c>
      <c r="AB626" s="70">
        <f>'RESUMEN TOTAL'!AI737</f>
        <v>0</v>
      </c>
      <c r="AC626" s="70">
        <f>'RESUMEN TOTAL'!AJ737</f>
        <v>0</v>
      </c>
      <c r="AD626" s="70">
        <f>'RESUMEN TOTAL'!AK737</f>
        <v>0</v>
      </c>
      <c r="AE626" s="70">
        <f>'RESUMEN TOTAL'!AL737</f>
        <v>0</v>
      </c>
      <c r="AF626" s="70">
        <f>'RESUMEN TOTAL'!AM737</f>
        <v>0</v>
      </c>
      <c r="AG626" s="70">
        <f>'RESUMEN TOTAL'!AN737</f>
        <v>0</v>
      </c>
      <c r="AH626" s="70">
        <f>'RESUMEN TOTAL'!AO737</f>
        <v>0</v>
      </c>
      <c r="AI626" s="70">
        <f>'RESUMEN TOTAL'!AP737</f>
        <v>0</v>
      </c>
      <c r="AJ626" s="70">
        <f>'RESUMEN TOTAL'!AQ737</f>
        <v>0</v>
      </c>
    </row>
    <row r="627" spans="1:36" x14ac:dyDescent="0.25">
      <c r="A627">
        <f>'RESUMEN TOTAL'!A738</f>
        <v>0</v>
      </c>
      <c r="B627">
        <f>'RESUMEN TOTAL'!B738</f>
        <v>0</v>
      </c>
      <c r="C627">
        <f>'RESUMEN TOTAL'!D738</f>
        <v>0</v>
      </c>
      <c r="D627" s="30">
        <f>'RESUMEN TOTAL'!E738</f>
        <v>0</v>
      </c>
      <c r="E627" s="30">
        <f>'RESUMEN TOTAL'!F738</f>
        <v>0</v>
      </c>
      <c r="F627" s="70">
        <f>'RESUMEN TOTAL'!M738</f>
        <v>0</v>
      </c>
      <c r="G627" s="70">
        <f>'RESUMEN TOTAL'!N738</f>
        <v>0</v>
      </c>
      <c r="H627" s="70">
        <f>'RESUMEN TOTAL'!O738</f>
        <v>0</v>
      </c>
      <c r="I627" s="70">
        <f>'RESUMEN TOTAL'!P738</f>
        <v>0</v>
      </c>
      <c r="J627" s="70">
        <f>'RESUMEN TOTAL'!Q738</f>
        <v>0</v>
      </c>
      <c r="K627" s="70">
        <f>'RESUMEN TOTAL'!R738</f>
        <v>0</v>
      </c>
      <c r="L627" s="70">
        <f>'RESUMEN TOTAL'!S738</f>
        <v>0</v>
      </c>
      <c r="M627" s="70">
        <f>'RESUMEN TOTAL'!T738</f>
        <v>0</v>
      </c>
      <c r="N627" s="70">
        <f>'RESUMEN TOTAL'!U738</f>
        <v>0</v>
      </c>
      <c r="O627" s="70">
        <f>'RESUMEN TOTAL'!V738</f>
        <v>0</v>
      </c>
      <c r="P627" s="70">
        <f>'RESUMEN TOTAL'!W738</f>
        <v>0</v>
      </c>
      <c r="Q627" s="70">
        <f>'RESUMEN TOTAL'!X738</f>
        <v>0</v>
      </c>
      <c r="R627" s="70">
        <f>'RESUMEN TOTAL'!Y738</f>
        <v>0</v>
      </c>
      <c r="S627" s="70">
        <f>'RESUMEN TOTAL'!Z738</f>
        <v>0</v>
      </c>
      <c r="T627" s="70">
        <f>'RESUMEN TOTAL'!AA738</f>
        <v>0</v>
      </c>
      <c r="U627" s="70">
        <f>'RESUMEN TOTAL'!AB738</f>
        <v>0</v>
      </c>
      <c r="V627" s="70">
        <f>'RESUMEN TOTAL'!AC738</f>
        <v>0</v>
      </c>
      <c r="W627" s="70">
        <f>'RESUMEN TOTAL'!AD738</f>
        <v>0</v>
      </c>
      <c r="X627" s="70">
        <f>'RESUMEN TOTAL'!AE738</f>
        <v>0</v>
      </c>
      <c r="Y627" s="70">
        <f>'RESUMEN TOTAL'!AF738</f>
        <v>0</v>
      </c>
      <c r="Z627" s="70">
        <f>'RESUMEN TOTAL'!AG738</f>
        <v>0</v>
      </c>
      <c r="AA627" s="70">
        <f>'RESUMEN TOTAL'!AH738</f>
        <v>0</v>
      </c>
      <c r="AB627" s="70">
        <f>'RESUMEN TOTAL'!AI738</f>
        <v>0</v>
      </c>
      <c r="AC627" s="70">
        <f>'RESUMEN TOTAL'!AJ738</f>
        <v>0</v>
      </c>
      <c r="AD627" s="70">
        <f>'RESUMEN TOTAL'!AK738</f>
        <v>0</v>
      </c>
      <c r="AE627" s="70">
        <f>'RESUMEN TOTAL'!AL738</f>
        <v>0</v>
      </c>
      <c r="AF627" s="70">
        <f>'RESUMEN TOTAL'!AM738</f>
        <v>0</v>
      </c>
      <c r="AG627" s="70">
        <f>'RESUMEN TOTAL'!AN738</f>
        <v>0</v>
      </c>
      <c r="AH627" s="70">
        <f>'RESUMEN TOTAL'!AO738</f>
        <v>0</v>
      </c>
      <c r="AI627" s="70">
        <f>'RESUMEN TOTAL'!AP738</f>
        <v>0</v>
      </c>
      <c r="AJ627" s="70">
        <f>'RESUMEN TOTAL'!AQ738</f>
        <v>0</v>
      </c>
    </row>
    <row r="628" spans="1:36" x14ac:dyDescent="0.25">
      <c r="A628">
        <f>'RESUMEN TOTAL'!A739</f>
        <v>0</v>
      </c>
      <c r="B628">
        <f>'RESUMEN TOTAL'!B739</f>
        <v>0</v>
      </c>
      <c r="C628">
        <f>'RESUMEN TOTAL'!D739</f>
        <v>0</v>
      </c>
      <c r="D628" s="30">
        <f>'RESUMEN TOTAL'!E739</f>
        <v>0</v>
      </c>
      <c r="E628" s="30">
        <f>'RESUMEN TOTAL'!F739</f>
        <v>0</v>
      </c>
      <c r="F628" s="70">
        <f>'RESUMEN TOTAL'!M739</f>
        <v>0</v>
      </c>
      <c r="G628" s="70">
        <f>'RESUMEN TOTAL'!N739</f>
        <v>0</v>
      </c>
      <c r="H628" s="70">
        <f>'RESUMEN TOTAL'!O739</f>
        <v>0</v>
      </c>
      <c r="I628" s="70">
        <f>'RESUMEN TOTAL'!P739</f>
        <v>0</v>
      </c>
      <c r="J628" s="70">
        <f>'RESUMEN TOTAL'!Q739</f>
        <v>0</v>
      </c>
      <c r="K628" s="70">
        <f>'RESUMEN TOTAL'!R739</f>
        <v>0</v>
      </c>
      <c r="L628" s="70">
        <f>'RESUMEN TOTAL'!S739</f>
        <v>0</v>
      </c>
      <c r="M628" s="70">
        <f>'RESUMEN TOTAL'!T739</f>
        <v>0</v>
      </c>
      <c r="N628" s="70">
        <f>'RESUMEN TOTAL'!U739</f>
        <v>0</v>
      </c>
      <c r="O628" s="70">
        <f>'RESUMEN TOTAL'!V739</f>
        <v>0</v>
      </c>
      <c r="P628" s="70">
        <f>'RESUMEN TOTAL'!W739</f>
        <v>0</v>
      </c>
      <c r="Q628" s="70">
        <f>'RESUMEN TOTAL'!X739</f>
        <v>0</v>
      </c>
      <c r="R628" s="70">
        <f>'RESUMEN TOTAL'!Y739</f>
        <v>0</v>
      </c>
      <c r="S628" s="70">
        <f>'RESUMEN TOTAL'!Z739</f>
        <v>0</v>
      </c>
      <c r="T628" s="70">
        <f>'RESUMEN TOTAL'!AA739</f>
        <v>0</v>
      </c>
      <c r="U628" s="70">
        <f>'RESUMEN TOTAL'!AB739</f>
        <v>0</v>
      </c>
      <c r="V628" s="70">
        <f>'RESUMEN TOTAL'!AC739</f>
        <v>0</v>
      </c>
      <c r="W628" s="70">
        <f>'RESUMEN TOTAL'!AD739</f>
        <v>0</v>
      </c>
      <c r="X628" s="70">
        <f>'RESUMEN TOTAL'!AE739</f>
        <v>0</v>
      </c>
      <c r="Y628" s="70">
        <f>'RESUMEN TOTAL'!AF739</f>
        <v>0</v>
      </c>
      <c r="Z628" s="70">
        <f>'RESUMEN TOTAL'!AG739</f>
        <v>0</v>
      </c>
      <c r="AA628" s="70">
        <f>'RESUMEN TOTAL'!AH739</f>
        <v>0</v>
      </c>
      <c r="AB628" s="70">
        <f>'RESUMEN TOTAL'!AI739</f>
        <v>0</v>
      </c>
      <c r="AC628" s="70">
        <f>'RESUMEN TOTAL'!AJ739</f>
        <v>0</v>
      </c>
      <c r="AD628" s="70">
        <f>'RESUMEN TOTAL'!AK739</f>
        <v>0</v>
      </c>
      <c r="AE628" s="70">
        <f>'RESUMEN TOTAL'!AL739</f>
        <v>0</v>
      </c>
      <c r="AF628" s="70">
        <f>'RESUMEN TOTAL'!AM739</f>
        <v>0</v>
      </c>
      <c r="AG628" s="70">
        <f>'RESUMEN TOTAL'!AN739</f>
        <v>0</v>
      </c>
      <c r="AH628" s="70">
        <f>'RESUMEN TOTAL'!AO739</f>
        <v>0</v>
      </c>
      <c r="AI628" s="70">
        <f>'RESUMEN TOTAL'!AP739</f>
        <v>0</v>
      </c>
      <c r="AJ628" s="70">
        <f>'RESUMEN TOTAL'!AQ739</f>
        <v>0</v>
      </c>
    </row>
    <row r="629" spans="1:36" x14ac:dyDescent="0.25">
      <c r="A629">
        <f>'RESUMEN TOTAL'!A740</f>
        <v>0</v>
      </c>
      <c r="B629">
        <f>'RESUMEN TOTAL'!B740</f>
        <v>0</v>
      </c>
      <c r="C629">
        <f>'RESUMEN TOTAL'!D740</f>
        <v>0</v>
      </c>
      <c r="D629" s="30">
        <f>'RESUMEN TOTAL'!E740</f>
        <v>0</v>
      </c>
      <c r="E629" s="30">
        <f>'RESUMEN TOTAL'!F740</f>
        <v>0</v>
      </c>
      <c r="F629" s="70">
        <f>'RESUMEN TOTAL'!M740</f>
        <v>0</v>
      </c>
      <c r="G629" s="70">
        <f>'RESUMEN TOTAL'!N740</f>
        <v>0</v>
      </c>
      <c r="H629" s="70">
        <f>'RESUMEN TOTAL'!O740</f>
        <v>0</v>
      </c>
      <c r="I629" s="70">
        <f>'RESUMEN TOTAL'!P740</f>
        <v>0</v>
      </c>
      <c r="J629" s="70">
        <f>'RESUMEN TOTAL'!Q740</f>
        <v>0</v>
      </c>
      <c r="K629" s="70">
        <f>'RESUMEN TOTAL'!R740</f>
        <v>0</v>
      </c>
      <c r="L629" s="70">
        <f>'RESUMEN TOTAL'!S740</f>
        <v>0</v>
      </c>
      <c r="M629" s="70">
        <f>'RESUMEN TOTAL'!T740</f>
        <v>0</v>
      </c>
      <c r="N629" s="70">
        <f>'RESUMEN TOTAL'!U740</f>
        <v>0</v>
      </c>
      <c r="O629" s="70">
        <f>'RESUMEN TOTAL'!V740</f>
        <v>0</v>
      </c>
      <c r="P629" s="70">
        <f>'RESUMEN TOTAL'!W740</f>
        <v>0</v>
      </c>
      <c r="Q629" s="70">
        <f>'RESUMEN TOTAL'!X740</f>
        <v>0</v>
      </c>
      <c r="R629" s="70">
        <f>'RESUMEN TOTAL'!Y740</f>
        <v>0</v>
      </c>
      <c r="S629" s="70">
        <f>'RESUMEN TOTAL'!Z740</f>
        <v>0</v>
      </c>
      <c r="T629" s="70">
        <f>'RESUMEN TOTAL'!AA740</f>
        <v>0</v>
      </c>
      <c r="U629" s="70">
        <f>'RESUMEN TOTAL'!AB740</f>
        <v>0</v>
      </c>
      <c r="V629" s="70">
        <f>'RESUMEN TOTAL'!AC740</f>
        <v>0</v>
      </c>
      <c r="W629" s="70">
        <f>'RESUMEN TOTAL'!AD740</f>
        <v>0</v>
      </c>
      <c r="X629" s="70">
        <f>'RESUMEN TOTAL'!AE740</f>
        <v>0</v>
      </c>
      <c r="Y629" s="70">
        <f>'RESUMEN TOTAL'!AF740</f>
        <v>0</v>
      </c>
      <c r="Z629" s="70">
        <f>'RESUMEN TOTAL'!AG740</f>
        <v>0</v>
      </c>
      <c r="AA629" s="70">
        <f>'RESUMEN TOTAL'!AH740</f>
        <v>0</v>
      </c>
      <c r="AB629" s="70">
        <f>'RESUMEN TOTAL'!AI740</f>
        <v>0</v>
      </c>
      <c r="AC629" s="70">
        <f>'RESUMEN TOTAL'!AJ740</f>
        <v>0</v>
      </c>
      <c r="AD629" s="70">
        <f>'RESUMEN TOTAL'!AK740</f>
        <v>0</v>
      </c>
      <c r="AE629" s="70">
        <f>'RESUMEN TOTAL'!AL740</f>
        <v>0</v>
      </c>
      <c r="AF629" s="70">
        <f>'RESUMEN TOTAL'!AM740</f>
        <v>0</v>
      </c>
      <c r="AG629" s="70">
        <f>'RESUMEN TOTAL'!AN740</f>
        <v>0</v>
      </c>
      <c r="AH629" s="70">
        <f>'RESUMEN TOTAL'!AO740</f>
        <v>0</v>
      </c>
      <c r="AI629" s="70">
        <f>'RESUMEN TOTAL'!AP740</f>
        <v>0</v>
      </c>
      <c r="AJ629" s="70">
        <f>'RESUMEN TOTAL'!AQ740</f>
        <v>0</v>
      </c>
    </row>
    <row r="630" spans="1:36" x14ac:dyDescent="0.25">
      <c r="A630">
        <f>'RESUMEN TOTAL'!A741</f>
        <v>0</v>
      </c>
      <c r="B630">
        <f>'RESUMEN TOTAL'!B741</f>
        <v>0</v>
      </c>
      <c r="C630">
        <f>'RESUMEN TOTAL'!D741</f>
        <v>0</v>
      </c>
      <c r="D630" s="30">
        <f>'RESUMEN TOTAL'!E741</f>
        <v>0</v>
      </c>
      <c r="E630" s="30">
        <f>'RESUMEN TOTAL'!F741</f>
        <v>0</v>
      </c>
      <c r="F630" s="70">
        <f>'RESUMEN TOTAL'!M741</f>
        <v>0</v>
      </c>
      <c r="G630" s="70">
        <f>'RESUMEN TOTAL'!N741</f>
        <v>0</v>
      </c>
      <c r="H630" s="70">
        <f>'RESUMEN TOTAL'!O741</f>
        <v>0</v>
      </c>
      <c r="I630" s="70">
        <f>'RESUMEN TOTAL'!P741</f>
        <v>0</v>
      </c>
      <c r="J630" s="70">
        <f>'RESUMEN TOTAL'!Q741</f>
        <v>0</v>
      </c>
      <c r="K630" s="70">
        <f>'RESUMEN TOTAL'!R741</f>
        <v>0</v>
      </c>
      <c r="L630" s="70">
        <f>'RESUMEN TOTAL'!S741</f>
        <v>0</v>
      </c>
      <c r="M630" s="70">
        <f>'RESUMEN TOTAL'!T741</f>
        <v>0</v>
      </c>
      <c r="N630" s="70">
        <f>'RESUMEN TOTAL'!U741</f>
        <v>0</v>
      </c>
      <c r="O630" s="70">
        <f>'RESUMEN TOTAL'!V741</f>
        <v>0</v>
      </c>
      <c r="P630" s="70">
        <f>'RESUMEN TOTAL'!W741</f>
        <v>0</v>
      </c>
      <c r="Q630" s="70">
        <f>'RESUMEN TOTAL'!X741</f>
        <v>0</v>
      </c>
      <c r="R630" s="70">
        <f>'RESUMEN TOTAL'!Y741</f>
        <v>0</v>
      </c>
      <c r="S630" s="70">
        <f>'RESUMEN TOTAL'!Z741</f>
        <v>0</v>
      </c>
      <c r="T630" s="70">
        <f>'RESUMEN TOTAL'!AA741</f>
        <v>0</v>
      </c>
      <c r="U630" s="70">
        <f>'RESUMEN TOTAL'!AB741</f>
        <v>0</v>
      </c>
      <c r="V630" s="70">
        <f>'RESUMEN TOTAL'!AC741</f>
        <v>0</v>
      </c>
      <c r="W630" s="70">
        <f>'RESUMEN TOTAL'!AD741</f>
        <v>0</v>
      </c>
      <c r="X630" s="70">
        <f>'RESUMEN TOTAL'!AE741</f>
        <v>0</v>
      </c>
      <c r="Y630" s="70">
        <f>'RESUMEN TOTAL'!AF741</f>
        <v>0</v>
      </c>
      <c r="Z630" s="70">
        <f>'RESUMEN TOTAL'!AG741</f>
        <v>0</v>
      </c>
      <c r="AA630" s="70">
        <f>'RESUMEN TOTAL'!AH741</f>
        <v>0</v>
      </c>
      <c r="AB630" s="70">
        <f>'RESUMEN TOTAL'!AI741</f>
        <v>0</v>
      </c>
      <c r="AC630" s="70">
        <f>'RESUMEN TOTAL'!AJ741</f>
        <v>0</v>
      </c>
      <c r="AD630" s="70">
        <f>'RESUMEN TOTAL'!AK741</f>
        <v>0</v>
      </c>
      <c r="AE630" s="70">
        <f>'RESUMEN TOTAL'!AL741</f>
        <v>0</v>
      </c>
      <c r="AF630" s="70">
        <f>'RESUMEN TOTAL'!AM741</f>
        <v>0</v>
      </c>
      <c r="AG630" s="70">
        <f>'RESUMEN TOTAL'!AN741</f>
        <v>0</v>
      </c>
      <c r="AH630" s="70">
        <f>'RESUMEN TOTAL'!AO741</f>
        <v>0</v>
      </c>
      <c r="AI630" s="70">
        <f>'RESUMEN TOTAL'!AP741</f>
        <v>0</v>
      </c>
      <c r="AJ630" s="70">
        <f>'RESUMEN TOTAL'!AQ741</f>
        <v>0</v>
      </c>
    </row>
    <row r="631" spans="1:36" x14ac:dyDescent="0.25">
      <c r="A631">
        <f>'RESUMEN TOTAL'!A742</f>
        <v>0</v>
      </c>
      <c r="B631">
        <f>'RESUMEN TOTAL'!B742</f>
        <v>0</v>
      </c>
      <c r="C631">
        <f>'RESUMEN TOTAL'!D742</f>
        <v>0</v>
      </c>
      <c r="D631" s="30">
        <f>'RESUMEN TOTAL'!E742</f>
        <v>0</v>
      </c>
      <c r="E631" s="30">
        <f>'RESUMEN TOTAL'!F742</f>
        <v>0</v>
      </c>
      <c r="F631" s="70">
        <f>'RESUMEN TOTAL'!M742</f>
        <v>0</v>
      </c>
      <c r="G631" s="70">
        <f>'RESUMEN TOTAL'!N742</f>
        <v>0</v>
      </c>
      <c r="H631" s="70">
        <f>'RESUMEN TOTAL'!O742</f>
        <v>0</v>
      </c>
      <c r="I631" s="70">
        <f>'RESUMEN TOTAL'!P742</f>
        <v>0</v>
      </c>
      <c r="J631" s="70">
        <f>'RESUMEN TOTAL'!Q742</f>
        <v>0</v>
      </c>
      <c r="K631" s="70">
        <f>'RESUMEN TOTAL'!R742</f>
        <v>0</v>
      </c>
      <c r="L631" s="70">
        <f>'RESUMEN TOTAL'!S742</f>
        <v>0</v>
      </c>
      <c r="M631" s="70">
        <f>'RESUMEN TOTAL'!T742</f>
        <v>0</v>
      </c>
      <c r="N631" s="70">
        <f>'RESUMEN TOTAL'!U742</f>
        <v>0</v>
      </c>
      <c r="O631" s="70">
        <f>'RESUMEN TOTAL'!V742</f>
        <v>0</v>
      </c>
      <c r="P631" s="70">
        <f>'RESUMEN TOTAL'!W742</f>
        <v>0</v>
      </c>
      <c r="Q631" s="70">
        <f>'RESUMEN TOTAL'!X742</f>
        <v>0</v>
      </c>
      <c r="R631" s="70">
        <f>'RESUMEN TOTAL'!Y742</f>
        <v>0</v>
      </c>
      <c r="S631" s="70">
        <f>'RESUMEN TOTAL'!Z742</f>
        <v>0</v>
      </c>
      <c r="T631" s="70">
        <f>'RESUMEN TOTAL'!AA742</f>
        <v>0</v>
      </c>
      <c r="U631" s="70">
        <f>'RESUMEN TOTAL'!AB742</f>
        <v>0</v>
      </c>
      <c r="V631" s="70">
        <f>'RESUMEN TOTAL'!AC742</f>
        <v>0</v>
      </c>
      <c r="W631" s="70">
        <f>'RESUMEN TOTAL'!AD742</f>
        <v>0</v>
      </c>
      <c r="X631" s="70">
        <f>'RESUMEN TOTAL'!AE742</f>
        <v>0</v>
      </c>
      <c r="Y631" s="70">
        <f>'RESUMEN TOTAL'!AF742</f>
        <v>0</v>
      </c>
      <c r="Z631" s="70">
        <f>'RESUMEN TOTAL'!AG742</f>
        <v>0</v>
      </c>
      <c r="AA631" s="70">
        <f>'RESUMEN TOTAL'!AH742</f>
        <v>0</v>
      </c>
      <c r="AB631" s="70">
        <f>'RESUMEN TOTAL'!AI742</f>
        <v>0</v>
      </c>
      <c r="AC631" s="70">
        <f>'RESUMEN TOTAL'!AJ742</f>
        <v>0</v>
      </c>
      <c r="AD631" s="70">
        <f>'RESUMEN TOTAL'!AK742</f>
        <v>0</v>
      </c>
      <c r="AE631" s="70">
        <f>'RESUMEN TOTAL'!AL742</f>
        <v>0</v>
      </c>
      <c r="AF631" s="70">
        <f>'RESUMEN TOTAL'!AM742</f>
        <v>0</v>
      </c>
      <c r="AG631" s="70">
        <f>'RESUMEN TOTAL'!AN742</f>
        <v>0</v>
      </c>
      <c r="AH631" s="70">
        <f>'RESUMEN TOTAL'!AO742</f>
        <v>0</v>
      </c>
      <c r="AI631" s="70">
        <f>'RESUMEN TOTAL'!AP742</f>
        <v>0</v>
      </c>
      <c r="AJ631" s="70">
        <f>'RESUMEN TOTAL'!AQ742</f>
        <v>0</v>
      </c>
    </row>
    <row r="632" spans="1:36" x14ac:dyDescent="0.25">
      <c r="A632">
        <f>'RESUMEN TOTAL'!A743</f>
        <v>0</v>
      </c>
      <c r="B632">
        <f>'RESUMEN TOTAL'!B743</f>
        <v>0</v>
      </c>
      <c r="C632">
        <f>'RESUMEN TOTAL'!D743</f>
        <v>0</v>
      </c>
      <c r="D632" s="30">
        <f>'RESUMEN TOTAL'!E743</f>
        <v>0</v>
      </c>
      <c r="E632" s="30">
        <f>'RESUMEN TOTAL'!F743</f>
        <v>0</v>
      </c>
      <c r="F632" s="70">
        <f>'RESUMEN TOTAL'!M743</f>
        <v>0</v>
      </c>
      <c r="G632" s="70">
        <f>'RESUMEN TOTAL'!N743</f>
        <v>0</v>
      </c>
      <c r="H632" s="70">
        <f>'RESUMEN TOTAL'!O743</f>
        <v>0</v>
      </c>
      <c r="I632" s="70">
        <f>'RESUMEN TOTAL'!P743</f>
        <v>0</v>
      </c>
      <c r="J632" s="70">
        <f>'RESUMEN TOTAL'!Q743</f>
        <v>0</v>
      </c>
      <c r="K632" s="70">
        <f>'RESUMEN TOTAL'!R743</f>
        <v>0</v>
      </c>
      <c r="L632" s="70">
        <f>'RESUMEN TOTAL'!S743</f>
        <v>0</v>
      </c>
      <c r="M632" s="70">
        <f>'RESUMEN TOTAL'!T743</f>
        <v>0</v>
      </c>
      <c r="N632" s="70">
        <f>'RESUMEN TOTAL'!U743</f>
        <v>0</v>
      </c>
      <c r="O632" s="70">
        <f>'RESUMEN TOTAL'!V743</f>
        <v>0</v>
      </c>
      <c r="P632" s="70">
        <f>'RESUMEN TOTAL'!W743</f>
        <v>0</v>
      </c>
      <c r="Q632" s="70">
        <f>'RESUMEN TOTAL'!X743</f>
        <v>0</v>
      </c>
      <c r="R632" s="70">
        <f>'RESUMEN TOTAL'!Y743</f>
        <v>0</v>
      </c>
      <c r="S632" s="70">
        <f>'RESUMEN TOTAL'!Z743</f>
        <v>0</v>
      </c>
      <c r="T632" s="70">
        <f>'RESUMEN TOTAL'!AA743</f>
        <v>0</v>
      </c>
      <c r="U632" s="70">
        <f>'RESUMEN TOTAL'!AB743</f>
        <v>0</v>
      </c>
      <c r="V632" s="70">
        <f>'RESUMEN TOTAL'!AC743</f>
        <v>0</v>
      </c>
      <c r="W632" s="70">
        <f>'RESUMEN TOTAL'!AD743</f>
        <v>0</v>
      </c>
      <c r="X632" s="70">
        <f>'RESUMEN TOTAL'!AE743</f>
        <v>0</v>
      </c>
      <c r="Y632" s="70">
        <f>'RESUMEN TOTAL'!AF743</f>
        <v>0</v>
      </c>
      <c r="Z632" s="70">
        <f>'RESUMEN TOTAL'!AG743</f>
        <v>0</v>
      </c>
      <c r="AA632" s="70">
        <f>'RESUMEN TOTAL'!AH743</f>
        <v>0</v>
      </c>
      <c r="AB632" s="70">
        <f>'RESUMEN TOTAL'!AI743</f>
        <v>0</v>
      </c>
      <c r="AC632" s="70">
        <f>'RESUMEN TOTAL'!AJ743</f>
        <v>0</v>
      </c>
      <c r="AD632" s="70">
        <f>'RESUMEN TOTAL'!AK743</f>
        <v>0</v>
      </c>
      <c r="AE632" s="70">
        <f>'RESUMEN TOTAL'!AL743</f>
        <v>0</v>
      </c>
      <c r="AF632" s="70">
        <f>'RESUMEN TOTAL'!AM743</f>
        <v>0</v>
      </c>
      <c r="AG632" s="70">
        <f>'RESUMEN TOTAL'!AN743</f>
        <v>0</v>
      </c>
      <c r="AH632" s="70">
        <f>'RESUMEN TOTAL'!AO743</f>
        <v>0</v>
      </c>
      <c r="AI632" s="70">
        <f>'RESUMEN TOTAL'!AP743</f>
        <v>0</v>
      </c>
      <c r="AJ632" s="70">
        <f>'RESUMEN TOTAL'!AQ743</f>
        <v>0</v>
      </c>
    </row>
    <row r="633" spans="1:36" x14ac:dyDescent="0.25">
      <c r="A633">
        <f>'RESUMEN TOTAL'!A744</f>
        <v>0</v>
      </c>
      <c r="B633">
        <f>'RESUMEN TOTAL'!B744</f>
        <v>0</v>
      </c>
      <c r="C633">
        <f>'RESUMEN TOTAL'!D744</f>
        <v>0</v>
      </c>
      <c r="D633" s="30">
        <f>'RESUMEN TOTAL'!E744</f>
        <v>0</v>
      </c>
      <c r="E633" s="30">
        <f>'RESUMEN TOTAL'!F744</f>
        <v>0</v>
      </c>
      <c r="F633" s="70">
        <f>'RESUMEN TOTAL'!M744</f>
        <v>0</v>
      </c>
      <c r="G633" s="70">
        <f>'RESUMEN TOTAL'!N744</f>
        <v>0</v>
      </c>
      <c r="H633" s="70">
        <f>'RESUMEN TOTAL'!O744</f>
        <v>0</v>
      </c>
      <c r="I633" s="70">
        <f>'RESUMEN TOTAL'!P744</f>
        <v>0</v>
      </c>
      <c r="J633" s="70">
        <f>'RESUMEN TOTAL'!Q744</f>
        <v>0</v>
      </c>
      <c r="K633" s="70">
        <f>'RESUMEN TOTAL'!R744</f>
        <v>0</v>
      </c>
      <c r="L633" s="70">
        <f>'RESUMEN TOTAL'!S744</f>
        <v>0</v>
      </c>
      <c r="M633" s="70">
        <f>'RESUMEN TOTAL'!T744</f>
        <v>0</v>
      </c>
      <c r="N633" s="70">
        <f>'RESUMEN TOTAL'!U744</f>
        <v>0</v>
      </c>
      <c r="O633" s="70">
        <f>'RESUMEN TOTAL'!V744</f>
        <v>0</v>
      </c>
      <c r="P633" s="70">
        <f>'RESUMEN TOTAL'!W744</f>
        <v>0</v>
      </c>
      <c r="Q633" s="70">
        <f>'RESUMEN TOTAL'!X744</f>
        <v>0</v>
      </c>
      <c r="R633" s="70">
        <f>'RESUMEN TOTAL'!Y744</f>
        <v>0</v>
      </c>
      <c r="S633" s="70">
        <f>'RESUMEN TOTAL'!Z744</f>
        <v>0</v>
      </c>
      <c r="T633" s="70">
        <f>'RESUMEN TOTAL'!AA744</f>
        <v>0</v>
      </c>
      <c r="U633" s="70">
        <f>'RESUMEN TOTAL'!AB744</f>
        <v>0</v>
      </c>
      <c r="V633" s="70">
        <f>'RESUMEN TOTAL'!AC744</f>
        <v>0</v>
      </c>
      <c r="W633" s="70">
        <f>'RESUMEN TOTAL'!AD744</f>
        <v>0</v>
      </c>
      <c r="X633" s="70">
        <f>'RESUMEN TOTAL'!AE744</f>
        <v>0</v>
      </c>
      <c r="Y633" s="70">
        <f>'RESUMEN TOTAL'!AF744</f>
        <v>0</v>
      </c>
      <c r="Z633" s="70">
        <f>'RESUMEN TOTAL'!AG744</f>
        <v>0</v>
      </c>
      <c r="AA633" s="70">
        <f>'RESUMEN TOTAL'!AH744</f>
        <v>0</v>
      </c>
      <c r="AB633" s="70">
        <f>'RESUMEN TOTAL'!AI744</f>
        <v>0</v>
      </c>
      <c r="AC633" s="70">
        <f>'RESUMEN TOTAL'!AJ744</f>
        <v>0</v>
      </c>
      <c r="AD633" s="70">
        <f>'RESUMEN TOTAL'!AK744</f>
        <v>0</v>
      </c>
      <c r="AE633" s="70">
        <f>'RESUMEN TOTAL'!AL744</f>
        <v>0</v>
      </c>
      <c r="AF633" s="70">
        <f>'RESUMEN TOTAL'!AM744</f>
        <v>0</v>
      </c>
      <c r="AG633" s="70">
        <f>'RESUMEN TOTAL'!AN744</f>
        <v>0</v>
      </c>
      <c r="AH633" s="70">
        <f>'RESUMEN TOTAL'!AO744</f>
        <v>0</v>
      </c>
      <c r="AI633" s="70">
        <f>'RESUMEN TOTAL'!AP744</f>
        <v>0</v>
      </c>
      <c r="AJ633" s="70">
        <f>'RESUMEN TOTAL'!AQ744</f>
        <v>0</v>
      </c>
    </row>
    <row r="634" spans="1:36" x14ac:dyDescent="0.25">
      <c r="A634">
        <f>'RESUMEN TOTAL'!A745</f>
        <v>0</v>
      </c>
      <c r="B634">
        <f>'RESUMEN TOTAL'!B745</f>
        <v>0</v>
      </c>
      <c r="C634">
        <f>'RESUMEN TOTAL'!D745</f>
        <v>0</v>
      </c>
      <c r="D634" s="30">
        <f>'RESUMEN TOTAL'!E745</f>
        <v>0</v>
      </c>
      <c r="E634" s="30">
        <f>'RESUMEN TOTAL'!F745</f>
        <v>0</v>
      </c>
      <c r="F634" s="70">
        <f>'RESUMEN TOTAL'!M745</f>
        <v>0</v>
      </c>
      <c r="G634" s="70">
        <f>'RESUMEN TOTAL'!N745</f>
        <v>0</v>
      </c>
      <c r="H634" s="70">
        <f>'RESUMEN TOTAL'!O745</f>
        <v>0</v>
      </c>
      <c r="I634" s="70">
        <f>'RESUMEN TOTAL'!P745</f>
        <v>0</v>
      </c>
      <c r="J634" s="70">
        <f>'RESUMEN TOTAL'!Q745</f>
        <v>0</v>
      </c>
      <c r="K634" s="70">
        <f>'RESUMEN TOTAL'!R745</f>
        <v>0</v>
      </c>
      <c r="L634" s="70">
        <f>'RESUMEN TOTAL'!S745</f>
        <v>0</v>
      </c>
      <c r="M634" s="70">
        <f>'RESUMEN TOTAL'!T745</f>
        <v>0</v>
      </c>
      <c r="N634" s="70">
        <f>'RESUMEN TOTAL'!U745</f>
        <v>0</v>
      </c>
      <c r="O634" s="70">
        <f>'RESUMEN TOTAL'!V745</f>
        <v>0</v>
      </c>
      <c r="P634" s="70">
        <f>'RESUMEN TOTAL'!W745</f>
        <v>0</v>
      </c>
      <c r="Q634" s="70">
        <f>'RESUMEN TOTAL'!X745</f>
        <v>0</v>
      </c>
      <c r="R634" s="70">
        <f>'RESUMEN TOTAL'!Y745</f>
        <v>0</v>
      </c>
      <c r="S634" s="70">
        <f>'RESUMEN TOTAL'!Z745</f>
        <v>0</v>
      </c>
      <c r="T634" s="70">
        <f>'RESUMEN TOTAL'!AA745</f>
        <v>0</v>
      </c>
      <c r="U634" s="70">
        <f>'RESUMEN TOTAL'!AB745</f>
        <v>0</v>
      </c>
      <c r="V634" s="70">
        <f>'RESUMEN TOTAL'!AC745</f>
        <v>0</v>
      </c>
      <c r="W634" s="70">
        <f>'RESUMEN TOTAL'!AD745</f>
        <v>0</v>
      </c>
      <c r="X634" s="70">
        <f>'RESUMEN TOTAL'!AE745</f>
        <v>0</v>
      </c>
      <c r="Y634" s="70">
        <f>'RESUMEN TOTAL'!AF745</f>
        <v>0</v>
      </c>
      <c r="Z634" s="70">
        <f>'RESUMEN TOTAL'!AG745</f>
        <v>0</v>
      </c>
      <c r="AA634" s="70">
        <f>'RESUMEN TOTAL'!AH745</f>
        <v>0</v>
      </c>
      <c r="AB634" s="70">
        <f>'RESUMEN TOTAL'!AI745</f>
        <v>0</v>
      </c>
      <c r="AC634" s="70">
        <f>'RESUMEN TOTAL'!AJ745</f>
        <v>0</v>
      </c>
      <c r="AD634" s="70">
        <f>'RESUMEN TOTAL'!AK745</f>
        <v>0</v>
      </c>
      <c r="AE634" s="70">
        <f>'RESUMEN TOTAL'!AL745</f>
        <v>0</v>
      </c>
      <c r="AF634" s="70">
        <f>'RESUMEN TOTAL'!AM745</f>
        <v>0</v>
      </c>
      <c r="AG634" s="70">
        <f>'RESUMEN TOTAL'!AN745</f>
        <v>0</v>
      </c>
      <c r="AH634" s="70">
        <f>'RESUMEN TOTAL'!AO745</f>
        <v>0</v>
      </c>
      <c r="AI634" s="70">
        <f>'RESUMEN TOTAL'!AP745</f>
        <v>0</v>
      </c>
      <c r="AJ634" s="70">
        <f>'RESUMEN TOTAL'!AQ745</f>
        <v>0</v>
      </c>
    </row>
    <row r="635" spans="1:36" x14ac:dyDescent="0.25">
      <c r="A635">
        <f>'RESUMEN TOTAL'!A746</f>
        <v>0</v>
      </c>
      <c r="B635">
        <f>'RESUMEN TOTAL'!B746</f>
        <v>0</v>
      </c>
      <c r="C635">
        <f>'RESUMEN TOTAL'!D746</f>
        <v>0</v>
      </c>
      <c r="D635" s="30">
        <f>'RESUMEN TOTAL'!E746</f>
        <v>0</v>
      </c>
      <c r="E635" s="30">
        <f>'RESUMEN TOTAL'!F746</f>
        <v>0</v>
      </c>
      <c r="F635" s="70">
        <f>'RESUMEN TOTAL'!M746</f>
        <v>0</v>
      </c>
      <c r="G635" s="70">
        <f>'RESUMEN TOTAL'!N746</f>
        <v>0</v>
      </c>
      <c r="H635" s="70">
        <f>'RESUMEN TOTAL'!O746</f>
        <v>0</v>
      </c>
      <c r="I635" s="70">
        <f>'RESUMEN TOTAL'!P746</f>
        <v>0</v>
      </c>
      <c r="J635" s="70">
        <f>'RESUMEN TOTAL'!Q746</f>
        <v>0</v>
      </c>
      <c r="K635" s="70">
        <f>'RESUMEN TOTAL'!R746</f>
        <v>0</v>
      </c>
      <c r="L635" s="70">
        <f>'RESUMEN TOTAL'!S746</f>
        <v>0</v>
      </c>
      <c r="M635" s="70">
        <f>'RESUMEN TOTAL'!T746</f>
        <v>0</v>
      </c>
      <c r="N635" s="70">
        <f>'RESUMEN TOTAL'!U746</f>
        <v>0</v>
      </c>
      <c r="O635" s="70">
        <f>'RESUMEN TOTAL'!V746</f>
        <v>0</v>
      </c>
      <c r="P635" s="70">
        <f>'RESUMEN TOTAL'!W746</f>
        <v>0</v>
      </c>
      <c r="Q635" s="70">
        <f>'RESUMEN TOTAL'!X746</f>
        <v>0</v>
      </c>
      <c r="R635" s="70">
        <f>'RESUMEN TOTAL'!Y746</f>
        <v>0</v>
      </c>
      <c r="S635" s="70">
        <f>'RESUMEN TOTAL'!Z746</f>
        <v>0</v>
      </c>
      <c r="T635" s="70">
        <f>'RESUMEN TOTAL'!AA746</f>
        <v>0</v>
      </c>
      <c r="U635" s="70">
        <f>'RESUMEN TOTAL'!AB746</f>
        <v>0</v>
      </c>
      <c r="V635" s="70">
        <f>'RESUMEN TOTAL'!AC746</f>
        <v>0</v>
      </c>
      <c r="W635" s="70">
        <f>'RESUMEN TOTAL'!AD746</f>
        <v>0</v>
      </c>
      <c r="X635" s="70">
        <f>'RESUMEN TOTAL'!AE746</f>
        <v>0</v>
      </c>
      <c r="Y635" s="70">
        <f>'RESUMEN TOTAL'!AF746</f>
        <v>0</v>
      </c>
      <c r="Z635" s="70">
        <f>'RESUMEN TOTAL'!AG746</f>
        <v>0</v>
      </c>
      <c r="AA635" s="70">
        <f>'RESUMEN TOTAL'!AH746</f>
        <v>0</v>
      </c>
      <c r="AB635" s="70">
        <f>'RESUMEN TOTAL'!AI746</f>
        <v>0</v>
      </c>
      <c r="AC635" s="70">
        <f>'RESUMEN TOTAL'!AJ746</f>
        <v>0</v>
      </c>
      <c r="AD635" s="70">
        <f>'RESUMEN TOTAL'!AK746</f>
        <v>0</v>
      </c>
      <c r="AE635" s="70">
        <f>'RESUMEN TOTAL'!AL746</f>
        <v>0</v>
      </c>
      <c r="AF635" s="70">
        <f>'RESUMEN TOTAL'!AM746</f>
        <v>0</v>
      </c>
      <c r="AG635" s="70">
        <f>'RESUMEN TOTAL'!AN746</f>
        <v>0</v>
      </c>
      <c r="AH635" s="70">
        <f>'RESUMEN TOTAL'!AO746</f>
        <v>0</v>
      </c>
      <c r="AI635" s="70">
        <f>'RESUMEN TOTAL'!AP746</f>
        <v>0</v>
      </c>
      <c r="AJ635" s="70">
        <f>'RESUMEN TOTAL'!AQ746</f>
        <v>0</v>
      </c>
    </row>
    <row r="636" spans="1:36" x14ac:dyDescent="0.25">
      <c r="A636">
        <f>'RESUMEN TOTAL'!A747</f>
        <v>0</v>
      </c>
      <c r="B636">
        <f>'RESUMEN TOTAL'!B747</f>
        <v>0</v>
      </c>
      <c r="C636">
        <f>'RESUMEN TOTAL'!D747</f>
        <v>0</v>
      </c>
      <c r="D636" s="30">
        <f>'RESUMEN TOTAL'!E747</f>
        <v>0</v>
      </c>
      <c r="E636" s="30">
        <f>'RESUMEN TOTAL'!F747</f>
        <v>0</v>
      </c>
      <c r="F636" s="70">
        <f>'RESUMEN TOTAL'!M747</f>
        <v>0</v>
      </c>
      <c r="G636" s="70">
        <f>'RESUMEN TOTAL'!N747</f>
        <v>0</v>
      </c>
      <c r="H636" s="70">
        <f>'RESUMEN TOTAL'!O747</f>
        <v>0</v>
      </c>
      <c r="I636" s="70">
        <f>'RESUMEN TOTAL'!P747</f>
        <v>0</v>
      </c>
      <c r="J636" s="70">
        <f>'RESUMEN TOTAL'!Q747</f>
        <v>0</v>
      </c>
      <c r="K636" s="70">
        <f>'RESUMEN TOTAL'!R747</f>
        <v>0</v>
      </c>
      <c r="L636" s="70">
        <f>'RESUMEN TOTAL'!S747</f>
        <v>0</v>
      </c>
      <c r="M636" s="70">
        <f>'RESUMEN TOTAL'!T747</f>
        <v>0</v>
      </c>
      <c r="N636" s="70">
        <f>'RESUMEN TOTAL'!U747</f>
        <v>0</v>
      </c>
      <c r="O636" s="70">
        <f>'RESUMEN TOTAL'!V747</f>
        <v>0</v>
      </c>
      <c r="P636" s="70">
        <f>'RESUMEN TOTAL'!W747</f>
        <v>0</v>
      </c>
      <c r="Q636" s="70">
        <f>'RESUMEN TOTAL'!X747</f>
        <v>0</v>
      </c>
      <c r="R636" s="70">
        <f>'RESUMEN TOTAL'!Y747</f>
        <v>0</v>
      </c>
      <c r="S636" s="70">
        <f>'RESUMEN TOTAL'!Z747</f>
        <v>0</v>
      </c>
      <c r="T636" s="70">
        <f>'RESUMEN TOTAL'!AA747</f>
        <v>0</v>
      </c>
      <c r="U636" s="70">
        <f>'RESUMEN TOTAL'!AB747</f>
        <v>0</v>
      </c>
      <c r="V636" s="70">
        <f>'RESUMEN TOTAL'!AC747</f>
        <v>0</v>
      </c>
      <c r="W636" s="70">
        <f>'RESUMEN TOTAL'!AD747</f>
        <v>0</v>
      </c>
      <c r="X636" s="70">
        <f>'RESUMEN TOTAL'!AE747</f>
        <v>0</v>
      </c>
      <c r="Y636" s="70">
        <f>'RESUMEN TOTAL'!AF747</f>
        <v>0</v>
      </c>
      <c r="Z636" s="70">
        <f>'RESUMEN TOTAL'!AG747</f>
        <v>0</v>
      </c>
      <c r="AA636" s="70">
        <f>'RESUMEN TOTAL'!AH747</f>
        <v>0</v>
      </c>
      <c r="AB636" s="70">
        <f>'RESUMEN TOTAL'!AI747</f>
        <v>0</v>
      </c>
      <c r="AC636" s="70">
        <f>'RESUMEN TOTAL'!AJ747</f>
        <v>0</v>
      </c>
      <c r="AD636" s="70">
        <f>'RESUMEN TOTAL'!AK747</f>
        <v>0</v>
      </c>
      <c r="AE636" s="70">
        <f>'RESUMEN TOTAL'!AL747</f>
        <v>0</v>
      </c>
      <c r="AF636" s="70">
        <f>'RESUMEN TOTAL'!AM747</f>
        <v>0</v>
      </c>
      <c r="AG636" s="70">
        <f>'RESUMEN TOTAL'!AN747</f>
        <v>0</v>
      </c>
      <c r="AH636" s="70">
        <f>'RESUMEN TOTAL'!AO747</f>
        <v>0</v>
      </c>
      <c r="AI636" s="70">
        <f>'RESUMEN TOTAL'!AP747</f>
        <v>0</v>
      </c>
      <c r="AJ636" s="70">
        <f>'RESUMEN TOTAL'!AQ747</f>
        <v>0</v>
      </c>
    </row>
    <row r="637" spans="1:36" x14ac:dyDescent="0.25">
      <c r="A637">
        <f>'RESUMEN TOTAL'!A748</f>
        <v>0</v>
      </c>
      <c r="B637">
        <f>'RESUMEN TOTAL'!B748</f>
        <v>0</v>
      </c>
      <c r="C637">
        <f>'RESUMEN TOTAL'!D748</f>
        <v>0</v>
      </c>
      <c r="D637" s="30">
        <f>'RESUMEN TOTAL'!E748</f>
        <v>0</v>
      </c>
      <c r="E637" s="30">
        <f>'RESUMEN TOTAL'!F748</f>
        <v>0</v>
      </c>
      <c r="F637" s="70">
        <f>'RESUMEN TOTAL'!M748</f>
        <v>0</v>
      </c>
      <c r="G637" s="70">
        <f>'RESUMEN TOTAL'!N748</f>
        <v>0</v>
      </c>
      <c r="H637" s="70">
        <f>'RESUMEN TOTAL'!O748</f>
        <v>0</v>
      </c>
      <c r="I637" s="70">
        <f>'RESUMEN TOTAL'!P748</f>
        <v>0</v>
      </c>
      <c r="J637" s="70">
        <f>'RESUMEN TOTAL'!Q748</f>
        <v>0</v>
      </c>
      <c r="K637" s="70">
        <f>'RESUMEN TOTAL'!R748</f>
        <v>0</v>
      </c>
      <c r="L637" s="70">
        <f>'RESUMEN TOTAL'!S748</f>
        <v>0</v>
      </c>
      <c r="M637" s="70">
        <f>'RESUMEN TOTAL'!T748</f>
        <v>0</v>
      </c>
      <c r="N637" s="70">
        <f>'RESUMEN TOTAL'!U748</f>
        <v>0</v>
      </c>
      <c r="O637" s="70">
        <f>'RESUMEN TOTAL'!V748</f>
        <v>0</v>
      </c>
      <c r="P637" s="70">
        <f>'RESUMEN TOTAL'!W748</f>
        <v>0</v>
      </c>
      <c r="Q637" s="70">
        <f>'RESUMEN TOTAL'!X748</f>
        <v>0</v>
      </c>
      <c r="R637" s="70">
        <f>'RESUMEN TOTAL'!Y748</f>
        <v>0</v>
      </c>
      <c r="S637" s="70">
        <f>'RESUMEN TOTAL'!Z748</f>
        <v>0</v>
      </c>
      <c r="T637" s="70">
        <f>'RESUMEN TOTAL'!AA748</f>
        <v>0</v>
      </c>
      <c r="U637" s="70">
        <f>'RESUMEN TOTAL'!AB748</f>
        <v>0</v>
      </c>
      <c r="V637" s="70">
        <f>'RESUMEN TOTAL'!AC748</f>
        <v>0</v>
      </c>
      <c r="W637" s="70">
        <f>'RESUMEN TOTAL'!AD748</f>
        <v>0</v>
      </c>
      <c r="X637" s="70">
        <f>'RESUMEN TOTAL'!AE748</f>
        <v>0</v>
      </c>
      <c r="Y637" s="70">
        <f>'RESUMEN TOTAL'!AF748</f>
        <v>0</v>
      </c>
      <c r="Z637" s="70">
        <f>'RESUMEN TOTAL'!AG748</f>
        <v>0</v>
      </c>
      <c r="AA637" s="70">
        <f>'RESUMEN TOTAL'!AH748</f>
        <v>0</v>
      </c>
      <c r="AB637" s="70">
        <f>'RESUMEN TOTAL'!AI748</f>
        <v>0</v>
      </c>
      <c r="AC637" s="70">
        <f>'RESUMEN TOTAL'!AJ748</f>
        <v>0</v>
      </c>
      <c r="AD637" s="70">
        <f>'RESUMEN TOTAL'!AK748</f>
        <v>0</v>
      </c>
      <c r="AE637" s="70">
        <f>'RESUMEN TOTAL'!AL748</f>
        <v>0</v>
      </c>
      <c r="AF637" s="70">
        <f>'RESUMEN TOTAL'!AM748</f>
        <v>0</v>
      </c>
      <c r="AG637" s="70">
        <f>'RESUMEN TOTAL'!AN748</f>
        <v>0</v>
      </c>
      <c r="AH637" s="70">
        <f>'RESUMEN TOTAL'!AO748</f>
        <v>0</v>
      </c>
      <c r="AI637" s="70">
        <f>'RESUMEN TOTAL'!AP748</f>
        <v>0</v>
      </c>
      <c r="AJ637" s="70">
        <f>'RESUMEN TOTAL'!AQ748</f>
        <v>0</v>
      </c>
    </row>
    <row r="638" spans="1:36" x14ac:dyDescent="0.25">
      <c r="A638">
        <f>'RESUMEN TOTAL'!A749</f>
        <v>0</v>
      </c>
      <c r="B638">
        <f>'RESUMEN TOTAL'!B749</f>
        <v>0</v>
      </c>
      <c r="C638">
        <f>'RESUMEN TOTAL'!D749</f>
        <v>0</v>
      </c>
      <c r="D638" s="30">
        <f>'RESUMEN TOTAL'!E749</f>
        <v>0</v>
      </c>
      <c r="E638" s="30">
        <f>'RESUMEN TOTAL'!F749</f>
        <v>0</v>
      </c>
      <c r="F638" s="70">
        <f>'RESUMEN TOTAL'!M749</f>
        <v>0</v>
      </c>
      <c r="G638" s="70">
        <f>'RESUMEN TOTAL'!N749</f>
        <v>0</v>
      </c>
      <c r="H638" s="70">
        <f>'RESUMEN TOTAL'!O749</f>
        <v>0</v>
      </c>
      <c r="I638" s="70">
        <f>'RESUMEN TOTAL'!P749</f>
        <v>0</v>
      </c>
      <c r="J638" s="70">
        <f>'RESUMEN TOTAL'!Q749</f>
        <v>0</v>
      </c>
      <c r="K638" s="70">
        <f>'RESUMEN TOTAL'!R749</f>
        <v>0</v>
      </c>
      <c r="L638" s="70">
        <f>'RESUMEN TOTAL'!S749</f>
        <v>0</v>
      </c>
      <c r="M638" s="70">
        <f>'RESUMEN TOTAL'!T749</f>
        <v>0</v>
      </c>
      <c r="N638" s="70">
        <f>'RESUMEN TOTAL'!U749</f>
        <v>0</v>
      </c>
      <c r="O638" s="70">
        <f>'RESUMEN TOTAL'!V749</f>
        <v>0</v>
      </c>
      <c r="P638" s="70">
        <f>'RESUMEN TOTAL'!W749</f>
        <v>0</v>
      </c>
      <c r="Q638" s="70">
        <f>'RESUMEN TOTAL'!X749</f>
        <v>0</v>
      </c>
      <c r="R638" s="70">
        <f>'RESUMEN TOTAL'!Y749</f>
        <v>0</v>
      </c>
      <c r="S638" s="70">
        <f>'RESUMEN TOTAL'!Z749</f>
        <v>0</v>
      </c>
      <c r="T638" s="70">
        <f>'RESUMEN TOTAL'!AA749</f>
        <v>0</v>
      </c>
      <c r="U638" s="70">
        <f>'RESUMEN TOTAL'!AB749</f>
        <v>0</v>
      </c>
      <c r="V638" s="70">
        <f>'RESUMEN TOTAL'!AC749</f>
        <v>0</v>
      </c>
      <c r="W638" s="70">
        <f>'RESUMEN TOTAL'!AD749</f>
        <v>0</v>
      </c>
      <c r="X638" s="70">
        <f>'RESUMEN TOTAL'!AE749</f>
        <v>0</v>
      </c>
      <c r="Y638" s="70">
        <f>'RESUMEN TOTAL'!AF749</f>
        <v>0</v>
      </c>
      <c r="Z638" s="70">
        <f>'RESUMEN TOTAL'!AG749</f>
        <v>0</v>
      </c>
      <c r="AA638" s="70">
        <f>'RESUMEN TOTAL'!AH749</f>
        <v>0</v>
      </c>
      <c r="AB638" s="70">
        <f>'RESUMEN TOTAL'!AI749</f>
        <v>0</v>
      </c>
      <c r="AC638" s="70">
        <f>'RESUMEN TOTAL'!AJ749</f>
        <v>0</v>
      </c>
      <c r="AD638" s="70">
        <f>'RESUMEN TOTAL'!AK749</f>
        <v>0</v>
      </c>
      <c r="AE638" s="70">
        <f>'RESUMEN TOTAL'!AL749</f>
        <v>0</v>
      </c>
      <c r="AF638" s="70">
        <f>'RESUMEN TOTAL'!AM749</f>
        <v>0</v>
      </c>
      <c r="AG638" s="70">
        <f>'RESUMEN TOTAL'!AN749</f>
        <v>0</v>
      </c>
      <c r="AH638" s="70">
        <f>'RESUMEN TOTAL'!AO749</f>
        <v>0</v>
      </c>
      <c r="AI638" s="70">
        <f>'RESUMEN TOTAL'!AP749</f>
        <v>0</v>
      </c>
      <c r="AJ638" s="70">
        <f>'RESUMEN TOTAL'!AQ749</f>
        <v>0</v>
      </c>
    </row>
    <row r="639" spans="1:36" x14ac:dyDescent="0.25">
      <c r="A639">
        <f>'RESUMEN TOTAL'!A750</f>
        <v>0</v>
      </c>
      <c r="B639">
        <f>'RESUMEN TOTAL'!B750</f>
        <v>0</v>
      </c>
      <c r="C639">
        <f>'RESUMEN TOTAL'!D750</f>
        <v>0</v>
      </c>
      <c r="D639" s="30">
        <f>'RESUMEN TOTAL'!E750</f>
        <v>0</v>
      </c>
      <c r="E639" s="30">
        <f>'RESUMEN TOTAL'!F750</f>
        <v>0</v>
      </c>
      <c r="F639" s="70">
        <f>'RESUMEN TOTAL'!M750</f>
        <v>0</v>
      </c>
      <c r="G639" s="70">
        <f>'RESUMEN TOTAL'!N750</f>
        <v>0</v>
      </c>
      <c r="H639" s="70">
        <f>'RESUMEN TOTAL'!O750</f>
        <v>0</v>
      </c>
      <c r="I639" s="70">
        <f>'RESUMEN TOTAL'!P750</f>
        <v>0</v>
      </c>
      <c r="J639" s="70">
        <f>'RESUMEN TOTAL'!Q750</f>
        <v>0</v>
      </c>
      <c r="K639" s="70">
        <f>'RESUMEN TOTAL'!R750</f>
        <v>0</v>
      </c>
      <c r="L639" s="70">
        <f>'RESUMEN TOTAL'!S750</f>
        <v>0</v>
      </c>
      <c r="M639" s="70">
        <f>'RESUMEN TOTAL'!T750</f>
        <v>0</v>
      </c>
      <c r="N639" s="70">
        <f>'RESUMEN TOTAL'!U750</f>
        <v>0</v>
      </c>
      <c r="O639" s="70">
        <f>'RESUMEN TOTAL'!V750</f>
        <v>0</v>
      </c>
      <c r="P639" s="70">
        <f>'RESUMEN TOTAL'!W750</f>
        <v>0</v>
      </c>
      <c r="Q639" s="70">
        <f>'RESUMEN TOTAL'!X750</f>
        <v>0</v>
      </c>
      <c r="R639" s="70">
        <f>'RESUMEN TOTAL'!Y750</f>
        <v>0</v>
      </c>
      <c r="S639" s="70">
        <f>'RESUMEN TOTAL'!Z750</f>
        <v>0</v>
      </c>
      <c r="T639" s="70">
        <f>'RESUMEN TOTAL'!AA750</f>
        <v>0</v>
      </c>
      <c r="U639" s="70">
        <f>'RESUMEN TOTAL'!AB750</f>
        <v>0</v>
      </c>
      <c r="V639" s="70">
        <f>'RESUMEN TOTAL'!AC750</f>
        <v>0</v>
      </c>
      <c r="W639" s="70">
        <f>'RESUMEN TOTAL'!AD750</f>
        <v>0</v>
      </c>
      <c r="X639" s="70">
        <f>'RESUMEN TOTAL'!AE750</f>
        <v>0</v>
      </c>
      <c r="Y639" s="70">
        <f>'RESUMEN TOTAL'!AF750</f>
        <v>0</v>
      </c>
      <c r="Z639" s="70">
        <f>'RESUMEN TOTAL'!AG750</f>
        <v>0</v>
      </c>
      <c r="AA639" s="70">
        <f>'RESUMEN TOTAL'!AH750</f>
        <v>0</v>
      </c>
      <c r="AB639" s="70">
        <f>'RESUMEN TOTAL'!AI750</f>
        <v>0</v>
      </c>
      <c r="AC639" s="70">
        <f>'RESUMEN TOTAL'!AJ750</f>
        <v>0</v>
      </c>
      <c r="AD639" s="70">
        <f>'RESUMEN TOTAL'!AK750</f>
        <v>0</v>
      </c>
      <c r="AE639" s="70">
        <f>'RESUMEN TOTAL'!AL750</f>
        <v>0</v>
      </c>
      <c r="AF639" s="70">
        <f>'RESUMEN TOTAL'!AM750</f>
        <v>0</v>
      </c>
      <c r="AG639" s="70">
        <f>'RESUMEN TOTAL'!AN750</f>
        <v>0</v>
      </c>
      <c r="AH639" s="70">
        <f>'RESUMEN TOTAL'!AO750</f>
        <v>0</v>
      </c>
      <c r="AI639" s="70">
        <f>'RESUMEN TOTAL'!AP750</f>
        <v>0</v>
      </c>
      <c r="AJ639" s="70">
        <f>'RESUMEN TOTAL'!AQ750</f>
        <v>0</v>
      </c>
    </row>
    <row r="640" spans="1:36" x14ac:dyDescent="0.25">
      <c r="A640">
        <f>'RESUMEN TOTAL'!A751</f>
        <v>0</v>
      </c>
      <c r="B640">
        <f>'RESUMEN TOTAL'!B751</f>
        <v>0</v>
      </c>
      <c r="C640">
        <f>'RESUMEN TOTAL'!D751</f>
        <v>0</v>
      </c>
      <c r="D640" s="30">
        <f>'RESUMEN TOTAL'!E751</f>
        <v>0</v>
      </c>
      <c r="E640" s="30">
        <f>'RESUMEN TOTAL'!F751</f>
        <v>0</v>
      </c>
      <c r="F640" s="70">
        <f>'RESUMEN TOTAL'!M751</f>
        <v>0</v>
      </c>
      <c r="G640" s="70">
        <f>'RESUMEN TOTAL'!N751</f>
        <v>0</v>
      </c>
      <c r="H640" s="70">
        <f>'RESUMEN TOTAL'!O751</f>
        <v>0</v>
      </c>
      <c r="I640" s="70">
        <f>'RESUMEN TOTAL'!P751</f>
        <v>0</v>
      </c>
      <c r="J640" s="70">
        <f>'RESUMEN TOTAL'!Q751</f>
        <v>0</v>
      </c>
      <c r="K640" s="70">
        <f>'RESUMEN TOTAL'!R751</f>
        <v>0</v>
      </c>
      <c r="L640" s="70">
        <f>'RESUMEN TOTAL'!S751</f>
        <v>0</v>
      </c>
      <c r="M640" s="70">
        <f>'RESUMEN TOTAL'!T751</f>
        <v>0</v>
      </c>
      <c r="N640" s="70">
        <f>'RESUMEN TOTAL'!U751</f>
        <v>0</v>
      </c>
      <c r="O640" s="70">
        <f>'RESUMEN TOTAL'!V751</f>
        <v>0</v>
      </c>
      <c r="P640" s="70">
        <f>'RESUMEN TOTAL'!W751</f>
        <v>0</v>
      </c>
      <c r="Q640" s="70">
        <f>'RESUMEN TOTAL'!X751</f>
        <v>0</v>
      </c>
      <c r="R640" s="70">
        <f>'RESUMEN TOTAL'!Y751</f>
        <v>0</v>
      </c>
      <c r="S640" s="70">
        <f>'RESUMEN TOTAL'!Z751</f>
        <v>0</v>
      </c>
      <c r="T640" s="70">
        <f>'RESUMEN TOTAL'!AA751</f>
        <v>0</v>
      </c>
      <c r="U640" s="70">
        <f>'RESUMEN TOTAL'!AB751</f>
        <v>0</v>
      </c>
      <c r="V640" s="70">
        <f>'RESUMEN TOTAL'!AC751</f>
        <v>0</v>
      </c>
      <c r="W640" s="70">
        <f>'RESUMEN TOTAL'!AD751</f>
        <v>0</v>
      </c>
      <c r="X640" s="70">
        <f>'RESUMEN TOTAL'!AE751</f>
        <v>0</v>
      </c>
      <c r="Y640" s="70">
        <f>'RESUMEN TOTAL'!AF751</f>
        <v>0</v>
      </c>
      <c r="Z640" s="70">
        <f>'RESUMEN TOTAL'!AG751</f>
        <v>0</v>
      </c>
      <c r="AA640" s="70">
        <f>'RESUMEN TOTAL'!AH751</f>
        <v>0</v>
      </c>
      <c r="AB640" s="70">
        <f>'RESUMEN TOTAL'!AI751</f>
        <v>0</v>
      </c>
      <c r="AC640" s="70">
        <f>'RESUMEN TOTAL'!AJ751</f>
        <v>0</v>
      </c>
      <c r="AD640" s="70">
        <f>'RESUMEN TOTAL'!AK751</f>
        <v>0</v>
      </c>
      <c r="AE640" s="70">
        <f>'RESUMEN TOTAL'!AL751</f>
        <v>0</v>
      </c>
      <c r="AF640" s="70">
        <f>'RESUMEN TOTAL'!AM751</f>
        <v>0</v>
      </c>
      <c r="AG640" s="70">
        <f>'RESUMEN TOTAL'!AN751</f>
        <v>0</v>
      </c>
      <c r="AH640" s="70">
        <f>'RESUMEN TOTAL'!AO751</f>
        <v>0</v>
      </c>
      <c r="AI640" s="70">
        <f>'RESUMEN TOTAL'!AP751</f>
        <v>0</v>
      </c>
      <c r="AJ640" s="70">
        <f>'RESUMEN TOTAL'!AQ751</f>
        <v>0</v>
      </c>
    </row>
    <row r="641" spans="1:36" x14ac:dyDescent="0.25">
      <c r="A641">
        <f>'RESUMEN TOTAL'!A752</f>
        <v>0</v>
      </c>
      <c r="B641">
        <f>'RESUMEN TOTAL'!B752</f>
        <v>0</v>
      </c>
      <c r="C641">
        <f>'RESUMEN TOTAL'!D752</f>
        <v>0</v>
      </c>
      <c r="D641" s="30">
        <f>'RESUMEN TOTAL'!E752</f>
        <v>0</v>
      </c>
      <c r="E641" s="30">
        <f>'RESUMEN TOTAL'!F752</f>
        <v>0</v>
      </c>
      <c r="F641" s="70">
        <f>'RESUMEN TOTAL'!M752</f>
        <v>0</v>
      </c>
      <c r="G641" s="70">
        <f>'RESUMEN TOTAL'!N752</f>
        <v>0</v>
      </c>
      <c r="H641" s="70">
        <f>'RESUMEN TOTAL'!O752</f>
        <v>0</v>
      </c>
      <c r="I641" s="70">
        <f>'RESUMEN TOTAL'!P752</f>
        <v>0</v>
      </c>
      <c r="J641" s="70">
        <f>'RESUMEN TOTAL'!Q752</f>
        <v>0</v>
      </c>
      <c r="K641" s="70">
        <f>'RESUMEN TOTAL'!R752</f>
        <v>0</v>
      </c>
      <c r="L641" s="70">
        <f>'RESUMEN TOTAL'!S752</f>
        <v>0</v>
      </c>
      <c r="M641" s="70">
        <f>'RESUMEN TOTAL'!T752</f>
        <v>0</v>
      </c>
      <c r="N641" s="70">
        <f>'RESUMEN TOTAL'!U752</f>
        <v>0</v>
      </c>
      <c r="O641" s="70">
        <f>'RESUMEN TOTAL'!V752</f>
        <v>0</v>
      </c>
      <c r="P641" s="70">
        <f>'RESUMEN TOTAL'!W752</f>
        <v>0</v>
      </c>
      <c r="Q641" s="70">
        <f>'RESUMEN TOTAL'!X752</f>
        <v>0</v>
      </c>
      <c r="R641" s="70">
        <f>'RESUMEN TOTAL'!Y752</f>
        <v>0</v>
      </c>
      <c r="S641" s="70">
        <f>'RESUMEN TOTAL'!Z752</f>
        <v>0</v>
      </c>
      <c r="T641" s="70">
        <f>'RESUMEN TOTAL'!AA752</f>
        <v>0</v>
      </c>
      <c r="U641" s="70">
        <f>'RESUMEN TOTAL'!AB752</f>
        <v>0</v>
      </c>
      <c r="V641" s="70">
        <f>'RESUMEN TOTAL'!AC752</f>
        <v>0</v>
      </c>
      <c r="W641" s="70">
        <f>'RESUMEN TOTAL'!AD752</f>
        <v>0</v>
      </c>
      <c r="X641" s="70">
        <f>'RESUMEN TOTAL'!AE752</f>
        <v>0</v>
      </c>
      <c r="Y641" s="70">
        <f>'RESUMEN TOTAL'!AF752</f>
        <v>0</v>
      </c>
      <c r="Z641" s="70">
        <f>'RESUMEN TOTAL'!AG752</f>
        <v>0</v>
      </c>
      <c r="AA641" s="70">
        <f>'RESUMEN TOTAL'!AH752</f>
        <v>0</v>
      </c>
      <c r="AB641" s="70">
        <f>'RESUMEN TOTAL'!AI752</f>
        <v>0</v>
      </c>
      <c r="AC641" s="70">
        <f>'RESUMEN TOTAL'!AJ752</f>
        <v>0</v>
      </c>
      <c r="AD641" s="70">
        <f>'RESUMEN TOTAL'!AK752</f>
        <v>0</v>
      </c>
      <c r="AE641" s="70">
        <f>'RESUMEN TOTAL'!AL752</f>
        <v>0</v>
      </c>
      <c r="AF641" s="70">
        <f>'RESUMEN TOTAL'!AM752</f>
        <v>0</v>
      </c>
      <c r="AG641" s="70">
        <f>'RESUMEN TOTAL'!AN752</f>
        <v>0</v>
      </c>
      <c r="AH641" s="70">
        <f>'RESUMEN TOTAL'!AO752</f>
        <v>0</v>
      </c>
      <c r="AI641" s="70">
        <f>'RESUMEN TOTAL'!AP752</f>
        <v>0</v>
      </c>
      <c r="AJ641" s="70">
        <f>'RESUMEN TOTAL'!AQ752</f>
        <v>0</v>
      </c>
    </row>
    <row r="642" spans="1:36" x14ac:dyDescent="0.25">
      <c r="A642" t="s">
        <v>1302</v>
      </c>
      <c r="B642" t="s">
        <v>1338</v>
      </c>
      <c r="C642" t="s">
        <v>1337</v>
      </c>
      <c r="D642" s="30" t="s">
        <v>1307</v>
      </c>
      <c r="E642" s="30" t="s">
        <v>1301</v>
      </c>
      <c r="F642" s="70">
        <f>'RESUMEN TOTAL'!M753</f>
        <v>0</v>
      </c>
      <c r="G642" s="70">
        <f>'RESUMEN TOTAL'!N753</f>
        <v>0</v>
      </c>
      <c r="H642" s="70">
        <f>'RESUMEN TOTAL'!O753</f>
        <v>0</v>
      </c>
      <c r="I642" s="70">
        <f>'RESUMEN TOTAL'!P753</f>
        <v>0</v>
      </c>
      <c r="J642" s="70">
        <f>'RESUMEN TOTAL'!Q753</f>
        <v>0</v>
      </c>
      <c r="K642" s="70">
        <f>'RESUMEN TOTAL'!R753</f>
        <v>0</v>
      </c>
      <c r="L642" s="70">
        <f>'RESUMEN TOTAL'!S753</f>
        <v>0</v>
      </c>
      <c r="M642" s="70">
        <f>'RESUMEN TOTAL'!T753</f>
        <v>0</v>
      </c>
      <c r="N642" s="70">
        <f>'RESUMEN TOTAL'!U753</f>
        <v>0</v>
      </c>
      <c r="O642" s="70">
        <f>'RESUMEN TOTAL'!V753</f>
        <v>0</v>
      </c>
      <c r="P642" s="70">
        <f>'RESUMEN TOTAL'!W753</f>
        <v>0</v>
      </c>
      <c r="Q642" s="70">
        <f>'RESUMEN TOTAL'!X753</f>
        <v>0</v>
      </c>
      <c r="R642" s="70">
        <f>'RESUMEN TOTAL'!Y753</f>
        <v>0</v>
      </c>
      <c r="S642" s="70">
        <f>'RESUMEN TOTAL'!Z753</f>
        <v>0</v>
      </c>
      <c r="T642" s="70">
        <f>'RESUMEN TOTAL'!AA753</f>
        <v>0</v>
      </c>
      <c r="U642" s="70">
        <f>'RESUMEN TOTAL'!AB753</f>
        <v>0</v>
      </c>
      <c r="V642" s="70">
        <f>'RESUMEN TOTAL'!AC753</f>
        <v>0</v>
      </c>
      <c r="W642" s="70">
        <f>'RESUMEN TOTAL'!AD753</f>
        <v>0</v>
      </c>
      <c r="X642" s="70">
        <f>'RESUMEN TOTAL'!AE753</f>
        <v>0</v>
      </c>
      <c r="Y642" s="70">
        <f>'RESUMEN TOTAL'!AF753</f>
        <v>0</v>
      </c>
      <c r="Z642" s="70">
        <f>'RESUMEN TOTAL'!AG753</f>
        <v>0</v>
      </c>
      <c r="AA642" s="70">
        <f>'RESUMEN TOTAL'!AH753</f>
        <v>0</v>
      </c>
      <c r="AB642" s="70">
        <f>'RESUMEN TOTAL'!AI753</f>
        <v>0</v>
      </c>
      <c r="AC642" s="70">
        <f>'RESUMEN TOTAL'!AJ753</f>
        <v>0</v>
      </c>
      <c r="AD642" s="70">
        <f>'RESUMEN TOTAL'!AK753</f>
        <v>0</v>
      </c>
      <c r="AE642" s="70">
        <f>'RESUMEN TOTAL'!AL753</f>
        <v>0</v>
      </c>
      <c r="AF642" s="70">
        <f>'RESUMEN TOTAL'!AM753</f>
        <v>0</v>
      </c>
      <c r="AG642" s="70">
        <f>'RESUMEN TOTAL'!AN753</f>
        <v>0</v>
      </c>
      <c r="AH642" s="70">
        <f>'RESUMEN TOTAL'!AO753</f>
        <v>0</v>
      </c>
      <c r="AI642" s="70">
        <f>'RESUMEN TOTAL'!AP753</f>
        <v>0</v>
      </c>
      <c r="AJ642" s="70">
        <f>'RESUMEN TOTAL'!AQ753</f>
        <v>0</v>
      </c>
    </row>
    <row r="643" spans="1:36" x14ac:dyDescent="0.25">
      <c r="A643" t="s">
        <v>1302</v>
      </c>
      <c r="B643" t="s">
        <v>1339</v>
      </c>
      <c r="C643" t="s">
        <v>1337</v>
      </c>
      <c r="D643" t="s">
        <v>1300</v>
      </c>
      <c r="E643" s="30" t="s">
        <v>1301</v>
      </c>
      <c r="F643" s="70">
        <f>'RESUMEN TOTAL'!M754</f>
        <v>0</v>
      </c>
      <c r="G643" s="70">
        <f>'RESUMEN TOTAL'!N754</f>
        <v>0</v>
      </c>
      <c r="H643" s="70">
        <f>'RESUMEN TOTAL'!O754</f>
        <v>0</v>
      </c>
      <c r="I643" s="70">
        <f>'RESUMEN TOTAL'!P754</f>
        <v>0</v>
      </c>
      <c r="J643" s="70">
        <f>'RESUMEN TOTAL'!Q754</f>
        <v>0</v>
      </c>
      <c r="K643" s="70">
        <f>'RESUMEN TOTAL'!R754</f>
        <v>0</v>
      </c>
      <c r="L643" s="70">
        <f>'RESUMEN TOTAL'!S754</f>
        <v>0</v>
      </c>
      <c r="M643" s="70">
        <f>'RESUMEN TOTAL'!T754</f>
        <v>0</v>
      </c>
      <c r="N643" s="70">
        <f>'RESUMEN TOTAL'!U754</f>
        <v>0</v>
      </c>
      <c r="O643" s="70">
        <f>'RESUMEN TOTAL'!V754</f>
        <v>0</v>
      </c>
      <c r="P643" s="70">
        <f>'RESUMEN TOTAL'!W754</f>
        <v>0</v>
      </c>
      <c r="Q643" s="70">
        <f>'RESUMEN TOTAL'!X754</f>
        <v>0</v>
      </c>
      <c r="R643" s="70">
        <f>'RESUMEN TOTAL'!Y754</f>
        <v>0</v>
      </c>
      <c r="S643" s="70">
        <f>'RESUMEN TOTAL'!Z754</f>
        <v>0</v>
      </c>
      <c r="T643" s="70">
        <f>'RESUMEN TOTAL'!AA754</f>
        <v>0</v>
      </c>
      <c r="U643" s="70">
        <f>'RESUMEN TOTAL'!AB754</f>
        <v>0</v>
      </c>
      <c r="V643" s="70">
        <f>'RESUMEN TOTAL'!AC754</f>
        <v>0</v>
      </c>
      <c r="W643" s="70">
        <f>'RESUMEN TOTAL'!AD754</f>
        <v>0</v>
      </c>
      <c r="X643" s="70">
        <f>'RESUMEN TOTAL'!AE754</f>
        <v>0</v>
      </c>
      <c r="Y643" s="70">
        <f>'RESUMEN TOTAL'!AF754</f>
        <v>0</v>
      </c>
      <c r="Z643" s="70">
        <f>'RESUMEN TOTAL'!AG754</f>
        <v>0</v>
      </c>
      <c r="AA643" s="70">
        <f>'RESUMEN TOTAL'!AH754</f>
        <v>0</v>
      </c>
      <c r="AB643" s="70">
        <f>'RESUMEN TOTAL'!AI754</f>
        <v>0</v>
      </c>
      <c r="AC643" s="70">
        <f>'RESUMEN TOTAL'!AJ754</f>
        <v>0</v>
      </c>
      <c r="AD643" s="70">
        <f>'RESUMEN TOTAL'!AK754</f>
        <v>0</v>
      </c>
      <c r="AE643" s="70">
        <f>'RESUMEN TOTAL'!AL754</f>
        <v>0</v>
      </c>
      <c r="AF643" s="70">
        <f>'RESUMEN TOTAL'!AM754</f>
        <v>0</v>
      </c>
      <c r="AG643" s="70">
        <f>'RESUMEN TOTAL'!AN754</f>
        <v>0</v>
      </c>
      <c r="AH643" s="70">
        <f>'RESUMEN TOTAL'!AO754</f>
        <v>0</v>
      </c>
      <c r="AI643" s="70">
        <f>'RESUMEN TOTAL'!AP754</f>
        <v>0</v>
      </c>
      <c r="AJ643" s="70">
        <f>'RESUMEN TOTAL'!AQ754</f>
        <v>0</v>
      </c>
    </row>
    <row r="644" spans="1:36" x14ac:dyDescent="0.25">
      <c r="E644" s="30"/>
    </row>
    <row r="645" spans="1:36" x14ac:dyDescent="0.25">
      <c r="E645" s="30"/>
    </row>
    <row r="646" spans="1:36" x14ac:dyDescent="0.25">
      <c r="E646" s="30"/>
    </row>
    <row r="647" spans="1:36" x14ac:dyDescent="0.25">
      <c r="E647" s="30"/>
    </row>
    <row r="648" spans="1:36" x14ac:dyDescent="0.25">
      <c r="E648" s="30"/>
    </row>
    <row r="649" spans="1:36" x14ac:dyDescent="0.25">
      <c r="E649" s="30"/>
    </row>
    <row r="650" spans="1:36" x14ac:dyDescent="0.25">
      <c r="E650" s="30"/>
    </row>
    <row r="651" spans="1:36" x14ac:dyDescent="0.25">
      <c r="E651" s="30"/>
    </row>
    <row r="652" spans="1:36" x14ac:dyDescent="0.25">
      <c r="E652" s="30"/>
    </row>
    <row r="653" spans="1:36" x14ac:dyDescent="0.25">
      <c r="E653" s="30"/>
    </row>
    <row r="654" spans="1:36" x14ac:dyDescent="0.25">
      <c r="E654" s="30"/>
    </row>
    <row r="655" spans="1:36" x14ac:dyDescent="0.25">
      <c r="E655" s="30"/>
    </row>
    <row r="656" spans="1:36" x14ac:dyDescent="0.25">
      <c r="E656" s="30"/>
    </row>
    <row r="657" spans="5:5" x14ac:dyDescent="0.25">
      <c r="E657" s="30"/>
    </row>
    <row r="658" spans="5:5" x14ac:dyDescent="0.25">
      <c r="E658" s="30"/>
    </row>
    <row r="659" spans="5:5" x14ac:dyDescent="0.25">
      <c r="E659" s="30"/>
    </row>
    <row r="660" spans="5:5" x14ac:dyDescent="0.25">
      <c r="E660" s="30"/>
    </row>
    <row r="661" spans="5:5" x14ac:dyDescent="0.25">
      <c r="E661" s="30"/>
    </row>
    <row r="662" spans="5:5" x14ac:dyDescent="0.25">
      <c r="E662" s="30"/>
    </row>
    <row r="663" spans="5:5" x14ac:dyDescent="0.25">
      <c r="E663" s="30"/>
    </row>
    <row r="664" spans="5:5" x14ac:dyDescent="0.25">
      <c r="E664" s="30"/>
    </row>
    <row r="665" spans="5:5" x14ac:dyDescent="0.25">
      <c r="E665" s="30"/>
    </row>
  </sheetData>
  <autoFilter ref="A4:XFB4" xr:uid="{63764665-4685-49DB-A4C6-35A3DDF9031B}"/>
  <conditionalFormatting sqref="D4:D642">
    <cfRule type="containsText" dxfId="49" priority="97" operator="containsText" text="fija">
      <formula>NOT(ISERROR(SEARCH("fija",D4)))</formula>
    </cfRule>
    <cfRule type="containsText" dxfId="48" priority="98" operator="containsText" text="domo">
      <formula>NOT(ISERROR(SEARCH("domo",D4)))</formula>
    </cfRule>
    <cfRule type="cellIs" dxfId="47" priority="924" operator="equal">
      <formula>$D$7</formula>
    </cfRule>
  </conditionalFormatting>
  <conditionalFormatting sqref="D439">
    <cfRule type="containsText" dxfId="46" priority="67" operator="containsText" text="fija">
      <formula>NOT(ISERROR(SEARCH("fija",D439)))</formula>
    </cfRule>
    <cfRule type="containsText" dxfId="45" priority="68" operator="containsText" text="domo">
      <formula>NOT(ISERROR(SEARCH("domo",D439)))</formula>
    </cfRule>
    <cfRule type="containsText" dxfId="44" priority="69" operator="containsText" text="Radio">
      <formula>NOT(ISERROR(SEARCH("Radio",D439)))</formula>
    </cfRule>
  </conditionalFormatting>
  <conditionalFormatting sqref="D439:D440">
    <cfRule type="containsText" dxfId="43" priority="64" operator="containsText" text="fija">
      <formula>NOT(ISERROR(SEARCH("fija",D439)))</formula>
    </cfRule>
    <cfRule type="containsText" dxfId="42" priority="65" operator="containsText" text="domo">
      <formula>NOT(ISERROR(SEARCH("domo",D439)))</formula>
    </cfRule>
  </conditionalFormatting>
  <conditionalFormatting sqref="D440">
    <cfRule type="containsText" dxfId="41" priority="62" operator="containsText" text="fija">
      <formula>NOT(ISERROR(SEARCH("fija",D440)))</formula>
    </cfRule>
    <cfRule type="containsText" dxfId="40" priority="63" operator="containsText" text="domo">
      <formula>NOT(ISERROR(SEARCH("domo",D440)))</formula>
    </cfRule>
    <cfRule type="containsText" dxfId="39" priority="66" operator="containsText" text="Radio">
      <formula>NOT(ISERROR(SEARCH("Radio",D440)))</formula>
    </cfRule>
  </conditionalFormatting>
  <conditionalFormatting sqref="D443">
    <cfRule type="containsText" dxfId="38" priority="59" operator="containsText" text="fija">
      <formula>NOT(ISERROR(SEARCH("fija",D443)))</formula>
    </cfRule>
    <cfRule type="containsText" dxfId="37" priority="60" operator="containsText" text="domo">
      <formula>NOT(ISERROR(SEARCH("domo",D443)))</formula>
    </cfRule>
    <cfRule type="containsText" dxfId="36" priority="61" operator="containsText" text="Radio">
      <formula>NOT(ISERROR(SEARCH("Radio",D443)))</formula>
    </cfRule>
  </conditionalFormatting>
  <conditionalFormatting sqref="D443:D444">
    <cfRule type="containsText" dxfId="35" priority="56" operator="containsText" text="fija">
      <formula>NOT(ISERROR(SEARCH("fija",D443)))</formula>
    </cfRule>
    <cfRule type="containsText" dxfId="34" priority="57" operator="containsText" text="domo">
      <formula>NOT(ISERROR(SEARCH("domo",D443)))</formula>
    </cfRule>
  </conditionalFormatting>
  <conditionalFormatting sqref="D444:D445">
    <cfRule type="containsText" dxfId="33" priority="53" operator="containsText" text="fija">
      <formula>NOT(ISERROR(SEARCH("fija",D444)))</formula>
    </cfRule>
    <cfRule type="containsText" dxfId="32" priority="54" operator="containsText" text="domo">
      <formula>NOT(ISERROR(SEARCH("domo",D444)))</formula>
    </cfRule>
  </conditionalFormatting>
  <conditionalFormatting sqref="D445">
    <cfRule type="containsText" dxfId="31" priority="55" operator="containsText" text="Radio">
      <formula>NOT(ISERROR(SEARCH("Radio",D445)))</formula>
    </cfRule>
  </conditionalFormatting>
  <conditionalFormatting sqref="D445:D446">
    <cfRule type="containsText" dxfId="30" priority="50" operator="containsText" text="fija">
      <formula>NOT(ISERROR(SEARCH("fija",D445)))</formula>
    </cfRule>
    <cfRule type="containsText" dxfId="29" priority="51" operator="containsText" text="domo">
      <formula>NOT(ISERROR(SEARCH("domo",D445)))</formula>
    </cfRule>
  </conditionalFormatting>
  <conditionalFormatting sqref="D446">
    <cfRule type="containsText" dxfId="28" priority="48" operator="containsText" text="fija">
      <formula>NOT(ISERROR(SEARCH("fija",D446)))</formula>
    </cfRule>
    <cfRule type="containsText" dxfId="27" priority="49" operator="containsText" text="domo">
      <formula>NOT(ISERROR(SEARCH("domo",D446)))</formula>
    </cfRule>
    <cfRule type="containsText" dxfId="26" priority="52" operator="containsText" text="Radio">
      <formula>NOT(ISERROR(SEARCH("Radio",D446)))</formula>
    </cfRule>
  </conditionalFormatting>
  <conditionalFormatting sqref="D448">
    <cfRule type="containsText" dxfId="25" priority="171" operator="containsText" text="fija">
      <formula>NOT(ISERROR(SEARCH("fija",D448)))</formula>
    </cfRule>
    <cfRule type="containsText" dxfId="24" priority="172" operator="containsText" text="domo">
      <formula>NOT(ISERROR(SEARCH("domo",D448)))</formula>
    </cfRule>
  </conditionalFormatting>
  <conditionalFormatting sqref="D451:D453">
    <cfRule type="containsText" dxfId="23" priority="70" operator="containsText" text="fija">
      <formula>NOT(ISERROR(SEARCH("fija",D451)))</formula>
    </cfRule>
    <cfRule type="containsText" dxfId="22" priority="71" operator="containsText" text="domo">
      <formula>NOT(ISERROR(SEARCH("domo",D451)))</formula>
    </cfRule>
  </conditionalFormatting>
  <conditionalFormatting sqref="D642">
    <cfRule type="containsText" dxfId="21" priority="1" operator="containsText" text="Radio">
      <formula>NOT(ISERROR(SEARCH("Radio",D642)))</formula>
    </cfRule>
  </conditionalFormatting>
  <conditionalFormatting sqref="D4:E641">
    <cfRule type="containsText" dxfId="20" priority="58" operator="containsText" text="Radio">
      <formula>NOT(ISERROR(SEARCH("Radio",D4)))</formula>
    </cfRule>
  </conditionalFormatting>
  <conditionalFormatting sqref="D448:E448 D458:E641">
    <cfRule type="containsText" dxfId="19" priority="193" operator="containsText" text="Radio">
      <formula>NOT(ISERROR(SEARCH("Radio",D448)))</formula>
    </cfRule>
  </conditionalFormatting>
  <conditionalFormatting sqref="E4:E665">
    <cfRule type="cellIs" dxfId="18" priority="169" operator="equal">
      <formula>"PTP A FO"</formula>
    </cfRule>
    <cfRule type="cellIs" dxfId="17" priority="927" operator="equal">
      <formula>$E$10</formula>
    </cfRule>
    <cfRule type="cellIs" dxfId="16" priority="928" operator="equal">
      <formula>"PTP A FO"</formula>
    </cfRule>
  </conditionalFormatting>
  <conditionalFormatting sqref="E438">
    <cfRule type="containsText" dxfId="15" priority="10" operator="containsText" text="Radio">
      <formula>NOT(ISERROR(SEARCH("Radio",E438)))</formula>
    </cfRule>
    <cfRule type="cellIs" dxfId="14" priority="11" operator="equal">
      <formula>"PTP A FO"</formula>
    </cfRule>
  </conditionalFormatting>
  <conditionalFormatting sqref="E642:E665">
    <cfRule type="containsText" dxfId="13" priority="3" operator="containsText" text="Radio">
      <formula>NOT(ISERROR(SEARCH("Radio",E642)))</formula>
    </cfRule>
  </conditionalFormatting>
  <conditionalFormatting sqref="F5:AJ643">
    <cfRule type="cellIs" dxfId="12" priority="8" operator="equal">
      <formula>"apagado"</formula>
    </cfRule>
    <cfRule type="cellIs" dxfId="11" priority="12" operator="equal">
      <formula>"APAGADO"</formula>
    </cfRule>
    <cfRule type="notContainsText" dxfId="10" priority="13" operator="notContains" text="Caida">
      <formula>ISERROR(SEARCH("Caida",F5))</formula>
    </cfRule>
    <cfRule type="containsText" dxfId="9" priority="14" operator="containsText" text="Caida">
      <formula>NOT(ISERROR(SEARCH("Caida",F5)))</formula>
    </cfRule>
    <cfRule type="cellIs" dxfId="8" priority="15" operator="lessThan">
      <formula>0.8</formula>
    </cfRule>
    <cfRule type="cellIs" dxfId="7" priority="16" operator="greaterThan">
      <formula>0.8</formula>
    </cfRule>
  </conditionalFormatting>
  <conditionalFormatting sqref="H4">
    <cfRule type="cellIs" dxfId="6" priority="43" operator="equal">
      <formula>$H$13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J18"/>
  <sheetViews>
    <sheetView showGridLines="0" zoomScale="90" zoomScaleNormal="90" workbookViewId="0">
      <selection activeCell="C19" sqref="C19"/>
    </sheetView>
  </sheetViews>
  <sheetFormatPr baseColWidth="10" defaultRowHeight="15" x14ac:dyDescent="0.25"/>
  <cols>
    <col min="4" max="4" width="9.28515625" bestFit="1" customWidth="1"/>
    <col min="5" max="5" width="19.42578125" bestFit="1" customWidth="1"/>
    <col min="6" max="7" width="9" style="8" bestFit="1" customWidth="1"/>
    <col min="8" max="10" width="8" style="8" bestFit="1" customWidth="1"/>
    <col min="11" max="16" width="9" style="8" bestFit="1" customWidth="1"/>
    <col min="17" max="17" width="9" bestFit="1" customWidth="1"/>
    <col min="18" max="20" width="8" bestFit="1" customWidth="1"/>
    <col min="21" max="21" width="9" bestFit="1" customWidth="1"/>
    <col min="22" max="24" width="8" bestFit="1" customWidth="1"/>
    <col min="25" max="25" width="8.85546875" bestFit="1" customWidth="1"/>
    <col min="26" max="34" width="8" bestFit="1" customWidth="1"/>
    <col min="35" max="36" width="11.85546875" customWidth="1"/>
  </cols>
  <sheetData>
    <row r="1" spans="1:36" ht="16.5" thickTop="1" thickBot="1" x14ac:dyDescent="0.3">
      <c r="A1" s="40"/>
      <c r="B1" s="44" t="s">
        <v>1070</v>
      </c>
      <c r="C1" s="36">
        <v>45992</v>
      </c>
    </row>
    <row r="2" spans="1:36" ht="16.5" thickTop="1" thickBot="1" x14ac:dyDescent="0.3">
      <c r="A2" s="49" t="s">
        <v>1062</v>
      </c>
      <c r="B2" s="41">
        <f>COUNTIFS('RESUMEN TOTAL'!C8:C576,"=BONOMO")</f>
        <v>301</v>
      </c>
      <c r="C2" s="46">
        <v>0</v>
      </c>
      <c r="F2" s="36">
        <v>45992</v>
      </c>
      <c r="G2" s="36">
        <v>45993</v>
      </c>
      <c r="H2" s="36">
        <v>45994</v>
      </c>
      <c r="I2" s="36">
        <v>45995</v>
      </c>
      <c r="J2" s="36">
        <v>45996</v>
      </c>
      <c r="K2" s="36">
        <v>45997</v>
      </c>
      <c r="L2" s="36">
        <v>45998</v>
      </c>
      <c r="M2" s="36">
        <v>45999</v>
      </c>
      <c r="N2" s="36">
        <v>46000</v>
      </c>
      <c r="O2" s="36">
        <v>46001</v>
      </c>
      <c r="P2" s="36">
        <v>46002</v>
      </c>
      <c r="Q2" s="36">
        <v>46003</v>
      </c>
      <c r="R2" s="36">
        <v>46004</v>
      </c>
      <c r="S2" s="36">
        <v>46005</v>
      </c>
      <c r="T2" s="36">
        <v>46006</v>
      </c>
      <c r="U2" s="36">
        <v>46007</v>
      </c>
      <c r="V2" s="36">
        <v>46008</v>
      </c>
      <c r="W2" s="36">
        <v>46009</v>
      </c>
      <c r="X2" s="36">
        <v>46010</v>
      </c>
      <c r="Y2" s="36">
        <v>46011</v>
      </c>
      <c r="Z2" s="36">
        <v>46012</v>
      </c>
      <c r="AA2" s="36">
        <v>46013</v>
      </c>
      <c r="AB2" s="36">
        <v>46014</v>
      </c>
      <c r="AC2" s="36">
        <v>46015</v>
      </c>
      <c r="AD2" s="36">
        <v>46016</v>
      </c>
      <c r="AE2" s="36">
        <v>46017</v>
      </c>
      <c r="AF2" s="36">
        <v>46018</v>
      </c>
      <c r="AG2" s="36">
        <v>46019</v>
      </c>
      <c r="AH2" s="36">
        <v>46020</v>
      </c>
      <c r="AI2" s="36">
        <v>46021</v>
      </c>
      <c r="AJ2" s="36">
        <v>46022</v>
      </c>
    </row>
    <row r="3" spans="1:36" ht="16.5" thickTop="1" thickBot="1" x14ac:dyDescent="0.3">
      <c r="A3" s="42"/>
      <c r="B3" s="43"/>
      <c r="C3" s="50">
        <v>0</v>
      </c>
      <c r="D3" s="38" t="s">
        <v>1062</v>
      </c>
      <c r="E3" s="45" t="s">
        <v>1071</v>
      </c>
      <c r="F3" s="46">
        <v>0</v>
      </c>
      <c r="G3" s="46">
        <f>COUNTIFS('RESUMEN TOTAL'!N8:N685,"=APAGADO",'RESUMEN TOTAL'!C8:C685,"=BONOMO")</f>
        <v>29</v>
      </c>
      <c r="H3" s="46">
        <v>37</v>
      </c>
      <c r="I3" s="46">
        <v>48</v>
      </c>
      <c r="J3" s="46">
        <f>COUNTIFS('RESUMEN TOTAL'!Q8:Q685,"=APAGADO",'RESUMEN TOTAL'!C8:C685,"=BONOMO")</f>
        <v>41</v>
      </c>
      <c r="K3" s="46">
        <f>COUNTIFS('RESUMEN TOTAL'!R8:R685,"=APAGADO",'RESUMEN TOTAL'!C8:C685,"=BONOMO")</f>
        <v>22</v>
      </c>
      <c r="L3" s="46">
        <v>0</v>
      </c>
      <c r="M3" s="46">
        <v>0</v>
      </c>
      <c r="N3" s="46">
        <f>COUNTIFS('RESUMEN TOTAL'!U8:U685,"=APAGADO",'RESUMEN TOTAL'!C8:C685,"=BONOMO")</f>
        <v>0</v>
      </c>
      <c r="O3" s="46">
        <f>COUNTIFS('RESUMEN TOTAL'!V8:V685,"=APAGADO",'RESUMEN TOTAL'!C8:C685,"=BONOMO")</f>
        <v>0</v>
      </c>
      <c r="P3" s="46">
        <f>COUNTIFS('RESUMEN TOTAL'!W8:W685,"=APAGADO",'RESUMEN TOTAL'!C8:C685,"=BONOMO")</f>
        <v>0</v>
      </c>
      <c r="Q3" s="46">
        <f>COUNTIFS('RESUMEN TOTAL'!X8:X685,"=APAGADO",'RESUMEN TOTAL'!C8:C685,"=BONOMO")</f>
        <v>0</v>
      </c>
      <c r="R3" s="46">
        <f>COUNTIFS('RESUMEN TOTAL'!Y8:Y685,"=APAGADO",'RESUMEN TOTAL'!C8:C685,"=BONOMO")</f>
        <v>0</v>
      </c>
      <c r="S3" s="46">
        <f>COUNTIFS('RESUMEN TOTAL'!Z8:Z685,"=APAGADO",'RESUMEN TOTAL'!C8:C685,"=BONOMO")</f>
        <v>0</v>
      </c>
      <c r="T3" s="46">
        <f>COUNTIFS('RESUMEN TOTAL'!AA8:AA685,"=APAGADO",'RESUMEN TOTAL'!C8:C685,"=BONOMO")</f>
        <v>0</v>
      </c>
      <c r="U3" s="46">
        <f>COUNTIFS('RESUMEN TOTAL'!AB8:AB685,"=APAGADO",'RESUMEN TOTAL'!C8:C685,"=BONOMO")</f>
        <v>0</v>
      </c>
      <c r="V3" s="46">
        <f>COUNTIFS('RESUMEN TOTAL'!AC8:AC685,"=APAGADO",'RESUMEN TOTAL'!C8:C685,"=BONOMO")</f>
        <v>0</v>
      </c>
      <c r="W3" s="46">
        <f>COUNTIFS('RESUMEN TOTAL'!AD8:AD685,"=APAGADO",'RESUMEN TOTAL'!C8:C685,"=BONOMO")</f>
        <v>0</v>
      </c>
      <c r="X3" s="46">
        <f>COUNTIFS('RESUMEN TOTAL'!AE8:AE685,"=APAGADO",'RESUMEN TOTAL'!C8:C685,"=BONOMO")</f>
        <v>0</v>
      </c>
      <c r="Y3" s="46">
        <f>COUNTIFS('RESUMEN TOTAL'!AF8:AF685,"=APAGADO",'RESUMEN TOTAL'!C8:C685,"=BONOMO")</f>
        <v>0</v>
      </c>
      <c r="Z3" s="46">
        <f>COUNTIFS('RESUMEN TOTAL'!AG8:AG685,"=APAGADO",'RESUMEN TOTAL'!C8:C685,"=BONOMO")</f>
        <v>0</v>
      </c>
      <c r="AA3" s="46">
        <f>COUNTIFS('RESUMEN TOTAL'!AH8:AH685,"=APAGADO",'RESUMEN TOTAL'!C8:C685,"=BONOMO")</f>
        <v>0</v>
      </c>
      <c r="AB3" s="46">
        <f>COUNTIFS('RESUMEN TOTAL'!AI8:AI685,"=APAGADO",'RESUMEN TOTAL'!C8:C685,"=BONOMO")</f>
        <v>0</v>
      </c>
      <c r="AC3" s="46">
        <f>COUNTIFS('RESUMEN TOTAL'!AJ8:AJ685,"=APAGADO",'RESUMEN TOTAL'!C8:C685,"=BONOMO")</f>
        <v>0</v>
      </c>
      <c r="AD3" s="46">
        <f>COUNTIFS('RESUMEN TOTAL'!AK8:AK685,"=APAGADO",'RESUMEN TOTAL'!C8:C685,"=BONOMO")</f>
        <v>0</v>
      </c>
      <c r="AE3" s="46">
        <v>0</v>
      </c>
      <c r="AF3" s="46">
        <f>COUNTIFS('RESUMEN TOTAL'!AM8:AM685,"=APAGADO",'RESUMEN TOTAL'!C8:C685,"=BONOMO")</f>
        <v>0</v>
      </c>
      <c r="AG3" s="46">
        <f>COUNTIFS('RESUMEN TOTAL'!AN8:AN685,"=APAGADO",'RESUMEN TOTAL'!C8:C685,"=BONOMO")</f>
        <v>0</v>
      </c>
      <c r="AH3" s="46">
        <f>COUNTIFS('RESUMEN TOTAL'!AO8:AO685,"=APAGADO",'RESUMEN TOTAL'!C8:C685,"=BONOMO")</f>
        <v>0</v>
      </c>
      <c r="AI3" s="46">
        <v>0</v>
      </c>
      <c r="AJ3" s="46">
        <v>0</v>
      </c>
    </row>
    <row r="4" spans="1:36" ht="16.5" thickTop="1" thickBot="1" x14ac:dyDescent="0.3">
      <c r="A4" s="48" t="s">
        <v>1063</v>
      </c>
      <c r="B4" s="41">
        <f>COUNTIFS('RESUMEN TOTAL'!C8:C576,"=COSEIDI")</f>
        <v>268</v>
      </c>
      <c r="C4" s="46">
        <v>0</v>
      </c>
      <c r="D4" s="39"/>
      <c r="E4" s="37" t="s">
        <v>1073</v>
      </c>
      <c r="F4" s="50">
        <v>0</v>
      </c>
      <c r="G4" s="50">
        <f t="shared" ref="G4:AH4" si="0">G3/BONOMOcam</f>
        <v>9.634551495016612E-2</v>
      </c>
      <c r="H4" s="50">
        <f t="shared" si="0"/>
        <v>0.12292358803986711</v>
      </c>
      <c r="I4" s="50">
        <f t="shared" si="0"/>
        <v>0.15946843853820597</v>
      </c>
      <c r="J4" s="50">
        <v>0.14000000000000001</v>
      </c>
      <c r="K4" s="50">
        <f t="shared" si="0"/>
        <v>7.3089700996677748E-2</v>
      </c>
      <c r="L4" s="50">
        <f t="shared" si="0"/>
        <v>0</v>
      </c>
      <c r="M4" s="50">
        <v>0</v>
      </c>
      <c r="N4" s="50">
        <f t="shared" si="0"/>
        <v>0</v>
      </c>
      <c r="O4" s="50">
        <f t="shared" si="0"/>
        <v>0</v>
      </c>
      <c r="P4" s="50">
        <f t="shared" si="0"/>
        <v>0</v>
      </c>
      <c r="Q4" s="50">
        <f t="shared" si="0"/>
        <v>0</v>
      </c>
      <c r="R4" s="50">
        <f t="shared" si="0"/>
        <v>0</v>
      </c>
      <c r="S4" s="50">
        <f t="shared" si="0"/>
        <v>0</v>
      </c>
      <c r="T4" s="50">
        <f t="shared" si="0"/>
        <v>0</v>
      </c>
      <c r="U4" s="50">
        <f t="shared" si="0"/>
        <v>0</v>
      </c>
      <c r="V4" s="50">
        <f t="shared" si="0"/>
        <v>0</v>
      </c>
      <c r="W4" s="50">
        <f t="shared" si="0"/>
        <v>0</v>
      </c>
      <c r="X4" s="50">
        <f t="shared" si="0"/>
        <v>0</v>
      </c>
      <c r="Y4" s="50">
        <f t="shared" si="0"/>
        <v>0</v>
      </c>
      <c r="Z4" s="50">
        <f t="shared" si="0"/>
        <v>0</v>
      </c>
      <c r="AA4" s="50">
        <f t="shared" si="0"/>
        <v>0</v>
      </c>
      <c r="AB4" s="50">
        <f t="shared" si="0"/>
        <v>0</v>
      </c>
      <c r="AC4" s="50">
        <v>0</v>
      </c>
      <c r="AD4" s="50">
        <f t="shared" si="0"/>
        <v>0</v>
      </c>
      <c r="AE4" s="50">
        <f t="shared" si="0"/>
        <v>0</v>
      </c>
      <c r="AF4" s="50">
        <f t="shared" si="0"/>
        <v>0</v>
      </c>
      <c r="AG4" s="50">
        <f t="shared" si="0"/>
        <v>0</v>
      </c>
      <c r="AH4" s="50">
        <f t="shared" si="0"/>
        <v>0</v>
      </c>
      <c r="AI4" s="50">
        <v>0</v>
      </c>
      <c r="AJ4" s="50">
        <v>0</v>
      </c>
    </row>
    <row r="5" spans="1:36" ht="16.5" thickTop="1" thickBot="1" x14ac:dyDescent="0.3">
      <c r="A5" s="42"/>
      <c r="B5" s="43"/>
      <c r="C5" s="50">
        <v>0</v>
      </c>
      <c r="D5" s="38" t="s">
        <v>1063</v>
      </c>
      <c r="E5" s="47" t="s">
        <v>1072</v>
      </c>
      <c r="F5" s="46">
        <f>COUNTIFS('RESUMEN TOTAL'!M8:M687,"=APAGADO",'RESUMEN TOTAL'!C8:C687,"=COSEIDI")</f>
        <v>51</v>
      </c>
      <c r="G5" s="46">
        <f>COUNTIFS('RESUMEN TOTAL'!N8:N685,"=APAGADO",'RESUMEN TOTAL'!C8:C685,"=COSEIDI")</f>
        <v>41</v>
      </c>
      <c r="H5" s="46">
        <v>37</v>
      </c>
      <c r="I5" s="46">
        <f>COUNTIFS('RESUMEN TOTAL'!P10:P687,"=APAGADO",'RESUMEN TOTAL'!C10:C687,"=COSEIDI")</f>
        <v>73</v>
      </c>
      <c r="J5" s="46">
        <f>COUNTIFS('RESUMEN TOTAL'!Q10:Q687,"=APAGADO",'RESUMEN TOTAL'!C10:C687,"=COSEIDI")</f>
        <v>70</v>
      </c>
      <c r="K5" s="46">
        <f>COUNTIFS('RESUMEN TOTAL'!R10:R687,"=APAGADO",'RESUMEN TOTAL'!C10:C687,"=COSEIDI")</f>
        <v>67</v>
      </c>
      <c r="L5" s="46">
        <f>COUNTIFS('RESUMEN TOTAL'!S10:S687,"=APAGADO",'RESUMEN TOTAL'!C10:C687,"=COSEIDI")</f>
        <v>67</v>
      </c>
      <c r="M5" s="46">
        <v>0</v>
      </c>
      <c r="N5" s="46">
        <f>COUNTIFS('RESUMEN TOTAL'!U10:U687,"=APAGADO",'RESUMEN TOTAL'!C10:C687,"=COSEIDI")</f>
        <v>0</v>
      </c>
      <c r="O5" s="46">
        <f>COUNTIFS('RESUMEN TOTAL'!V10:V687,"=APAGADO",'RESUMEN TOTAL'!C10:C687,"=COSEIDI")</f>
        <v>0</v>
      </c>
      <c r="P5" s="46">
        <f>COUNTIFS('RESUMEN TOTAL'!W10:W687,"=APAGADO",'RESUMEN TOTAL'!C10:C687,"=COSEIDI")</f>
        <v>0</v>
      </c>
      <c r="Q5" s="46">
        <f>COUNTIFS('RESUMEN TOTAL'!X10:X687,"=APAGADO",'RESUMEN TOTAL'!C10:C687,"=COSEIDI")</f>
        <v>0</v>
      </c>
      <c r="R5" s="46">
        <f>COUNTIFS('RESUMEN TOTAL'!Y10:Y687,"=APAGADO",'RESUMEN TOTAL'!C10:C687,"=COSEIDI")</f>
        <v>0</v>
      </c>
      <c r="S5" s="46">
        <f>COUNTIFS('RESUMEN TOTAL'!Z10:Z687,"=APAGADO",'RESUMEN TOTAL'!C10:C687,"=COSEIDI")</f>
        <v>0</v>
      </c>
      <c r="T5" s="46">
        <f>COUNTIFS('RESUMEN TOTAL'!AA10:AA687,"=APAGADO",'RESUMEN TOTAL'!C10:C687,"=COSEIDI")</f>
        <v>0</v>
      </c>
      <c r="U5" s="46">
        <v>0</v>
      </c>
      <c r="V5" s="46">
        <f>COUNTIFS('RESUMEN TOTAL'!AC10:AC687,"=APAGADO",'RESUMEN TOTAL'!C10:C687,"=COSEIDI")</f>
        <v>0</v>
      </c>
      <c r="W5" s="46">
        <f>COUNTIFS('RESUMEN TOTAL'!AD10:AD687,"=APAGADO",'RESUMEN TOTAL'!C10:C687,"=COSEIDI")</f>
        <v>0</v>
      </c>
      <c r="X5" s="46">
        <f>COUNTIFS('RESUMEN TOTAL'!AE10:AE687,"=APAGADO",'RESUMEN TOTAL'!C10:C687,"=COSEIDI")</f>
        <v>0</v>
      </c>
      <c r="Y5" s="46">
        <f>COUNTIFS('RESUMEN TOTAL'!AF10:AF687,"=APAGADO",'RESUMEN TOTAL'!C10:C687,"=COSEIDI")</f>
        <v>0</v>
      </c>
      <c r="Z5" s="46">
        <f>COUNTIFS('RESUMEN TOTAL'!AG10:AG687,"=APAGADO",'RESUMEN TOTAL'!C10:C687,"=COSEIDI")</f>
        <v>0</v>
      </c>
      <c r="AA5" s="46">
        <f>COUNTIFS('RESUMEN TOTAL'!AH10:AH687,"=APAGADO",'RESUMEN TOTAL'!C10:C687,"=COSEIDI")</f>
        <v>0</v>
      </c>
      <c r="AB5" s="46">
        <f>COUNTIFS('RESUMEN TOTAL'!AI10:AI687,"=APAGADO",'RESUMEN TOTAL'!C10:C687,"=COSEIDI")</f>
        <v>0</v>
      </c>
      <c r="AC5" s="46">
        <f>COUNTIFS('RESUMEN TOTAL'!AJ10:AJ687,"=APAGADO",'RESUMEN TOTAL'!C10:C687,"=COSEIDI")</f>
        <v>0</v>
      </c>
      <c r="AD5" s="46">
        <f>COUNTIFS('RESUMEN TOTAL'!AK10:AK687,"=APAGADO",'RESUMEN TOTAL'!C10:C687,"=COSEIDI")</f>
        <v>0</v>
      </c>
      <c r="AE5" s="46">
        <f>COUNTIFS('RESUMEN TOTAL'!AL10:AL687,"=APAGADO",'RESUMEN TOTAL'!C10:C687,"=COSEIDI")</f>
        <v>0</v>
      </c>
      <c r="AF5" s="46">
        <f>COUNTIFS('RESUMEN TOTAL'!AM10:AM687,"=APAGADO",'RESUMEN TOTAL'!C10:C687,"=COSEIDI")</f>
        <v>0</v>
      </c>
      <c r="AG5" s="46">
        <v>0</v>
      </c>
      <c r="AH5" s="46">
        <f>COUNTIFS('RESUMEN TOTAL'!AO10:AO687,"=APAGADO",'RESUMEN TOTAL'!C10:C687,"=COSEIDI")</f>
        <v>0</v>
      </c>
      <c r="AI5" s="46">
        <v>0</v>
      </c>
      <c r="AJ5" s="46">
        <v>0</v>
      </c>
    </row>
    <row r="6" spans="1:36" ht="16.5" thickTop="1" thickBot="1" x14ac:dyDescent="0.3">
      <c r="D6" s="39"/>
      <c r="E6" s="37" t="s">
        <v>1074</v>
      </c>
      <c r="F6" s="50">
        <v>0</v>
      </c>
      <c r="G6" s="50">
        <f>G5/COSEIDIcam</f>
        <v>0.15298507462686567</v>
      </c>
      <c r="H6" s="50">
        <v>0.12</v>
      </c>
      <c r="I6" s="50">
        <v>0.24</v>
      </c>
      <c r="J6" s="50">
        <v>0.23</v>
      </c>
      <c r="K6" s="50">
        <f t="shared" ref="K6:AH6" si="1">K5/COSEIDIcam</f>
        <v>0.25</v>
      </c>
      <c r="L6" s="50">
        <f t="shared" si="1"/>
        <v>0.25</v>
      </c>
      <c r="M6" s="50">
        <v>0</v>
      </c>
      <c r="N6" s="50">
        <f t="shared" si="1"/>
        <v>0</v>
      </c>
      <c r="O6" s="50">
        <f t="shared" si="1"/>
        <v>0</v>
      </c>
      <c r="P6" s="50">
        <v>0</v>
      </c>
      <c r="Q6" s="50">
        <f t="shared" si="1"/>
        <v>0</v>
      </c>
      <c r="R6" s="50">
        <f t="shared" si="1"/>
        <v>0</v>
      </c>
      <c r="S6" s="50">
        <f t="shared" si="1"/>
        <v>0</v>
      </c>
      <c r="T6" s="50">
        <f t="shared" si="1"/>
        <v>0</v>
      </c>
      <c r="U6" s="50">
        <v>0</v>
      </c>
      <c r="V6" s="50">
        <v>0</v>
      </c>
      <c r="W6" s="50">
        <f t="shared" si="1"/>
        <v>0</v>
      </c>
      <c r="X6" s="50">
        <f t="shared" si="1"/>
        <v>0</v>
      </c>
      <c r="Y6" s="50">
        <f t="shared" si="1"/>
        <v>0</v>
      </c>
      <c r="Z6" s="50">
        <f t="shared" si="1"/>
        <v>0</v>
      </c>
      <c r="AA6" s="50">
        <f t="shared" si="1"/>
        <v>0</v>
      </c>
      <c r="AB6" s="50">
        <f t="shared" si="1"/>
        <v>0</v>
      </c>
      <c r="AC6" s="50">
        <v>0</v>
      </c>
      <c r="AD6" s="50">
        <f t="shared" si="1"/>
        <v>0</v>
      </c>
      <c r="AE6" s="50">
        <f t="shared" si="1"/>
        <v>0</v>
      </c>
      <c r="AF6" s="50">
        <f t="shared" si="1"/>
        <v>0</v>
      </c>
      <c r="AG6" s="50">
        <v>0</v>
      </c>
      <c r="AH6" s="50">
        <f t="shared" si="1"/>
        <v>0</v>
      </c>
      <c r="AI6" s="50">
        <v>0</v>
      </c>
      <c r="AJ6" s="50">
        <v>0</v>
      </c>
    </row>
    <row r="7" spans="1:36" ht="15.75" thickTop="1" x14ac:dyDescent="0.25"/>
    <row r="16" spans="1:36" x14ac:dyDescent="0.25">
      <c r="B16" s="8"/>
      <c r="C16" s="8"/>
      <c r="D16" s="8"/>
      <c r="E16" s="8"/>
      <c r="M16"/>
      <c r="N16"/>
      <c r="O16"/>
      <c r="P16"/>
    </row>
    <row r="17" spans="2:16" x14ac:dyDescent="0.25">
      <c r="B17" s="8"/>
      <c r="C17" s="8"/>
      <c r="D17" s="8"/>
      <c r="E17" s="8"/>
      <c r="M17"/>
      <c r="N17"/>
      <c r="O17"/>
      <c r="P17"/>
    </row>
    <row r="18" spans="2:16" x14ac:dyDescent="0.25">
      <c r="B18" s="8"/>
      <c r="C18" s="8"/>
      <c r="D18" s="8"/>
      <c r="E18" s="8"/>
      <c r="M18"/>
      <c r="N18"/>
      <c r="O18"/>
      <c r="P18"/>
    </row>
  </sheetData>
  <conditionalFormatting sqref="C3">
    <cfRule type="cellIs" dxfId="5" priority="5" operator="greaterThan">
      <formula>0.1</formula>
    </cfRule>
    <cfRule type="cellIs" dxfId="4" priority="6" operator="greaterThan">
      <formula>10</formula>
    </cfRule>
  </conditionalFormatting>
  <conditionalFormatting sqref="C5 F6:AJ6">
    <cfRule type="cellIs" dxfId="3" priority="3" operator="greaterThan">
      <formula>0.1</formula>
    </cfRule>
    <cfRule type="cellIs" dxfId="2" priority="4" operator="greaterThan">
      <formula>0.11</formula>
    </cfRule>
  </conditionalFormatting>
  <conditionalFormatting sqref="F4:AJ4">
    <cfRule type="cellIs" dxfId="1" priority="9" operator="greaterThan">
      <formula>0.1</formula>
    </cfRule>
    <cfRule type="cellIs" dxfId="0" priority="10" operator="greaterThan">
      <formula>10</formula>
    </cfRule>
  </conditionalFormatting>
  <pageMargins left="0.7" right="0.7" top="0.75" bottom="0.75" header="0.3" footer="0.3"/>
  <pageSetup paperSize="9" orientation="portrait" horizontalDpi="360" verticalDpi="360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F7C03AA-4E0B-457E-B474-D2A509FFBD5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5</vt:i4>
      </vt:variant>
      <vt:variant>
        <vt:lpstr>Rangos con nombre</vt:lpstr>
      </vt:variant>
      <vt:variant>
        <vt:i4>5</vt:i4>
      </vt:variant>
    </vt:vector>
  </HeadingPairs>
  <TitlesOfParts>
    <vt:vector size="10" baseType="lpstr">
      <vt:lpstr>RESUMEN TOTAL</vt:lpstr>
      <vt:lpstr>AUXILIAR</vt:lpstr>
      <vt:lpstr>informe</vt:lpstr>
      <vt:lpstr>paradas</vt:lpstr>
      <vt:lpstr>Hoja1</vt:lpstr>
      <vt:lpstr>'RESUMEN TOTAL'!_25_de_agosto</vt:lpstr>
      <vt:lpstr>'RESUMEN TOTAL'!_25_de_agosto_3</vt:lpstr>
      <vt:lpstr>BONOMOcam</vt:lpstr>
      <vt:lpstr>CANTIDAD_DE_CAMARAS</vt:lpstr>
      <vt:lpstr>COSEIDIcam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JLDALLEVA</dc:creator>
  <cp:lastModifiedBy>Redes</cp:lastModifiedBy>
  <cp:lastPrinted>2025-10-13T15:00:43Z</cp:lastPrinted>
  <dcterms:created xsi:type="dcterms:W3CDTF">2022-01-21T13:32:57Z</dcterms:created>
  <dcterms:modified xsi:type="dcterms:W3CDTF">2025-12-09T10:39:24Z</dcterms:modified>
</cp:coreProperties>
</file>