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D245CE73-3A9F-4100-8F81-C32CA30893C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<sst xmlns="http://schemas.openxmlformats.org/spreadsheetml/2006/main" count="5139" uniqueCount="2289">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</sst>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55" zoomScaleNormal="55" workbookViewId="0">
      <pane xSplit="12" ySplit="7" topLeftCell="M288" activePane="bottomRight" state="frozen"/>
      <selection pane="topRight" activeCell="M1" sqref="M1"/>
      <selection pane="bottomLeft" activeCell="A5" sqref="A5"/>
      <selection pane="bottomRight" activeCell="M317" sqref="M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0</v>
      </c>
      <c r="O3" s="126">
        <f t="shared" si="4"/>
        <v>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0</v>
      </c>
      <c r="O4" s="10">
        <f>COUNTIFS(O8:O689, "=APAGADO",F8:F689,"=Fibra Optica")</f>
        <v>0</v>
      </c>
      <c r="P4" s="10">
        <f>COUNTIFS(P8:P689, "=APAGADO",F8:F689,"=Fibra Optica")</f>
        <v>0</v>
      </c>
      <c r="Q4" s="10">
        <f>COUNTIFS(Q8:Q689, "=APAGADO",F8:F689,"=Fibra Optica")</f>
        <v>0</v>
      </c>
      <c r="R4" s="10">
        <f>COUNTIFS(R8:R689, "=APAGADO",F8:F689,"=Fibra Optica")</f>
        <v>0</v>
      </c>
      <c r="S4" s="10">
        <f>COUNTIFS(S8:S689, "=APAGADO",F8:F689,"=Fibra Optica")</f>
        <v>0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0</v>
      </c>
      <c r="O5" s="130">
        <f>COUNTIFS(O8:O689, "=APAGADO",F8:F689,"=RADIO")</f>
        <v>0</v>
      </c>
      <c r="P5" s="130">
        <f>COUNTIFS(P8:P689, "=APAGADO",F8:F689,"=RADIO")</f>
        <v>0</v>
      </c>
      <c r="Q5" s="130">
        <f>COUNTIFS(Q8:Q689, "=APAGADO",F8:F689,"=RADIO")</f>
        <v>0</v>
      </c>
      <c r="R5" s="130">
        <f>COUNTIFS(R8:R689, "=APAGADO",F8:F689,"=RADIO")</f>
        <v>0</v>
      </c>
      <c r="S5" s="130">
        <f>COUNTIFS(S8:S689, "=APAGADO",F8:F689,"=RADIO")</f>
        <v>0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0</v>
      </c>
      <c r="O6" s="10">
        <f>COUNTIFS(O8:O689, "=APAGADO",F8:F689,"=PTO A FO")</f>
        <v>0</v>
      </c>
      <c r="P6" s="10">
        <f>COUNTIFS(P8:P689, "=APAGADO",F8:F689,"=PTO A FO")</f>
        <v>0</v>
      </c>
      <c r="Q6" s="10">
        <f>COUNTIFS(Q8:Q689, "=APAGADO",F8:F689,"=PTO A FO")</f>
        <v>0</v>
      </c>
      <c r="R6" s="10">
        <f>COUNTIFS(R8:R689, "=APAGADO",F8:F689,"=PTO A FO")</f>
        <v>0</v>
      </c>
      <c r="S6" s="10">
        <f>COUNTIFS(S8:S689, "=APAGADO",F8:F689,"=PTO A FO")</f>
        <v>0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27</v>
      </c>
      <c r="J8" s="147" t="s">
        <v>1667</v>
      </c>
      <c r="K8" s="31">
        <f t="shared" ref="K8:K85" si="6">COUNTIF(M8:AN8,"APAGADO")</f>
        <v>1</v>
      </c>
      <c r="L8" s="32">
        <f t="shared" ref="L8:L85" si="7">(I8)/(K8+I8)</f>
        <v>0.9642857142857143</v>
      </c>
      <c r="M8" s="70" t="s">
        <v>2288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27</v>
      </c>
      <c r="J9" s="147" t="s">
        <v>1668</v>
      </c>
      <c r="K9" s="31">
        <f t="shared" si="6"/>
        <v>1</v>
      </c>
      <c r="L9" s="32">
        <f t="shared" si="7"/>
        <v>0.9642857142857143</v>
      </c>
      <c r="M9" s="70" t="s">
        <v>2288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27</v>
      </c>
      <c r="J14" s="147" t="s">
        <v>1673</v>
      </c>
      <c r="K14" s="31">
        <f t="shared" si="6"/>
        <v>1</v>
      </c>
      <c r="L14" s="32">
        <f t="shared" si="7"/>
        <v>0.9642857142857143</v>
      </c>
      <c r="M14" s="70" t="s">
        <v>2288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27</v>
      </c>
      <c r="J19" s="147" t="s">
        <v>1677</v>
      </c>
      <c r="K19" s="31">
        <f t="shared" si="6"/>
        <v>1</v>
      </c>
      <c r="L19" s="32">
        <f t="shared" si="7"/>
        <v>0.9642857142857143</v>
      </c>
      <c r="M19" s="70" t="s">
        <v>2288</v>
      </c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27</v>
      </c>
      <c r="J20" s="147" t="s">
        <v>1678</v>
      </c>
      <c r="K20" s="31">
        <f t="shared" si="6"/>
        <v>1</v>
      </c>
      <c r="L20" s="32">
        <f t="shared" si="7"/>
        <v>0.9642857142857143</v>
      </c>
      <c r="M20" s="70" t="s">
        <v>2288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27</v>
      </c>
      <c r="J34" s="147" t="s">
        <v>1689</v>
      </c>
      <c r="K34" s="134">
        <f t="shared" si="6"/>
        <v>1</v>
      </c>
      <c r="L34" s="135">
        <f t="shared" si="7"/>
        <v>0.9642857142857143</v>
      </c>
      <c r="M34" s="136" t="s">
        <v>2288</v>
      </c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27</v>
      </c>
      <c r="J36" s="87" t="s">
        <v>2157</v>
      </c>
      <c r="K36" s="142">
        <f t="shared" si="6"/>
        <v>1</v>
      </c>
      <c r="L36" s="143">
        <f t="shared" si="7"/>
        <v>0.9642857142857143</v>
      </c>
      <c r="M36" s="70" t="s">
        <v>2288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27</v>
      </c>
      <c r="J89" s="147" t="s">
        <v>1733</v>
      </c>
      <c r="K89" s="31">
        <f t="shared" si="9"/>
        <v>1</v>
      </c>
      <c r="L89" s="32">
        <f t="shared" si="10"/>
        <v>0.9642857142857143</v>
      </c>
      <c r="M89" s="70" t="s">
        <v>2288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27</v>
      </c>
      <c r="J99" s="147" t="s">
        <v>1743</v>
      </c>
      <c r="K99" s="142">
        <f t="shared" si="9"/>
        <v>1</v>
      </c>
      <c r="L99" s="143">
        <f t="shared" si="10"/>
        <v>0.9642857142857143</v>
      </c>
      <c r="M99" s="70" t="s">
        <v>2288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27</v>
      </c>
      <c r="J112" s="147" t="s">
        <v>1756</v>
      </c>
      <c r="K112" s="142">
        <f t="shared" si="9"/>
        <v>1</v>
      </c>
      <c r="L112" s="143">
        <f t="shared" si="10"/>
        <v>0.9642857142857143</v>
      </c>
      <c r="M112" s="70" t="s">
        <v>2288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27</v>
      </c>
      <c r="J113" s="147" t="s">
        <v>1755</v>
      </c>
      <c r="K113" s="142">
        <f t="shared" si="9"/>
        <v>1</v>
      </c>
      <c r="L113" s="143">
        <f t="shared" si="10"/>
        <v>0.9642857142857143</v>
      </c>
      <c r="M113" s="70" t="s">
        <v>2288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27</v>
      </c>
      <c r="J118" s="147" t="s">
        <v>1761</v>
      </c>
      <c r="K118" s="31">
        <f t="shared" si="9"/>
        <v>1</v>
      </c>
      <c r="L118" s="32">
        <f t="shared" si="10"/>
        <v>0.9642857142857143</v>
      </c>
      <c r="M118" s="70" t="s">
        <v>2288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2288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28</v>
      </c>
      <c r="J127" s="148" t="s">
        <v>1770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27</v>
      </c>
      <c r="J130" s="147" t="s">
        <v>1773</v>
      </c>
      <c r="K130" s="31">
        <f t="shared" si="9"/>
        <v>1</v>
      </c>
      <c r="L130" s="32">
        <f t="shared" si="10"/>
        <v>0.9642857142857143</v>
      </c>
      <c r="M130" s="70" t="s">
        <v>2288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27</v>
      </c>
      <c r="J131" s="147" t="s">
        <v>1774</v>
      </c>
      <c r="K131" s="31">
        <f t="shared" si="9"/>
        <v>1</v>
      </c>
      <c r="L131" s="32">
        <f t="shared" si="10"/>
        <v>0.9642857142857143</v>
      </c>
      <c r="M131" s="70" t="s">
        <v>2288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2288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28</v>
      </c>
      <c r="J151" s="87"/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27</v>
      </c>
      <c r="J156" s="87"/>
      <c r="K156" s="31">
        <f t="shared" si="9"/>
        <v>1</v>
      </c>
      <c r="L156" s="32">
        <f t="shared" si="10"/>
        <v>0.9642857142857143</v>
      </c>
      <c r="M156" s="70" t="s">
        <v>2288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27</v>
      </c>
      <c r="J157" s="87"/>
      <c r="K157" s="31">
        <f t="shared" si="9"/>
        <v>1</v>
      </c>
      <c r="L157" s="32">
        <f t="shared" si="10"/>
        <v>0.9642857142857143</v>
      </c>
      <c r="M157" s="70" t="s">
        <v>2288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27</v>
      </c>
      <c r="J164" s="147" t="s">
        <v>1797</v>
      </c>
      <c r="K164" s="31">
        <f t="shared" si="12"/>
        <v>1</v>
      </c>
      <c r="L164" s="32">
        <f t="shared" si="13"/>
        <v>0.9642857142857143</v>
      </c>
      <c r="M164" s="70" t="s">
        <v>2288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27</v>
      </c>
      <c r="J167" s="147" t="s">
        <v>1800</v>
      </c>
      <c r="K167" s="31">
        <f t="shared" si="12"/>
        <v>1</v>
      </c>
      <c r="L167" s="32">
        <f t="shared" si="13"/>
        <v>0.9642857142857143</v>
      </c>
      <c r="M167" s="70" t="s">
        <v>2288</v>
      </c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27</v>
      </c>
      <c r="J168" s="147" t="s">
        <v>1801</v>
      </c>
      <c r="K168" s="31">
        <f t="shared" si="12"/>
        <v>1</v>
      </c>
      <c r="L168" s="32">
        <f t="shared" si="13"/>
        <v>0.9642857142857143</v>
      </c>
      <c r="M168" s="70" t="s">
        <v>2288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27</v>
      </c>
      <c r="J169" s="147" t="s">
        <v>1802</v>
      </c>
      <c r="K169" s="31">
        <f t="shared" si="12"/>
        <v>1</v>
      </c>
      <c r="L169" s="32">
        <f t="shared" si="13"/>
        <v>0.9642857142857143</v>
      </c>
      <c r="M169" s="70" t="s">
        <v>2288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27</v>
      </c>
      <c r="J180" s="147" t="s">
        <v>1812</v>
      </c>
      <c r="K180" s="31">
        <f t="shared" si="12"/>
        <v>1</v>
      </c>
      <c r="L180" s="32">
        <f t="shared" si="13"/>
        <v>0.9642857142857143</v>
      </c>
      <c r="M180" s="70" t="s">
        <v>2288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27</v>
      </c>
      <c r="J181" s="147" t="s">
        <v>1813</v>
      </c>
      <c r="K181" s="31">
        <f t="shared" si="12"/>
        <v>1</v>
      </c>
      <c r="L181" s="32">
        <f t="shared" si="13"/>
        <v>0.9642857142857143</v>
      </c>
      <c r="M181" s="70" t="s">
        <v>2288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27</v>
      </c>
      <c r="J182" s="147" t="s">
        <v>1814</v>
      </c>
      <c r="K182" s="31">
        <f t="shared" si="12"/>
        <v>1</v>
      </c>
      <c r="L182" s="32">
        <f t="shared" si="13"/>
        <v>0.9642857142857143</v>
      </c>
      <c r="M182" s="70" t="s">
        <v>2288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27</v>
      </c>
      <c r="J183" s="147" t="s">
        <v>1815</v>
      </c>
      <c r="K183" s="31">
        <f t="shared" si="12"/>
        <v>1</v>
      </c>
      <c r="L183" s="32">
        <f t="shared" si="13"/>
        <v>0.9642857142857143</v>
      </c>
      <c r="M183" s="70" t="s">
        <v>2288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27</v>
      </c>
      <c r="J187" s="147" t="s">
        <v>1818</v>
      </c>
      <c r="K187" s="31">
        <f t="shared" si="12"/>
        <v>1</v>
      </c>
      <c r="L187" s="32">
        <f t="shared" si="13"/>
        <v>0.9642857142857143</v>
      </c>
      <c r="M187" s="70" t="s">
        <v>2288</v>
      </c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27</v>
      </c>
      <c r="J193" s="87"/>
      <c r="K193" s="138">
        <f t="shared" si="12"/>
        <v>1</v>
      </c>
      <c r="L193" s="139">
        <f t="shared" si="13"/>
        <v>0.9642857142857143</v>
      </c>
      <c r="M193" s="140" t="s">
        <v>2288</v>
      </c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27</v>
      </c>
      <c r="J194" s="147" t="s">
        <v>1822</v>
      </c>
      <c r="K194" s="142">
        <f t="shared" si="12"/>
        <v>1</v>
      </c>
      <c r="L194" s="143">
        <f t="shared" si="13"/>
        <v>0.9642857142857143</v>
      </c>
      <c r="M194" s="70" t="s">
        <v>2288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27</v>
      </c>
      <c r="J195" s="147" t="s">
        <v>1823</v>
      </c>
      <c r="K195" s="142">
        <f t="shared" si="12"/>
        <v>1</v>
      </c>
      <c r="L195" s="143">
        <f t="shared" si="13"/>
        <v>0.9642857142857143</v>
      </c>
      <c r="M195" s="70" t="s">
        <v>2288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28</v>
      </c>
      <c r="J197" s="147" t="s">
        <v>1825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27</v>
      </c>
      <c r="J200" s="147" t="s">
        <v>1827</v>
      </c>
      <c r="K200" s="142">
        <f t="shared" si="12"/>
        <v>1</v>
      </c>
      <c r="L200" s="143">
        <f t="shared" si="13"/>
        <v>0.9642857142857143</v>
      </c>
      <c r="M200" s="70" t="s">
        <v>2288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27</v>
      </c>
      <c r="J201" s="147" t="s">
        <v>1828</v>
      </c>
      <c r="K201" s="31">
        <f t="shared" si="12"/>
        <v>1</v>
      </c>
      <c r="L201" s="32">
        <f t="shared" si="13"/>
        <v>0.9642857142857143</v>
      </c>
      <c r="M201" s="70" t="s">
        <v>2288</v>
      </c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27</v>
      </c>
      <c r="J211" s="147" t="s">
        <v>1837</v>
      </c>
      <c r="K211" s="142">
        <f t="shared" si="12"/>
        <v>1</v>
      </c>
      <c r="L211" s="143">
        <f t="shared" si="13"/>
        <v>0.9642857142857143</v>
      </c>
      <c r="M211" s="70" t="s">
        <v>2288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27</v>
      </c>
      <c r="J218" s="151" t="s">
        <v>2276</v>
      </c>
      <c r="K218" s="142">
        <f t="shared" si="12"/>
        <v>1</v>
      </c>
      <c r="L218" s="143">
        <f t="shared" si="13"/>
        <v>0.9642857142857143</v>
      </c>
      <c r="M218" s="70" t="s">
        <v>2288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27</v>
      </c>
      <c r="J219" s="87"/>
      <c r="K219" s="31">
        <f t="shared" si="12"/>
        <v>1</v>
      </c>
      <c r="L219" s="32">
        <f t="shared" si="13"/>
        <v>0.9642857142857143</v>
      </c>
      <c r="M219" s="70" t="s">
        <v>2288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27</v>
      </c>
      <c r="J220" s="87"/>
      <c r="K220" s="31">
        <f t="shared" si="12"/>
        <v>1</v>
      </c>
      <c r="L220" s="32">
        <f t="shared" si="13"/>
        <v>0.9642857142857143</v>
      </c>
      <c r="M220" s="70" t="s">
        <v>2288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27</v>
      </c>
      <c r="J232" s="147" t="s">
        <v>1852</v>
      </c>
      <c r="K232" s="31">
        <f t="shared" si="12"/>
        <v>1</v>
      </c>
      <c r="L232" s="32">
        <f t="shared" si="13"/>
        <v>0.9642857142857143</v>
      </c>
      <c r="M232" s="70" t="s">
        <v>2288</v>
      </c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28</v>
      </c>
      <c r="J233" s="147" t="s">
        <v>1853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27</v>
      </c>
      <c r="J234" s="147" t="s">
        <v>1854</v>
      </c>
      <c r="K234" s="31">
        <f t="shared" si="12"/>
        <v>1</v>
      </c>
      <c r="L234" s="32">
        <f t="shared" si="13"/>
        <v>0.9642857142857143</v>
      </c>
      <c r="M234" s="70" t="s">
        <v>2288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28</v>
      </c>
      <c r="J235" s="147" t="s">
        <v>1855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28</v>
      </c>
      <c r="J236" s="147" t="s">
        <v>1856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28</v>
      </c>
      <c r="J241" s="147" t="s">
        <v>1861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28</v>
      </c>
      <c r="J242" s="147" t="s">
        <v>1862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28</v>
      </c>
      <c r="J243" s="147" t="s">
        <v>1863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28</v>
      </c>
      <c r="J244" s="147" t="s">
        <v>1864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28</v>
      </c>
      <c r="J245" s="147" t="s">
        <v>1865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28</v>
      </c>
      <c r="J246" s="147" t="s">
        <v>1866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28</v>
      </c>
      <c r="J257" s="147" t="s">
        <v>1873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28</v>
      </c>
      <c r="J260" s="147" t="s">
        <v>1876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28</v>
      </c>
      <c r="J262" s="147" t="s">
        <v>1864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27</v>
      </c>
      <c r="J264" s="147" t="s">
        <v>1879</v>
      </c>
      <c r="K264" s="31">
        <f t="shared" si="15"/>
        <v>1</v>
      </c>
      <c r="L264" s="32">
        <f t="shared" si="16"/>
        <v>0.9642857142857143</v>
      </c>
      <c r="M264" s="70" t="s">
        <v>2288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28</v>
      </c>
      <c r="J266" s="147" t="s">
        <v>1881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27</v>
      </c>
      <c r="J281" s="147" t="s">
        <v>1893</v>
      </c>
      <c r="K281" s="31">
        <f t="shared" si="15"/>
        <v>1</v>
      </c>
      <c r="L281" s="32">
        <f t="shared" si="16"/>
        <v>0.9642857142857143</v>
      </c>
      <c r="M281" s="70" t="s">
        <v>2288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27</v>
      </c>
      <c r="J296" s="147" t="s">
        <v>1907</v>
      </c>
      <c r="K296" s="31">
        <f t="shared" si="15"/>
        <v>1</v>
      </c>
      <c r="L296" s="32">
        <f t="shared" si="16"/>
        <v>0.9642857142857143</v>
      </c>
      <c r="M296" s="70" t="s">
        <v>2288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28</v>
      </c>
      <c r="J298" s="147" t="s">
        <v>1909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27</v>
      </c>
      <c r="J308" s="147" t="s">
        <v>1918</v>
      </c>
      <c r="K308" s="142">
        <f t="shared" si="15"/>
        <v>1</v>
      </c>
      <c r="L308" s="143">
        <f t="shared" si="16"/>
        <v>0.9642857142857143</v>
      </c>
      <c r="M308" s="70" t="s">
        <v>2288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27</v>
      </c>
      <c r="J310" s="147" t="s">
        <v>1919</v>
      </c>
      <c r="K310" s="31">
        <f t="shared" ref="K310:K380" si="18">COUNTIF(M310:AN310,"APAGADO")</f>
        <v>1</v>
      </c>
      <c r="L310" s="32">
        <f t="shared" ref="L310:L380" si="19">(I310)/(K310+I310)</f>
        <v>0.9642857142857143</v>
      </c>
      <c r="M310" s="70" t="s">
        <v>2288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28</v>
      </c>
      <c r="J311" s="147" t="s">
        <v>1920</v>
      </c>
      <c r="K311" s="142">
        <f t="shared" si="18"/>
        <v>0</v>
      </c>
      <c r="L311" s="143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28</v>
      </c>
      <c r="J312" s="87" t="s">
        <v>2197</v>
      </c>
      <c r="K312" s="142">
        <f t="shared" si="18"/>
        <v>0</v>
      </c>
      <c r="L312" s="143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28</v>
      </c>
      <c r="J313" s="147" t="s">
        <v>1921</v>
      </c>
      <c r="K313" s="142">
        <f t="shared" si="18"/>
        <v>0</v>
      </c>
      <c r="L313" s="143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27</v>
      </c>
      <c r="J314" s="147" t="s">
        <v>1922</v>
      </c>
      <c r="K314" s="31">
        <f t="shared" si="18"/>
        <v>1</v>
      </c>
      <c r="L314" s="32">
        <f t="shared" si="19"/>
        <v>0.9642857142857143</v>
      </c>
      <c r="M314" s="70" t="s">
        <v>2288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27</v>
      </c>
      <c r="J315" s="147" t="s">
        <v>1923</v>
      </c>
      <c r="K315" s="31">
        <f t="shared" si="18"/>
        <v>1</v>
      </c>
      <c r="L315" s="32">
        <f t="shared" si="19"/>
        <v>0.9642857142857143</v>
      </c>
      <c r="M315" s="70" t="s">
        <v>2288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27</v>
      </c>
      <c r="J316" s="147" t="s">
        <v>1924</v>
      </c>
      <c r="K316" s="31">
        <f t="shared" si="18"/>
        <v>1</v>
      </c>
      <c r="L316" s="32">
        <f t="shared" si="19"/>
        <v>0.9642857142857143</v>
      </c>
      <c r="M316" s="70" t="s">
        <v>2288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28</v>
      </c>
      <c r="J350" s="147" t="s">
        <v>1952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27</v>
      </c>
      <c r="J375" s="73"/>
      <c r="K375" s="31">
        <f t="shared" si="18"/>
        <v>1</v>
      </c>
      <c r="L375" s="32">
        <f t="shared" si="19"/>
        <v>0.9642857142857143</v>
      </c>
      <c r="M375" s="70" t="s">
        <v>2288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27</v>
      </c>
      <c r="J378" s="147" t="s">
        <v>1975</v>
      </c>
      <c r="K378" s="31">
        <f t="shared" si="18"/>
        <v>1</v>
      </c>
      <c r="L378" s="32">
        <f t="shared" si="19"/>
        <v>0.9642857142857143</v>
      </c>
      <c r="M378" s="70" t="s">
        <v>2288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27</v>
      </c>
      <c r="J379" s="147" t="s">
        <v>1976</v>
      </c>
      <c r="K379" s="31">
        <f t="shared" si="18"/>
        <v>1</v>
      </c>
      <c r="L379" s="32">
        <f t="shared" si="19"/>
        <v>0.9642857142857143</v>
      </c>
      <c r="M379" s="70" t="s">
        <v>2288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27</v>
      </c>
      <c r="J380" s="147" t="s">
        <v>1977</v>
      </c>
      <c r="K380" s="31">
        <f t="shared" si="18"/>
        <v>1</v>
      </c>
      <c r="L380" s="32">
        <f t="shared" si="19"/>
        <v>0.9642857142857143</v>
      </c>
      <c r="M380" s="70" t="s">
        <v>2288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27</v>
      </c>
      <c r="J381" s="147" t="s">
        <v>1978</v>
      </c>
      <c r="K381" s="31">
        <f t="shared" ref="K381:K462" si="21">COUNTIF(M381:AN381,"APAGADO")</f>
        <v>1</v>
      </c>
      <c r="L381" s="32">
        <f t="shared" ref="L381:L462" si="22">(I381)/(K381+I381)</f>
        <v>0.9642857142857143</v>
      </c>
      <c r="M381" s="70" t="s">
        <v>2288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27</v>
      </c>
      <c r="J382" s="147" t="s">
        <v>1979</v>
      </c>
      <c r="K382" s="31">
        <f t="shared" si="21"/>
        <v>1</v>
      </c>
      <c r="L382" s="32">
        <f t="shared" si="22"/>
        <v>0.9642857142857143</v>
      </c>
      <c r="M382" s="70" t="s">
        <v>2288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27</v>
      </c>
      <c r="J383" s="147" t="s">
        <v>1980</v>
      </c>
      <c r="K383" s="31">
        <f t="shared" si="21"/>
        <v>1</v>
      </c>
      <c r="L383" s="32">
        <f t="shared" si="22"/>
        <v>0.9642857142857143</v>
      </c>
      <c r="M383" s="70" t="s">
        <v>2288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27</v>
      </c>
      <c r="J384" s="147" t="s">
        <v>1981</v>
      </c>
      <c r="K384" s="31">
        <f t="shared" si="21"/>
        <v>1</v>
      </c>
      <c r="L384" s="32">
        <f t="shared" si="22"/>
        <v>0.9642857142857143</v>
      </c>
      <c r="M384" s="70" t="s">
        <v>2288</v>
      </c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27</v>
      </c>
      <c r="J385" s="147" t="s">
        <v>1982</v>
      </c>
      <c r="K385" s="31">
        <f t="shared" si="21"/>
        <v>1</v>
      </c>
      <c r="L385" s="32">
        <f t="shared" si="22"/>
        <v>0.9642857142857143</v>
      </c>
      <c r="M385" s="70" t="s">
        <v>2288</v>
      </c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27</v>
      </c>
      <c r="J386" s="147" t="s">
        <v>1983</v>
      </c>
      <c r="K386" s="31">
        <f t="shared" si="21"/>
        <v>1</v>
      </c>
      <c r="L386" s="32">
        <f t="shared" si="22"/>
        <v>0.9642857142857143</v>
      </c>
      <c r="M386" s="70" t="s">
        <v>2288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27</v>
      </c>
      <c r="J387" s="147" t="s">
        <v>1984</v>
      </c>
      <c r="K387" s="31">
        <f t="shared" si="21"/>
        <v>1</v>
      </c>
      <c r="L387" s="32">
        <f t="shared" si="22"/>
        <v>0.9642857142857143</v>
      </c>
      <c r="M387" s="70" t="s">
        <v>2288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27</v>
      </c>
      <c r="J388" s="147" t="s">
        <v>1985</v>
      </c>
      <c r="K388" s="31">
        <f t="shared" si="21"/>
        <v>1</v>
      </c>
      <c r="L388" s="32">
        <f t="shared" si="22"/>
        <v>0.9642857142857143</v>
      </c>
      <c r="M388" s="70" t="s">
        <v>2288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27</v>
      </c>
      <c r="J389" s="147" t="s">
        <v>1986</v>
      </c>
      <c r="K389" s="31">
        <f t="shared" si="21"/>
        <v>1</v>
      </c>
      <c r="L389" s="32">
        <f t="shared" si="22"/>
        <v>0.9642857142857143</v>
      </c>
      <c r="M389" s="70" t="s">
        <v>2288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28</v>
      </c>
      <c r="J393" s="87"/>
      <c r="K393" s="31">
        <f t="shared" si="21"/>
        <v>0</v>
      </c>
      <c r="L393" s="32">
        <f t="shared" si="22"/>
        <v>1</v>
      </c>
      <c r="M393" s="70"/>
      <c r="N393" s="70"/>
      <c r="O393" s="70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27</v>
      </c>
      <c r="J395" s="87"/>
      <c r="K395" s="31">
        <f t="shared" si="21"/>
        <v>1</v>
      </c>
      <c r="L395" s="32">
        <f t="shared" si="22"/>
        <v>0.9642857142857143</v>
      </c>
      <c r="M395" s="70" t="s">
        <v>2288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28</v>
      </c>
      <c r="J397" s="87"/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27</v>
      </c>
      <c r="J399" s="147" t="s">
        <v>1991</v>
      </c>
      <c r="K399" s="87">
        <f t="shared" si="21"/>
        <v>1</v>
      </c>
      <c r="L399" s="88">
        <f t="shared" si="22"/>
        <v>0.9642857142857143</v>
      </c>
      <c r="M399" s="89" t="s">
        <v>2288</v>
      </c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28</v>
      </c>
      <c r="J400" s="87"/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27</v>
      </c>
      <c r="J401" s="147" t="s">
        <v>1992</v>
      </c>
      <c r="K401" s="31">
        <f t="shared" si="21"/>
        <v>1</v>
      </c>
      <c r="L401" s="32">
        <f t="shared" si="22"/>
        <v>0.9642857142857143</v>
      </c>
      <c r="M401" s="70" t="s">
        <v>2288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27</v>
      </c>
      <c r="J402" s="147" t="s">
        <v>1993</v>
      </c>
      <c r="K402" s="31">
        <f t="shared" si="21"/>
        <v>1</v>
      </c>
      <c r="L402" s="32">
        <f t="shared" si="22"/>
        <v>0.9642857142857143</v>
      </c>
      <c r="M402" s="70" t="s">
        <v>2288</v>
      </c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27</v>
      </c>
      <c r="J405" s="87"/>
      <c r="K405" s="142">
        <f t="shared" si="21"/>
        <v>1</v>
      </c>
      <c r="L405" s="143">
        <f t="shared" si="22"/>
        <v>0.9642857142857143</v>
      </c>
      <c r="M405" s="70" t="s">
        <v>2288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27</v>
      </c>
      <c r="J406" s="87"/>
      <c r="K406" s="142">
        <f t="shared" si="21"/>
        <v>1</v>
      </c>
      <c r="L406" s="143">
        <f t="shared" si="22"/>
        <v>0.9642857142857143</v>
      </c>
      <c r="M406" s="70" t="s">
        <v>2288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27</v>
      </c>
      <c r="J413" s="147" t="s">
        <v>1998</v>
      </c>
      <c r="K413" s="142">
        <f t="shared" si="21"/>
        <v>1</v>
      </c>
      <c r="L413" s="143">
        <f t="shared" si="22"/>
        <v>0.9642857142857143</v>
      </c>
      <c r="M413" s="70" t="s">
        <v>2288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27</v>
      </c>
      <c r="J415" s="87"/>
      <c r="K415" s="31">
        <f t="shared" si="21"/>
        <v>1</v>
      </c>
      <c r="L415" s="32">
        <f t="shared" si="22"/>
        <v>0.9642857142857143</v>
      </c>
      <c r="M415" s="70" t="s">
        <v>2288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27</v>
      </c>
      <c r="J416" s="147" t="s">
        <v>2000</v>
      </c>
      <c r="K416" s="142">
        <f t="shared" si="21"/>
        <v>1</v>
      </c>
      <c r="L416" s="143">
        <f t="shared" si="22"/>
        <v>0.9642857142857143</v>
      </c>
      <c r="M416" s="70" t="s">
        <v>2288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27</v>
      </c>
      <c r="J420" s="147" t="s">
        <v>2003</v>
      </c>
      <c r="K420" s="31">
        <f t="shared" si="21"/>
        <v>1</v>
      </c>
      <c r="L420" s="32">
        <f t="shared" si="22"/>
        <v>0.9642857142857143</v>
      </c>
      <c r="M420" s="70" t="s">
        <v>2288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27</v>
      </c>
      <c r="J421" s="147" t="s">
        <v>2004</v>
      </c>
      <c r="K421" s="31">
        <f t="shared" si="21"/>
        <v>1</v>
      </c>
      <c r="L421" s="32">
        <f t="shared" si="22"/>
        <v>0.9642857142857143</v>
      </c>
      <c r="M421" s="70" t="s">
        <v>2288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27</v>
      </c>
      <c r="J429" s="147" t="s">
        <v>2011</v>
      </c>
      <c r="K429" s="31">
        <f t="shared" si="21"/>
        <v>1</v>
      </c>
      <c r="L429" s="32">
        <f t="shared" si="22"/>
        <v>0.9642857142857143</v>
      </c>
      <c r="M429" s="70" t="s">
        <v>2288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27</v>
      </c>
      <c r="J430" s="147" t="s">
        <v>2012</v>
      </c>
      <c r="K430" s="31">
        <f t="shared" si="21"/>
        <v>1</v>
      </c>
      <c r="L430" s="32">
        <f t="shared" si="22"/>
        <v>0.9642857142857143</v>
      </c>
      <c r="M430" s="70" t="s">
        <v>2288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27</v>
      </c>
      <c r="J434" s="147" t="s">
        <v>2015</v>
      </c>
      <c r="K434" s="31">
        <f t="shared" si="21"/>
        <v>1</v>
      </c>
      <c r="L434" s="32">
        <f t="shared" si="22"/>
        <v>0.9642857142857143</v>
      </c>
      <c r="M434" s="70" t="s">
        <v>2288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27</v>
      </c>
      <c r="J436" s="147" t="s">
        <v>2017</v>
      </c>
      <c r="K436" s="31">
        <f t="shared" si="21"/>
        <v>1</v>
      </c>
      <c r="L436" s="32">
        <f t="shared" si="22"/>
        <v>0.9642857142857143</v>
      </c>
      <c r="M436" s="70" t="s">
        <v>2288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27</v>
      </c>
      <c r="J441" s="147" t="s">
        <v>2018</v>
      </c>
      <c r="K441" s="31">
        <f t="shared" si="21"/>
        <v>1</v>
      </c>
      <c r="L441" s="32">
        <f t="shared" si="22"/>
        <v>0.9642857142857143</v>
      </c>
      <c r="M441" s="70" t="s">
        <v>2288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27</v>
      </c>
      <c r="J442" s="147" t="s">
        <v>2019</v>
      </c>
      <c r="K442" s="31">
        <f t="shared" si="21"/>
        <v>1</v>
      </c>
      <c r="L442" s="32">
        <f t="shared" si="22"/>
        <v>0.9642857142857143</v>
      </c>
      <c r="M442" s="70" t="s">
        <v>2288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27</v>
      </c>
      <c r="J446" s="147" t="s">
        <v>2023</v>
      </c>
      <c r="K446" s="31">
        <f t="shared" si="21"/>
        <v>1</v>
      </c>
      <c r="L446" s="32">
        <f t="shared" si="22"/>
        <v>0.9642857142857143</v>
      </c>
      <c r="M446" s="70" t="s">
        <v>2288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27</v>
      </c>
      <c r="J447" s="147" t="s">
        <v>2024</v>
      </c>
      <c r="K447" s="31">
        <f t="shared" si="21"/>
        <v>1</v>
      </c>
      <c r="L447" s="32">
        <f t="shared" si="22"/>
        <v>0.9642857142857143</v>
      </c>
      <c r="M447" s="70" t="s">
        <v>2288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27</v>
      </c>
      <c r="J448" s="147" t="s">
        <v>2025</v>
      </c>
      <c r="K448" s="31">
        <f t="shared" si="21"/>
        <v>1</v>
      </c>
      <c r="L448" s="32">
        <f t="shared" si="22"/>
        <v>0.9642857142857143</v>
      </c>
      <c r="M448" s="70" t="s">
        <v>2288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27</v>
      </c>
      <c r="J456" s="147" t="s">
        <v>2027</v>
      </c>
      <c r="K456" s="142">
        <f t="shared" si="21"/>
        <v>1</v>
      </c>
      <c r="L456" s="143">
        <f t="shared" si="22"/>
        <v>0.9642857142857143</v>
      </c>
      <c r="M456" s="70" t="s">
        <v>2288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27</v>
      </c>
      <c r="J457" s="147" t="s">
        <v>2028</v>
      </c>
      <c r="K457" s="142">
        <f t="shared" si="21"/>
        <v>1</v>
      </c>
      <c r="L457" s="143">
        <f t="shared" si="22"/>
        <v>0.9642857142857143</v>
      </c>
      <c r="M457" s="70" t="s">
        <v>2288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27</v>
      </c>
      <c r="J458" s="87"/>
      <c r="K458" s="142">
        <f t="shared" si="21"/>
        <v>1</v>
      </c>
      <c r="L458" s="143">
        <f t="shared" si="22"/>
        <v>0.9642857142857143</v>
      </c>
      <c r="M458" s="70" t="s">
        <v>2288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27</v>
      </c>
      <c r="J459" s="153" t="s">
        <v>2146</v>
      </c>
      <c r="K459" s="142">
        <f t="shared" si="21"/>
        <v>1</v>
      </c>
      <c r="L459" s="143">
        <f t="shared" si="22"/>
        <v>0.9642857142857143</v>
      </c>
      <c r="M459" s="70" t="s">
        <v>2288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27</v>
      </c>
      <c r="J460" s="153"/>
      <c r="K460" s="142">
        <f t="shared" si="21"/>
        <v>1</v>
      </c>
      <c r="L460" s="143">
        <f t="shared" si="22"/>
        <v>0.9642857142857143</v>
      </c>
      <c r="M460" s="70" t="s">
        <v>2288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28</v>
      </c>
      <c r="J461" s="147" t="s">
        <v>2029</v>
      </c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28</v>
      </c>
      <c r="J462" s="147" t="s">
        <v>2030</v>
      </c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28</v>
      </c>
      <c r="J481" s="87"/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28</v>
      </c>
      <c r="J482" s="87"/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28</v>
      </c>
      <c r="J483" s="87"/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28</v>
      </c>
      <c r="J484" s="87"/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28</v>
      </c>
      <c r="J485" s="87"/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27</v>
      </c>
      <c r="J496" s="147" t="s">
        <v>2055</v>
      </c>
      <c r="K496" s="31">
        <f t="shared" si="24"/>
        <v>1</v>
      </c>
      <c r="L496" s="32">
        <f t="shared" si="25"/>
        <v>0.9642857142857143</v>
      </c>
      <c r="M496" s="70" t="s">
        <v>2288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27</v>
      </c>
      <c r="J503" s="147" t="s">
        <v>2062</v>
      </c>
      <c r="K503" s="31">
        <f t="shared" si="24"/>
        <v>1</v>
      </c>
      <c r="L503" s="32">
        <f t="shared" si="25"/>
        <v>0.9642857142857143</v>
      </c>
      <c r="M503" s="70" t="s">
        <v>2288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27</v>
      </c>
      <c r="J508" s="147" t="s">
        <v>2067</v>
      </c>
      <c r="K508" s="31">
        <f t="shared" si="24"/>
        <v>1</v>
      </c>
      <c r="L508" s="32">
        <f t="shared" si="25"/>
        <v>0.9642857142857143</v>
      </c>
      <c r="M508" s="70" t="s">
        <v>2288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27</v>
      </c>
      <c r="J510" s="147" t="s">
        <v>2069</v>
      </c>
      <c r="K510" s="31">
        <f t="shared" si="24"/>
        <v>1</v>
      </c>
      <c r="L510" s="32">
        <f t="shared" si="25"/>
        <v>0.9642857142857143</v>
      </c>
      <c r="M510" s="70" t="s">
        <v>2288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27</v>
      </c>
      <c r="J511" s="147" t="s">
        <v>2070</v>
      </c>
      <c r="K511" s="31">
        <f t="shared" si="24"/>
        <v>1</v>
      </c>
      <c r="L511" s="32">
        <f t="shared" si="25"/>
        <v>0.9642857142857143</v>
      </c>
      <c r="M511" s="70" t="s">
        <v>2288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27</v>
      </c>
      <c r="J514" s="147" t="s">
        <v>2072</v>
      </c>
      <c r="K514" s="31">
        <f t="shared" si="24"/>
        <v>1</v>
      </c>
      <c r="L514" s="32">
        <f t="shared" si="25"/>
        <v>0.9642857142857143</v>
      </c>
      <c r="M514" s="70" t="s">
        <v>2288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27</v>
      </c>
      <c r="J515" s="147" t="s">
        <v>2073</v>
      </c>
      <c r="K515" s="31">
        <f t="shared" si="24"/>
        <v>1</v>
      </c>
      <c r="L515" s="32">
        <f t="shared" si="25"/>
        <v>0.9642857142857143</v>
      </c>
      <c r="M515" s="70" t="s">
        <v>2288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27</v>
      </c>
      <c r="J520" s="147" t="s">
        <v>2078</v>
      </c>
      <c r="K520" s="142">
        <f t="shared" si="24"/>
        <v>1</v>
      </c>
      <c r="L520" s="143">
        <f t="shared" si="25"/>
        <v>0.9642857142857143</v>
      </c>
      <c r="M520" s="70" t="s">
        <v>2288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27</v>
      </c>
      <c r="J523" s="147" t="s">
        <v>2081</v>
      </c>
      <c r="K523" s="142">
        <f t="shared" si="24"/>
        <v>1</v>
      </c>
      <c r="L523" s="143">
        <f t="shared" si="25"/>
        <v>0.9642857142857143</v>
      </c>
      <c r="M523" s="70" t="s">
        <v>2288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27</v>
      </c>
      <c r="J530" s="147" t="s">
        <v>2086</v>
      </c>
      <c r="K530" s="31">
        <f t="shared" si="24"/>
        <v>1</v>
      </c>
      <c r="L530" s="32">
        <f t="shared" si="25"/>
        <v>0.9642857142857143</v>
      </c>
      <c r="M530" s="70" t="s">
        <v>2288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27</v>
      </c>
      <c r="J531" s="147" t="s">
        <v>2087</v>
      </c>
      <c r="K531" s="31">
        <f t="shared" si="24"/>
        <v>1</v>
      </c>
      <c r="L531" s="32">
        <f t="shared" si="25"/>
        <v>0.9642857142857143</v>
      </c>
      <c r="M531" s="70" t="s">
        <v>2288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27</v>
      </c>
      <c r="J532" s="73"/>
      <c r="K532" s="31">
        <f t="shared" si="24"/>
        <v>1</v>
      </c>
      <c r="L532" s="32">
        <f t="shared" si="25"/>
        <v>0.9642857142857143</v>
      </c>
      <c r="M532" s="70" t="s">
        <v>2288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27</v>
      </c>
      <c r="J533" s="147" t="s">
        <v>2088</v>
      </c>
      <c r="K533" s="31">
        <f t="shared" si="24"/>
        <v>1</v>
      </c>
      <c r="L533" s="32">
        <f t="shared" si="25"/>
        <v>0.9642857142857143</v>
      </c>
      <c r="M533" s="70" t="s">
        <v>2288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27</v>
      </c>
      <c r="J540" s="147" t="s">
        <v>2200</v>
      </c>
      <c r="K540" s="31">
        <f t="shared" si="27"/>
        <v>1</v>
      </c>
      <c r="L540" s="32">
        <f t="shared" si="28"/>
        <v>0.9642857142857143</v>
      </c>
      <c r="M540" s="70" t="s">
        <v>2288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27</v>
      </c>
      <c r="J547" s="87"/>
      <c r="K547" s="142">
        <f t="shared" si="27"/>
        <v>1</v>
      </c>
      <c r="L547" s="143">
        <f t="shared" si="28"/>
        <v>0.9642857142857143</v>
      </c>
      <c r="M547" s="70" t="s">
        <v>2288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27</v>
      </c>
      <c r="J548" s="87" t="s">
        <v>2189</v>
      </c>
      <c r="K548" s="142">
        <f t="shared" si="27"/>
        <v>1</v>
      </c>
      <c r="L548" s="143">
        <f t="shared" si="28"/>
        <v>0.9642857142857143</v>
      </c>
      <c r="M548" s="70" t="s">
        <v>2288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27</v>
      </c>
      <c r="J549" s="87" t="s">
        <v>2185</v>
      </c>
      <c r="K549" s="31">
        <f t="shared" si="27"/>
        <v>1</v>
      </c>
      <c r="L549" s="32">
        <f t="shared" si="28"/>
        <v>0.9642857142857143</v>
      </c>
      <c r="M549" s="70" t="s">
        <v>2288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27</v>
      </c>
      <c r="J550" s="147" t="s">
        <v>2099</v>
      </c>
      <c r="K550" s="31">
        <f t="shared" si="27"/>
        <v>1</v>
      </c>
      <c r="L550" s="32">
        <f t="shared" si="28"/>
        <v>0.9642857142857143</v>
      </c>
      <c r="M550" s="70" t="s">
        <v>2288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27</v>
      </c>
      <c r="J551" s="87" t="s">
        <v>2186</v>
      </c>
      <c r="K551" s="31">
        <f t="shared" si="27"/>
        <v>1</v>
      </c>
      <c r="L551" s="32">
        <f t="shared" si="28"/>
        <v>0.9642857142857143</v>
      </c>
      <c r="M551" s="70" t="s">
        <v>2288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27</v>
      </c>
      <c r="J552" s="147" t="s">
        <v>2100</v>
      </c>
      <c r="K552" s="31">
        <f t="shared" si="27"/>
        <v>1</v>
      </c>
      <c r="L552" s="32">
        <f t="shared" si="28"/>
        <v>0.9642857142857143</v>
      </c>
      <c r="M552" s="70" t="s">
        <v>2288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27</v>
      </c>
      <c r="J559" s="147" t="s">
        <v>2105</v>
      </c>
      <c r="K559" s="31">
        <f t="shared" si="27"/>
        <v>1</v>
      </c>
      <c r="L559" s="32">
        <f t="shared" si="28"/>
        <v>0.9642857142857143</v>
      </c>
      <c r="M559" s="70" t="s">
        <v>2288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27</v>
      </c>
      <c r="J577" s="147" t="s">
        <v>2116</v>
      </c>
      <c r="K577" s="142">
        <f t="shared" si="27"/>
        <v>1</v>
      </c>
      <c r="L577" s="143">
        <f t="shared" si="28"/>
        <v>0.9642857142857143</v>
      </c>
      <c r="M577" s="70" t="s">
        <v>2288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zoomScale="84" zoomScaleNormal="84" workbookViewId="0">
      <selection activeCell="H327" sqref="H32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61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5"/>
    </row>
    <row r="15" spans="1:6" x14ac:dyDescent="0.25">
      <c r="B15" s="53" t="s">
        <v>1243</v>
      </c>
      <c r="C15" s="67">
        <v>0</v>
      </c>
      <c r="D15" s="103">
        <v>0</v>
      </c>
      <c r="E15" s="55">
        <f>D15/C13</f>
        <v>0</v>
      </c>
      <c r="F15" s="155"/>
    </row>
    <row r="16" spans="1:6" x14ac:dyDescent="0.25">
      <c r="B16" s="53" t="s">
        <v>1244</v>
      </c>
      <c r="C16" s="67">
        <v>0</v>
      </c>
      <c r="D16" s="103">
        <f>D15-C16</f>
        <v>0</v>
      </c>
      <c r="E16" s="55">
        <f>D16/C13</f>
        <v>0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0</v>
      </c>
      <c r="E20" s="105">
        <f>D20/C20</f>
        <v>0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0</v>
      </c>
      <c r="E21" s="114">
        <f>D21/C21</f>
        <v>0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0</v>
      </c>
      <c r="E27" s="55">
        <f>D27/C24</f>
        <v>0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5"/>
    </row>
    <row r="29" spans="1:6" ht="15.75" thickBot="1" x14ac:dyDescent="0.3">
      <c r="B29" s="56"/>
      <c r="C29" s="131">
        <v>0</v>
      </c>
      <c r="D29" s="104">
        <f>D28-C29</f>
        <v>0</v>
      </c>
      <c r="E29" s="74">
        <f>D29/C24</f>
        <v>0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0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1244</v>
      </c>
      <c r="C49" s="67">
        <v>0</v>
      </c>
      <c r="D49" s="103">
        <v>0</v>
      </c>
      <c r="E49" s="55">
        <f>D49/C46</f>
        <v>0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1244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1244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>
        <f>'RESUMEN TOTAL'!N89</f>
        <v>0</v>
      </c>
      <c r="H68" s="70">
        <f>'RESUMEN TOTAL'!O89</f>
        <v>0</v>
      </c>
      <c r="I68" s="70">
        <f>'RESUMEN TOTAL'!P89</f>
        <v>0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>
        <f>'RESUMEN TOTAL'!N99</f>
        <v>0</v>
      </c>
      <c r="H78" s="70">
        <f>'RESUMEN TOTAL'!O99</f>
        <v>0</v>
      </c>
      <c r="I78" s="70">
        <f>'RESUMEN TOTAL'!P99</f>
        <v>0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>
        <f>'RESUMEN TOTAL'!N130</f>
        <v>0</v>
      </c>
      <c r="H109" s="70">
        <f>'RESUMEN TOTAL'!O130</f>
        <v>0</v>
      </c>
      <c r="I109" s="70">
        <f>'RESUMEN TOTAL'!P130</f>
        <v>0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>
        <f>'RESUMEN TOTAL'!N183</f>
        <v>0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>
        <f>'RESUMEN TOTAL'!N193</f>
        <v>0</v>
      </c>
      <c r="H148" s="70">
        <f>'RESUMEN TOTAL'!O193</f>
        <v>0</v>
      </c>
      <c r="I148" s="70">
        <f>'RESUMEN TOTAL'!P193</f>
        <v>0</v>
      </c>
      <c r="J148" s="70">
        <f>'RESUMEN TOTAL'!Q193</f>
        <v>0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>
        <f>'RESUMEN TOTAL'!N195</f>
        <v>0</v>
      </c>
      <c r="H150" s="70">
        <f>'RESUMEN TOTAL'!O195</f>
        <v>0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>
        <f>'RESUMEN TOTAL'!N200</f>
        <v>0</v>
      </c>
      <c r="H155" s="70">
        <f>'RESUMEN TOTAL'!O200</f>
        <v>0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>
        <f>'RESUMEN TOTAL'!N201</f>
        <v>0</v>
      </c>
      <c r="H156" s="70">
        <f>'RESUMEN TOTAL'!O201</f>
        <v>0</v>
      </c>
      <c r="I156" s="70">
        <f>'RESUMEN TOTAL'!P201</f>
        <v>0</v>
      </c>
      <c r="J156" s="70">
        <f>'RESUMEN TOTAL'!Q201</f>
        <v>0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>
        <f>'RESUMEN TOTAL'!N219</f>
        <v>0</v>
      </c>
      <c r="H170" s="70">
        <f>'RESUMEN TOTAL'!O219</f>
        <v>0</v>
      </c>
      <c r="I170" s="70">
        <f>'RESUMEN TOTAL'!P219</f>
        <v>0</v>
      </c>
      <c r="J170" s="70">
        <f>'RESUMEN TOTAL'!Q219</f>
        <v>0</v>
      </c>
      <c r="K170" s="70">
        <f>'RESUMEN TOTAL'!R219</f>
        <v>0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>
        <f>'RESUMEN TOTAL'!N220</f>
        <v>0</v>
      </c>
      <c r="H171" s="70">
        <f>'RESUMEN TOTAL'!O220</f>
        <v>0</v>
      </c>
      <c r="I171" s="70">
        <f>'RESUMEN TOTAL'!P220</f>
        <v>0</v>
      </c>
      <c r="J171" s="70">
        <f>'RESUMEN TOTAL'!Q220</f>
        <v>0</v>
      </c>
      <c r="K171" s="70">
        <f>'RESUMEN TOTAL'!R220</f>
        <v>0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>
        <f>'RESUMEN TOTAL'!N232</f>
        <v>0</v>
      </c>
      <c r="H179" s="70">
        <f>'RESUMEN TOTAL'!O232</f>
        <v>0</v>
      </c>
      <c r="I179" s="70">
        <f>'RESUMEN TOTAL'!P232</f>
        <v>0</v>
      </c>
      <c r="J179" s="70">
        <f>'RESUMEN TOTAL'!Q232</f>
        <v>0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>
        <f>'RESUMEN TOTAL'!N234</f>
        <v>0</v>
      </c>
      <c r="H181" s="70">
        <f>'RESUMEN TOTAL'!O234</f>
        <v>0</v>
      </c>
      <c r="I181" s="70">
        <f>'RESUMEN TOTAL'!P234</f>
        <v>0</v>
      </c>
      <c r="J181" s="70">
        <f>'RESUMEN TOTAL'!Q234</f>
        <v>0</v>
      </c>
      <c r="K181" s="70">
        <f>'RESUMEN TOTAL'!R234</f>
        <v>0</v>
      </c>
      <c r="L181" s="70">
        <f>'RESUMEN TOTAL'!S234</f>
        <v>0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>
        <f>'RESUMEN TOTAL'!S257</f>
        <v>0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>
        <f>'RESUMEN TOTAL'!N281</f>
        <v>0</v>
      </c>
      <c r="H224" s="70">
        <f>'RESUMEN TOTAL'!O281</f>
        <v>0</v>
      </c>
      <c r="I224" s="70">
        <f>'RESUMEN TOTAL'!P281</f>
        <v>0</v>
      </c>
      <c r="J224" s="70">
        <f>'RESUMEN TOTAL'!Q281</f>
        <v>0</v>
      </c>
      <c r="K224" s="70">
        <f>'RESUMEN TOTAL'!R281</f>
        <v>0</v>
      </c>
      <c r="L224" s="70">
        <f>'RESUMEN TOTAL'!S281</f>
        <v>0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>
        <f>'RESUMEN TOTAL'!N296</f>
        <v>0</v>
      </c>
      <c r="H236" s="70">
        <f>'RESUMEN TOTAL'!O296</f>
        <v>0</v>
      </c>
      <c r="I236" s="70">
        <f>'RESUMEN TOTAL'!P296</f>
        <v>0</v>
      </c>
      <c r="J236" s="70">
        <f>'RESUMEN TOTAL'!Q296</f>
        <v>0</v>
      </c>
      <c r="K236" s="70">
        <f>'RESUMEN TOTAL'!R296</f>
        <v>0</v>
      </c>
      <c r="L236" s="70">
        <f>'RESUMEN TOTAL'!S296</f>
        <v>0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>
        <f>'RESUMEN TOTAL'!N308</f>
        <v>0</v>
      </c>
      <c r="H248" s="70">
        <f>'RESUMEN TOTAL'!O308</f>
        <v>0</v>
      </c>
      <c r="I248" s="70">
        <f>'RESUMEN TOTAL'!P308</f>
        <v>0</v>
      </c>
      <c r="J248" s="70">
        <f>'RESUMEN TOTAL'!Q308</f>
        <v>0</v>
      </c>
      <c r="K248" s="70">
        <f>'RESUMEN TOTAL'!R308</f>
        <v>0</v>
      </c>
      <c r="L248" s="70">
        <f>'RESUMEN TOTAL'!S308</f>
        <v>0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>
        <f>'RESUMEN TOTAL'!N310</f>
        <v>0</v>
      </c>
      <c r="H250" s="70">
        <f>'RESUMEN TOTAL'!O310</f>
        <v>0</v>
      </c>
      <c r="I250" s="70">
        <f>'RESUMEN TOTAL'!P310</f>
        <v>0</v>
      </c>
      <c r="J250" s="70">
        <f>'RESUMEN TOTAL'!Q310</f>
        <v>0</v>
      </c>
      <c r="K250" s="70">
        <f>'RESUMEN TOTAL'!R310</f>
        <v>0</v>
      </c>
      <c r="L250" s="70">
        <f>'RESUMEN TOTAL'!S310</f>
        <v>0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>
        <f>'RESUMEN TOTAL'!N311</f>
        <v>0</v>
      </c>
      <c r="H251" s="70">
        <f>'RESUMEN TOTAL'!O311</f>
        <v>0</v>
      </c>
      <c r="I251" s="70">
        <f>'RESUMEN TOTAL'!P311</f>
        <v>0</v>
      </c>
      <c r="J251" s="70">
        <f>'RESUMEN TOTAL'!Q311</f>
        <v>0</v>
      </c>
      <c r="K251" s="70">
        <f>'RESUMEN TOTAL'!R311</f>
        <v>0</v>
      </c>
      <c r="L251" s="70">
        <f>'RESUMEN TOTAL'!S311</f>
        <v>0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>
        <f>'RESUMEN TOTAL'!N312</f>
        <v>0</v>
      </c>
      <c r="H252" s="70">
        <f>'RESUMEN TOTAL'!O312</f>
        <v>0</v>
      </c>
      <c r="I252" s="70">
        <f>'RESUMEN TOTAL'!P312</f>
        <v>0</v>
      </c>
      <c r="J252" s="70">
        <f>'RESUMEN TOTAL'!Q312</f>
        <v>0</v>
      </c>
      <c r="K252" s="70">
        <f>'RESUMEN TOTAL'!R312</f>
        <v>0</v>
      </c>
      <c r="L252" s="70">
        <f>'RESUMEN TOTAL'!S312</f>
        <v>0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>
        <f>'RESUMEN TOTAL'!N313</f>
        <v>0</v>
      </c>
      <c r="H253" s="70">
        <f>'RESUMEN TOTAL'!O313</f>
        <v>0</v>
      </c>
      <c r="I253" s="70">
        <f>'RESUMEN TOTAL'!P313</f>
        <v>0</v>
      </c>
      <c r="J253" s="70">
        <f>'RESUMEN TOTAL'!Q313</f>
        <v>0</v>
      </c>
      <c r="K253" s="70">
        <f>'RESUMEN TOTAL'!R313</f>
        <v>0</v>
      </c>
      <c r="L253" s="70">
        <f>'RESUMEN TOTAL'!S313</f>
        <v>0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>
        <f>'RESUMEN TOTAL'!N314</f>
        <v>0</v>
      </c>
      <c r="H254" s="70">
        <f>'RESUMEN TOTAL'!O314</f>
        <v>0</v>
      </c>
      <c r="I254" s="70">
        <f>'RESUMEN TOTAL'!P314</f>
        <v>0</v>
      </c>
      <c r="J254" s="70">
        <f>'RESUMEN TOTAL'!Q314</f>
        <v>0</v>
      </c>
      <c r="K254" s="70">
        <f>'RESUMEN TOTAL'!R314</f>
        <v>0</v>
      </c>
      <c r="L254" s="70">
        <f>'RESUMEN TOTAL'!S314</f>
        <v>0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>
        <f>'RESUMEN TOTAL'!N315</f>
        <v>0</v>
      </c>
      <c r="H255" s="70">
        <f>'RESUMEN TOTAL'!O315</f>
        <v>0</v>
      </c>
      <c r="I255" s="70">
        <f>'RESUMEN TOTAL'!P315</f>
        <v>0</v>
      </c>
      <c r="J255" s="70">
        <f>'RESUMEN TOTAL'!Q315</f>
        <v>0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>
        <f>'RESUMEN TOTAL'!N316</f>
        <v>0</v>
      </c>
      <c r="H256" s="70">
        <f>'RESUMEN TOTAL'!O316</f>
        <v>0</v>
      </c>
      <c r="I256" s="70">
        <f>'RESUMEN TOTAL'!P316</f>
        <v>0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>
        <f>'RESUMEN TOTAL'!N375</f>
        <v>0</v>
      </c>
      <c r="H301" s="70">
        <f>'RESUMEN TOTAL'!O375</f>
        <v>0</v>
      </c>
      <c r="I301" s="70">
        <f>'RESUMEN TOTAL'!P375</f>
        <v>0</v>
      </c>
      <c r="J301" s="70">
        <f>'RESUMEN TOTAL'!Q375</f>
        <v>0</v>
      </c>
      <c r="K301" s="70">
        <f>'RESUMEN TOTAL'!R375</f>
        <v>0</v>
      </c>
      <c r="L301" s="70">
        <f>'RESUMEN TOTAL'!S375</f>
        <v>0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>
        <f>'RESUMEN TOTAL'!N378</f>
        <v>0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>
        <f>'RESUMEN TOTAL'!N379</f>
        <v>0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>
        <f>'RESUMEN TOTAL'!N380</f>
        <v>0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>
        <f>'RESUMEN TOTAL'!N381</f>
        <v>0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>
        <f>'RESUMEN TOTAL'!N382</f>
        <v>0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>
        <f>'RESUMEN TOTAL'!N383</f>
        <v>0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>
        <f>'RESUMEN TOTAL'!R383</f>
        <v>0</v>
      </c>
      <c r="L309" s="70">
        <f>'RESUMEN TOTAL'!S383</f>
        <v>0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>
        <f>'RESUMEN TOTAL'!N384</f>
        <v>0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>
        <f>'RESUMEN TOTAL'!R384</f>
        <v>0</v>
      </c>
      <c r="L310" s="70">
        <f>'RESUMEN TOTAL'!S384</f>
        <v>0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>
        <f>'RESUMEN TOTAL'!N385</f>
        <v>0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>
        <f>'RESUMEN TOTAL'!N386</f>
        <v>0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>
        <f>'RESUMEN TOTAL'!N387</f>
        <v>0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>
        <f>'RESUMEN TOTAL'!N388</f>
        <v>0</v>
      </c>
      <c r="H314" s="70">
        <f>'RESUMEN TOTAL'!O388</f>
        <v>0</v>
      </c>
      <c r="I314" s="70">
        <f>'RESUMEN TOTAL'!P388</f>
        <v>0</v>
      </c>
      <c r="J314" s="70">
        <f>'RESUMEN TOTAL'!Q388</f>
        <v>0</v>
      </c>
      <c r="K314" s="70">
        <f>'RESUMEN TOTAL'!R388</f>
        <v>0</v>
      </c>
      <c r="L314" s="70">
        <f>'RESUMEN TOTAL'!S388</f>
        <v>0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>
        <f>'RESUMEN TOTAL'!N389</f>
        <v>0</v>
      </c>
      <c r="H315" s="70">
        <f>'RESUMEN TOTAL'!O389</f>
        <v>0</v>
      </c>
      <c r="I315" s="70">
        <f>'RESUMEN TOTAL'!P389</f>
        <v>0</v>
      </c>
      <c r="J315" s="70">
        <f>'RESUMEN TOTAL'!Q389</f>
        <v>0</v>
      </c>
      <c r="K315" s="70">
        <f>'RESUMEN TOTAL'!R389</f>
        <v>0</v>
      </c>
      <c r="L315" s="70">
        <f>'RESUMEN TOTAL'!S389</f>
        <v>0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>
        <f>'RESUMEN TOTAL'!P395</f>
        <v>0</v>
      </c>
      <c r="J316" s="70">
        <f>'RESUMEN TOTAL'!Q395</f>
        <v>0</v>
      </c>
      <c r="K316" s="70">
        <f>'RESUMEN TOTAL'!R395</f>
        <v>0</v>
      </c>
      <c r="L316" s="70">
        <f>'RESUMEN TOTAL'!S395</f>
        <v>0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>
        <f>'RESUMEN TOTAL'!R397</f>
        <v>0</v>
      </c>
      <c r="L318" s="70">
        <f>'RESUMEN TOTAL'!S397</f>
        <v>0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>
        <f>'RESUMEN TOTAL'!R398</f>
        <v>0</v>
      </c>
      <c r="L319" s="70">
        <f>'RESUMEN TOTAL'!S398</f>
        <v>0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>
        <f>'RESUMEN TOTAL'!N399</f>
        <v>0</v>
      </c>
      <c r="H320" s="70">
        <f>'RESUMEN TOTAL'!O399</f>
        <v>0</v>
      </c>
      <c r="I320" s="70">
        <f>'RESUMEN TOTAL'!P399</f>
        <v>0</v>
      </c>
      <c r="J320" s="70">
        <f>'RESUMEN TOTAL'!Q399</f>
        <v>0</v>
      </c>
      <c r="K320" s="70">
        <f>'RESUMEN TOTAL'!R399</f>
        <v>0</v>
      </c>
      <c r="L320" s="70">
        <f>'RESUMEN TOTAL'!S399</f>
        <v>0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>
        <f>'RESUMEN TOTAL'!R400</f>
        <v>0</v>
      </c>
      <c r="L321" s="70">
        <f>'RESUMEN TOTAL'!S400</f>
        <v>0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>
        <f>'RESUMEN TOTAL'!N401</f>
        <v>0</v>
      </c>
      <c r="H322" s="70">
        <f>'RESUMEN TOTAL'!P401</f>
        <v>0</v>
      </c>
      <c r="I322" s="70">
        <v>0</v>
      </c>
      <c r="J322" s="70">
        <f>'RESUMEN TOTAL'!Q401</f>
        <v>0</v>
      </c>
      <c r="K322" s="70">
        <f>'RESUMEN TOTAL'!R401</f>
        <v>0</v>
      </c>
      <c r="L322" s="70">
        <f>'RESUMEN TOTAL'!S401</f>
        <v>0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>
        <f>'RESUMEN TOTAL'!N402</f>
        <v>0</v>
      </c>
      <c r="H323" s="70">
        <f>'RESUMEN TOTAL'!P402</f>
        <v>0</v>
      </c>
      <c r="I323" s="70">
        <v>0</v>
      </c>
      <c r="J323" s="70">
        <f>'RESUMEN TOTAL'!Q402</f>
        <v>0</v>
      </c>
      <c r="K323" s="70">
        <f>'RESUMEN TOTAL'!R402</f>
        <v>0</v>
      </c>
      <c r="L323" s="70">
        <f>'RESUMEN TOTAL'!S402</f>
        <v>0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>
        <f>'RESUMEN TOTAL'!N413</f>
        <v>0</v>
      </c>
      <c r="H327" s="70">
        <f>'RESUMEN TOTAL'!O413</f>
        <v>0</v>
      </c>
      <c r="I327" s="70">
        <f>'RESUMEN TOTAL'!P413</f>
        <v>0</v>
      </c>
      <c r="J327" s="70">
        <f>'RESUMEN TOTAL'!Q413</f>
        <v>0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>
        <f>'RESUMEN TOTAL'!N415</f>
        <v>0</v>
      </c>
      <c r="H329" s="70">
        <f>'RESUMEN TOTAL'!O415</f>
        <v>0</v>
      </c>
      <c r="I329" s="70">
        <f>'RESUMEN TOTAL'!P415</f>
        <v>0</v>
      </c>
      <c r="J329" s="70">
        <f>'RESUMEN TOTAL'!Q415</f>
        <v>0</v>
      </c>
      <c r="K329" s="70">
        <f>'RESUMEN TOTAL'!R415</f>
        <v>0</v>
      </c>
      <c r="L329" s="70">
        <f>'RESUMEN TOTAL'!S415</f>
        <v>0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>
        <f>'RESUMEN TOTAL'!Q416</f>
        <v>0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>
        <f>'RESUMEN TOTAL'!P420</f>
        <v>0</v>
      </c>
      <c r="I334" s="70">
        <v>0</v>
      </c>
      <c r="J334" s="70">
        <f>'RESUMEN TOTAL'!Q420</f>
        <v>0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>
        <f>'RESUMEN TOTAL'!P421</f>
        <v>0</v>
      </c>
      <c r="I335" s="70">
        <v>0</v>
      </c>
      <c r="J335" s="70">
        <f>'RESUMEN TOTAL'!Q421</f>
        <v>0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>
        <f>'RESUMEN TOTAL'!N429</f>
        <v>0</v>
      </c>
      <c r="H340" s="70">
        <f>'RESUMEN TOTAL'!O429</f>
        <v>0</v>
      </c>
      <c r="I340" s="70">
        <f>'RESUMEN TOTAL'!P429</f>
        <v>0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>
        <f>'RESUMEN TOTAL'!N430</f>
        <v>0</v>
      </c>
      <c r="H341" s="70">
        <f>'RESUMEN TOTAL'!O430</f>
        <v>0</v>
      </c>
      <c r="I341" s="70">
        <f>'RESUMEN TOTAL'!P430</f>
        <v>0</v>
      </c>
      <c r="J341" s="70">
        <f>'RESUMEN TOTAL'!Q430</f>
        <v>0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>
        <f>'RESUMEN TOTAL'!N434</f>
        <v>0</v>
      </c>
      <c r="H345" s="70">
        <f>'RESUMEN TOTAL'!O434</f>
        <v>0</v>
      </c>
      <c r="I345" s="70">
        <f>'RESUMEN TOTAL'!P434</f>
        <v>0</v>
      </c>
      <c r="J345" s="70">
        <f>'RESUMEN TOTAL'!Q434</f>
        <v>0</v>
      </c>
      <c r="K345" s="70">
        <f>'RESUMEN TOTAL'!R434</f>
        <v>0</v>
      </c>
      <c r="L345" s="70">
        <f>'RESUMEN TOTAL'!S434</f>
        <v>0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>
        <f>'RESUMEN TOTAL'!N436</f>
        <v>0</v>
      </c>
      <c r="H347" s="70">
        <f>'RESUMEN TOTAL'!O436</f>
        <v>0</v>
      </c>
      <c r="I347" s="70">
        <f>'RESUMEN TOTAL'!P436</f>
        <v>0</v>
      </c>
      <c r="J347" s="70">
        <f>'RESUMEN TOTAL'!Q436</f>
        <v>0</v>
      </c>
      <c r="K347" s="70">
        <f>'RESUMEN TOTAL'!R436</f>
        <v>0</v>
      </c>
      <c r="L347" s="70">
        <f>'RESUMEN TOTAL'!S436</f>
        <v>0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>
        <f>'RESUMEN TOTAL'!N441</f>
        <v>0</v>
      </c>
      <c r="H352" s="70">
        <f>'RESUMEN TOTAL'!O441</f>
        <v>0</v>
      </c>
      <c r="I352" s="70">
        <f>'RESUMEN TOTAL'!P441</f>
        <v>0</v>
      </c>
      <c r="J352" s="70">
        <f>'RESUMEN TOTAL'!Q441</f>
        <v>0</v>
      </c>
      <c r="K352" s="70">
        <f>'RESUMEN TOTAL'!R441</f>
        <v>0</v>
      </c>
      <c r="L352" s="70">
        <f>'RESUMEN TOTAL'!S441</f>
        <v>0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>
        <f>'RESUMEN TOTAL'!N442</f>
        <v>0</v>
      </c>
      <c r="H353" s="70">
        <f>'RESUMEN TOTAL'!O442</f>
        <v>0</v>
      </c>
      <c r="I353" s="70">
        <f>'RESUMEN TOTAL'!P442</f>
        <v>0</v>
      </c>
      <c r="J353" s="70">
        <f>'RESUMEN TOTAL'!Q442</f>
        <v>0</v>
      </c>
      <c r="K353" s="70">
        <f>'RESUMEN TOTAL'!R442</f>
        <v>0</v>
      </c>
      <c r="L353" s="70">
        <f>'RESUMEN TOTAL'!S442</f>
        <v>0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>
        <f>'RESUMEN TOTAL'!N446</f>
        <v>0</v>
      </c>
      <c r="H357" s="70">
        <f>'RESUMEN TOTAL'!O446</f>
        <v>0</v>
      </c>
      <c r="I357" s="70">
        <f>'RESUMEN TOTAL'!P446</f>
        <v>0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>
        <f>'RESUMEN TOTAL'!N447</f>
        <v>0</v>
      </c>
      <c r="H358" s="70">
        <f>'RESUMEN TOTAL'!O447</f>
        <v>0</v>
      </c>
      <c r="I358" s="70">
        <f>'RESUMEN TOTAL'!P447</f>
        <v>0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>
        <f>'RESUMEN TOTAL'!N448</f>
        <v>0</v>
      </c>
      <c r="H359" s="70">
        <f>'RESUMEN TOTAL'!O448</f>
        <v>0</v>
      </c>
      <c r="I359" s="70">
        <f>'RESUMEN TOTAL'!P448</f>
        <v>0</v>
      </c>
      <c r="J359" s="70">
        <f>'RESUMEN TOTAL'!Q448</f>
        <v>0</v>
      </c>
      <c r="K359" s="70">
        <f>'RESUMEN TOTAL'!R448</f>
        <v>0</v>
      </c>
      <c r="L359" s="70">
        <f>'RESUMEN TOTAL'!S448</f>
        <v>0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>
        <f>'RESUMEN TOTAL'!N456</f>
        <v>0</v>
      </c>
      <c r="H361" s="70">
        <f>'RESUMEN TOTAL'!O456</f>
        <v>0</v>
      </c>
      <c r="I361" s="70">
        <f>'RESUMEN TOTAL'!P456</f>
        <v>0</v>
      </c>
      <c r="J361" s="70">
        <f>'RESUMEN TOTAL'!Q456</f>
        <v>0</v>
      </c>
      <c r="K361" s="70">
        <f>'RESUMEN TOTAL'!R456</f>
        <v>0</v>
      </c>
      <c r="L361" s="70">
        <f>'RESUMEN TOTAL'!S456</f>
        <v>0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>
        <f>'RESUMEN TOTAL'!N457</f>
        <v>0</v>
      </c>
      <c r="H362" s="70">
        <f>'RESUMEN TOTAL'!O457</f>
        <v>0</v>
      </c>
      <c r="I362" s="70">
        <f>'RESUMEN TOTAL'!P457</f>
        <v>0</v>
      </c>
      <c r="J362" s="70">
        <f>'RESUMEN TOTAL'!Q457</f>
        <v>0</v>
      </c>
      <c r="K362" s="70">
        <f>'RESUMEN TOTAL'!R457</f>
        <v>0</v>
      </c>
      <c r="L362" s="70">
        <f>'RESUMEN TOTAL'!S457</f>
        <v>0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>
        <f>'RESUMEN TOTAL'!N458</f>
        <v>0</v>
      </c>
      <c r="H363" s="70">
        <f>'RESUMEN TOTAL'!O458</f>
        <v>0</v>
      </c>
      <c r="I363" s="70">
        <f>'RESUMEN TOTAL'!P458</f>
        <v>0</v>
      </c>
      <c r="J363" s="70">
        <f>'RESUMEN TOTAL'!Q458</f>
        <v>0</v>
      </c>
      <c r="K363" s="70">
        <f>'RESUMEN TOTAL'!R458</f>
        <v>0</v>
      </c>
      <c r="L363" s="70">
        <f>'RESUMEN TOTAL'!S458</f>
        <v>0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>
        <f>'RESUMEN TOTAL'!R481</f>
        <v>0</v>
      </c>
      <c r="L378" s="70">
        <f>'RESUMEN TOTAL'!S481</f>
        <v>0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>
        <f>'RESUMEN TOTAL'!R482</f>
        <v>0</v>
      </c>
      <c r="L379" s="70">
        <f>'RESUMEN TOTAL'!S482</f>
        <v>0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>
        <f>'RESUMEN TOTAL'!R483</f>
        <v>0</v>
      </c>
      <c r="L380" s="70">
        <f>'RESUMEN TOTAL'!S483</f>
        <v>0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>
        <f>'RESUMEN TOTAL'!R484</f>
        <v>0</v>
      </c>
      <c r="L381" s="70">
        <f>'RESUMEN TOTAL'!S484</f>
        <v>0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>
        <f>'RESUMEN TOTAL'!R485</f>
        <v>0</v>
      </c>
      <c r="L382" s="70">
        <f>'RESUMEN TOTAL'!S485</f>
        <v>0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>
        <f>'RESUMEN TOTAL'!N510</f>
        <v>0</v>
      </c>
      <c r="H407" s="70">
        <f>'RESUMEN TOTAL'!O510</f>
        <v>0</v>
      </c>
      <c r="I407" s="70">
        <f>'RESUMEN TOTAL'!P510</f>
        <v>0</v>
      </c>
      <c r="J407" s="70">
        <f>'RESUMEN TOTAL'!Q510</f>
        <v>0</v>
      </c>
      <c r="K407" s="70">
        <f>'RESUMEN TOTAL'!R510</f>
        <v>0</v>
      </c>
      <c r="L407" s="70">
        <f>'RESUMEN TOTAL'!S510</f>
        <v>0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>
        <f>'RESUMEN TOTAL'!N520</f>
        <v>0</v>
      </c>
      <c r="H417" s="70">
        <f>'RESUMEN TOTAL'!O520</f>
        <v>0</v>
      </c>
      <c r="I417" s="70">
        <f>'RESUMEN TOTAL'!P520</f>
        <v>0</v>
      </c>
      <c r="J417" s="70">
        <f>'RESUMEN TOTAL'!Q520</f>
        <v>0</v>
      </c>
      <c r="K417" s="70">
        <f>'RESUMEN TOTAL'!R520</f>
        <v>0</v>
      </c>
      <c r="L417" s="70">
        <f>'RESUMEN TOTAL'!S520</f>
        <v>0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>
        <f>'RESUMEN TOTAL'!N530</f>
        <v>0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>
        <f>'RESUMEN TOTAL'!N531</f>
        <v>0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>
        <f>'RESUMEN TOTAL'!N532</f>
        <v>0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>
        <f>'RESUMEN TOTAL'!N533</f>
        <v>0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>
        <f>'RESUMEN TOTAL'!N549</f>
        <v>0</v>
      </c>
      <c r="H436" s="70">
        <f>'RESUMEN TOTAL'!O549</f>
        <v>0</v>
      </c>
      <c r="I436" s="70">
        <f>'RESUMEN TOTAL'!P549</f>
        <v>0</v>
      </c>
      <c r="J436" s="70">
        <f>'RESUMEN TOTAL'!Q549</f>
        <v>0</v>
      </c>
      <c r="K436" s="70">
        <f>'RESUMEN TOTAL'!R549</f>
        <v>0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>
        <f>'RESUMEN TOTAL'!N550</f>
        <v>0</v>
      </c>
      <c r="H437" s="70">
        <f>'RESUMEN TOTAL'!O550</f>
        <v>0</v>
      </c>
      <c r="I437" s="70">
        <f>'RESUMEN TOTAL'!P550</f>
        <v>0</v>
      </c>
      <c r="J437" s="70">
        <f>'RESUMEN TOTAL'!Q550</f>
        <v>0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>
        <f>'RESUMEN TOTAL'!N551</f>
        <v>0</v>
      </c>
      <c r="H438" s="70">
        <f>'RESUMEN TOTAL'!O551</f>
        <v>0</v>
      </c>
      <c r="I438" s="70">
        <f>'RESUMEN TOTAL'!P551</f>
        <v>0</v>
      </c>
      <c r="J438" s="70">
        <f>'RESUMEN TOTAL'!Q551</f>
        <v>0</v>
      </c>
      <c r="K438" s="70">
        <f>'RESUMEN TOTAL'!R551</f>
        <v>0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>
        <f>'RESUMEN TOTAL'!N552</f>
        <v>0</v>
      </c>
      <c r="H439" s="70">
        <f>'RESUMEN TOTAL'!O552</f>
        <v>0</v>
      </c>
      <c r="I439" s="70">
        <f>'RESUMEN TOTAL'!P552</f>
        <v>0</v>
      </c>
      <c r="J439" s="70">
        <f>'RESUMEN TOTAL'!Q552</f>
        <v>0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>
        <f>'RESUMEN TOTAL'!N559</f>
        <v>0</v>
      </c>
      <c r="H445" s="70">
        <f>'RESUMEN TOTAL'!O559</f>
        <v>0</v>
      </c>
      <c r="I445" s="70">
        <f>'RESUMEN TOTAL'!P559</f>
        <v>0</v>
      </c>
      <c r="J445" s="70">
        <f>'RESUMEN TOTAL'!Q559</f>
        <v>0</v>
      </c>
      <c r="K445" s="70">
        <f>'RESUMEN TOTAL'!R559</f>
        <v>0</v>
      </c>
      <c r="L445" s="70">
        <f>'RESUMEN TOTAL'!S559</f>
        <v>0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>
        <f>'RESUMEN TOTAL'!N577</f>
        <v>0</v>
      </c>
      <c r="H460" s="70">
        <f>'RESUMEN TOTAL'!O577</f>
        <v>0</v>
      </c>
      <c r="I460" s="70">
        <f>'RESUMEN TOTAL'!P577</f>
        <v>0</v>
      </c>
      <c r="J460" s="70">
        <f>'RESUMEN TOTAL'!Q577</f>
        <v>0</v>
      </c>
      <c r="K460" s="70">
        <f>'RESUMEN TOTAL'!R577</f>
        <v>0</v>
      </c>
      <c r="L460" s="70">
        <f>'RESUMEN TOTAL'!S577</f>
        <v>0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M1" zoomScale="90" zoomScaleNormal="90" workbookViewId="0">
      <selection activeCell="AF7" sqref="AF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0</v>
      </c>
      <c r="H3" s="46">
        <v>0</v>
      </c>
      <c r="I3" s="46">
        <v>0</v>
      </c>
      <c r="J3" s="46">
        <f>COUNTIFS('RESUMEN TOTAL'!Q8:Q689,"=APAGADO",'RESUMEN TOTAL'!C8:C689,"=BONOMO")</f>
        <v>0</v>
      </c>
      <c r="K3" s="46">
        <f>COUNTIFS('RESUMEN TOTAL'!R8:R689,"=APAGADO",'RESUMEN TOTAL'!C8:C689,"=BONOMO")</f>
        <v>0</v>
      </c>
      <c r="L3" s="46">
        <v>0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61</v>
      </c>
      <c r="G5" s="46">
        <f>COUNTIFS('RESUMEN TOTAL'!N8:N689,"=APAGADO",'RESUMEN TOTAL'!C8:C689,"=COSEIDI")</f>
        <v>0</v>
      </c>
      <c r="H5" s="46">
        <v>0</v>
      </c>
      <c r="I5" s="46">
        <f>COUNTIFS('RESUMEN TOTAL'!P10:P691,"=APAGADO",'RESUMEN TOTAL'!C10:C691,"=COSEIDI")</f>
        <v>0</v>
      </c>
      <c r="J5" s="46">
        <f>COUNTIFS('RESUMEN TOTAL'!Q10:Q691,"=APAGADO",'RESUMEN TOTAL'!C10:C691,"=COSEIDI")</f>
        <v>0</v>
      </c>
      <c r="K5" s="46">
        <f>COUNTIFS('RESUMEN TOTAL'!R10:R691,"=APAGADO",'RESUMEN TOTAL'!C10:C691,"=COSEIDI")</f>
        <v>0</v>
      </c>
      <c r="L5" s="46">
        <f>COUNTIFS('RESUMEN TOTAL'!S10:S691,"=APAGADO",'RESUMEN TOTAL'!C10:C691,"=COSEIDI")</f>
        <v>0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</v>
      </c>
      <c r="H6" s="50">
        <v>0</v>
      </c>
      <c r="I6" s="50">
        <v>0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2026-01-02T10:59:48Z</dcterms:modified>
</cp:coreProperties>
</file>