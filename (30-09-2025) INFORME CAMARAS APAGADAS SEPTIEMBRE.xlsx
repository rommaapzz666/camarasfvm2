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A2DC4B4C-5C38-4B22-9DBB-20E4537EE55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<sst xmlns="http://schemas.openxmlformats.org/spreadsheetml/2006/main" count="6716" uniqueCount="2131">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</sst>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0.18965517241379309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0.12350597609561753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0.18965517241379309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0.12350597609561753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0.18965517241379309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0.12350597609561753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0.18965517241379309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0.12350597609561753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O276" activePane="bottomRight" state="frozen"/>
      <selection pane="topRight" activeCell="M1" sqref="M1"/>
      <selection pane="bottomLeft" activeCell="A5" sqref="A5"/>
      <selection pane="bottomRight" activeCell="AP297" sqref="AP297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8.1494057724957561E-2</v>
      </c>
      <c r="AM1" s="3">
        <f t="shared" si="1"/>
        <v>8.7689713322091065E-2</v>
      </c>
      <c r="AN1" s="3">
        <f t="shared" si="1"/>
        <v>0.11456628477905073</v>
      </c>
      <c r="AO1" s="3">
        <f t="shared" si="1"/>
        <v>0.13716108452950559</v>
      </c>
      <c r="AP1" s="3">
        <f t="shared" si="1"/>
        <v>7.8364565587734247E-2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48</v>
      </c>
      <c r="AM3" s="126">
        <f t="shared" si="3"/>
        <v>52</v>
      </c>
      <c r="AN3" s="126">
        <f t="shared" si="3"/>
        <v>70</v>
      </c>
      <c r="AO3" s="126">
        <f t="shared" si="3"/>
        <v>86</v>
      </c>
      <c r="AP3" s="126">
        <f t="shared" si="3"/>
        <v>46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18</v>
      </c>
      <c r="AM4" s="10">
        <f>COUNTIFS(AM8:AM656, "=APAGADO",F8:F656,"=Fibra Optica")</f>
        <v>22</v>
      </c>
      <c r="AN4" s="10">
        <f>COUNTIFS(AN8:AN656, "=APAGADO",F8:F656,"=Fibra Optica")</f>
        <v>43</v>
      </c>
      <c r="AO4" s="10">
        <f>COUNTIFS(AO8:AO656, "=APAGADO",F8:F656,"=Fibra Optica")</f>
        <v>58</v>
      </c>
      <c r="AP4" s="10">
        <f>COUNTIFS(AP8:AP656, "=APAGADO",F8:F656,"=Fibra Optica")</f>
        <v>22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10</v>
      </c>
      <c r="AM5" s="130">
        <f>COUNTIFS(AM8:AM656, "=APAGADO",F8:F656,"=RADIO")</f>
        <v>13</v>
      </c>
      <c r="AN5" s="130">
        <f>COUNTIFS(AN8:AN656, "=APAGADO",F8:F656,"=RADIO")</f>
        <v>10</v>
      </c>
      <c r="AO5" s="130">
        <f>COUNTIFS(AO8:AO656, "=APAGADO",F8:F656,"=RADIO")</f>
        <v>10</v>
      </c>
      <c r="AP5" s="130">
        <f>COUNTIFS(AP8:AP656, "=APAGADO",F8:F656,"=RADIO")</f>
        <v>10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5</v>
      </c>
      <c r="AM6" s="10">
        <f>COUNTIFS(AM8:AM656, "=APAGADO",F8:F656,"=PTO A FO")</f>
        <v>3</v>
      </c>
      <c r="AN6" s="10">
        <f>COUNTIFS(AN8:AN656, "=APAGADO",F8:F656,"=PTO A FO")</f>
        <v>4</v>
      </c>
      <c r="AO6" s="10">
        <f>COUNTIFS(AO8:AO656, "=APAGADO",F8:F656,"=PTO A FO")</f>
        <v>6</v>
      </c>
      <c r="AP6" s="10">
        <f>COUNTIFS(AP8:AP656, "=APAGADO",F8:F656,"=PTO A FO")</f>
        <v>5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0</v>
      </c>
      <c r="J22" s="148" t="s">
        <v>1689</v>
      </c>
      <c r="K22" s="31">
        <f t="shared" si="5"/>
        <v>28</v>
      </c>
      <c r="L22" s="32">
        <f t="shared" si="6"/>
        <v>0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 t="s">
        <v>1526</v>
      </c>
      <c r="AM22" s="70" t="s">
        <v>1526</v>
      </c>
      <c r="AN22" s="70" t="s">
        <v>1526</v>
      </c>
      <c r="AO22" s="70" t="s">
        <v>1526</v>
      </c>
      <c r="AP22" s="70" t="s">
        <v>1526</v>
      </c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 t="s">
        <v>1526</v>
      </c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</v>
      </c>
      <c r="J34" s="148" t="s">
        <v>1698</v>
      </c>
      <c r="K34" s="134">
        <f t="shared" si="5"/>
        <v>27</v>
      </c>
      <c r="L34" s="135">
        <f t="shared" si="6"/>
        <v>3.5714285714285712E-2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 t="s">
        <v>1526</v>
      </c>
      <c r="AM34" s="136" t="s">
        <v>1526</v>
      </c>
      <c r="AN34" s="136" t="s">
        <v>1526</v>
      </c>
      <c r="AO34" s="136" t="s">
        <v>1526</v>
      </c>
      <c r="AP34" s="136" t="s">
        <v>1526</v>
      </c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3</v>
      </c>
      <c r="J35" s="87"/>
      <c r="K35" s="143">
        <f t="shared" si="5"/>
        <v>25</v>
      </c>
      <c r="L35" s="144">
        <f t="shared" si="6"/>
        <v>0.10714285714285714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 t="s">
        <v>1526</v>
      </c>
      <c r="AO35" s="70" t="s">
        <v>1526</v>
      </c>
      <c r="AP35" s="89" t="s">
        <v>1526</v>
      </c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 t="s">
        <v>1526</v>
      </c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</v>
      </c>
      <c r="J63" s="87"/>
      <c r="K63" s="31">
        <f t="shared" si="5"/>
        <v>26</v>
      </c>
      <c r="L63" s="32">
        <f t="shared" si="6"/>
        <v>7.1428571428571425E-2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 t="s">
        <v>1526</v>
      </c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2</v>
      </c>
      <c r="J66" s="148" t="s">
        <v>1722</v>
      </c>
      <c r="K66" s="31">
        <f t="shared" si="5"/>
        <v>26</v>
      </c>
      <c r="L66" s="32">
        <f t="shared" si="6"/>
        <v>7.1428571428571425E-2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 t="s">
        <v>1526</v>
      </c>
      <c r="AM66" s="70"/>
      <c r="AN66" s="70" t="s">
        <v>1526</v>
      </c>
      <c r="AO66" s="70" t="s">
        <v>1526</v>
      </c>
      <c r="AP66" s="70" t="s">
        <v>1526</v>
      </c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 t="s">
        <v>1526</v>
      </c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25</v>
      </c>
      <c r="J90" s="148" t="s">
        <v>1746</v>
      </c>
      <c r="K90" s="143">
        <f t="shared" si="8"/>
        <v>3</v>
      </c>
      <c r="L90" s="144">
        <f t="shared" si="9"/>
        <v>0.8928571428571429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 t="s">
        <v>1526</v>
      </c>
      <c r="AM90" s="70" t="s">
        <v>1526</v>
      </c>
      <c r="AN90" s="70" t="s">
        <v>1526</v>
      </c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</v>
      </c>
      <c r="J98" s="148" t="s">
        <v>1754</v>
      </c>
      <c r="K98" s="143">
        <f t="shared" si="8"/>
        <v>27</v>
      </c>
      <c r="L98" s="144">
        <f t="shared" si="9"/>
        <v>3.5714285714285712E-2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 t="s">
        <v>1526</v>
      </c>
      <c r="AM98" s="70" t="s">
        <v>1526</v>
      </c>
      <c r="AN98" s="70" t="s">
        <v>1526</v>
      </c>
      <c r="AO98" s="70" t="s">
        <v>1526</v>
      </c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4</v>
      </c>
      <c r="J103" s="148" t="s">
        <v>1759</v>
      </c>
      <c r="K103" s="143">
        <f t="shared" si="8"/>
        <v>24</v>
      </c>
      <c r="L103" s="144">
        <f t="shared" si="9"/>
        <v>0.14285714285714285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 t="s">
        <v>1526</v>
      </c>
      <c r="AM103" s="70" t="s">
        <v>1526</v>
      </c>
      <c r="AN103" s="70" t="s">
        <v>1526</v>
      </c>
      <c r="AO103" s="70" t="s">
        <v>1526</v>
      </c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0</v>
      </c>
      <c r="J116" s="148" t="s">
        <v>1771</v>
      </c>
      <c r="K116" s="31">
        <f t="shared" si="8"/>
        <v>28</v>
      </c>
      <c r="L116" s="32">
        <f t="shared" si="9"/>
        <v>0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 t="s">
        <v>1526</v>
      </c>
      <c r="AM116" s="70" t="s">
        <v>1526</v>
      </c>
      <c r="AN116" s="70" t="s">
        <v>1526</v>
      </c>
      <c r="AO116" s="70" t="s">
        <v>1526</v>
      </c>
      <c r="AP116" s="70" t="s">
        <v>1526</v>
      </c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0</v>
      </c>
      <c r="J117" s="148" t="s">
        <v>1772</v>
      </c>
      <c r="K117" s="143">
        <f t="shared" si="8"/>
        <v>28</v>
      </c>
      <c r="L117" s="144">
        <f t="shared" si="9"/>
        <v>0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 t="s">
        <v>1526</v>
      </c>
      <c r="AM117" s="70" t="s">
        <v>1526</v>
      </c>
      <c r="AN117" s="70" t="s">
        <v>1526</v>
      </c>
      <c r="AO117" s="70" t="s">
        <v>1526</v>
      </c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</v>
      </c>
      <c r="J121" s="148" t="s">
        <v>1776</v>
      </c>
      <c r="K121" s="31">
        <f t="shared" si="8"/>
        <v>27</v>
      </c>
      <c r="L121" s="32">
        <f t="shared" si="9"/>
        <v>3.5714285714285712E-2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 t="s">
        <v>1526</v>
      </c>
      <c r="AM121" s="70"/>
      <c r="AN121" s="70" t="s">
        <v>1526</v>
      </c>
      <c r="AO121" s="70" t="s">
        <v>1526</v>
      </c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</v>
      </c>
      <c r="J122" s="148" t="s">
        <v>1777</v>
      </c>
      <c r="K122" s="31">
        <f t="shared" si="8"/>
        <v>27</v>
      </c>
      <c r="L122" s="32">
        <f t="shared" si="9"/>
        <v>3.5714285714285712E-2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 t="s">
        <v>1526</v>
      </c>
      <c r="AM122" s="70"/>
      <c r="AN122" s="70" t="s">
        <v>1526</v>
      </c>
      <c r="AO122" s="70" t="s">
        <v>1526</v>
      </c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0</v>
      </c>
      <c r="J147" s="87"/>
      <c r="K147" s="141">
        <f t="shared" si="8"/>
        <v>28</v>
      </c>
      <c r="L147" s="142">
        <f t="shared" si="9"/>
        <v>0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 t="s">
        <v>1526</v>
      </c>
      <c r="AM147" s="93" t="s">
        <v>1526</v>
      </c>
      <c r="AN147" s="93" t="s">
        <v>1526</v>
      </c>
      <c r="AO147" s="93" t="s">
        <v>1526</v>
      </c>
      <c r="AP147" s="93" t="s">
        <v>1526</v>
      </c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0</v>
      </c>
      <c r="J150" s="87"/>
      <c r="K150" s="31">
        <f t="shared" si="8"/>
        <v>28</v>
      </c>
      <c r="L150" s="32">
        <f t="shared" si="9"/>
        <v>0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 t="s">
        <v>1526</v>
      </c>
      <c r="AM150" s="93" t="s">
        <v>1526</v>
      </c>
      <c r="AN150" s="93" t="s">
        <v>1526</v>
      </c>
      <c r="AO150" s="93" t="s">
        <v>1526</v>
      </c>
      <c r="AP150" s="93" t="s">
        <v>1526</v>
      </c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0</v>
      </c>
      <c r="J151" s="87"/>
      <c r="K151" s="31">
        <f t="shared" si="8"/>
        <v>28</v>
      </c>
      <c r="L151" s="32">
        <f t="shared" si="9"/>
        <v>0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 t="s">
        <v>1526</v>
      </c>
      <c r="AM151" s="93" t="s">
        <v>1526</v>
      </c>
      <c r="AN151" s="93" t="s">
        <v>1526</v>
      </c>
      <c r="AO151" s="93" t="s">
        <v>1526</v>
      </c>
      <c r="AP151" s="93" t="s">
        <v>1526</v>
      </c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</v>
      </c>
      <c r="J155" s="148" t="s">
        <v>1804</v>
      </c>
      <c r="K155" s="143">
        <f t="shared" si="8"/>
        <v>27</v>
      </c>
      <c r="L155" s="144">
        <f t="shared" si="9"/>
        <v>3.5714285714285712E-2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 t="s">
        <v>1526</v>
      </c>
      <c r="AM155" s="70" t="s">
        <v>1526</v>
      </c>
      <c r="AN155" s="70" t="s">
        <v>1526</v>
      </c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 t="s">
        <v>1526</v>
      </c>
      <c r="AP157" s="70" t="s">
        <v>1526</v>
      </c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 t="s">
        <v>1526</v>
      </c>
      <c r="AP158" s="70" t="s">
        <v>1526</v>
      </c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 t="s">
        <v>1526</v>
      </c>
      <c r="AP160" s="70" t="s">
        <v>1526</v>
      </c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9</v>
      </c>
      <c r="J177" s="148" t="s">
        <v>1825</v>
      </c>
      <c r="K177" s="31">
        <f t="shared" si="11"/>
        <v>19</v>
      </c>
      <c r="L177" s="32">
        <f t="shared" si="12"/>
        <v>0.32142857142857145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 t="s">
        <v>1526</v>
      </c>
      <c r="AM177" s="70" t="s">
        <v>1526</v>
      </c>
      <c r="AN177" s="70" t="s">
        <v>1526</v>
      </c>
      <c r="AO177" s="70" t="s">
        <v>1526</v>
      </c>
      <c r="AP177" s="70" t="s">
        <v>1526</v>
      </c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9</v>
      </c>
      <c r="J178" s="148" t="s">
        <v>1826</v>
      </c>
      <c r="K178" s="31">
        <f t="shared" si="11"/>
        <v>19</v>
      </c>
      <c r="L178" s="32">
        <f t="shared" si="12"/>
        <v>0.32142857142857145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 t="s">
        <v>1526</v>
      </c>
      <c r="AM178" s="70" t="s">
        <v>1526</v>
      </c>
      <c r="AN178" s="70" t="s">
        <v>1526</v>
      </c>
      <c r="AO178" s="70" t="s">
        <v>1526</v>
      </c>
      <c r="AP178" s="70" t="s">
        <v>1526</v>
      </c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0</v>
      </c>
      <c r="J184" s="87"/>
      <c r="K184" s="138">
        <f t="shared" si="11"/>
        <v>28</v>
      </c>
      <c r="L184" s="139">
        <f t="shared" si="12"/>
        <v>0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 t="s">
        <v>1526</v>
      </c>
      <c r="AM184" s="140" t="s">
        <v>1526</v>
      </c>
      <c r="AN184" s="140" t="s">
        <v>1526</v>
      </c>
      <c r="AO184" s="140" t="s">
        <v>1526</v>
      </c>
      <c r="AP184" s="140" t="s">
        <v>1526</v>
      </c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 t="s">
        <v>1526</v>
      </c>
      <c r="AP188" s="70" t="s">
        <v>1526</v>
      </c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 t="s">
        <v>1526</v>
      </c>
      <c r="AP189" s="70" t="s">
        <v>1526</v>
      </c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2</v>
      </c>
      <c r="J190" s="87"/>
      <c r="K190" s="31">
        <f t="shared" si="11"/>
        <v>26</v>
      </c>
      <c r="L190" s="32">
        <f t="shared" si="12"/>
        <v>7.1428571428571425E-2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 t="s">
        <v>1526</v>
      </c>
      <c r="AM190" s="93" t="s">
        <v>1526</v>
      </c>
      <c r="AN190" s="93" t="s">
        <v>1526</v>
      </c>
      <c r="AO190" s="93" t="s">
        <v>1526</v>
      </c>
      <c r="AP190" s="93" t="s">
        <v>1526</v>
      </c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12</v>
      </c>
      <c r="J191" s="148" t="s">
        <v>1836</v>
      </c>
      <c r="K191" s="143">
        <f t="shared" si="11"/>
        <v>16</v>
      </c>
      <c r="L191" s="144">
        <f t="shared" si="12"/>
        <v>0.42857142857142855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 t="s">
        <v>1526</v>
      </c>
      <c r="AM191" s="70" t="s">
        <v>1526</v>
      </c>
      <c r="AN191" s="70" t="s">
        <v>1526</v>
      </c>
      <c r="AO191" s="70" t="s">
        <v>1526</v>
      </c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18</v>
      </c>
      <c r="J192" s="148" t="s">
        <v>1837</v>
      </c>
      <c r="K192" s="31">
        <f t="shared" si="11"/>
        <v>10</v>
      </c>
      <c r="L192" s="32">
        <f t="shared" si="12"/>
        <v>0.6428571428571429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 t="s">
        <v>1526</v>
      </c>
      <c r="AM192" s="70" t="s">
        <v>1526</v>
      </c>
      <c r="AN192" s="70" t="s">
        <v>1526</v>
      </c>
      <c r="AO192" s="70" t="s">
        <v>1526</v>
      </c>
      <c r="AP192" s="70" t="s">
        <v>1526</v>
      </c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14</v>
      </c>
      <c r="J208" s="87"/>
      <c r="K208" s="31">
        <f t="shared" si="11"/>
        <v>14</v>
      </c>
      <c r="L208" s="32">
        <f t="shared" si="12"/>
        <v>0.5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 t="s">
        <v>1526</v>
      </c>
      <c r="AN208" s="70" t="s">
        <v>1526</v>
      </c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14</v>
      </c>
      <c r="J209" s="87"/>
      <c r="K209" s="31">
        <f t="shared" si="11"/>
        <v>14</v>
      </c>
      <c r="L209" s="32">
        <f t="shared" si="12"/>
        <v>0.5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 t="s">
        <v>1526</v>
      </c>
      <c r="AN209" s="70" t="s">
        <v>1526</v>
      </c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0</v>
      </c>
      <c r="J235" s="87"/>
      <c r="K235" s="31">
        <f t="shared" si="14"/>
        <v>28</v>
      </c>
      <c r="L235" s="32">
        <f t="shared" si="15"/>
        <v>0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 t="s">
        <v>1526</v>
      </c>
      <c r="AM235" s="93" t="s">
        <v>1526</v>
      </c>
      <c r="AN235" s="93" t="s">
        <v>1526</v>
      </c>
      <c r="AO235" s="93" t="s">
        <v>1526</v>
      </c>
      <c r="AP235" s="93" t="s">
        <v>1526</v>
      </c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 t="s">
        <v>1526</v>
      </c>
      <c r="AP236" s="70" t="s">
        <v>1526</v>
      </c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23</v>
      </c>
      <c r="J238" s="87"/>
      <c r="K238" s="31">
        <f t="shared" si="14"/>
        <v>5</v>
      </c>
      <c r="L238" s="32">
        <f t="shared" si="15"/>
        <v>0.8214285714285714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 t="s">
        <v>1526</v>
      </c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9</v>
      </c>
      <c r="J243" s="148" t="s">
        <v>1881</v>
      </c>
      <c r="K243" s="31">
        <f t="shared" si="14"/>
        <v>19</v>
      </c>
      <c r="L243" s="32">
        <f t="shared" si="15"/>
        <v>0.32142857142857145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 t="s">
        <v>1526</v>
      </c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 t="s">
        <v>1526</v>
      </c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 t="s">
        <v>1526</v>
      </c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 t="s">
        <v>1526</v>
      </c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 t="s">
        <v>1526</v>
      </c>
      <c r="AP263" s="70" t="s">
        <v>1526</v>
      </c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0</v>
      </c>
      <c r="J264" s="148" t="s">
        <v>1900</v>
      </c>
      <c r="K264" s="143">
        <f t="shared" si="14"/>
        <v>28</v>
      </c>
      <c r="L264" s="144">
        <f t="shared" si="15"/>
        <v>0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 t="s">
        <v>1526</v>
      </c>
      <c r="AM264" s="70" t="s">
        <v>1526</v>
      </c>
      <c r="AN264" s="70" t="s">
        <v>1526</v>
      </c>
      <c r="AO264" s="70" t="s">
        <v>1526</v>
      </c>
      <c r="AP264" s="89" t="s">
        <v>1526</v>
      </c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 t="s">
        <v>1526</v>
      </c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 t="s">
        <v>1526</v>
      </c>
      <c r="AP282" s="70" t="s">
        <v>1526</v>
      </c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0</v>
      </c>
      <c r="J283" s="148" t="s">
        <v>1917</v>
      </c>
      <c r="K283" s="31">
        <f t="shared" si="14"/>
        <v>28</v>
      </c>
      <c r="L283" s="32">
        <f t="shared" si="15"/>
        <v>0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 t="s">
        <v>1526</v>
      </c>
      <c r="AM283" s="70" t="s">
        <v>1526</v>
      </c>
      <c r="AN283" s="70" t="s">
        <v>1526</v>
      </c>
      <c r="AO283" s="70" t="s">
        <v>1526</v>
      </c>
      <c r="AP283" s="70" t="s">
        <v>1526</v>
      </c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23</v>
      </c>
      <c r="J288" s="148" t="s">
        <v>1922</v>
      </c>
      <c r="K288" s="31">
        <f t="shared" si="14"/>
        <v>5</v>
      </c>
      <c r="L288" s="32">
        <f t="shared" si="15"/>
        <v>0.8214285714285714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 t="s">
        <v>1526</v>
      </c>
      <c r="AM288" s="70" t="s">
        <v>1526</v>
      </c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5</v>
      </c>
      <c r="J294" s="148" t="s">
        <v>1927</v>
      </c>
      <c r="K294" s="143">
        <f t="shared" si="14"/>
        <v>23</v>
      </c>
      <c r="L294" s="144">
        <f t="shared" si="15"/>
        <v>0.17857142857142858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 t="s">
        <v>1526</v>
      </c>
      <c r="AM294" s="70" t="s">
        <v>1526</v>
      </c>
      <c r="AN294" s="70" t="s">
        <v>1526</v>
      </c>
      <c r="AO294" s="70" t="s">
        <v>1526</v>
      </c>
      <c r="AP294" s="89" t="s">
        <v>1526</v>
      </c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4</v>
      </c>
      <c r="J296" s="148" t="s">
        <v>1929</v>
      </c>
      <c r="K296" s="31">
        <f t="shared" ref="K296:K363" si="17">COUNTIF(M296:AN296,"APAGADO")</f>
        <v>24</v>
      </c>
      <c r="L296" s="32">
        <f t="shared" ref="L296:L363" si="18">(I296)/(K296+I296)</f>
        <v>0.14285714285714285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 t="s">
        <v>1526</v>
      </c>
      <c r="AM296" s="70" t="s">
        <v>1526</v>
      </c>
      <c r="AN296" s="70" t="s">
        <v>1526</v>
      </c>
      <c r="AO296" s="70" t="s">
        <v>1526</v>
      </c>
      <c r="AP296" s="89" t="s">
        <v>1526</v>
      </c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 t="s">
        <v>1526</v>
      </c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 t="s">
        <v>1526</v>
      </c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 t="s">
        <v>1526</v>
      </c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 t="s">
        <v>1526</v>
      </c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22</v>
      </c>
      <c r="J307" s="148" t="s">
        <v>1939</v>
      </c>
      <c r="K307" s="31">
        <f t="shared" si="17"/>
        <v>6</v>
      </c>
      <c r="L307" s="32">
        <f t="shared" si="18"/>
        <v>0.7857142857142857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 t="s">
        <v>1526</v>
      </c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22</v>
      </c>
      <c r="J308" s="148" t="s">
        <v>1940</v>
      </c>
      <c r="K308" s="31">
        <f t="shared" si="17"/>
        <v>6</v>
      </c>
      <c r="L308" s="32">
        <f t="shared" si="18"/>
        <v>0.7857142857142857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 t="s">
        <v>1526</v>
      </c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22</v>
      </c>
      <c r="J309" s="148" t="s">
        <v>1941</v>
      </c>
      <c r="K309" s="31">
        <f t="shared" si="17"/>
        <v>6</v>
      </c>
      <c r="L309" s="32">
        <f t="shared" si="18"/>
        <v>0.7857142857142857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 t="s">
        <v>1526</v>
      </c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23</v>
      </c>
      <c r="J320" s="148" t="s">
        <v>1952</v>
      </c>
      <c r="K320" s="31">
        <f t="shared" si="17"/>
        <v>5</v>
      </c>
      <c r="L320" s="32">
        <f t="shared" si="18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 t="s">
        <v>1526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19</v>
      </c>
      <c r="J335" s="148" t="s">
        <v>1963</v>
      </c>
      <c r="K335" s="143">
        <f t="shared" si="17"/>
        <v>9</v>
      </c>
      <c r="L335" s="144">
        <f t="shared" si="18"/>
        <v>0.6785714285714286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 t="s">
        <v>1526</v>
      </c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19</v>
      </c>
      <c r="J336" s="148" t="s">
        <v>1964</v>
      </c>
      <c r="K336" s="143">
        <f t="shared" si="17"/>
        <v>9</v>
      </c>
      <c r="L336" s="144">
        <f t="shared" si="18"/>
        <v>0.6785714285714286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 t="s">
        <v>1526</v>
      </c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19</v>
      </c>
      <c r="J338" s="148" t="s">
        <v>1966</v>
      </c>
      <c r="K338" s="31">
        <f t="shared" si="17"/>
        <v>9</v>
      </c>
      <c r="L338" s="32">
        <f t="shared" si="18"/>
        <v>0.6785714285714286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 t="s">
        <v>1526</v>
      </c>
      <c r="AN338" s="70" t="s">
        <v>1526</v>
      </c>
      <c r="AO338" s="70" t="s">
        <v>1526</v>
      </c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25</v>
      </c>
      <c r="J349" s="148" t="s">
        <v>1976</v>
      </c>
      <c r="K349" s="31">
        <f t="shared" si="17"/>
        <v>3</v>
      </c>
      <c r="L349" s="32">
        <f t="shared" si="18"/>
        <v>0.8928571428571429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 t="s">
        <v>1526</v>
      </c>
      <c r="AO349" s="70" t="s">
        <v>1526</v>
      </c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27</v>
      </c>
      <c r="J350" s="148" t="s">
        <v>1977</v>
      </c>
      <c r="K350" s="31">
        <f t="shared" si="17"/>
        <v>1</v>
      </c>
      <c r="L350" s="32">
        <f t="shared" si="18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 t="s">
        <v>1526</v>
      </c>
      <c r="AO350" s="70" t="s">
        <v>1526</v>
      </c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25</v>
      </c>
      <c r="J352" s="148" t="s">
        <v>1978</v>
      </c>
      <c r="K352" s="31">
        <f t="shared" si="17"/>
        <v>3</v>
      </c>
      <c r="L352" s="32">
        <f t="shared" si="18"/>
        <v>0.8928571428571429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1526</v>
      </c>
      <c r="AO352" s="70" t="s">
        <v>1526</v>
      </c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1526</v>
      </c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24</v>
      </c>
      <c r="J355" s="148" t="s">
        <v>1980</v>
      </c>
      <c r="K355" s="31">
        <f t="shared" si="17"/>
        <v>4</v>
      </c>
      <c r="L355" s="32">
        <f t="shared" si="18"/>
        <v>0.8571428571428571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 t="s">
        <v>1526</v>
      </c>
      <c r="AO355" s="70" t="s">
        <v>1526</v>
      </c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25</v>
      </c>
      <c r="J356" s="148" t="s">
        <v>1981</v>
      </c>
      <c r="K356" s="31">
        <f t="shared" si="17"/>
        <v>3</v>
      </c>
      <c r="L356" s="32">
        <f t="shared" si="18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 t="s">
        <v>1526</v>
      </c>
      <c r="AO356" s="70" t="s">
        <v>1526</v>
      </c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</v>
      </c>
      <c r="J357" s="148" t="s">
        <v>1982</v>
      </c>
      <c r="K357" s="31">
        <f t="shared" si="17"/>
        <v>27</v>
      </c>
      <c r="L357" s="32">
        <f t="shared" si="18"/>
        <v>3.5714285714285712E-2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 t="s">
        <v>1526</v>
      </c>
      <c r="AM357" s="70" t="s">
        <v>1526</v>
      </c>
      <c r="AN357" s="70" t="s">
        <v>1526</v>
      </c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0</v>
      </c>
      <c r="J358" s="73"/>
      <c r="K358" s="31">
        <f t="shared" si="17"/>
        <v>28</v>
      </c>
      <c r="L358" s="32">
        <f t="shared" si="18"/>
        <v>0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 t="s">
        <v>1526</v>
      </c>
      <c r="AM358" s="93" t="s">
        <v>1526</v>
      </c>
      <c r="AN358" s="93" t="s">
        <v>1526</v>
      </c>
      <c r="AO358" s="93" t="s">
        <v>1526</v>
      </c>
      <c r="AP358" s="93" t="s">
        <v>1526</v>
      </c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</v>
      </c>
      <c r="J359" s="148" t="s">
        <v>1983</v>
      </c>
      <c r="K359" s="143">
        <f t="shared" si="17"/>
        <v>27</v>
      </c>
      <c r="L359" s="144">
        <f t="shared" si="18"/>
        <v>3.5714285714285712E-2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 t="s">
        <v>1526</v>
      </c>
      <c r="AM359" s="70" t="s">
        <v>1526</v>
      </c>
      <c r="AN359" s="70"/>
      <c r="AO359" s="70" t="s">
        <v>1526</v>
      </c>
      <c r="AP359" s="89" t="s">
        <v>1526</v>
      </c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24</v>
      </c>
      <c r="J361" s="148" t="s">
        <v>1985</v>
      </c>
      <c r="K361" s="31">
        <f t="shared" si="17"/>
        <v>4</v>
      </c>
      <c r="L361" s="32">
        <f t="shared" si="18"/>
        <v>0.8571428571428571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 t="s">
        <v>1526</v>
      </c>
      <c r="AO361" s="70" t="s">
        <v>1526</v>
      </c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23</v>
      </c>
      <c r="J362" s="148" t="s">
        <v>1986</v>
      </c>
      <c r="K362" s="31">
        <f t="shared" si="17"/>
        <v>5</v>
      </c>
      <c r="L362" s="32">
        <f t="shared" si="18"/>
        <v>0.8214285714285714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 t="s">
        <v>1526</v>
      </c>
      <c r="AO362" s="70" t="s">
        <v>1526</v>
      </c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23</v>
      </c>
      <c r="J363" s="148" t="s">
        <v>1987</v>
      </c>
      <c r="K363" s="31">
        <f t="shared" si="17"/>
        <v>5</v>
      </c>
      <c r="L363" s="32">
        <f t="shared" si="18"/>
        <v>0.8214285714285714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 t="s">
        <v>1526</v>
      </c>
      <c r="AO363" s="70" t="s">
        <v>1526</v>
      </c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23</v>
      </c>
      <c r="J364" s="148" t="s">
        <v>1988</v>
      </c>
      <c r="K364" s="31">
        <f t="shared" ref="K364:K438" si="20">COUNTIF(M364:AN364,"APAGADO")</f>
        <v>5</v>
      </c>
      <c r="L364" s="32">
        <f t="shared" ref="L364:L438" si="21">(I364)/(K364+I364)</f>
        <v>0.8214285714285714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1526</v>
      </c>
      <c r="AO364" s="70" t="s">
        <v>1526</v>
      </c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23</v>
      </c>
      <c r="J365" s="148" t="s">
        <v>1989</v>
      </c>
      <c r="K365" s="31">
        <f t="shared" si="20"/>
        <v>5</v>
      </c>
      <c r="L365" s="32">
        <f t="shared" si="21"/>
        <v>0.8214285714285714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 t="s">
        <v>1526</v>
      </c>
      <c r="AO365" s="70" t="s">
        <v>1526</v>
      </c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23</v>
      </c>
      <c r="J366" s="148" t="s">
        <v>1990</v>
      </c>
      <c r="K366" s="31">
        <f t="shared" si="20"/>
        <v>5</v>
      </c>
      <c r="L366" s="32">
        <f t="shared" si="21"/>
        <v>0.8214285714285714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 t="s">
        <v>1526</v>
      </c>
      <c r="AO366" s="70" t="s">
        <v>1526</v>
      </c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24</v>
      </c>
      <c r="J367" s="148" t="s">
        <v>1991</v>
      </c>
      <c r="K367" s="31">
        <f t="shared" si="20"/>
        <v>4</v>
      </c>
      <c r="L367" s="32">
        <f t="shared" si="21"/>
        <v>0.8571428571428571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 t="s">
        <v>1526</v>
      </c>
      <c r="AO367" s="70" t="s">
        <v>1526</v>
      </c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24</v>
      </c>
      <c r="J368" s="148" t="s">
        <v>1992</v>
      </c>
      <c r="K368" s="31">
        <f t="shared" si="20"/>
        <v>4</v>
      </c>
      <c r="L368" s="32">
        <f t="shared" si="21"/>
        <v>0.8571428571428571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 t="s">
        <v>1526</v>
      </c>
      <c r="AO368" s="70" t="s">
        <v>1526</v>
      </c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24</v>
      </c>
      <c r="J370" s="148" t="s">
        <v>1994</v>
      </c>
      <c r="K370" s="31">
        <f t="shared" si="20"/>
        <v>4</v>
      </c>
      <c r="L370" s="32">
        <f t="shared" si="21"/>
        <v>0.8571428571428571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 t="s">
        <v>1526</v>
      </c>
      <c r="AO370" s="70" t="s">
        <v>1526</v>
      </c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24</v>
      </c>
      <c r="J371" s="148" t="s">
        <v>1995</v>
      </c>
      <c r="K371" s="31">
        <f t="shared" si="20"/>
        <v>4</v>
      </c>
      <c r="L371" s="32">
        <f t="shared" si="21"/>
        <v>0.8571428571428571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 t="s">
        <v>1526</v>
      </c>
      <c r="AO371" s="70" t="s">
        <v>1526</v>
      </c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0</v>
      </c>
      <c r="J372" s="148" t="s">
        <v>1996</v>
      </c>
      <c r="K372" s="31">
        <f t="shared" si="20"/>
        <v>28</v>
      </c>
      <c r="L372" s="32">
        <f t="shared" si="21"/>
        <v>0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 t="s">
        <v>1526</v>
      </c>
      <c r="AM372" s="70" t="s">
        <v>1526</v>
      </c>
      <c r="AN372" s="70" t="s">
        <v>1526</v>
      </c>
      <c r="AO372" s="70" t="s">
        <v>1526</v>
      </c>
      <c r="AP372" s="70" t="s">
        <v>1526</v>
      </c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 t="s">
        <v>1526</v>
      </c>
      <c r="AO376" s="84" t="s">
        <v>1526</v>
      </c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17</v>
      </c>
      <c r="J377" s="87"/>
      <c r="K377" s="31">
        <f t="shared" si="20"/>
        <v>11</v>
      </c>
      <c r="L377" s="32">
        <f t="shared" si="21"/>
        <v>0.6071428571428571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 t="s">
        <v>1526</v>
      </c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0</v>
      </c>
      <c r="J383" s="148" t="s">
        <v>2002</v>
      </c>
      <c r="K383" s="31">
        <f t="shared" si="20"/>
        <v>28</v>
      </c>
      <c r="L383" s="32">
        <f t="shared" si="21"/>
        <v>0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 t="s">
        <v>1526</v>
      </c>
      <c r="AM383" s="70" t="s">
        <v>1526</v>
      </c>
      <c r="AN383" s="70" t="s">
        <v>1526</v>
      </c>
      <c r="AO383" s="70" t="s">
        <v>1526</v>
      </c>
      <c r="AP383" s="70" t="s">
        <v>1526</v>
      </c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0</v>
      </c>
      <c r="J384" s="148" t="s">
        <v>2003</v>
      </c>
      <c r="K384" s="31">
        <f t="shared" si="20"/>
        <v>28</v>
      </c>
      <c r="L384" s="32">
        <f t="shared" si="21"/>
        <v>0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 t="s">
        <v>1526</v>
      </c>
      <c r="AM384" s="70" t="s">
        <v>1526</v>
      </c>
      <c r="AN384" s="70" t="s">
        <v>1526</v>
      </c>
      <c r="AO384" s="70" t="s">
        <v>1526</v>
      </c>
      <c r="AP384" s="70" t="s">
        <v>1526</v>
      </c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0</v>
      </c>
      <c r="J390" s="87"/>
      <c r="K390" s="31">
        <f t="shared" si="20"/>
        <v>28</v>
      </c>
      <c r="L390" s="32">
        <f t="shared" si="21"/>
        <v>0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 t="s">
        <v>1526</v>
      </c>
      <c r="AM390" s="93" t="s">
        <v>1526</v>
      </c>
      <c r="AN390" s="93" t="s">
        <v>1526</v>
      </c>
      <c r="AO390" s="93" t="s">
        <v>1526</v>
      </c>
      <c r="AP390" s="93" t="s">
        <v>1526</v>
      </c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</v>
      </c>
      <c r="J395" s="87"/>
      <c r="K395" s="31">
        <f t="shared" si="20"/>
        <v>27</v>
      </c>
      <c r="L395" s="32">
        <f t="shared" si="21"/>
        <v>3.5714285714285712E-2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 t="s">
        <v>1526</v>
      </c>
      <c r="AM395" s="93" t="s">
        <v>1526</v>
      </c>
      <c r="AN395" s="93" t="s">
        <v>1526</v>
      </c>
      <c r="AO395" s="93" t="s">
        <v>1526</v>
      </c>
      <c r="AP395" s="93" t="s">
        <v>1526</v>
      </c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0</v>
      </c>
      <c r="J416" s="87"/>
      <c r="K416" s="31">
        <f t="shared" si="20"/>
        <v>28</v>
      </c>
      <c r="L416" s="32">
        <f t="shared" si="21"/>
        <v>0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 t="s">
        <v>1526</v>
      </c>
      <c r="AM416" s="70" t="s">
        <v>1526</v>
      </c>
      <c r="AN416" s="70" t="s">
        <v>1526</v>
      </c>
      <c r="AO416" s="70" t="s">
        <v>1526</v>
      </c>
      <c r="AP416" s="70" t="s">
        <v>1526</v>
      </c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20</v>
      </c>
      <c r="J421" s="148" t="s">
        <v>2029</v>
      </c>
      <c r="K421" s="31">
        <f t="shared" si="20"/>
        <v>8</v>
      </c>
      <c r="L421" s="32">
        <f t="shared" si="21"/>
        <v>0.7142857142857143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 t="s">
        <v>1526</v>
      </c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0</v>
      </c>
      <c r="J428" s="148" t="s">
        <v>2036</v>
      </c>
      <c r="K428" s="31">
        <f t="shared" si="20"/>
        <v>28</v>
      </c>
      <c r="L428" s="32">
        <f t="shared" si="21"/>
        <v>0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 t="s">
        <v>1526</v>
      </c>
      <c r="AM428" s="70" t="s">
        <v>1526</v>
      </c>
      <c r="AN428" s="70" t="s">
        <v>1526</v>
      </c>
      <c r="AO428" s="70" t="s">
        <v>1526</v>
      </c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12</v>
      </c>
      <c r="J436" s="87"/>
      <c r="K436" s="143">
        <f t="shared" si="20"/>
        <v>16</v>
      </c>
      <c r="L436" s="144">
        <f t="shared" si="21"/>
        <v>0.42857142857142855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 t="s">
        <v>1526</v>
      </c>
      <c r="AN436" s="70"/>
      <c r="AO436" s="70"/>
      <c r="AP436" s="89" t="s">
        <v>1526</v>
      </c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20</v>
      </c>
      <c r="J438" s="148" t="s">
        <v>2040</v>
      </c>
      <c r="K438" s="31">
        <f t="shared" si="20"/>
        <v>8</v>
      </c>
      <c r="L438" s="32">
        <f t="shared" si="21"/>
        <v>0.7142857142857143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 t="s">
        <v>1526</v>
      </c>
      <c r="AM438" s="70" t="s">
        <v>1526</v>
      </c>
      <c r="AN438" s="70" t="s">
        <v>1526</v>
      </c>
      <c r="AO438" s="70" t="s">
        <v>1526</v>
      </c>
      <c r="AP438" s="70" t="s">
        <v>1526</v>
      </c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 t="s">
        <v>1526</v>
      </c>
      <c r="AP462" s="70" t="s">
        <v>1526</v>
      </c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 t="s">
        <v>1526</v>
      </c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24</v>
      </c>
      <c r="J488" s="73"/>
      <c r="K488" s="31">
        <f t="shared" si="23"/>
        <v>4</v>
      </c>
      <c r="L488" s="32">
        <f t="shared" si="24"/>
        <v>0.8571428571428571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 t="s">
        <v>1526</v>
      </c>
      <c r="AM488" s="70" t="s">
        <v>1526</v>
      </c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24</v>
      </c>
      <c r="J500" s="148" t="s">
        <v>2092</v>
      </c>
      <c r="K500" s="31">
        <f t="shared" si="23"/>
        <v>4</v>
      </c>
      <c r="L500" s="32">
        <f t="shared" si="24"/>
        <v>0.8571428571428571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 t="s">
        <v>1526</v>
      </c>
      <c r="AO500" s="70" t="s">
        <v>1526</v>
      </c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24</v>
      </c>
      <c r="J501" s="148" t="s">
        <v>2093</v>
      </c>
      <c r="K501" s="31">
        <f t="shared" si="23"/>
        <v>4</v>
      </c>
      <c r="L501" s="32">
        <f t="shared" si="24"/>
        <v>0.8571428571428571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 t="s">
        <v>1526</v>
      </c>
      <c r="AO501" s="70" t="s">
        <v>1526</v>
      </c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2</v>
      </c>
      <c r="J502" s="148" t="s">
        <v>2094</v>
      </c>
      <c r="K502" s="31">
        <f t="shared" si="23"/>
        <v>26</v>
      </c>
      <c r="L502" s="32">
        <f t="shared" si="24"/>
        <v>7.1428571428571425E-2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 t="s">
        <v>1526</v>
      </c>
      <c r="AO502" s="70" t="s">
        <v>1526</v>
      </c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3</v>
      </c>
      <c r="J503" s="148" t="s">
        <v>2095</v>
      </c>
      <c r="K503" s="31">
        <f t="shared" si="23"/>
        <v>25</v>
      </c>
      <c r="L503" s="32">
        <f t="shared" si="24"/>
        <v>0.10714285714285714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 t="s">
        <v>1526</v>
      </c>
      <c r="AO503" s="70" t="s">
        <v>1526</v>
      </c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24</v>
      </c>
      <c r="J504" s="148" t="s">
        <v>2096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 t="s">
        <v>1526</v>
      </c>
      <c r="AO504" s="70" t="s">
        <v>1526</v>
      </c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24</v>
      </c>
      <c r="J505" s="148" t="s">
        <v>2097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 t="s">
        <v>1526</v>
      </c>
      <c r="AO505" s="70" t="s">
        <v>1526</v>
      </c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24</v>
      </c>
      <c r="J506" s="73"/>
      <c r="K506" s="31">
        <f t="shared" si="23"/>
        <v>4</v>
      </c>
      <c r="L506" s="32">
        <f t="shared" si="24"/>
        <v>0.8571428571428571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 t="s">
        <v>1526</v>
      </c>
      <c r="AO506" s="70" t="s">
        <v>1526</v>
      </c>
      <c r="AP506" s="70" t="s">
        <v>1526</v>
      </c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24</v>
      </c>
      <c r="J507" s="148" t="s">
        <v>2098</v>
      </c>
      <c r="K507" s="31">
        <f t="shared" si="23"/>
        <v>4</v>
      </c>
      <c r="L507" s="32">
        <f t="shared" si="24"/>
        <v>0.8571428571428571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 t="s">
        <v>1526</v>
      </c>
      <c r="AO507" s="70" t="s">
        <v>1526</v>
      </c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12</v>
      </c>
      <c r="J511" s="148" t="s">
        <v>2102</v>
      </c>
      <c r="K511" s="143">
        <f t="shared" si="26"/>
        <v>16</v>
      </c>
      <c r="L511" s="144">
        <f t="shared" si="27"/>
        <v>0.42857142857142855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 t="s">
        <v>1526</v>
      </c>
      <c r="AM511" s="70" t="s">
        <v>1526</v>
      </c>
      <c r="AN511" s="70" t="s">
        <v>1526</v>
      </c>
      <c r="AO511" s="70" t="s">
        <v>1526</v>
      </c>
      <c r="AP511" s="89" t="s">
        <v>1526</v>
      </c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1</v>
      </c>
      <c r="J521" s="87"/>
      <c r="K521" s="31">
        <f t="shared" si="26"/>
        <v>27</v>
      </c>
      <c r="L521" s="32">
        <f t="shared" si="27"/>
        <v>3.5714285714285712E-2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 t="s">
        <v>1526</v>
      </c>
      <c r="AM521" s="70" t="s">
        <v>1526</v>
      </c>
      <c r="AN521" s="70" t="s">
        <v>1526</v>
      </c>
      <c r="AO521" s="70" t="s">
        <v>1526</v>
      </c>
      <c r="AP521" s="70" t="s">
        <v>1526</v>
      </c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2</v>
      </c>
      <c r="J523" s="87"/>
      <c r="K523" s="31">
        <f t="shared" si="26"/>
        <v>26</v>
      </c>
      <c r="L523" s="32">
        <f t="shared" si="27"/>
        <v>7.1428571428571425E-2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 t="s">
        <v>1526</v>
      </c>
      <c r="AM523" s="70" t="s">
        <v>1526</v>
      </c>
      <c r="AN523" s="70" t="s">
        <v>1526</v>
      </c>
      <c r="AO523" s="70" t="s">
        <v>1526</v>
      </c>
      <c r="AP523" s="70" t="s">
        <v>1526</v>
      </c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26</v>
      </c>
      <c r="J539" s="148" t="s">
        <v>2122</v>
      </c>
      <c r="K539" s="31">
        <f t="shared" si="26"/>
        <v>2</v>
      </c>
      <c r="L539" s="32">
        <f t="shared" si="27"/>
        <v>0.9285714285714286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 t="s">
        <v>1526</v>
      </c>
      <c r="AN539" s="70" t="s">
        <v>1526</v>
      </c>
      <c r="AO539" s="70" t="s">
        <v>1526</v>
      </c>
      <c r="AP539" s="70" t="s">
        <v>1526</v>
      </c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26</v>
      </c>
      <c r="J540" s="148" t="s">
        <v>2121</v>
      </c>
      <c r="K540" s="31">
        <f t="shared" si="26"/>
        <v>2</v>
      </c>
      <c r="L540" s="32">
        <f t="shared" si="27"/>
        <v>0.9285714285714286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 t="s">
        <v>1526</v>
      </c>
      <c r="AN540" s="70" t="s">
        <v>1526</v>
      </c>
      <c r="AO540" s="70" t="s">
        <v>1526</v>
      </c>
      <c r="AP540" s="70" t="s">
        <v>1526</v>
      </c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26</v>
      </c>
      <c r="J541" s="148" t="s">
        <v>2123</v>
      </c>
      <c r="K541" s="31">
        <f t="shared" si="26"/>
        <v>2</v>
      </c>
      <c r="L541" s="32">
        <f t="shared" si="27"/>
        <v>0.9285714285714286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 t="s">
        <v>1526</v>
      </c>
      <c r="AN541" s="70" t="s">
        <v>1526</v>
      </c>
      <c r="AO541" s="70" t="s">
        <v>1526</v>
      </c>
      <c r="AP541" s="70" t="s">
        <v>1526</v>
      </c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1</v>
      </c>
      <c r="J545" s="148" t="s">
        <v>2127</v>
      </c>
      <c r="K545" s="143">
        <f t="shared" si="26"/>
        <v>27</v>
      </c>
      <c r="L545" s="144">
        <f t="shared" si="27"/>
        <v>3.5714285714285712E-2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 t="s">
        <v>1526</v>
      </c>
      <c r="AM545" s="70" t="s">
        <v>1526</v>
      </c>
      <c r="AN545" s="70" t="s">
        <v>1526</v>
      </c>
      <c r="AO545" s="70" t="s">
        <v>1526</v>
      </c>
      <c r="AP545" s="89" t="s">
        <v>1526</v>
      </c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308" zoomScale="90" zoomScaleNormal="90" workbookViewId="0">
      <selection activeCell="F314" sqref="F314:F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48</v>
      </c>
      <c r="D282" s="54"/>
      <c r="E282" s="55">
        <f>C282/C281</f>
        <v>8.8724584103512014E-2</v>
      </c>
      <c r="F282" s="153"/>
    </row>
    <row r="283" spans="2:6" x14ac:dyDescent="0.25">
      <c r="B283" s="53" t="s">
        <v>1248</v>
      </c>
      <c r="C283" s="67">
        <v>6</v>
      </c>
      <c r="D283" s="103">
        <v>42</v>
      </c>
      <c r="E283" s="55">
        <f>D283/C281</f>
        <v>7.763401109057301E-2</v>
      </c>
      <c r="F283" s="153"/>
    </row>
    <row r="284" spans="2:6" x14ac:dyDescent="0.25">
      <c r="B284" s="53" t="s">
        <v>1249</v>
      </c>
      <c r="C284" s="67">
        <v>6</v>
      </c>
      <c r="D284" s="103">
        <v>36</v>
      </c>
      <c r="E284" s="55">
        <f>D284/C281</f>
        <v>6.6543438077634007E-2</v>
      </c>
      <c r="F284" s="153"/>
    </row>
    <row r="285" spans="2:6" x14ac:dyDescent="0.25">
      <c r="B285" s="53" t="s">
        <v>16</v>
      </c>
      <c r="C285" s="94">
        <v>10</v>
      </c>
      <c r="D285" s="103">
        <v>26</v>
      </c>
      <c r="E285" s="55">
        <f>D285/C281</f>
        <v>4.8059149722735672E-2</v>
      </c>
      <c r="F285" s="153"/>
    </row>
    <row r="286" spans="2:6" ht="15.75" thickBot="1" x14ac:dyDescent="0.3">
      <c r="B286" s="56" t="s">
        <v>1470</v>
      </c>
      <c r="C286" s="131">
        <v>9</v>
      </c>
      <c r="D286" s="104">
        <v>17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25</v>
      </c>
      <c r="E288" s="105">
        <v>0.09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23</v>
      </c>
      <c r="E289" s="114">
        <v>0.09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86</v>
      </c>
      <c r="D315" s="54"/>
      <c r="E315" s="55">
        <f>C315/C314</f>
        <v>0.15896487985212571</v>
      </c>
      <c r="F315" s="153"/>
    </row>
    <row r="316" spans="2:6" x14ac:dyDescent="0.25">
      <c r="B316" s="53" t="s">
        <v>1248</v>
      </c>
      <c r="C316" s="67">
        <v>5</v>
      </c>
      <c r="D316" s="103">
        <v>81</v>
      </c>
      <c r="E316" s="55">
        <f>D316/C314</f>
        <v>0.14972273567467653</v>
      </c>
      <c r="F316" s="153"/>
    </row>
    <row r="317" spans="2:6" x14ac:dyDescent="0.25">
      <c r="B317" s="53" t="s">
        <v>1249</v>
      </c>
      <c r="C317" s="67">
        <v>6</v>
      </c>
      <c r="D317" s="103">
        <v>75</v>
      </c>
      <c r="E317" s="55">
        <f>D317/C314</f>
        <v>0.13863216266173753</v>
      </c>
      <c r="F317" s="153"/>
    </row>
    <row r="318" spans="2:6" x14ac:dyDescent="0.25">
      <c r="B318" s="53" t="s">
        <v>16</v>
      </c>
      <c r="C318" s="94">
        <v>10</v>
      </c>
      <c r="D318" s="103">
        <v>65</v>
      </c>
      <c r="E318" s="55">
        <f>D318/C314</f>
        <v>0.12014787430683918</v>
      </c>
      <c r="F318" s="153"/>
    </row>
    <row r="319" spans="2:6" ht="15.75" thickBot="1" x14ac:dyDescent="0.3">
      <c r="B319" s="56" t="s">
        <v>1470</v>
      </c>
      <c r="C319" s="131">
        <v>9</v>
      </c>
      <c r="D319" s="104">
        <v>56</v>
      </c>
      <c r="E319" s="74">
        <v>0.10349999999999999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55</v>
      </c>
      <c r="E321" s="105">
        <v>0.19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31</v>
      </c>
      <c r="E322" s="114">
        <f>D322/C322</f>
        <v>0.12350597609561753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 t="str">
        <f>'RESUMEN TOTAL'!AL22</f>
        <v>APAGADO</v>
      </c>
      <c r="AF17" s="70" t="str">
        <f>'RESUMEN TOTAL'!AM22</f>
        <v>APAGADO</v>
      </c>
      <c r="AG17" s="70" t="str">
        <f>'RESUMEN TOTAL'!AN22</f>
        <v>APAGADO</v>
      </c>
      <c r="AH17" s="70" t="str">
        <f>'RESUMEN TOTAL'!AO22</f>
        <v>APAGADO</v>
      </c>
      <c r="AI17" s="70" t="str">
        <f>'RESUMEN TOTAL'!AP22</f>
        <v>APAGADO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 t="str">
        <f>'RESUMEN TOTAL'!AL63</f>
        <v>APAGADO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 t="str">
        <f>'RESUMEN TOTAL'!AL66</f>
        <v>APAGADO</v>
      </c>
      <c r="AF48" s="70">
        <f>'RESUMEN TOTAL'!AM66</f>
        <v>0</v>
      </c>
      <c r="AG48" s="70" t="str">
        <f>'RESUMEN TOTAL'!AN66</f>
        <v>APAGADO</v>
      </c>
      <c r="AH48" s="70" t="str">
        <f>'RESUMEN TOTAL'!AO66</f>
        <v>APAGADO</v>
      </c>
      <c r="AI48" s="70" t="str">
        <f>'RESUMEN TOTAL'!AP66</f>
        <v>APAGADO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 t="str">
        <f>'RESUMEN TOTAL'!AO85</f>
        <v>APAGADO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 t="str">
        <f>'RESUMEN TOTAL'!AL90</f>
        <v>APAGADO</v>
      </c>
      <c r="AF72" s="70" t="str">
        <f>'RESUMEN TOTAL'!AM90</f>
        <v>APAGADO</v>
      </c>
      <c r="AG72" s="70" t="str">
        <f>'RESUMEN TOTAL'!AN90</f>
        <v>APAGADO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 t="str">
        <f>'RESUMEN TOTAL'!AL98</f>
        <v>APAGADO</v>
      </c>
      <c r="AF80" s="70" t="str">
        <f>'RESUMEN TOTAL'!AM98</f>
        <v>APAGADO</v>
      </c>
      <c r="AG80" s="70" t="str">
        <f>'RESUMEN TOTAL'!AN98</f>
        <v>APAGADO</v>
      </c>
      <c r="AH80" s="70" t="str">
        <f>'RESUMEN TOTAL'!AO98</f>
        <v>APAGADO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 t="str">
        <f>'RESUMEN TOTAL'!AL103</f>
        <v>APAGADO</v>
      </c>
      <c r="AF85" s="70" t="str">
        <f>'RESUMEN TOTAL'!AM103</f>
        <v>APAGADO</v>
      </c>
      <c r="AG85" s="70" t="str">
        <f>'RESUMEN TOTAL'!AN103</f>
        <v>APAGADO</v>
      </c>
      <c r="AH85" s="70" t="str">
        <f>'RESUMEN TOTAL'!AO103</f>
        <v>APAGADO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 t="str">
        <f>'RESUMEN TOTAL'!AL116</f>
        <v>APAGADO</v>
      </c>
      <c r="AF98" s="70" t="str">
        <f>'RESUMEN TOTAL'!AM116</f>
        <v>APAGADO</v>
      </c>
      <c r="AG98" s="70" t="str">
        <f>'RESUMEN TOTAL'!AN116</f>
        <v>APAGADO</v>
      </c>
      <c r="AH98" s="70" t="str">
        <f>'RESUMEN TOTAL'!AO116</f>
        <v>APAGADO</v>
      </c>
      <c r="AI98" s="70" t="str">
        <f>'RESUMEN TOTAL'!AP116</f>
        <v>APAGADO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 t="str">
        <f>'RESUMEN TOTAL'!AL117</f>
        <v>APAGADO</v>
      </c>
      <c r="AF99" s="70" t="str">
        <f>'RESUMEN TOTAL'!AM117</f>
        <v>APAGADO</v>
      </c>
      <c r="AG99" s="70" t="str">
        <f>'RESUMEN TOTAL'!AN117</f>
        <v>APAGADO</v>
      </c>
      <c r="AH99" s="70" t="str">
        <f>'RESUMEN TOTAL'!AO117</f>
        <v>APAGADO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 t="str">
        <f>'RESUMEN TOTAL'!AL121</f>
        <v>APAGADO</v>
      </c>
      <c r="AF103" s="70">
        <f>'RESUMEN TOTAL'!AM121</f>
        <v>0</v>
      </c>
      <c r="AG103" s="70" t="str">
        <f>'RESUMEN TOTAL'!AN121</f>
        <v>APAGADO</v>
      </c>
      <c r="AH103" s="70" t="str">
        <f>'RESUMEN TOTAL'!AO121</f>
        <v>APAGADO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 t="str">
        <f>'RESUMEN TOTAL'!AL122</f>
        <v>APAGADO</v>
      </c>
      <c r="AF104" s="70">
        <f>'RESUMEN TOTAL'!AM122</f>
        <v>0</v>
      </c>
      <c r="AG104" s="70" t="str">
        <f>'RESUMEN TOTAL'!AN122</f>
        <v>APAGADO</v>
      </c>
      <c r="AH104" s="70" t="str">
        <f>'RESUMEN TOTAL'!AO122</f>
        <v>APAGADO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 t="str">
        <f>'RESUMEN TOTAL'!AL147</f>
        <v>APAGADO</v>
      </c>
      <c r="AF119" s="70" t="str">
        <f>'RESUMEN TOTAL'!AM147</f>
        <v>APAGADO</v>
      </c>
      <c r="AG119" s="70" t="str">
        <f>'RESUMEN TOTAL'!AN147</f>
        <v>APAGADO</v>
      </c>
      <c r="AH119" s="70" t="str">
        <f>'RESUMEN TOTAL'!AO147</f>
        <v>APAGADO</v>
      </c>
      <c r="AI119" s="70" t="str">
        <f>'RESUMEN TOTAL'!AP147</f>
        <v>APAGADO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 t="str">
        <f>'RESUMEN TOTAL'!AL150</f>
        <v>APAGADO</v>
      </c>
      <c r="AF122" s="70" t="str">
        <f>'RESUMEN TOTAL'!AM150</f>
        <v>APAGADO</v>
      </c>
      <c r="AG122" s="70" t="str">
        <f>'RESUMEN TOTAL'!AN150</f>
        <v>APAGADO</v>
      </c>
      <c r="AH122" s="70" t="str">
        <f>'RESUMEN TOTAL'!AO150</f>
        <v>APAGADO</v>
      </c>
      <c r="AI122" s="70" t="str">
        <f>'RESUMEN TOTAL'!AP150</f>
        <v>APAGADO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 t="str">
        <f>'RESUMEN TOTAL'!AL151</f>
        <v>APAGADO</v>
      </c>
      <c r="AF123" s="70" t="str">
        <f>'RESUMEN TOTAL'!AM151</f>
        <v>APAGADO</v>
      </c>
      <c r="AG123" s="70" t="str">
        <f>'RESUMEN TOTAL'!AN151</f>
        <v>APAGADO</v>
      </c>
      <c r="AH123" s="70" t="str">
        <f>'RESUMEN TOTAL'!AO151</f>
        <v>APAGADO</v>
      </c>
      <c r="AI123" s="70" t="str">
        <f>'RESUMEN TOTAL'!AP151</f>
        <v>APAGADO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 t="str">
        <f>'RESUMEN TOTAL'!AO157</f>
        <v>APAGADO</v>
      </c>
      <c r="AI126" s="70" t="str">
        <f>'RESUMEN TOTAL'!AP157</f>
        <v>APAGADO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 t="str">
        <f>'RESUMEN TOTAL'!AO158</f>
        <v>APAGADO</v>
      </c>
      <c r="AI127" s="70" t="str">
        <f>'RESUMEN TOTAL'!AP158</f>
        <v>APAGADO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 t="str">
        <f>'RESUMEN TOTAL'!AO160</f>
        <v>APAGADO</v>
      </c>
      <c r="AI129" s="70" t="str">
        <f>'RESUMEN TOTAL'!AP160</f>
        <v>APAGADO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 t="str">
        <f>'RESUMEN TOTAL'!AL177</f>
        <v>APAGADO</v>
      </c>
      <c r="AF144" s="70" t="str">
        <f>'RESUMEN TOTAL'!AM177</f>
        <v>APAGADO</v>
      </c>
      <c r="AG144" s="70" t="str">
        <f>'RESUMEN TOTAL'!AN177</f>
        <v>APAGADO</v>
      </c>
      <c r="AH144" s="70" t="str">
        <f>'RESUMEN TOTAL'!AO177</f>
        <v>APAGADO</v>
      </c>
      <c r="AI144" s="70" t="str">
        <f>'RESUMEN TOTAL'!AP177</f>
        <v>APAGADO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 t="str">
        <f>'RESUMEN TOTAL'!AL178</f>
        <v>APAGADO</v>
      </c>
      <c r="AF145" s="70" t="str">
        <f>'RESUMEN TOTAL'!AM178</f>
        <v>APAGADO</v>
      </c>
      <c r="AG145" s="70" t="str">
        <f>'RESUMEN TOTAL'!AN178</f>
        <v>APAGADO</v>
      </c>
      <c r="AH145" s="70" t="str">
        <f>'RESUMEN TOTAL'!AO178</f>
        <v>APAGADO</v>
      </c>
      <c r="AI145" s="70" t="str">
        <f>'RESUMEN TOTAL'!AP178</f>
        <v>APAGADO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 t="str">
        <f>'RESUMEN TOTAL'!AL184</f>
        <v>APAGADO</v>
      </c>
      <c r="AF148" s="70" t="str">
        <f>'RESUMEN TOTAL'!AM184</f>
        <v>APAGADO</v>
      </c>
      <c r="AG148" s="70" t="str">
        <f>'RESUMEN TOTAL'!AN184</f>
        <v>APAGADO</v>
      </c>
      <c r="AH148" s="70" t="str">
        <f>'RESUMEN TOTAL'!AO184</f>
        <v>APAGADO</v>
      </c>
      <c r="AI148" s="70" t="str">
        <f>'RESUMEN TOTAL'!AP184</f>
        <v>APAGADO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 t="str">
        <f>'RESUMEN TOTAL'!AO188</f>
        <v>APAGADO</v>
      </c>
      <c r="AI152" s="70" t="str">
        <f>'RESUMEN TOTAL'!AP188</f>
        <v>APAGADO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 t="str">
        <f>'RESUMEN TOTAL'!AO189</f>
        <v>APAGADO</v>
      </c>
      <c r="AI153" s="70" t="str">
        <f>'RESUMEN TOTAL'!AP189</f>
        <v>APAGADO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 t="str">
        <f>'RESUMEN TOTAL'!AL190</f>
        <v>APAGADO</v>
      </c>
      <c r="AF154" s="70" t="str">
        <f>'RESUMEN TOTAL'!AM190</f>
        <v>APAGADO</v>
      </c>
      <c r="AG154" s="70" t="str">
        <f>'RESUMEN TOTAL'!AN190</f>
        <v>APAGADO</v>
      </c>
      <c r="AH154" s="70" t="str">
        <f>'RESUMEN TOTAL'!AO190</f>
        <v>APAGADO</v>
      </c>
      <c r="AI154" s="70" t="str">
        <f>'RESUMEN TOTAL'!AP190</f>
        <v>APAGADO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 t="str">
        <f>'RESUMEN TOTAL'!AL191</f>
        <v>APAGADO</v>
      </c>
      <c r="AF155" s="70" t="str">
        <f>'RESUMEN TOTAL'!AM191</f>
        <v>APAGADO</v>
      </c>
      <c r="AG155" s="70" t="str">
        <f>'RESUMEN TOTAL'!AN191</f>
        <v>APAGADO</v>
      </c>
      <c r="AH155" s="70" t="str">
        <f>'RESUMEN TOTAL'!AO191</f>
        <v>APAGADO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 t="str">
        <f>'RESUMEN TOTAL'!AL192</f>
        <v>APAGADO</v>
      </c>
      <c r="AF156" s="70" t="str">
        <f>'RESUMEN TOTAL'!AM192</f>
        <v>APAGADO</v>
      </c>
      <c r="AG156" s="70" t="str">
        <f>'RESUMEN TOTAL'!AN192</f>
        <v>APAGADO</v>
      </c>
      <c r="AH156" s="70" t="str">
        <f>'RESUMEN TOTAL'!AO192</f>
        <v>APAGADO</v>
      </c>
      <c r="AI156" s="70" t="str">
        <f>'RESUMEN TOTAL'!AP192</f>
        <v>APAGADO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 t="str">
        <f>'RESUMEN TOTAL'!AM208</f>
        <v>APAGADO</v>
      </c>
      <c r="AG170" s="70" t="str">
        <f>'RESUMEN TOTAL'!AN208</f>
        <v>APAGADO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 t="str">
        <f>'RESUMEN TOTAL'!AM209</f>
        <v>APAGADO</v>
      </c>
      <c r="AG171" s="70" t="str">
        <f>'RESUMEN TOTAL'!AN209</f>
        <v>APAGADO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 t="str">
        <f>'RESUMEN TOTAL'!AL235</f>
        <v>APAGADO</v>
      </c>
      <c r="AF194" s="70" t="str">
        <f>'RESUMEN TOTAL'!AM235</f>
        <v>APAGADO</v>
      </c>
      <c r="AG194" s="70" t="str">
        <f>'RESUMEN TOTAL'!AN235</f>
        <v>APAGADO</v>
      </c>
      <c r="AH194" s="70" t="str">
        <f>'RESUMEN TOTAL'!AO235</f>
        <v>APAGADO</v>
      </c>
      <c r="AI194" s="70" t="str">
        <f>'RESUMEN TOTAL'!AP235</f>
        <v>APAGADO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 t="str">
        <f>'RESUMEN TOTAL'!AO236</f>
        <v>APAGADO</v>
      </c>
      <c r="AI195" s="70" t="str">
        <f>'RESUMEN TOTAL'!AP236</f>
        <v>APAGADO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 t="str">
        <f>'RESUMEN TOTAL'!AL238</f>
        <v>APAGADO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 t="str">
        <f>'RESUMEN TOTAL'!AL243</f>
        <v>APAGADO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 t="str">
        <f>'RESUMEN TOTAL'!AO253</f>
        <v>APAGADO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 t="str">
        <f>'RESUMEN TOTAL'!AO255</f>
        <v>APAGADO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 t="str">
        <f>'RESUMEN TOTAL'!AO261</f>
        <v>APAGADO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 t="str">
        <f>'RESUMEN TOTAL'!AO263</f>
        <v>APAGADO</v>
      </c>
      <c r="AI220" s="70" t="str">
        <f>'RESUMEN TOTAL'!AP263</f>
        <v>APAGADO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 t="str">
        <f>'RESUMEN TOTAL'!AL264</f>
        <v>APAGADO</v>
      </c>
      <c r="AF221" s="70" t="str">
        <f>'RESUMEN TOTAL'!AM264</f>
        <v>APAGADO</v>
      </c>
      <c r="AG221" s="70" t="str">
        <f>'RESUMEN TOTAL'!AN264</f>
        <v>APAGADO</v>
      </c>
      <c r="AH221" s="70" t="str">
        <f>'RESUMEN TOTAL'!AO264</f>
        <v>APAGADO</v>
      </c>
      <c r="AI221" s="70" t="str">
        <f>'RESUMEN TOTAL'!AP264</f>
        <v>APAGADO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 t="str">
        <f>'RESUMEN TOTAL'!AO266</f>
        <v>APAGADO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 t="str">
        <f>'RESUMEN TOTAL'!AO282</f>
        <v>APAGADO</v>
      </c>
      <c r="AI236" s="70" t="str">
        <f>'RESUMEN TOTAL'!AP282</f>
        <v>APAGADO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 t="str">
        <f>'RESUMEN TOTAL'!AL283</f>
        <v>APAGADO</v>
      </c>
      <c r="AF237" s="70" t="str">
        <f>'RESUMEN TOTAL'!AM283</f>
        <v>APAGADO</v>
      </c>
      <c r="AG237" s="70" t="str">
        <f>'RESUMEN TOTAL'!AN283</f>
        <v>APAGADO</v>
      </c>
      <c r="AH237" s="70" t="str">
        <f>'RESUMEN TOTAL'!AO283</f>
        <v>APAGADO</v>
      </c>
      <c r="AI237" s="70" t="str">
        <f>'RESUMEN TOTAL'!AP283</f>
        <v>APAGADO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 t="str">
        <f>'RESUMEN TOTAL'!AL288</f>
        <v>APAGADO</v>
      </c>
      <c r="AF242" s="70" t="str">
        <f>'RESUMEN TOTAL'!AM288</f>
        <v>APAGADO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 t="str">
        <f>'RESUMEN TOTAL'!AL294</f>
        <v>APAGADO</v>
      </c>
      <c r="AF248" s="70" t="str">
        <f>'RESUMEN TOTAL'!AM294</f>
        <v>APAGADO</v>
      </c>
      <c r="AG248" s="70" t="str">
        <f>'RESUMEN TOTAL'!AN294</f>
        <v>APAGADO</v>
      </c>
      <c r="AH248" s="70" t="str">
        <f>'RESUMEN TOTAL'!AO294</f>
        <v>APAGADO</v>
      </c>
      <c r="AI248" s="70" t="str">
        <f>'RESUMEN TOTAL'!AP294</f>
        <v>APAGADO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 t="str">
        <f>'RESUMEN TOTAL'!AL296</f>
        <v>APAGADO</v>
      </c>
      <c r="AF250" s="70" t="str">
        <f>'RESUMEN TOTAL'!AM296</f>
        <v>APAGADO</v>
      </c>
      <c r="AG250" s="70" t="str">
        <f>'RESUMEN TOTAL'!AN296</f>
        <v>APAGADO</v>
      </c>
      <c r="AH250" s="70" t="str">
        <f>'RESUMEN TOTAL'!AO296</f>
        <v>APAGADO</v>
      </c>
      <c r="AI250" s="70" t="str">
        <f>'RESUMEN TOTAL'!AP296</f>
        <v>APAGADO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 t="str">
        <f>'RESUMEN TOTAL'!AO300</f>
        <v>APAGADO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 t="str">
        <f>'RESUMEN TOTAL'!AO303</f>
        <v>APAGADO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 t="str">
        <f>'RESUMEN TOTAL'!AO304</f>
        <v>APAGADO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 t="str">
        <f>'RESUMEN TOTAL'!AO305</f>
        <v>APAGADO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 t="str">
        <f>'RESUMEN TOTAL'!AM307</f>
        <v>APAGADO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 t="str">
        <f>'RESUMEN TOTAL'!AM308</f>
        <v>APAGADO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 t="str">
        <f>'RESUMEN TOTAL'!AM309</f>
        <v>APAGADO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 t="str">
        <f>'RESUMEN TOTAL'!AL320</f>
        <v>APAGADO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 t="str">
        <f>'RESUMEN TOTAL'!AL335</f>
        <v>APAGADO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 t="str">
        <f>'RESUMEN TOTAL'!AL336</f>
        <v>APAGADO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 t="str">
        <f>'RESUMEN TOTAL'!AM338</f>
        <v>APAGADO</v>
      </c>
      <c r="AG285" s="70" t="str">
        <f>'RESUMEN TOTAL'!AN338</f>
        <v>APAGADO</v>
      </c>
      <c r="AH285" s="70" t="str">
        <f>'RESUMEN TOTAL'!AO338</f>
        <v>APAGADO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 t="str">
        <f>'RESUMEN TOTAL'!AN349</f>
        <v>APAGADO</v>
      </c>
      <c r="AH292" s="70" t="str">
        <f>'RESUMEN TOTAL'!AO349</f>
        <v>APAGADO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 t="str">
        <f>'RESUMEN TOTAL'!AN350</f>
        <v>APAGADO</v>
      </c>
      <c r="AH293" s="70" t="str">
        <f>'RESUMEN TOTAL'!AO350</f>
        <v>APAGADO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 t="str">
        <f>'RESUMEN TOTAL'!AN352</f>
        <v>APAGADO</v>
      </c>
      <c r="AH295" s="70" t="str">
        <f>'RESUMEN TOTAL'!AO352</f>
        <v>APAGADO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 t="str">
        <f>'RESUMEN TOTAL'!AO354</f>
        <v>APAGADO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 t="str">
        <f>'RESUMEN TOTAL'!AN355</f>
        <v>APAGADO</v>
      </c>
      <c r="AH298" s="70" t="str">
        <f>'RESUMEN TOTAL'!AO355</f>
        <v>APAGADO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 t="str">
        <f>'RESUMEN TOTAL'!AN356</f>
        <v>APAGADO</v>
      </c>
      <c r="AH299" s="70" t="str">
        <f>'RESUMEN TOTAL'!AO356</f>
        <v>APAGADO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 t="str">
        <f>'RESUMEN TOTAL'!AL357</f>
        <v>APAGADO</v>
      </c>
      <c r="AF300" s="70" t="str">
        <f>'RESUMEN TOTAL'!AM357</f>
        <v>APAGADO</v>
      </c>
      <c r="AG300" s="70" t="str">
        <f>'RESUMEN TOTAL'!AN357</f>
        <v>APAGADO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 t="str">
        <f>'RESUMEN TOTAL'!AL358</f>
        <v>APAGADO</v>
      </c>
      <c r="AF301" s="70" t="str">
        <f>'RESUMEN TOTAL'!AM358</f>
        <v>APAGADO</v>
      </c>
      <c r="AG301" s="70" t="str">
        <f>'RESUMEN TOTAL'!AN358</f>
        <v>APAGADO</v>
      </c>
      <c r="AH301" s="70" t="str">
        <f>'RESUMEN TOTAL'!AO358</f>
        <v>APAGADO</v>
      </c>
      <c r="AI301" s="70" t="str">
        <f>'RESUMEN TOTAL'!AP358</f>
        <v>APAGADO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 t="str">
        <f>'RESUMEN TOTAL'!AL359</f>
        <v>APAGADO</v>
      </c>
      <c r="AF302" s="70" t="str">
        <f>'RESUMEN TOTAL'!AM359</f>
        <v>APAGADO</v>
      </c>
      <c r="AG302" s="70">
        <f>'RESUMEN TOTAL'!AN359</f>
        <v>0</v>
      </c>
      <c r="AH302" s="70" t="str">
        <f>'RESUMEN TOTAL'!AO359</f>
        <v>APAGADO</v>
      </c>
      <c r="AI302" s="70" t="str">
        <f>'RESUMEN TOTAL'!AP359</f>
        <v>APAGADO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 t="str">
        <f>'RESUMEN TOTAL'!AN361</f>
        <v>APAGADO</v>
      </c>
      <c r="AH304" s="70" t="str">
        <f>'RESUMEN TOTAL'!AO361</f>
        <v>APAGADO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 t="str">
        <f>'RESUMEN TOTAL'!AN362</f>
        <v>APAGADO</v>
      </c>
      <c r="AH305" s="70" t="str">
        <f>'RESUMEN TOTAL'!AO362</f>
        <v>APAGADO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 t="str">
        <f>'RESUMEN TOTAL'!AN363</f>
        <v>APAGADO</v>
      </c>
      <c r="AH306" s="70" t="str">
        <f>'RESUMEN TOTAL'!AO363</f>
        <v>APAGADO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 t="str">
        <f>'RESUMEN TOTAL'!AN364</f>
        <v>APAGADO</v>
      </c>
      <c r="AH307" s="70" t="str">
        <f>'RESUMEN TOTAL'!AO364</f>
        <v>APAGADO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 t="str">
        <f>'RESUMEN TOTAL'!AN365</f>
        <v>APAGADO</v>
      </c>
      <c r="AH308" s="70" t="str">
        <f>'RESUMEN TOTAL'!AO365</f>
        <v>APAGADO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 t="str">
        <f>'RESUMEN TOTAL'!AN366</f>
        <v>APAGADO</v>
      </c>
      <c r="AH309" s="70" t="str">
        <f>'RESUMEN TOTAL'!AO366</f>
        <v>APAGADO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 t="str">
        <f>'RESUMEN TOTAL'!AN367</f>
        <v>APAGADO</v>
      </c>
      <c r="AH310" s="70" t="str">
        <f>'RESUMEN TOTAL'!AO367</f>
        <v>APAGADO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 t="str">
        <f>'RESUMEN TOTAL'!AN368</f>
        <v>APAGADO</v>
      </c>
      <c r="AH311" s="70" t="str">
        <f>'RESUMEN TOTAL'!AO368</f>
        <v>APAGADO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 t="str">
        <f>'RESUMEN TOTAL'!AN370</f>
        <v>APAGADO</v>
      </c>
      <c r="AH313" s="70" t="str">
        <f>'RESUMEN TOTAL'!AO370</f>
        <v>APAGADO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 t="str">
        <f>'RESUMEN TOTAL'!AN371</f>
        <v>APAGADO</v>
      </c>
      <c r="AH314" s="70" t="str">
        <f>'RESUMEN TOTAL'!AO371</f>
        <v>APAGADO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 t="str">
        <f>'RESUMEN TOTAL'!AL372</f>
        <v>APAGADO</v>
      </c>
      <c r="AF315" s="70" t="str">
        <f>'RESUMEN TOTAL'!AM372</f>
        <v>APAGADO</v>
      </c>
      <c r="AG315" s="70" t="str">
        <f>'RESUMEN TOTAL'!AN372</f>
        <v>APAGADO</v>
      </c>
      <c r="AH315" s="70" t="str">
        <f>'RESUMEN TOTAL'!AO372</f>
        <v>APAGADO</v>
      </c>
      <c r="AI315" s="70" t="str">
        <f>'RESUMEN TOTAL'!AP372</f>
        <v>APAGADO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 t="str">
        <f>'RESUMEN TOTAL'!AM377</f>
        <v>APAGADO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 t="str">
        <f>'RESUMEN TOTAL'!AL383</f>
        <v>APAGADO</v>
      </c>
      <c r="AF322" s="70" t="str">
        <f>'RESUMEN TOTAL'!AM383</f>
        <v>APAGADO</v>
      </c>
      <c r="AG322" s="70" t="str">
        <f>'RESUMEN TOTAL'!AN383</f>
        <v>APAGADO</v>
      </c>
      <c r="AH322" s="70" t="str">
        <f>'RESUMEN TOTAL'!AO383</f>
        <v>APAGADO</v>
      </c>
      <c r="AI322" s="70" t="str">
        <f>'RESUMEN TOTAL'!AP383</f>
        <v>APAGADO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 t="str">
        <f>'RESUMEN TOTAL'!AL384</f>
        <v>APAGADO</v>
      </c>
      <c r="AF323" s="70" t="str">
        <f>'RESUMEN TOTAL'!AM384</f>
        <v>APAGADO</v>
      </c>
      <c r="AG323" s="70" t="str">
        <f>'RESUMEN TOTAL'!AN384</f>
        <v>APAGADO</v>
      </c>
      <c r="AH323" s="70" t="str">
        <f>'RESUMEN TOTAL'!AO384</f>
        <v>APAGADO</v>
      </c>
      <c r="AI323" s="70" t="str">
        <f>'RESUMEN TOTAL'!AP384</f>
        <v>APAGADO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 t="str">
        <f>'RESUMEN TOTAL'!AL390</f>
        <v>APAGADO</v>
      </c>
      <c r="AF326" s="70" t="str">
        <f>'RESUMEN TOTAL'!AM390</f>
        <v>APAGADO</v>
      </c>
      <c r="AG326" s="70" t="str">
        <f>'RESUMEN TOTAL'!AN390</f>
        <v>APAGADO</v>
      </c>
      <c r="AH326" s="70" t="str">
        <f>'RESUMEN TOTAL'!AO390</f>
        <v>APAGADO</v>
      </c>
      <c r="AI326" s="70" t="str">
        <f>'RESUMEN TOTAL'!AP390</f>
        <v>APAGADO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 t="str">
        <f>'RESUMEN TOTAL'!AL395</f>
        <v>APAGADO</v>
      </c>
      <c r="AF329" s="70" t="str">
        <f>'RESUMEN TOTAL'!AM395</f>
        <v>APAGADO</v>
      </c>
      <c r="AG329" s="70" t="str">
        <f>'RESUMEN TOTAL'!AN395</f>
        <v>APAGADO</v>
      </c>
      <c r="AH329" s="70" t="str">
        <f>'RESUMEN TOTAL'!AO395</f>
        <v>APAGADO</v>
      </c>
      <c r="AI329" s="70" t="str">
        <f>'RESUMEN TOTAL'!AP395</f>
        <v>APAGADO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 t="str">
        <f>'RESUMEN TOTAL'!AL416</f>
        <v>APAGADO</v>
      </c>
      <c r="AF348" s="70" t="str">
        <f>'RESUMEN TOTAL'!AM416</f>
        <v>APAGADO</v>
      </c>
      <c r="AG348" s="70" t="str">
        <f>'RESUMEN TOTAL'!AN416</f>
        <v>APAGADO</v>
      </c>
      <c r="AH348" s="70" t="str">
        <f>'RESUMEN TOTAL'!AO416</f>
        <v>APAGADO</v>
      </c>
      <c r="AI348" s="70" t="str">
        <f>'RESUMEN TOTAL'!AP416</f>
        <v>APAGADO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 t="str">
        <f>'RESUMEN TOTAL'!AM421</f>
        <v>APAGADO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 t="str">
        <f>'RESUMEN TOTAL'!AL428</f>
        <v>APAGADO</v>
      </c>
      <c r="AF360" s="70" t="str">
        <f>'RESUMEN TOTAL'!AM428</f>
        <v>APAGADO</v>
      </c>
      <c r="AG360" s="70" t="str">
        <f>'RESUMEN TOTAL'!AN428</f>
        <v>APAGADO</v>
      </c>
      <c r="AH360" s="70" t="str">
        <f>'RESUMEN TOTAL'!AO428</f>
        <v>APAGADO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 t="str">
        <f>'RESUMEN TOTAL'!AM436</f>
        <v>APAGADO</v>
      </c>
      <c r="AG363" s="70">
        <f>'RESUMEN TOTAL'!AN436</f>
        <v>0</v>
      </c>
      <c r="AH363" s="70">
        <f>'RESUMEN TOTAL'!AO436</f>
        <v>0</v>
      </c>
      <c r="AI363" s="70" t="str">
        <f>'RESUMEN TOTAL'!AP436</f>
        <v>APAGADO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 t="str">
        <f>'RESUMEN TOTAL'!AL438</f>
        <v>APAGADO</v>
      </c>
      <c r="AF365" s="70" t="str">
        <f>'RESUMEN TOTAL'!AM438</f>
        <v>APAGADO</v>
      </c>
      <c r="AG365" s="70" t="str">
        <f>'RESUMEN TOTAL'!AN438</f>
        <v>APAGADO</v>
      </c>
      <c r="AH365" s="70" t="str">
        <f>'RESUMEN TOTAL'!AO438</f>
        <v>APAGADO</v>
      </c>
      <c r="AI365" s="70" t="str">
        <f>'RESUMEN TOTAL'!AP438</f>
        <v>APAGADO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 t="str">
        <f>'RESUMEN TOTAL'!AO462</f>
        <v>APAGADO</v>
      </c>
      <c r="AI383" s="70" t="str">
        <f>'RESUMEN TOTAL'!AP462</f>
        <v>APAGADO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 t="str">
        <f>'RESUMEN TOTAL'!AO469</f>
        <v>APAGADO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 t="str">
        <f>'RESUMEN TOTAL'!AL488</f>
        <v>APAGADO</v>
      </c>
      <c r="AF409" s="70" t="str">
        <f>'RESUMEN TOTAL'!AM488</f>
        <v>APAGADO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 t="str">
        <f>'RESUMEN TOTAL'!AN500</f>
        <v>APAGADO</v>
      </c>
      <c r="AH418" s="70" t="str">
        <f>'RESUMEN TOTAL'!AO500</f>
        <v>APAGADO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 t="str">
        <f>'RESUMEN TOTAL'!AN501</f>
        <v>APAGADO</v>
      </c>
      <c r="AH419" s="70" t="str">
        <f>'RESUMEN TOTAL'!AO501</f>
        <v>APAGADO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 t="str">
        <f>'RESUMEN TOTAL'!AN502</f>
        <v>APAGADO</v>
      </c>
      <c r="AH420" s="70" t="str">
        <f>'RESUMEN TOTAL'!AO502</f>
        <v>APAGADO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 t="str">
        <f>'RESUMEN TOTAL'!AN503</f>
        <v>APAGADO</v>
      </c>
      <c r="AH421" s="70" t="str">
        <f>'RESUMEN TOTAL'!AO503</f>
        <v>APAGADO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 t="str">
        <f>'RESUMEN TOTAL'!AN504</f>
        <v>APAGADO</v>
      </c>
      <c r="AH422" s="70" t="str">
        <f>'RESUMEN TOTAL'!AO504</f>
        <v>APAGADO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 t="str">
        <f>'RESUMEN TOTAL'!AN505</f>
        <v>APAGADO</v>
      </c>
      <c r="AH423" s="70" t="str">
        <f>'RESUMEN TOTAL'!AO505</f>
        <v>APAGADO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 t="str">
        <f>'RESUMEN TOTAL'!AN506</f>
        <v>APAGADO</v>
      </c>
      <c r="AH424" s="70" t="str">
        <f>'RESUMEN TOTAL'!AO506</f>
        <v>APAGADO</v>
      </c>
      <c r="AI424" s="70" t="str">
        <f>'RESUMEN TOTAL'!AP506</f>
        <v>APAGADO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 t="str">
        <f>'RESUMEN TOTAL'!AN507</f>
        <v>APAGADO</v>
      </c>
      <c r="AH425" s="70" t="str">
        <f>'RESUMEN TOTAL'!AO507</f>
        <v>APAGADO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 t="str">
        <f>'RESUMEN TOTAL'!AL511</f>
        <v>APAGADO</v>
      </c>
      <c r="AF428" s="70" t="str">
        <f>'RESUMEN TOTAL'!AM511</f>
        <v>APAGADO</v>
      </c>
      <c r="AG428" s="70" t="str">
        <f>'RESUMEN TOTAL'!AN511</f>
        <v>APAGADO</v>
      </c>
      <c r="AH428" s="70" t="str">
        <f>'RESUMEN TOTAL'!AO511</f>
        <v>APAGADO</v>
      </c>
      <c r="AI428" s="70" t="str">
        <f>'RESUMEN TOTAL'!AP511</f>
        <v>APAGADO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 t="str">
        <f>'RESUMEN TOTAL'!AL521</f>
        <v>APAGADO</v>
      </c>
      <c r="AF436" s="70" t="str">
        <f>'RESUMEN TOTAL'!AM521</f>
        <v>APAGADO</v>
      </c>
      <c r="AG436" s="70" t="str">
        <f>'RESUMEN TOTAL'!AN521</f>
        <v>APAGADO</v>
      </c>
      <c r="AH436" s="70" t="str">
        <f>'RESUMEN TOTAL'!AO521</f>
        <v>APAGADO</v>
      </c>
      <c r="AI436" s="70" t="str">
        <f>'RESUMEN TOTAL'!AP521</f>
        <v>APAGADO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 t="str">
        <f>'RESUMEN TOTAL'!AL523</f>
        <v>APAGADO</v>
      </c>
      <c r="AF438" s="70" t="str">
        <f>'RESUMEN TOTAL'!AM523</f>
        <v>APAGADO</v>
      </c>
      <c r="AG438" s="70" t="str">
        <f>'RESUMEN TOTAL'!AN523</f>
        <v>APAGADO</v>
      </c>
      <c r="AH438" s="70" t="str">
        <f>'RESUMEN TOTAL'!AO523</f>
        <v>APAGADO</v>
      </c>
      <c r="AI438" s="70" t="str">
        <f>'RESUMEN TOTAL'!AP523</f>
        <v>APAGADO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 t="str">
        <f>'RESUMEN TOTAL'!AM539</f>
        <v>APAGADO</v>
      </c>
      <c r="AG454" s="70" t="str">
        <f>'RESUMEN TOTAL'!AN539</f>
        <v>APAGADO</v>
      </c>
      <c r="AH454" s="70" t="str">
        <f>'RESUMEN TOTAL'!AO539</f>
        <v>APAGADO</v>
      </c>
      <c r="AI454" s="70" t="str">
        <f>'RESUMEN TOTAL'!AP539</f>
        <v>APAGADO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 t="str">
        <f>'RESUMEN TOTAL'!AM540</f>
        <v>APAGADO</v>
      </c>
      <c r="AG455" s="70" t="str">
        <f>'RESUMEN TOTAL'!AN540</f>
        <v>APAGADO</v>
      </c>
      <c r="AH455" s="70" t="str">
        <f>'RESUMEN TOTAL'!AO540</f>
        <v>APAGADO</v>
      </c>
      <c r="AI455" s="70" t="str">
        <f>'RESUMEN TOTAL'!AP540</f>
        <v>APAGADO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 t="str">
        <f>'RESUMEN TOTAL'!AM541</f>
        <v>APAGADO</v>
      </c>
      <c r="AG456" s="70" t="str">
        <f>'RESUMEN TOTAL'!AN541</f>
        <v>APAGADO</v>
      </c>
      <c r="AH456" s="70" t="str">
        <f>'RESUMEN TOTAL'!AO541</f>
        <v>APAGADO</v>
      </c>
      <c r="AI456" s="70" t="str">
        <f>'RESUMEN TOTAL'!AP541</f>
        <v>APAGADO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 t="str">
        <f>'RESUMEN TOTAL'!AL545</f>
        <v>APAGADO</v>
      </c>
      <c r="AF460" s="70" t="str">
        <f>'RESUMEN TOTAL'!AM545</f>
        <v>APAGADO</v>
      </c>
      <c r="AG460" s="70" t="str">
        <f>'RESUMEN TOTAL'!AN545</f>
        <v>APAGADO</v>
      </c>
      <c r="AH460" s="70" t="str">
        <f>'RESUMEN TOTAL'!AO545</f>
        <v>APAGADO</v>
      </c>
      <c r="AI460" s="70" t="str">
        <f>'RESUMEN TOTAL'!AP545</f>
        <v>APAGADO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K1" zoomScale="90" zoomScaleNormal="90" workbookViewId="0">
      <selection activeCell="AD11" sqref="A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25</v>
      </c>
      <c r="AF3" s="46">
        <f>COUNTIFS('RESUMEN TOTAL'!AM8:AM656,"=APAGADO",'RESUMEN TOTAL'!C8:C656,"=BONOMO")</f>
        <v>20</v>
      </c>
      <c r="AG3" s="46">
        <f>COUNTIFS('RESUMEN TOTAL'!AN8:AN656,"=APAGADO",'RESUMEN TOTAL'!C8:C656,"=BONOMO")</f>
        <v>46</v>
      </c>
      <c r="AH3" s="46">
        <f>COUNTIFS('RESUMEN TOTAL'!AO8:AO656,"=APAGADO",'RESUMEN TOTAL'!C8:C656,"=BONOMO")</f>
        <v>55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8.6206896551724144E-2</v>
      </c>
      <c r="AF4" s="50">
        <f t="shared" si="0"/>
        <v>6.8965517241379309E-2</v>
      </c>
      <c r="AG4" s="50">
        <f t="shared" si="0"/>
        <v>0.15862068965517243</v>
      </c>
      <c r="AH4" s="50">
        <f t="shared" si="0"/>
        <v>0.18965517241379309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23</v>
      </c>
      <c r="AF5" s="46">
        <f>COUNTIFS('RESUMEN TOTAL'!AM10:AM658,"=APAGADO",'RESUMEN TOTAL'!C10:C658,"=COSEIDI")</f>
        <v>32</v>
      </c>
      <c r="AG5" s="46">
        <f>COUNTIFS('RESUMEN TOTAL'!AN10:AN658,"=APAGADO",'RESUMEN TOTAL'!C10:C658,"=COSEIDI")</f>
        <v>24</v>
      </c>
      <c r="AH5" s="46">
        <f>COUNTIFS('RESUMEN TOTAL'!AO10:AO658,"=APAGADO",'RESUMEN TOTAL'!C10:C658,"=COSEIDI")</f>
        <v>31</v>
      </c>
      <c r="AI5" s="46">
        <f>COUNTIFS('RESUMEN TOTAL'!AP10:AP658,"=APAGADO",'RESUMEN TOTAL'!C10:C658,"=COSEIDI")</f>
        <v>26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9.1633466135458169E-2</v>
      </c>
      <c r="AF6" s="50">
        <f t="shared" si="1"/>
        <v>0.12749003984063745</v>
      </c>
      <c r="AG6" s="50">
        <f t="shared" si="1"/>
        <v>9.5617529880478086E-2</v>
      </c>
      <c r="AH6" s="50">
        <f t="shared" si="1"/>
        <v>0.12350597609561753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2025-10-01T10:39:01Z</dcterms:modified>
</cp:coreProperties>
</file>