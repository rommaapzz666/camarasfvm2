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EBED0F3E-8E1F-44C4-A2E4-8FA101B3CAE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3" i="2"/>
  <c r="Q173" i="2"/>
  <c r="O189" i="2"/>
  <c r="Q189" i="2"/>
  <c r="O190" i="2"/>
  <c r="Q190" i="2"/>
  <c r="O191" i="2"/>
  <c r="Q191" i="2"/>
  <c r="O192" i="2"/>
  <c r="Q192" i="2"/>
  <c r="O174" i="2"/>
  <c r="Q174" i="2"/>
  <c r="O175" i="2"/>
  <c r="Q175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4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3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5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6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<sst xmlns="http://schemas.openxmlformats.org/spreadsheetml/2006/main" count="6533" uniqueCount="2505">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</sst>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AF35" activePane="bottomRight" state="frozen"/>
      <selection activeCell="G1" sqref="G1"/>
      <selection pane="topRight" activeCell="S1" sqref="S1"/>
      <selection pane="bottomLeft" activeCell="G8" sqref="G8"/>
      <selection pane="bottomRight" activeCell="I7" sqref="I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7.7109375" style="14" customWidth="1"/>
    <col min="33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>COUNTIF(S7:S759, "apagado")</f>
        <v>62</v>
      </c>
      <c r="T3" s="123">
        <f>COUNTIF(T7:T759, "apagado")</f>
        <v>88</v>
      </c>
      <c r="U3" s="123">
        <f>COUNTIF(U7:U759, "apagado")</f>
        <v>102</v>
      </c>
      <c r="V3" s="123">
        <f>COUNTIF(V7:V759, "apagado")</f>
        <v>0</v>
      </c>
      <c r="W3" s="123">
        <f>COUNTIF(W7:W759, "apagado")</f>
        <v>0</v>
      </c>
      <c r="X3" s="123">
        <f>COUNTIF(X7:X759, "apagado")</f>
        <v>66</v>
      </c>
      <c r="Y3" s="123">
        <f>COUNTIF(Y7:Y759, "apagado")</f>
        <v>81</v>
      </c>
      <c r="Z3" s="123">
        <f>COUNTIF(Z7:Z759, "apagado")</f>
        <v>87</v>
      </c>
      <c r="AA3" s="123">
        <f>COUNTIF(AA7:AA759, "apagado")</f>
        <v>0</v>
      </c>
      <c r="AB3" s="123">
        <f>COUNTIF(AB7:AB759, "apagado")</f>
        <v>0</v>
      </c>
      <c r="AC3" s="123">
        <f>COUNTIF(AC7:AC759, "apagado")</f>
        <v>0</v>
      </c>
      <c r="AD3" s="123">
        <f>COUNTIF(AD7:AD759, "apagado")</f>
        <v>0</v>
      </c>
      <c r="AE3" s="123">
        <f>COUNTIF(AE7:AE759, "apagado")</f>
        <v>107</v>
      </c>
      <c r="AF3" s="123">
        <f>COUNTIF(AF7:AF759, "apagado")</f>
        <v>57</v>
      </c>
      <c r="AG3" s="123">
        <f>COUNTIF(AG7:AG759, "apagado")</f>
        <v>53</v>
      </c>
      <c r="AH3" s="123">
        <f>COUNTIF(AH7:AH759, "apagado")</f>
        <v>0</v>
      </c>
      <c r="AI3" s="123">
        <f>COUNTIF(AI7:AI759, "apagado")</f>
        <v>0</v>
      </c>
      <c r="AJ3" s="123">
        <f>COUNTIF(AJ7:AJ759, "apagado")</f>
        <v>0</v>
      </c>
      <c r="AK3" s="123">
        <f>COUNTIF(AK7:AK759, "apagado")</f>
        <v>0</v>
      </c>
      <c r="AL3" s="123">
        <f>COUNTIF(AL7:AL759, "apagado")</f>
        <v>0</v>
      </c>
      <c r="AM3" s="123">
        <f>COUNTIF(AM7:AM759, "apagado")</f>
        <v>0</v>
      </c>
      <c r="AN3" s="123">
        <f>COUNTIF(AN7:AN759, "apagado")</f>
        <v>0</v>
      </c>
      <c r="AO3" s="123">
        <f>COUNTIF(AO7:AO759, "apagado")</f>
        <v>0</v>
      </c>
      <c r="AP3" s="123">
        <f>COUNTIF(AP7:AP759, "apagado")</f>
        <v>0</v>
      </c>
      <c r="AQ3" s="123">
        <f>COUNTIF(AQ7:AQ759, "apagado")</f>
        <v>0</v>
      </c>
      <c r="AR3" s="123">
        <f>COUNTIF(AR7:AR759, "apagado")</f>
        <v>0</v>
      </c>
      <c r="AS3" s="123">
        <f>COUNTIF(AS7:AS759, "apagado")</f>
        <v>0</v>
      </c>
      <c r="AT3" s="123">
        <f>COUNTIF(AT7:AT759, "apagado")</f>
        <v>0</v>
      </c>
      <c r="AU3" s="123">
        <f>COUNTIF(AU7:AU759, "apagado")</f>
        <v>0</v>
      </c>
      <c r="AV3" s="123">
        <f>COUNTIF(AV7:AV759, "apagado")</f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3">COUNTIF(S8:AT8,"")</f>
        <v>28</v>
      </c>
      <c r="P8" s="136" t="s">
        <v>1626</v>
      </c>
      <c r="Q8" s="131">
        <f t="shared" ref="Q8:Q28" si="4">COUNTIF(S8:AT8,"APAGADO")</f>
        <v>0</v>
      </c>
      <c r="R8" s="132">
        <f t="shared" ref="R8:R28" si="5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3"/>
        <v>28</v>
      </c>
      <c r="P9" s="136" t="s">
        <v>1627</v>
      </c>
      <c r="Q9" s="131">
        <f t="shared" si="4"/>
        <v>0</v>
      </c>
      <c r="R9" s="132">
        <f t="shared" si="5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3"/>
        <v>28</v>
      </c>
      <c r="P10" s="136" t="s">
        <v>1629</v>
      </c>
      <c r="Q10" s="131">
        <f t="shared" si="4"/>
        <v>0</v>
      </c>
      <c r="R10" s="132">
        <f t="shared" si="5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3"/>
        <v>28</v>
      </c>
      <c r="P11" s="136" t="s">
        <v>1631</v>
      </c>
      <c r="Q11" s="31">
        <f t="shared" si="4"/>
        <v>0</v>
      </c>
      <c r="R11" s="32">
        <f t="shared" si="5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3"/>
        <v>28</v>
      </c>
      <c r="P12" s="136" t="s">
        <v>1632</v>
      </c>
      <c r="Q12" s="31">
        <f t="shared" si="4"/>
        <v>0</v>
      </c>
      <c r="R12" s="32">
        <f t="shared" si="5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3"/>
        <v>28</v>
      </c>
      <c r="P13" s="136" t="s">
        <v>1633</v>
      </c>
      <c r="Q13" s="131">
        <f t="shared" si="4"/>
        <v>0</v>
      </c>
      <c r="R13" s="132">
        <f t="shared" si="5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3"/>
        <v>28</v>
      </c>
      <c r="P14" s="136" t="s">
        <v>2102</v>
      </c>
      <c r="Q14" s="31">
        <f t="shared" si="4"/>
        <v>0</v>
      </c>
      <c r="R14" s="32">
        <f t="shared" si="5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3"/>
        <v>27</v>
      </c>
      <c r="P15" s="136" t="s">
        <v>1624</v>
      </c>
      <c r="Q15" s="31">
        <f t="shared" si="4"/>
        <v>1</v>
      </c>
      <c r="R15" s="32">
        <f t="shared" si="5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3"/>
        <v>27</v>
      </c>
      <c r="P16" s="136" t="s">
        <v>1625</v>
      </c>
      <c r="Q16" s="31">
        <f t="shared" si="4"/>
        <v>1</v>
      </c>
      <c r="R16" s="32">
        <f t="shared" si="5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3"/>
        <v>28</v>
      </c>
      <c r="P17" s="136" t="s">
        <v>1628</v>
      </c>
      <c r="Q17" s="131">
        <f t="shared" si="4"/>
        <v>0</v>
      </c>
      <c r="R17" s="132">
        <f t="shared" si="5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3"/>
        <v>27</v>
      </c>
      <c r="P18" s="136" t="s">
        <v>1630</v>
      </c>
      <c r="Q18" s="31">
        <f t="shared" si="4"/>
        <v>1</v>
      </c>
      <c r="R18" s="32">
        <f t="shared" si="5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3"/>
        <v>28</v>
      </c>
      <c r="P19" s="136" t="s">
        <v>1634</v>
      </c>
      <c r="Q19" s="31">
        <f t="shared" si="4"/>
        <v>0</v>
      </c>
      <c r="R19" s="32">
        <f t="shared" si="5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3"/>
        <v>28</v>
      </c>
      <c r="P20" s="136" t="s">
        <v>1635</v>
      </c>
      <c r="Q20" s="31">
        <f t="shared" si="4"/>
        <v>0</v>
      </c>
      <c r="R20" s="32">
        <f t="shared" si="5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3"/>
        <v>28</v>
      </c>
      <c r="P21" s="136" t="s">
        <v>1636</v>
      </c>
      <c r="Q21" s="31">
        <f t="shared" si="4"/>
        <v>0</v>
      </c>
      <c r="R21" s="32">
        <f t="shared" si="5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3"/>
        <v>28</v>
      </c>
      <c r="P22" s="136" t="s">
        <v>2260</v>
      </c>
      <c r="Q22" s="31">
        <f t="shared" si="4"/>
        <v>0</v>
      </c>
      <c r="R22" s="32">
        <f t="shared" si="5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3"/>
        <v>28</v>
      </c>
      <c r="P23" s="136" t="s">
        <v>1637</v>
      </c>
      <c r="Q23" s="31">
        <f t="shared" si="4"/>
        <v>0</v>
      </c>
      <c r="R23" s="32">
        <f t="shared" si="5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3"/>
        <v>28</v>
      </c>
      <c r="P24" s="136" t="s">
        <v>1644</v>
      </c>
      <c r="Q24" s="131">
        <f t="shared" si="4"/>
        <v>0</v>
      </c>
      <c r="R24" s="132">
        <f t="shared" si="5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3"/>
        <v>28</v>
      </c>
      <c r="P25" s="136" t="s">
        <v>2103</v>
      </c>
      <c r="Q25" s="131">
        <f t="shared" si="4"/>
        <v>0</v>
      </c>
      <c r="R25" s="132">
        <f t="shared" si="5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3"/>
        <v>28</v>
      </c>
      <c r="P26" s="136" t="s">
        <v>2104</v>
      </c>
      <c r="Q26" s="131">
        <f t="shared" si="4"/>
        <v>0</v>
      </c>
      <c r="R26" s="132">
        <f t="shared" si="5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3"/>
        <v>28</v>
      </c>
      <c r="P27" s="136" t="s">
        <v>2105</v>
      </c>
      <c r="Q27" s="131">
        <f t="shared" si="4"/>
        <v>0</v>
      </c>
      <c r="R27" s="132">
        <f t="shared" si="5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3"/>
        <v>28</v>
      </c>
      <c r="P28" s="136" t="s">
        <v>2235</v>
      </c>
      <c r="Q28" s="131">
        <f t="shared" si="4"/>
        <v>0</v>
      </c>
      <c r="R28" s="132">
        <f t="shared" si="5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6">COUNTIF(S30:AT30,"")</f>
        <v>24</v>
      </c>
      <c r="P30" s="136" t="s">
        <v>1638</v>
      </c>
      <c r="Q30" s="31">
        <f t="shared" ref="Q30:Q61" si="7">COUNTIF(S30:AT30,"APAGADO")</f>
        <v>4</v>
      </c>
      <c r="R30" s="32">
        <f t="shared" ref="R30:R61" si="8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6"/>
        <v>24</v>
      </c>
      <c r="P31" s="136" t="s">
        <v>1639</v>
      </c>
      <c r="Q31" s="31">
        <f t="shared" si="7"/>
        <v>4</v>
      </c>
      <c r="R31" s="32">
        <f t="shared" si="8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6"/>
        <v>21</v>
      </c>
      <c r="P32" s="136" t="s">
        <v>1640</v>
      </c>
      <c r="Q32" s="31">
        <f t="shared" si="7"/>
        <v>7</v>
      </c>
      <c r="R32" s="32">
        <f t="shared" si="8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6"/>
        <v>21</v>
      </c>
      <c r="P33" s="136" t="s">
        <v>1641</v>
      </c>
      <c r="Q33" s="31">
        <f t="shared" si="7"/>
        <v>7</v>
      </c>
      <c r="R33" s="32">
        <f t="shared" si="8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6"/>
        <v>26</v>
      </c>
      <c r="P34" s="136" t="s">
        <v>1642</v>
      </c>
      <c r="Q34" s="31">
        <f t="shared" si="7"/>
        <v>2</v>
      </c>
      <c r="R34" s="32">
        <f t="shared" si="8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6"/>
        <v>27</v>
      </c>
      <c r="P35" s="136" t="s">
        <v>1643</v>
      </c>
      <c r="Q35" s="31">
        <f t="shared" si="7"/>
        <v>1</v>
      </c>
      <c r="R35" s="32">
        <f t="shared" si="8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6"/>
        <v>27</v>
      </c>
      <c r="P36" s="136" t="s">
        <v>1646</v>
      </c>
      <c r="Q36" s="31">
        <f t="shared" si="7"/>
        <v>1</v>
      </c>
      <c r="R36" s="32">
        <f t="shared" si="8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6"/>
        <v>27</v>
      </c>
      <c r="P37" s="136" t="s">
        <v>1647</v>
      </c>
      <c r="Q37" s="31">
        <f t="shared" si="7"/>
        <v>1</v>
      </c>
      <c r="R37" s="32">
        <f t="shared" si="8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6"/>
        <v>26</v>
      </c>
      <c r="P38" s="136" t="s">
        <v>2108</v>
      </c>
      <c r="Q38" s="31">
        <f t="shared" si="7"/>
        <v>2</v>
      </c>
      <c r="R38" s="32">
        <f t="shared" si="8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6"/>
        <v>26</v>
      </c>
      <c r="P39" s="136" t="s">
        <v>2132</v>
      </c>
      <c r="Q39" s="31">
        <f t="shared" si="7"/>
        <v>2</v>
      </c>
      <c r="R39" s="32">
        <f t="shared" si="8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6"/>
        <v>26</v>
      </c>
      <c r="P40" s="136" t="s">
        <v>2133</v>
      </c>
      <c r="Q40" s="31">
        <f t="shared" si="7"/>
        <v>2</v>
      </c>
      <c r="R40" s="32">
        <f t="shared" si="8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6"/>
        <v>27</v>
      </c>
      <c r="P41" s="136" t="s">
        <v>2134</v>
      </c>
      <c r="Q41" s="31">
        <f t="shared" si="7"/>
        <v>1</v>
      </c>
      <c r="R41" s="32">
        <f t="shared" si="8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6"/>
        <v>23</v>
      </c>
      <c r="P42" s="136" t="s">
        <v>2178</v>
      </c>
      <c r="Q42" s="31">
        <f t="shared" si="7"/>
        <v>5</v>
      </c>
      <c r="R42" s="32">
        <f t="shared" si="8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6"/>
        <v>23</v>
      </c>
      <c r="P43" s="136" t="s">
        <v>2182</v>
      </c>
      <c r="Q43" s="31">
        <f t="shared" si="7"/>
        <v>5</v>
      </c>
      <c r="R43" s="32">
        <f t="shared" si="8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6"/>
        <v>28</v>
      </c>
      <c r="P44" s="136" t="s">
        <v>1652</v>
      </c>
      <c r="Q44" s="31">
        <f t="shared" si="7"/>
        <v>0</v>
      </c>
      <c r="R44" s="32">
        <f t="shared" si="8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6"/>
        <v>28</v>
      </c>
      <c r="P45" s="136" t="s">
        <v>1658</v>
      </c>
      <c r="Q45" s="31">
        <f t="shared" si="7"/>
        <v>0</v>
      </c>
      <c r="R45" s="32">
        <f t="shared" si="8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6"/>
        <v>28</v>
      </c>
      <c r="P46" s="136" t="s">
        <v>1659</v>
      </c>
      <c r="Q46" s="131">
        <f t="shared" si="7"/>
        <v>0</v>
      </c>
      <c r="R46" s="132">
        <f t="shared" si="8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6"/>
        <v>27</v>
      </c>
      <c r="P47" s="136" t="s">
        <v>1681</v>
      </c>
      <c r="Q47" s="31">
        <f t="shared" si="7"/>
        <v>1</v>
      </c>
      <c r="R47" s="32">
        <f t="shared" si="8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6"/>
        <v>28</v>
      </c>
      <c r="P48" s="136" t="s">
        <v>1694</v>
      </c>
      <c r="Q48" s="131">
        <f t="shared" si="7"/>
        <v>0</v>
      </c>
      <c r="R48" s="132">
        <f t="shared" si="8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6"/>
        <v>28</v>
      </c>
      <c r="P49" s="136" t="s">
        <v>1695</v>
      </c>
      <c r="Q49" s="131">
        <f t="shared" si="7"/>
        <v>0</v>
      </c>
      <c r="R49" s="132">
        <f t="shared" si="8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6"/>
        <v>28</v>
      </c>
      <c r="P50" s="136" t="s">
        <v>1697</v>
      </c>
      <c r="Q50" s="131">
        <f t="shared" si="7"/>
        <v>0</v>
      </c>
      <c r="R50" s="132">
        <f t="shared" si="8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6"/>
        <v>28</v>
      </c>
      <c r="P51" s="136" t="s">
        <v>1698</v>
      </c>
      <c r="Q51" s="131">
        <f t="shared" si="7"/>
        <v>0</v>
      </c>
      <c r="R51" s="132">
        <f t="shared" si="8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6"/>
        <v>28</v>
      </c>
      <c r="P52" s="136" t="s">
        <v>1699</v>
      </c>
      <c r="Q52" s="131">
        <f t="shared" si="7"/>
        <v>0</v>
      </c>
      <c r="R52" s="132">
        <f t="shared" si="8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6"/>
        <v>28</v>
      </c>
      <c r="P53" s="136" t="s">
        <v>1700</v>
      </c>
      <c r="Q53" s="131">
        <f t="shared" si="7"/>
        <v>0</v>
      </c>
      <c r="R53" s="132">
        <f t="shared" si="8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6"/>
        <v>28</v>
      </c>
      <c r="P54" s="136" t="s">
        <v>1701</v>
      </c>
      <c r="Q54" s="131">
        <f t="shared" si="7"/>
        <v>0</v>
      </c>
      <c r="R54" s="132">
        <f t="shared" si="8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6"/>
        <v>28</v>
      </c>
      <c r="P55" s="136" t="s">
        <v>1702</v>
      </c>
      <c r="Q55" s="31">
        <f t="shared" si="7"/>
        <v>0</v>
      </c>
      <c r="R55" s="32">
        <f t="shared" si="8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6"/>
        <v>28</v>
      </c>
      <c r="P56" s="136" t="s">
        <v>1704</v>
      </c>
      <c r="Q56" s="31">
        <f t="shared" si="7"/>
        <v>0</v>
      </c>
      <c r="R56" s="32">
        <f t="shared" si="8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6"/>
        <v>27</v>
      </c>
      <c r="P57" s="136" t="s">
        <v>1705</v>
      </c>
      <c r="Q57" s="131">
        <f t="shared" si="7"/>
        <v>1</v>
      </c>
      <c r="R57" s="132">
        <f t="shared" si="8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6"/>
        <v>28</v>
      </c>
      <c r="P58" s="136" t="s">
        <v>1709</v>
      </c>
      <c r="Q58" s="131">
        <f t="shared" si="7"/>
        <v>0</v>
      </c>
      <c r="R58" s="132">
        <f t="shared" si="8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6"/>
        <v>28</v>
      </c>
      <c r="P59" s="136" t="s">
        <v>1713</v>
      </c>
      <c r="Q59" s="31">
        <f t="shared" si="7"/>
        <v>0</v>
      </c>
      <c r="R59" s="32">
        <f t="shared" si="8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6"/>
        <v>28</v>
      </c>
      <c r="P60" s="136" t="s">
        <v>1714</v>
      </c>
      <c r="Q60" s="131">
        <f t="shared" si="7"/>
        <v>0</v>
      </c>
      <c r="R60" s="132">
        <f t="shared" si="8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6"/>
        <v>28</v>
      </c>
      <c r="P61" s="136" t="s">
        <v>1715</v>
      </c>
      <c r="Q61" s="31">
        <f t="shared" si="7"/>
        <v>0</v>
      </c>
      <c r="R61" s="32">
        <f t="shared" si="8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9">COUNTIF(S62:AT62,"")</f>
        <v>28</v>
      </c>
      <c r="P62" s="136" t="s">
        <v>1718</v>
      </c>
      <c r="Q62" s="131">
        <f t="shared" ref="Q62:Q93" si="10">COUNTIF(S62:AT62,"APAGADO")</f>
        <v>0</v>
      </c>
      <c r="R62" s="132">
        <f t="shared" ref="R62:R93" si="11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9"/>
        <v>28</v>
      </c>
      <c r="P63" s="136" t="s">
        <v>1719</v>
      </c>
      <c r="Q63" s="31">
        <f t="shared" si="10"/>
        <v>0</v>
      </c>
      <c r="R63" s="32">
        <f t="shared" si="11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9"/>
        <v>27</v>
      </c>
      <c r="P64" s="136" t="s">
        <v>1720</v>
      </c>
      <c r="Q64" s="31">
        <f t="shared" si="10"/>
        <v>1</v>
      </c>
      <c r="R64" s="32">
        <f t="shared" si="11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9"/>
        <v>28</v>
      </c>
      <c r="P65" s="136" t="s">
        <v>1721</v>
      </c>
      <c r="Q65" s="31">
        <f t="shared" si="10"/>
        <v>0</v>
      </c>
      <c r="R65" s="32">
        <f t="shared" si="11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9"/>
        <v>27</v>
      </c>
      <c r="P66" s="136" t="s">
        <v>1722</v>
      </c>
      <c r="Q66" s="31">
        <f t="shared" si="10"/>
        <v>1</v>
      </c>
      <c r="R66" s="32">
        <f t="shared" si="11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9"/>
        <v>27</v>
      </c>
      <c r="P67" s="136" t="s">
        <v>1723</v>
      </c>
      <c r="Q67" s="31">
        <f t="shared" si="10"/>
        <v>1</v>
      </c>
      <c r="R67" s="32">
        <f t="shared" si="11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9"/>
        <v>27</v>
      </c>
      <c r="P68" s="136" t="s">
        <v>1724</v>
      </c>
      <c r="Q68" s="31">
        <f t="shared" si="10"/>
        <v>1</v>
      </c>
      <c r="R68" s="32">
        <f t="shared" si="11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9"/>
        <v>28</v>
      </c>
      <c r="P69" s="136" t="s">
        <v>1725</v>
      </c>
      <c r="Q69" s="131">
        <f t="shared" si="10"/>
        <v>0</v>
      </c>
      <c r="R69" s="132">
        <f t="shared" si="11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9"/>
        <v>28</v>
      </c>
      <c r="P70" s="136" t="s">
        <v>1727</v>
      </c>
      <c r="Q70" s="131">
        <f t="shared" si="10"/>
        <v>0</v>
      </c>
      <c r="R70" s="132">
        <f t="shared" si="11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9"/>
        <v>27</v>
      </c>
      <c r="P71" s="136" t="s">
        <v>1728</v>
      </c>
      <c r="Q71" s="31">
        <f t="shared" si="10"/>
        <v>1</v>
      </c>
      <c r="R71" s="32">
        <f t="shared" si="11"/>
        <v>0.9642857142857143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9"/>
        <v>28</v>
      </c>
      <c r="P72" s="136" t="s">
        <v>1729</v>
      </c>
      <c r="Q72" s="31">
        <f t="shared" si="10"/>
        <v>0</v>
      </c>
      <c r="R72" s="32">
        <f t="shared" si="11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9"/>
        <v>28</v>
      </c>
      <c r="P73" s="136" t="s">
        <v>1648</v>
      </c>
      <c r="Q73" s="31">
        <f t="shared" si="10"/>
        <v>0</v>
      </c>
      <c r="R73" s="32">
        <f t="shared" si="11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9"/>
        <v>28</v>
      </c>
      <c r="P74" s="136" t="s">
        <v>1649</v>
      </c>
      <c r="Q74" s="31">
        <f t="shared" si="10"/>
        <v>0</v>
      </c>
      <c r="R74" s="32">
        <f t="shared" si="11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9"/>
        <v>28</v>
      </c>
      <c r="P75" s="136" t="s">
        <v>2467</v>
      </c>
      <c r="Q75" s="31">
        <f t="shared" si="10"/>
        <v>0</v>
      </c>
      <c r="R75" s="32">
        <f t="shared" si="11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9"/>
        <v>28</v>
      </c>
      <c r="P76" s="136" t="s">
        <v>1651</v>
      </c>
      <c r="Q76" s="31">
        <f t="shared" si="10"/>
        <v>0</v>
      </c>
      <c r="R76" s="32">
        <f t="shared" si="11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9"/>
        <v>19</v>
      </c>
      <c r="P77" s="136" t="s">
        <v>2420</v>
      </c>
      <c r="Q77" s="31">
        <f t="shared" si="10"/>
        <v>9</v>
      </c>
      <c r="R77" s="32">
        <f t="shared" si="11"/>
        <v>0.6785714285714286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9"/>
        <v>28</v>
      </c>
      <c r="P78" s="136" t="s">
        <v>1653</v>
      </c>
      <c r="Q78" s="31">
        <f t="shared" si="10"/>
        <v>0</v>
      </c>
      <c r="R78" s="32">
        <f t="shared" si="11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9"/>
        <v>28</v>
      </c>
      <c r="P79" s="136" t="s">
        <v>1654</v>
      </c>
      <c r="Q79" s="31">
        <f t="shared" si="10"/>
        <v>0</v>
      </c>
      <c r="R79" s="32">
        <f t="shared" si="11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9"/>
        <v>28</v>
      </c>
      <c r="P80" s="136" t="s">
        <v>1655</v>
      </c>
      <c r="Q80" s="31">
        <f t="shared" si="10"/>
        <v>0</v>
      </c>
      <c r="R80" s="32">
        <f t="shared" si="11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9"/>
        <v>28</v>
      </c>
      <c r="P81" s="136" t="s">
        <v>1656</v>
      </c>
      <c r="Q81" s="31">
        <f t="shared" si="10"/>
        <v>0</v>
      </c>
      <c r="R81" s="32">
        <f t="shared" si="11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9"/>
        <v>28</v>
      </c>
      <c r="P82" s="136" t="s">
        <v>2245</v>
      </c>
      <c r="Q82" s="131">
        <f t="shared" si="10"/>
        <v>0</v>
      </c>
      <c r="R82" s="132">
        <f t="shared" si="11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9"/>
        <v>28</v>
      </c>
      <c r="P83" s="136" t="s">
        <v>1657</v>
      </c>
      <c r="Q83" s="31">
        <f t="shared" si="10"/>
        <v>0</v>
      </c>
      <c r="R83" s="32">
        <f t="shared" si="11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9"/>
        <v>28</v>
      </c>
      <c r="P84" s="136" t="s">
        <v>1660</v>
      </c>
      <c r="Q84" s="31">
        <f t="shared" si="10"/>
        <v>0</v>
      </c>
      <c r="R84" s="32">
        <f t="shared" si="11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9"/>
        <v>28</v>
      </c>
      <c r="P85" s="136" t="s">
        <v>1661</v>
      </c>
      <c r="Q85" s="131">
        <f t="shared" si="10"/>
        <v>0</v>
      </c>
      <c r="R85" s="132">
        <f t="shared" si="11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9"/>
        <v>28</v>
      </c>
      <c r="P86" s="136" t="s">
        <v>1662</v>
      </c>
      <c r="Q86" s="31">
        <f t="shared" si="10"/>
        <v>0</v>
      </c>
      <c r="R86" s="32">
        <f t="shared" si="11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9"/>
        <v>28</v>
      </c>
      <c r="P87" s="136" t="s">
        <v>1663</v>
      </c>
      <c r="Q87" s="31">
        <f t="shared" si="10"/>
        <v>0</v>
      </c>
      <c r="R87" s="32">
        <f t="shared" si="11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9"/>
        <v>28</v>
      </c>
      <c r="P88" s="136" t="s">
        <v>1664</v>
      </c>
      <c r="Q88" s="31">
        <f t="shared" si="10"/>
        <v>0</v>
      </c>
      <c r="R88" s="32">
        <f t="shared" si="11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9"/>
        <v>28</v>
      </c>
      <c r="P89" s="136" t="s">
        <v>1665</v>
      </c>
      <c r="Q89" s="31">
        <f t="shared" si="10"/>
        <v>0</v>
      </c>
      <c r="R89" s="32">
        <f t="shared" si="11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9"/>
        <v>28</v>
      </c>
      <c r="P90" s="136" t="s">
        <v>1666</v>
      </c>
      <c r="Q90" s="131">
        <f t="shared" si="10"/>
        <v>0</v>
      </c>
      <c r="R90" s="132">
        <f t="shared" si="11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9"/>
        <v>28</v>
      </c>
      <c r="P91" s="136" t="s">
        <v>2298</v>
      </c>
      <c r="Q91" s="31">
        <f t="shared" si="10"/>
        <v>0</v>
      </c>
      <c r="R91" s="32">
        <f t="shared" si="11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9"/>
        <v>28</v>
      </c>
      <c r="P92" s="136" t="s">
        <v>1667</v>
      </c>
      <c r="Q92" s="131">
        <f t="shared" si="10"/>
        <v>0</v>
      </c>
      <c r="R92" s="132">
        <f t="shared" si="11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9"/>
        <v>28</v>
      </c>
      <c r="P93" s="136" t="s">
        <v>1668</v>
      </c>
      <c r="Q93" s="31">
        <f t="shared" si="10"/>
        <v>0</v>
      </c>
      <c r="R93" s="32">
        <f t="shared" si="11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2">COUNTIF(S94:AT94,"")</f>
        <v>28</v>
      </c>
      <c r="P94" s="136" t="s">
        <v>1669</v>
      </c>
      <c r="Q94" s="31">
        <f t="shared" ref="Q94:Q125" si="13">COUNTIF(S94:AT94,"APAGADO")</f>
        <v>0</v>
      </c>
      <c r="R94" s="32">
        <f t="shared" ref="R94:R125" si="14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2"/>
        <v>28</v>
      </c>
      <c r="P95" s="136" t="s">
        <v>1670</v>
      </c>
      <c r="Q95" s="31">
        <f t="shared" si="13"/>
        <v>0</v>
      </c>
      <c r="R95" s="32">
        <f t="shared" si="14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2"/>
        <v>28</v>
      </c>
      <c r="P96" s="136" t="s">
        <v>2384</v>
      </c>
      <c r="Q96" s="31">
        <f t="shared" si="13"/>
        <v>0</v>
      </c>
      <c r="R96" s="32">
        <f t="shared" si="14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2"/>
        <v>28</v>
      </c>
      <c r="P97" s="136" t="s">
        <v>1671</v>
      </c>
      <c r="Q97" s="31">
        <f t="shared" si="13"/>
        <v>0</v>
      </c>
      <c r="R97" s="32">
        <f t="shared" si="14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2"/>
        <v>27</v>
      </c>
      <c r="P98" s="136" t="s">
        <v>1672</v>
      </c>
      <c r="Q98" s="31">
        <f t="shared" si="13"/>
        <v>1</v>
      </c>
      <c r="R98" s="32">
        <f t="shared" si="14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2"/>
        <v>28</v>
      </c>
      <c r="P99" s="136" t="s">
        <v>1673</v>
      </c>
      <c r="Q99" s="31">
        <f t="shared" si="13"/>
        <v>0</v>
      </c>
      <c r="R99" s="32">
        <f t="shared" si="14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2"/>
        <v>28</v>
      </c>
      <c r="P100" s="136" t="s">
        <v>1674</v>
      </c>
      <c r="Q100" s="31">
        <f t="shared" si="13"/>
        <v>0</v>
      </c>
      <c r="R100" s="32">
        <f t="shared" si="14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2"/>
        <v>27</v>
      </c>
      <c r="P101" s="136" t="s">
        <v>1675</v>
      </c>
      <c r="Q101" s="31">
        <f t="shared" si="13"/>
        <v>1</v>
      </c>
      <c r="R101" s="32">
        <f t="shared" si="14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2"/>
        <v>28</v>
      </c>
      <c r="P102" s="136" t="s">
        <v>1676</v>
      </c>
      <c r="Q102" s="31">
        <f t="shared" si="13"/>
        <v>0</v>
      </c>
      <c r="R102" s="32">
        <f t="shared" si="14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2"/>
        <v>28</v>
      </c>
      <c r="P103" s="136" t="s">
        <v>1677</v>
      </c>
      <c r="Q103" s="31">
        <f t="shared" si="13"/>
        <v>0</v>
      </c>
      <c r="R103" s="32">
        <f t="shared" si="14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2"/>
        <v>27</v>
      </c>
      <c r="P104" s="136" t="s">
        <v>1678</v>
      </c>
      <c r="Q104" s="31">
        <f t="shared" si="13"/>
        <v>1</v>
      </c>
      <c r="R104" s="32">
        <f t="shared" si="14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2"/>
        <v>27</v>
      </c>
      <c r="P105" s="136" t="s">
        <v>1679</v>
      </c>
      <c r="Q105" s="31">
        <f t="shared" si="13"/>
        <v>1</v>
      </c>
      <c r="R105" s="32">
        <f t="shared" si="14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2"/>
        <v>28</v>
      </c>
      <c r="P106" s="136" t="s">
        <v>1680</v>
      </c>
      <c r="Q106" s="31">
        <f t="shared" si="13"/>
        <v>0</v>
      </c>
      <c r="R106" s="32">
        <f t="shared" si="14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2"/>
        <v>28</v>
      </c>
      <c r="P107" s="136" t="s">
        <v>1682</v>
      </c>
      <c r="Q107" s="31">
        <f t="shared" si="13"/>
        <v>0</v>
      </c>
      <c r="R107" s="32">
        <f t="shared" si="14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2"/>
        <v>27</v>
      </c>
      <c r="P108" s="136" t="s">
        <v>1683</v>
      </c>
      <c r="Q108" s="31">
        <f t="shared" si="13"/>
        <v>1</v>
      </c>
      <c r="R108" s="32">
        <f t="shared" si="14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2"/>
        <v>28</v>
      </c>
      <c r="P109" s="136" t="s">
        <v>1684</v>
      </c>
      <c r="Q109" s="31">
        <f t="shared" si="13"/>
        <v>0</v>
      </c>
      <c r="R109" s="32">
        <f t="shared" si="14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2"/>
        <v>23</v>
      </c>
      <c r="P110" s="136" t="s">
        <v>1685</v>
      </c>
      <c r="Q110" s="31">
        <f t="shared" si="13"/>
        <v>5</v>
      </c>
      <c r="R110" s="32">
        <f t="shared" si="14"/>
        <v>0.8214285714285714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2"/>
        <v>23</v>
      </c>
      <c r="P111" s="136" t="s">
        <v>1686</v>
      </c>
      <c r="Q111" s="131">
        <f t="shared" si="13"/>
        <v>5</v>
      </c>
      <c r="R111" s="132">
        <f t="shared" si="14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2"/>
        <v>28</v>
      </c>
      <c r="P112" s="136" t="s">
        <v>1687</v>
      </c>
      <c r="Q112" s="31">
        <f t="shared" si="13"/>
        <v>0</v>
      </c>
      <c r="R112" s="32">
        <f t="shared" si="14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2"/>
        <v>28</v>
      </c>
      <c r="P113" s="136" t="s">
        <v>1688</v>
      </c>
      <c r="Q113" s="31">
        <f t="shared" si="13"/>
        <v>0</v>
      </c>
      <c r="R113" s="32">
        <f t="shared" si="14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2"/>
        <v>28</v>
      </c>
      <c r="P114" s="136" t="s">
        <v>1689</v>
      </c>
      <c r="Q114" s="31">
        <f t="shared" si="13"/>
        <v>0</v>
      </c>
      <c r="R114" s="32">
        <f t="shared" si="14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2"/>
        <v>28</v>
      </c>
      <c r="P115" s="136" t="s">
        <v>1690</v>
      </c>
      <c r="Q115" s="31">
        <f t="shared" si="13"/>
        <v>0</v>
      </c>
      <c r="R115" s="32">
        <f t="shared" si="14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2"/>
        <v>28</v>
      </c>
      <c r="P116" s="136" t="s">
        <v>1691</v>
      </c>
      <c r="Q116" s="31">
        <f t="shared" si="13"/>
        <v>0</v>
      </c>
      <c r="R116" s="32">
        <f t="shared" si="14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2"/>
        <v>28</v>
      </c>
      <c r="P117" s="136" t="s">
        <v>1692</v>
      </c>
      <c r="Q117" s="131">
        <f t="shared" si="13"/>
        <v>0</v>
      </c>
      <c r="R117" s="132">
        <f t="shared" si="14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2"/>
        <v>27</v>
      </c>
      <c r="P118" s="136" t="s">
        <v>1693</v>
      </c>
      <c r="Q118" s="31">
        <f t="shared" si="13"/>
        <v>1</v>
      </c>
      <c r="R118" s="32">
        <f t="shared" si="14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2"/>
        <v>28</v>
      </c>
      <c r="P119" s="136" t="s">
        <v>1696</v>
      </c>
      <c r="Q119" s="131">
        <f t="shared" si="13"/>
        <v>0</v>
      </c>
      <c r="R119" s="132">
        <f t="shared" si="14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2"/>
        <v>28</v>
      </c>
      <c r="P120" s="136" t="s">
        <v>1703</v>
      </c>
      <c r="Q120" s="131">
        <f t="shared" si="13"/>
        <v>0</v>
      </c>
      <c r="R120" s="132">
        <f t="shared" si="14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2"/>
        <v>28</v>
      </c>
      <c r="P121" s="136" t="s">
        <v>1706</v>
      </c>
      <c r="Q121" s="31">
        <f t="shared" si="13"/>
        <v>0</v>
      </c>
      <c r="R121" s="32">
        <f t="shared" si="14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2"/>
        <v>28</v>
      </c>
      <c r="P122" s="136" t="s">
        <v>1707</v>
      </c>
      <c r="Q122" s="31">
        <f t="shared" si="13"/>
        <v>0</v>
      </c>
      <c r="R122" s="32">
        <f t="shared" si="14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2"/>
        <v>28</v>
      </c>
      <c r="P123" s="136" t="s">
        <v>1708</v>
      </c>
      <c r="Q123" s="31">
        <f t="shared" si="13"/>
        <v>0</v>
      </c>
      <c r="R123" s="32">
        <f t="shared" si="14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2"/>
        <v>28</v>
      </c>
      <c r="P124" s="136" t="s">
        <v>1709</v>
      </c>
      <c r="Q124" s="131">
        <f t="shared" si="13"/>
        <v>0</v>
      </c>
      <c r="R124" s="132">
        <f t="shared" si="14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2"/>
        <v>28</v>
      </c>
      <c r="P125" s="136" t="s">
        <v>1711</v>
      </c>
      <c r="Q125" s="131">
        <f t="shared" si="13"/>
        <v>0</v>
      </c>
      <c r="R125" s="132">
        <f t="shared" si="14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5">COUNTIF(S126:AT126,"")</f>
        <v>28</v>
      </c>
      <c r="P126" s="136" t="s">
        <v>1710</v>
      </c>
      <c r="Q126" s="131">
        <f t="shared" ref="Q126:Q151" si="16">COUNTIF(S126:AT126,"APAGADO")</f>
        <v>0</v>
      </c>
      <c r="R126" s="132">
        <f t="shared" ref="R126:R151" si="17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5"/>
        <v>28</v>
      </c>
      <c r="P127" s="136" t="s">
        <v>1712</v>
      </c>
      <c r="Q127" s="31">
        <f t="shared" si="16"/>
        <v>0</v>
      </c>
      <c r="R127" s="32">
        <f t="shared" si="17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5"/>
        <v>28</v>
      </c>
      <c r="P128" s="136" t="s">
        <v>1716</v>
      </c>
      <c r="Q128" s="31">
        <f t="shared" si="16"/>
        <v>0</v>
      </c>
      <c r="R128" s="32">
        <f t="shared" si="17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5"/>
        <v>28</v>
      </c>
      <c r="P129" s="136" t="s">
        <v>1717</v>
      </c>
      <c r="Q129" s="31">
        <f t="shared" si="16"/>
        <v>0</v>
      </c>
      <c r="R129" s="32">
        <f t="shared" si="17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5"/>
        <v>28</v>
      </c>
      <c r="P130" s="136" t="s">
        <v>1726</v>
      </c>
      <c r="Q130" s="131">
        <f t="shared" si="16"/>
        <v>0</v>
      </c>
      <c r="R130" s="132">
        <f t="shared" si="17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5"/>
        <v>19</v>
      </c>
      <c r="P131" s="136" t="s">
        <v>1730</v>
      </c>
      <c r="Q131" s="131">
        <f t="shared" si="16"/>
        <v>9</v>
      </c>
      <c r="R131" s="132">
        <f t="shared" si="17"/>
        <v>0.6785714285714286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5"/>
        <v>28</v>
      </c>
      <c r="P132" s="136" t="s">
        <v>1731</v>
      </c>
      <c r="Q132" s="131">
        <f t="shared" si="16"/>
        <v>0</v>
      </c>
      <c r="R132" s="132">
        <f t="shared" si="17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5"/>
        <v>28</v>
      </c>
      <c r="P133" s="136" t="s">
        <v>1732</v>
      </c>
      <c r="Q133" s="131">
        <f t="shared" si="16"/>
        <v>0</v>
      </c>
      <c r="R133" s="132">
        <f t="shared" si="17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5"/>
        <v>28</v>
      </c>
      <c r="P134" s="136" t="s">
        <v>1733</v>
      </c>
      <c r="Q134" s="131">
        <f t="shared" si="16"/>
        <v>0</v>
      </c>
      <c r="R134" s="132">
        <f t="shared" si="17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5"/>
        <v>28</v>
      </c>
      <c r="P135" s="136" t="s">
        <v>1734</v>
      </c>
      <c r="Q135" s="131">
        <f t="shared" si="16"/>
        <v>0</v>
      </c>
      <c r="R135" s="132">
        <f t="shared" si="17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5"/>
        <v>28</v>
      </c>
      <c r="P136" s="136" t="s">
        <v>1735</v>
      </c>
      <c r="Q136" s="131">
        <f t="shared" si="16"/>
        <v>0</v>
      </c>
      <c r="R136" s="132">
        <f t="shared" si="17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5"/>
        <v>28</v>
      </c>
      <c r="P137" s="136" t="s">
        <v>1736</v>
      </c>
      <c r="Q137" s="131">
        <f t="shared" si="16"/>
        <v>0</v>
      </c>
      <c r="R137" s="132">
        <f t="shared" si="17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5"/>
        <v>28</v>
      </c>
      <c r="P138" s="136" t="s">
        <v>2135</v>
      </c>
      <c r="Q138" s="131">
        <f t="shared" si="16"/>
        <v>0</v>
      </c>
      <c r="R138" s="132">
        <f t="shared" si="17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5"/>
        <v>28</v>
      </c>
      <c r="P139" s="136" t="s">
        <v>1737</v>
      </c>
      <c r="Q139" s="131">
        <f t="shared" si="16"/>
        <v>0</v>
      </c>
      <c r="R139" s="132">
        <f t="shared" si="17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5"/>
        <v>28</v>
      </c>
      <c r="P140" s="136" t="s">
        <v>1738</v>
      </c>
      <c r="Q140" s="131">
        <f t="shared" si="16"/>
        <v>0</v>
      </c>
      <c r="R140" s="132">
        <f t="shared" si="17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5"/>
        <v>28</v>
      </c>
      <c r="P141" s="136" t="s">
        <v>2137</v>
      </c>
      <c r="Q141" s="131">
        <f t="shared" si="16"/>
        <v>0</v>
      </c>
      <c r="R141" s="132">
        <f t="shared" si="17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5"/>
        <v>28</v>
      </c>
      <c r="P142" s="136" t="s">
        <v>2162</v>
      </c>
      <c r="Q142" s="131">
        <f t="shared" si="16"/>
        <v>0</v>
      </c>
      <c r="R142" s="132">
        <f t="shared" si="17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5"/>
        <v>28</v>
      </c>
      <c r="P143" s="136" t="s">
        <v>2192</v>
      </c>
      <c r="Q143" s="131">
        <f t="shared" si="16"/>
        <v>0</v>
      </c>
      <c r="R143" s="132">
        <f t="shared" si="17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5"/>
        <v>28</v>
      </c>
      <c r="P144" s="136" t="s">
        <v>1739</v>
      </c>
      <c r="Q144" s="31">
        <f t="shared" si="16"/>
        <v>0</v>
      </c>
      <c r="R144" s="32">
        <f t="shared" si="17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5"/>
        <v>27</v>
      </c>
      <c r="P145" s="136"/>
      <c r="Q145" s="31">
        <f t="shared" si="16"/>
        <v>1</v>
      </c>
      <c r="R145" s="32">
        <f t="shared" si="17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5"/>
        <v>27</v>
      </c>
      <c r="P146" s="136" t="s">
        <v>1740</v>
      </c>
      <c r="Q146" s="31">
        <f t="shared" si="16"/>
        <v>1</v>
      </c>
      <c r="R146" s="32">
        <f t="shared" si="17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5"/>
        <v>28</v>
      </c>
      <c r="P147" s="136" t="s">
        <v>1741</v>
      </c>
      <c r="Q147" s="31">
        <f t="shared" si="16"/>
        <v>0</v>
      </c>
      <c r="R147" s="32">
        <f t="shared" si="17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5"/>
        <v>26</v>
      </c>
      <c r="P148" s="136" t="s">
        <v>1742</v>
      </c>
      <c r="Q148" s="31">
        <f t="shared" si="16"/>
        <v>2</v>
      </c>
      <c r="R148" s="32">
        <f t="shared" si="17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5"/>
        <v>21</v>
      </c>
      <c r="P149" s="136" t="s">
        <v>1743</v>
      </c>
      <c r="Q149" s="31">
        <f t="shared" si="16"/>
        <v>7</v>
      </c>
      <c r="R149" s="32">
        <f t="shared" si="17"/>
        <v>0.75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5"/>
        <v>21</v>
      </c>
      <c r="P150" s="136" t="s">
        <v>1742</v>
      </c>
      <c r="Q150" s="31">
        <f t="shared" si="16"/>
        <v>7</v>
      </c>
      <c r="R150" s="32">
        <f t="shared" si="17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5"/>
        <v>26</v>
      </c>
      <c r="P151" s="136" t="s">
        <v>1744</v>
      </c>
      <c r="Q151" s="31">
        <f t="shared" si="16"/>
        <v>2</v>
      </c>
      <c r="R151" s="32">
        <f t="shared" si="17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8">COUNTIF(S153:AT153,"")</f>
        <v>28</v>
      </c>
      <c r="P153" s="136" t="s">
        <v>2107</v>
      </c>
      <c r="Q153" s="131">
        <f t="shared" ref="Q153:Q186" si="19">COUNTIF(S153:AT153,"APAGADO")</f>
        <v>0</v>
      </c>
      <c r="R153" s="132">
        <f t="shared" ref="R153:R186" si="20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8"/>
        <v>28</v>
      </c>
      <c r="P154" s="136" t="s">
        <v>1748</v>
      </c>
      <c r="Q154" s="31">
        <f t="shared" si="19"/>
        <v>0</v>
      </c>
      <c r="R154" s="32">
        <f t="shared" si="20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8"/>
        <v>28</v>
      </c>
      <c r="P155" s="136" t="s">
        <v>2303</v>
      </c>
      <c r="Q155" s="31">
        <f t="shared" si="19"/>
        <v>0</v>
      </c>
      <c r="R155" s="32">
        <f t="shared" si="20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8"/>
        <v>28</v>
      </c>
      <c r="P156" s="136" t="s">
        <v>2304</v>
      </c>
      <c r="Q156" s="31">
        <f t="shared" si="19"/>
        <v>0</v>
      </c>
      <c r="R156" s="32">
        <f t="shared" si="20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8"/>
        <v>28</v>
      </c>
      <c r="P158" s="136" t="s">
        <v>1747</v>
      </c>
      <c r="Q158" s="31">
        <f t="shared" si="19"/>
        <v>0</v>
      </c>
      <c r="R158" s="32">
        <f t="shared" si="20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8"/>
        <v>28</v>
      </c>
      <c r="P159" s="136" t="s">
        <v>1745</v>
      </c>
      <c r="Q159" s="31">
        <f t="shared" si="19"/>
        <v>0</v>
      </c>
      <c r="R159" s="32">
        <f t="shared" si="20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8"/>
        <v>28</v>
      </c>
      <c r="P160" s="136" t="s">
        <v>1746</v>
      </c>
      <c r="Q160" s="31">
        <f t="shared" si="19"/>
        <v>0</v>
      </c>
      <c r="R160" s="32">
        <f t="shared" si="20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8"/>
        <v>28</v>
      </c>
      <c r="P161" s="136" t="s">
        <v>2301</v>
      </c>
      <c r="Q161" s="31">
        <f t="shared" si="19"/>
        <v>0</v>
      </c>
      <c r="R161" s="32">
        <f t="shared" si="20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8"/>
        <v>28</v>
      </c>
      <c r="P162" s="136" t="s">
        <v>2302</v>
      </c>
      <c r="Q162" s="31">
        <f t="shared" si="19"/>
        <v>0</v>
      </c>
      <c r="R162" s="32">
        <f t="shared" si="20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8"/>
        <v>28</v>
      </c>
      <c r="P163" s="136" t="s">
        <v>2300</v>
      </c>
      <c r="Q163" s="85">
        <f t="shared" si="19"/>
        <v>0</v>
      </c>
      <c r="R163" s="130">
        <f t="shared" si="20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8"/>
        <v>27</v>
      </c>
      <c r="P164" s="136" t="s">
        <v>1750</v>
      </c>
      <c r="Q164" s="131">
        <f t="shared" si="19"/>
        <v>1</v>
      </c>
      <c r="R164" s="132">
        <f t="shared" si="20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8"/>
        <v>28</v>
      </c>
      <c r="P165" s="136" t="s">
        <v>2305</v>
      </c>
      <c r="Q165" s="131">
        <f t="shared" si="19"/>
        <v>0</v>
      </c>
      <c r="R165" s="132">
        <f t="shared" si="20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8"/>
        <v>27</v>
      </c>
      <c r="P166" s="136" t="s">
        <v>1749</v>
      </c>
      <c r="Q166" s="131">
        <f t="shared" si="19"/>
        <v>1</v>
      </c>
      <c r="R166" s="132">
        <f t="shared" si="20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8"/>
        <v>23</v>
      </c>
      <c r="P167" s="136" t="s">
        <v>1751</v>
      </c>
      <c r="Q167" s="31">
        <f t="shared" si="19"/>
        <v>5</v>
      </c>
      <c r="R167" s="32">
        <f t="shared" si="20"/>
        <v>0.8214285714285714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8"/>
        <v>26</v>
      </c>
      <c r="P168" s="136" t="s">
        <v>1752</v>
      </c>
      <c r="Q168" s="31">
        <f t="shared" si="19"/>
        <v>2</v>
      </c>
      <c r="R168" s="32">
        <f t="shared" si="20"/>
        <v>0.9285714285714286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8"/>
        <v>26</v>
      </c>
      <c r="P169" s="136" t="s">
        <v>1753</v>
      </c>
      <c r="Q169" s="31">
        <f t="shared" si="19"/>
        <v>2</v>
      </c>
      <c r="R169" s="32">
        <f t="shared" si="20"/>
        <v>0.9285714285714286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8"/>
        <v>26</v>
      </c>
      <c r="P170" s="136" t="s">
        <v>1754</v>
      </c>
      <c r="Q170" s="31">
        <f t="shared" si="19"/>
        <v>2</v>
      </c>
      <c r="R170" s="32">
        <f t="shared" si="20"/>
        <v>0.9285714285714286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8"/>
        <v>26</v>
      </c>
      <c r="P171" s="136" t="s">
        <v>1755</v>
      </c>
      <c r="Q171" s="31">
        <f t="shared" si="19"/>
        <v>2</v>
      </c>
      <c r="R171" s="32">
        <f t="shared" si="20"/>
        <v>0.9285714285714286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8"/>
        <v>19</v>
      </c>
      <c r="P172" s="140" t="s">
        <v>1756</v>
      </c>
      <c r="Q172" s="139">
        <f t="shared" si="19"/>
        <v>9</v>
      </c>
      <c r="R172" s="141">
        <f t="shared" si="20"/>
        <v>0.6785714285714286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138"/>
    </row>
    <row r="173" spans="1:49" ht="15.75" thickBot="1" x14ac:dyDescent="0.3">
      <c r="A173"/>
      <c r="B173"/>
      <c r="C173"/>
      <c r="D173"/>
      <c r="E173"/>
      <c r="F173" t="s">
        <v>178</v>
      </c>
      <c r="G173" t="s">
        <v>180</v>
      </c>
      <c r="H173" t="s">
        <v>1039</v>
      </c>
      <c r="I173" t="s">
        <v>925</v>
      </c>
      <c r="J173" s="30" t="s">
        <v>45</v>
      </c>
      <c r="K173" s="30" t="s">
        <v>19</v>
      </c>
      <c r="L173" s="30"/>
      <c r="M173" s="30" t="s">
        <v>681</v>
      </c>
      <c r="N173" s="30"/>
      <c r="O173" s="31">
        <f t="shared" si="18"/>
        <v>28</v>
      </c>
      <c r="P173" s="136" t="s">
        <v>2368</v>
      </c>
      <c r="Q173" s="31">
        <f t="shared" si="19"/>
        <v>0</v>
      </c>
      <c r="R173" s="32">
        <f t="shared" si="20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3"/>
    </row>
    <row r="174" spans="1:49" ht="15.75" thickBot="1" x14ac:dyDescent="0.3">
      <c r="A174"/>
      <c r="B174"/>
      <c r="C174"/>
      <c r="D174"/>
      <c r="E174" s="150" t="s">
        <v>2440</v>
      </c>
      <c r="F174" t="s">
        <v>178</v>
      </c>
      <c r="G174" s="30" t="s">
        <v>1143</v>
      </c>
      <c r="H174" s="30" t="s">
        <v>1039</v>
      </c>
      <c r="I174" t="s">
        <v>1126</v>
      </c>
      <c r="J174" s="30" t="s">
        <v>1089</v>
      </c>
      <c r="K174" s="30" t="s">
        <v>2360</v>
      </c>
      <c r="L174" s="30"/>
      <c r="M174" s="30" t="s">
        <v>1127</v>
      </c>
      <c r="N174" s="30"/>
      <c r="O174" s="31">
        <f t="shared" si="18"/>
        <v>26</v>
      </c>
      <c r="P174" s="136" t="s">
        <v>1768</v>
      </c>
      <c r="Q174" s="31">
        <f t="shared" si="19"/>
        <v>2</v>
      </c>
      <c r="R174" s="32">
        <f t="shared" si="20"/>
        <v>0.9285714285714286</v>
      </c>
      <c r="S174" s="70" t="s">
        <v>2214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</row>
    <row r="175" spans="1:49" s="69" customFormat="1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1142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1128</v>
      </c>
      <c r="N175" s="30"/>
      <c r="O175" s="31">
        <f t="shared" si="18"/>
        <v>26</v>
      </c>
      <c r="P175" s="136" t="s">
        <v>2439</v>
      </c>
      <c r="Q175" s="31">
        <f t="shared" si="19"/>
        <v>2</v>
      </c>
      <c r="R175" s="32">
        <f t="shared" si="20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/>
    </row>
    <row r="176" spans="1:49" s="69" customFormat="1" ht="15.75" thickBot="1" x14ac:dyDescent="0.3">
      <c r="A176"/>
      <c r="B176"/>
      <c r="C176"/>
      <c r="D176"/>
      <c r="E176" s="69" t="s">
        <v>2340</v>
      </c>
      <c r="F176"/>
      <c r="G176" s="30" t="s">
        <v>2469</v>
      </c>
      <c r="H176" s="30" t="s">
        <v>1039</v>
      </c>
      <c r="I176" t="s">
        <v>2471</v>
      </c>
      <c r="J176" s="30" t="s">
        <v>45</v>
      </c>
      <c r="K176" s="30" t="s">
        <v>27</v>
      </c>
      <c r="L176" s="30"/>
      <c r="M176" s="30" t="s">
        <v>2470</v>
      </c>
      <c r="N176" s="30"/>
      <c r="O176" s="31"/>
      <c r="P176" s="136"/>
      <c r="Q176" s="31"/>
      <c r="R176" s="32"/>
      <c r="S176" s="70"/>
      <c r="T176" s="70" t="s">
        <v>2214</v>
      </c>
      <c r="U176" s="70" t="s">
        <v>2214</v>
      </c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8"/>
        <v>27</v>
      </c>
      <c r="P177" s="136" t="s">
        <v>1769</v>
      </c>
      <c r="Q177" s="31">
        <f t="shared" si="19"/>
        <v>1</v>
      </c>
      <c r="R177" s="32">
        <f t="shared" si="20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8"/>
        <v>27</v>
      </c>
      <c r="P178" s="136" t="s">
        <v>1770</v>
      </c>
      <c r="Q178" s="31">
        <f t="shared" si="19"/>
        <v>1</v>
      </c>
      <c r="R178" s="32">
        <f t="shared" si="20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8"/>
        <v>27</v>
      </c>
      <c r="P179" s="136" t="s">
        <v>2369</v>
      </c>
      <c r="Q179" s="31">
        <f t="shared" si="19"/>
        <v>1</v>
      </c>
      <c r="R179" s="32">
        <f t="shared" si="20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8"/>
        <v>28</v>
      </c>
      <c r="P180" s="136" t="s">
        <v>1771</v>
      </c>
      <c r="Q180" s="31">
        <f t="shared" si="19"/>
        <v>0</v>
      </c>
      <c r="R180" s="32">
        <f t="shared" si="20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8"/>
        <v>28</v>
      </c>
      <c r="P181" s="136" t="s">
        <v>2370</v>
      </c>
      <c r="Q181" s="31">
        <f t="shared" si="19"/>
        <v>0</v>
      </c>
      <c r="R181" s="32">
        <f t="shared" si="20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8"/>
        <v>27</v>
      </c>
      <c r="P182" s="136" t="s">
        <v>1757</v>
      </c>
      <c r="Q182" s="31">
        <f t="shared" si="19"/>
        <v>1</v>
      </c>
      <c r="R182" s="32">
        <f t="shared" si="20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8"/>
        <v>20</v>
      </c>
      <c r="P183" s="136" t="s">
        <v>1758</v>
      </c>
      <c r="Q183" s="31">
        <f t="shared" si="19"/>
        <v>8</v>
      </c>
      <c r="R183" s="32">
        <f t="shared" si="20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8"/>
        <v>28</v>
      </c>
      <c r="P184" s="136" t="s">
        <v>1759</v>
      </c>
      <c r="Q184" s="31">
        <f t="shared" si="19"/>
        <v>0</v>
      </c>
      <c r="R184" s="32">
        <f t="shared" si="20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8"/>
        <v>27</v>
      </c>
      <c r="P185" s="136" t="s">
        <v>1760</v>
      </c>
      <c r="Q185" s="31">
        <f t="shared" si="19"/>
        <v>1</v>
      </c>
      <c r="R185" s="32">
        <f t="shared" si="20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8"/>
        <v>26</v>
      </c>
      <c r="P186" s="136" t="s">
        <v>1761</v>
      </c>
      <c r="Q186" s="31">
        <f t="shared" si="19"/>
        <v>2</v>
      </c>
      <c r="R186" s="32">
        <f t="shared" si="20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1">COUNTIF(S187:AT187,"")</f>
        <v>28</v>
      </c>
      <c r="P187" s="136" t="s">
        <v>1762</v>
      </c>
      <c r="Q187" s="131">
        <f t="shared" ref="Q187:Q207" si="22">COUNTIF(S187:AT187,"APAGADO")</f>
        <v>0</v>
      </c>
      <c r="R187" s="132">
        <f t="shared" ref="R187:R207" si="23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1"/>
        <v>27</v>
      </c>
      <c r="P188" s="136" t="s">
        <v>1763</v>
      </c>
      <c r="Q188" s="31">
        <f t="shared" si="22"/>
        <v>1</v>
      </c>
      <c r="R188" s="32">
        <f t="shared" si="23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1"/>
        <v>27</v>
      </c>
      <c r="P189" s="136" t="s">
        <v>1764</v>
      </c>
      <c r="Q189" s="31">
        <f t="shared" si="22"/>
        <v>1</v>
      </c>
      <c r="R189" s="32">
        <f t="shared" si="23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1"/>
        <v>27</v>
      </c>
      <c r="P190" s="136" t="s">
        <v>1765</v>
      </c>
      <c r="Q190" s="31">
        <f t="shared" si="22"/>
        <v>1</v>
      </c>
      <c r="R190" s="32">
        <f t="shared" si="23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1"/>
        <v>27</v>
      </c>
      <c r="P191" s="136" t="s">
        <v>1766</v>
      </c>
      <c r="Q191" s="31">
        <f t="shared" si="22"/>
        <v>1</v>
      </c>
      <c r="R191" s="32">
        <f t="shared" si="23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1"/>
        <v>27</v>
      </c>
      <c r="P192" s="136" t="s">
        <v>1767</v>
      </c>
      <c r="Q192" s="31">
        <f t="shared" si="22"/>
        <v>1</v>
      </c>
      <c r="R192" s="32">
        <f t="shared" si="23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1"/>
        <v>28</v>
      </c>
      <c r="P193" s="136" t="s">
        <v>2116</v>
      </c>
      <c r="Q193" s="31">
        <f t="shared" si="22"/>
        <v>0</v>
      </c>
      <c r="R193" s="32">
        <f t="shared" si="23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1"/>
        <v>27</v>
      </c>
      <c r="P194" s="136" t="s">
        <v>2116</v>
      </c>
      <c r="Q194" s="31">
        <f t="shared" si="22"/>
        <v>1</v>
      </c>
      <c r="R194" s="32">
        <f t="shared" si="23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1"/>
        <v>28</v>
      </c>
      <c r="P195" s="136" t="s">
        <v>1772</v>
      </c>
      <c r="Q195" s="31">
        <f t="shared" si="22"/>
        <v>0</v>
      </c>
      <c r="R195" s="32">
        <f t="shared" si="23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1"/>
        <v>26</v>
      </c>
      <c r="P196" s="136" t="s">
        <v>1773</v>
      </c>
      <c r="Q196" s="31">
        <f t="shared" si="22"/>
        <v>2</v>
      </c>
      <c r="R196" s="32">
        <f t="shared" si="23"/>
        <v>0.9285714285714286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1"/>
        <v>26</v>
      </c>
      <c r="P197" s="136" t="s">
        <v>1774</v>
      </c>
      <c r="Q197" s="31">
        <f t="shared" si="22"/>
        <v>2</v>
      </c>
      <c r="R197" s="32">
        <f t="shared" si="23"/>
        <v>0.9285714285714286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1"/>
        <v>19</v>
      </c>
      <c r="P198" s="140"/>
      <c r="Q198" s="139">
        <f t="shared" si="22"/>
        <v>9</v>
      </c>
      <c r="R198" s="141">
        <f t="shared" si="23"/>
        <v>0.6785714285714286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1"/>
        <v>28</v>
      </c>
      <c r="P199" s="136" t="s">
        <v>1780</v>
      </c>
      <c r="Q199" s="131">
        <f t="shared" si="22"/>
        <v>0</v>
      </c>
      <c r="R199" s="132">
        <f t="shared" si="23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1"/>
        <v>28</v>
      </c>
      <c r="P200" s="136" t="s">
        <v>1783</v>
      </c>
      <c r="Q200" s="131">
        <f t="shared" si="22"/>
        <v>0</v>
      </c>
      <c r="R200" s="132">
        <f t="shared" si="23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1"/>
        <v>28</v>
      </c>
      <c r="P201" s="136" t="s">
        <v>1785</v>
      </c>
      <c r="Q201" s="31">
        <f t="shared" si="22"/>
        <v>0</v>
      </c>
      <c r="R201" s="32">
        <f t="shared" si="23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1"/>
        <v>28</v>
      </c>
      <c r="P202" s="136" t="s">
        <v>1786</v>
      </c>
      <c r="Q202" s="31">
        <f t="shared" si="22"/>
        <v>0</v>
      </c>
      <c r="R202" s="32">
        <f t="shared" si="23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1"/>
        <v>28</v>
      </c>
      <c r="P203" s="136" t="s">
        <v>1787</v>
      </c>
      <c r="Q203" s="31">
        <f t="shared" si="22"/>
        <v>0</v>
      </c>
      <c r="R203" s="32">
        <f t="shared" si="23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1"/>
        <v>28</v>
      </c>
      <c r="P204" s="136" t="s">
        <v>1788</v>
      </c>
      <c r="Q204" s="31">
        <f t="shared" si="22"/>
        <v>0</v>
      </c>
      <c r="R204" s="32">
        <f t="shared" si="23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1"/>
        <v>28</v>
      </c>
      <c r="P205" s="136" t="s">
        <v>1789</v>
      </c>
      <c r="Q205" s="31">
        <f t="shared" si="22"/>
        <v>0</v>
      </c>
      <c r="R205" s="32">
        <f t="shared" si="23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1"/>
        <v>28</v>
      </c>
      <c r="P206" s="136" t="s">
        <v>1649</v>
      </c>
      <c r="Q206" s="31">
        <f t="shared" si="22"/>
        <v>0</v>
      </c>
      <c r="R206" s="32">
        <f t="shared" si="23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1"/>
        <v>28</v>
      </c>
      <c r="P207" s="136" t="s">
        <v>1790</v>
      </c>
      <c r="Q207" s="131">
        <f t="shared" si="22"/>
        <v>0</v>
      </c>
      <c r="R207" s="132">
        <f t="shared" si="23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4">COUNTIF(S209:AT209,"")</f>
        <v>27</v>
      </c>
      <c r="P209" s="136" t="s">
        <v>1775</v>
      </c>
      <c r="Q209" s="131">
        <f t="shared" ref="Q209:Q240" si="25">COUNTIF(S209:AT209,"APAGADO")</f>
        <v>1</v>
      </c>
      <c r="R209" s="132">
        <f t="shared" ref="R209:R240" si="26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4"/>
        <v>19</v>
      </c>
      <c r="P210" s="136" t="s">
        <v>1776</v>
      </c>
      <c r="Q210" s="131">
        <f t="shared" si="25"/>
        <v>9</v>
      </c>
      <c r="R210" s="132">
        <f t="shared" si="26"/>
        <v>0.6785714285714286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4"/>
        <v>28</v>
      </c>
      <c r="P211" s="136" t="s">
        <v>1777</v>
      </c>
      <c r="Q211" s="31">
        <f t="shared" si="25"/>
        <v>0</v>
      </c>
      <c r="R211" s="32">
        <f t="shared" si="26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4"/>
        <v>25</v>
      </c>
      <c r="P212" s="136" t="s">
        <v>1778</v>
      </c>
      <c r="Q212" s="31">
        <f t="shared" si="25"/>
        <v>3</v>
      </c>
      <c r="R212" s="32">
        <f t="shared" si="26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4"/>
        <v>25</v>
      </c>
      <c r="P213" s="136" t="s">
        <v>1779</v>
      </c>
      <c r="Q213" s="31">
        <f t="shared" si="25"/>
        <v>3</v>
      </c>
      <c r="R213" s="32">
        <f t="shared" si="26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4"/>
        <v>28</v>
      </c>
      <c r="P214" s="136" t="s">
        <v>2371</v>
      </c>
      <c r="Q214" s="31">
        <f t="shared" si="25"/>
        <v>0</v>
      </c>
      <c r="R214" s="32">
        <f t="shared" si="26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4"/>
        <v>20</v>
      </c>
      <c r="P215" s="136" t="s">
        <v>1781</v>
      </c>
      <c r="Q215" s="31">
        <f t="shared" si="25"/>
        <v>8</v>
      </c>
      <c r="R215" s="32">
        <f t="shared" si="26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4"/>
        <v>28</v>
      </c>
      <c r="P216" s="136" t="s">
        <v>1782</v>
      </c>
      <c r="Q216" s="31">
        <f t="shared" si="25"/>
        <v>0</v>
      </c>
      <c r="R216" s="32">
        <f t="shared" si="26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4"/>
        <v>28</v>
      </c>
      <c r="P217" s="136" t="s">
        <v>1784</v>
      </c>
      <c r="Q217" s="31">
        <f t="shared" si="25"/>
        <v>0</v>
      </c>
      <c r="R217" s="32">
        <f t="shared" si="26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4"/>
        <v>28</v>
      </c>
      <c r="P218" s="136" t="s">
        <v>1791</v>
      </c>
      <c r="Q218" s="131">
        <f t="shared" si="25"/>
        <v>0</v>
      </c>
      <c r="R218" s="132">
        <f t="shared" si="26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4"/>
        <v>28</v>
      </c>
      <c r="P219" s="136" t="s">
        <v>2151</v>
      </c>
      <c r="Q219" s="131">
        <f t="shared" si="25"/>
        <v>0</v>
      </c>
      <c r="R219" s="132">
        <f t="shared" si="26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4"/>
        <v>19</v>
      </c>
      <c r="P220" s="136" t="s">
        <v>1792</v>
      </c>
      <c r="Q220" s="31">
        <f t="shared" si="25"/>
        <v>9</v>
      </c>
      <c r="R220" s="32">
        <f t="shared" si="26"/>
        <v>0.6785714285714286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4"/>
        <v>27</v>
      </c>
      <c r="P221" s="136" t="s">
        <v>1793</v>
      </c>
      <c r="Q221" s="131">
        <f t="shared" si="25"/>
        <v>1</v>
      </c>
      <c r="R221" s="132">
        <f t="shared" si="26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4"/>
        <v>28</v>
      </c>
      <c r="P222" s="136" t="s">
        <v>1794</v>
      </c>
      <c r="Q222" s="131">
        <f t="shared" si="25"/>
        <v>0</v>
      </c>
      <c r="R222" s="132">
        <f t="shared" si="26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4"/>
        <v>28</v>
      </c>
      <c r="P223" s="136" t="s">
        <v>1795</v>
      </c>
      <c r="Q223" s="131">
        <f t="shared" si="25"/>
        <v>0</v>
      </c>
      <c r="R223" s="132">
        <f t="shared" si="26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4"/>
        <v>28</v>
      </c>
      <c r="P224" s="136" t="s">
        <v>2205</v>
      </c>
      <c r="Q224" s="131">
        <f t="shared" si="25"/>
        <v>0</v>
      </c>
      <c r="R224" s="132">
        <f t="shared" si="26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4"/>
        <v>28</v>
      </c>
      <c r="P225" s="136" t="s">
        <v>2372</v>
      </c>
      <c r="Q225" s="31">
        <f t="shared" si="25"/>
        <v>0</v>
      </c>
      <c r="R225" s="32">
        <f t="shared" si="26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4"/>
        <v>28</v>
      </c>
      <c r="P226" s="136" t="s">
        <v>2373</v>
      </c>
      <c r="Q226" s="31">
        <f t="shared" si="25"/>
        <v>0</v>
      </c>
      <c r="R226" s="32">
        <f t="shared" si="26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4"/>
        <v>27</v>
      </c>
      <c r="P227" s="136" t="s">
        <v>1796</v>
      </c>
      <c r="Q227" s="31">
        <f t="shared" si="25"/>
        <v>1</v>
      </c>
      <c r="R227" s="32">
        <f t="shared" si="26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4"/>
        <v>28</v>
      </c>
      <c r="P228" s="136" t="s">
        <v>1797</v>
      </c>
      <c r="Q228" s="131">
        <f t="shared" si="25"/>
        <v>0</v>
      </c>
      <c r="R228" s="132">
        <f t="shared" si="26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4"/>
        <v>28</v>
      </c>
      <c r="P229" s="136" t="s">
        <v>1798</v>
      </c>
      <c r="Q229" s="31">
        <f t="shared" si="25"/>
        <v>0</v>
      </c>
      <c r="R229" s="32">
        <f t="shared" si="26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4"/>
        <v>28</v>
      </c>
      <c r="P230" s="136" t="s">
        <v>1799</v>
      </c>
      <c r="Q230" s="31">
        <f t="shared" si="25"/>
        <v>0</v>
      </c>
      <c r="R230" s="32">
        <f t="shared" si="26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4"/>
        <v>28</v>
      </c>
      <c r="P231" s="136" t="s">
        <v>1800</v>
      </c>
      <c r="Q231" s="131">
        <f t="shared" si="25"/>
        <v>0</v>
      </c>
      <c r="R231" s="132">
        <f t="shared" si="26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4"/>
        <v>28</v>
      </c>
      <c r="P232" s="136" t="s">
        <v>1801</v>
      </c>
      <c r="Q232" s="131">
        <f t="shared" si="25"/>
        <v>0</v>
      </c>
      <c r="R232" s="132">
        <f t="shared" si="26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4"/>
        <v>28</v>
      </c>
      <c r="P233" s="136" t="s">
        <v>2421</v>
      </c>
      <c r="Q233" s="131">
        <f t="shared" si="25"/>
        <v>0</v>
      </c>
      <c r="R233" s="132">
        <f t="shared" si="26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4"/>
        <v>28</v>
      </c>
      <c r="P234" s="136" t="s">
        <v>2218</v>
      </c>
      <c r="Q234" s="131">
        <f t="shared" si="25"/>
        <v>0</v>
      </c>
      <c r="R234" s="132">
        <f t="shared" si="26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4"/>
        <v>28</v>
      </c>
      <c r="P235" s="136" t="s">
        <v>1802</v>
      </c>
      <c r="Q235" s="131">
        <f t="shared" si="25"/>
        <v>0</v>
      </c>
      <c r="R235" s="132">
        <f t="shared" si="26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4"/>
        <v>28</v>
      </c>
      <c r="P236" s="136" t="s">
        <v>2473</v>
      </c>
      <c r="Q236" s="131">
        <f t="shared" si="25"/>
        <v>0</v>
      </c>
      <c r="R236" s="132">
        <f t="shared" si="26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4"/>
        <v>28</v>
      </c>
      <c r="P237" s="136" t="s">
        <v>1803</v>
      </c>
      <c r="Q237" s="131">
        <f t="shared" si="25"/>
        <v>0</v>
      </c>
      <c r="R237" s="132">
        <f t="shared" si="26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4"/>
        <v>28</v>
      </c>
      <c r="P238" s="136" t="s">
        <v>2212</v>
      </c>
      <c r="Q238" s="131">
        <f t="shared" si="25"/>
        <v>0</v>
      </c>
      <c r="R238" s="132">
        <f t="shared" si="26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4"/>
        <v>28</v>
      </c>
      <c r="P239" s="136" t="s">
        <v>1804</v>
      </c>
      <c r="Q239" s="31">
        <f t="shared" si="25"/>
        <v>0</v>
      </c>
      <c r="R239" s="32">
        <f t="shared" si="26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4"/>
        <v>28</v>
      </c>
      <c r="P240" s="136" t="s">
        <v>1805</v>
      </c>
      <c r="Q240" s="31">
        <f t="shared" si="25"/>
        <v>0</v>
      </c>
      <c r="R240" s="32">
        <f t="shared" si="26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7">COUNTIF(S241:AT241,"")</f>
        <v>28</v>
      </c>
      <c r="P241" s="136" t="s">
        <v>1806</v>
      </c>
      <c r="Q241" s="31">
        <f t="shared" ref="Q241:Q264" si="28">COUNTIF(S241:AT241,"APAGADO")</f>
        <v>0</v>
      </c>
      <c r="R241" s="32">
        <f t="shared" ref="R241:R264" si="29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7"/>
        <v>28</v>
      </c>
      <c r="P242" s="136" t="s">
        <v>1807</v>
      </c>
      <c r="Q242" s="31">
        <f t="shared" si="28"/>
        <v>0</v>
      </c>
      <c r="R242" s="32">
        <f t="shared" si="29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7"/>
        <v>28</v>
      </c>
      <c r="P243" s="136" t="s">
        <v>1808</v>
      </c>
      <c r="Q243" s="31">
        <f t="shared" si="28"/>
        <v>0</v>
      </c>
      <c r="R243" s="32">
        <f t="shared" si="29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7"/>
        <v>28</v>
      </c>
      <c r="P244" s="136" t="s">
        <v>1809</v>
      </c>
      <c r="Q244" s="31">
        <f t="shared" si="28"/>
        <v>0</v>
      </c>
      <c r="R244" s="32">
        <f t="shared" si="29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7"/>
        <v>28</v>
      </c>
      <c r="P245" s="136" t="s">
        <v>1810</v>
      </c>
      <c r="Q245" s="31">
        <f t="shared" si="28"/>
        <v>0</v>
      </c>
      <c r="R245" s="32">
        <f t="shared" si="29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7"/>
        <v>27</v>
      </c>
      <c r="P246" s="136" t="s">
        <v>1811</v>
      </c>
      <c r="Q246" s="31">
        <f t="shared" si="28"/>
        <v>1</v>
      </c>
      <c r="R246" s="32">
        <f t="shared" si="29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7"/>
        <v>28</v>
      </c>
      <c r="P247" s="136" t="s">
        <v>1812</v>
      </c>
      <c r="Q247" s="31">
        <f t="shared" si="28"/>
        <v>0</v>
      </c>
      <c r="R247" s="32">
        <f t="shared" si="29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7"/>
        <v>28</v>
      </c>
      <c r="P248" s="136" t="s">
        <v>1813</v>
      </c>
      <c r="Q248" s="31">
        <f t="shared" si="28"/>
        <v>0</v>
      </c>
      <c r="R248" s="32">
        <f t="shared" si="29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7"/>
        <v>28</v>
      </c>
      <c r="P249" s="136" t="s">
        <v>1814</v>
      </c>
      <c r="Q249" s="31">
        <f t="shared" si="28"/>
        <v>0</v>
      </c>
      <c r="R249" s="32">
        <f t="shared" si="29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7"/>
        <v>28</v>
      </c>
      <c r="P250" s="136" t="s">
        <v>1815</v>
      </c>
      <c r="Q250" s="31">
        <f t="shared" si="28"/>
        <v>0</v>
      </c>
      <c r="R250" s="32">
        <f t="shared" si="29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7"/>
        <v>28</v>
      </c>
      <c r="P251" s="136" t="s">
        <v>1816</v>
      </c>
      <c r="Q251" s="31">
        <f t="shared" si="28"/>
        <v>0</v>
      </c>
      <c r="R251" s="32">
        <f t="shared" si="29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7"/>
        <v>28</v>
      </c>
      <c r="P252" s="136" t="s">
        <v>1817</v>
      </c>
      <c r="Q252" s="31">
        <f t="shared" si="28"/>
        <v>0</v>
      </c>
      <c r="R252" s="32">
        <f t="shared" si="29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7"/>
        <v>19</v>
      </c>
      <c r="P253" s="136" t="s">
        <v>1818</v>
      </c>
      <c r="Q253" s="31">
        <f t="shared" si="28"/>
        <v>9</v>
      </c>
      <c r="R253" s="32">
        <f t="shared" si="29"/>
        <v>0.6785714285714286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7"/>
        <v>28</v>
      </c>
      <c r="P254" s="136" t="s">
        <v>2297</v>
      </c>
      <c r="Q254" s="31">
        <f t="shared" si="28"/>
        <v>0</v>
      </c>
      <c r="R254" s="32">
        <f t="shared" si="29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7"/>
        <v>22</v>
      </c>
      <c r="P255" s="136" t="s">
        <v>1775</v>
      </c>
      <c r="Q255" s="31">
        <f t="shared" si="28"/>
        <v>6</v>
      </c>
      <c r="R255" s="32">
        <f t="shared" si="29"/>
        <v>0.7857142857142857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7"/>
        <v>19</v>
      </c>
      <c r="P256" s="140" t="s">
        <v>1819</v>
      </c>
      <c r="Q256" s="139">
        <f t="shared" si="28"/>
        <v>9</v>
      </c>
      <c r="R256" s="141">
        <f t="shared" si="29"/>
        <v>0.6785714285714286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7"/>
        <v>19</v>
      </c>
      <c r="P257" s="140" t="s">
        <v>2228</v>
      </c>
      <c r="Q257" s="139">
        <f t="shared" si="28"/>
        <v>9</v>
      </c>
      <c r="R257" s="141">
        <f t="shared" si="29"/>
        <v>0.6785714285714286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7"/>
        <v>28</v>
      </c>
      <c r="P258" s="136" t="s">
        <v>2386</v>
      </c>
      <c r="Q258" s="31">
        <f t="shared" si="28"/>
        <v>0</v>
      </c>
      <c r="R258" s="32">
        <f t="shared" si="29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7"/>
        <v>28</v>
      </c>
      <c r="P259" s="136" t="s">
        <v>2387</v>
      </c>
      <c r="Q259" s="31">
        <f t="shared" si="28"/>
        <v>0</v>
      </c>
      <c r="R259" s="32">
        <f t="shared" si="29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7"/>
        <v>28</v>
      </c>
      <c r="P260" s="136" t="s">
        <v>2156</v>
      </c>
      <c r="Q260" s="131">
        <f t="shared" si="28"/>
        <v>0</v>
      </c>
      <c r="R260" s="132">
        <f t="shared" si="29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7"/>
        <v>28</v>
      </c>
      <c r="P261" s="136" t="s">
        <v>2159</v>
      </c>
      <c r="Q261" s="131">
        <f t="shared" si="28"/>
        <v>0</v>
      </c>
      <c r="R261" s="132">
        <f t="shared" si="29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7"/>
        <v>25</v>
      </c>
      <c r="P262" s="136" t="s">
        <v>2388</v>
      </c>
      <c r="Q262" s="31">
        <f t="shared" si="28"/>
        <v>3</v>
      </c>
      <c r="R262" s="32">
        <f t="shared" si="29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7"/>
        <v>27</v>
      </c>
      <c r="P263" s="136" t="s">
        <v>1820</v>
      </c>
      <c r="Q263" s="31">
        <f t="shared" si="28"/>
        <v>1</v>
      </c>
      <c r="R263" s="32">
        <f t="shared" si="29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7"/>
        <v>27</v>
      </c>
      <c r="P264" s="136" t="s">
        <v>1821</v>
      </c>
      <c r="Q264" s="31">
        <f t="shared" si="28"/>
        <v>1</v>
      </c>
      <c r="R264" s="32">
        <f t="shared" si="29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0">COUNTIF(S267:AT267,"")</f>
        <v>28</v>
      </c>
      <c r="P267" s="136" t="s">
        <v>1822</v>
      </c>
      <c r="Q267" s="131">
        <f t="shared" ref="Q267:Q333" si="31">COUNTIF(S267:AT267,"APAGADO")</f>
        <v>0</v>
      </c>
      <c r="R267" s="132">
        <f t="shared" ref="R267:R333" si="32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0"/>
        <v>28</v>
      </c>
      <c r="P268" s="136" t="s">
        <v>1823</v>
      </c>
      <c r="Q268" s="131">
        <f t="shared" si="31"/>
        <v>0</v>
      </c>
      <c r="R268" s="132">
        <f t="shared" si="32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0"/>
        <v>28</v>
      </c>
      <c r="P269" s="136" t="s">
        <v>1824</v>
      </c>
      <c r="Q269" s="31">
        <f t="shared" si="31"/>
        <v>0</v>
      </c>
      <c r="R269" s="32">
        <f t="shared" si="32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0"/>
        <v>28</v>
      </c>
      <c r="P270" s="136" t="s">
        <v>2390</v>
      </c>
      <c r="Q270" s="31">
        <f t="shared" si="31"/>
        <v>0</v>
      </c>
      <c r="R270" s="32">
        <f t="shared" si="32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0"/>
        <v>28</v>
      </c>
      <c r="P271" s="136" t="s">
        <v>1825</v>
      </c>
      <c r="Q271" s="31">
        <f t="shared" si="31"/>
        <v>0</v>
      </c>
      <c r="R271" s="32">
        <f t="shared" si="32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0"/>
        <v>28</v>
      </c>
      <c r="P272" s="136" t="s">
        <v>1826</v>
      </c>
      <c r="Q272" s="31">
        <f t="shared" si="31"/>
        <v>0</v>
      </c>
      <c r="R272" s="32">
        <f t="shared" si="32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0"/>
        <v>28</v>
      </c>
      <c r="P273" s="136" t="s">
        <v>1827</v>
      </c>
      <c r="Q273" s="131">
        <f t="shared" si="31"/>
        <v>0</v>
      </c>
      <c r="R273" s="132">
        <f t="shared" si="32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0"/>
        <v>27</v>
      </c>
      <c r="P274" s="136" t="s">
        <v>1829</v>
      </c>
      <c r="Q274" s="31">
        <f t="shared" si="31"/>
        <v>1</v>
      </c>
      <c r="R274" s="32">
        <f t="shared" si="32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0"/>
        <v>26</v>
      </c>
      <c r="P275" s="136" t="s">
        <v>1830</v>
      </c>
      <c r="Q275" s="31">
        <f t="shared" si="31"/>
        <v>2</v>
      </c>
      <c r="R275" s="32">
        <f t="shared" si="32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0"/>
        <v>26</v>
      </c>
      <c r="P276" s="136" t="s">
        <v>1832</v>
      </c>
      <c r="Q276" s="131">
        <f t="shared" si="31"/>
        <v>2</v>
      </c>
      <c r="R276" s="132">
        <f t="shared" si="32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0"/>
        <v>26</v>
      </c>
      <c r="P277" s="136" t="s">
        <v>1833</v>
      </c>
      <c r="Q277" s="31">
        <f t="shared" si="31"/>
        <v>2</v>
      </c>
      <c r="R277" s="32">
        <f t="shared" si="32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0"/>
        <v>28</v>
      </c>
      <c r="P278" s="136" t="s">
        <v>1828</v>
      </c>
      <c r="Q278" s="31">
        <f t="shared" si="31"/>
        <v>0</v>
      </c>
      <c r="R278" s="32">
        <f t="shared" si="32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0"/>
        <v>28</v>
      </c>
      <c r="P279" s="136" t="s">
        <v>1816</v>
      </c>
      <c r="Q279" s="31">
        <f t="shared" si="31"/>
        <v>0</v>
      </c>
      <c r="R279" s="32">
        <f t="shared" si="32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0"/>
        <v>26</v>
      </c>
      <c r="P280" s="136" t="s">
        <v>1831</v>
      </c>
      <c r="Q280" s="31">
        <f t="shared" si="31"/>
        <v>2</v>
      </c>
      <c r="R280" s="32">
        <f t="shared" si="32"/>
        <v>0.9285714285714286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0"/>
        <v>28</v>
      </c>
      <c r="P281" s="136" t="s">
        <v>1834</v>
      </c>
      <c r="Q281" s="31">
        <f t="shared" si="31"/>
        <v>0</v>
      </c>
      <c r="R281" s="32">
        <f t="shared" si="32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0"/>
        <v>27</v>
      </c>
      <c r="P282" s="136" t="s">
        <v>1835</v>
      </c>
      <c r="Q282" s="31">
        <f t="shared" si="31"/>
        <v>1</v>
      </c>
      <c r="R282" s="32">
        <f t="shared" si="32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0"/>
        <v>28</v>
      </c>
      <c r="P283" s="136" t="s">
        <v>1836</v>
      </c>
      <c r="Q283" s="31">
        <f t="shared" si="31"/>
        <v>0</v>
      </c>
      <c r="R283" s="32">
        <f t="shared" si="32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0"/>
        <v>27</v>
      </c>
      <c r="P284" s="136" t="s">
        <v>1837</v>
      </c>
      <c r="Q284" s="131">
        <f t="shared" si="31"/>
        <v>1</v>
      </c>
      <c r="R284" s="132">
        <f t="shared" si="32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0"/>
        <v>28</v>
      </c>
      <c r="P285" s="136" t="s">
        <v>1838</v>
      </c>
      <c r="Q285" s="131">
        <f t="shared" si="31"/>
        <v>0</v>
      </c>
      <c r="R285" s="132">
        <f t="shared" si="32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0"/>
        <v>28</v>
      </c>
      <c r="P286" s="136" t="s">
        <v>1839</v>
      </c>
      <c r="Q286" s="131">
        <f t="shared" si="31"/>
        <v>0</v>
      </c>
      <c r="R286" s="132">
        <f t="shared" si="32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0"/>
        <v>28</v>
      </c>
      <c r="P289" s="136" t="s">
        <v>1840</v>
      </c>
      <c r="Q289" s="31">
        <f t="shared" si="31"/>
        <v>0</v>
      </c>
      <c r="R289" s="32">
        <f t="shared" si="32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0"/>
        <v>28</v>
      </c>
      <c r="P290" s="136" t="s">
        <v>1846</v>
      </c>
      <c r="Q290" s="131">
        <f t="shared" si="31"/>
        <v>0</v>
      </c>
      <c r="R290" s="132">
        <f t="shared" si="32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0"/>
        <v>28</v>
      </c>
      <c r="P291" s="136" t="s">
        <v>1841</v>
      </c>
      <c r="Q291" s="131">
        <f t="shared" si="31"/>
        <v>0</v>
      </c>
      <c r="R291" s="132">
        <f t="shared" si="32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0"/>
        <v>28</v>
      </c>
      <c r="P292" s="136" t="s">
        <v>1842</v>
      </c>
      <c r="Q292" s="31">
        <f t="shared" si="31"/>
        <v>0</v>
      </c>
      <c r="R292" s="32">
        <f t="shared" si="32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0"/>
        <v>27</v>
      </c>
      <c r="P293" s="136" t="s">
        <v>1843</v>
      </c>
      <c r="Q293" s="131">
        <f t="shared" si="31"/>
        <v>1</v>
      </c>
      <c r="R293" s="132">
        <f t="shared" si="32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0"/>
        <v>27</v>
      </c>
      <c r="P294" s="136" t="s">
        <v>1844</v>
      </c>
      <c r="Q294" s="131">
        <f t="shared" si="31"/>
        <v>1</v>
      </c>
      <c r="R294" s="132">
        <f t="shared" si="32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0"/>
        <v>27</v>
      </c>
      <c r="P295" s="136" t="s">
        <v>1650</v>
      </c>
      <c r="Q295" s="31">
        <f t="shared" si="31"/>
        <v>1</v>
      </c>
      <c r="R295" s="32">
        <f t="shared" si="32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0"/>
        <v>27</v>
      </c>
      <c r="P296" s="136" t="s">
        <v>1845</v>
      </c>
      <c r="Q296" s="31">
        <f t="shared" si="31"/>
        <v>1</v>
      </c>
      <c r="R296" s="32">
        <f t="shared" si="32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0"/>
        <v>28</v>
      </c>
      <c r="P297" s="136" t="s">
        <v>1847</v>
      </c>
      <c r="Q297" s="131">
        <f t="shared" si="31"/>
        <v>0</v>
      </c>
      <c r="R297" s="132">
        <f t="shared" si="32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0"/>
        <v>28</v>
      </c>
      <c r="P298" s="136" t="s">
        <v>1848</v>
      </c>
      <c r="Q298" s="131">
        <f t="shared" si="31"/>
        <v>0</v>
      </c>
      <c r="R298" s="132">
        <f t="shared" si="32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0"/>
        <v>28</v>
      </c>
      <c r="P299" s="136" t="s">
        <v>1849</v>
      </c>
      <c r="Q299" s="131">
        <f t="shared" si="31"/>
        <v>0</v>
      </c>
      <c r="R299" s="132">
        <f t="shared" si="32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0"/>
        <v>28</v>
      </c>
      <c r="P300" s="136" t="s">
        <v>2138</v>
      </c>
      <c r="Q300" s="131">
        <f t="shared" si="31"/>
        <v>0</v>
      </c>
      <c r="R300" s="132">
        <f t="shared" si="32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0"/>
        <v>28</v>
      </c>
      <c r="P301" s="143" t="s">
        <v>1645</v>
      </c>
      <c r="Q301" s="139">
        <f t="shared" si="31"/>
        <v>0</v>
      </c>
      <c r="R301" s="141">
        <f t="shared" si="32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0"/>
        <v>19</v>
      </c>
      <c r="P302" s="136" t="s">
        <v>2106</v>
      </c>
      <c r="Q302" s="131">
        <f t="shared" si="31"/>
        <v>9</v>
      </c>
      <c r="R302" s="132">
        <f t="shared" si="32"/>
        <v>0.6785714285714286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0"/>
        <v>19</v>
      </c>
      <c r="P303" s="136" t="s">
        <v>2100</v>
      </c>
      <c r="Q303" s="131">
        <f t="shared" si="31"/>
        <v>9</v>
      </c>
      <c r="R303" s="132">
        <f t="shared" si="32"/>
        <v>0.6785714285714286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0"/>
        <v>25</v>
      </c>
      <c r="P304" s="136" t="s">
        <v>1850</v>
      </c>
      <c r="Q304" s="31">
        <f t="shared" si="31"/>
        <v>3</v>
      </c>
      <c r="R304" s="32">
        <f t="shared" si="32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0"/>
        <v>26</v>
      </c>
      <c r="P305" s="136" t="s">
        <v>1851</v>
      </c>
      <c r="Q305" s="31">
        <f t="shared" si="31"/>
        <v>2</v>
      </c>
      <c r="R305" s="32">
        <f t="shared" si="32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0"/>
        <v>26</v>
      </c>
      <c r="P306" s="136" t="s">
        <v>1852</v>
      </c>
      <c r="Q306" s="31">
        <f t="shared" si="31"/>
        <v>2</v>
      </c>
      <c r="R306" s="32">
        <f t="shared" si="32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0"/>
        <v>26</v>
      </c>
      <c r="P307" s="136" t="s">
        <v>1853</v>
      </c>
      <c r="Q307" s="31">
        <f t="shared" si="31"/>
        <v>2</v>
      </c>
      <c r="R307" s="32">
        <f t="shared" si="32"/>
        <v>0.9285714285714286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0"/>
        <v>26</v>
      </c>
      <c r="P308" s="136" t="s">
        <v>1854</v>
      </c>
      <c r="Q308" s="31">
        <f t="shared" si="31"/>
        <v>2</v>
      </c>
      <c r="R308" s="32">
        <f t="shared" si="32"/>
        <v>0.9285714285714286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0"/>
        <v>28</v>
      </c>
      <c r="P309" s="136" t="s">
        <v>1855</v>
      </c>
      <c r="Q309" s="31">
        <f t="shared" si="31"/>
        <v>0</v>
      </c>
      <c r="R309" s="32">
        <f t="shared" si="32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0"/>
        <v>27</v>
      </c>
      <c r="P310" s="136" t="s">
        <v>1856</v>
      </c>
      <c r="Q310" s="31">
        <f t="shared" si="31"/>
        <v>1</v>
      </c>
      <c r="R310" s="32">
        <f t="shared" si="32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0"/>
        <v>25</v>
      </c>
      <c r="P311" s="136" t="s">
        <v>1858</v>
      </c>
      <c r="Q311" s="31">
        <f t="shared" si="31"/>
        <v>3</v>
      </c>
      <c r="R311" s="32">
        <f t="shared" si="32"/>
        <v>0.8928571428571429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0"/>
        <v>26</v>
      </c>
      <c r="P312" s="140" t="s">
        <v>1859</v>
      </c>
      <c r="Q312" s="31">
        <f t="shared" si="31"/>
        <v>2</v>
      </c>
      <c r="R312" s="157">
        <f t="shared" si="32"/>
        <v>0.9285714285714286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0"/>
        <v>26</v>
      </c>
      <c r="P313" s="136" t="s">
        <v>1860</v>
      </c>
      <c r="Q313" s="31">
        <f t="shared" si="31"/>
        <v>2</v>
      </c>
      <c r="R313" s="32">
        <f t="shared" si="32"/>
        <v>0.9285714285714286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0"/>
        <v>26</v>
      </c>
      <c r="P314" s="136" t="s">
        <v>1863</v>
      </c>
      <c r="Q314" s="31">
        <f t="shared" si="31"/>
        <v>2</v>
      </c>
      <c r="R314" s="32">
        <f t="shared" si="32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0"/>
        <v>26</v>
      </c>
      <c r="P315" s="136" t="s">
        <v>1861</v>
      </c>
      <c r="Q315" s="31">
        <f t="shared" si="31"/>
        <v>2</v>
      </c>
      <c r="R315" s="32">
        <f t="shared" si="32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0"/>
        <v>26</v>
      </c>
      <c r="P316" s="136" t="s">
        <v>1862</v>
      </c>
      <c r="Q316" s="31">
        <f t="shared" si="31"/>
        <v>2</v>
      </c>
      <c r="R316" s="32">
        <f t="shared" si="32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0"/>
        <v>27</v>
      </c>
      <c r="P317" s="136" t="s">
        <v>1864</v>
      </c>
      <c r="Q317" s="31">
        <f t="shared" si="31"/>
        <v>1</v>
      </c>
      <c r="R317" s="32">
        <f t="shared" si="32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0"/>
        <v>27</v>
      </c>
      <c r="P318" s="136" t="s">
        <v>1867</v>
      </c>
      <c r="Q318" s="31">
        <f t="shared" si="31"/>
        <v>1</v>
      </c>
      <c r="R318" s="32">
        <f t="shared" si="32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0"/>
        <v>28</v>
      </c>
      <c r="P319" s="136" t="s">
        <v>1868</v>
      </c>
      <c r="Q319" s="31">
        <f t="shared" si="31"/>
        <v>0</v>
      </c>
      <c r="R319" s="32">
        <f t="shared" si="32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0"/>
        <v>28</v>
      </c>
      <c r="P320" s="143"/>
      <c r="Q320" s="31">
        <f t="shared" si="31"/>
        <v>0</v>
      </c>
      <c r="R320" s="157">
        <f t="shared" si="32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0"/>
        <v>19</v>
      </c>
      <c r="P322" s="136" t="s">
        <v>1870</v>
      </c>
      <c r="Q322" s="131">
        <f t="shared" si="31"/>
        <v>9</v>
      </c>
      <c r="R322" s="132">
        <f t="shared" si="32"/>
        <v>0.6785714285714286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/>
      <c r="AI322" s="70"/>
      <c r="AJ322" s="70"/>
      <c r="AK322" s="70"/>
      <c r="AL322" s="142"/>
      <c r="AM322" s="142"/>
      <c r="AN322" s="70"/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0"/>
        <v>28</v>
      </c>
      <c r="P323" s="136" t="s">
        <v>2097</v>
      </c>
      <c r="Q323" s="131">
        <f t="shared" si="31"/>
        <v>0</v>
      </c>
      <c r="R323" s="132">
        <f t="shared" si="32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0"/>
        <v>19</v>
      </c>
      <c r="P324" s="136" t="s">
        <v>2139</v>
      </c>
      <c r="Q324" s="131">
        <f t="shared" si="31"/>
        <v>9</v>
      </c>
      <c r="R324" s="132">
        <f t="shared" si="32"/>
        <v>0.6785714285714286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/>
      <c r="AI324" s="70"/>
      <c r="AJ324" s="70"/>
      <c r="AK324" s="70"/>
      <c r="AL324" s="142"/>
      <c r="AM324" s="142"/>
      <c r="AN324" s="70"/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0"/>
        <v>20</v>
      </c>
      <c r="P325" s="136" t="s">
        <v>1874</v>
      </c>
      <c r="Q325" s="31">
        <f t="shared" si="31"/>
        <v>8</v>
      </c>
      <c r="R325" s="32">
        <f t="shared" si="32"/>
        <v>0.7142857142857143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0"/>
        <v>28</v>
      </c>
      <c r="P326" s="136" t="s">
        <v>1875</v>
      </c>
      <c r="Q326" s="31">
        <f t="shared" si="31"/>
        <v>0</v>
      </c>
      <c r="R326" s="32">
        <f t="shared" si="32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0"/>
        <v>28</v>
      </c>
      <c r="P327" s="136" t="s">
        <v>1857</v>
      </c>
      <c r="Q327" s="31">
        <f t="shared" si="31"/>
        <v>0</v>
      </c>
      <c r="R327" s="32">
        <f t="shared" si="32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0"/>
        <v>27</v>
      </c>
      <c r="P328" s="136" t="s">
        <v>1865</v>
      </c>
      <c r="Q328" s="31">
        <f t="shared" si="31"/>
        <v>1</v>
      </c>
      <c r="R328" s="32">
        <f t="shared" si="32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0"/>
        <v>27</v>
      </c>
      <c r="P329" s="136" t="s">
        <v>1866</v>
      </c>
      <c r="Q329" s="31">
        <f t="shared" si="31"/>
        <v>1</v>
      </c>
      <c r="R329" s="32">
        <f t="shared" si="32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0"/>
        <v>28</v>
      </c>
      <c r="P330" s="136" t="s">
        <v>1869</v>
      </c>
      <c r="Q330" s="31">
        <f t="shared" si="31"/>
        <v>0</v>
      </c>
      <c r="R330" s="32">
        <f t="shared" si="32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0"/>
        <v>19</v>
      </c>
      <c r="P331" s="136" t="s">
        <v>1871</v>
      </c>
      <c r="Q331" s="31">
        <f t="shared" si="31"/>
        <v>9</v>
      </c>
      <c r="R331" s="32">
        <f t="shared" si="32"/>
        <v>0.6785714285714286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0"/>
        <v>19</v>
      </c>
      <c r="P332" s="136" t="s">
        <v>1872</v>
      </c>
      <c r="Q332" s="131">
        <f t="shared" si="31"/>
        <v>9</v>
      </c>
      <c r="R332" s="132">
        <f t="shared" si="32"/>
        <v>0.6785714285714286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0"/>
        <v>19</v>
      </c>
      <c r="P333" s="136" t="s">
        <v>1873</v>
      </c>
      <c r="Q333" s="131">
        <f t="shared" si="31"/>
        <v>9</v>
      </c>
      <c r="R333" s="132">
        <f t="shared" si="32"/>
        <v>0.6785714285714286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/>
      <c r="AI333" s="70"/>
      <c r="AJ333" s="70"/>
      <c r="AK333" s="70"/>
      <c r="AL333" s="142"/>
      <c r="AM333" s="142"/>
      <c r="AN333" s="70"/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3">COUNTIF(S334:AT334,"")</f>
        <v>28</v>
      </c>
      <c r="P334" s="136" t="s">
        <v>1876</v>
      </c>
      <c r="Q334" s="31">
        <f t="shared" ref="Q334:Q399" si="34">COUNTIF(S334:AT334,"APAGADO")</f>
        <v>0</v>
      </c>
      <c r="R334" s="32">
        <f t="shared" ref="R334:R399" si="35">(O334)/(Q334+O334)</f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3"/>
        <v>28</v>
      </c>
      <c r="P335" s="136" t="s">
        <v>1877</v>
      </c>
      <c r="Q335" s="31">
        <f t="shared" si="34"/>
        <v>0</v>
      </c>
      <c r="R335" s="32">
        <f t="shared" si="35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3"/>
        <v>22</v>
      </c>
      <c r="P336" s="136" t="s">
        <v>1878</v>
      </c>
      <c r="Q336" s="31">
        <f t="shared" si="34"/>
        <v>6</v>
      </c>
      <c r="R336" s="32">
        <f t="shared" si="35"/>
        <v>0.7857142857142857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3"/>
        <v>28</v>
      </c>
      <c r="P337" s="136" t="s">
        <v>1879</v>
      </c>
      <c r="Q337" s="31">
        <f t="shared" si="34"/>
        <v>0</v>
      </c>
      <c r="R337" s="32">
        <f t="shared" si="35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3"/>
        <v>27</v>
      </c>
      <c r="P338" s="136" t="s">
        <v>1880</v>
      </c>
      <c r="Q338" s="31">
        <f t="shared" si="34"/>
        <v>1</v>
      </c>
      <c r="R338" s="32">
        <f t="shared" si="35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3"/>
        <v>27</v>
      </c>
      <c r="P339" s="136" t="s">
        <v>1881</v>
      </c>
      <c r="Q339" s="31">
        <f t="shared" si="34"/>
        <v>1</v>
      </c>
      <c r="R339" s="32">
        <f t="shared" si="35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3"/>
        <v>27</v>
      </c>
      <c r="P340" s="136" t="s">
        <v>1882</v>
      </c>
      <c r="Q340" s="31">
        <f t="shared" si="34"/>
        <v>1</v>
      </c>
      <c r="R340" s="32">
        <f t="shared" si="35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3"/>
        <v>27</v>
      </c>
      <c r="P341" s="136" t="s">
        <v>1883</v>
      </c>
      <c r="Q341" s="31">
        <f t="shared" si="34"/>
        <v>1</v>
      </c>
      <c r="R341" s="32">
        <f t="shared" si="35"/>
        <v>0.9642857142857143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3"/>
        <v>23</v>
      </c>
      <c r="P342" s="136" t="s">
        <v>1884</v>
      </c>
      <c r="Q342" s="31">
        <f t="shared" si="34"/>
        <v>5</v>
      </c>
      <c r="R342" s="32">
        <f t="shared" si="35"/>
        <v>0.8214285714285714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3"/>
        <v>23</v>
      </c>
      <c r="P343" s="136" t="s">
        <v>1885</v>
      </c>
      <c r="Q343" s="31">
        <f t="shared" si="34"/>
        <v>5</v>
      </c>
      <c r="R343" s="32">
        <f t="shared" si="35"/>
        <v>0.8214285714285714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3"/>
        <v>21</v>
      </c>
      <c r="P345" s="136" t="s">
        <v>1886</v>
      </c>
      <c r="Q345" s="31">
        <f t="shared" si="34"/>
        <v>7</v>
      </c>
      <c r="R345" s="32">
        <f t="shared" si="35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3"/>
        <v>27</v>
      </c>
      <c r="P346" s="136" t="s">
        <v>1887</v>
      </c>
      <c r="Q346" s="31">
        <f t="shared" si="34"/>
        <v>1</v>
      </c>
      <c r="R346" s="32">
        <f t="shared" si="35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3"/>
        <v>27</v>
      </c>
      <c r="P347" s="136" t="s">
        <v>1888</v>
      </c>
      <c r="Q347" s="31">
        <f t="shared" si="34"/>
        <v>1</v>
      </c>
      <c r="R347" s="32">
        <f t="shared" si="35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3"/>
        <v>27</v>
      </c>
      <c r="P348" s="136" t="s">
        <v>1889</v>
      </c>
      <c r="Q348" s="31">
        <f t="shared" si="34"/>
        <v>1</v>
      </c>
      <c r="R348" s="32">
        <f t="shared" si="35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3"/>
        <v>27</v>
      </c>
      <c r="P349" s="136" t="s">
        <v>2173</v>
      </c>
      <c r="Q349" s="31">
        <f t="shared" si="34"/>
        <v>1</v>
      </c>
      <c r="R349" s="32">
        <f t="shared" si="35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3"/>
        <v>27</v>
      </c>
      <c r="P350" s="136" t="s">
        <v>2176</v>
      </c>
      <c r="Q350" s="31">
        <f t="shared" si="34"/>
        <v>1</v>
      </c>
      <c r="R350" s="32">
        <f t="shared" si="35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3"/>
        <v>27</v>
      </c>
      <c r="P351" s="136" t="s">
        <v>1894</v>
      </c>
      <c r="Q351" s="31">
        <f t="shared" si="34"/>
        <v>1</v>
      </c>
      <c r="R351" s="32">
        <f t="shared" si="35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3"/>
        <v>24</v>
      </c>
      <c r="P352" s="136" t="s">
        <v>1895</v>
      </c>
      <c r="Q352" s="31">
        <f t="shared" si="34"/>
        <v>4</v>
      </c>
      <c r="R352" s="32">
        <f t="shared" si="35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3"/>
        <v>27</v>
      </c>
      <c r="P353" s="136" t="s">
        <v>1896</v>
      </c>
      <c r="Q353" s="31">
        <f t="shared" si="34"/>
        <v>1</v>
      </c>
      <c r="R353" s="32">
        <f t="shared" si="35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3"/>
        <v>27</v>
      </c>
      <c r="P354" s="136" t="s">
        <v>1897</v>
      </c>
      <c r="Q354" s="31">
        <f t="shared" si="34"/>
        <v>1</v>
      </c>
      <c r="R354" s="32">
        <f t="shared" si="35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3"/>
        <v>24</v>
      </c>
      <c r="P355" s="136" t="s">
        <v>1898</v>
      </c>
      <c r="Q355" s="31">
        <f t="shared" si="34"/>
        <v>4</v>
      </c>
      <c r="R355" s="32">
        <f t="shared" si="35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3"/>
        <v>27</v>
      </c>
      <c r="P356" s="136" t="s">
        <v>1899</v>
      </c>
      <c r="Q356" s="31">
        <f t="shared" si="34"/>
        <v>1</v>
      </c>
      <c r="R356" s="32">
        <f t="shared" si="35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3"/>
        <v>27</v>
      </c>
      <c r="P357" s="136" t="s">
        <v>1900</v>
      </c>
      <c r="Q357" s="31">
        <f t="shared" si="34"/>
        <v>1</v>
      </c>
      <c r="R357" s="32">
        <f t="shared" si="35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3"/>
        <v>27</v>
      </c>
      <c r="P358" s="136" t="s">
        <v>1901</v>
      </c>
      <c r="Q358" s="31">
        <f t="shared" si="34"/>
        <v>1</v>
      </c>
      <c r="R358" s="32">
        <f t="shared" si="35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3"/>
        <v>27</v>
      </c>
      <c r="P359" s="136" t="s">
        <v>1902</v>
      </c>
      <c r="Q359" s="31">
        <f t="shared" si="34"/>
        <v>1</v>
      </c>
      <c r="R359" s="32">
        <f t="shared" si="35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3"/>
        <v>27</v>
      </c>
      <c r="P360" s="136"/>
      <c r="Q360" s="31">
        <f t="shared" si="34"/>
        <v>1</v>
      </c>
      <c r="R360" s="32">
        <f t="shared" si="35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3"/>
        <v>27</v>
      </c>
      <c r="P361" s="136"/>
      <c r="Q361" s="31">
        <f t="shared" si="34"/>
        <v>1</v>
      </c>
      <c r="R361" s="32">
        <f t="shared" si="35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3"/>
        <v>27</v>
      </c>
      <c r="P362" s="136" t="s">
        <v>1903</v>
      </c>
      <c r="Q362" s="31">
        <f t="shared" si="34"/>
        <v>1</v>
      </c>
      <c r="R362" s="32">
        <f t="shared" si="35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3"/>
        <v>27</v>
      </c>
      <c r="P364" s="136" t="s">
        <v>1890</v>
      </c>
      <c r="Q364" s="85">
        <f t="shared" si="34"/>
        <v>1</v>
      </c>
      <c r="R364" s="86">
        <f t="shared" si="35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3"/>
        <v>27</v>
      </c>
      <c r="P365" s="136" t="s">
        <v>1891</v>
      </c>
      <c r="Q365" s="31">
        <f t="shared" si="34"/>
        <v>1</v>
      </c>
      <c r="R365" s="32">
        <f t="shared" si="35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3"/>
        <v>27</v>
      </c>
      <c r="P366" s="136" t="s">
        <v>1892</v>
      </c>
      <c r="Q366" s="31">
        <f t="shared" si="34"/>
        <v>1</v>
      </c>
      <c r="R366" s="32">
        <f t="shared" si="35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3"/>
        <v>27</v>
      </c>
      <c r="P367" s="136" t="s">
        <v>1893</v>
      </c>
      <c r="Q367" s="31">
        <f t="shared" si="34"/>
        <v>1</v>
      </c>
      <c r="R367" s="32">
        <f t="shared" si="35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3"/>
        <v>28</v>
      </c>
      <c r="P368" s="136" t="s">
        <v>2391</v>
      </c>
      <c r="Q368" s="131">
        <f t="shared" si="34"/>
        <v>0</v>
      </c>
      <c r="R368" s="132">
        <f t="shared" si="35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3"/>
        <v>28</v>
      </c>
      <c r="P369" s="136" t="s">
        <v>2392</v>
      </c>
      <c r="Q369" s="131">
        <f t="shared" si="34"/>
        <v>0</v>
      </c>
      <c r="R369" s="132">
        <f t="shared" si="35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3"/>
        <v>26</v>
      </c>
      <c r="P370" s="136" t="s">
        <v>1905</v>
      </c>
      <c r="Q370" s="131">
        <f t="shared" si="34"/>
        <v>2</v>
      </c>
      <c r="R370" s="132">
        <f t="shared" si="35"/>
        <v>0.9285714285714286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3"/>
        <v>25</v>
      </c>
      <c r="P371" s="136" t="s">
        <v>1906</v>
      </c>
      <c r="Q371" s="131">
        <f t="shared" si="34"/>
        <v>3</v>
      </c>
      <c r="R371" s="132">
        <f t="shared" si="35"/>
        <v>0.8928571428571429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3"/>
        <v>27</v>
      </c>
      <c r="P372" s="136" t="s">
        <v>1907</v>
      </c>
      <c r="Q372" s="31">
        <f t="shared" si="34"/>
        <v>1</v>
      </c>
      <c r="R372" s="32">
        <f t="shared" si="35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3"/>
        <v>27</v>
      </c>
      <c r="P373" s="136" t="s">
        <v>1908</v>
      </c>
      <c r="Q373" s="31">
        <f t="shared" si="34"/>
        <v>1</v>
      </c>
      <c r="R373" s="32">
        <f t="shared" si="35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3"/>
        <v>28</v>
      </c>
      <c r="P374" s="136" t="s">
        <v>1909</v>
      </c>
      <c r="Q374" s="31">
        <f t="shared" si="34"/>
        <v>0</v>
      </c>
      <c r="R374" s="32">
        <f t="shared" si="35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3"/>
        <v>28</v>
      </c>
      <c r="P375" s="136" t="s">
        <v>1910</v>
      </c>
      <c r="Q375" s="31">
        <f t="shared" si="34"/>
        <v>0</v>
      </c>
      <c r="R375" s="32">
        <f t="shared" si="35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3"/>
        <v>27</v>
      </c>
      <c r="P376" s="136" t="s">
        <v>1911</v>
      </c>
      <c r="Q376" s="31">
        <f t="shared" si="34"/>
        <v>1</v>
      </c>
      <c r="R376" s="32">
        <f t="shared" si="35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3"/>
        <v>27</v>
      </c>
      <c r="P377" s="136" t="s">
        <v>1912</v>
      </c>
      <c r="Q377" s="31">
        <f t="shared" si="34"/>
        <v>1</v>
      </c>
      <c r="R377" s="32">
        <f t="shared" si="35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3"/>
        <v>28</v>
      </c>
      <c r="P378" s="136" t="s">
        <v>1913</v>
      </c>
      <c r="Q378" s="31">
        <f t="shared" si="34"/>
        <v>0</v>
      </c>
      <c r="R378" s="32">
        <f t="shared" si="35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3"/>
        <v>28</v>
      </c>
      <c r="P379" s="136" t="s">
        <v>1914</v>
      </c>
      <c r="Q379" s="31">
        <f t="shared" si="34"/>
        <v>0</v>
      </c>
      <c r="R379" s="32">
        <f t="shared" si="35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3"/>
        <v>28</v>
      </c>
      <c r="P380" s="136" t="s">
        <v>1915</v>
      </c>
      <c r="Q380" s="31">
        <f t="shared" si="34"/>
        <v>0</v>
      </c>
      <c r="R380" s="32">
        <f t="shared" si="35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3"/>
        <v>28</v>
      </c>
      <c r="P381" s="136" t="s">
        <v>1916</v>
      </c>
      <c r="Q381" s="31">
        <f t="shared" si="34"/>
        <v>0</v>
      </c>
      <c r="R381" s="32">
        <f t="shared" si="35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3"/>
        <v>28</v>
      </c>
      <c r="P382" s="136" t="s">
        <v>1917</v>
      </c>
      <c r="Q382" s="31">
        <f t="shared" si="34"/>
        <v>0</v>
      </c>
      <c r="R382" s="32">
        <f t="shared" si="35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3"/>
        <v>27</v>
      </c>
      <c r="P383" s="136" t="s">
        <v>2092</v>
      </c>
      <c r="Q383" s="31">
        <f t="shared" si="34"/>
        <v>1</v>
      </c>
      <c r="R383" s="32">
        <f t="shared" si="35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3"/>
        <v>28</v>
      </c>
      <c r="P384" s="136" t="s">
        <v>1904</v>
      </c>
      <c r="Q384" s="31">
        <f t="shared" si="34"/>
        <v>0</v>
      </c>
      <c r="R384" s="32">
        <f t="shared" si="35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3"/>
        <v>27</v>
      </c>
      <c r="P385" s="136" t="s">
        <v>1918</v>
      </c>
      <c r="Q385" s="31">
        <f t="shared" si="34"/>
        <v>1</v>
      </c>
      <c r="R385" s="32">
        <f t="shared" si="35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3"/>
        <v>28</v>
      </c>
      <c r="P386" s="136" t="s">
        <v>1919</v>
      </c>
      <c r="Q386" s="31">
        <f t="shared" si="34"/>
        <v>0</v>
      </c>
      <c r="R386" s="32">
        <f t="shared" si="35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3"/>
        <v>28</v>
      </c>
      <c r="P387" s="136" t="s">
        <v>2393</v>
      </c>
      <c r="Q387" s="131">
        <f t="shared" si="34"/>
        <v>0</v>
      </c>
      <c r="R387" s="132">
        <f t="shared" si="35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3"/>
        <v>28</v>
      </c>
      <c r="P388" s="136" t="s">
        <v>2122</v>
      </c>
      <c r="Q388" s="131">
        <f t="shared" si="34"/>
        <v>0</v>
      </c>
      <c r="R388" s="132">
        <f t="shared" si="35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3"/>
        <v>27</v>
      </c>
      <c r="P389" s="136" t="s">
        <v>2394</v>
      </c>
      <c r="Q389" s="31">
        <f t="shared" si="34"/>
        <v>1</v>
      </c>
      <c r="R389" s="32">
        <f t="shared" si="35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3"/>
        <v>28</v>
      </c>
      <c r="P390" s="136" t="s">
        <v>1920</v>
      </c>
      <c r="Q390" s="31">
        <f t="shared" si="34"/>
        <v>0</v>
      </c>
      <c r="R390" s="32">
        <f t="shared" si="35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3"/>
        <v>28</v>
      </c>
      <c r="P391" s="136" t="s">
        <v>1921</v>
      </c>
      <c r="Q391" s="31">
        <f t="shared" si="34"/>
        <v>0</v>
      </c>
      <c r="R391" s="32">
        <f t="shared" si="35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3"/>
        <v>28</v>
      </c>
      <c r="P392" s="136" t="s">
        <v>1922</v>
      </c>
      <c r="Q392" s="31">
        <f t="shared" si="34"/>
        <v>0</v>
      </c>
      <c r="R392" s="32">
        <f t="shared" si="35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3"/>
        <v>28</v>
      </c>
      <c r="P393" s="136" t="s">
        <v>1923</v>
      </c>
      <c r="Q393" s="31">
        <f t="shared" si="34"/>
        <v>0</v>
      </c>
      <c r="R393" s="32">
        <f t="shared" si="35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3"/>
        <v>27</v>
      </c>
      <c r="P394" s="136" t="s">
        <v>2259</v>
      </c>
      <c r="Q394" s="131">
        <f t="shared" si="34"/>
        <v>1</v>
      </c>
      <c r="R394" s="132">
        <f t="shared" si="35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3"/>
        <v>28</v>
      </c>
      <c r="P395" s="136" t="s">
        <v>1925</v>
      </c>
      <c r="Q395" s="85">
        <f t="shared" si="34"/>
        <v>0</v>
      </c>
      <c r="R395" s="86">
        <f t="shared" si="35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3"/>
        <v>28</v>
      </c>
      <c r="P396" s="136" t="s">
        <v>1926</v>
      </c>
      <c r="Q396" s="31">
        <f t="shared" si="34"/>
        <v>0</v>
      </c>
      <c r="R396" s="32">
        <f t="shared" si="35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3"/>
        <v>28</v>
      </c>
      <c r="P397" s="136" t="s">
        <v>1927</v>
      </c>
      <c r="Q397" s="31">
        <f t="shared" si="34"/>
        <v>0</v>
      </c>
      <c r="R397" s="32">
        <f t="shared" si="35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3"/>
        <v>28</v>
      </c>
      <c r="P398" s="136" t="s">
        <v>1928</v>
      </c>
      <c r="Q398" s="31">
        <f t="shared" si="34"/>
        <v>0</v>
      </c>
      <c r="R398" s="32">
        <f t="shared" si="35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3"/>
        <v>28</v>
      </c>
      <c r="P399" s="140" t="s">
        <v>1935</v>
      </c>
      <c r="Q399" s="139">
        <f t="shared" si="34"/>
        <v>0</v>
      </c>
      <c r="R399" s="141">
        <f t="shared" si="35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6">COUNTIF(S400:AT400,"")</f>
        <v>28</v>
      </c>
      <c r="P400" s="143" t="s">
        <v>1936</v>
      </c>
      <c r="Q400" s="31">
        <f t="shared" ref="Q400:Q463" si="37">COUNTIF(S400:AT400,"APAGADO")</f>
        <v>0</v>
      </c>
      <c r="R400" s="157">
        <f t="shared" ref="R400:R463" si="38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6"/>
        <v>28</v>
      </c>
      <c r="P401" s="136" t="s">
        <v>1937</v>
      </c>
      <c r="Q401" s="31">
        <f t="shared" si="37"/>
        <v>0</v>
      </c>
      <c r="R401" s="32">
        <f t="shared" si="38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6"/>
        <v>28</v>
      </c>
      <c r="P402" s="136" t="s">
        <v>1938</v>
      </c>
      <c r="Q402" s="131">
        <f t="shared" si="37"/>
        <v>0</v>
      </c>
      <c r="R402" s="132">
        <f t="shared" si="38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6"/>
        <v>28</v>
      </c>
      <c r="P403" s="136" t="s">
        <v>1939</v>
      </c>
      <c r="Q403" s="31">
        <f t="shared" si="37"/>
        <v>0</v>
      </c>
      <c r="R403" s="32">
        <f t="shared" si="38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6"/>
        <v>28</v>
      </c>
      <c r="P404" s="136" t="s">
        <v>1940</v>
      </c>
      <c r="Q404" s="31">
        <f t="shared" si="37"/>
        <v>0</v>
      </c>
      <c r="R404" s="32">
        <f t="shared" si="38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6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6"/>
        <v>28</v>
      </c>
      <c r="P406" s="136" t="s">
        <v>2398</v>
      </c>
      <c r="Q406" s="31">
        <f t="shared" si="37"/>
        <v>0</v>
      </c>
      <c r="R406" s="32">
        <f t="shared" si="38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6"/>
        <v>28</v>
      </c>
      <c r="P407" s="136"/>
      <c r="Q407" s="31">
        <f t="shared" si="37"/>
        <v>0</v>
      </c>
      <c r="R407" s="32">
        <f t="shared" si="38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6"/>
        <v>28</v>
      </c>
      <c r="P408" s="143" t="s">
        <v>1929</v>
      </c>
      <c r="Q408" s="139">
        <f t="shared" si="37"/>
        <v>0</v>
      </c>
      <c r="R408" s="141">
        <f t="shared" si="38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6"/>
        <v>28</v>
      </c>
      <c r="P409" s="143" t="s">
        <v>1930</v>
      </c>
      <c r="Q409" s="139">
        <f t="shared" si="37"/>
        <v>0</v>
      </c>
      <c r="R409" s="141">
        <f t="shared" si="38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6"/>
        <v>28</v>
      </c>
      <c r="P410" s="136" t="s">
        <v>1931</v>
      </c>
      <c r="Q410" s="31">
        <f t="shared" si="37"/>
        <v>0</v>
      </c>
      <c r="R410" s="32">
        <f t="shared" si="38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6"/>
        <v>28</v>
      </c>
      <c r="P411" s="136" t="s">
        <v>1932</v>
      </c>
      <c r="Q411" s="31">
        <f t="shared" si="37"/>
        <v>0</v>
      </c>
      <c r="R411" s="32">
        <f t="shared" si="38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6"/>
        <v>28</v>
      </c>
      <c r="P412" s="136" t="s">
        <v>1933</v>
      </c>
      <c r="Q412" s="31">
        <f t="shared" si="37"/>
        <v>0</v>
      </c>
      <c r="R412" s="32">
        <f t="shared" si="38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6"/>
        <v>28</v>
      </c>
      <c r="P413" s="136" t="s">
        <v>1934</v>
      </c>
      <c r="Q413" s="31">
        <f t="shared" si="37"/>
        <v>0</v>
      </c>
      <c r="R413" s="32">
        <f t="shared" si="38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6"/>
        <v>19</v>
      </c>
      <c r="P414" s="140"/>
      <c r="Q414" s="139">
        <f t="shared" si="37"/>
        <v>9</v>
      </c>
      <c r="R414" s="141">
        <f t="shared" si="38"/>
        <v>0.6785714285714286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6"/>
        <v>25</v>
      </c>
      <c r="P415" s="136" t="s">
        <v>1941</v>
      </c>
      <c r="Q415" s="131">
        <f t="shared" si="37"/>
        <v>3</v>
      </c>
      <c r="R415" s="132">
        <f t="shared" si="38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6"/>
        <v>27</v>
      </c>
      <c r="P416" s="136" t="s">
        <v>2399</v>
      </c>
      <c r="Q416" s="31">
        <f t="shared" si="37"/>
        <v>1</v>
      </c>
      <c r="R416" s="32">
        <f t="shared" si="38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6"/>
        <v>28</v>
      </c>
      <c r="P417" s="136" t="s">
        <v>2400</v>
      </c>
      <c r="Q417" s="31">
        <f t="shared" si="37"/>
        <v>0</v>
      </c>
      <c r="R417" s="32">
        <f t="shared" si="38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6"/>
        <v>19</v>
      </c>
      <c r="P418" s="136" t="s">
        <v>1942</v>
      </c>
      <c r="Q418" s="85">
        <f t="shared" si="37"/>
        <v>9</v>
      </c>
      <c r="R418" s="86">
        <f t="shared" si="38"/>
        <v>0.6785714285714286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/>
      <c r="AI418" s="70"/>
      <c r="AJ418" s="70"/>
      <c r="AK418" s="70"/>
      <c r="AL418" s="87"/>
      <c r="AM418" s="87"/>
      <c r="AN418" s="70"/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6"/>
        <v>28</v>
      </c>
      <c r="P419" s="136" t="s">
        <v>1846</v>
      </c>
      <c r="Q419" s="31">
        <f t="shared" si="37"/>
        <v>0</v>
      </c>
      <c r="R419" s="32">
        <f t="shared" si="38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6"/>
        <v>19</v>
      </c>
      <c r="P420" s="136" t="s">
        <v>1943</v>
      </c>
      <c r="Q420" s="31">
        <f t="shared" si="37"/>
        <v>9</v>
      </c>
      <c r="R420" s="32">
        <f t="shared" si="38"/>
        <v>0.6785714285714286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6"/>
        <v>19</v>
      </c>
      <c r="P421" s="136" t="s">
        <v>1944</v>
      </c>
      <c r="Q421" s="31">
        <f t="shared" si="37"/>
        <v>9</v>
      </c>
      <c r="R421" s="32">
        <f t="shared" si="38"/>
        <v>0.6785714285714286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6"/>
        <v>22</v>
      </c>
      <c r="P422" s="136" t="s">
        <v>1945</v>
      </c>
      <c r="Q422" s="131">
        <f t="shared" si="37"/>
        <v>6</v>
      </c>
      <c r="R422" s="132">
        <f t="shared" si="38"/>
        <v>0.7857142857142857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6"/>
        <v>22</v>
      </c>
      <c r="P423" s="136" t="s">
        <v>1946</v>
      </c>
      <c r="Q423" s="131">
        <f t="shared" si="37"/>
        <v>6</v>
      </c>
      <c r="R423" s="132">
        <f t="shared" si="38"/>
        <v>0.7857142857142857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6"/>
        <v>28</v>
      </c>
      <c r="P424" s="136" t="s">
        <v>2295</v>
      </c>
      <c r="Q424" s="131">
        <f t="shared" si="37"/>
        <v>0</v>
      </c>
      <c r="R424" s="132">
        <f t="shared" si="38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6"/>
        <v>28</v>
      </c>
      <c r="P425" s="136" t="s">
        <v>2296</v>
      </c>
      <c r="Q425" s="131">
        <f t="shared" si="37"/>
        <v>0</v>
      </c>
      <c r="R425" s="132">
        <f t="shared" si="38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6"/>
        <v>28</v>
      </c>
      <c r="P426" s="136" t="s">
        <v>2096</v>
      </c>
      <c r="Q426" s="131">
        <f t="shared" si="37"/>
        <v>0</v>
      </c>
      <c r="R426" s="132">
        <f t="shared" si="38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6"/>
        <v>24</v>
      </c>
      <c r="P427" s="136" t="s">
        <v>2095</v>
      </c>
      <c r="Q427" s="131">
        <f t="shared" si="37"/>
        <v>4</v>
      </c>
      <c r="R427" s="132">
        <f t="shared" si="38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6"/>
        <v>28</v>
      </c>
      <c r="P428" s="136" t="s">
        <v>2143</v>
      </c>
      <c r="Q428" s="31">
        <f t="shared" si="37"/>
        <v>0</v>
      </c>
      <c r="R428" s="32">
        <f t="shared" si="38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6"/>
        <v>28</v>
      </c>
      <c r="P429" s="136" t="s">
        <v>1947</v>
      </c>
      <c r="Q429" s="131">
        <f t="shared" si="37"/>
        <v>0</v>
      </c>
      <c r="R429" s="132">
        <f t="shared" si="38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6"/>
        <v>28</v>
      </c>
      <c r="P430" s="136" t="s">
        <v>1948</v>
      </c>
      <c r="Q430" s="131">
        <f t="shared" si="37"/>
        <v>0</v>
      </c>
      <c r="R430" s="132">
        <f t="shared" si="38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6"/>
        <v>28</v>
      </c>
      <c r="P431" s="136" t="s">
        <v>2200</v>
      </c>
      <c r="Q431" s="131">
        <f t="shared" si="37"/>
        <v>0</v>
      </c>
      <c r="R431" s="132">
        <f t="shared" si="38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6"/>
        <v>28</v>
      </c>
      <c r="P432" s="136" t="s">
        <v>2477</v>
      </c>
      <c r="Q432" s="31">
        <f t="shared" si="37"/>
        <v>0</v>
      </c>
      <c r="R432" s="32">
        <f t="shared" si="38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6"/>
        <v>27</v>
      </c>
      <c r="P433" s="136" t="s">
        <v>1951</v>
      </c>
      <c r="Q433" s="131">
        <f t="shared" si="37"/>
        <v>1</v>
      </c>
      <c r="R433" s="132">
        <f t="shared" si="38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6"/>
        <v>27</v>
      </c>
      <c r="P434" s="136" t="s">
        <v>2401</v>
      </c>
      <c r="Q434" s="31">
        <f t="shared" si="37"/>
        <v>1</v>
      </c>
      <c r="R434" s="32">
        <f t="shared" si="38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6"/>
        <v>22</v>
      </c>
      <c r="P435" s="136" t="s">
        <v>1953</v>
      </c>
      <c r="Q435" s="131">
        <f t="shared" si="37"/>
        <v>6</v>
      </c>
      <c r="R435" s="132">
        <f t="shared" si="38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6"/>
        <v>28</v>
      </c>
      <c r="P436" s="136" t="s">
        <v>1954</v>
      </c>
      <c r="Q436" s="31">
        <f t="shared" si="37"/>
        <v>0</v>
      </c>
      <c r="R436" s="32">
        <f t="shared" si="38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6"/>
        <v>28</v>
      </c>
      <c r="P437" s="136" t="s">
        <v>1955</v>
      </c>
      <c r="Q437" s="31">
        <f t="shared" si="37"/>
        <v>0</v>
      </c>
      <c r="R437" s="32">
        <f t="shared" si="38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6"/>
        <v>27</v>
      </c>
      <c r="P438" s="136" t="s">
        <v>1949</v>
      </c>
      <c r="Q438" s="131">
        <f t="shared" si="37"/>
        <v>1</v>
      </c>
      <c r="R438" s="132">
        <f t="shared" si="38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6"/>
        <v>19</v>
      </c>
      <c r="P439" s="136" t="s">
        <v>1950</v>
      </c>
      <c r="Q439" s="131">
        <f t="shared" si="37"/>
        <v>9</v>
      </c>
      <c r="R439" s="132">
        <f t="shared" si="38"/>
        <v>0.6785714285714286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6"/>
        <v>28</v>
      </c>
      <c r="P440" s="136" t="s">
        <v>1952</v>
      </c>
      <c r="Q440" s="31">
        <f t="shared" si="37"/>
        <v>0</v>
      </c>
      <c r="R440" s="32">
        <f t="shared" si="38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6"/>
        <v>25</v>
      </c>
      <c r="P441" s="136" t="s">
        <v>1924</v>
      </c>
      <c r="Q441" s="31">
        <f t="shared" si="37"/>
        <v>3</v>
      </c>
      <c r="R441" s="32">
        <f t="shared" si="38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6"/>
        <v>27</v>
      </c>
      <c r="P442" s="136" t="s">
        <v>1956</v>
      </c>
      <c r="Q442" s="31">
        <f t="shared" si="37"/>
        <v>1</v>
      </c>
      <c r="R442" s="32">
        <f t="shared" si="38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6"/>
        <v>27</v>
      </c>
      <c r="P443" s="136" t="s">
        <v>1957</v>
      </c>
      <c r="Q443" s="31">
        <f t="shared" si="37"/>
        <v>1</v>
      </c>
      <c r="R443" s="32">
        <f t="shared" si="38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6"/>
        <v>27</v>
      </c>
      <c r="P444" s="136" t="s">
        <v>2408</v>
      </c>
      <c r="Q444" s="31">
        <f t="shared" si="37"/>
        <v>1</v>
      </c>
      <c r="R444" s="32">
        <f t="shared" si="38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6"/>
        <v>28</v>
      </c>
      <c r="P445" s="136" t="s">
        <v>1960</v>
      </c>
      <c r="Q445" s="31">
        <f t="shared" si="37"/>
        <v>0</v>
      </c>
      <c r="R445" s="32">
        <f t="shared" si="38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6"/>
        <v>28</v>
      </c>
      <c r="P446" s="136" t="s">
        <v>1961</v>
      </c>
      <c r="Q446" s="31">
        <f t="shared" si="37"/>
        <v>0</v>
      </c>
      <c r="R446" s="32">
        <f t="shared" si="38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6"/>
        <v>28</v>
      </c>
      <c r="P447" s="136" t="s">
        <v>1958</v>
      </c>
      <c r="Q447" s="31">
        <f t="shared" si="37"/>
        <v>0</v>
      </c>
      <c r="R447" s="32">
        <f t="shared" si="38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6"/>
        <v>28</v>
      </c>
      <c r="P448" s="136" t="s">
        <v>1959</v>
      </c>
      <c r="Q448" s="31">
        <f t="shared" si="37"/>
        <v>0</v>
      </c>
      <c r="R448" s="32">
        <f t="shared" si="38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6"/>
        <v>28</v>
      </c>
      <c r="P449" s="136" t="s">
        <v>1965</v>
      </c>
      <c r="Q449" s="131">
        <f t="shared" si="37"/>
        <v>0</v>
      </c>
      <c r="R449" s="132">
        <f t="shared" si="38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6"/>
        <v>28</v>
      </c>
      <c r="P450" s="136" t="s">
        <v>1968</v>
      </c>
      <c r="Q450" s="31">
        <f t="shared" si="37"/>
        <v>0</v>
      </c>
      <c r="R450" s="32">
        <f t="shared" si="38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6"/>
        <v>27</v>
      </c>
      <c r="P451" s="143"/>
      <c r="Q451" s="139">
        <f t="shared" si="37"/>
        <v>1</v>
      </c>
      <c r="R451" s="141">
        <f t="shared" si="38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6"/>
        <v>28</v>
      </c>
      <c r="P452" s="136" t="s">
        <v>1969</v>
      </c>
      <c r="Q452" s="31">
        <f t="shared" si="37"/>
        <v>0</v>
      </c>
      <c r="R452" s="32">
        <f t="shared" si="38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6"/>
        <v>28</v>
      </c>
      <c r="P453" s="136" t="s">
        <v>1970</v>
      </c>
      <c r="Q453" s="31">
        <f t="shared" si="37"/>
        <v>0</v>
      </c>
      <c r="R453" s="32">
        <f t="shared" si="38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6"/>
        <v>26</v>
      </c>
      <c r="P454" s="136" t="s">
        <v>1974</v>
      </c>
      <c r="Q454" s="31">
        <f t="shared" si="37"/>
        <v>2</v>
      </c>
      <c r="R454" s="32">
        <f t="shared" si="38"/>
        <v>0.9285714285714286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6"/>
        <v>26</v>
      </c>
      <c r="P455" s="136" t="s">
        <v>1975</v>
      </c>
      <c r="Q455" s="31">
        <f t="shared" si="37"/>
        <v>2</v>
      </c>
      <c r="R455" s="32">
        <f t="shared" si="38"/>
        <v>0.9285714285714286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6"/>
        <v>28</v>
      </c>
      <c r="P456" s="136" t="s">
        <v>1962</v>
      </c>
      <c r="Q456" s="31">
        <f t="shared" si="37"/>
        <v>0</v>
      </c>
      <c r="R456" s="32">
        <f t="shared" si="38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6"/>
        <v>28</v>
      </c>
      <c r="P457" s="136" t="s">
        <v>1963</v>
      </c>
      <c r="Q457" s="31">
        <f t="shared" si="37"/>
        <v>0</v>
      </c>
      <c r="R457" s="32">
        <f t="shared" si="38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6"/>
        <v>28</v>
      </c>
      <c r="P458" s="136" t="s">
        <v>1964</v>
      </c>
      <c r="Q458" s="131">
        <f t="shared" si="37"/>
        <v>0</v>
      </c>
      <c r="R458" s="132">
        <f t="shared" si="38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6"/>
        <v>26</v>
      </c>
      <c r="P459" s="136" t="s">
        <v>2402</v>
      </c>
      <c r="Q459" s="31">
        <f t="shared" si="37"/>
        <v>2</v>
      </c>
      <c r="R459" s="32">
        <f t="shared" si="38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6"/>
        <v>28</v>
      </c>
      <c r="P460" s="136" t="s">
        <v>1966</v>
      </c>
      <c r="Q460" s="31">
        <f t="shared" si="37"/>
        <v>0</v>
      </c>
      <c r="R460" s="32">
        <f t="shared" si="38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6"/>
        <v>28</v>
      </c>
      <c r="P461" s="136" t="s">
        <v>1967</v>
      </c>
      <c r="Q461" s="31">
        <f t="shared" si="37"/>
        <v>0</v>
      </c>
      <c r="R461" s="32">
        <f t="shared" si="38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6"/>
        <v>27</v>
      </c>
      <c r="P462" s="136" t="s">
        <v>2403</v>
      </c>
      <c r="Q462" s="31">
        <f t="shared" si="37"/>
        <v>1</v>
      </c>
      <c r="R462" s="32">
        <f t="shared" si="38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6"/>
        <v>19</v>
      </c>
      <c r="P463" s="140"/>
      <c r="Q463" s="139">
        <f t="shared" si="37"/>
        <v>9</v>
      </c>
      <c r="R463" s="141">
        <f t="shared" si="38"/>
        <v>0.6785714285714286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39">COUNTIF(S464:AT464,"")</f>
        <v>28</v>
      </c>
      <c r="P464" s="136" t="s">
        <v>2404</v>
      </c>
      <c r="Q464" s="31">
        <f t="shared" ref="Q464:Q527" si="40">COUNTIF(S464:AT464,"APAGADO")</f>
        <v>0</v>
      </c>
      <c r="R464" s="32">
        <f t="shared" ref="R464:R527" si="41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39"/>
        <v>27</v>
      </c>
      <c r="P465" s="136" t="s">
        <v>1971</v>
      </c>
      <c r="Q465" s="131">
        <f t="shared" si="40"/>
        <v>1</v>
      </c>
      <c r="R465" s="132">
        <f t="shared" si="41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39"/>
        <v>19</v>
      </c>
      <c r="P466" s="136" t="s">
        <v>1972</v>
      </c>
      <c r="Q466" s="131">
        <f t="shared" si="40"/>
        <v>9</v>
      </c>
      <c r="R466" s="132">
        <f t="shared" si="41"/>
        <v>0.6785714285714286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39"/>
        <v>19</v>
      </c>
      <c r="P467" s="136" t="s">
        <v>1973</v>
      </c>
      <c r="Q467" s="131">
        <f t="shared" si="40"/>
        <v>9</v>
      </c>
      <c r="R467" s="132">
        <f t="shared" si="41"/>
        <v>0.6785714285714286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39"/>
        <v>28</v>
      </c>
      <c r="P468" s="136" t="s">
        <v>1976</v>
      </c>
      <c r="Q468" s="31">
        <f t="shared" si="40"/>
        <v>0</v>
      </c>
      <c r="R468" s="32">
        <f t="shared" si="4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39"/>
        <v>28</v>
      </c>
      <c r="P469" s="136" t="s">
        <v>1977</v>
      </c>
      <c r="Q469" s="31">
        <f t="shared" si="40"/>
        <v>0</v>
      </c>
      <c r="R469" s="32">
        <f t="shared" si="41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39"/>
        <v>28</v>
      </c>
      <c r="P470" s="136" t="s">
        <v>2405</v>
      </c>
      <c r="Q470" s="31">
        <f t="shared" si="40"/>
        <v>0</v>
      </c>
      <c r="R470" s="32">
        <f t="shared" si="41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39"/>
        <v>27</v>
      </c>
      <c r="P471" s="136" t="s">
        <v>2406</v>
      </c>
      <c r="Q471" s="31">
        <f t="shared" si="40"/>
        <v>1</v>
      </c>
      <c r="R471" s="32">
        <f t="shared" si="41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39"/>
        <v>27</v>
      </c>
      <c r="P472" s="136" t="s">
        <v>2409</v>
      </c>
      <c r="Q472" s="31">
        <f t="shared" si="40"/>
        <v>1</v>
      </c>
      <c r="R472" s="32">
        <f t="shared" si="41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39"/>
        <v>28</v>
      </c>
      <c r="P473" s="136" t="s">
        <v>2410</v>
      </c>
      <c r="Q473" s="31">
        <f t="shared" si="40"/>
        <v>0</v>
      </c>
      <c r="R473" s="32">
        <f t="shared" si="41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39"/>
        <v>28</v>
      </c>
      <c r="P474" s="136" t="s">
        <v>2411</v>
      </c>
      <c r="Q474" s="31">
        <f t="shared" si="40"/>
        <v>0</v>
      </c>
      <c r="R474" s="32">
        <f t="shared" si="41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39"/>
        <v>28</v>
      </c>
      <c r="P475" s="136" t="s">
        <v>2412</v>
      </c>
      <c r="Q475" s="31">
        <f t="shared" si="40"/>
        <v>0</v>
      </c>
      <c r="R475" s="32">
        <f t="shared" si="41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39"/>
        <v>19</v>
      </c>
      <c r="P477" s="136" t="s">
        <v>1978</v>
      </c>
      <c r="Q477" s="131">
        <f t="shared" si="40"/>
        <v>9</v>
      </c>
      <c r="R477" s="132">
        <f t="shared" si="41"/>
        <v>0.6785714285714286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39"/>
        <v>19</v>
      </c>
      <c r="P478" s="136" t="s">
        <v>1979</v>
      </c>
      <c r="Q478" s="131">
        <f t="shared" si="40"/>
        <v>9</v>
      </c>
      <c r="R478" s="132">
        <f t="shared" si="41"/>
        <v>0.6785714285714286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39"/>
        <v>19</v>
      </c>
      <c r="P479" s="136"/>
      <c r="Q479" s="131">
        <f t="shared" si="40"/>
        <v>9</v>
      </c>
      <c r="R479" s="132">
        <f t="shared" si="41"/>
        <v>0.6785714285714286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39"/>
        <v>28</v>
      </c>
      <c r="P480" s="136" t="s">
        <v>2091</v>
      </c>
      <c r="Q480" s="131">
        <f t="shared" si="40"/>
        <v>0</v>
      </c>
      <c r="R480" s="132">
        <f t="shared" si="41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39"/>
        <v>27</v>
      </c>
      <c r="P481" s="136" t="s">
        <v>1980</v>
      </c>
      <c r="Q481" s="31">
        <f t="shared" si="40"/>
        <v>1</v>
      </c>
      <c r="R481" s="32">
        <f t="shared" si="41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39"/>
        <v>22</v>
      </c>
      <c r="P482" s="136" t="s">
        <v>1981</v>
      </c>
      <c r="Q482" s="31">
        <f t="shared" si="40"/>
        <v>6</v>
      </c>
      <c r="R482" s="32">
        <f t="shared" si="41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39"/>
        <v>28</v>
      </c>
      <c r="P483" s="136" t="s">
        <v>1982</v>
      </c>
      <c r="Q483" s="31">
        <f t="shared" si="40"/>
        <v>0</v>
      </c>
      <c r="R483" s="32">
        <f t="shared" si="41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39"/>
        <v>27</v>
      </c>
      <c r="P484" s="136" t="s">
        <v>1983</v>
      </c>
      <c r="Q484" s="31">
        <f t="shared" si="40"/>
        <v>1</v>
      </c>
      <c r="R484" s="32">
        <f t="shared" si="41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39"/>
        <v>27</v>
      </c>
      <c r="P485" s="136" t="s">
        <v>1984</v>
      </c>
      <c r="Q485" s="31">
        <f t="shared" si="40"/>
        <v>1</v>
      </c>
      <c r="R485" s="32">
        <f t="shared" si="41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39"/>
        <v>28</v>
      </c>
      <c r="P486" s="136" t="s">
        <v>1985</v>
      </c>
      <c r="Q486" s="31">
        <f t="shared" si="40"/>
        <v>0</v>
      </c>
      <c r="R486" s="32">
        <f t="shared" si="41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39"/>
        <v>28</v>
      </c>
      <c r="P487" s="136" t="s">
        <v>1986</v>
      </c>
      <c r="Q487" s="131">
        <f t="shared" si="40"/>
        <v>0</v>
      </c>
      <c r="R487" s="132">
        <f t="shared" si="41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39"/>
        <v>28</v>
      </c>
      <c r="P488" s="136" t="s">
        <v>1987</v>
      </c>
      <c r="Q488" s="31">
        <f t="shared" si="40"/>
        <v>0</v>
      </c>
      <c r="R488" s="32">
        <f t="shared" si="41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39"/>
        <v>28</v>
      </c>
      <c r="P489" s="136" t="s">
        <v>1988</v>
      </c>
      <c r="Q489" s="31">
        <f t="shared" si="40"/>
        <v>0</v>
      </c>
      <c r="R489" s="32">
        <f t="shared" si="41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39"/>
        <v>28</v>
      </c>
      <c r="P490" s="136" t="s">
        <v>1989</v>
      </c>
      <c r="Q490" s="131">
        <f t="shared" si="40"/>
        <v>0</v>
      </c>
      <c r="R490" s="132">
        <f t="shared" si="41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39"/>
        <v>28</v>
      </c>
      <c r="P491" s="136" t="s">
        <v>1990</v>
      </c>
      <c r="Q491" s="85">
        <f t="shared" si="40"/>
        <v>0</v>
      </c>
      <c r="R491" s="86">
        <f t="shared" si="41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39"/>
        <v>28</v>
      </c>
      <c r="P492" s="136" t="s">
        <v>1991</v>
      </c>
      <c r="Q492" s="31">
        <f t="shared" si="40"/>
        <v>0</v>
      </c>
      <c r="R492" s="32">
        <f t="shared" si="41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39"/>
        <v>28</v>
      </c>
      <c r="P493" s="136" t="s">
        <v>1992</v>
      </c>
      <c r="Q493" s="31">
        <f t="shared" si="40"/>
        <v>0</v>
      </c>
      <c r="R493" s="32">
        <f t="shared" si="41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39"/>
        <v>28</v>
      </c>
      <c r="P494" s="136" t="s">
        <v>1993</v>
      </c>
      <c r="Q494" s="31">
        <f t="shared" si="40"/>
        <v>0</v>
      </c>
      <c r="R494" s="32">
        <f t="shared" si="41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39"/>
        <v>28</v>
      </c>
      <c r="P495" s="136" t="s">
        <v>1994</v>
      </c>
      <c r="Q495" s="85">
        <f t="shared" si="40"/>
        <v>0</v>
      </c>
      <c r="R495" s="86">
        <f t="shared" si="41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39"/>
        <v>28</v>
      </c>
      <c r="P496" s="136" t="s">
        <v>2109</v>
      </c>
      <c r="Q496" s="85">
        <f t="shared" si="40"/>
        <v>0</v>
      </c>
      <c r="R496" s="86">
        <f t="shared" si="41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39"/>
        <v>28</v>
      </c>
      <c r="P497" s="136" t="s">
        <v>2110</v>
      </c>
      <c r="Q497" s="85">
        <f t="shared" si="40"/>
        <v>0</v>
      </c>
      <c r="R497" s="86">
        <f t="shared" si="41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39"/>
        <v>28</v>
      </c>
      <c r="P498" s="136" t="s">
        <v>2111</v>
      </c>
      <c r="Q498" s="85">
        <f t="shared" si="40"/>
        <v>0</v>
      </c>
      <c r="R498" s="86">
        <f t="shared" si="41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39"/>
        <v>28</v>
      </c>
      <c r="P499" s="136" t="s">
        <v>2112</v>
      </c>
      <c r="Q499" s="85">
        <f t="shared" si="40"/>
        <v>0</v>
      </c>
      <c r="R499" s="86">
        <f t="shared" si="41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39"/>
        <v>28</v>
      </c>
      <c r="P500" s="136" t="s">
        <v>2247</v>
      </c>
      <c r="Q500" s="85">
        <f t="shared" si="40"/>
        <v>0</v>
      </c>
      <c r="R500" s="86">
        <f t="shared" si="41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39"/>
        <v>26</v>
      </c>
      <c r="P501" s="136" t="s">
        <v>1995</v>
      </c>
      <c r="Q501" s="131">
        <f t="shared" si="40"/>
        <v>2</v>
      </c>
      <c r="R501" s="132">
        <f t="shared" si="41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39"/>
        <v>28</v>
      </c>
      <c r="P502" s="136" t="s">
        <v>2413</v>
      </c>
      <c r="Q502" s="31">
        <f t="shared" si="40"/>
        <v>0</v>
      </c>
      <c r="R502" s="32">
        <f t="shared" si="41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39"/>
        <v>28</v>
      </c>
      <c r="P503" s="136" t="s">
        <v>1997</v>
      </c>
      <c r="Q503" s="31">
        <f t="shared" si="40"/>
        <v>0</v>
      </c>
      <c r="R503" s="32">
        <f t="shared" si="41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39"/>
        <v>28</v>
      </c>
      <c r="P504" s="136" t="s">
        <v>1998</v>
      </c>
      <c r="Q504" s="31">
        <f t="shared" si="40"/>
        <v>0</v>
      </c>
      <c r="R504" s="32">
        <f t="shared" si="41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39"/>
        <v>27</v>
      </c>
      <c r="P505" s="136" t="s">
        <v>2414</v>
      </c>
      <c r="Q505" s="31">
        <f t="shared" si="40"/>
        <v>1</v>
      </c>
      <c r="R505" s="32">
        <f t="shared" si="41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39"/>
        <v>27</v>
      </c>
      <c r="P506" s="136" t="s">
        <v>2415</v>
      </c>
      <c r="Q506" s="31">
        <f t="shared" si="40"/>
        <v>1</v>
      </c>
      <c r="R506" s="32">
        <f t="shared" si="41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39"/>
        <v>27</v>
      </c>
      <c r="P507" s="136" t="s">
        <v>2416</v>
      </c>
      <c r="Q507" s="31">
        <f t="shared" si="40"/>
        <v>1</v>
      </c>
      <c r="R507" s="32">
        <f t="shared" si="41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39"/>
        <v>27</v>
      </c>
      <c r="P508" s="136" t="s">
        <v>2417</v>
      </c>
      <c r="Q508" s="31">
        <f t="shared" si="40"/>
        <v>1</v>
      </c>
      <c r="R508" s="32">
        <f t="shared" si="41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39"/>
        <v>25</v>
      </c>
      <c r="P509" s="136" t="s">
        <v>1996</v>
      </c>
      <c r="Q509" s="31">
        <f t="shared" si="40"/>
        <v>3</v>
      </c>
      <c r="R509" s="32">
        <f t="shared" si="41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39"/>
        <v>28</v>
      </c>
      <c r="P510" s="136" t="s">
        <v>1999</v>
      </c>
      <c r="Q510" s="31">
        <f t="shared" si="40"/>
        <v>0</v>
      </c>
      <c r="R510" s="32">
        <f t="shared" si="41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39"/>
        <v>28</v>
      </c>
      <c r="P511" s="136" t="s">
        <v>2000</v>
      </c>
      <c r="Q511" s="31">
        <f t="shared" si="40"/>
        <v>0</v>
      </c>
      <c r="R511" s="32">
        <f t="shared" si="41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39"/>
        <v>28</v>
      </c>
      <c r="P512" s="136" t="s">
        <v>2001</v>
      </c>
      <c r="Q512" s="31">
        <f t="shared" si="40"/>
        <v>0</v>
      </c>
      <c r="R512" s="32">
        <f t="shared" si="41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39"/>
        <v>28</v>
      </c>
      <c r="P513" s="136" t="s">
        <v>2002</v>
      </c>
      <c r="Q513" s="31">
        <f t="shared" si="40"/>
        <v>0</v>
      </c>
      <c r="R513" s="32">
        <f t="shared" si="41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39"/>
        <v>28</v>
      </c>
      <c r="P514" s="136" t="s">
        <v>2003</v>
      </c>
      <c r="Q514" s="31">
        <f t="shared" si="40"/>
        <v>0</v>
      </c>
      <c r="R514" s="32">
        <f t="shared" si="41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39"/>
        <v>28</v>
      </c>
      <c r="P515" s="136" t="s">
        <v>2013</v>
      </c>
      <c r="Q515" s="31">
        <f t="shared" si="40"/>
        <v>0</v>
      </c>
      <c r="R515" s="32">
        <f t="shared" si="41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39"/>
        <v>28</v>
      </c>
      <c r="P516" s="136" t="s">
        <v>2017</v>
      </c>
      <c r="Q516" s="31">
        <f t="shared" si="40"/>
        <v>0</v>
      </c>
      <c r="R516" s="32">
        <f t="shared" si="41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39"/>
        <v>28</v>
      </c>
      <c r="P517" s="136" t="s">
        <v>2018</v>
      </c>
      <c r="Q517" s="31">
        <f t="shared" si="40"/>
        <v>0</v>
      </c>
      <c r="R517" s="32">
        <f t="shared" si="41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39"/>
        <v>28</v>
      </c>
      <c r="P518" s="136" t="s">
        <v>2019</v>
      </c>
      <c r="Q518" s="31">
        <f t="shared" si="40"/>
        <v>0</v>
      </c>
      <c r="R518" s="32">
        <f t="shared" si="41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39"/>
        <v>27</v>
      </c>
      <c r="P519" s="136" t="s">
        <v>2020</v>
      </c>
      <c r="Q519" s="31">
        <f t="shared" si="40"/>
        <v>1</v>
      </c>
      <c r="R519" s="32">
        <f t="shared" si="41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39"/>
        <v>28</v>
      </c>
      <c r="P520" s="136" t="s">
        <v>2022</v>
      </c>
      <c r="Q520" s="131">
        <f t="shared" si="40"/>
        <v>0</v>
      </c>
      <c r="R520" s="132">
        <f t="shared" si="41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39"/>
        <v>28</v>
      </c>
      <c r="P521" s="136" t="s">
        <v>2023</v>
      </c>
      <c r="Q521" s="31">
        <f t="shared" si="40"/>
        <v>0</v>
      </c>
      <c r="R521" s="32">
        <f t="shared" si="41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39"/>
        <v>28</v>
      </c>
      <c r="P522" s="136" t="s">
        <v>2024</v>
      </c>
      <c r="Q522" s="31">
        <f t="shared" si="40"/>
        <v>0</v>
      </c>
      <c r="R522" s="32">
        <f t="shared" si="41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39"/>
        <v>27</v>
      </c>
      <c r="P523" s="136" t="s">
        <v>2027</v>
      </c>
      <c r="Q523" s="31">
        <f t="shared" si="40"/>
        <v>1</v>
      </c>
      <c r="R523" s="32">
        <f t="shared" si="41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39"/>
        <v>27</v>
      </c>
      <c r="P524" s="136" t="s">
        <v>2028</v>
      </c>
      <c r="Q524" s="31">
        <f t="shared" si="40"/>
        <v>1</v>
      </c>
      <c r="R524" s="32">
        <f t="shared" si="41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39"/>
        <v>28</v>
      </c>
      <c r="P525" s="136" t="s">
        <v>2029</v>
      </c>
      <c r="Q525" s="131">
        <f t="shared" si="40"/>
        <v>0</v>
      </c>
      <c r="R525" s="132">
        <f t="shared" si="41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39"/>
        <v>28</v>
      </c>
      <c r="P526" s="136" t="s">
        <v>2030</v>
      </c>
      <c r="Q526" s="131">
        <f t="shared" si="40"/>
        <v>0</v>
      </c>
      <c r="R526" s="132">
        <f t="shared" si="41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39"/>
        <v>28</v>
      </c>
      <c r="P527" s="136" t="s">
        <v>2031</v>
      </c>
      <c r="Q527" s="131">
        <f t="shared" si="40"/>
        <v>0</v>
      </c>
      <c r="R527" s="132">
        <f t="shared" si="41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2">COUNTIF(S528:AT528,"")</f>
        <v>27</v>
      </c>
      <c r="P528" s="136" t="s">
        <v>2004</v>
      </c>
      <c r="Q528" s="31">
        <f t="shared" ref="Q528:Q593" si="43">COUNTIF(S528:AT528,"APAGADO")</f>
        <v>1</v>
      </c>
      <c r="R528" s="32">
        <f t="shared" ref="R528:R593" si="44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2"/>
        <v>28</v>
      </c>
      <c r="P529" s="136" t="s">
        <v>2005</v>
      </c>
      <c r="Q529" s="31">
        <f t="shared" si="43"/>
        <v>0</v>
      </c>
      <c r="R529" s="32">
        <f t="shared" si="4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2"/>
        <v>28</v>
      </c>
      <c r="P530" s="136" t="s">
        <v>2006</v>
      </c>
      <c r="Q530" s="31">
        <f t="shared" si="43"/>
        <v>0</v>
      </c>
      <c r="R530" s="32">
        <f t="shared" si="4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2"/>
        <v>28</v>
      </c>
      <c r="P531" s="136" t="s">
        <v>2007</v>
      </c>
      <c r="Q531" s="31">
        <f t="shared" si="43"/>
        <v>0</v>
      </c>
      <c r="R531" s="32">
        <f t="shared" si="4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2"/>
        <v>28</v>
      </c>
      <c r="P532" s="136" t="s">
        <v>2008</v>
      </c>
      <c r="Q532" s="131">
        <f t="shared" si="43"/>
        <v>0</v>
      </c>
      <c r="R532" s="132">
        <f t="shared" si="4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2"/>
        <v>28</v>
      </c>
      <c r="P533" s="136" t="s">
        <v>2009</v>
      </c>
      <c r="Q533" s="31">
        <f t="shared" si="43"/>
        <v>0</v>
      </c>
      <c r="R533" s="32">
        <f t="shared" si="4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2"/>
        <v>28</v>
      </c>
      <c r="P534" s="136" t="s">
        <v>2010</v>
      </c>
      <c r="Q534" s="31">
        <f t="shared" si="43"/>
        <v>0</v>
      </c>
      <c r="R534" s="32">
        <f t="shared" si="4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2"/>
        <v>19</v>
      </c>
      <c r="P535" s="136" t="s">
        <v>2011</v>
      </c>
      <c r="Q535" s="131">
        <f t="shared" si="43"/>
        <v>9</v>
      </c>
      <c r="R535" s="132">
        <f t="shared" si="44"/>
        <v>0.6785714285714286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2"/>
        <v>28</v>
      </c>
      <c r="P536" s="136" t="s">
        <v>2012</v>
      </c>
      <c r="Q536" s="31">
        <f t="shared" si="43"/>
        <v>0</v>
      </c>
      <c r="R536" s="32">
        <f t="shared" si="4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2"/>
        <v>28</v>
      </c>
      <c r="P537" s="136" t="s">
        <v>2014</v>
      </c>
      <c r="Q537" s="31">
        <f t="shared" si="43"/>
        <v>0</v>
      </c>
      <c r="R537" s="32">
        <f t="shared" si="4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2"/>
        <v>19</v>
      </c>
      <c r="P538" s="136" t="s">
        <v>2015</v>
      </c>
      <c r="Q538" s="31">
        <f t="shared" si="43"/>
        <v>9</v>
      </c>
      <c r="R538" s="32">
        <f t="shared" si="44"/>
        <v>0.6785714285714286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2"/>
        <v>19</v>
      </c>
      <c r="P539" s="136" t="s">
        <v>2016</v>
      </c>
      <c r="Q539" s="31">
        <f t="shared" si="43"/>
        <v>9</v>
      </c>
      <c r="R539" s="32">
        <f t="shared" si="44"/>
        <v>0.6785714285714286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2"/>
        <v>28</v>
      </c>
      <c r="P540" s="136" t="s">
        <v>2021</v>
      </c>
      <c r="Q540" s="31">
        <f t="shared" si="43"/>
        <v>0</v>
      </c>
      <c r="R540" s="32">
        <f t="shared" si="4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2"/>
        <v>28</v>
      </c>
      <c r="P541" s="136" t="s">
        <v>2418</v>
      </c>
      <c r="Q541" s="31">
        <f t="shared" si="43"/>
        <v>0</v>
      </c>
      <c r="R541" s="32">
        <f t="shared" si="4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2"/>
        <v>28</v>
      </c>
      <c r="P542" s="136" t="s">
        <v>2025</v>
      </c>
      <c r="Q542" s="31">
        <f t="shared" si="43"/>
        <v>0</v>
      </c>
      <c r="R542" s="32">
        <f t="shared" si="44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2"/>
        <v>28</v>
      </c>
      <c r="P543" s="136" t="s">
        <v>2026</v>
      </c>
      <c r="Q543" s="31">
        <f t="shared" si="43"/>
        <v>0</v>
      </c>
      <c r="R543" s="32">
        <f t="shared" si="44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2"/>
        <v>28</v>
      </c>
      <c r="P544" s="136" t="s">
        <v>2032</v>
      </c>
      <c r="Q544" s="131">
        <f t="shared" si="43"/>
        <v>0</v>
      </c>
      <c r="R544" s="132">
        <f t="shared" si="44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2"/>
        <v>19</v>
      </c>
      <c r="P545" s="136" t="s">
        <v>2165</v>
      </c>
      <c r="Q545" s="131">
        <f t="shared" si="43"/>
        <v>9</v>
      </c>
      <c r="R545" s="132">
        <f t="shared" si="44"/>
        <v>0.6785714285714286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2"/>
        <v>19</v>
      </c>
      <c r="P546" s="136" t="s">
        <v>2168</v>
      </c>
      <c r="Q546" s="131">
        <f t="shared" si="43"/>
        <v>9</v>
      </c>
      <c r="R546" s="132">
        <f t="shared" si="44"/>
        <v>0.6785714285714286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2"/>
        <v>28</v>
      </c>
      <c r="P547" s="136" t="s">
        <v>2033</v>
      </c>
      <c r="Q547" s="31">
        <f t="shared" si="43"/>
        <v>0</v>
      </c>
      <c r="R547" s="32">
        <f t="shared" si="4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2"/>
        <v>28</v>
      </c>
      <c r="P548" s="136" t="s">
        <v>2034</v>
      </c>
      <c r="Q548" s="31">
        <f t="shared" si="43"/>
        <v>0</v>
      </c>
      <c r="R548" s="32">
        <f t="shared" si="4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2"/>
        <v>26</v>
      </c>
      <c r="P549" s="136" t="s">
        <v>2466</v>
      </c>
      <c r="Q549" s="31">
        <f t="shared" si="43"/>
        <v>2</v>
      </c>
      <c r="R549" s="32">
        <f t="shared" si="44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2"/>
        <v>28</v>
      </c>
      <c r="P550" s="136" t="s">
        <v>2035</v>
      </c>
      <c r="Q550" s="31">
        <f t="shared" si="43"/>
        <v>0</v>
      </c>
      <c r="R550" s="32">
        <f t="shared" si="44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2"/>
        <v>28</v>
      </c>
      <c r="P551" s="136" t="s">
        <v>2036</v>
      </c>
      <c r="Q551" s="31">
        <f t="shared" si="43"/>
        <v>0</v>
      </c>
      <c r="R551" s="32">
        <f t="shared" si="44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2"/>
        <v>28</v>
      </c>
      <c r="P552" s="136" t="s">
        <v>2037</v>
      </c>
      <c r="Q552" s="31">
        <f t="shared" si="43"/>
        <v>0</v>
      </c>
      <c r="R552" s="32">
        <f t="shared" si="44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2"/>
        <v>28</v>
      </c>
      <c r="P553" s="136" t="s">
        <v>2038</v>
      </c>
      <c r="Q553" s="31">
        <f t="shared" si="43"/>
        <v>0</v>
      </c>
      <c r="R553" s="32">
        <f t="shared" si="44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2"/>
        <v>28</v>
      </c>
      <c r="P554" s="136" t="s">
        <v>2039</v>
      </c>
      <c r="Q554" s="31">
        <f t="shared" si="43"/>
        <v>0</v>
      </c>
      <c r="R554" s="32">
        <f t="shared" si="44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2"/>
        <v>28</v>
      </c>
      <c r="P555" s="136" t="s">
        <v>2126</v>
      </c>
      <c r="Q555" s="31">
        <f t="shared" si="43"/>
        <v>0</v>
      </c>
      <c r="R555" s="32">
        <f t="shared" si="44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2"/>
        <v>28</v>
      </c>
      <c r="P556" s="136" t="s">
        <v>2040</v>
      </c>
      <c r="Q556" s="131">
        <f t="shared" si="43"/>
        <v>0</v>
      </c>
      <c r="R556" s="132">
        <f t="shared" si="44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2"/>
        <v>27</v>
      </c>
      <c r="P557" s="136" t="s">
        <v>2041</v>
      </c>
      <c r="Q557" s="31">
        <f t="shared" si="43"/>
        <v>1</v>
      </c>
      <c r="R557" s="32">
        <f t="shared" si="44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2"/>
        <v>19</v>
      </c>
      <c r="P558" s="136" t="s">
        <v>2042</v>
      </c>
      <c r="Q558" s="131">
        <f t="shared" si="43"/>
        <v>9</v>
      </c>
      <c r="R558" s="132">
        <f t="shared" si="44"/>
        <v>0.6785714285714286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2"/>
        <v>28</v>
      </c>
      <c r="P559" s="136" t="s">
        <v>2043</v>
      </c>
      <c r="Q559" s="131">
        <f t="shared" si="43"/>
        <v>0</v>
      </c>
      <c r="R559" s="132">
        <f t="shared" si="44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2"/>
        <v>28</v>
      </c>
      <c r="P560" s="136" t="s">
        <v>2044</v>
      </c>
      <c r="Q560" s="31">
        <f t="shared" si="43"/>
        <v>0</v>
      </c>
      <c r="R560" s="32">
        <f t="shared" si="44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2"/>
        <v>28</v>
      </c>
      <c r="P561" s="136" t="s">
        <v>2045</v>
      </c>
      <c r="Q561" s="131">
        <f t="shared" si="43"/>
        <v>0</v>
      </c>
      <c r="R561" s="132">
        <f t="shared" si="44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2"/>
        <v>28</v>
      </c>
      <c r="P562" s="136" t="s">
        <v>2141</v>
      </c>
      <c r="Q562" s="31">
        <f t="shared" si="43"/>
        <v>0</v>
      </c>
      <c r="R562" s="32">
        <f t="shared" si="44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2"/>
        <v>28</v>
      </c>
      <c r="P563" s="136" t="s">
        <v>2084</v>
      </c>
      <c r="Q563" s="31">
        <f t="shared" si="43"/>
        <v>0</v>
      </c>
      <c r="R563" s="32">
        <f t="shared" si="44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2"/>
        <v>28</v>
      </c>
      <c r="P564" s="136" t="s">
        <v>2088</v>
      </c>
      <c r="Q564" s="131">
        <f t="shared" si="43"/>
        <v>0</v>
      </c>
      <c r="R564" s="132">
        <f t="shared" si="44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2"/>
        <v>27</v>
      </c>
      <c r="P565" s="136" t="s">
        <v>2046</v>
      </c>
      <c r="Q565" s="131">
        <f t="shared" si="43"/>
        <v>1</v>
      </c>
      <c r="R565" s="132">
        <f t="shared" si="44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2"/>
        <v>20</v>
      </c>
      <c r="P566" s="136" t="s">
        <v>2047</v>
      </c>
      <c r="Q566" s="131">
        <f t="shared" si="43"/>
        <v>8</v>
      </c>
      <c r="R566" s="132">
        <f t="shared" si="44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2"/>
        <v>28</v>
      </c>
      <c r="P567" s="136" t="s">
        <v>2048</v>
      </c>
      <c r="Q567" s="131">
        <f t="shared" si="43"/>
        <v>0</v>
      </c>
      <c r="R567" s="132">
        <f t="shared" si="44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2"/>
        <v>28</v>
      </c>
      <c r="P568" s="136" t="s">
        <v>2049</v>
      </c>
      <c r="Q568" s="131">
        <f t="shared" si="43"/>
        <v>0</v>
      </c>
      <c r="R568" s="132">
        <f t="shared" si="44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2"/>
        <v>26</v>
      </c>
      <c r="P569" s="136" t="s">
        <v>2130</v>
      </c>
      <c r="Q569" s="131">
        <f t="shared" si="43"/>
        <v>2</v>
      </c>
      <c r="R569" s="132">
        <f t="shared" si="44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2"/>
        <v>19</v>
      </c>
      <c r="P570" s="136"/>
      <c r="Q570" s="131">
        <f t="shared" si="43"/>
        <v>9</v>
      </c>
      <c r="R570" s="132">
        <f t="shared" si="44"/>
        <v>0.6785714285714286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2"/>
        <v>28</v>
      </c>
      <c r="P571" s="136" t="s">
        <v>2131</v>
      </c>
      <c r="Q571" s="131">
        <f t="shared" si="43"/>
        <v>0</v>
      </c>
      <c r="R571" s="132">
        <f t="shared" si="44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2"/>
        <v>28</v>
      </c>
      <c r="P573" s="136" t="s">
        <v>2127</v>
      </c>
      <c r="Q573" s="31">
        <f t="shared" si="43"/>
        <v>0</v>
      </c>
      <c r="R573" s="32">
        <f t="shared" si="44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2"/>
        <v>28</v>
      </c>
      <c r="P574" s="136" t="s">
        <v>2050</v>
      </c>
      <c r="Q574" s="31">
        <f t="shared" si="43"/>
        <v>0</v>
      </c>
      <c r="R574" s="32">
        <f t="shared" si="44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2"/>
        <v>28</v>
      </c>
      <c r="P575" s="136" t="s">
        <v>2128</v>
      </c>
      <c r="Q575" s="31">
        <f t="shared" si="43"/>
        <v>0</v>
      </c>
      <c r="R575" s="32">
        <f t="shared" si="44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2"/>
        <v>28</v>
      </c>
      <c r="P576" s="136" t="s">
        <v>2051</v>
      </c>
      <c r="Q576" s="31">
        <f t="shared" si="43"/>
        <v>0</v>
      </c>
      <c r="R576" s="32">
        <f t="shared" si="44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2"/>
        <v>28</v>
      </c>
      <c r="P577" s="136" t="s">
        <v>2052</v>
      </c>
      <c r="Q577" s="131">
        <f t="shared" si="43"/>
        <v>0</v>
      </c>
      <c r="R577" s="132">
        <f t="shared" si="44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2"/>
        <v>28</v>
      </c>
      <c r="P578" s="136" t="s">
        <v>2129</v>
      </c>
      <c r="Q578" s="31">
        <f t="shared" si="43"/>
        <v>0</v>
      </c>
      <c r="R578" s="32">
        <f t="shared" si="44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2"/>
        <v>25</v>
      </c>
      <c r="P579" s="136" t="s">
        <v>2053</v>
      </c>
      <c r="Q579" s="31">
        <f t="shared" si="43"/>
        <v>3</v>
      </c>
      <c r="R579" s="32">
        <f t="shared" si="44"/>
        <v>0.8928571428571429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2"/>
        <v>25</v>
      </c>
      <c r="P580" s="136" t="s">
        <v>2054</v>
      </c>
      <c r="Q580" s="31">
        <f t="shared" si="43"/>
        <v>3</v>
      </c>
      <c r="R580" s="32">
        <f t="shared" si="44"/>
        <v>0.8928571428571429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2"/>
        <v>27</v>
      </c>
      <c r="P581" s="136" t="s">
        <v>2055</v>
      </c>
      <c r="Q581" s="31">
        <f t="shared" si="43"/>
        <v>1</v>
      </c>
      <c r="R581" s="32">
        <f t="shared" si="44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2"/>
        <v>19</v>
      </c>
      <c r="P582" s="136" t="s">
        <v>2056</v>
      </c>
      <c r="Q582" s="31">
        <f t="shared" si="43"/>
        <v>9</v>
      </c>
      <c r="R582" s="32">
        <f t="shared" si="44"/>
        <v>0.6785714285714286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2"/>
        <v>28</v>
      </c>
      <c r="P583" s="136" t="s">
        <v>2058</v>
      </c>
      <c r="Q583" s="31">
        <f t="shared" si="43"/>
        <v>0</v>
      </c>
      <c r="R583" s="32">
        <f t="shared" si="44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2"/>
        <v>28</v>
      </c>
      <c r="P584" s="136" t="s">
        <v>2059</v>
      </c>
      <c r="Q584" s="31">
        <f t="shared" si="43"/>
        <v>0</v>
      </c>
      <c r="R584" s="32">
        <f t="shared" si="44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2"/>
        <v>28</v>
      </c>
      <c r="P585" s="136" t="s">
        <v>2057</v>
      </c>
      <c r="Q585" s="31">
        <f t="shared" si="43"/>
        <v>0</v>
      </c>
      <c r="R585" s="32">
        <f t="shared" si="44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2"/>
        <v>28</v>
      </c>
      <c r="P586" s="136" t="s">
        <v>2060</v>
      </c>
      <c r="Q586" s="31">
        <f t="shared" si="43"/>
        <v>0</v>
      </c>
      <c r="R586" s="32">
        <f t="shared" si="44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2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2"/>
        <v>27</v>
      </c>
      <c r="P588" s="136" t="s">
        <v>2144</v>
      </c>
      <c r="Q588" s="131">
        <f t="shared" si="43"/>
        <v>1</v>
      </c>
      <c r="R588" s="132">
        <f t="shared" si="44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2"/>
        <v>28</v>
      </c>
      <c r="P589" s="136" t="s">
        <v>2196</v>
      </c>
      <c r="Q589" s="131">
        <f t="shared" si="43"/>
        <v>0</v>
      </c>
      <c r="R589" s="132">
        <f t="shared" si="44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2"/>
        <v>28</v>
      </c>
      <c r="P590" s="136" t="s">
        <v>2419</v>
      </c>
      <c r="Q590" s="131">
        <f t="shared" si="43"/>
        <v>0</v>
      </c>
      <c r="R590" s="132">
        <f t="shared" si="44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2"/>
        <v>26</v>
      </c>
      <c r="P591" s="136" t="s">
        <v>2146</v>
      </c>
      <c r="Q591" s="31">
        <f t="shared" si="43"/>
        <v>2</v>
      </c>
      <c r="R591" s="32">
        <f t="shared" si="44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2"/>
        <v>28</v>
      </c>
      <c r="P592" s="136" t="s">
        <v>2147</v>
      </c>
      <c r="Q592" s="31">
        <f t="shared" si="43"/>
        <v>0</v>
      </c>
      <c r="R592" s="32">
        <f t="shared" si="44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2"/>
        <v>28</v>
      </c>
      <c r="P593" s="136" t="s">
        <v>2062</v>
      </c>
      <c r="Q593" s="31">
        <f t="shared" si="43"/>
        <v>0</v>
      </c>
      <c r="R593" s="32">
        <f t="shared" si="44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5">COUNTIF(S594:AT594,"")</f>
        <v>28</v>
      </c>
      <c r="P594" s="136" t="s">
        <v>2061</v>
      </c>
      <c r="Q594" s="31">
        <f t="shared" ref="Q594:Q605" si="46">COUNTIF(S594:AT594,"APAGADO")</f>
        <v>0</v>
      </c>
      <c r="R594" s="32">
        <f t="shared" ref="R594:R605" si="47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5"/>
        <v>28</v>
      </c>
      <c r="P595" s="136" t="s">
        <v>2063</v>
      </c>
      <c r="Q595" s="31">
        <f t="shared" si="46"/>
        <v>0</v>
      </c>
      <c r="R595" s="32">
        <f t="shared" si="47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5"/>
        <v>28</v>
      </c>
      <c r="P596" s="136" t="s">
        <v>2145</v>
      </c>
      <c r="Q596" s="31">
        <f t="shared" si="46"/>
        <v>0</v>
      </c>
      <c r="R596" s="32">
        <f t="shared" si="47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5"/>
        <v>28</v>
      </c>
      <c r="P597" s="136" t="s">
        <v>2067</v>
      </c>
      <c r="Q597" s="131">
        <f t="shared" si="46"/>
        <v>0</v>
      </c>
      <c r="R597" s="132">
        <f t="shared" si="47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5"/>
        <v>28</v>
      </c>
      <c r="P598" s="136" t="s">
        <v>2068</v>
      </c>
      <c r="Q598" s="131">
        <f t="shared" si="46"/>
        <v>0</v>
      </c>
      <c r="R598" s="132">
        <f t="shared" si="47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5"/>
        <v>28</v>
      </c>
      <c r="P599" s="136" t="s">
        <v>2069</v>
      </c>
      <c r="Q599" s="131">
        <f t="shared" si="46"/>
        <v>0</v>
      </c>
      <c r="R599" s="132">
        <f t="shared" si="47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5"/>
        <v>28</v>
      </c>
      <c r="P600" s="136" t="s">
        <v>2070</v>
      </c>
      <c r="Q600" s="131">
        <f t="shared" si="46"/>
        <v>0</v>
      </c>
      <c r="R600" s="132">
        <f t="shared" si="47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5"/>
        <v>28</v>
      </c>
      <c r="P601" s="136" t="s">
        <v>2073</v>
      </c>
      <c r="Q601" s="131">
        <f t="shared" si="46"/>
        <v>0</v>
      </c>
      <c r="R601" s="132">
        <f t="shared" si="47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5"/>
        <v>28</v>
      </c>
      <c r="P602" s="136" t="s">
        <v>2222</v>
      </c>
      <c r="Q602" s="131">
        <f t="shared" si="46"/>
        <v>0</v>
      </c>
      <c r="R602" s="132">
        <f t="shared" si="47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5"/>
        <v>28</v>
      </c>
      <c r="P603" s="136" t="s">
        <v>2064</v>
      </c>
      <c r="Q603" s="131">
        <f t="shared" si="46"/>
        <v>0</v>
      </c>
      <c r="R603" s="132">
        <f t="shared" si="47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5"/>
        <v>26</v>
      </c>
      <c r="P604" s="136" t="s">
        <v>2065</v>
      </c>
      <c r="Q604" s="131">
        <f t="shared" si="46"/>
        <v>2</v>
      </c>
      <c r="R604" s="132">
        <f t="shared" si="47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5"/>
        <v>28</v>
      </c>
      <c r="P605" s="136" t="s">
        <v>2066</v>
      </c>
      <c r="Q605" s="131">
        <f t="shared" si="46"/>
        <v>0</v>
      </c>
      <c r="R605" s="132">
        <f t="shared" si="47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0 H281:I281 H394:I394 I131:I147 I155:I156 I165:I166 I219:I222 I226:I229 I234:I237 I262 I272:I273 I280 I286:I291 I301:I303 I379:I384 I393 I410:I414 I426:I428 I431:I432 I490:I493 I561:I562 H688:H1048576 H282:H606">
    <cfRule type="cellIs" dxfId="255" priority="2458" operator="equal">
      <formula>$H$304</formula>
    </cfRule>
  </conditionalFormatting>
  <conditionalFormatting sqref="H1:H606">
    <cfRule type="cellIs" dxfId="254" priority="2455" operator="equal">
      <formula>"IPCOMS"</formula>
    </cfRule>
  </conditionalFormatting>
  <conditionalFormatting sqref="I165:I166 I226:I229 I262 I286:I291 I301:I303 I410:I414 I426:I428 I431:I432 H688:H1048576 H1:H280 I131:I147 I155:I156 I219:I222 I234:I237 I272:I273 I280 H281:I281 I379:I384 I393 H394:I394 I490:I493 I561:I562 H282:H606">
    <cfRule type="cellIs" dxfId="253" priority="2459" operator="equal">
      <formula>$H$283</formula>
    </cfRule>
  </conditionalFormatting>
  <conditionalFormatting sqref="I20:I21">
    <cfRule type="cellIs" dxfId="252" priority="5122" operator="equal">
      <formula>$H$283</formula>
    </cfRule>
  </conditionalFormatting>
  <conditionalFormatting sqref="I20:I21">
    <cfRule type="cellIs" dxfId="251" priority="5121" operator="equal">
      <formula>$H$304</formula>
    </cfRule>
  </conditionalFormatting>
  <conditionalFormatting sqref="I165:I166 I226:I227 I262 I286:I291 I301:I303 I410:I414 I426:I428 I431:I432 H688:H1048576 I20:I21">
    <cfRule type="cellIs" dxfId="250" priority="4667" operator="equal">
      <formula>"IPCOMS"</formula>
    </cfRule>
  </conditionalFormatting>
  <conditionalFormatting sqref="J592:J606 J688:J1048576 J1:J576">
    <cfRule type="containsText" dxfId="249" priority="5127" operator="containsText" text="fija">
      <formula>NOT(ISERROR(SEARCH("fija",J1)))</formula>
    </cfRule>
    <cfRule type="containsText" dxfId="248" priority="5128" operator="containsText" text="domo">
      <formula>NOT(ISERROR(SEARCH("domo",J1)))</formula>
    </cfRule>
  </conditionalFormatting>
  <conditionalFormatting sqref="J34:J35 J163:N234 J238:N408 J433:N576">
    <cfRule type="containsText" dxfId="247" priority="4595" operator="containsText" text="Radio">
      <formula>NOT(ISERROR(SEARCH("Radio",J34)))</formula>
    </cfRule>
  </conditionalFormatting>
  <conditionalFormatting sqref="J135:J148 L148:N148">
    <cfRule type="containsText" dxfId="246" priority="4609" operator="containsText" text="Radio">
      <formula>NOT(ISERROR(SEARCH("Radio",J135)))</formula>
    </cfRule>
  </conditionalFormatting>
  <conditionalFormatting sqref="J410:J414">
    <cfRule type="containsText" dxfId="245" priority="4628" operator="containsText" text="Radio">
      <formula>NOT(ISERROR(SEARCH("Radio",J410)))</formula>
    </cfRule>
  </conditionalFormatting>
  <conditionalFormatting sqref="J578">
    <cfRule type="containsText" dxfId="244" priority="5068" operator="containsText" text="fija">
      <formula>NOT(ISERROR(SEARCH("fija",J578)))</formula>
    </cfRule>
    <cfRule type="containsText" dxfId="243" priority="5069" operator="containsText" text="domo">
      <formula>NOT(ISERROR(SEARCH("domo",J578)))</formula>
    </cfRule>
    <cfRule type="containsText" dxfId="242" priority="5070" operator="containsText" text="Radio">
      <formula>NOT(ISERROR(SEARCH("Radio",J578)))</formula>
    </cfRule>
  </conditionalFormatting>
  <conditionalFormatting sqref="J578:J579">
    <cfRule type="containsText" dxfId="241" priority="5063" operator="containsText" text="fija">
      <formula>NOT(ISERROR(SEARCH("fija",J578)))</formula>
    </cfRule>
    <cfRule type="containsText" dxfId="240" priority="5064" operator="containsText" text="domo">
      <formula>NOT(ISERROR(SEARCH("domo",J578)))</formula>
    </cfRule>
  </conditionalFormatting>
  <conditionalFormatting sqref="J579">
    <cfRule type="containsText" dxfId="239" priority="5061" operator="containsText" text="fija">
      <formula>NOT(ISERROR(SEARCH("fija",J579)))</formula>
    </cfRule>
    <cfRule type="containsText" dxfId="238" priority="5062" operator="containsText" text="domo">
      <formula>NOT(ISERROR(SEARCH("domo",J579)))</formula>
    </cfRule>
    <cfRule type="containsText" dxfId="237" priority="5065" operator="containsText" text="Radio">
      <formula>NOT(ISERROR(SEARCH("Radio",J579)))</formula>
    </cfRule>
  </conditionalFormatting>
  <conditionalFormatting sqref="J582">
    <cfRule type="containsText" dxfId="236" priority="5058" operator="containsText" text="fija">
      <formula>NOT(ISERROR(SEARCH("fija",J582)))</formula>
    </cfRule>
    <cfRule type="containsText" dxfId="235" priority="5059" operator="containsText" text="domo">
      <formula>NOT(ISERROR(SEARCH("domo",J582)))</formula>
    </cfRule>
    <cfRule type="containsText" dxfId="234" priority="5060" operator="containsText" text="Radio">
      <formula>NOT(ISERROR(SEARCH("Radio",J582)))</formula>
    </cfRule>
  </conditionalFormatting>
  <conditionalFormatting sqref="J582:J583">
    <cfRule type="containsText" dxfId="233" priority="5053" operator="containsText" text="fija">
      <formula>NOT(ISERROR(SEARCH("fija",J582)))</formula>
    </cfRule>
    <cfRule type="containsText" dxfId="232" priority="5054" operator="containsText" text="domo">
      <formula>NOT(ISERROR(SEARCH("domo",J582)))</formula>
    </cfRule>
  </conditionalFormatting>
  <conditionalFormatting sqref="J583 J48:N134 K135:K136 J236:K237 J409:K409 K410:K414 J415:N430 J431:K432 J688:N1048576 J592:N606 M409:N409 L409:L414">
    <cfRule type="containsText" dxfId="231" priority="5055" operator="containsText" text="Radio">
      <formula>NOT(ISERROR(SEARCH("Radio",J48)))</formula>
    </cfRule>
  </conditionalFormatting>
  <conditionalFormatting sqref="J583:J584">
    <cfRule type="containsText" dxfId="230" priority="5048" operator="containsText" text="fija">
      <formula>NOT(ISERROR(SEARCH("fija",J583)))</formula>
    </cfRule>
    <cfRule type="containsText" dxfId="229" priority="5049" operator="containsText" text="domo">
      <formula>NOT(ISERROR(SEARCH("domo",J583)))</formula>
    </cfRule>
  </conditionalFormatting>
  <conditionalFormatting sqref="J584">
    <cfRule type="containsText" dxfId="228" priority="5050" operator="containsText" text="Radio">
      <formula>NOT(ISERROR(SEARCH("Radio",J584)))</formula>
    </cfRule>
  </conditionalFormatting>
  <conditionalFormatting sqref="J584:J585">
    <cfRule type="containsText" dxfId="227" priority="5043" operator="containsText" text="fija">
      <formula>NOT(ISERROR(SEARCH("fija",J584)))</formula>
    </cfRule>
    <cfRule type="containsText" dxfId="226" priority="5044" operator="containsText" text="domo">
      <formula>NOT(ISERROR(SEARCH("domo",J584)))</formula>
    </cfRule>
  </conditionalFormatting>
  <conditionalFormatting sqref="J585">
    <cfRule type="containsText" dxfId="225" priority="5041" operator="containsText" text="fija">
      <formula>NOT(ISERROR(SEARCH("fija",J585)))</formula>
    </cfRule>
    <cfRule type="containsText" dxfId="224" priority="5042" operator="containsText" text="domo">
      <formula>NOT(ISERROR(SEARCH("domo",J585)))</formula>
    </cfRule>
    <cfRule type="containsText" dxfId="223" priority="5045" operator="containsText" text="Radio">
      <formula>NOT(ISERROR(SEARCH("Radio",J585)))</formula>
    </cfRule>
  </conditionalFormatting>
  <conditionalFormatting sqref="J1:J587">
    <cfRule type="cellIs" dxfId="222" priority="2460" operator="equal">
      <formula>$J$10</formula>
    </cfRule>
  </conditionalFormatting>
  <conditionalFormatting sqref="J588:J606 J688:J1048576">
    <cfRule type="cellIs" dxfId="221" priority="5123" operator="equal">
      <formula>$J$10</formula>
    </cfRule>
  </conditionalFormatting>
  <conditionalFormatting sqref="J590">
    <cfRule type="containsText" dxfId="220" priority="5339" operator="containsText" text="fija">
      <formula>NOT(ISERROR(SEARCH("fija",J590)))</formula>
    </cfRule>
    <cfRule type="containsText" dxfId="219" priority="5340" operator="containsText" text="domo">
      <formula>NOT(ISERROR(SEARCH("domo",J590)))</formula>
    </cfRule>
  </conditionalFormatting>
  <conditionalFormatting sqref="J593:J596">
    <cfRule type="containsText" dxfId="218" priority="5071" operator="containsText" text="fija">
      <formula>NOT(ISERROR(SEARCH("fija",J593)))</formula>
    </cfRule>
    <cfRule type="containsText" dxfId="217" priority="5072" operator="containsText" text="domo">
      <formula>NOT(ISERROR(SEARCH("domo",J593)))</formula>
    </cfRule>
  </conditionalFormatting>
  <conditionalFormatting sqref="J235:K235">
    <cfRule type="containsText" dxfId="216" priority="4630" operator="containsText" text="Radio">
      <formula>NOT(ISERROR(SEARCH("Radio",J235)))</formula>
    </cfRule>
  </conditionalFormatting>
  <conditionalFormatting sqref="J37:L47">
    <cfRule type="containsText" dxfId="215" priority="4600" operator="containsText" text="Radio">
      <formula>NOT(ISERROR(SEARCH("Radio",J37)))</formula>
    </cfRule>
  </conditionalFormatting>
  <conditionalFormatting sqref="J1:N36">
    <cfRule type="containsText" dxfId="214" priority="4665" operator="containsText" text="Radio">
      <formula>NOT(ISERROR(SEARCH("Radio",J1)))</formula>
    </cfRule>
  </conditionalFormatting>
  <conditionalFormatting sqref="J149:N156 J158:N162 L157 J157 N157">
    <cfRule type="containsText" dxfId="213" priority="4603" operator="containsText" text="Radio">
      <formula>NOT(ISERROR(SEARCH("Radio",J149)))</formula>
    </cfRule>
  </conditionalFormatting>
  <conditionalFormatting sqref="J590:N590 K591">
    <cfRule type="containsText" dxfId="212" priority="5596" operator="containsText" text="Radio">
      <formula>NOT(ISERROR(SEARCH("Radio",J590)))</formula>
    </cfRule>
  </conditionalFormatting>
  <conditionalFormatting sqref="K1:K136 K688:K1048576 K163:K586">
    <cfRule type="cellIs" dxfId="211" priority="4668" operator="equal">
      <formula>"GPON"</formula>
    </cfRule>
    <cfRule type="cellIs" dxfId="210" priority="4669" operator="equal">
      <formula>"GPON"</formula>
    </cfRule>
  </conditionalFormatting>
  <conditionalFormatting sqref="K139">
    <cfRule type="cellIs" dxfId="209" priority="4656" operator="equal">
      <formula>"GPON"</formula>
    </cfRule>
    <cfRule type="cellIs" dxfId="208" priority="4657" operator="equal">
      <formula>"GPON"</formula>
    </cfRule>
    <cfRule type="containsText" dxfId="207" priority="4658" operator="containsText" text="Radio">
      <formula>NOT(ISERROR(SEARCH("Radio",K139)))</formula>
    </cfRule>
    <cfRule type="cellIs" dxfId="206" priority="4659" operator="equal">
      <formula>$K$13</formula>
    </cfRule>
    <cfRule type="cellIs" dxfId="205" priority="4660" operator="equal">
      <formula>"PTP A FO"</formula>
    </cfRule>
    <cfRule type="cellIs" dxfId="204" priority="4661" operator="equal">
      <formula>"PTP A FO"</formula>
    </cfRule>
  </conditionalFormatting>
  <conditionalFormatting sqref="K142:K149">
    <cfRule type="containsText" dxfId="203" priority="4633" operator="containsText" text="Radio">
      <formula>NOT(ISERROR(SEARCH("Radio",K142)))</formula>
    </cfRule>
    <cfRule type="cellIs" dxfId="202" priority="4634" operator="equal">
      <formula>$K$13</formula>
    </cfRule>
    <cfRule type="cellIs" dxfId="201" priority="4635" operator="equal">
      <formula>"PTP A FO"</formula>
    </cfRule>
    <cfRule type="cellIs" dxfId="200" priority="4636" operator="equal">
      <formula>"PTP A FO"</formula>
    </cfRule>
  </conditionalFormatting>
  <conditionalFormatting sqref="K142:K156 K158:K162">
    <cfRule type="cellIs" dxfId="199" priority="4601" operator="equal">
      <formula>"GPON"</formula>
    </cfRule>
    <cfRule type="cellIs" dxfId="198" priority="4602" operator="equal">
      <formula>"GPON"</formula>
    </cfRule>
  </conditionalFormatting>
  <conditionalFormatting sqref="K146:K147">
    <cfRule type="containsText" dxfId="197" priority="4596" operator="containsText" text="Radio">
      <formula>NOT(ISERROR(SEARCH("Radio",K146)))</formula>
    </cfRule>
    <cfRule type="cellIs" dxfId="196" priority="4597" operator="equal">
      <formula>$K$13</formula>
    </cfRule>
    <cfRule type="cellIs" dxfId="195" priority="4598" operator="equal">
      <formula>"PTP A FO"</formula>
    </cfRule>
    <cfRule type="cellIs" dxfId="194" priority="4599" operator="equal">
      <formula>"PTP A FO"</formula>
    </cfRule>
  </conditionalFormatting>
  <conditionalFormatting sqref="K235:K237">
    <cfRule type="cellIs" dxfId="193" priority="4647" operator="equal">
      <formula>$K$13</formula>
    </cfRule>
    <cfRule type="cellIs" dxfId="192" priority="4648" operator="equal">
      <formula>"PTP A FO"</formula>
    </cfRule>
    <cfRule type="cellIs" dxfId="191" priority="4649" operator="equal">
      <formula>"PTP A FO"</formula>
    </cfRule>
  </conditionalFormatting>
  <conditionalFormatting sqref="K236:K237">
    <cfRule type="cellIs" dxfId="190" priority="4643" operator="equal">
      <formula>$K$13</formula>
    </cfRule>
    <cfRule type="cellIs" dxfId="189" priority="4644" operator="equal">
      <formula>"PTP A FO"</formula>
    </cfRule>
    <cfRule type="cellIs" dxfId="188" priority="4645" operator="equal">
      <formula>"PTP A FO"</formula>
    </cfRule>
  </conditionalFormatting>
  <conditionalFormatting sqref="K431:K432">
    <cfRule type="containsText" dxfId="187" priority="4652" operator="containsText" text="Radio">
      <formula>NOT(ISERROR(SEARCH("Radio",K431)))</formula>
    </cfRule>
    <cfRule type="cellIs" dxfId="186" priority="4653" operator="equal">
      <formula>$K$13</formula>
    </cfRule>
    <cfRule type="cellIs" dxfId="185" priority="4654" operator="equal">
      <formula>"PTP A FO"</formula>
    </cfRule>
    <cfRule type="cellIs" dxfId="184" priority="4655" operator="equal">
      <formula>"PTP A FO"</formula>
    </cfRule>
  </conditionalFormatting>
  <conditionalFormatting sqref="K577">
    <cfRule type="containsText" dxfId="183" priority="4718" operator="containsText" text="Radio">
      <formula>NOT(ISERROR(SEARCH("Radio",K577)))</formula>
    </cfRule>
    <cfRule type="cellIs" dxfId="182" priority="4719" operator="equal">
      <formula>"PTP A FO"</formula>
    </cfRule>
  </conditionalFormatting>
  <conditionalFormatting sqref="K587:K606">
    <cfRule type="cellIs" dxfId="181" priority="2456" operator="equal">
      <formula>"GPON"</formula>
    </cfRule>
    <cfRule type="cellIs" dxfId="180" priority="2457" operator="equal">
      <formula>"GPON"</formula>
    </cfRule>
  </conditionalFormatting>
  <conditionalFormatting sqref="K1:L134 K135:K136 K163:L234 K238:L430 K431:K432 K590:L590 K591 K592:L606 K688:L1048576 K433:L576">
    <cfRule type="cellIs" dxfId="179" priority="5320" operator="equal">
      <formula>"PTP A FO"</formula>
    </cfRule>
  </conditionalFormatting>
  <conditionalFormatting sqref="K1:L134 K135:K136 K163:L234 K238:L430 K431:K432 K588:L606 K688:L1048576 K433:L586">
    <cfRule type="cellIs" dxfId="178" priority="5125" operator="equal">
      <formula>"PTP A FO"</formula>
    </cfRule>
  </conditionalFormatting>
  <conditionalFormatting sqref="K1:L134 K135:K136 K238:L430 K431:K432 K588:L606 K688:L1048576 K163:L234 K433:L586">
    <cfRule type="cellIs" dxfId="177" priority="5124" operator="equal">
      <formula>$K$13</formula>
    </cfRule>
  </conditionalFormatting>
  <conditionalFormatting sqref="K149:L156 K158:L162 L157">
    <cfRule type="cellIs" dxfId="176" priority="4604" operator="equal">
      <formula>$K$13</formula>
    </cfRule>
    <cfRule type="cellIs" dxfId="175" priority="4605" operator="equal">
      <formula>"PTP A FO"</formula>
    </cfRule>
    <cfRule type="cellIs" dxfId="174" priority="4606" operator="equal">
      <formula>"PTP A FO"</formula>
    </cfRule>
  </conditionalFormatting>
  <conditionalFormatting sqref="K587:L587">
    <cfRule type="cellIs" dxfId="173" priority="2461" operator="equal">
      <formula>$K$13</formula>
    </cfRule>
    <cfRule type="cellIs" dxfId="172" priority="2462" operator="equal">
      <formula>"PTP A FO"</formula>
    </cfRule>
  </conditionalFormatting>
  <conditionalFormatting sqref="L148">
    <cfRule type="cellIs" dxfId="171" priority="4610" operator="equal">
      <formula>$K$13</formula>
    </cfRule>
    <cfRule type="cellIs" dxfId="170" priority="4611" operator="equal">
      <formula>"PTP A FO"</formula>
    </cfRule>
    <cfRule type="cellIs" dxfId="169" priority="4612" operator="equal">
      <formula>"PTP A FO"</formula>
    </cfRule>
  </conditionalFormatting>
  <conditionalFormatting sqref="R7:R404 R406:R606">
    <cfRule type="cellIs" dxfId="168" priority="5555" operator="lessThan">
      <formula>0.8</formula>
    </cfRule>
    <cfRule type="cellIs" dxfId="167" priority="5556" operator="greaterThan">
      <formula>0.8</formula>
    </cfRule>
  </conditionalFormatting>
  <conditionalFormatting sqref="S36:T43">
    <cfRule type="cellIs" dxfId="166" priority="555" operator="equal">
      <formula>"APAGADO"</formula>
    </cfRule>
  </conditionalFormatting>
  <conditionalFormatting sqref="S424:T432">
    <cfRule type="cellIs" dxfId="165" priority="513" operator="equal">
      <formula>"APAGADO"</formula>
    </cfRule>
  </conditionalFormatting>
  <conditionalFormatting sqref="S351:U367">
    <cfRule type="cellIs" dxfId="164" priority="430" operator="equal">
      <formula>"APAGADO"</formula>
    </cfRule>
  </conditionalFormatting>
  <conditionalFormatting sqref="S410:U413">
    <cfRule type="cellIs" dxfId="163" priority="1651" operator="equal">
      <formula>"APAGADO"</formula>
    </cfRule>
  </conditionalFormatting>
  <conditionalFormatting sqref="S433:W433 Y433:AD433">
    <cfRule type="cellIs" dxfId="162" priority="3353" operator="equal">
      <formula>"APAGADO"</formula>
    </cfRule>
  </conditionalFormatting>
  <conditionalFormatting sqref="S414:Z415">
    <cfRule type="cellIs" dxfId="161" priority="243" operator="equal">
      <formula>"APAGADO"</formula>
    </cfRule>
  </conditionalFormatting>
  <conditionalFormatting sqref="S121:AA121">
    <cfRule type="cellIs" dxfId="160" priority="3446" operator="equal">
      <formula>"APAGADO"</formula>
    </cfRule>
  </conditionalFormatting>
  <conditionalFormatting sqref="S434:AD434">
    <cfRule type="cellIs" dxfId="159" priority="223" operator="equal">
      <formula>"APAGADO"</formula>
    </cfRule>
  </conditionalFormatting>
  <conditionalFormatting sqref="S334:AT341 S344:AT344 S342:AF343 AH342:AT343 S346:AT350 S345:AF345 AH345:AT345">
    <cfRule type="cellIs" dxfId="158" priority="63" operator="equal">
      <formula>"APAGADO"</formula>
    </cfRule>
  </conditionalFormatting>
  <conditionalFormatting sqref="S368:AT369 S372:AT404 S370:AF371 AH370:AT371">
    <cfRule type="cellIs" dxfId="157" priority="95" operator="equal">
      <formula>"APAGADO"</formula>
    </cfRule>
  </conditionalFormatting>
  <conditionalFormatting sqref="S406:AT409">
    <cfRule type="cellIs" dxfId="156" priority="998" operator="equal">
      <formula>"APAGADO"</formula>
    </cfRule>
  </conditionalFormatting>
  <conditionalFormatting sqref="S8:AV35">
    <cfRule type="cellIs" dxfId="155" priority="563" operator="equal">
      <formula>"APAGADO"</formula>
    </cfRule>
  </conditionalFormatting>
  <conditionalFormatting sqref="S44:AV76 S78:AV120 S77:AF77 AH77:AV77">
    <cfRule type="cellIs" dxfId="154" priority="107" operator="equal">
      <formula>"APAGADO"</formula>
    </cfRule>
  </conditionalFormatting>
  <conditionalFormatting sqref="S122:AV130 S132:AV148 S131:AF131 AH131:AV131 S151:AV166 S149:AF150 AH149:AV150 S168:AV171 S167:AF167 AH167:AV167 S173:AV197 S172:AF172 AH172:AV172 S199:AV209 S198:AF198 AH198:AV198 S211:AV211 S210:AF210 AH210:AV210 S214:AV219 S212:AF213 AH212:AV213 S221:AV234 S220:AF220 AH220:AV220">
    <cfRule type="cellIs" dxfId="153" priority="105" operator="equal">
      <formula>"APAGADO"</formula>
    </cfRule>
  </conditionalFormatting>
  <conditionalFormatting sqref="S238:AV252 S254:AV254 S253:AF253 AH253:AV253 S258:AV301 S255:AF257 AH255:AV257 S304:AV321 S302:AF303 AH302:AV303 S323:AV323 S322:AF322 AH322:AV322 S326:AV330 S331:AF333 AH331:AV333 S324:AF325 AH324:AV325">
    <cfRule type="cellIs" dxfId="152" priority="62" operator="equal">
      <formula>"APAGADO"</formula>
    </cfRule>
  </conditionalFormatting>
  <conditionalFormatting sqref="S416:AV417 S419:AV419 S418:AF418 AH418:AV418 S420:AF423 AH420:AV423">
    <cfRule type="cellIs" dxfId="151" priority="89" operator="equal">
      <formula>"APAGADO"</formula>
    </cfRule>
  </conditionalFormatting>
  <conditionalFormatting sqref="S435:AV438 S440:AV462 S439:AF439 AH439:AV439 S464:AV465 S463:AF463 AH463:AV463 S468:AV476 S466:AF467 AH466:AV467 S477:AF479 AH477:AV479 S480:AV481 S483:AV508 S482:AF482 AH482:AV482 S510:AV534 S509:AF509 AH509:AV509 S536:AV537 S535:AF535 AH535:AV535 S540:AV544 S538:AF539 AH538:AV539 S547:AV557 S545:AF546 AH545:AV546 S559:AV569 S558:AF558 AH558:AV558 S571:AV578 S570:AF570 AH570:AV570 S583:AV606 S582:AF582 AH582:AV582 S581:AV581 S579:AF580 AH579:AV580">
    <cfRule type="cellIs" dxfId="150" priority="69" operator="equal">
      <formula>"APAGADO"</formula>
    </cfRule>
  </conditionalFormatting>
  <conditionalFormatting sqref="S688:AV764 AC688:AN1048576">
    <cfRule type="cellIs" dxfId="149" priority="4702" operator="equal">
      <formula>"apagado"</formula>
    </cfRule>
  </conditionalFormatting>
  <conditionalFormatting sqref="S688:AV1048576">
    <cfRule type="containsText" dxfId="148" priority="5252" operator="containsText" text="Caida">
      <formula>NOT(ISERROR(SEARCH("Caida",S688)))</formula>
    </cfRule>
    <cfRule type="notContainsText" dxfId="147" priority="5585" operator="notContains" text="Caida">
      <formula>ISERROR(SEARCH("Caida",S688))</formula>
    </cfRule>
  </conditionalFormatting>
  <conditionalFormatting sqref="U688:U1207">
    <cfRule type="notContainsText" dxfId="146" priority="4881" operator="notContains" text="Caida">
      <formula>ISERROR(SEARCH("Caida",U688))</formula>
    </cfRule>
    <cfRule type="containsText" dxfId="145" priority="4882" operator="containsText" text="Caida">
      <formula>NOT(ISERROR(SEARCH("Caida",U688)))</formula>
    </cfRule>
    <cfRule type="cellIs" dxfId="144" priority="4883" operator="lessThan">
      <formula>0.8</formula>
    </cfRule>
    <cfRule type="cellIs" dxfId="143" priority="4884" operator="greaterThan">
      <formula>0.8</formula>
    </cfRule>
    <cfRule type="cellIs" dxfId="142" priority="4907" operator="greaterThan">
      <formula>0.8</formula>
    </cfRule>
    <cfRule type="cellIs" dxfId="141" priority="5011" operator="equal">
      <formula>"APAGADO"</formula>
    </cfRule>
  </conditionalFormatting>
  <conditionalFormatting sqref="U688:U1048576">
    <cfRule type="cellIs" dxfId="140" priority="4901" operator="equal">
      <formula>$U$16</formula>
    </cfRule>
  </conditionalFormatting>
  <conditionalFormatting sqref="U37:W38">
    <cfRule type="cellIs" dxfId="139" priority="3414" operator="equal">
      <formula>"APAGADO"</formula>
    </cfRule>
  </conditionalFormatting>
  <conditionalFormatting sqref="U432:W432">
    <cfRule type="cellIs" dxfId="138" priority="1530" operator="equal">
      <formula>"APAGADO"</formula>
    </cfRule>
  </conditionalFormatting>
  <conditionalFormatting sqref="U39:AG40">
    <cfRule type="cellIs" dxfId="137" priority="1261" operator="equal">
      <formula>"APAGADO"</formula>
    </cfRule>
  </conditionalFormatting>
  <conditionalFormatting sqref="U36:AV36">
    <cfRule type="cellIs" dxfId="136" priority="838" operator="equal">
      <formula>"APAGADO"</formula>
    </cfRule>
  </conditionalFormatting>
  <conditionalFormatting sqref="U41:AV43">
    <cfRule type="cellIs" dxfId="135" priority="275" operator="equal">
      <formula>"APAGADO"</formula>
    </cfRule>
  </conditionalFormatting>
  <conditionalFormatting sqref="U424:AV430">
    <cfRule type="cellIs" dxfId="134" priority="152" operator="equal">
      <formula>"APAGADO"</formula>
    </cfRule>
  </conditionalFormatting>
  <conditionalFormatting sqref="V236:W236">
    <cfRule type="cellIs" dxfId="133" priority="3426" operator="equal">
      <formula>"APAGADO"</formula>
    </cfRule>
  </conditionalFormatting>
  <conditionalFormatting sqref="V351:AT357">
    <cfRule type="cellIs" dxfId="132" priority="247" operator="equal">
      <formula>"APAGADO"</formula>
    </cfRule>
  </conditionalFormatting>
  <conditionalFormatting sqref="V359:AT367">
    <cfRule type="cellIs" dxfId="131" priority="806" operator="equal">
      <formula>"APAGADO"</formula>
    </cfRule>
  </conditionalFormatting>
  <conditionalFormatting sqref="X432:X433">
    <cfRule type="cellIs" dxfId="130" priority="3282" operator="equal">
      <formula>"APAGADO"</formula>
    </cfRule>
  </conditionalFormatting>
  <conditionalFormatting sqref="X413:Z413">
    <cfRule type="cellIs" dxfId="129" priority="3001" operator="equal">
      <formula>"APAGADO"</formula>
    </cfRule>
  </conditionalFormatting>
  <conditionalFormatting sqref="X38:AG38">
    <cfRule type="cellIs" dxfId="128" priority="4478" operator="equal">
      <formula>"APAGADO"</formula>
    </cfRule>
  </conditionalFormatting>
  <conditionalFormatting sqref="X37:AJ37 AF235:AF237 V358:AH358 AJ358:AT358 AO688:AV1048576">
    <cfRule type="cellIs" dxfId="127" priority="4701" operator="equal">
      <formula>"APAGADO"</formula>
    </cfRule>
  </conditionalFormatting>
  <conditionalFormatting sqref="Y432:AO432">
    <cfRule type="cellIs" dxfId="126" priority="924" operator="equal">
      <formula>"APAGADO"</formula>
    </cfRule>
  </conditionalFormatting>
  <conditionalFormatting sqref="Y405:AT405">
    <cfRule type="cellIs" dxfId="125" priority="3002" operator="equal">
      <formula>"APAGADO"</formula>
    </cfRule>
  </conditionalFormatting>
  <conditionalFormatting sqref="AA414:AF414 AH414:AP414">
    <cfRule type="cellIs" dxfId="124" priority="94" operator="equal">
      <formula>"APAGADO"</formula>
    </cfRule>
  </conditionalFormatting>
  <conditionalFormatting sqref="AA415:AU415">
    <cfRule type="cellIs" dxfId="123" priority="2242" operator="equal">
      <formula>"APAGADO"</formula>
    </cfRule>
  </conditionalFormatting>
  <conditionalFormatting sqref="AC121:AV121">
    <cfRule type="cellIs" dxfId="122" priority="3614" operator="equal">
      <formula>"APAGADO"</formula>
    </cfRule>
  </conditionalFormatting>
  <conditionalFormatting sqref="AD413:AI413">
    <cfRule type="cellIs" dxfId="121" priority="1355" operator="equal">
      <formula>"APAGADO"</formula>
    </cfRule>
  </conditionalFormatting>
  <conditionalFormatting sqref="AE433:AV434">
    <cfRule type="cellIs" dxfId="120" priority="147" operator="equal">
      <formula>"APAGADO"</formula>
    </cfRule>
  </conditionalFormatting>
  <conditionalFormatting sqref="AH236:AI236">
    <cfRule type="cellIs" dxfId="119" priority="4483" operator="equal">
      <formula>"APAGADO"</formula>
    </cfRule>
  </conditionalFormatting>
  <conditionalFormatting sqref="AH38:AV40">
    <cfRule type="cellIs" dxfId="118" priority="687" operator="equal">
      <formula>"APAGADO"</formula>
    </cfRule>
  </conditionalFormatting>
  <conditionalFormatting sqref="AL236:AP236">
    <cfRule type="cellIs" dxfId="117" priority="4024" operator="equal">
      <formula>"APAGADO"</formula>
    </cfRule>
  </conditionalFormatting>
  <conditionalFormatting sqref="AL413:AP413">
    <cfRule type="cellIs" dxfId="116" priority="1048" operator="equal">
      <formula>"APAGADO"</formula>
    </cfRule>
  </conditionalFormatting>
  <conditionalFormatting sqref="AL37:AV37">
    <cfRule type="cellIs" dxfId="115" priority="3621" operator="equal">
      <formula>"APAGADO"</formula>
    </cfRule>
  </conditionalFormatting>
  <conditionalFormatting sqref="AR414:AU414">
    <cfRule type="cellIs" dxfId="114" priority="715" operator="equal">
      <formula>"APAGADO"</formula>
    </cfRule>
  </conditionalFormatting>
  <conditionalFormatting sqref="AR432:AU432">
    <cfRule type="cellIs" dxfId="113" priority="1816" operator="equal">
      <formula>"APAGADO"</formula>
    </cfRule>
  </conditionalFormatting>
  <conditionalFormatting sqref="AR236:AV236">
    <cfRule type="cellIs" dxfId="112" priority="3595" operator="equal">
      <formula>"APAGADO"</formula>
    </cfRule>
  </conditionalFormatting>
  <conditionalFormatting sqref="AU334:AV409">
    <cfRule type="cellIs" dxfId="111" priority="629" operator="equal">
      <formula>"APAGADO"</formula>
    </cfRule>
  </conditionalFormatting>
  <conditionalFormatting sqref="AV413:AV415">
    <cfRule type="cellIs" dxfId="110" priority="665" operator="equal">
      <formula>"APAGADO"</formula>
    </cfRule>
  </conditionalFormatting>
  <conditionalFormatting sqref="AG77">
    <cfRule type="cellIs" dxfId="109" priority="61" operator="equal">
      <formula>"APAGADO"</formula>
    </cfRule>
  </conditionalFormatting>
  <conditionalFormatting sqref="AG131">
    <cfRule type="cellIs" dxfId="108" priority="60" operator="equal">
      <formula>"APAGADO"</formula>
    </cfRule>
  </conditionalFormatting>
  <conditionalFormatting sqref="AG149">
    <cfRule type="cellIs" dxfId="107" priority="59" operator="equal">
      <formula>"APAGADO"</formula>
    </cfRule>
  </conditionalFormatting>
  <conditionalFormatting sqref="AG150">
    <cfRule type="cellIs" dxfId="106" priority="58" operator="equal">
      <formula>"APAGADO"</formula>
    </cfRule>
  </conditionalFormatting>
  <conditionalFormatting sqref="AG167">
    <cfRule type="cellIs" dxfId="105" priority="57" operator="equal">
      <formula>"APAGADO"</formula>
    </cfRule>
  </conditionalFormatting>
  <conditionalFormatting sqref="AG172">
    <cfRule type="cellIs" dxfId="104" priority="56" operator="equal">
      <formula>"APAGADO"</formula>
    </cfRule>
  </conditionalFormatting>
  <conditionalFormatting sqref="AG198">
    <cfRule type="cellIs" dxfId="103" priority="55" operator="equal">
      <formula>"APAGADO"</formula>
    </cfRule>
  </conditionalFormatting>
  <conditionalFormatting sqref="AG210">
    <cfRule type="cellIs" dxfId="102" priority="54" operator="equal">
      <formula>"APAGADO"</formula>
    </cfRule>
  </conditionalFormatting>
  <conditionalFormatting sqref="AG212">
    <cfRule type="cellIs" dxfId="101" priority="53" operator="equal">
      <formula>"APAGADO"</formula>
    </cfRule>
  </conditionalFormatting>
  <conditionalFormatting sqref="AG213">
    <cfRule type="cellIs" dxfId="100" priority="52" operator="equal">
      <formula>"APAGADO"</formula>
    </cfRule>
  </conditionalFormatting>
  <conditionalFormatting sqref="AG220">
    <cfRule type="cellIs" dxfId="99" priority="51" operator="equal">
      <formula>"APAGADO"</formula>
    </cfRule>
  </conditionalFormatting>
  <conditionalFormatting sqref="AG253">
    <cfRule type="cellIs" dxfId="98" priority="50" operator="equal">
      <formula>"APAGADO"</formula>
    </cfRule>
  </conditionalFormatting>
  <conditionalFormatting sqref="AG255">
    <cfRule type="cellIs" dxfId="97" priority="49" operator="equal">
      <formula>"APAGADO"</formula>
    </cfRule>
  </conditionalFormatting>
  <conditionalFormatting sqref="AG256">
    <cfRule type="cellIs" dxfId="96" priority="48" operator="equal">
      <formula>"APAGADO"</formula>
    </cfRule>
  </conditionalFormatting>
  <conditionalFormatting sqref="AG257">
    <cfRule type="cellIs" dxfId="95" priority="47" operator="equal">
      <formula>"APAGADO"</formula>
    </cfRule>
  </conditionalFormatting>
  <conditionalFormatting sqref="AG302">
    <cfRule type="cellIs" dxfId="94" priority="46" operator="equal">
      <formula>"APAGADO"</formula>
    </cfRule>
  </conditionalFormatting>
  <conditionalFormatting sqref="AG303">
    <cfRule type="cellIs" dxfId="93" priority="45" operator="equal">
      <formula>"APAGADO"</formula>
    </cfRule>
  </conditionalFormatting>
  <conditionalFormatting sqref="AG342">
    <cfRule type="cellIs" dxfId="92" priority="44" operator="equal">
      <formula>"APAGADO"</formula>
    </cfRule>
  </conditionalFormatting>
  <conditionalFormatting sqref="AG343">
    <cfRule type="cellIs" dxfId="91" priority="43" operator="equal">
      <formula>"APAGADO"</formula>
    </cfRule>
  </conditionalFormatting>
  <conditionalFormatting sqref="AG345">
    <cfRule type="cellIs" dxfId="90" priority="42" operator="equal">
      <formula>"APAGADO"</formula>
    </cfRule>
  </conditionalFormatting>
  <conditionalFormatting sqref="AG370">
    <cfRule type="cellIs" dxfId="89" priority="41" operator="equal">
      <formula>"APAGADO"</formula>
    </cfRule>
  </conditionalFormatting>
  <conditionalFormatting sqref="AG371">
    <cfRule type="cellIs" dxfId="88" priority="40" operator="equal">
      <formula>"APAGADO"</formula>
    </cfRule>
  </conditionalFormatting>
  <conditionalFormatting sqref="AG418">
    <cfRule type="cellIs" dxfId="87" priority="39" operator="equal">
      <formula>"APAGADO"</formula>
    </cfRule>
  </conditionalFormatting>
  <conditionalFormatting sqref="AG414">
    <cfRule type="cellIs" dxfId="86" priority="38" operator="equal">
      <formula>"APAGADO"</formula>
    </cfRule>
  </conditionalFormatting>
  <conditionalFormatting sqref="AG420">
    <cfRule type="cellIs" dxfId="85" priority="37" operator="equal">
      <formula>"APAGADO"</formula>
    </cfRule>
  </conditionalFormatting>
  <conditionalFormatting sqref="AG421">
    <cfRule type="cellIs" dxfId="84" priority="36" operator="equal">
      <formula>"APAGADO"</formula>
    </cfRule>
  </conditionalFormatting>
  <conditionalFormatting sqref="AG422">
    <cfRule type="cellIs" dxfId="83" priority="35" operator="equal">
      <formula>"APAGADO"</formula>
    </cfRule>
  </conditionalFormatting>
  <conditionalFormatting sqref="AG423">
    <cfRule type="cellIs" dxfId="82" priority="34" operator="equal">
      <formula>"APAGADO"</formula>
    </cfRule>
  </conditionalFormatting>
  <conditionalFormatting sqref="AG439">
    <cfRule type="cellIs" dxfId="81" priority="33" operator="equal">
      <formula>"APAGADO"</formula>
    </cfRule>
  </conditionalFormatting>
  <conditionalFormatting sqref="AG463">
    <cfRule type="cellIs" dxfId="80" priority="32" operator="equal">
      <formula>"APAGADO"</formula>
    </cfRule>
  </conditionalFormatting>
  <conditionalFormatting sqref="AG466">
    <cfRule type="cellIs" dxfId="79" priority="31" operator="equal">
      <formula>"APAGADO"</formula>
    </cfRule>
  </conditionalFormatting>
  <conditionalFormatting sqref="AG467">
    <cfRule type="cellIs" dxfId="78" priority="30" operator="equal">
      <formula>"APAGADO"</formula>
    </cfRule>
  </conditionalFormatting>
  <conditionalFormatting sqref="AG477">
    <cfRule type="cellIs" dxfId="77" priority="29" operator="equal">
      <formula>"APAGADO"</formula>
    </cfRule>
  </conditionalFormatting>
  <conditionalFormatting sqref="AG478">
    <cfRule type="cellIs" dxfId="76" priority="28" operator="equal">
      <formula>"APAGADO"</formula>
    </cfRule>
  </conditionalFormatting>
  <conditionalFormatting sqref="AG479">
    <cfRule type="cellIs" dxfId="75" priority="27" operator="equal">
      <formula>"APAGADO"</formula>
    </cfRule>
  </conditionalFormatting>
  <conditionalFormatting sqref="AG482">
    <cfRule type="cellIs" dxfId="74" priority="25" operator="equal">
      <formula>"APAGADO"</formula>
    </cfRule>
  </conditionalFormatting>
  <conditionalFormatting sqref="AG509">
    <cfRule type="cellIs" dxfId="73" priority="24" operator="equal">
      <formula>"APAGADO"</formula>
    </cfRule>
  </conditionalFormatting>
  <conditionalFormatting sqref="AG535">
    <cfRule type="cellIs" dxfId="72" priority="23" operator="equal">
      <formula>"APAGADO"</formula>
    </cfRule>
  </conditionalFormatting>
  <conditionalFormatting sqref="AG538">
    <cfRule type="cellIs" dxfId="71" priority="22" operator="equal">
      <formula>"APAGADO"</formula>
    </cfRule>
  </conditionalFormatting>
  <conditionalFormatting sqref="AG539">
    <cfRule type="cellIs" dxfId="70" priority="21" operator="equal">
      <formula>"APAGADO"</formula>
    </cfRule>
  </conditionalFormatting>
  <conditionalFormatting sqref="AG545">
    <cfRule type="cellIs" dxfId="69" priority="20" operator="equal">
      <formula>"APAGADO"</formula>
    </cfRule>
  </conditionalFormatting>
  <conditionalFormatting sqref="AG546">
    <cfRule type="cellIs" dxfId="68" priority="19" operator="equal">
      <formula>"APAGADO"</formula>
    </cfRule>
  </conditionalFormatting>
  <conditionalFormatting sqref="AG558">
    <cfRule type="cellIs" dxfId="67" priority="18" operator="equal">
      <formula>"APAGADO"</formula>
    </cfRule>
  </conditionalFormatting>
  <conditionalFormatting sqref="AG570">
    <cfRule type="cellIs" dxfId="66" priority="17" operator="equal">
      <formula>"APAGADO"</formula>
    </cfRule>
  </conditionalFormatting>
  <conditionalFormatting sqref="AG582">
    <cfRule type="cellIs" dxfId="65" priority="16" operator="equal">
      <formula>"APAGADO"</formula>
    </cfRule>
  </conditionalFormatting>
  <conditionalFormatting sqref="AG579">
    <cfRule type="cellIs" dxfId="64" priority="15" operator="equal">
      <formula>"APAGADO"</formula>
    </cfRule>
  </conditionalFormatting>
  <conditionalFormatting sqref="AG580">
    <cfRule type="cellIs" dxfId="63" priority="14" operator="equal">
      <formula>"APAGADO"</formula>
    </cfRule>
  </conditionalFormatting>
  <conditionalFormatting sqref="AG322">
    <cfRule type="cellIs" dxfId="62" priority="13" operator="equal">
      <formula>"APAGADO"</formula>
    </cfRule>
  </conditionalFormatting>
  <conditionalFormatting sqref="AG324">
    <cfRule type="cellIs" dxfId="61" priority="12" operator="equal">
      <formula>"APAGADO"</formula>
    </cfRule>
  </conditionalFormatting>
  <conditionalFormatting sqref="AG331">
    <cfRule type="cellIs" dxfId="60" priority="11" operator="equal">
      <formula>"APAGADO"</formula>
    </cfRule>
  </conditionalFormatting>
  <conditionalFormatting sqref="AG332">
    <cfRule type="cellIs" dxfId="59" priority="10" operator="equal">
      <formula>"APAGADO"</formula>
    </cfRule>
  </conditionalFormatting>
  <conditionalFormatting sqref="AG333">
    <cfRule type="cellIs" dxfId="58" priority="9" operator="equal">
      <formula>"APAGADO"</formula>
    </cfRule>
  </conditionalFormatting>
  <conditionalFormatting sqref="AG325">
    <cfRule type="cellIs" dxfId="57" priority="8" operator="equal">
      <formula>"APAGADO"</formula>
    </cfRule>
  </conditionalFormatting>
  <conditionalFormatting sqref="K157">
    <cfRule type="containsText" dxfId="56" priority="4" operator="containsText" text="Radio">
      <formula>NOT(ISERROR(SEARCH("Radio",K157)))</formula>
    </cfRule>
  </conditionalFormatting>
  <conditionalFormatting sqref="K157">
    <cfRule type="cellIs" dxfId="55" priority="2" operator="equal">
      <formula>"GPON"</formula>
    </cfRule>
    <cfRule type="cellIs" dxfId="54" priority="3" operator="equal">
      <formula>"GPON"</formula>
    </cfRule>
  </conditionalFormatting>
  <conditionalFormatting sqref="K157">
    <cfRule type="cellIs" dxfId="53" priority="7" operator="equal">
      <formula>"PTP A FO"</formula>
    </cfRule>
  </conditionalFormatting>
  <conditionalFormatting sqref="K157">
    <cfRule type="cellIs" dxfId="52" priority="6" operator="equal">
      <formula>"PTP A FO"</formula>
    </cfRule>
  </conditionalFormatting>
  <conditionalFormatting sqref="K157">
    <cfRule type="cellIs" dxfId="51" priority="5" operator="equal">
      <formula>$K$13</formula>
    </cfRule>
  </conditionalFormatting>
  <conditionalFormatting sqref="M157">
    <cfRule type="containsText" dxfId="50" priority="1" operator="containsText" text="Radio">
      <formula>NOT(ISERROR(SEARCH("Radio",M157)))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TOTAL'!F173</f>
        <v>LA ESMERALDA</v>
      </c>
      <c r="B129" t="str">
        <f>'RESUMEN TOTAL'!G173</f>
        <v>ESM 08</v>
      </c>
      <c r="C129" t="str">
        <f>'RESUMEN TOTAL'!I173</f>
        <v>DAVINSON Y MORANCHEL</v>
      </c>
      <c r="D129" s="30" t="str">
        <f>'RESUMEN TOTAL'!J173</f>
        <v>FIJA</v>
      </c>
      <c r="E129" s="30" t="str">
        <f>'RESUMEN TOTAL'!K173</f>
        <v>Radio</v>
      </c>
      <c r="F129" s="70">
        <f>'RESUMEN TOTAL'!S173</f>
        <v>0</v>
      </c>
      <c r="G129" s="70">
        <f>'RESUMEN TOTAL'!T173</f>
        <v>0</v>
      </c>
      <c r="H129" s="70">
        <f>'RESUMEN TOTAL'!U173</f>
        <v>0</v>
      </c>
      <c r="I129" s="70">
        <f>'RESUMEN TOTAL'!V173</f>
        <v>0</v>
      </c>
      <c r="J129" s="70">
        <f>'RESUMEN TOTAL'!W173</f>
        <v>0</v>
      </c>
      <c r="K129" s="70">
        <f>'RESUMEN TOTAL'!X173</f>
        <v>0</v>
      </c>
      <c r="L129" s="70">
        <f>'RESUMEN TOTAL'!Y173</f>
        <v>0</v>
      </c>
      <c r="M129" s="70">
        <f>'RESUMEN TOTAL'!Z173</f>
        <v>0</v>
      </c>
      <c r="N129" s="70">
        <f>'RESUMEN TOTAL'!AA173</f>
        <v>0</v>
      </c>
      <c r="O129" s="70">
        <f>'RESUMEN TOTAL'!AB173</f>
        <v>0</v>
      </c>
      <c r="P129" s="70">
        <f>'RESUMEN TOTAL'!AC173</f>
        <v>0</v>
      </c>
      <c r="Q129" s="70">
        <f>'RESUMEN TOTAL'!AD173</f>
        <v>0</v>
      </c>
      <c r="R129" s="70">
        <f>'RESUMEN TOTAL'!AE173</f>
        <v>0</v>
      </c>
      <c r="S129" s="70">
        <f>'RESUMEN TOTAL'!AF173</f>
        <v>0</v>
      </c>
      <c r="T129" s="70">
        <f>'RESUMEN TOTAL'!AG173</f>
        <v>0</v>
      </c>
      <c r="U129" s="70">
        <f>'RESUMEN TOTAL'!AH173</f>
        <v>0</v>
      </c>
      <c r="V129" s="70">
        <f>'RESUMEN TOTAL'!AI173</f>
        <v>0</v>
      </c>
      <c r="W129" s="70">
        <f>'RESUMEN TOTAL'!AJ173</f>
        <v>0</v>
      </c>
      <c r="X129" s="70">
        <f>'RESUMEN TOTAL'!AK173</f>
        <v>0</v>
      </c>
      <c r="Y129" s="70">
        <f>'RESUMEN TOTAL'!AL173</f>
        <v>0</v>
      </c>
      <c r="Z129" s="70">
        <f>'RESUMEN TOTAL'!AM173</f>
        <v>0</v>
      </c>
      <c r="AA129" s="70">
        <f>'RESUMEN TOTAL'!AN173</f>
        <v>0</v>
      </c>
      <c r="AB129" s="70">
        <f>'RESUMEN TOTAL'!AO173</f>
        <v>0</v>
      </c>
      <c r="AC129" s="70">
        <f>'RESUMEN TOTAL'!AP173</f>
        <v>0</v>
      </c>
      <c r="AD129" s="70">
        <f>'RESUMEN TOTAL'!AQ173</f>
        <v>0</v>
      </c>
      <c r="AE129" s="70">
        <f>'RESUMEN TOTAL'!AR173</f>
        <v>0</v>
      </c>
      <c r="AF129" s="70">
        <f>'RESUMEN TOTAL'!AS173</f>
        <v>0</v>
      </c>
      <c r="AG129" s="70">
        <f>'RESUMEN TOTAL'!AT173</f>
        <v>0</v>
      </c>
      <c r="AH129" s="70">
        <f>'RESUMEN TOTAL'!AU173</f>
        <v>0</v>
      </c>
      <c r="AI129" s="70">
        <f>'RESUMEN TOTAL'!AV173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>
        <f>'RESUMEN TOTAL'!AI280</f>
        <v>0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>
        <f>'RESUMEN TOTAL'!AL307</f>
        <v>0</v>
      </c>
      <c r="Z230" s="70">
        <f>'RESUMEN TOTAL'!AM307</f>
        <v>0</v>
      </c>
      <c r="AA230" s="70">
        <f>'RESUMEN TOTAL'!AN307</f>
        <v>0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>
        <f>'RESUMEN TOTAL'!AL308</f>
        <v>0</v>
      </c>
      <c r="Z231" s="70">
        <f>'RESUMEN TOTAL'!AM308</f>
        <v>0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>
        <f>'RESUMEN TOTAL'!AL311</f>
        <v>0</v>
      </c>
      <c r="Z234" s="70">
        <f>'RESUMEN TOTAL'!AM311</f>
        <v>0</v>
      </c>
      <c r="AA234" s="70">
        <f>'RESUMEN TOTAL'!AN311</f>
        <v>0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>
        <f>'RESUMEN TOTAL'!AL312</f>
        <v>0</v>
      </c>
      <c r="Z235" s="70">
        <f>'RESUMEN TOTAL'!AM312</f>
        <v>0</v>
      </c>
      <c r="AA235" s="70">
        <f>'RESUMEN TOTAL'!AN312</f>
        <v>0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>
        <f>'RESUMEN TOTAL'!AL313</f>
        <v>0</v>
      </c>
      <c r="Z236" s="70">
        <f>'RESUMEN TOTAL'!AM313</f>
        <v>0</v>
      </c>
      <c r="AA236" s="70">
        <f>'RESUMEN TOTAL'!AN313</f>
        <v>0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>
        <f>'RESUMEN TOTAL'!AN318</f>
        <v>0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>
        <f>'RESUMEN TOTAL'!AH322</f>
        <v>0</v>
      </c>
      <c r="V244" s="70">
        <f>'RESUMEN TOTAL'!AI322</f>
        <v>0</v>
      </c>
      <c r="W244" s="70">
        <f>'RESUMEN TOTAL'!AJ322</f>
        <v>0</v>
      </c>
      <c r="X244" s="70">
        <f>'RESUMEN TOTAL'!AK322</f>
        <v>0</v>
      </c>
      <c r="Y244" s="70">
        <f>'RESUMEN TOTAL'!AL322</f>
        <v>0</v>
      </c>
      <c r="Z244" s="70">
        <f>'RESUMEN TOTAL'!AM322</f>
        <v>0</v>
      </c>
      <c r="AA244" s="70">
        <f>'RESUMEN TOTAL'!AN322</f>
        <v>0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>
        <f>'RESUMEN TOTAL'!AH324</f>
        <v>0</v>
      </c>
      <c r="V246" s="70">
        <f>'RESUMEN TOTAL'!AI324</f>
        <v>0</v>
      </c>
      <c r="W246" s="70">
        <f>'RESUMEN TOTAL'!AJ324</f>
        <v>0</v>
      </c>
      <c r="X246" s="70">
        <f>'RESUMEN TOTAL'!AK324</f>
        <v>0</v>
      </c>
      <c r="Y246" s="70">
        <f>'RESUMEN TOTAL'!AL324</f>
        <v>0</v>
      </c>
      <c r="Z246" s="70">
        <f>'RESUMEN TOTAL'!AM324</f>
        <v>0</v>
      </c>
      <c r="AA246" s="70">
        <f>'RESUMEN TOTAL'!AN324</f>
        <v>0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>
        <f>'RESUMEN TOTAL'!AH325</f>
        <v>0</v>
      </c>
      <c r="V247" s="70">
        <f>'RESUMEN TOTAL'!AI325</f>
        <v>0</v>
      </c>
      <c r="W247" s="70">
        <f>'RESUMEN TOTAL'!AJ325</f>
        <v>0</v>
      </c>
      <c r="X247" s="70">
        <f>'RESUMEN TOTAL'!AK325</f>
        <v>0</v>
      </c>
      <c r="Y247" s="70">
        <f>'RESUMEN TOTAL'!AL325</f>
        <v>0</v>
      </c>
      <c r="Z247" s="70">
        <f>'RESUMEN TOTAL'!AM325</f>
        <v>0</v>
      </c>
      <c r="AA247" s="70">
        <f>'RESUMEN TOTAL'!AN325</f>
        <v>0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>
        <f>'RESUMEN TOTAL'!AI326</f>
        <v>0</v>
      </c>
      <c r="W248" s="70">
        <f>'RESUMEN TOTAL'!AJ326</f>
        <v>0</v>
      </c>
      <c r="X248" s="70">
        <f>'RESUMEN TOTAL'!AK326</f>
        <v>0</v>
      </c>
      <c r="Y248" s="70">
        <f>'RESUMEN TOTAL'!AL326</f>
        <v>0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>
        <f>'RESUMEN TOTAL'!AH331</f>
        <v>0</v>
      </c>
      <c r="V253" s="70">
        <f>'RESUMEN TOTAL'!AI331</f>
        <v>0</v>
      </c>
      <c r="W253" s="70">
        <f>'RESUMEN TOTAL'!AJ331</f>
        <v>0</v>
      </c>
      <c r="X253" s="70">
        <f>'RESUMEN TOTAL'!AK331</f>
        <v>0</v>
      </c>
      <c r="Y253" s="70">
        <f>'RESUMEN TOTAL'!AL331</f>
        <v>0</v>
      </c>
      <c r="Z253" s="70">
        <f>'RESUMEN TOTAL'!AM331</f>
        <v>0</v>
      </c>
      <c r="AA253" s="70">
        <f>'RESUMEN TOTAL'!AN331</f>
        <v>0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>
        <f>'RESUMEN TOTAL'!AH332</f>
        <v>0</v>
      </c>
      <c r="V254" s="70">
        <f>'RESUMEN TOTAL'!AI332</f>
        <v>0</v>
      </c>
      <c r="W254" s="70">
        <f>'RESUMEN TOTAL'!AJ332</f>
        <v>0</v>
      </c>
      <c r="X254" s="70">
        <f>'RESUMEN TOTAL'!AK332</f>
        <v>0</v>
      </c>
      <c r="Y254" s="70">
        <f>'RESUMEN TOTAL'!AL332</f>
        <v>0</v>
      </c>
      <c r="Z254" s="70">
        <f>'RESUMEN TOTAL'!AM332</f>
        <v>0</v>
      </c>
      <c r="AA254" s="70">
        <f>'RESUMEN TOTAL'!AN332</f>
        <v>0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>
        <f>'RESUMEN TOTAL'!AH333</f>
        <v>0</v>
      </c>
      <c r="V255" s="70">
        <f>'RESUMEN TOTAL'!AI333</f>
        <v>0</v>
      </c>
      <c r="W255" s="70">
        <f>'RESUMEN TOTAL'!AJ333</f>
        <v>0</v>
      </c>
      <c r="X255" s="70">
        <f>'RESUMEN TOTAL'!AK333</f>
        <v>0</v>
      </c>
      <c r="Y255" s="70">
        <f>'RESUMEN TOTAL'!AL333</f>
        <v>0</v>
      </c>
      <c r="Z255" s="70">
        <f>'RESUMEN TOTAL'!AM333</f>
        <v>0</v>
      </c>
      <c r="AA255" s="70">
        <f>'RESUMEN TOTAL'!AN333</f>
        <v>0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>
        <f>'RESUMEN TOTAL'!AI334</f>
        <v>0</v>
      </c>
      <c r="W256" s="70">
        <f>'RESUMEN TOTAL'!AJ334</f>
        <v>0</v>
      </c>
      <c r="X256" s="70">
        <f>'RESUMEN TOTAL'!AK334</f>
        <v>0</v>
      </c>
      <c r="Y256" s="70">
        <f>'RESUMEN TOTAL'!AL334</f>
        <v>0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>
        <f>'RESUMEN TOTAL'!AN336</f>
        <v>0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>
        <f>'RESUMEN TOTAL'!AN341</f>
        <v>0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>
        <f>'RESUMEN TOTAL'!AH342</f>
        <v>0</v>
      </c>
      <c r="V264" s="70">
        <f>'RESUMEN TOTAL'!AI342</f>
        <v>0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>
        <f>'RESUMEN TOTAL'!AN342</f>
        <v>0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>
        <f>'RESUMEN TOTAL'!AH343</f>
        <v>0</v>
      </c>
      <c r="V265" s="70">
        <f>'RESUMEN TOTAL'!AI343</f>
        <v>0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>
        <f>'RESUMEN TOTAL'!AN343</f>
        <v>0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>
        <f>'RESUMEN TOTAL'!AH370</f>
        <v>0</v>
      </c>
      <c r="V281" s="70">
        <f>'RESUMEN TOTAL'!AI370</f>
        <v>0</v>
      </c>
      <c r="W281" s="70">
        <f>'RESUMEN TOTAL'!AJ370</f>
        <v>0</v>
      </c>
      <c r="X281" s="70">
        <f>'RESUMEN TOTAL'!AK370</f>
        <v>0</v>
      </c>
      <c r="Y281" s="70">
        <f>'RESUMEN TOTAL'!AL370</f>
        <v>0</v>
      </c>
      <c r="Z281" s="70">
        <f>'RESUMEN TOTAL'!AM370</f>
        <v>0</v>
      </c>
      <c r="AA281" s="70">
        <f>'RESUMEN TOTAL'!AN370</f>
        <v>0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>
        <f>'RESUMEN TOTAL'!AH371</f>
        <v>0</v>
      </c>
      <c r="V282" s="70">
        <f>'RESUMEN TOTAL'!AI371</f>
        <v>0</v>
      </c>
      <c r="W282" s="70">
        <f>'RESUMEN TOTAL'!AJ371</f>
        <v>0</v>
      </c>
      <c r="X282" s="70">
        <f>'RESUMEN TOTAL'!AK371</f>
        <v>0</v>
      </c>
      <c r="Y282" s="70">
        <f>'RESUMEN TOTAL'!AL371</f>
        <v>0</v>
      </c>
      <c r="Z282" s="70">
        <f>'RESUMEN TOTAL'!AM371</f>
        <v>0</v>
      </c>
      <c r="AA282" s="70">
        <f>'RESUMEN TOTAL'!AN371</f>
        <v>0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>
        <f>'RESUMEN TOTAL'!AH418</f>
        <v>0</v>
      </c>
      <c r="V319" s="70">
        <f>'RESUMEN TOTAL'!AI418</f>
        <v>0</v>
      </c>
      <c r="W319" s="70">
        <f>'RESUMEN TOTAL'!AJ418</f>
        <v>0</v>
      </c>
      <c r="X319" s="70">
        <f>'RESUMEN TOTAL'!AK418</f>
        <v>0</v>
      </c>
      <c r="Y319" s="70">
        <f>'RESUMEN TOTAL'!AL418</f>
        <v>0</v>
      </c>
      <c r="Z319" s="70">
        <f>'RESUMEN TOTAL'!AM418</f>
        <v>0</v>
      </c>
      <c r="AA319" s="70">
        <f>'RESUMEN TOTAL'!AN418</f>
        <v>0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>
        <f>'RESUMEN TOTAL'!AH419</f>
        <v>0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>
        <f>'RESUMEN TOTAL'!AH420</f>
        <v>0</v>
      </c>
      <c r="V321" s="70">
        <f>'RESUMEN TOTAL'!AI420</f>
        <v>0</v>
      </c>
      <c r="W321" s="70">
        <f>'RESUMEN TOTAL'!AJ420</f>
        <v>0</v>
      </c>
      <c r="X321" s="70">
        <f>'RESUMEN TOTAL'!AK420</f>
        <v>0</v>
      </c>
      <c r="Y321" s="70">
        <f>'RESUMEN TOTAL'!AL420</f>
        <v>0</v>
      </c>
      <c r="Z321" s="70">
        <f>'RESUMEN TOTAL'!AM420</f>
        <v>0</v>
      </c>
      <c r="AA321" s="70">
        <f>'RESUMEN TOTAL'!AN420</f>
        <v>0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>
        <f>'RESUMEN TOTAL'!AH421</f>
        <v>0</v>
      </c>
      <c r="V322" s="70">
        <f>'RESUMEN TOTAL'!AI421</f>
        <v>0</v>
      </c>
      <c r="W322" s="70">
        <f>'RESUMEN TOTAL'!AJ421</f>
        <v>0</v>
      </c>
      <c r="X322" s="70">
        <f>'RESUMEN TOTAL'!AK421</f>
        <v>0</v>
      </c>
      <c r="Y322" s="70">
        <f>'RESUMEN TOTAL'!AL421</f>
        <v>0</v>
      </c>
      <c r="Z322" s="70">
        <f>'RESUMEN TOTAL'!AM421</f>
        <v>0</v>
      </c>
      <c r="AA322" s="70">
        <f>'RESUMEN TOTAL'!AN421</f>
        <v>0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>
        <f>'RESUMEN TOTAL'!AH422</f>
        <v>0</v>
      </c>
      <c r="V323" s="70">
        <f>'RESUMEN TOTAL'!AI422</f>
        <v>0</v>
      </c>
      <c r="W323" s="70">
        <f>'RESUMEN TOTAL'!AJ422</f>
        <v>0</v>
      </c>
      <c r="X323" s="70">
        <f>'RESUMEN TOTAL'!AK422</f>
        <v>0</v>
      </c>
      <c r="Y323" s="70">
        <f>'RESUMEN TOTAL'!AL422</f>
        <v>0</v>
      </c>
      <c r="Z323" s="70">
        <f>'RESUMEN TOTAL'!AM422</f>
        <v>0</v>
      </c>
      <c r="AA323" s="70">
        <f>'RESUMEN TOTAL'!AN422</f>
        <v>0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>
        <f>'RESUMEN TOTAL'!AH423</f>
        <v>0</v>
      </c>
      <c r="V324" s="70">
        <f>'RESUMEN TOTAL'!AI423</f>
        <v>0</v>
      </c>
      <c r="W324" s="70">
        <f>'RESUMEN TOTAL'!AJ423</f>
        <v>0</v>
      </c>
      <c r="X324" s="70">
        <f>'RESUMEN TOTAL'!AK423</f>
        <v>0</v>
      </c>
      <c r="Y324" s="70">
        <f>'RESUMEN TOTAL'!AL423</f>
        <v>0</v>
      </c>
      <c r="Z324" s="70">
        <f>'RESUMEN TOTAL'!AM423</f>
        <v>0</v>
      </c>
      <c r="AA324" s="70">
        <f>'RESUMEN TOTAL'!AN423</f>
        <v>0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>
        <f>'RESUMEN TOTAL'!AH439</f>
        <v>0</v>
      </c>
      <c r="V333" s="70">
        <f>'RESUMEN TOTAL'!AI439</f>
        <v>0</v>
      </c>
      <c r="W333" s="70">
        <f>'RESUMEN TOTAL'!AJ439</f>
        <v>0</v>
      </c>
      <c r="X333" s="70">
        <f>'RESUMEN TOTAL'!AK439</f>
        <v>0</v>
      </c>
      <c r="Y333" s="70">
        <f>'RESUMEN TOTAL'!AL439</f>
        <v>0</v>
      </c>
      <c r="Z333" s="70">
        <f>'RESUMEN TOTAL'!AM439</f>
        <v>0</v>
      </c>
      <c r="AA333" s="70">
        <f>'RESUMEN TOTAL'!AN439</f>
        <v>0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>
        <f>'RESUMEN TOTAL'!AI452</f>
        <v>0</v>
      </c>
      <c r="W343" s="70">
        <f>'RESUMEN TOTAL'!AJ452</f>
        <v>0</v>
      </c>
      <c r="X343" s="70">
        <f>'RESUMEN TOTAL'!AK452</f>
        <v>0</v>
      </c>
      <c r="Y343" s="70">
        <f>'RESUMEN TOTAL'!AL452</f>
        <v>0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>
        <f>'RESUMEN TOTAL'!AI453</f>
        <v>0</v>
      </c>
      <c r="W344" s="70">
        <f>'RESUMEN TOTAL'!AJ453</f>
        <v>0</v>
      </c>
      <c r="X344" s="70">
        <f>'RESUMEN TOTAL'!AK453</f>
        <v>0</v>
      </c>
      <c r="Y344" s="70">
        <f>'RESUMEN TOTAL'!AL453</f>
        <v>0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>
        <f>'RESUMEN TOTAL'!AI454</f>
        <v>0</v>
      </c>
      <c r="W345" s="70">
        <f>'RESUMEN TOTAL'!AJ454</f>
        <v>0</v>
      </c>
      <c r="X345" s="70">
        <f>'RESUMEN TOTAL'!AK454</f>
        <v>0</v>
      </c>
      <c r="Y345" s="70">
        <f>'RESUMEN TOTAL'!AL454</f>
        <v>0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>
        <f>'RESUMEN TOTAL'!AI455</f>
        <v>0</v>
      </c>
      <c r="W346" s="70">
        <f>'RESUMEN TOTAL'!AJ455</f>
        <v>0</v>
      </c>
      <c r="X346" s="70">
        <f>'RESUMEN TOTAL'!AK455</f>
        <v>0</v>
      </c>
      <c r="Y346" s="70">
        <f>'RESUMEN TOTAL'!AL455</f>
        <v>0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>
        <f>'RESUMEN TOTAL'!AI456</f>
        <v>0</v>
      </c>
      <c r="W347" s="70">
        <f>'RESUMEN TOTAL'!AJ456</f>
        <v>0</v>
      </c>
      <c r="X347" s="70">
        <f>'RESUMEN TOTAL'!AK456</f>
        <v>0</v>
      </c>
      <c r="Y347" s="70">
        <f>'RESUMEN TOTAL'!AL456</f>
        <v>0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>
        <f>'RESUMEN TOTAL'!AI457</f>
        <v>0</v>
      </c>
      <c r="W348" s="70">
        <f>'RESUMEN TOTAL'!AJ457</f>
        <v>0</v>
      </c>
      <c r="X348" s="70">
        <f>'RESUMEN TOTAL'!AK457</f>
        <v>0</v>
      </c>
      <c r="Y348" s="70">
        <f>'RESUMEN TOTAL'!AL457</f>
        <v>0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>
        <f>'RESUMEN TOTAL'!AH463</f>
        <v>0</v>
      </c>
      <c r="V354" s="70">
        <f>'RESUMEN TOTAL'!AI463</f>
        <v>0</v>
      </c>
      <c r="W354" s="70">
        <f>'RESUMEN TOTAL'!AJ463</f>
        <v>0</v>
      </c>
      <c r="X354" s="70">
        <f>'RESUMEN TOTAL'!AK463</f>
        <v>0</v>
      </c>
      <c r="Y354" s="70">
        <f>'RESUMEN TOTAL'!AL463</f>
        <v>0</v>
      </c>
      <c r="Z354" s="70">
        <f>'RESUMEN TOTAL'!AM463</f>
        <v>0</v>
      </c>
      <c r="AA354" s="70">
        <f>'RESUMEN TOTAL'!AN463</f>
        <v>0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>
        <f>'RESUMEN TOTAL'!AH466</f>
        <v>0</v>
      </c>
      <c r="V357" s="70">
        <f>'RESUMEN TOTAL'!AI466</f>
        <v>0</v>
      </c>
      <c r="W357" s="70">
        <f>'RESUMEN TOTAL'!AJ466</f>
        <v>0</v>
      </c>
      <c r="X357" s="70">
        <f>'RESUMEN TOTAL'!AK466</f>
        <v>0</v>
      </c>
      <c r="Y357" s="70">
        <f>'RESUMEN TOTAL'!AL466</f>
        <v>0</v>
      </c>
      <c r="Z357" s="70">
        <f>'RESUMEN TOTAL'!AM466</f>
        <v>0</v>
      </c>
      <c r="AA357" s="70">
        <f>'RESUMEN TOTAL'!AN466</f>
        <v>0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>
        <f>'RESUMEN TOTAL'!AH467</f>
        <v>0</v>
      </c>
      <c r="V358" s="70">
        <f>'RESUMEN TOTAL'!AI467</f>
        <v>0</v>
      </c>
      <c r="W358" s="70">
        <f>'RESUMEN TOTAL'!AJ467</f>
        <v>0</v>
      </c>
      <c r="X358" s="70">
        <f>'RESUMEN TOTAL'!AK467</f>
        <v>0</v>
      </c>
      <c r="Y358" s="70">
        <f>'RESUMEN TOTAL'!AL467</f>
        <v>0</v>
      </c>
      <c r="Z358" s="70">
        <f>'RESUMEN TOTAL'!AM467</f>
        <v>0</v>
      </c>
      <c r="AA358" s="70">
        <f>'RESUMEN TOTAL'!AN467</f>
        <v>0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>
        <f>'RESUMEN TOTAL'!AH477</f>
        <v>0</v>
      </c>
      <c r="V361" s="70">
        <f>'RESUMEN TOTAL'!AI477</f>
        <v>0</v>
      </c>
      <c r="W361" s="70">
        <f>'RESUMEN TOTAL'!AJ477</f>
        <v>0</v>
      </c>
      <c r="X361" s="70">
        <f>'RESUMEN TOTAL'!AK477</f>
        <v>0</v>
      </c>
      <c r="Y361" s="70">
        <f>'RESUMEN TOTAL'!AL477</f>
        <v>0</v>
      </c>
      <c r="Z361" s="70">
        <f>'RESUMEN TOTAL'!AM477</f>
        <v>0</v>
      </c>
      <c r="AA361" s="70">
        <f>'RESUMEN TOTAL'!AN477</f>
        <v>0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>
        <f>'RESUMEN TOTAL'!AH478</f>
        <v>0</v>
      </c>
      <c r="V362" s="70">
        <f>'RESUMEN TOTAL'!AI478</f>
        <v>0</v>
      </c>
      <c r="W362" s="70">
        <f>'RESUMEN TOTAL'!AJ478</f>
        <v>0</v>
      </c>
      <c r="X362" s="70">
        <f>'RESUMEN TOTAL'!AK478</f>
        <v>0</v>
      </c>
      <c r="Y362" s="70">
        <f>'RESUMEN TOTAL'!AL478</f>
        <v>0</v>
      </c>
      <c r="Z362" s="70">
        <f>'RESUMEN TOTAL'!AM478</f>
        <v>0</v>
      </c>
      <c r="AA362" s="70">
        <f>'RESUMEN TOTAL'!AN478</f>
        <v>0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>
        <f>'RESUMEN TOTAL'!AH479</f>
        <v>0</v>
      </c>
      <c r="V363" s="70">
        <f>'RESUMEN TOTAL'!AI479</f>
        <v>0</v>
      </c>
      <c r="W363" s="70">
        <f>'RESUMEN TOTAL'!AJ479</f>
        <v>0</v>
      </c>
      <c r="X363" s="70">
        <f>'RESUMEN TOTAL'!AK479</f>
        <v>0</v>
      </c>
      <c r="Y363" s="70">
        <f>'RESUMEN TOTAL'!AL479</f>
        <v>0</v>
      </c>
      <c r="Z363" s="70">
        <f>'RESUMEN TOTAL'!AM479</f>
        <v>0</v>
      </c>
      <c r="AA363" s="70">
        <f>'RESUMEN TOTAL'!AN479</f>
        <v>0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46" zoomScaleNormal="100" workbookViewId="0">
      <selection activeCell="C158" sqref="C15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59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59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59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59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59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59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59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59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59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59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59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59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59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59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8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59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59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59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8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59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59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59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8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59"/>
    </row>
    <row r="147" spans="2:6" x14ac:dyDescent="0.25">
      <c r="B147" s="53" t="s">
        <v>1216</v>
      </c>
      <c r="C147" s="67">
        <v>5</v>
      </c>
      <c r="D147" s="100">
        <f>C146-C147</f>
        <v>52</v>
      </c>
      <c r="E147" s="55">
        <f>D147/C145</f>
        <v>8.6956521739130432E-2</v>
      </c>
      <c r="F147" s="159"/>
    </row>
    <row r="148" spans="2:6" x14ac:dyDescent="0.25">
      <c r="B148" s="53" t="s">
        <v>1217</v>
      </c>
      <c r="C148" s="67">
        <v>8</v>
      </c>
      <c r="D148" s="100">
        <f>D147-C148</f>
        <v>44</v>
      </c>
      <c r="E148" s="55">
        <f>D148/C145</f>
        <v>7.3578595317725759E-2</v>
      </c>
      <c r="F148" s="159"/>
    </row>
    <row r="149" spans="2:6" x14ac:dyDescent="0.25">
      <c r="B149" s="53" t="s">
        <v>15</v>
      </c>
      <c r="C149" s="91">
        <v>2</v>
      </c>
      <c r="D149" s="100">
        <f>D148-C149</f>
        <v>42</v>
      </c>
      <c r="E149" s="55">
        <f>D149/C145</f>
        <v>7.0234113712374577E-2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15</v>
      </c>
      <c r="E152" s="102">
        <f>D152/C152</f>
        <v>4.8859934853420196E-2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43</v>
      </c>
      <c r="E153" s="111">
        <f>D153/C153</f>
        <v>0.14930555555555555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8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59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59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59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1216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1217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1216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1217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1216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1217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1216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1217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1216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1217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2026-07-15T15:58:13Z</dcterms:modified>
</cp:coreProperties>
</file>