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CB37C413-D54E-45F6-AE35-3CF1B057F90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49" i="2" l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<sst xmlns="http://schemas.openxmlformats.org/spreadsheetml/2006/main" count="4832" uniqueCount="2135">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</sst>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8" fillId="12" borderId="0" xfId="0" applyFont="1" applyFill="1" applyBorder="1"/>
    <xf numFmtId="0" fontId="0" fillId="12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8.6206896551724144E-2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8.6206896551724144E-2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51"/>
  <sheetViews>
    <sheetView tabSelected="1" zoomScale="55" zoomScaleNormal="55" workbookViewId="0">
      <pane xSplit="12" ySplit="7" topLeftCell="M323" activePane="bottomRight" state="frozen"/>
      <selection pane="topRight" activeCell="M1" sqref="M1"/>
      <selection pane="bottomLeft" activeCell="A5" sqref="A5"/>
      <selection pane="bottomRight" activeCell="J551" sqref="J551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>COUNTIF(M7:M703, "apagado")</f>
        <v>47</v>
      </c>
      <c r="N3" s="126">
        <f>COUNTIF(N7:N703, "apagado")</f>
        <v>0</v>
      </c>
      <c r="O3" s="126">
        <f>COUNTIF(O7:O703, "apagado")</f>
        <v>0</v>
      </c>
      <c r="P3" s="126">
        <f>COUNTIF(P7:P703, "apagado")</f>
        <v>0</v>
      </c>
      <c r="Q3" s="126">
        <f>COUNTIF(Q7:Q703, "apagado")</f>
        <v>0</v>
      </c>
      <c r="R3" s="126">
        <f>COUNTIF(R7:R703, "apagado")</f>
        <v>0</v>
      </c>
      <c r="S3" s="126">
        <f>COUNTIF(S7:S703, "apagado")</f>
        <v>0</v>
      </c>
      <c r="T3" s="126">
        <f>COUNTIF(T7:T703, "apagado")</f>
        <v>0</v>
      </c>
      <c r="U3" s="126">
        <f>COUNTIF(U7:U703, "apagado")</f>
        <v>0</v>
      </c>
      <c r="V3" s="126">
        <f>COUNTIF(V7:V703, "apagado")</f>
        <v>0</v>
      </c>
      <c r="W3" s="126">
        <f>COUNTIF(W7:W703, "apagado")</f>
        <v>0</v>
      </c>
      <c r="X3" s="126">
        <f>COUNTIF(X7:X703, "apagado")</f>
        <v>0</v>
      </c>
      <c r="Y3" s="126">
        <f>COUNTIF(Y7:Y703, "apagado")</f>
        <v>0</v>
      </c>
      <c r="Z3" s="126">
        <f>COUNTIF(Z7:Z703, "apagado")</f>
        <v>0</v>
      </c>
      <c r="AA3" s="126">
        <f>COUNTIF(AA7:AA703, "apagado")</f>
        <v>0</v>
      </c>
      <c r="AB3" s="126">
        <f>COUNTIF(AB7:AB703, "apagado")</f>
        <v>0</v>
      </c>
      <c r="AC3" s="126">
        <f>COUNTIF(AC7:AC703, "apagado")</f>
        <v>0</v>
      </c>
      <c r="AD3" s="126">
        <f>COUNTIF(AD7:AD703, "apagado")</f>
        <v>0</v>
      </c>
      <c r="AE3" s="126">
        <f>COUNTIF(AE7:AE703, "apagado")</f>
        <v>0</v>
      </c>
      <c r="AF3" s="126">
        <f>COUNTIF(AF7:AF703, "apagado")</f>
        <v>0</v>
      </c>
      <c r="AG3" s="126">
        <f>COUNTIF(AG7:AG703, "apagado")</f>
        <v>0</v>
      </c>
      <c r="AH3" s="126">
        <f>COUNTIF(AH7:AH703, "apagado")</f>
        <v>0</v>
      </c>
      <c r="AI3" s="126">
        <f>COUNTIF(AI7:AI703, "apagado")</f>
        <v>0</v>
      </c>
      <c r="AJ3" s="126">
        <f>COUNTIF(AJ7:AJ703, "apagado")</f>
        <v>0</v>
      </c>
      <c r="AK3" s="126">
        <f>COUNTIF(AK7:AK703, "apagado")</f>
        <v>0</v>
      </c>
      <c r="AL3" s="126">
        <f>COUNTIF(AL7:AL703, "apagado")</f>
        <v>0</v>
      </c>
      <c r="AM3" s="126">
        <f>COUNTIF(AM7:AM703, "apagado")</f>
        <v>0</v>
      </c>
      <c r="AN3" s="126">
        <f>COUNTIF(AN7:AN703, "apagado")</f>
        <v>0</v>
      </c>
      <c r="AO3" s="126">
        <f>COUNTIF(AO7:AO703, "apagado")</f>
        <v>0</v>
      </c>
      <c r="AP3" s="126">
        <f>COUNTIF(AP7:AP703, "apagado")</f>
        <v>0</v>
      </c>
      <c r="AQ3" s="126">
        <f>COUNTIF(AQ7:AQ703, "apagado")</f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0</v>
      </c>
      <c r="O4" s="10">
        <f>COUNTIFS(O8:O657, "=APAGADO",F8:F657,"=Fibra Optica")</f>
        <v>0</v>
      </c>
      <c r="P4" s="10">
        <f>COUNTIFS(P8:P657, "=APAGADO",F8:F657,"=Fibra Optica")</f>
        <v>0</v>
      </c>
      <c r="Q4" s="10">
        <f>COUNTIFS(Q8:Q657, "=APAGADO",F8:F657,"=Fibra Optica")</f>
        <v>0</v>
      </c>
      <c r="R4" s="10">
        <f>COUNTIFS(R8:R657, "=APAGADO",F8:F657,"=Fibra Optica")</f>
        <v>0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13</v>
      </c>
      <c r="N5" s="130">
        <f>COUNTIFS(N8:N657, "=APAGADO",F8:F657,"=RADIO")</f>
        <v>0</v>
      </c>
      <c r="O5" s="130">
        <f>COUNTIFS(O8:O657, "=APAGADO",F8:F657,"=RADIO")</f>
        <v>0</v>
      </c>
      <c r="P5" s="130">
        <f>COUNTIFS(P8:P657, "=APAGADO",F8:F657,"=RADIO")</f>
        <v>0</v>
      </c>
      <c r="Q5" s="130">
        <f>COUNTIFS(Q8:Q657, "=APAGADO",F8:F657,"=RADIO")</f>
        <v>0</v>
      </c>
      <c r="R5" s="130">
        <f>COUNTIFS(R8:R657, "=APAGADO",F8:F657,"=RADIO")</f>
        <v>0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0</v>
      </c>
      <c r="O6" s="10">
        <f>COUNTIFS(O8:O657, "=APAGADO",F8:F657,"=PTO A FO")</f>
        <v>0</v>
      </c>
      <c r="P6" s="10">
        <f>COUNTIFS(P8:P657, "=APAGADO",F8:F657,"=PTO A FO")</f>
        <v>0</v>
      </c>
      <c r="Q6" s="10">
        <f>COUNTIFS(Q8:Q657, "=APAGADO",F8:F657,"=PTO A FO")</f>
        <v>0</v>
      </c>
      <c r="R6" s="10">
        <f>COUNTIFS(R8:R657, "=APAGADO",F8:F657,"=PTO A FO")</f>
        <v>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1675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1676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1677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1678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1679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1680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1681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8" t="s">
        <v>1682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1683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28</v>
      </c>
      <c r="J17" s="151" t="s">
        <v>1684</v>
      </c>
      <c r="K17" s="143">
        <f t="shared" si="5"/>
        <v>0</v>
      </c>
      <c r="L17" s="144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1685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8" t="s">
        <v>1688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1689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148" t="s">
        <v>1690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148" t="s">
        <v>1691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148" t="s">
        <v>1692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148" t="s">
        <v>1693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148" t="s">
        <v>1694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148" t="s">
        <v>1695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1696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27</v>
      </c>
      <c r="J34" s="148" t="s">
        <v>1697</v>
      </c>
      <c r="K34" s="134">
        <f t="shared" si="5"/>
        <v>1</v>
      </c>
      <c r="L34" s="135">
        <f t="shared" si="6"/>
        <v>0.9642857142857143</v>
      </c>
      <c r="M34" s="136" t="s">
        <v>2130</v>
      </c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27</v>
      </c>
      <c r="J35" s="87"/>
      <c r="K35" s="143">
        <f t="shared" si="5"/>
        <v>1</v>
      </c>
      <c r="L35" s="144">
        <f t="shared" si="6"/>
        <v>0.9642857142857143</v>
      </c>
      <c r="M35" s="70" t="s">
        <v>2130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1698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1699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1700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1701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1702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148" t="s">
        <v>1703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1704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28</v>
      </c>
      <c r="J48" s="148"/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1708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1709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1710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1711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1712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1713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1714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1715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1716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1717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1718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28</v>
      </c>
      <c r="J63" s="87"/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1719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28</v>
      </c>
      <c r="J66" s="148" t="s">
        <v>1721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1722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1723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1724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1725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28</v>
      </c>
      <c r="J71" s="148" t="s">
        <v>1726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28</v>
      </c>
      <c r="J72" s="148" t="s">
        <v>1727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148" t="s">
        <v>1728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1729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1730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1731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1732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1733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1734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28</v>
      </c>
      <c r="J80" s="148" t="s">
        <v>1735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148" t="s">
        <v>1736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148" t="s">
        <v>1737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28</v>
      </c>
      <c r="J83" s="148" t="s">
        <v>1738</v>
      </c>
      <c r="K83" s="31">
        <f t="shared" ref="K83:K155" si="8">COUNTIF(M83:AN83,"APAGADO")</f>
        <v>0</v>
      </c>
      <c r="L83" s="32">
        <f t="shared" ref="L83:L155" si="9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1739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1740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1741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1742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1743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1744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1745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1746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8" t="s">
        <v>1747</v>
      </c>
      <c r="K92" s="143">
        <f t="shared" si="8"/>
        <v>0</v>
      </c>
      <c r="L92" s="144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1748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1749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28</v>
      </c>
      <c r="J95" s="148" t="s">
        <v>1750</v>
      </c>
      <c r="K95" s="143">
        <f t="shared" si="8"/>
        <v>0</v>
      </c>
      <c r="L95" s="144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28</v>
      </c>
      <c r="J96" s="148" t="s">
        <v>1751</v>
      </c>
      <c r="K96" s="143">
        <f t="shared" si="8"/>
        <v>0</v>
      </c>
      <c r="L96" s="144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1752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28</v>
      </c>
      <c r="J98" s="148" t="s">
        <v>1753</v>
      </c>
      <c r="K98" s="143">
        <f t="shared" si="8"/>
        <v>0</v>
      </c>
      <c r="L98" s="144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1754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1755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1756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1757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28</v>
      </c>
      <c r="J103" s="148" t="s">
        <v>1758</v>
      </c>
      <c r="K103" s="143">
        <f t="shared" si="8"/>
        <v>0</v>
      </c>
      <c r="L103" s="144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148" t="s">
        <v>1759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1760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1761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1762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1762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1764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1763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1765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1766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1767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1768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1769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28</v>
      </c>
      <c r="J116" s="148" t="s">
        <v>1770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28</v>
      </c>
      <c r="J117" s="148" t="s">
        <v>1771</v>
      </c>
      <c r="K117" s="143">
        <f t="shared" si="8"/>
        <v>0</v>
      </c>
      <c r="L117" s="144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1772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1773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148" t="s">
        <v>1774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28</v>
      </c>
      <c r="J121" s="148" t="s">
        <v>1775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28</v>
      </c>
      <c r="J122" s="148" t="s">
        <v>1776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1777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28</v>
      </c>
      <c r="J124" s="149" t="s">
        <v>1778</v>
      </c>
      <c r="K124" s="143">
        <f t="shared" si="8"/>
        <v>0</v>
      </c>
      <c r="L124" s="144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1779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1780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28</v>
      </c>
      <c r="J127" s="148" t="s">
        <v>1781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1782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1783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1784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1792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28</v>
      </c>
      <c r="J140" s="87"/>
      <c r="K140" s="31">
        <f t="shared" si="8"/>
        <v>0</v>
      </c>
      <c r="L140" s="3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1793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28</v>
      </c>
      <c r="J142" s="148" t="s">
        <v>1794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148" t="s">
        <v>1795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148" t="s">
        <v>1796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28</v>
      </c>
      <c r="J145" s="87"/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148" t="s">
        <v>1797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27</v>
      </c>
      <c r="J147" s="87"/>
      <c r="K147" s="141">
        <f t="shared" si="8"/>
        <v>1</v>
      </c>
      <c r="L147" s="142">
        <f t="shared" si="9"/>
        <v>0.9642857142857143</v>
      </c>
      <c r="M147" s="93" t="s">
        <v>2130</v>
      </c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1798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1799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27</v>
      </c>
      <c r="J150" s="87"/>
      <c r="K150" s="31">
        <f t="shared" si="8"/>
        <v>1</v>
      </c>
      <c r="L150" s="32">
        <f t="shared" si="9"/>
        <v>0.9642857142857143</v>
      </c>
      <c r="M150" s="70" t="s">
        <v>2130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27</v>
      </c>
      <c r="J151" s="87"/>
      <c r="K151" s="31">
        <f t="shared" si="8"/>
        <v>1</v>
      </c>
      <c r="L151" s="32">
        <f t="shared" si="9"/>
        <v>0.9642857142857143</v>
      </c>
      <c r="M151" s="70" t="s">
        <v>2130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1800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1801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28</v>
      </c>
      <c r="J155" s="148" t="s">
        <v>1803</v>
      </c>
      <c r="K155" s="143">
        <f t="shared" si="8"/>
        <v>0</v>
      </c>
      <c r="L155" s="144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1804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27</v>
      </c>
      <c r="J157" s="148" t="s">
        <v>1805</v>
      </c>
      <c r="K157" s="31">
        <f t="shared" si="11"/>
        <v>1</v>
      </c>
      <c r="L157" s="32">
        <f t="shared" si="12"/>
        <v>0.9642857142857143</v>
      </c>
      <c r="M157" s="70" t="s">
        <v>2130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27</v>
      </c>
      <c r="J158" s="148" t="s">
        <v>1806</v>
      </c>
      <c r="K158" s="31">
        <f t="shared" si="11"/>
        <v>1</v>
      </c>
      <c r="L158" s="32">
        <f t="shared" si="12"/>
        <v>0.9642857142857143</v>
      </c>
      <c r="M158" s="70" t="s">
        <v>2130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148" t="s">
        <v>1807</v>
      </c>
      <c r="K159" s="31">
        <f t="shared" si="11"/>
        <v>0</v>
      </c>
      <c r="L159" s="32">
        <f t="shared" si="12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27</v>
      </c>
      <c r="J160" s="148" t="s">
        <v>1808</v>
      </c>
      <c r="K160" s="31">
        <f t="shared" si="11"/>
        <v>1</v>
      </c>
      <c r="L160" s="32">
        <f t="shared" si="12"/>
        <v>0.9642857142857143</v>
      </c>
      <c r="M160" s="70" t="s">
        <v>2130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0"/>
        <v>28</v>
      </c>
      <c r="J161" s="148" t="s">
        <v>1809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0"/>
        <v>28</v>
      </c>
      <c r="J162" s="148" t="s">
        <v>1810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148" t="s">
        <v>1812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1816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1819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1821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27</v>
      </c>
      <c r="J177" s="148" t="s">
        <v>1824</v>
      </c>
      <c r="K177" s="31">
        <f t="shared" si="11"/>
        <v>1</v>
      </c>
      <c r="L177" s="32">
        <f t="shared" si="12"/>
        <v>0.9642857142857143</v>
      </c>
      <c r="M177" s="70" t="s">
        <v>2130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27</v>
      </c>
      <c r="J178" s="148" t="s">
        <v>1825</v>
      </c>
      <c r="K178" s="31">
        <f t="shared" si="11"/>
        <v>1</v>
      </c>
      <c r="L178" s="32">
        <f t="shared" si="12"/>
        <v>0.9642857142857143</v>
      </c>
      <c r="M178" s="70" t="s">
        <v>2130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148" t="s">
        <v>1828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148" t="s">
        <v>1829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27</v>
      </c>
      <c r="J184" s="87"/>
      <c r="K184" s="138">
        <f t="shared" si="11"/>
        <v>1</v>
      </c>
      <c r="L184" s="139">
        <f t="shared" si="12"/>
        <v>0.9642857142857143</v>
      </c>
      <c r="M184" s="140" t="s">
        <v>2130</v>
      </c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1830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28</v>
      </c>
      <c r="J186" s="148" t="s">
        <v>1831</v>
      </c>
      <c r="K186" s="143">
        <f t="shared" si="11"/>
        <v>0</v>
      </c>
      <c r="L186" s="144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28</v>
      </c>
      <c r="J188" s="148" t="s">
        <v>1833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28</v>
      </c>
      <c r="J189" s="148" t="s">
        <v>1834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27</v>
      </c>
      <c r="J190" s="87"/>
      <c r="K190" s="31">
        <f t="shared" si="11"/>
        <v>1</v>
      </c>
      <c r="L190" s="32">
        <f t="shared" si="12"/>
        <v>0.9642857142857143</v>
      </c>
      <c r="M190" s="70" t="s">
        <v>2130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0"/>
        <v>27</v>
      </c>
      <c r="J191" s="148" t="s">
        <v>1835</v>
      </c>
      <c r="K191" s="143">
        <f t="shared" si="11"/>
        <v>1</v>
      </c>
      <c r="L191" s="144">
        <f t="shared" si="12"/>
        <v>0.9642857142857143</v>
      </c>
      <c r="M191" s="70" t="s">
        <v>2130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27</v>
      </c>
      <c r="J192" s="148" t="s">
        <v>1836</v>
      </c>
      <c r="K192" s="31">
        <f t="shared" si="11"/>
        <v>1</v>
      </c>
      <c r="L192" s="32">
        <f t="shared" si="12"/>
        <v>0.9642857142857143</v>
      </c>
      <c r="M192" s="70" t="s">
        <v>2130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1837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1838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1839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1840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1841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1842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1843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1701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1845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1848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1849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27</v>
      </c>
      <c r="J208" s="87"/>
      <c r="K208" s="31">
        <f t="shared" si="11"/>
        <v>1</v>
      </c>
      <c r="L208" s="32">
        <f t="shared" si="12"/>
        <v>0.9642857142857143</v>
      </c>
      <c r="M208" s="70" t="s">
        <v>2130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27</v>
      </c>
      <c r="J209" s="87"/>
      <c r="K209" s="31">
        <f t="shared" si="11"/>
        <v>1</v>
      </c>
      <c r="L209" s="32">
        <f t="shared" si="12"/>
        <v>0.9642857142857143</v>
      </c>
      <c r="M209" s="70" t="s">
        <v>2130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27</v>
      </c>
      <c r="J210" s="148" t="s">
        <v>1851</v>
      </c>
      <c r="K210" s="31">
        <f t="shared" si="11"/>
        <v>1</v>
      </c>
      <c r="L210" s="32">
        <f t="shared" si="12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1852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27</v>
      </c>
      <c r="J212" s="148" t="s">
        <v>1853</v>
      </c>
      <c r="K212" s="31">
        <f t="shared" si="11"/>
        <v>1</v>
      </c>
      <c r="L212" s="32">
        <f t="shared" si="12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27</v>
      </c>
      <c r="J213" s="148" t="s">
        <v>1854</v>
      </c>
      <c r="K213" s="31">
        <f t="shared" si="11"/>
        <v>1</v>
      </c>
      <c r="L213" s="32">
        <f t="shared" si="12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1855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1856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1857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1858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1859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1860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28</v>
      </c>
      <c r="J221" s="148" t="s">
        <v>1861</v>
      </c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1862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28</v>
      </c>
      <c r="J223" s="148" t="s">
        <v>1863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28</v>
      </c>
      <c r="J224" s="148" t="s">
        <v>1864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1865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1866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1867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1868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1869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1870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1871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1872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1873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28</v>
      </c>
      <c r="J234" s="148" t="s">
        <v>1874</v>
      </c>
      <c r="K234" s="31">
        <f t="shared" si="14"/>
        <v>0</v>
      </c>
      <c r="L234" s="32">
        <f t="shared" si="15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27</v>
      </c>
      <c r="J235" s="87"/>
      <c r="K235" s="31">
        <f t="shared" si="14"/>
        <v>1</v>
      </c>
      <c r="L235" s="32">
        <f t="shared" si="15"/>
        <v>0.9642857142857143</v>
      </c>
      <c r="M235" s="70" t="s">
        <v>2130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28</v>
      </c>
      <c r="J236" s="148" t="s">
        <v>1830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148" t="s">
        <v>1875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87"/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148" t="s">
        <v>1876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148" t="s">
        <v>1877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1878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1879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28</v>
      </c>
      <c r="J243" s="148" t="s">
        <v>1880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28</v>
      </c>
      <c r="J245" s="148" t="s">
        <v>1881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28</v>
      </c>
      <c r="J246" s="148" t="s">
        <v>1882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1883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1884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1885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1872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1886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1887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28</v>
      </c>
      <c r="J253" s="148" t="s">
        <v>1888</v>
      </c>
      <c r="K253" s="143">
        <f t="shared" si="14"/>
        <v>0</v>
      </c>
      <c r="L253" s="144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28</v>
      </c>
      <c r="J254" s="148" t="s">
        <v>1889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1890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28</v>
      </c>
      <c r="J256" s="151" t="s">
        <v>1891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1892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1893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1896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1897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27</v>
      </c>
      <c r="J263" s="148" t="s">
        <v>1898</v>
      </c>
      <c r="K263" s="31">
        <f t="shared" si="14"/>
        <v>1</v>
      </c>
      <c r="L263" s="32">
        <f t="shared" si="15"/>
        <v>0.9642857142857143</v>
      </c>
      <c r="M263" s="70" t="s">
        <v>2130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27</v>
      </c>
      <c r="J264" s="148" t="s">
        <v>1899</v>
      </c>
      <c r="K264" s="143">
        <f t="shared" si="14"/>
        <v>1</v>
      </c>
      <c r="L264" s="144">
        <f t="shared" si="15"/>
        <v>0.9642857142857143</v>
      </c>
      <c r="M264" s="70" t="s">
        <v>2130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1900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28</v>
      </c>
      <c r="J266" s="148" t="s">
        <v>1702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1901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1902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1903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1904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28</v>
      </c>
      <c r="J273" s="148" t="s">
        <v>1906</v>
      </c>
      <c r="K273" s="31">
        <f t="shared" si="14"/>
        <v>0</v>
      </c>
      <c r="L273" s="3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148" t="s">
        <v>1907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148" t="s">
        <v>1908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148" t="s">
        <v>1909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148" t="s">
        <v>1910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1911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1912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1913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148" t="s">
        <v>1914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1915</v>
      </c>
      <c r="K282" s="31">
        <f t="shared" si="14"/>
        <v>1</v>
      </c>
      <c r="L282" s="32">
        <f t="shared" si="15"/>
        <v>0.9642857142857143</v>
      </c>
      <c r="M282" s="70" t="s">
        <v>2130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27</v>
      </c>
      <c r="J283" s="148" t="s">
        <v>1916</v>
      </c>
      <c r="K283" s="31">
        <f t="shared" si="14"/>
        <v>1</v>
      </c>
      <c r="L283" s="32">
        <f t="shared" si="15"/>
        <v>0.9642857142857143</v>
      </c>
      <c r="M283" s="70" t="s">
        <v>2130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148" t="s">
        <v>1917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148" t="s">
        <v>1918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148" t="s">
        <v>1919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148" t="s">
        <v>1920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148" t="s">
        <v>1921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148" t="s">
        <v>1922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28</v>
      </c>
      <c r="J290" s="148" t="s">
        <v>1923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148" t="s">
        <v>1924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148" t="s">
        <v>1925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87"/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27</v>
      </c>
      <c r="J294" s="148" t="s">
        <v>1926</v>
      </c>
      <c r="K294" s="143">
        <f t="shared" si="14"/>
        <v>1</v>
      </c>
      <c r="L294" s="144">
        <f t="shared" si="15"/>
        <v>0.9642857142857143</v>
      </c>
      <c r="M294" s="70" t="s">
        <v>2130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3"/>
        <v>28</v>
      </c>
      <c r="J295" s="148" t="s">
        <v>1927</v>
      </c>
      <c r="K295" s="143">
        <f t="shared" si="14"/>
        <v>0</v>
      </c>
      <c r="L295" s="144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27</v>
      </c>
      <c r="J296" s="148" t="s">
        <v>1928</v>
      </c>
      <c r="K296" s="31">
        <f t="shared" ref="K296:K363" si="17">COUNTIF(M296:AN296,"APAGADO")</f>
        <v>1</v>
      </c>
      <c r="L296" s="32">
        <f t="shared" ref="L296:L363" si="18">(I296)/(K296+I296)</f>
        <v>0.9642857142857143</v>
      </c>
      <c r="M296" s="70" t="s">
        <v>2130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1929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28</v>
      </c>
      <c r="J298" s="87"/>
      <c r="K298" s="143">
        <f t="shared" si="17"/>
        <v>0</v>
      </c>
      <c r="L298" s="144">
        <f t="shared" si="18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1930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28</v>
      </c>
      <c r="J300" s="148" t="s">
        <v>1931</v>
      </c>
      <c r="K300" s="31">
        <f t="shared" si="17"/>
        <v>0</v>
      </c>
      <c r="L300" s="32">
        <f t="shared" si="18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1932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1933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1934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1935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1936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148" t="s">
        <v>1937</v>
      </c>
      <c r="K306" s="31">
        <f t="shared" si="17"/>
        <v>0</v>
      </c>
      <c r="L306" s="32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148" t="s">
        <v>1938</v>
      </c>
      <c r="K307" s="31">
        <f t="shared" si="17"/>
        <v>0</v>
      </c>
      <c r="L307" s="32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148" t="s">
        <v>1939</v>
      </c>
      <c r="K308" s="31">
        <f t="shared" si="17"/>
        <v>0</v>
      </c>
      <c r="L308" s="32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148" t="s">
        <v>1940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148" t="s">
        <v>1941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148" t="s">
        <v>1942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1943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28</v>
      </c>
      <c r="J313" s="148" t="s">
        <v>1944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28</v>
      </c>
      <c r="J314" s="148" t="s">
        <v>1945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28</v>
      </c>
      <c r="J315" s="148" t="s">
        <v>1946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28</v>
      </c>
      <c r="J316" s="148" t="s">
        <v>1947</v>
      </c>
      <c r="K316" s="87">
        <f t="shared" si="17"/>
        <v>0</v>
      </c>
      <c r="L316" s="88">
        <f t="shared" si="18"/>
        <v>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28</v>
      </c>
      <c r="J317" s="148" t="s">
        <v>1948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148" t="s">
        <v>1949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148" t="s">
        <v>1950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148" t="s">
        <v>1951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148" t="s">
        <v>1952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148" t="s">
        <v>1953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148" t="s">
        <v>1954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148" t="s">
        <v>1955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28</v>
      </c>
      <c r="J325" s="148" t="s">
        <v>1956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28</v>
      </c>
      <c r="J326" s="148" t="s">
        <v>1957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148" t="s">
        <v>1958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148" t="s">
        <v>1959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28</v>
      </c>
      <c r="J329" s="87"/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28</v>
      </c>
      <c r="J330" s="87"/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28</v>
      </c>
      <c r="J331" s="148" t="s">
        <v>1960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28</v>
      </c>
      <c r="J335" s="148" t="s">
        <v>1962</v>
      </c>
      <c r="K335" s="143">
        <f t="shared" si="17"/>
        <v>0</v>
      </c>
      <c r="L335" s="144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28</v>
      </c>
      <c r="J336" s="148" t="s">
        <v>1963</v>
      </c>
      <c r="K336" s="143">
        <f t="shared" si="17"/>
        <v>0</v>
      </c>
      <c r="L336" s="144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28</v>
      </c>
      <c r="J338" s="148" t="s">
        <v>1965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1966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1967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1968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1969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28</v>
      </c>
      <c r="J343" s="148" t="s">
        <v>1970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28</v>
      </c>
      <c r="J344" s="148" t="s">
        <v>1971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28</v>
      </c>
      <c r="J349" s="148" t="s">
        <v>1975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28</v>
      </c>
      <c r="J352" s="148" t="s">
        <v>1977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28</v>
      </c>
      <c r="J354" s="148" t="s">
        <v>1978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28</v>
      </c>
      <c r="J355" s="148" t="s">
        <v>1979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28</v>
      </c>
      <c r="J356" s="148" t="s">
        <v>1980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28</v>
      </c>
      <c r="J357" s="148" t="s">
        <v>1981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27</v>
      </c>
      <c r="J358" s="73"/>
      <c r="K358" s="31">
        <f t="shared" si="17"/>
        <v>1</v>
      </c>
      <c r="L358" s="32">
        <f t="shared" si="18"/>
        <v>0.9642857142857143</v>
      </c>
      <c r="M358" s="70" t="s">
        <v>2130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27</v>
      </c>
      <c r="J359" s="148" t="s">
        <v>1982</v>
      </c>
      <c r="K359" s="143">
        <f t="shared" si="17"/>
        <v>1</v>
      </c>
      <c r="L359" s="144">
        <f t="shared" si="18"/>
        <v>0.9642857142857143</v>
      </c>
      <c r="M359" s="70" t="s">
        <v>2130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1983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28</v>
      </c>
      <c r="J361" s="148" t="s">
        <v>1984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28</v>
      </c>
      <c r="J362" s="148" t="s">
        <v>1985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28</v>
      </c>
      <c r="J363" s="148" t="s">
        <v>1986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28</v>
      </c>
      <c r="J364" s="148" t="s">
        <v>1987</v>
      </c>
      <c r="K364" s="31">
        <f t="shared" ref="K364:K438" si="20">COUNTIF(M364:AN364,"APAGADO")</f>
        <v>0</v>
      </c>
      <c r="L364" s="32">
        <f t="shared" ref="L364:L438" si="21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28</v>
      </c>
      <c r="J365" s="148" t="s">
        <v>1988</v>
      </c>
      <c r="K365" s="31">
        <f t="shared" si="20"/>
        <v>0</v>
      </c>
      <c r="L365" s="32">
        <f t="shared" si="21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28</v>
      </c>
      <c r="J366" s="148" t="s">
        <v>1989</v>
      </c>
      <c r="K366" s="31">
        <f t="shared" si="20"/>
        <v>0</v>
      </c>
      <c r="L366" s="32">
        <f t="shared" si="21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28</v>
      </c>
      <c r="J367" s="148" t="s">
        <v>1990</v>
      </c>
      <c r="K367" s="31">
        <f t="shared" si="20"/>
        <v>0</v>
      </c>
      <c r="L367" s="32">
        <f t="shared" si="21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28</v>
      </c>
      <c r="J368" s="148" t="s">
        <v>1991</v>
      </c>
      <c r="K368" s="31">
        <f t="shared" si="20"/>
        <v>0</v>
      </c>
      <c r="L368" s="32">
        <f t="shared" si="21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28</v>
      </c>
      <c r="J369" s="148" t="s">
        <v>1992</v>
      </c>
      <c r="K369" s="31">
        <f t="shared" si="20"/>
        <v>0</v>
      </c>
      <c r="L369" s="32">
        <f t="shared" si="21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28</v>
      </c>
      <c r="J370" s="148" t="s">
        <v>1993</v>
      </c>
      <c r="K370" s="31">
        <f t="shared" si="20"/>
        <v>0</v>
      </c>
      <c r="L370" s="32">
        <f t="shared" si="21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28</v>
      </c>
      <c r="J371" s="148" t="s">
        <v>1994</v>
      </c>
      <c r="K371" s="31">
        <f t="shared" si="20"/>
        <v>0</v>
      </c>
      <c r="L371" s="32">
        <f t="shared" si="21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27</v>
      </c>
      <c r="J372" s="148" t="s">
        <v>1995</v>
      </c>
      <c r="K372" s="31">
        <f t="shared" si="20"/>
        <v>1</v>
      </c>
      <c r="L372" s="32">
        <f t="shared" si="21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1996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1997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1998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27</v>
      </c>
      <c r="J377" s="87"/>
      <c r="K377" s="31">
        <f t="shared" si="20"/>
        <v>1</v>
      </c>
      <c r="L377" s="32">
        <f t="shared" si="21"/>
        <v>0.9642857142857143</v>
      </c>
      <c r="M377" s="70" t="s">
        <v>2130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1999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2000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27</v>
      </c>
      <c r="J383" s="148" t="s">
        <v>2001</v>
      </c>
      <c r="K383" s="31">
        <f t="shared" si="20"/>
        <v>1</v>
      </c>
      <c r="L383" s="32">
        <f t="shared" si="21"/>
        <v>0.9642857142857143</v>
      </c>
      <c r="M383" s="70" t="s">
        <v>2130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27</v>
      </c>
      <c r="J384" s="148" t="s">
        <v>2002</v>
      </c>
      <c r="K384" s="31">
        <f t="shared" si="20"/>
        <v>1</v>
      </c>
      <c r="L384" s="32">
        <f t="shared" si="21"/>
        <v>0.9642857142857143</v>
      </c>
      <c r="M384" s="70" t="s">
        <v>2130</v>
      </c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2003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2004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27</v>
      </c>
      <c r="J390" s="87"/>
      <c r="K390" s="31">
        <f t="shared" si="20"/>
        <v>1</v>
      </c>
      <c r="L390" s="32">
        <f t="shared" si="21"/>
        <v>0.9642857142857143</v>
      </c>
      <c r="M390" s="70" t="s">
        <v>2130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28</v>
      </c>
      <c r="J391" s="148" t="s">
        <v>2005</v>
      </c>
      <c r="K391" s="143">
        <f t="shared" si="20"/>
        <v>0</v>
      </c>
      <c r="L391" s="144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2006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2007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27</v>
      </c>
      <c r="J394" s="148" t="s">
        <v>2008</v>
      </c>
      <c r="K394" s="143">
        <f t="shared" si="20"/>
        <v>1</v>
      </c>
      <c r="L394" s="144">
        <f t="shared" si="21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27</v>
      </c>
      <c r="J395" s="87"/>
      <c r="K395" s="31">
        <f t="shared" si="20"/>
        <v>1</v>
      </c>
      <c r="L395" s="32">
        <f t="shared" si="21"/>
        <v>0.9642857142857143</v>
      </c>
      <c r="M395" s="70" t="s">
        <v>2130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2009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2010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2011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2012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28</v>
      </c>
      <c r="J404" s="148" t="s">
        <v>2016</v>
      </c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28</v>
      </c>
      <c r="J405" s="148" t="s">
        <v>2017</v>
      </c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28</v>
      </c>
      <c r="J406" s="148" t="s">
        <v>2018</v>
      </c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28</v>
      </c>
      <c r="J407" s="148" t="s">
        <v>2019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2020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2021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2022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2023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2024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2025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2026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27</v>
      </c>
      <c r="J416" s="87"/>
      <c r="K416" s="31">
        <f t="shared" si="20"/>
        <v>1</v>
      </c>
      <c r="L416" s="32">
        <f t="shared" si="21"/>
        <v>0.9642857142857143</v>
      </c>
      <c r="M416" s="70" t="s">
        <v>2130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87"/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87"/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2027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28</v>
      </c>
      <c r="J421" s="148" t="s">
        <v>2028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2029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2030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2031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2032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2033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2034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27</v>
      </c>
      <c r="J428" s="148" t="s">
        <v>2035</v>
      </c>
      <c r="K428" s="31">
        <f t="shared" si="20"/>
        <v>1</v>
      </c>
      <c r="L428" s="32">
        <f t="shared" si="21"/>
        <v>0.9642857142857143</v>
      </c>
      <c r="M428" s="70" t="s">
        <v>2130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2036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2037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27</v>
      </c>
      <c r="J436" s="87"/>
      <c r="K436" s="143">
        <f t="shared" si="20"/>
        <v>1</v>
      </c>
      <c r="L436" s="144">
        <f t="shared" si="21"/>
        <v>0.9642857142857143</v>
      </c>
      <c r="M436" s="70" t="s">
        <v>2130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28</v>
      </c>
      <c r="J437" s="148" t="s">
        <v>2038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28</v>
      </c>
      <c r="J438" s="148" t="s">
        <v>2039</v>
      </c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2040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2041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2042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2043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2044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2045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2046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2047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2048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2049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2050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2051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2052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2053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28</v>
      </c>
      <c r="J461" s="87"/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28</v>
      </c>
      <c r="J462" s="148" t="s">
        <v>2054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2055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2056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2057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2058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2059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2060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2061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2062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2063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2064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2065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2066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2067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2068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2069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2070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2071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2072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2073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2074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2075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2076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2077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2078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2079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27</v>
      </c>
      <c r="J488" s="73"/>
      <c r="K488" s="31">
        <f t="shared" si="23"/>
        <v>1</v>
      </c>
      <c r="L488" s="32">
        <f t="shared" si="24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2080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2081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2085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2086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2087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28</v>
      </c>
      <c r="J500" s="148" t="s">
        <v>2091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28</v>
      </c>
      <c r="J501" s="148" t="s">
        <v>2092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28</v>
      </c>
      <c r="J502" s="148" t="s">
        <v>2093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28</v>
      </c>
      <c r="J503" s="148" t="s">
        <v>2094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28</v>
      </c>
      <c r="J504" s="148" t="s">
        <v>2095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28</v>
      </c>
      <c r="J505" s="148" t="s">
        <v>2096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27</v>
      </c>
      <c r="J506" s="73"/>
      <c r="K506" s="31">
        <f t="shared" si="23"/>
        <v>1</v>
      </c>
      <c r="L506" s="32">
        <f t="shared" si="24"/>
        <v>0.9642857142857143</v>
      </c>
      <c r="M506" s="70" t="s">
        <v>2130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28</v>
      </c>
      <c r="J507" s="148" t="s">
        <v>2097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2098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2099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5">COUNTIF(M510:AN510,"")</f>
        <v>28</v>
      </c>
      <c r="J510" s="148" t="s">
        <v>2100</v>
      </c>
      <c r="K510" s="143">
        <f t="shared" ref="K510:K549" si="26">COUNTIF(M510:AN510,"APAGADO")</f>
        <v>0</v>
      </c>
      <c r="L510" s="144">
        <f t="shared" ref="L510:L549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27</v>
      </c>
      <c r="J511" s="148" t="s">
        <v>2101</v>
      </c>
      <c r="K511" s="143">
        <f t="shared" si="26"/>
        <v>1</v>
      </c>
      <c r="L511" s="144">
        <f t="shared" si="27"/>
        <v>0.9642857142857143</v>
      </c>
      <c r="M511" s="70" t="s">
        <v>2130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2102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28</v>
      </c>
      <c r="J513" s="148" t="s">
        <v>2103</v>
      </c>
      <c r="K513" s="143">
        <f t="shared" si="26"/>
        <v>0</v>
      </c>
      <c r="L513" s="144">
        <f t="shared" si="27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2104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2105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2106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2107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2108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27</v>
      </c>
      <c r="J521" s="87"/>
      <c r="K521" s="31">
        <f t="shared" si="26"/>
        <v>1</v>
      </c>
      <c r="L521" s="32">
        <f t="shared" si="27"/>
        <v>0.9642857142857143</v>
      </c>
      <c r="M521" s="70" t="s">
        <v>2130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2109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27</v>
      </c>
      <c r="J523" s="87"/>
      <c r="K523" s="31">
        <f t="shared" si="26"/>
        <v>1</v>
      </c>
      <c r="L523" s="32">
        <f t="shared" si="27"/>
        <v>0.9642857142857143</v>
      </c>
      <c r="M523" s="70" t="s">
        <v>2130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2110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2111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28</v>
      </c>
      <c r="J527" s="148" t="s">
        <v>2112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28</v>
      </c>
      <c r="J528" s="148" t="s">
        <v>2113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28</v>
      </c>
      <c r="J529" s="148" t="s">
        <v>2114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27</v>
      </c>
      <c r="J530" s="148" t="s">
        <v>2115</v>
      </c>
      <c r="K530" s="31">
        <f t="shared" si="26"/>
        <v>1</v>
      </c>
      <c r="L530" s="32">
        <f t="shared" si="27"/>
        <v>0.9642857142857143</v>
      </c>
      <c r="M530" s="70" t="s">
        <v>2130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28</v>
      </c>
      <c r="J531" s="148" t="s">
        <v>2116</v>
      </c>
      <c r="K531" s="31">
        <f t="shared" si="26"/>
        <v>0</v>
      </c>
      <c r="L531" s="32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28</v>
      </c>
      <c r="J532" s="148" t="s">
        <v>2117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28</v>
      </c>
      <c r="J533" s="148" t="s">
        <v>2118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28</v>
      </c>
      <c r="J534" s="148" t="s">
        <v>2119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27</v>
      </c>
      <c r="J539" s="148" t="s">
        <v>2121</v>
      </c>
      <c r="K539" s="31">
        <f t="shared" si="26"/>
        <v>1</v>
      </c>
      <c r="L539" s="32">
        <f t="shared" si="27"/>
        <v>0.9642857142857143</v>
      </c>
      <c r="M539" s="70" t="s">
        <v>2130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27</v>
      </c>
      <c r="J540" s="148" t="s">
        <v>2120</v>
      </c>
      <c r="K540" s="31">
        <f t="shared" si="26"/>
        <v>1</v>
      </c>
      <c r="L540" s="32">
        <f t="shared" si="27"/>
        <v>0.9642857142857143</v>
      </c>
      <c r="M540" s="70" t="s">
        <v>2130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27</v>
      </c>
      <c r="J541" s="148" t="s">
        <v>2122</v>
      </c>
      <c r="K541" s="31">
        <f t="shared" si="26"/>
        <v>1</v>
      </c>
      <c r="L541" s="32">
        <f t="shared" si="27"/>
        <v>0.9642857142857143</v>
      </c>
      <c r="M541" s="70" t="s">
        <v>2130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2123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2124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28</v>
      </c>
      <c r="J544" s="148" t="s">
        <v>2125</v>
      </c>
      <c r="K544" s="143">
        <f t="shared" si="26"/>
        <v>0</v>
      </c>
      <c r="L544" s="144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28</v>
      </c>
      <c r="J545" s="148" t="s">
        <v>2126</v>
      </c>
      <c r="K545" s="143">
        <f t="shared" si="26"/>
        <v>0</v>
      </c>
      <c r="L545" s="144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2127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2128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2129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5"/>
        <v>28</v>
      </c>
      <c r="J549" s="155" t="s">
        <v>2134</v>
      </c>
      <c r="K549" s="143">
        <f t="shared" si="26"/>
        <v>0</v>
      </c>
      <c r="L549" s="144">
        <f t="shared" si="27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6"/>
      <c r="AQ549" s="156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8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D259:D260 D270:D272 D343:D348 D356 C357:D357 D373:D376 D388:D389 D392 D446:D449 D514 C632:C1048576 C255:C549">
    <cfRule type="cellIs" dxfId="131" priority="498" operator="equal">
      <formula>$C$256</formula>
    </cfRule>
  </conditionalFormatting>
  <conditionalFormatting sqref="C1:C253 D20:D21 D154 D207:D209 C254:D254 D259:D260 D270:D272 C357:D357 D373:D376 D388:D389 D392 C632:C1048576 D126:D138 D146 D202:D203 D214:D216 D245:D246 D253 D343:D348 D356 D446:D449 D514 C255:C549">
    <cfRule type="cellIs" dxfId="130" priority="497" operator="equal">
      <formula>$C$273</formula>
    </cfRule>
  </conditionalFormatting>
  <conditionalFormatting sqref="D20:D21 D154 D207 D259:D260 D270:D272 D373:D376 D388:D389 D392 C632:C1048576 C1:C549">
    <cfRule type="cellIs" dxfId="129" priority="43" operator="equal">
      <formula>"IPCOMS"</formula>
    </cfRule>
  </conditionalFormatting>
  <conditionalFormatting sqref="E1:E525 E632:E1048576 E538:E549">
    <cfRule type="containsText" dxfId="128" priority="503" operator="containsText" text="fija">
      <formula>NOT(ISERROR(SEARCH("fija",E1)))</formula>
    </cfRule>
    <cfRule type="containsText" dxfId="127" priority="504" operator="containsText" text="domo">
      <formula>NOT(ISERROR(SEARCH("domo",E1)))</formula>
    </cfRule>
  </conditionalFormatting>
  <conditionalFormatting sqref="E632:E1048576 E1:E549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4" operator="containsText" text="fija">
      <formula>NOT(ISERROR(SEARCH("fija",E527)))</formula>
    </cfRule>
    <cfRule type="containsText" dxfId="122" priority="445" operator="containsText" text="domo">
      <formula>NOT(ISERROR(SEARCH("domo",E527)))</formula>
    </cfRule>
    <cfRule type="containsText" dxfId="121" priority="446" operator="containsText" text="Radio">
      <formula>NOT(ISERROR(SEARCH("Radio",E527)))</formula>
    </cfRule>
  </conditionalFormatting>
  <conditionalFormatting sqref="E527:E528">
    <cfRule type="containsText" dxfId="120" priority="439" operator="containsText" text="fija">
      <formula>NOT(ISERROR(SEARCH("fija",E527)))</formula>
    </cfRule>
    <cfRule type="containsText" dxfId="119" priority="440" operator="containsText" text="domo">
      <formula>NOT(ISERROR(SEARCH("domo",E527)))</formula>
    </cfRule>
  </conditionalFormatting>
  <conditionalFormatting sqref="E528">
    <cfRule type="containsText" dxfId="118" priority="437" operator="containsText" text="fija">
      <formula>NOT(ISERROR(SEARCH("fija",E528)))</formula>
    </cfRule>
    <cfRule type="containsText" dxfId="117" priority="438" operator="containsText" text="domo">
      <formula>NOT(ISERROR(SEARCH("domo",E528)))</formula>
    </cfRule>
    <cfRule type="containsText" dxfId="116" priority="441" operator="containsText" text="Radio">
      <formula>NOT(ISERROR(SEARCH("Radio",E528)))</formula>
    </cfRule>
  </conditionalFormatting>
  <conditionalFormatting sqref="E531">
    <cfRule type="containsText" dxfId="115" priority="434" operator="containsText" text="fija">
      <formula>NOT(ISERROR(SEARCH("fija",E531)))</formula>
    </cfRule>
    <cfRule type="containsText" dxfId="114" priority="435" operator="containsText" text="domo">
      <formula>NOT(ISERROR(SEARCH("domo",E531)))</formula>
    </cfRule>
    <cfRule type="containsText" dxfId="113" priority="436" operator="containsText" text="Radio">
      <formula>NOT(ISERROR(SEARCH("Radio",E531)))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632:H1048576 E130:E138 H372 G372:G376 E538:H549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19" operator="containsText" text="fija">
      <formula>NOT(ISERROR(SEARCH("fija",E533)))</formula>
    </cfRule>
    <cfRule type="containsText" dxfId="105" priority="420" operator="containsText" text="domo">
      <formula>NOT(ISERROR(SEARCH("domo",E533)))</formula>
    </cfRule>
  </conditionalFormatting>
  <conditionalFormatting sqref="E534">
    <cfRule type="containsText" dxfId="104" priority="417" operator="containsText" text="fija">
      <formula>NOT(ISERROR(SEARCH("fija",E534)))</formula>
    </cfRule>
    <cfRule type="containsText" dxfId="103" priority="418" operator="containsText" text="domo">
      <formula>NOT(ISERROR(SEARCH("domo",E534)))</formula>
    </cfRule>
    <cfRule type="containsText" dxfId="102" priority="421" operator="containsText" text="Radio">
      <formula>NOT(ISERROR(SEARCH("Radio",E534)))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632:F1048576 F139:F549">
    <cfRule type="cellIs" dxfId="94" priority="44" operator="equal">
      <formula>"GPON"</formula>
    </cfRule>
    <cfRule type="cellIs" dxfId="93" priority="45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3" operator="equal">
      <formula>"GPON"</formula>
    </cfRule>
    <cfRule type="containsText" dxfId="90" priority="34" operator="containsText" text="Radio">
      <formula>NOT(ISERROR(SEARCH("Radio",F134)))</formula>
    </cfRule>
    <cfRule type="cellIs" dxfId="89" priority="35" operator="equal">
      <formula>$F$13</formula>
    </cfRule>
    <cfRule type="cellIs" dxfId="88" priority="36" operator="equal">
      <formula>"PTP A FO"</formula>
    </cfRule>
    <cfRule type="cellIs" dxfId="87" priority="37" operator="equal">
      <formula>"PTP A FO"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1" operator="equal">
      <formula>"PTP A FO"</formula>
    </cfRule>
    <cfRule type="cellIs" dxfId="81" priority="12" operator="equal">
      <formula>"PTP A FO"</formula>
    </cfRule>
  </conditionalFormatting>
  <conditionalFormatting sqref="F215:F216">
    <cfRule type="cellIs" dxfId="80" priority="23" operator="equal">
      <formula>$F$13</formula>
    </cfRule>
    <cfRule type="cellIs" dxfId="79" priority="24" operator="equal">
      <formula>"PTP A FO"</formula>
    </cfRule>
    <cfRule type="cellIs" dxfId="78" priority="25" operator="equal">
      <formula>"PTP A FO"</formula>
    </cfRule>
  </conditionalFormatting>
  <conditionalFormatting sqref="F216">
    <cfRule type="cellIs" dxfId="77" priority="19" operator="equal">
      <formula>$F$13</formula>
    </cfRule>
    <cfRule type="cellIs" dxfId="76" priority="20" operator="equal">
      <formula>"PTP A FO"</formula>
    </cfRule>
    <cfRule type="cellIs" dxfId="75" priority="21" operator="equal">
      <formula>"PTP A FO"</formula>
    </cfRule>
  </conditionalFormatting>
  <conditionalFormatting sqref="F392">
    <cfRule type="containsText" dxfId="74" priority="28" operator="containsText" text="Radio">
      <formula>NOT(ISERROR(SEARCH("Radio",F392)))</formula>
    </cfRule>
    <cfRule type="cellIs" dxfId="73" priority="29" operator="equal">
      <formula>$F$13</formula>
    </cfRule>
    <cfRule type="cellIs" dxfId="72" priority="30" operator="equal">
      <formula>"PTP A FO"</formula>
    </cfRule>
    <cfRule type="cellIs" dxfId="71" priority="31" operator="equal">
      <formula>"PTP A FO"</formula>
    </cfRule>
  </conditionalFormatting>
  <conditionalFormatting sqref="F526">
    <cfRule type="containsText" dxfId="70" priority="94" operator="containsText" text="Radio">
      <formula>NOT(ISERROR(SEARCH("Radio",F526)))</formula>
    </cfRule>
    <cfRule type="cellIs" dxfId="69" priority="95" operator="equal">
      <formula>"PTP A FO"</formula>
    </cfRule>
  </conditionalFormatting>
  <conditionalFormatting sqref="F1:G129 F130:F131 F139:G214 F217:G391 F392 F393:G525 F536:G536 F632:G1048576 F538:G549">
    <cfRule type="cellIs" dxfId="68" priority="696" operator="equal">
      <formula>"PTP A FO"</formula>
    </cfRule>
  </conditionalFormatting>
  <conditionalFormatting sqref="F1:G129 F130:F131 F139:G214 F217:G391 F392 F632:G1048576 F393:G549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9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2:AO708 W632:AH1048576">
    <cfRule type="cellIs" dxfId="62" priority="78" operator="equal">
      <formula>"apagado"</formula>
    </cfRule>
  </conditionalFormatting>
  <conditionalFormatting sqref="M632:AO1048576">
    <cfRule type="containsText" dxfId="61" priority="628" operator="containsText" text="Caida">
      <formula>NOT(ISERROR(SEARCH("Caida",M632)))</formula>
    </cfRule>
    <cfRule type="notContainsText" dxfId="60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O322 AP217:AQ372 M323:AB323 AD323:AO323 M324:AO372 N373:O373 M373:M376 N374:N376 O374:O377 M377:N377 P377:AP377 AQ377:AQ391 M378:AP385 O386:AP391 M386:N392 M393:AQ549 AI632:AO1048576">
    <cfRule type="cellIs" dxfId="59" priority="77" operator="equal">
      <formula>"APAGADO"</formula>
    </cfRule>
  </conditionalFormatting>
  <conditionalFormatting sqref="O632:O1151">
    <cfRule type="notContainsText" dxfId="58" priority="257" operator="notContains" text="Caida">
      <formula>ISERROR(SEARCH("Caida",O632))</formula>
    </cfRule>
    <cfRule type="containsText" dxfId="57" priority="258" operator="containsText" text="Caida">
      <formula>NOT(ISERROR(SEARCH("Caida",O632)))</formula>
    </cfRule>
    <cfRule type="cellIs" dxfId="56" priority="259" operator="lessThan">
      <formula>0.8</formula>
    </cfRule>
    <cfRule type="cellIs" dxfId="55" priority="260" operator="greaterThan">
      <formula>0.8</formula>
    </cfRule>
    <cfRule type="cellIs" dxfId="54" priority="283" operator="greaterThan">
      <formula>0.8</formula>
    </cfRule>
    <cfRule type="cellIs" dxfId="53" priority="387" operator="equal">
      <formula>"APAGADO"</formula>
    </cfRule>
  </conditionalFormatting>
  <conditionalFormatting sqref="O632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B1" sqref="B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2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3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3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3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2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3"/>
    </row>
    <row r="15" spans="1:6" x14ac:dyDescent="0.25">
      <c r="B15" s="53" t="s">
        <v>1248</v>
      </c>
      <c r="C15" s="67">
        <v>0</v>
      </c>
      <c r="D15" s="103">
        <v>0</v>
      </c>
      <c r="E15" s="55">
        <f>D15/C13</f>
        <v>0</v>
      </c>
      <c r="F15" s="153"/>
    </row>
    <row r="16" spans="1:6" x14ac:dyDescent="0.25">
      <c r="B16" s="53" t="s">
        <v>1249</v>
      </c>
      <c r="C16" s="67">
        <v>0</v>
      </c>
      <c r="D16" s="103">
        <v>0</v>
      </c>
      <c r="E16" s="55">
        <f>D16/C13</f>
        <v>0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v>0</v>
      </c>
      <c r="E18" s="74">
        <f>D18/C13</f>
        <v>0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0</v>
      </c>
      <c r="E20" s="105">
        <v>0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0</v>
      </c>
      <c r="E21" s="114">
        <v>0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2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0</v>
      </c>
      <c r="E26" s="55">
        <f>D26/C24</f>
        <v>0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0</v>
      </c>
      <c r="E27" s="55">
        <f>D27/C24</f>
        <v>0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0</v>
      </c>
      <c r="E29" s="74">
        <f>D29/C24</f>
        <v>0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0</v>
      </c>
      <c r="E31" s="105">
        <f>D31/C31</f>
        <v>0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0</v>
      </c>
      <c r="E32" s="114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2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3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3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3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0</v>
      </c>
      <c r="E42" s="105">
        <f>D42/C42</f>
        <v>0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0</v>
      </c>
      <c r="E43" s="114">
        <v>0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2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3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3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0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0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2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2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2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3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3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2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3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3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3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3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2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3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3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3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2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3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3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2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3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3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3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3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2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2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3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2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3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3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3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3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2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3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2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3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3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3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3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2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3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3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3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3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2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3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3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3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3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2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2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2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2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2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2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2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2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2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2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2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2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3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3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3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3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3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3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4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>
        <f>'RESUMEN TOTAL'!N117</f>
        <v>0</v>
      </c>
      <c r="H99" s="70">
        <f>'RESUMEN TOTAL'!O117</f>
        <v>0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>
        <f>'RESUMEN TOTAL'!N127</f>
        <v>0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>
        <f>'RESUMEN TOTAL'!N147</f>
        <v>0</v>
      </c>
      <c r="H119" s="70">
        <f>'RESUMEN TOTAL'!O147</f>
        <v>0</v>
      </c>
      <c r="I119" s="70">
        <f>'RESUMEN TOTAL'!P147</f>
        <v>0</v>
      </c>
      <c r="J119" s="70">
        <f>'RESUMEN TOTAL'!Q147</f>
        <v>0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>
        <f>'RESUMEN TOTAL'!N150</f>
        <v>0</v>
      </c>
      <c r="H122" s="70">
        <f>'RESUMEN TOTAL'!O150</f>
        <v>0</v>
      </c>
      <c r="I122" s="70">
        <f>'RESUMEN TOTAL'!P150</f>
        <v>0</v>
      </c>
      <c r="J122" s="70">
        <f>'RESUMEN TOTAL'!Q150</f>
        <v>0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>
        <f>'RESUMEN TOTAL'!N151</f>
        <v>0</v>
      </c>
      <c r="H123" s="70">
        <f>'RESUMEN TOTAL'!O151</f>
        <v>0</v>
      </c>
      <c r="I123" s="70">
        <f>'RESUMEN TOTAL'!P151</f>
        <v>0</v>
      </c>
      <c r="J123" s="70">
        <f>'RESUMEN TOTAL'!Q151</f>
        <v>0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>
        <f>'RESUMEN TOTAL'!N157</f>
        <v>0</v>
      </c>
      <c r="H126" s="70">
        <f>'RESUMEN TOTAL'!O157</f>
        <v>0</v>
      </c>
      <c r="I126" s="70">
        <f>'RESUMEN TOTAL'!P157</f>
        <v>0</v>
      </c>
      <c r="J126" s="70">
        <f>'RESUMEN TOTAL'!Q157</f>
        <v>0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>
        <f>'RESUMEN TOTAL'!N158</f>
        <v>0</v>
      </c>
      <c r="H127" s="70">
        <f>'RESUMEN TOTAL'!O158</f>
        <v>0</v>
      </c>
      <c r="I127" s="70">
        <f>'RESUMEN TOTAL'!P158</f>
        <v>0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>
        <f>'RESUMEN TOTAL'!N160</f>
        <v>0</v>
      </c>
      <c r="H129" s="70">
        <f>'RESUMEN TOTAL'!O160</f>
        <v>0</v>
      </c>
      <c r="I129" s="70">
        <f>'RESUMEN TOTAL'!P160</f>
        <v>0</v>
      </c>
      <c r="J129" s="70">
        <f>'RESUMEN TOTAL'!Q160</f>
        <v>0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>
        <f>'RESUMEN TOTAL'!N184</f>
        <v>0</v>
      </c>
      <c r="H148" s="70">
        <f>'RESUMEN TOTAL'!O184</f>
        <v>0</v>
      </c>
      <c r="I148" s="70">
        <f>'RESUMEN TOTAL'!P184</f>
        <v>0</v>
      </c>
      <c r="J148" s="70">
        <f>'RESUMEN TOTAL'!Q184</f>
        <v>0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>
        <f>'RESUMEN TOTAL'!Q189</f>
        <v>0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>
        <f>'RESUMEN TOTAL'!N190</f>
        <v>0</v>
      </c>
      <c r="H154" s="70">
        <f>'RESUMEN TOTAL'!O190</f>
        <v>0</v>
      </c>
      <c r="I154" s="70">
        <f>'RESUMEN TOTAL'!P190</f>
        <v>0</v>
      </c>
      <c r="J154" s="70">
        <f>'RESUMEN TOTAL'!Q190</f>
        <v>0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>
        <f>'RESUMEN TOTAL'!N191</f>
        <v>0</v>
      </c>
      <c r="H155" s="70">
        <f>'RESUMEN TOTAL'!O191</f>
        <v>0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 t="str">
        <f>'RESUMEN TOTAL'!M192</f>
        <v>APAGADO</v>
      </c>
      <c r="G156" s="70">
        <f>'RESUMEN TOTAL'!N192</f>
        <v>0</v>
      </c>
      <c r="H156" s="70">
        <f>'RESUMEN TOTAL'!O192</f>
        <v>0</v>
      </c>
      <c r="I156" s="70">
        <f>'RESUMEN TOTAL'!P192</f>
        <v>0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>
        <f>'RESUMEN TOTAL'!N235</f>
        <v>0</v>
      </c>
      <c r="H194" s="70">
        <f>'RESUMEN TOTAL'!O235</f>
        <v>0</v>
      </c>
      <c r="I194" s="70">
        <f>'RESUMEN TOTAL'!P235</f>
        <v>0</v>
      </c>
      <c r="J194" s="70">
        <f>'RESUMEN TOTAL'!Q235</f>
        <v>0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>
        <f>'RESUMEN TOTAL'!M256</f>
        <v>0</v>
      </c>
      <c r="G215" s="70">
        <f>'RESUMEN TOTAL'!N256</f>
        <v>0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>
        <f>'RESUMEN TOTAL'!N264</f>
        <v>0</v>
      </c>
      <c r="H221" s="70">
        <f>'RESUMEN TOTAL'!O264</f>
        <v>0</v>
      </c>
      <c r="I221" s="70">
        <f>'RESUMEN TOTAL'!P264</f>
        <v>0</v>
      </c>
      <c r="J221" s="70">
        <f>'RESUMEN TOTAL'!Q264</f>
        <v>0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>
        <f>'RESUMEN TOTAL'!N283</f>
        <v>0</v>
      </c>
      <c r="H237" s="70">
        <f>'RESUMEN TOTAL'!O283</f>
        <v>0</v>
      </c>
      <c r="I237" s="70">
        <f>'RESUMEN TOTAL'!P283</f>
        <v>0</v>
      </c>
      <c r="J237" s="70">
        <f>'RESUMEN TOTAL'!Q283</f>
        <v>0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>
        <f>'RESUMEN TOTAL'!N294</f>
        <v>0</v>
      </c>
      <c r="H248" s="70">
        <f>'RESUMEN TOTAL'!O294</f>
        <v>0</v>
      </c>
      <c r="I248" s="70">
        <f>'RESUMEN TOTAL'!P294</f>
        <v>0</v>
      </c>
      <c r="J248" s="70">
        <f>'RESUMEN TOTAL'!Q294</f>
        <v>0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>
        <f>'RESUMEN TOTAL'!N296</f>
        <v>0</v>
      </c>
      <c r="H250" s="70">
        <f>'RESUMEN TOTAL'!O296</f>
        <v>0</v>
      </c>
      <c r="I250" s="70">
        <f>'RESUMEN TOTAL'!P296</f>
        <v>0</v>
      </c>
      <c r="J250" s="70">
        <f>'RESUMEN TOTAL'!Q296</f>
        <v>0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>
        <f>'RESUMEN TOTAL'!N335</f>
        <v>0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>
        <f>'RESUMEN TOTAL'!N358</f>
        <v>0</v>
      </c>
      <c r="H301" s="70">
        <f>'RESUMEN TOTAL'!O358</f>
        <v>0</v>
      </c>
      <c r="I301" s="70">
        <f>'RESUMEN TOTAL'!P358</f>
        <v>0</v>
      </c>
      <c r="J301" s="70">
        <f>'RESUMEN TOTAL'!Q358</f>
        <v>0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>
        <f>'RESUMEN TOTAL'!N359</f>
        <v>0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>
        <f>'RESUMEN TOTAL'!N383</f>
        <v>0</v>
      </c>
      <c r="H322" s="70">
        <f>'RESUMEN TOTAL'!P383</f>
        <v>0</v>
      </c>
      <c r="I322" s="70" t="e">
        <f>'RESUMEN TOTAL'!#REF!</f>
        <v>#REF!</v>
      </c>
      <c r="J322" s="70">
        <f>'RESUMEN TOTAL'!Q383</f>
        <v>0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>
        <f>'RESUMEN TOTAL'!N384</f>
        <v>0</v>
      </c>
      <c r="H323" s="70">
        <f>'RESUMEN TOTAL'!P384</f>
        <v>0</v>
      </c>
      <c r="I323" s="70" t="e">
        <f>'RESUMEN TOTAL'!#REF!</f>
        <v>#REF!</v>
      </c>
      <c r="J323" s="70">
        <f>'RESUMEN TOTAL'!Q384</f>
        <v>0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>
        <f>'RESUMEN TOTAL'!N390</f>
        <v>0</v>
      </c>
      <c r="H326" s="70">
        <f>'RESUMEN TOTAL'!O390</f>
        <v>0</v>
      </c>
      <c r="I326" s="70">
        <f>'RESUMEN TOTAL'!P390</f>
        <v>0</v>
      </c>
      <c r="J326" s="70">
        <f>'RESUMEN TOTAL'!Q390</f>
        <v>0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>
        <f>'RESUMEN TOTAL'!N395</f>
        <v>0</v>
      </c>
      <c r="H329" s="70">
        <f>'RESUMEN TOTAL'!O395</f>
        <v>0</v>
      </c>
      <c r="I329" s="70">
        <f>'RESUMEN TOTAL'!P395</f>
        <v>0</v>
      </c>
      <c r="J329" s="70">
        <f>'RESUMEN TOTAL'!Q395</f>
        <v>0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>
        <f>'RESUMEN TOTAL'!N416</f>
        <v>0</v>
      </c>
      <c r="H348" s="70">
        <f>'RESUMEN TOTAL'!O416</f>
        <v>0</v>
      </c>
      <c r="I348" s="70">
        <f>'RESUMEN TOTAL'!P416</f>
        <v>0</v>
      </c>
      <c r="J348" s="70">
        <f>'RESUMEN TOTAL'!Q416</f>
        <v>0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>
        <f>'RESUMEN TOTAL'!N428</f>
        <v>0</v>
      </c>
      <c r="H360" s="70">
        <f>'RESUMEN TOTAL'!O428</f>
        <v>0</v>
      </c>
      <c r="I360" s="70">
        <f>'RESUMEN TOTAL'!P428</f>
        <v>0</v>
      </c>
      <c r="J360" s="70">
        <f>'RESUMEN TOTAL'!Q428</f>
        <v>0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>
        <f>'RESUMEN TOTAL'!N436</f>
        <v>0</v>
      </c>
      <c r="H363" s="70">
        <f>'RESUMEN TOTAL'!O436</f>
        <v>0</v>
      </c>
      <c r="I363" s="70">
        <f>'RESUMEN TOTAL'!P436</f>
        <v>0</v>
      </c>
      <c r="J363" s="70">
        <f>'RESUMEN TOTAL'!Q436</f>
        <v>0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>
        <f>'RESUMEN TOTAL'!N511</f>
        <v>0</v>
      </c>
      <c r="H428" s="70">
        <f>'RESUMEN TOTAL'!O511</f>
        <v>0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>
        <f>'RESUMEN TOTAL'!N521</f>
        <v>0</v>
      </c>
      <c r="H436" s="70">
        <f>'RESUMEN TOTAL'!O521</f>
        <v>0</v>
      </c>
      <c r="I436" s="70">
        <f>'RESUMEN TOTAL'!P521</f>
        <v>0</v>
      </c>
      <c r="J436" s="70">
        <f>'RESUMEN TOTAL'!Q521</f>
        <v>0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>
        <f>'RESUMEN TOTAL'!N523</f>
        <v>0</v>
      </c>
      <c r="H438" s="70">
        <f>'RESUMEN TOTAL'!O523</f>
        <v>0</v>
      </c>
      <c r="I438" s="70">
        <f>'RESUMEN TOTAL'!P523</f>
        <v>0</v>
      </c>
      <c r="J438" s="70">
        <f>'RESUMEN TOTAL'!Q523</f>
        <v>0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7" operator="containsText" text="fija">
      <formula>NOT(ISERROR(SEARCH("fija",D439)))</formula>
    </cfRule>
    <cfRule type="containsText" dxfId="47" priority="68" operator="containsText" text="domo">
      <formula>NOT(ISERROR(SEARCH("domo",D439)))</formula>
    </cfRule>
    <cfRule type="containsText" dxfId="46" priority="69" operator="containsText" text="Radio">
      <formula>NOT(ISERROR(SEARCH("Radio",D439)))</formula>
    </cfRule>
  </conditionalFormatting>
  <conditionalFormatting sqref="D439:D440">
    <cfRule type="containsText" dxfId="45" priority="64" operator="containsText" text="fija">
      <formula>NOT(ISERROR(SEARCH("fija",D439)))</formula>
    </cfRule>
    <cfRule type="containsText" dxfId="44" priority="65" operator="containsText" text="domo">
      <formula>NOT(ISERROR(SEARCH("domo",D439)))</formula>
    </cfRule>
  </conditionalFormatting>
  <conditionalFormatting sqref="D440">
    <cfRule type="containsText" dxfId="43" priority="62" operator="containsText" text="fija">
      <formula>NOT(ISERROR(SEARCH("fija",D440)))</formula>
    </cfRule>
    <cfRule type="containsText" dxfId="42" priority="63" operator="containsText" text="domo">
      <formula>NOT(ISERROR(SEARCH("domo",D440)))</formula>
    </cfRule>
    <cfRule type="containsText" dxfId="41" priority="66" operator="containsText" text="Radio">
      <formula>NOT(ISERROR(SEARCH("Radio",D440)))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0" operator="containsText" text="domo">
      <formula>NOT(ISERROR(SEARCH("domo",D443)))</formula>
    </cfRule>
    <cfRule type="containsText" dxfId="38" priority="61" operator="containsText" text="Radio">
      <formula>NOT(ISERROR(SEARCH("Radio",D443)))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3" operator="containsText" text="fija">
      <formula>NOT(ISERROR(SEARCH("fija",D444)))</formula>
    </cfRule>
    <cfRule type="containsText" dxfId="34" priority="54" operator="containsText" text="domo">
      <formula>NOT(ISERROR(SEARCH("domo",D444)))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ontainsText" dxfId="17" priority="10" operator="containsText" text="Radio">
      <formula>NOT(ISERROR(SEARCH("Radio",E438)))</formula>
    </cfRule>
    <cfRule type="cellIs" dxfId="16" priority="11" operator="equal">
      <formula>"PTP A FO"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cellIs" dxfId="14" priority="8" operator="equal">
      <formula>"apagado"</formula>
    </cfRule>
    <cfRule type="cellIs" dxfId="13" priority="12" operator="equal">
      <formula>"APAGADO"</formula>
    </cfRule>
    <cfRule type="notContainsText" dxfId="12" priority="13" operator="notContains" text="Caida">
      <formula>ISERROR(SEARCH("Caida",F5))</formula>
    </cfRule>
    <cfRule type="containsText" dxfId="11" priority="14" operator="containsText" text="Caida">
      <formula>NOT(ISERROR(SEARCH("Caida",F5)))</formula>
    </cfRule>
    <cfRule type="cellIs" dxfId="10" priority="15" operator="lessThan">
      <formula>0.8</formula>
    </cfRule>
    <cfRule type="cellIs" dxfId="9" priority="16" operator="greaterThan">
      <formula>0.8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0</v>
      </c>
      <c r="H3" s="46">
        <f>COUNTIFS('RESUMEN TOTAL'!O8:O657,"=APAGADO",'RESUMEN TOTAL'!C8:C657,"=BONOMO")</f>
        <v>0</v>
      </c>
      <c r="I3" s="46">
        <f>COUNTIFS('RESUMEN TOTAL'!P8:P657,"=APAGADO",'RESUMEN TOTAL'!C8:C657,"=BONOMO")</f>
        <v>0</v>
      </c>
      <c r="J3" s="46">
        <f>COUNTIFS('RESUMEN TOTAL'!Q8:Q657,"=APAGADO",'RESUMEN TOTAL'!C8:C657,"=BONOMO")</f>
        <v>0</v>
      </c>
      <c r="K3" s="46">
        <f>COUNTIFS('RESUMEN TOTAL'!R8:R657,"=APAGADO",'RESUMEN TOTAL'!C8:C657,"=BONOMO")</f>
        <v>0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>
        <v>25</v>
      </c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8.6206896551724144E-2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TOTAL'!M10:M659,"=APAGADO",'RESUMEN TOTAL'!C10:C659,"=COSEIDI")</f>
        <v>31</v>
      </c>
      <c r="G5" s="46">
        <v>0</v>
      </c>
      <c r="H5" s="46">
        <f>COUNTIFS('RESUMEN TOTAL'!O10:O659,"=APAGADO",'RESUMEN TOTAL'!C10:C659,"=COSEIDI")</f>
        <v>0</v>
      </c>
      <c r="I5" s="46">
        <f>COUNTIFS('RESUMEN TOTAL'!P10:P659,"=APAGADO",'RESUMEN TOTAL'!C10:C659,"=COSEIDI")</f>
        <v>0</v>
      </c>
      <c r="J5" s="46">
        <f>COUNTIFS('RESUMEN TOTAL'!Q10:Q659,"=APAGADO",'RESUMEN TOTAL'!C10:C659,"=COSEIDI")</f>
        <v>0</v>
      </c>
      <c r="K5" s="46">
        <f>COUNTIFS('RESUMEN TOTAL'!R10:R659,"=APAGADO",'RESUMEN TOTAL'!C10:C659,"=COSEIDI")</f>
        <v>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v>0</v>
      </c>
      <c r="H6" s="50">
        <f t="shared" ref="H6:AH6" si="1">H5/COSEIDIcam</f>
        <v>0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v>0.08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0.09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2025-10-01T15:43:15Z</dcterms:modified>
</cp:coreProperties>
</file>