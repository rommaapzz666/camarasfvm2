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4_{FFB0F51E-3A25-46D1-9116-6E0E1F472509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7" i="24" l="1"/>
  <c r="D196" i="24"/>
  <c r="C193" i="24"/>
  <c r="C190" i="24"/>
  <c r="D191" i="24" s="1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6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D208" i="24" s="1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D207" i="24" s="1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<sst xmlns="http://schemas.openxmlformats.org/spreadsheetml/2006/main" count="4612" uniqueCount="1518">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</sst>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55" zoomScaleNormal="55" workbookViewId="0">
      <pane xSplit="11" ySplit="7" topLeftCell="X299" activePane="bottomRight" state="frozen"/>
      <selection pane="topRight" activeCell="M1" sqref="M1"/>
      <selection pane="bottomLeft" activeCell="A5" sqref="A5"/>
      <selection pane="bottomRight" activeCell="B321" sqref="B321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0</v>
      </c>
      <c r="AC4" s="10">
        <f>COUNTIFS(AC8:AC600, "=APAGADO",F8:F600,"=Fibra Optica")</f>
        <v>0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0</v>
      </c>
      <c r="AC5" s="136">
        <f>COUNTIFS(AC8:AC600, "=APAGADO",F8:F600,"=RADIO")</f>
        <v>0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0</v>
      </c>
      <c r="AC6" s="10">
        <f>COUNTIFS(AC8:AC600, "=APAGADO",F8:F600,"=PTO A FO")</f>
        <v>0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15</v>
      </c>
      <c r="J10" s="31">
        <f t="shared" si="6"/>
        <v>13</v>
      </c>
      <c r="K10" s="32">
        <f t="shared" si="7"/>
        <v>0.5357142857142857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15</v>
      </c>
      <c r="J11" s="31">
        <f t="shared" si="6"/>
        <v>13</v>
      </c>
      <c r="K11" s="32">
        <f t="shared" si="7"/>
        <v>0.5357142857142857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15</v>
      </c>
      <c r="J13" s="31">
        <f t="shared" si="6"/>
        <v>13</v>
      </c>
      <c r="K13" s="32">
        <f t="shared" si="7"/>
        <v>0.5357142857142857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18</v>
      </c>
      <c r="J28" s="31">
        <f t="shared" si="6"/>
        <v>10</v>
      </c>
      <c r="K28" s="32">
        <f t="shared" si="7"/>
        <v>0.6428571428571429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15</v>
      </c>
      <c r="J29" s="31">
        <f t="shared" si="6"/>
        <v>13</v>
      </c>
      <c r="K29" s="32">
        <f t="shared" si="7"/>
        <v>0.5357142857142857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16</v>
      </c>
      <c r="J30" s="31">
        <f t="shared" si="6"/>
        <v>12</v>
      </c>
      <c r="K30" s="32">
        <f t="shared" si="7"/>
        <v>0.5714285714285714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16</v>
      </c>
      <c r="J31" s="31">
        <f t="shared" si="6"/>
        <v>12</v>
      </c>
      <c r="K31" s="32">
        <f t="shared" si="7"/>
        <v>0.5714285714285714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15</v>
      </c>
      <c r="J37" s="31">
        <f t="shared" si="6"/>
        <v>13</v>
      </c>
      <c r="K37" s="32">
        <f t="shared" si="7"/>
        <v>0.5357142857142857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17</v>
      </c>
      <c r="J52" s="31">
        <f t="shared" si="6"/>
        <v>11</v>
      </c>
      <c r="K52" s="32">
        <f t="shared" si="7"/>
        <v>0.6071428571428571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/>
      <c r="AC52" s="72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15</v>
      </c>
      <c r="J56" s="31">
        <f t="shared" si="6"/>
        <v>13</v>
      </c>
      <c r="K56" s="32">
        <f t="shared" si="7"/>
        <v>0.5357142857142857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24</v>
      </c>
      <c r="J57" s="31">
        <f t="shared" si="6"/>
        <v>4</v>
      </c>
      <c r="K57" s="32">
        <f t="shared" si="7"/>
        <v>0.8571428571428571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15</v>
      </c>
      <c r="J113" s="31">
        <f t="shared" si="9"/>
        <v>13</v>
      </c>
      <c r="K113" s="32">
        <f t="shared" si="10"/>
        <v>0.5357142857142857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15</v>
      </c>
      <c r="J121" s="31">
        <f t="shared" si="9"/>
        <v>13</v>
      </c>
      <c r="K121" s="32">
        <f t="shared" si="10"/>
        <v>0.5357142857142857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15</v>
      </c>
      <c r="J128" s="31">
        <f t="shared" si="9"/>
        <v>13</v>
      </c>
      <c r="K128" s="32">
        <f t="shared" si="10"/>
        <v>0.5357142857142857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/>
      <c r="AC128" s="72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15</v>
      </c>
      <c r="J131" s="31">
        <f t="shared" si="9"/>
        <v>13</v>
      </c>
      <c r="K131" s="32">
        <f t="shared" si="10"/>
        <v>0.5357142857142857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/>
      <c r="AC131" s="72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15</v>
      </c>
      <c r="J132" s="31">
        <f t="shared" si="9"/>
        <v>13</v>
      </c>
      <c r="K132" s="32">
        <f t="shared" si="10"/>
        <v>0.5357142857142857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/>
      <c r="AC132" s="72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25</v>
      </c>
      <c r="J142" s="31">
        <f t="shared" si="12"/>
        <v>3</v>
      </c>
      <c r="K142" s="32">
        <f t="shared" si="13"/>
        <v>0.8928571428571429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25</v>
      </c>
      <c r="J143" s="31">
        <f t="shared" si="12"/>
        <v>3</v>
      </c>
      <c r="K143" s="32">
        <f t="shared" si="13"/>
        <v>0.8928571428571429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26</v>
      </c>
      <c r="J147" s="31">
        <f t="shared" si="12"/>
        <v>2</v>
      </c>
      <c r="K147" s="32">
        <f t="shared" si="13"/>
        <v>0.9285714285714286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25</v>
      </c>
      <c r="J151" s="31">
        <f t="shared" si="12"/>
        <v>3</v>
      </c>
      <c r="K151" s="32">
        <f t="shared" si="13"/>
        <v>0.8928571428571429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25</v>
      </c>
      <c r="J152" s="31">
        <f t="shared" si="12"/>
        <v>3</v>
      </c>
      <c r="K152" s="32">
        <f t="shared" si="13"/>
        <v>0.8928571428571429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25</v>
      </c>
      <c r="J153" s="31">
        <f t="shared" si="12"/>
        <v>3</v>
      </c>
      <c r="K153" s="32">
        <f t="shared" si="13"/>
        <v>0.8928571428571429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26</v>
      </c>
      <c r="J154" s="31">
        <f t="shared" si="12"/>
        <v>2</v>
      </c>
      <c r="K154" s="32">
        <f t="shared" si="13"/>
        <v>0.9285714285714286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27</v>
      </c>
      <c r="J158" s="31">
        <f t="shared" si="12"/>
        <v>1</v>
      </c>
      <c r="K158" s="32">
        <f t="shared" si="13"/>
        <v>0.9642857142857143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14</v>
      </c>
      <c r="J159" s="31">
        <f t="shared" si="12"/>
        <v>13</v>
      </c>
      <c r="K159" s="32">
        <f t="shared" si="13"/>
        <v>0.51851851851851849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/>
      <c r="AC159" s="72">
        <v>0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22</v>
      </c>
      <c r="J163" s="31">
        <f t="shared" si="12"/>
        <v>6</v>
      </c>
      <c r="K163" s="32">
        <f t="shared" si="13"/>
        <v>0.7857142857142857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22</v>
      </c>
      <c r="J164" s="31">
        <f t="shared" si="12"/>
        <v>6</v>
      </c>
      <c r="K164" s="32">
        <f t="shared" si="13"/>
        <v>0.7857142857142857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24</v>
      </c>
      <c r="J165" s="31">
        <f t="shared" si="12"/>
        <v>4</v>
      </c>
      <c r="K165" s="32">
        <f t="shared" si="13"/>
        <v>0.8571428571428571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/>
      <c r="AC165" s="72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26</v>
      </c>
      <c r="J169" s="31">
        <f t="shared" si="12"/>
        <v>2</v>
      </c>
      <c r="K169" s="32">
        <f t="shared" si="13"/>
        <v>0.9285714285714286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22</v>
      </c>
      <c r="J177" s="31">
        <f t="shared" si="12"/>
        <v>6</v>
      </c>
      <c r="K177" s="32">
        <f t="shared" si="13"/>
        <v>0.7857142857142857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21</v>
      </c>
      <c r="J181" s="31">
        <f t="shared" si="12"/>
        <v>7</v>
      </c>
      <c r="K181" s="32">
        <f t="shared" si="13"/>
        <v>0.75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21</v>
      </c>
      <c r="J182" s="31">
        <f t="shared" si="12"/>
        <v>7</v>
      </c>
      <c r="K182" s="32">
        <f t="shared" si="13"/>
        <v>0.75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16</v>
      </c>
      <c r="J207" s="31">
        <f t="shared" si="15"/>
        <v>12</v>
      </c>
      <c r="K207" s="32">
        <f t="shared" si="16"/>
        <v>0.5714285714285714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/>
      <c r="AC207" s="72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22</v>
      </c>
      <c r="J208" s="31">
        <f t="shared" si="15"/>
        <v>6</v>
      </c>
      <c r="K208" s="32">
        <f t="shared" si="16"/>
        <v>0.7857142857142857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15</v>
      </c>
      <c r="J210" s="31">
        <f t="shared" si="15"/>
        <v>13</v>
      </c>
      <c r="K210" s="32">
        <f t="shared" si="16"/>
        <v>0.5357142857142857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24</v>
      </c>
      <c r="J231" s="31">
        <f t="shared" si="15"/>
        <v>4</v>
      </c>
      <c r="K231" s="32">
        <f t="shared" si="16"/>
        <v>0.8571428571428571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24</v>
      </c>
      <c r="J233" s="31">
        <f t="shared" si="15"/>
        <v>4</v>
      </c>
      <c r="K233" s="32">
        <f t="shared" si="16"/>
        <v>0.8571428571428571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24</v>
      </c>
      <c r="J236" s="31">
        <f t="shared" si="15"/>
        <v>4</v>
      </c>
      <c r="K236" s="32">
        <f t="shared" si="16"/>
        <v>0.8571428571428571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17</v>
      </c>
      <c r="J249" s="31">
        <f t="shared" si="15"/>
        <v>11</v>
      </c>
      <c r="K249" s="32">
        <f t="shared" si="16"/>
        <v>0.6071428571428571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16</v>
      </c>
      <c r="J263" s="31">
        <f t="shared" si="15"/>
        <v>12</v>
      </c>
      <c r="K263" s="32">
        <f t="shared" si="16"/>
        <v>0.5714285714285714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/>
      <c r="AC263" s="72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21</v>
      </c>
      <c r="J268" s="31">
        <f t="shared" si="18"/>
        <v>7</v>
      </c>
      <c r="K268" s="32">
        <f t="shared" si="19"/>
        <v>0.75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15</v>
      </c>
      <c r="J297" s="31">
        <f t="shared" si="18"/>
        <v>13</v>
      </c>
      <c r="K297" s="32">
        <f t="shared" si="19"/>
        <v>0.5357142857142857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15</v>
      </c>
      <c r="J298" s="31">
        <f t="shared" si="18"/>
        <v>13</v>
      </c>
      <c r="K298" s="32">
        <f t="shared" si="19"/>
        <v>0.5357142857142857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15</v>
      </c>
      <c r="J299" s="31">
        <f t="shared" si="18"/>
        <v>13</v>
      </c>
      <c r="K299" s="32">
        <f t="shared" si="19"/>
        <v>0.5357142857142857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15</v>
      </c>
      <c r="J300" s="31">
        <f t="shared" si="18"/>
        <v>13</v>
      </c>
      <c r="K300" s="32">
        <f t="shared" si="19"/>
        <v>0.5357142857142857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15</v>
      </c>
      <c r="J301" s="31">
        <f t="shared" si="18"/>
        <v>13</v>
      </c>
      <c r="K301" s="32">
        <f t="shared" si="19"/>
        <v>0.5357142857142857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23</v>
      </c>
      <c r="J306" s="31">
        <f t="shared" si="18"/>
        <v>5</v>
      </c>
      <c r="K306" s="32">
        <f t="shared" si="19"/>
        <v>0.8214285714285714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15</v>
      </c>
      <c r="J317" s="31">
        <f t="shared" si="18"/>
        <v>13</v>
      </c>
      <c r="K317" s="32">
        <f t="shared" si="19"/>
        <v>0.5357142857142857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15</v>
      </c>
      <c r="J322" s="31">
        <f t="shared" si="18"/>
        <v>13</v>
      </c>
      <c r="K322" s="32">
        <f t="shared" si="19"/>
        <v>0.5357142857142857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15</v>
      </c>
      <c r="J323" s="31">
        <f t="shared" si="18"/>
        <v>13</v>
      </c>
      <c r="K323" s="32">
        <f t="shared" si="19"/>
        <v>0.5357142857142857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28</v>
      </c>
      <c r="J328" s="31">
        <f t="shared" ref="J328:J391" si="21">COUNTIF(L328:AM328,"APAGADO")</f>
        <v>0</v>
      </c>
      <c r="K328" s="32">
        <f t="shared" ref="K328:K391" si="22">(I328)/(J328+I328)</f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28</v>
      </c>
      <c r="J329" s="31">
        <f t="shared" si="21"/>
        <v>0</v>
      </c>
      <c r="K329" s="32">
        <f t="shared" si="22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27</v>
      </c>
      <c r="J330" s="31">
        <f t="shared" si="21"/>
        <v>1</v>
      </c>
      <c r="K330" s="32">
        <f t="shared" si="22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27</v>
      </c>
      <c r="J331" s="31">
        <f t="shared" si="21"/>
        <v>1</v>
      </c>
      <c r="K331" s="32">
        <f t="shared" si="22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27</v>
      </c>
      <c r="J332" s="31">
        <f t="shared" si="21"/>
        <v>1</v>
      </c>
      <c r="K332" s="32">
        <f t="shared" si="22"/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28</v>
      </c>
      <c r="J334" s="31">
        <f t="shared" si="21"/>
        <v>0</v>
      </c>
      <c r="K334" s="32">
        <f t="shared" si="22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27</v>
      </c>
      <c r="J335" s="31">
        <f t="shared" si="21"/>
        <v>1</v>
      </c>
      <c r="K335" s="32">
        <f t="shared" si="22"/>
        <v>0.9642857142857143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28</v>
      </c>
      <c r="J336" s="31">
        <f t="shared" si="21"/>
        <v>0</v>
      </c>
      <c r="K336" s="32">
        <f t="shared" si="22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21</v>
      </c>
      <c r="J340" s="31">
        <f t="shared" si="21"/>
        <v>7</v>
      </c>
      <c r="K340" s="32">
        <f t="shared" si="22"/>
        <v>0.75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15</v>
      </c>
      <c r="J350" s="31">
        <f t="shared" si="21"/>
        <v>13</v>
      </c>
      <c r="K350" s="32">
        <f t="shared" si="22"/>
        <v>0.5357142857142857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/>
      <c r="AC350" s="72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15</v>
      </c>
      <c r="J355" s="31">
        <f t="shared" si="21"/>
        <v>13</v>
      </c>
      <c r="K355" s="32">
        <f t="shared" si="22"/>
        <v>0.5357142857142857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/>
      <c r="AC355" s="72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15</v>
      </c>
      <c r="J358" s="31">
        <f t="shared" si="21"/>
        <v>13</v>
      </c>
      <c r="K358" s="32">
        <f t="shared" si="22"/>
        <v>0.5357142857142857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15</v>
      </c>
      <c r="J359" s="31">
        <f t="shared" si="21"/>
        <v>13</v>
      </c>
      <c r="K359" s="32">
        <f t="shared" si="22"/>
        <v>0.5357142857142857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24</v>
      </c>
      <c r="J371" s="31">
        <f t="shared" si="21"/>
        <v>4</v>
      </c>
      <c r="K371" s="32">
        <f t="shared" si="22"/>
        <v>0.8571428571428571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25</v>
      </c>
      <c r="J372" s="31">
        <f t="shared" si="21"/>
        <v>3</v>
      </c>
      <c r="K372" s="32">
        <f t="shared" si="22"/>
        <v>0.8928571428571429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24</v>
      </c>
      <c r="J373" s="31">
        <f t="shared" si="21"/>
        <v>4</v>
      </c>
      <c r="K373" s="32">
        <f t="shared" si="22"/>
        <v>0.8571428571428571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23</v>
      </c>
      <c r="J376" s="31">
        <f t="shared" si="21"/>
        <v>5</v>
      </c>
      <c r="K376" s="32">
        <f t="shared" si="22"/>
        <v>0.8214285714285714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24</v>
      </c>
      <c r="J385" s="31">
        <f t="shared" si="21"/>
        <v>4</v>
      </c>
      <c r="K385" s="32">
        <f t="shared" si="22"/>
        <v>0.8571428571428571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24</v>
      </c>
      <c r="J386" s="31">
        <f t="shared" si="21"/>
        <v>4</v>
      </c>
      <c r="K386" s="32">
        <f t="shared" si="22"/>
        <v>0.8571428571428571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15</v>
      </c>
      <c r="J389" s="31">
        <f t="shared" si="21"/>
        <v>13</v>
      </c>
      <c r="K389" s="32">
        <f t="shared" si="22"/>
        <v>0.5357142857142857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26</v>
      </c>
      <c r="J399" s="31">
        <f t="shared" si="24"/>
        <v>2</v>
      </c>
      <c r="K399" s="32">
        <f t="shared" si="25"/>
        <v>0.9285714285714286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26</v>
      </c>
      <c r="J400" s="31">
        <f t="shared" si="24"/>
        <v>2</v>
      </c>
      <c r="K400" s="32">
        <f t="shared" si="25"/>
        <v>0.9285714285714286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26</v>
      </c>
      <c r="J409" s="31">
        <f t="shared" si="24"/>
        <v>2</v>
      </c>
      <c r="K409" s="32">
        <f t="shared" si="25"/>
        <v>0.9285714285714286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26</v>
      </c>
      <c r="J410" s="31">
        <f t="shared" si="24"/>
        <v>2</v>
      </c>
      <c r="K410" s="32">
        <f t="shared" si="25"/>
        <v>0.9285714285714286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21</v>
      </c>
      <c r="J411" s="31">
        <f t="shared" si="24"/>
        <v>7</v>
      </c>
      <c r="K411" s="32">
        <f t="shared" si="25"/>
        <v>0.75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15</v>
      </c>
      <c r="J452" s="31">
        <f t="shared" si="24"/>
        <v>13</v>
      </c>
      <c r="K452" s="32">
        <f t="shared" si="25"/>
        <v>0.5357142857142857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/>
      <c r="AC452" s="72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15</v>
      </c>
      <c r="J453" s="31">
        <f t="shared" si="24"/>
        <v>13</v>
      </c>
      <c r="K453" s="32">
        <f t="shared" si="25"/>
        <v>0.5357142857142857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/>
      <c r="AC453" s="72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15</v>
      </c>
      <c r="J465" s="31">
        <f t="shared" si="27"/>
        <v>13</v>
      </c>
      <c r="K465" s="32">
        <f t="shared" si="28"/>
        <v>0.5357142857142857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15</v>
      </c>
      <c r="J467" s="31">
        <f t="shared" si="27"/>
        <v>13</v>
      </c>
      <c r="K467" s="32">
        <f t="shared" si="28"/>
        <v>0.5357142857142857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24" zoomScale="110" zoomScaleNormal="110" workbookViewId="0">
      <selection activeCell="B133" sqref="B13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1254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1255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1492</v>
      </c>
      <c r="C183" s="137"/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f>'RESUMEN TOTAL'!AB14</f>
        <v>0</v>
      </c>
      <c r="D190" s="56"/>
      <c r="E190" s="57">
        <f>C190/C189</f>
        <v>0</v>
      </c>
      <c r="F190" s="139"/>
    </row>
    <row r="191" spans="2:6" x14ac:dyDescent="0.25">
      <c r="B191" s="55" t="s">
        <v>1254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1255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f>'RESUMEN TOTAL'!AB16</f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1492</v>
      </c>
      <c r="C194" s="137"/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f>Hoja1!V14</f>
        <v>0</v>
      </c>
      <c r="E196" s="111">
        <f>D196/C196</f>
        <v>0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f>Hoja1!V16</f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1254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1255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1492</v>
      </c>
      <c r="C205" s="137"/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f>Hoja1!W3</f>
        <v>0</v>
      </c>
      <c r="E207" s="111">
        <f>D207/C207</f>
        <v>0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f>Hoja1!W5</f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89:F197"/>
    <mergeCell ref="F200:F208"/>
    <mergeCell ref="F211:F219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1" zoomScale="120" zoomScaleNormal="12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0</v>
      </c>
      <c r="W3" s="47">
        <f>COUNTIFS('RESUMEN TOTAL'!AC8:AC600,"=APAGADO",'RESUMEN TOTAL'!C8:C600,"=BONOMO")</f>
        <v>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0</v>
      </c>
      <c r="W5" s="47">
        <f>COUNTIFS('RESUMEN TOTAL'!AC10:AC602,"=APAGADO",'RESUMEN TOTAL'!C10:C602,"=COSEIDI")</f>
        <v>0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>
        <f>'RESUMEN TOTAL'!AB37</f>
        <v>0</v>
      </c>
      <c r="W29" s="72">
        <f>'RESUMEN TOTAL'!AC37</f>
        <v>0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>
        <f>'RESUMEN TOTAL'!AB52</f>
        <v>0</v>
      </c>
      <c r="W44" s="72">
        <f>'RESUMEN TOTAL'!AC52</f>
        <v>0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>
        <f>'RESUMEN TOTAL'!AB56</f>
        <v>0</v>
      </c>
      <c r="W48" s="72">
        <f>'RESUMEN TOTAL'!AC56</f>
        <v>0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>
        <f>'RESUMEN TOTAL'!AC57</f>
        <v>0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>
        <f>'RESUMEN TOTAL'!AC90</f>
        <v>0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>
        <f>'RESUMEN TOTAL'!AB113</f>
        <v>0</v>
      </c>
      <c r="W105" s="72">
        <f>'RESUMEN TOTAL'!AC113</f>
        <v>0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>
        <f>'RESUMEN TOTAL'!AB121</f>
        <v>0</v>
      </c>
      <c r="W111" s="72">
        <f>'RESUMEN TOTAL'!AC121</f>
        <v>0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>
        <f>'RESUMEN TOTAL'!AB128</f>
        <v>0</v>
      </c>
      <c r="W118" s="72">
        <f>'RESUMEN TOTAL'!AC128</f>
        <v>0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>
        <f>'RESUMEN TOTAL'!AB131</f>
        <v>0</v>
      </c>
      <c r="W121" s="72">
        <f>'RESUMEN TOTAL'!AC131</f>
        <v>0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>
        <f>'RESUMEN TOTAL'!AB132</f>
        <v>0</v>
      </c>
      <c r="W122" s="72">
        <f>'RESUMEN TOTAL'!AC132</f>
        <v>0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>
        <f>'RESUMEN TOTAL'!AC158</f>
        <v>0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>
        <f>'RESUMEN TOTAL'!AB159</f>
        <v>0</v>
      </c>
      <c r="W147" s="72">
        <f>'RESUMEN TOTAL'!AC159</f>
        <v>0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>
        <f>'RESUMEN TOTAL'!AB163</f>
        <v>0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>
        <f>'RESUMEN TOTAL'!AB164</f>
        <v>0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>
        <f>'RESUMEN TOTAL'!AB165</f>
        <v>0</v>
      </c>
      <c r="W153" s="72">
        <f>'RESUMEN TOTAL'!AC165</f>
        <v>0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>
        <f>'RESUMEN TOTAL'!AB169</f>
        <v>0</v>
      </c>
      <c r="W157" s="72">
        <f>'RESUMEN TOTAL'!AC169</f>
        <v>0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>
        <f>'RESUMEN TOTAL'!AB177</f>
        <v>0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>
        <f>'RESUMEN TOTAL'!AB181</f>
        <v>0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>
        <f>'RESUMEN TOTAL'!AB182</f>
        <v>0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>
        <f>'RESUMEN TOTAL'!AB207</f>
        <v>0</v>
      </c>
      <c r="W193" s="72">
        <f>'RESUMEN TOTAL'!AC207</f>
        <v>0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>
        <f>'RESUMEN TOTAL'!AB208</f>
        <v>0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>
        <f>'RESUMEN TOTAL'!AB210</f>
        <v>0</v>
      </c>
      <c r="W196" s="72">
        <f>'RESUMEN TOTAL'!AC210</f>
        <v>0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>
        <f>'RESUMEN TOTAL'!AB249</f>
        <v>0</v>
      </c>
      <c r="W234" s="72">
        <f>'RESUMEN TOTAL'!AC249</f>
        <v>0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>
        <f>'RESUMEN TOTAL'!AB263</f>
        <v>0</v>
      </c>
      <c r="W248" s="72">
        <f>'RESUMEN TOTAL'!AC263</f>
        <v>0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>
        <f>'RESUMEN TOTAL'!AB268</f>
        <v>0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>
        <f>'RESUMEN TOTAL'!AB300</f>
        <v>0</v>
      </c>
      <c r="W278" s="72">
        <f>'RESUMEN TOTAL'!AC300</f>
        <v>0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>
        <f>'RESUMEN TOTAL'!AB301</f>
        <v>0</v>
      </c>
      <c r="W279" s="72">
        <f>'RESUMEN TOTAL'!AC301</f>
        <v>0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>
        <f>'RESUMEN TOTAL'!AB306</f>
        <v>0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>
        <f>'RESUMEN TOTAL'!AB317</f>
        <v>0</v>
      </c>
      <c r="W295" s="72">
        <f>'RESUMEN TOTAL'!AC317</f>
        <v>0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>
        <f>'RESUMEN TOTAL'!AC318</f>
        <v>0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>
        <f>'RESUMEN TOTAL'!AC319</f>
        <v>0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>
        <f>'RESUMEN TOTAL'!AB322</f>
        <v>0</v>
      </c>
      <c r="W300" s="72">
        <f>'RESUMEN TOTAL'!AC322</f>
        <v>0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>
        <f>'RESUMEN TOTAL'!AB323</f>
        <v>0</v>
      </c>
      <c r="W301" s="72">
        <f>'RESUMEN TOTAL'!AC323</f>
        <v>0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>
        <f>'RESUMEN TOTAL'!AC325</f>
        <v>0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>
        <f>'RESUMEN TOTAL'!AC326</f>
        <v>0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>
        <f>'RESUMEN TOTAL'!AC327</f>
        <v>0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>
        <f>'RESUMEN TOTAL'!AC328</f>
        <v>0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>
        <f>'RESUMEN TOTAL'!AC329</f>
        <v>0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>
        <f>'RESUMEN TOTAL'!AC330</f>
        <v>0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>
        <f>'RESUMEN TOTAL'!AC331</f>
        <v>0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>
        <f>'RESUMEN TOTAL'!AC332</f>
        <v>0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>
        <f>'RESUMEN TOTAL'!AC333</f>
        <v>0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>
        <f>'RESUMEN TOTAL'!AC334</f>
        <v>0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>
        <f>'RESUMEN TOTAL'!AC335</f>
        <v>0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>
        <f>'RESUMEN TOTAL'!AC336</f>
        <v>0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>
        <f>'RESUMEN TOTAL'!AB340</f>
        <v>0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>
        <f>'RESUMEN TOTAL'!AB350</f>
        <v>0</v>
      </c>
      <c r="W325" s="72">
        <f>'RESUMEN TOTAL'!AC350</f>
        <v>0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>
        <f>'RESUMEN TOTAL'!AB355</f>
        <v>0</v>
      </c>
      <c r="W328" s="72">
        <f>'RESUMEN TOTAL'!AC355</f>
        <v>0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>
        <f>'RESUMEN TOTAL'!AB358</f>
        <v>0</v>
      </c>
      <c r="W331" s="72">
        <f>'RESUMEN TOTAL'!AC358</f>
        <v>0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>
        <f>'RESUMEN TOTAL'!AB359</f>
        <v>0</v>
      </c>
      <c r="W332" s="72">
        <f>'RESUMEN TOTAL'!AC359</f>
        <v>0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>
        <f>'RESUMEN TOTAL'!AB376</f>
        <v>0</v>
      </c>
      <c r="W349" s="72">
        <f>'RESUMEN TOTAL'!AC376</f>
        <v>0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>
        <f>'RESUMEN TOTAL'!AB385</f>
        <v>0</v>
      </c>
      <c r="W358" s="72">
        <f>'RESUMEN TOTAL'!AC385</f>
        <v>0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>
        <f>'RESUMEN TOTAL'!AC389</f>
        <v>0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>
        <f>'RESUMEN TOTAL'!AB399</f>
        <v>0</v>
      </c>
      <c r="W372" s="72">
        <f>'RESUMEN TOTAL'!AC399</f>
        <v>0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>
        <f>'RESUMEN TOTAL'!AB400</f>
        <v>0</v>
      </c>
      <c r="W373" s="72">
        <f>'RESUMEN TOTAL'!AC400</f>
        <v>0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>
        <f>'RESUMEN TOTAL'!AB407</f>
        <v>0</v>
      </c>
      <c r="W378" s="72">
        <f>'RESUMEN TOTAL'!AC407</f>
        <v>0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>
        <f>'RESUMEN TOTAL'!AB408</f>
        <v>0</v>
      </c>
      <c r="W379" s="72">
        <f>'RESUMEN TOTAL'!AC408</f>
        <v>0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>
        <f>'RESUMEN TOTAL'!AB409</f>
        <v>0</v>
      </c>
      <c r="W380" s="72">
        <f>'RESUMEN TOTAL'!AC409</f>
        <v>0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>
        <f>'RESUMEN TOTAL'!AB410</f>
        <v>0</v>
      </c>
      <c r="W381" s="72">
        <f>'RESUMEN TOTAL'!AC410</f>
        <v>0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>
        <f>'RESUMEN TOTAL'!AB411</f>
        <v>0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>
        <f>'RESUMEN TOTAL'!AC446</f>
        <v>0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>
        <f>'RESUMEN TOTAL'!AC447</f>
        <v>0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>
        <f>'RESUMEN TOTAL'!AC450</f>
        <v>0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>
        <f>'RESUMEN TOTAL'!AC451</f>
        <v>0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>
        <f>'RESUMEN TOTAL'!AB452</f>
        <v>0</v>
      </c>
      <c r="W423" s="72">
        <f>'RESUMEN TOTAL'!AC452</f>
        <v>0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>
        <f>'RESUMEN TOTAL'!AB453</f>
        <v>0</v>
      </c>
      <c r="W424" s="72">
        <f>'RESUMEN TOTAL'!AC453</f>
        <v>0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>
        <f>'RESUMEN TOTAL'!AB465</f>
        <v>0</v>
      </c>
      <c r="W435" s="72">
        <f>'RESUMEN TOTAL'!AC465</f>
        <v>0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>
        <f>'RESUMEN TOTAL'!AB467</f>
        <v>0</v>
      </c>
      <c r="W437" s="72">
        <f>'RESUMEN TOTAL'!AC467</f>
        <v>0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2025-06-13T18:45:47Z</dcterms:modified>
</cp:coreProperties>
</file>