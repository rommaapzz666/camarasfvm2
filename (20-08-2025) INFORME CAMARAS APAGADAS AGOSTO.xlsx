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DB9521D9-3ED9-4D7E-84D1-79A3D4B8DA5E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0" i="2" l="1"/>
  <c r="J149" i="2"/>
  <c r="I150" i="2"/>
  <c r="I149" i="2"/>
  <c r="K149" i="2" s="1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0" i="2" l="1"/>
  <c r="K366" i="2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<sst xmlns="http://schemas.openxmlformats.org/spreadsheetml/2006/main" count="5583" uniqueCount="1568">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</sst>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0.2140221402214022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0.20600858369098712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0.2140221402214022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0.20600858369098712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0.2140221402214022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0.20600858369098712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0.2140221402214022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0.20600858369098712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AE376" activePane="bottomRight" state="frozen"/>
      <selection pane="topRight" activeCell="M1" sqref="M1"/>
      <selection pane="bottomLeft" activeCell="A5" sqref="A5"/>
      <selection pane="bottomRight" activeCell="F598" sqref="F59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0.15719063545150502</v>
      </c>
      <c r="AC1" s="3">
        <f t="shared" si="1"/>
        <v>0.15008431703204048</v>
      </c>
      <c r="AD1" s="3">
        <f t="shared" si="1"/>
        <v>0.15151515151515152</v>
      </c>
      <c r="AE1" s="3">
        <f t="shared" si="1"/>
        <v>0.17377049180327869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62</v>
      </c>
      <c r="AC4" s="10">
        <f>COUNTIFS(AC8:AC619, "=APAGADO",F8:F619,"=Fibra Optica")</f>
        <v>58</v>
      </c>
      <c r="AD4" s="10">
        <f>COUNTIFS(AD8:AD619, "=APAGADO",F8:F619,"=Fibra Optica")</f>
        <v>59</v>
      </c>
      <c r="AE4" s="10">
        <f>COUNTIFS(AE8:AE619, "=APAGADO",F8:F619,"=Fibra Optica")</f>
        <v>72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16</v>
      </c>
      <c r="AC5" s="134">
        <f>COUNTIFS(AC8:AC619, "=APAGADO",F8:F619,"=RADIO")</f>
        <v>17</v>
      </c>
      <c r="AD5" s="134">
        <f>COUNTIFS(AD8:AD619, "=APAGADO",F8:F619,"=RADIO")</f>
        <v>18</v>
      </c>
      <c r="AE5" s="134">
        <f>COUNTIFS(AE8:AE619, "=APAGADO",F8:F619,"=RADIO")</f>
        <v>19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9</v>
      </c>
      <c r="AC6" s="10">
        <f>COUNTIFS(AC8:AC619, "=APAGADO",F8:F619,"=PTO A FO")</f>
        <v>9</v>
      </c>
      <c r="AD6" s="10">
        <f>COUNTIFS(AD8:AD619, "=APAGADO",F8:F619,"=PTO A FO")</f>
        <v>8</v>
      </c>
      <c r="AE6" s="10">
        <f>COUNTIFS(AE8:AE619, "=APAGADO",F8:F619,"=PTO A FO")</f>
        <v>10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10</v>
      </c>
      <c r="J12" s="31">
        <f t="shared" si="5"/>
        <v>18</v>
      </c>
      <c r="K12" s="32">
        <f t="shared" si="6"/>
        <v>0.35714285714285715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9</v>
      </c>
      <c r="J17" s="31">
        <f t="shared" si="5"/>
        <v>19</v>
      </c>
      <c r="K17" s="32">
        <f t="shared" si="6"/>
        <v>0.32142857142857145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9</v>
      </c>
      <c r="J18" s="31">
        <f t="shared" si="5"/>
        <v>19</v>
      </c>
      <c r="K18" s="32">
        <f t="shared" si="6"/>
        <v>0.32142857142857145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24</v>
      </c>
      <c r="J21" s="31">
        <f t="shared" si="5"/>
        <v>4</v>
      </c>
      <c r="K21" s="32">
        <f t="shared" si="6"/>
        <v>0.8571428571428571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1530</v>
      </c>
      <c r="AC21" s="70" t="s">
        <v>1530</v>
      </c>
      <c r="AD21" s="70" t="s">
        <v>1530</v>
      </c>
      <c r="AE21" s="70" t="s">
        <v>1530</v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9</v>
      </c>
      <c r="J30" s="138">
        <f t="shared" si="5"/>
        <v>19</v>
      </c>
      <c r="K30" s="139">
        <f t="shared" si="6"/>
        <v>0.32142857142857145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 t="s">
        <v>1530</v>
      </c>
      <c r="AC30" s="140" t="s">
        <v>1530</v>
      </c>
      <c r="AD30" s="140" t="s">
        <v>1530</v>
      </c>
      <c r="AE30" s="140" t="s">
        <v>1530</v>
      </c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9</v>
      </c>
      <c r="J39" s="31">
        <f t="shared" si="5"/>
        <v>19</v>
      </c>
      <c r="K39" s="32">
        <f t="shared" si="6"/>
        <v>0.32142857142857145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 t="s">
        <v>1530</v>
      </c>
      <c r="AC39" s="70" t="s">
        <v>1530</v>
      </c>
      <c r="AD39" s="70" t="s">
        <v>1530</v>
      </c>
      <c r="AE39" s="70" t="s">
        <v>1530</v>
      </c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9</v>
      </c>
      <c r="J40" s="31">
        <f t="shared" si="5"/>
        <v>19</v>
      </c>
      <c r="K40" s="32">
        <f t="shared" si="6"/>
        <v>0.32142857142857145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20</v>
      </c>
      <c r="J54" s="31">
        <f t="shared" si="5"/>
        <v>8</v>
      </c>
      <c r="K54" s="32">
        <f t="shared" si="6"/>
        <v>0.7142857142857143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 t="s">
        <v>1530</v>
      </c>
      <c r="AC54" s="70" t="s">
        <v>1530</v>
      </c>
      <c r="AD54" s="70" t="s">
        <v>1530</v>
      </c>
      <c r="AE54" s="70" t="s">
        <v>1530</v>
      </c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9</v>
      </c>
      <c r="J55" s="31">
        <f t="shared" si="5"/>
        <v>19</v>
      </c>
      <c r="K55" s="32">
        <f t="shared" si="6"/>
        <v>0.32142857142857145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97" t="s">
        <v>1530</v>
      </c>
      <c r="AE55" s="97" t="s">
        <v>1530</v>
      </c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14</v>
      </c>
      <c r="J56" s="31">
        <f t="shared" si="5"/>
        <v>14</v>
      </c>
      <c r="K56" s="32">
        <f t="shared" si="6"/>
        <v>0.5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70" t="s">
        <v>1530</v>
      </c>
      <c r="AE56" s="70" t="s">
        <v>1530</v>
      </c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9</v>
      </c>
      <c r="J58" s="31">
        <f t="shared" si="5"/>
        <v>19</v>
      </c>
      <c r="K58" s="32">
        <f t="shared" si="6"/>
        <v>0.32142857142857145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 t="s">
        <v>1530</v>
      </c>
      <c r="AC58" s="70" t="s">
        <v>1530</v>
      </c>
      <c r="AD58" s="70" t="s">
        <v>1530</v>
      </c>
      <c r="AE58" s="70" t="s">
        <v>1530</v>
      </c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25</v>
      </c>
      <c r="J72" s="31">
        <f t="shared" si="5"/>
        <v>3</v>
      </c>
      <c r="K72" s="32">
        <f t="shared" si="6"/>
        <v>0.8928571428571429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 t="s">
        <v>1530</v>
      </c>
      <c r="AE72" s="70" t="s">
        <v>1530</v>
      </c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25</v>
      </c>
      <c r="J77" s="31">
        <f t="shared" si="8"/>
        <v>3</v>
      </c>
      <c r="K77" s="32">
        <f t="shared" si="9"/>
        <v>0.8928571428571429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 t="s">
        <v>1530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19</v>
      </c>
      <c r="J85" s="31">
        <f t="shared" si="8"/>
        <v>9</v>
      </c>
      <c r="K85" s="32">
        <f t="shared" si="9"/>
        <v>0.6785714285714286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 t="s">
        <v>1530</v>
      </c>
      <c r="AC85" s="70" t="s">
        <v>1530</v>
      </c>
      <c r="AD85" s="70" t="s">
        <v>1530</v>
      </c>
      <c r="AE85" s="70" t="s">
        <v>1530</v>
      </c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19</v>
      </c>
      <c r="J94" s="31">
        <f t="shared" si="8"/>
        <v>9</v>
      </c>
      <c r="K94" s="32">
        <f t="shared" si="9"/>
        <v>0.6785714285714286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 t="s">
        <v>1530</v>
      </c>
      <c r="AC94" s="70" t="s">
        <v>1530</v>
      </c>
      <c r="AD94" s="70" t="s">
        <v>1530</v>
      </c>
      <c r="AE94" s="70" t="s">
        <v>1530</v>
      </c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18</v>
      </c>
      <c r="J105" s="31">
        <f t="shared" si="8"/>
        <v>10</v>
      </c>
      <c r="K105" s="32">
        <f t="shared" si="9"/>
        <v>0.6428571428571429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 t="s">
        <v>1530</v>
      </c>
      <c r="AC105" s="70" t="s">
        <v>1530</v>
      </c>
      <c r="AD105" s="70" t="s">
        <v>1530</v>
      </c>
      <c r="AE105" s="70" t="s">
        <v>1530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18</v>
      </c>
      <c r="J106" s="31">
        <f t="shared" si="8"/>
        <v>10</v>
      </c>
      <c r="K106" s="32">
        <f t="shared" si="9"/>
        <v>0.6428571428571429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19</v>
      </c>
      <c r="J107" s="31">
        <f t="shared" si="8"/>
        <v>9</v>
      </c>
      <c r="K107" s="32">
        <f t="shared" si="9"/>
        <v>0.6785714285714286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9</v>
      </c>
      <c r="J108" s="31">
        <f t="shared" si="8"/>
        <v>19</v>
      </c>
      <c r="K108" s="32">
        <f t="shared" si="9"/>
        <v>0.32142857142857145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25</v>
      </c>
      <c r="J113" s="31">
        <f t="shared" si="8"/>
        <v>3</v>
      </c>
      <c r="K113" s="32">
        <f t="shared" si="9"/>
        <v>0.8928571428571429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 t="s">
        <v>1530</v>
      </c>
      <c r="AE113" s="70" t="s">
        <v>1530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25</v>
      </c>
      <c r="J114" s="31">
        <f t="shared" si="8"/>
        <v>3</v>
      </c>
      <c r="K114" s="32">
        <f t="shared" si="9"/>
        <v>0.8928571428571429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9</v>
      </c>
      <c r="J129" s="31">
        <f t="shared" si="8"/>
        <v>19</v>
      </c>
      <c r="K129" s="32">
        <f t="shared" si="9"/>
        <v>0.32142857142857145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 t="s">
        <v>1530</v>
      </c>
      <c r="AC129" s="70" t="s">
        <v>1530</v>
      </c>
      <c r="AD129" s="70" t="s">
        <v>1530</v>
      </c>
      <c r="AE129" s="70" t="s">
        <v>1530</v>
      </c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19</v>
      </c>
      <c r="J131" s="31">
        <f t="shared" si="8"/>
        <v>9</v>
      </c>
      <c r="K131" s="32">
        <f t="shared" si="9"/>
        <v>0.6785714285714286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 t="s">
        <v>1530</v>
      </c>
      <c r="AC131" s="70" t="s">
        <v>1530</v>
      </c>
      <c r="AD131" s="70" t="s">
        <v>1530</v>
      </c>
      <c r="AE131" s="70" t="s">
        <v>1530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9</v>
      </c>
      <c r="J136" s="145">
        <f t="shared" si="8"/>
        <v>19</v>
      </c>
      <c r="K136" s="146">
        <f t="shared" si="9"/>
        <v>0.32142857142857145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 t="s">
        <v>1530</v>
      </c>
      <c r="AC136" s="97" t="s">
        <v>1530</v>
      </c>
      <c r="AD136" s="97" t="s">
        <v>1530</v>
      </c>
      <c r="AE136" s="97" t="s">
        <v>1530</v>
      </c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9</v>
      </c>
      <c r="J139" s="31">
        <f t="shared" si="8"/>
        <v>19</v>
      </c>
      <c r="K139" s="32">
        <f t="shared" si="9"/>
        <v>0.32142857142857145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 t="s">
        <v>1530</v>
      </c>
      <c r="AC139" s="70" t="s">
        <v>1530</v>
      </c>
      <c r="AD139" s="97" t="s">
        <v>1530</v>
      </c>
      <c r="AE139" s="97" t="s">
        <v>1530</v>
      </c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9</v>
      </c>
      <c r="J140" s="31">
        <f t="shared" si="8"/>
        <v>19</v>
      </c>
      <c r="K140" s="32">
        <f t="shared" si="9"/>
        <v>0.32142857142857145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 t="s">
        <v>1530</v>
      </c>
      <c r="AC140" s="70" t="s">
        <v>1530</v>
      </c>
      <c r="AD140" s="97" t="s">
        <v>1530</v>
      </c>
      <c r="AE140" s="97" t="s">
        <v>1530</v>
      </c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19</v>
      </c>
      <c r="J145" s="31">
        <f t="shared" si="11"/>
        <v>9</v>
      </c>
      <c r="K145" s="32">
        <f t="shared" si="12"/>
        <v>0.6785714285714286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 t="s">
        <v>1530</v>
      </c>
      <c r="AC145" s="70" t="s">
        <v>1530</v>
      </c>
      <c r="AD145" s="70" t="s">
        <v>1530</v>
      </c>
      <c r="AE145" s="70" t="s">
        <v>1530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22</v>
      </c>
      <c r="J146" s="31">
        <f t="shared" si="11"/>
        <v>6</v>
      </c>
      <c r="K146" s="32">
        <f t="shared" si="12"/>
        <v>0.7857142857142857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 t="s">
        <v>1530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26</v>
      </c>
      <c r="J147" s="31">
        <f t="shared" si="11"/>
        <v>2</v>
      </c>
      <c r="K147" s="32">
        <f t="shared" si="12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 t="s">
        <v>1530</v>
      </c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22</v>
      </c>
      <c r="J148" s="31">
        <f t="shared" si="11"/>
        <v>6</v>
      </c>
      <c r="K148" s="32">
        <f t="shared" si="12"/>
        <v>0.7857142857142857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 t="s">
        <v>1530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26</v>
      </c>
      <c r="J149" s="31">
        <f t="shared" si="11"/>
        <v>2</v>
      </c>
      <c r="K149" s="32">
        <f t="shared" si="12"/>
        <v>0.9285714285714286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 t="s">
        <v>1530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26</v>
      </c>
      <c r="J150" s="31">
        <f t="shared" si="11"/>
        <v>2</v>
      </c>
      <c r="K150" s="32">
        <f t="shared" si="12"/>
        <v>0.9285714285714286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26</v>
      </c>
      <c r="J152" s="31">
        <f t="shared" si="11"/>
        <v>2</v>
      </c>
      <c r="K152" s="32">
        <f t="shared" si="12"/>
        <v>0.9285714285714286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 t="s">
        <v>1530</v>
      </c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27</v>
      </c>
      <c r="J153" s="31">
        <f t="shared" si="11"/>
        <v>1</v>
      </c>
      <c r="K153" s="32">
        <f t="shared" si="12"/>
        <v>0.9642857142857143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 t="s">
        <v>1530</v>
      </c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27</v>
      </c>
      <c r="J157" s="31">
        <f t="shared" si="11"/>
        <v>1</v>
      </c>
      <c r="K157" s="32">
        <f t="shared" si="12"/>
        <v>0.9642857142857143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27</v>
      </c>
      <c r="J161" s="31">
        <f t="shared" si="11"/>
        <v>1</v>
      </c>
      <c r="K161" s="32">
        <f t="shared" si="12"/>
        <v>0.9642857142857143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27</v>
      </c>
      <c r="J162" s="31">
        <f t="shared" si="11"/>
        <v>1</v>
      </c>
      <c r="K162" s="32">
        <f t="shared" si="12"/>
        <v>0.9642857142857143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 t="s">
        <v>1530</v>
      </c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27</v>
      </c>
      <c r="J163" s="31">
        <f t="shared" si="11"/>
        <v>1</v>
      </c>
      <c r="K163" s="32">
        <f t="shared" si="12"/>
        <v>0.9642857142857143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 t="s">
        <v>1530</v>
      </c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27</v>
      </c>
      <c r="J164" s="31">
        <f t="shared" si="11"/>
        <v>1</v>
      </c>
      <c r="K164" s="32">
        <f t="shared" si="12"/>
        <v>0.9642857142857143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 t="s">
        <v>1530</v>
      </c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9</v>
      </c>
      <c r="J171" s="142">
        <f t="shared" si="11"/>
        <v>19</v>
      </c>
      <c r="K171" s="143">
        <f t="shared" si="12"/>
        <v>0.32142857142857145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 t="s">
        <v>1530</v>
      </c>
      <c r="AC171" s="144" t="s">
        <v>1530</v>
      </c>
      <c r="AD171" s="144" t="s">
        <v>1530</v>
      </c>
      <c r="AE171" s="144" t="s">
        <v>1530</v>
      </c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22</v>
      </c>
      <c r="J175" s="31">
        <f t="shared" si="11"/>
        <v>6</v>
      </c>
      <c r="K175" s="32">
        <f t="shared" si="12"/>
        <v>0.7857142857142857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 t="s">
        <v>1530</v>
      </c>
      <c r="AC175" s="70" t="s">
        <v>1530</v>
      </c>
      <c r="AD175" s="70" t="s">
        <v>1530</v>
      </c>
      <c r="AE175" s="70" t="s">
        <v>1530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23</v>
      </c>
      <c r="J176" s="31">
        <f t="shared" si="11"/>
        <v>5</v>
      </c>
      <c r="K176" s="32">
        <f t="shared" si="12"/>
        <v>0.8214285714285714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 t="s">
        <v>1530</v>
      </c>
      <c r="AD176" s="70" t="s">
        <v>1530</v>
      </c>
      <c r="AE176" s="70" t="s">
        <v>1530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14</v>
      </c>
      <c r="J177" s="31">
        <f t="shared" si="11"/>
        <v>14</v>
      </c>
      <c r="K177" s="32">
        <f t="shared" si="12"/>
        <v>0.5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 t="s">
        <v>1530</v>
      </c>
      <c r="AC177" s="70" t="s">
        <v>1530</v>
      </c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9</v>
      </c>
      <c r="J178" s="31">
        <f t="shared" si="11"/>
        <v>19</v>
      </c>
      <c r="K178" s="32">
        <f t="shared" si="12"/>
        <v>0.32142857142857145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 t="s">
        <v>1530</v>
      </c>
      <c r="AC178" s="70" t="s">
        <v>1530</v>
      </c>
      <c r="AD178" s="70" t="s">
        <v>1530</v>
      </c>
      <c r="AE178" s="70" t="s">
        <v>1530</v>
      </c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19</v>
      </c>
      <c r="J190" s="31">
        <f t="shared" si="11"/>
        <v>9</v>
      </c>
      <c r="K190" s="32">
        <f t="shared" si="12"/>
        <v>0.6785714285714286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 t="s">
        <v>1530</v>
      </c>
      <c r="AC190" s="70" t="s">
        <v>1530</v>
      </c>
      <c r="AD190" s="70" t="s">
        <v>1530</v>
      </c>
      <c r="AE190" s="70" t="s">
        <v>1530</v>
      </c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9</v>
      </c>
      <c r="J220" s="31">
        <f t="shared" si="14"/>
        <v>19</v>
      </c>
      <c r="K220" s="32">
        <f t="shared" si="15"/>
        <v>0.32142857142857145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 t="s">
        <v>1530</v>
      </c>
      <c r="AC220" s="70" t="s">
        <v>1530</v>
      </c>
      <c r="AD220" s="97" t="s">
        <v>1530</v>
      </c>
      <c r="AE220" s="97" t="s">
        <v>1530</v>
      </c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23</v>
      </c>
      <c r="J221" s="31">
        <f t="shared" si="14"/>
        <v>4</v>
      </c>
      <c r="K221" s="32">
        <f t="shared" si="15"/>
        <v>0.85185185185185186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 t="s">
        <v>1530</v>
      </c>
      <c r="AC221" s="70" t="s">
        <v>1530</v>
      </c>
      <c r="AD221" s="70" t="s">
        <v>1530</v>
      </c>
      <c r="AE221" s="70" t="s">
        <v>1567</v>
      </c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24</v>
      </c>
      <c r="J222" s="31">
        <f t="shared" si="14"/>
        <v>4</v>
      </c>
      <c r="K222" s="32">
        <f t="shared" si="15"/>
        <v>0.8571428571428571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 t="s">
        <v>1530</v>
      </c>
      <c r="AC222" s="70" t="s">
        <v>1530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11</v>
      </c>
      <c r="J228" s="31">
        <f t="shared" si="14"/>
        <v>17</v>
      </c>
      <c r="K228" s="32">
        <f t="shared" si="15"/>
        <v>0.39285714285714285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25</v>
      </c>
      <c r="J230" s="31">
        <f t="shared" si="14"/>
        <v>3</v>
      </c>
      <c r="K230" s="32">
        <f t="shared" si="15"/>
        <v>0.8928571428571429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 t="s">
        <v>1530</v>
      </c>
      <c r="AE230" s="70" t="s">
        <v>1530</v>
      </c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10</v>
      </c>
      <c r="J231" s="31">
        <f t="shared" si="14"/>
        <v>18</v>
      </c>
      <c r="K231" s="32">
        <f t="shared" si="15"/>
        <v>0.35714285714285715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 t="s">
        <v>1530</v>
      </c>
      <c r="AC231" s="70" t="s">
        <v>1530</v>
      </c>
      <c r="AD231" s="70" t="s">
        <v>1530</v>
      </c>
      <c r="AE231" s="70" t="s">
        <v>1530</v>
      </c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10</v>
      </c>
      <c r="J232" s="31">
        <f t="shared" si="14"/>
        <v>18</v>
      </c>
      <c r="K232" s="32">
        <f t="shared" si="15"/>
        <v>0.35714285714285715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 t="s">
        <v>1530</v>
      </c>
      <c r="AD232" s="70" t="s">
        <v>1530</v>
      </c>
      <c r="AE232" s="70" t="s">
        <v>1530</v>
      </c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25</v>
      </c>
      <c r="J241" s="31">
        <f t="shared" si="14"/>
        <v>3</v>
      </c>
      <c r="K241" s="32">
        <f t="shared" si="15"/>
        <v>0.8928571428571429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 t="s">
        <v>1530</v>
      </c>
      <c r="AE241" s="70" t="s">
        <v>1530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1530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11</v>
      </c>
      <c r="J249" s="31">
        <f t="shared" si="14"/>
        <v>17</v>
      </c>
      <c r="K249" s="32">
        <f t="shared" si="15"/>
        <v>0.39285714285714285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 t="s">
        <v>1530</v>
      </c>
      <c r="AC249" s="70" t="s">
        <v>1530</v>
      </c>
      <c r="AD249" s="70" t="s">
        <v>1530</v>
      </c>
      <c r="AE249" s="70" t="s">
        <v>1530</v>
      </c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27</v>
      </c>
      <c r="J250" s="31">
        <f t="shared" si="14"/>
        <v>1</v>
      </c>
      <c r="K250" s="32">
        <f t="shared" si="15"/>
        <v>0.9642857142857143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 t="s">
        <v>1530</v>
      </c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23</v>
      </c>
      <c r="J254" s="31">
        <f t="shared" si="14"/>
        <v>5</v>
      </c>
      <c r="K254" s="32">
        <f t="shared" si="15"/>
        <v>0.8214285714285714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 t="s">
        <v>1530</v>
      </c>
      <c r="AC254" s="70" t="s">
        <v>1530</v>
      </c>
      <c r="AD254" s="70" t="s">
        <v>1530</v>
      </c>
      <c r="AE254" s="70" t="s">
        <v>1530</v>
      </c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20</v>
      </c>
      <c r="J265" s="31">
        <f t="shared" si="14"/>
        <v>8</v>
      </c>
      <c r="K265" s="32">
        <f t="shared" si="15"/>
        <v>0.7142857142857143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 t="s">
        <v>1530</v>
      </c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10</v>
      </c>
      <c r="J267" s="31">
        <f t="shared" si="14"/>
        <v>18</v>
      </c>
      <c r="K267" s="32">
        <f t="shared" si="15"/>
        <v>0.35714285714285715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 t="s">
        <v>1530</v>
      </c>
      <c r="AC267" s="70" t="s">
        <v>1530</v>
      </c>
      <c r="AD267" s="70" t="s">
        <v>1530</v>
      </c>
      <c r="AE267" s="70" t="s">
        <v>1530</v>
      </c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11</v>
      </c>
      <c r="J268" s="31">
        <f t="shared" si="14"/>
        <v>17</v>
      </c>
      <c r="K268" s="32">
        <f t="shared" si="15"/>
        <v>0.39285714285714285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 t="s">
        <v>1530</v>
      </c>
      <c r="AC268" s="70" t="s">
        <v>1530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26</v>
      </c>
      <c r="J269" s="31">
        <f t="shared" si="14"/>
        <v>2</v>
      </c>
      <c r="K269" s="32">
        <f t="shared" si="15"/>
        <v>0.9285714285714286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 t="s">
        <v>1530</v>
      </c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24</v>
      </c>
      <c r="J271" s="31">
        <f t="shared" si="14"/>
        <v>4</v>
      </c>
      <c r="K271" s="32">
        <f t="shared" si="15"/>
        <v>0.8571428571428571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 t="s">
        <v>1530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24</v>
      </c>
      <c r="J272" s="31">
        <f t="shared" si="14"/>
        <v>4</v>
      </c>
      <c r="K272" s="32">
        <f t="shared" si="15"/>
        <v>0.8571428571428571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 t="s">
        <v>1530</v>
      </c>
      <c r="AC272" s="70" t="s">
        <v>1530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24</v>
      </c>
      <c r="J273" s="31">
        <f t="shared" si="14"/>
        <v>4</v>
      </c>
      <c r="K273" s="32">
        <f t="shared" si="15"/>
        <v>0.8571428571428571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 t="s">
        <v>1530</v>
      </c>
      <c r="AC273" s="70" t="s">
        <v>1530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9</v>
      </c>
      <c r="J279" s="142">
        <f t="shared" si="14"/>
        <v>19</v>
      </c>
      <c r="K279" s="143">
        <f t="shared" si="15"/>
        <v>0.32142857142857145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 t="s">
        <v>1530</v>
      </c>
      <c r="AC279" s="144" t="s">
        <v>1530</v>
      </c>
      <c r="AD279" s="144" t="s">
        <v>1530</v>
      </c>
      <c r="AE279" s="144" t="s">
        <v>1530</v>
      </c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10</v>
      </c>
      <c r="J284" s="31">
        <f t="shared" si="17"/>
        <v>18</v>
      </c>
      <c r="K284" s="32">
        <f t="shared" si="18"/>
        <v>0.35714285714285715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 t="s">
        <v>1530</v>
      </c>
      <c r="AC284" s="70" t="s">
        <v>1530</v>
      </c>
      <c r="AD284" s="70" t="s">
        <v>1530</v>
      </c>
      <c r="AE284" s="70" t="s">
        <v>1530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9</v>
      </c>
      <c r="J301" s="31">
        <f t="shared" si="17"/>
        <v>19</v>
      </c>
      <c r="K301" s="32">
        <f t="shared" si="18"/>
        <v>0.32142857142857145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 t="s">
        <v>1530</v>
      </c>
      <c r="AC301" s="70" t="s">
        <v>1530</v>
      </c>
      <c r="AD301" s="70" t="s">
        <v>1530</v>
      </c>
      <c r="AE301" s="70" t="s">
        <v>1530</v>
      </c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11</v>
      </c>
      <c r="J307" s="31">
        <f t="shared" si="17"/>
        <v>17</v>
      </c>
      <c r="K307" s="32">
        <f t="shared" si="18"/>
        <v>0.39285714285714285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14" t="s">
        <v>1530</v>
      </c>
      <c r="AC307" s="70" t="s">
        <v>1530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9</v>
      </c>
      <c r="J313" s="31">
        <f t="shared" si="17"/>
        <v>19</v>
      </c>
      <c r="K313" s="32">
        <f t="shared" si="18"/>
        <v>0.32142857142857145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 t="s">
        <v>1530</v>
      </c>
      <c r="AC313" s="70" t="s">
        <v>1530</v>
      </c>
      <c r="AD313" s="70" t="s">
        <v>1530</v>
      </c>
      <c r="AE313" s="70" t="s">
        <v>1530</v>
      </c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9</v>
      </c>
      <c r="J314" s="31">
        <f t="shared" si="17"/>
        <v>19</v>
      </c>
      <c r="K314" s="32">
        <f t="shared" si="18"/>
        <v>0.32142857142857145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 t="s">
        <v>1530</v>
      </c>
      <c r="AC314" s="70" t="s">
        <v>1530</v>
      </c>
      <c r="AD314" s="70" t="s">
        <v>1530</v>
      </c>
      <c r="AE314" s="70" t="s">
        <v>1530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9</v>
      </c>
      <c r="J315" s="31">
        <f t="shared" si="17"/>
        <v>19</v>
      </c>
      <c r="K315" s="32">
        <f t="shared" si="18"/>
        <v>0.32142857142857145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 t="s">
        <v>1530</v>
      </c>
      <c r="AC315" s="70" t="s">
        <v>1530</v>
      </c>
      <c r="AD315" s="70" t="s">
        <v>1530</v>
      </c>
      <c r="AE315" s="70" t="s">
        <v>1530</v>
      </c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15</v>
      </c>
      <c r="J322" s="31">
        <f t="shared" si="17"/>
        <v>13</v>
      </c>
      <c r="K322" s="32">
        <f t="shared" si="18"/>
        <v>0.5357142857142857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 t="s">
        <v>1530</v>
      </c>
      <c r="AC322" s="70" t="s">
        <v>1530</v>
      </c>
      <c r="AD322" s="70" t="s">
        <v>1530</v>
      </c>
      <c r="AE322" s="70" t="s">
        <v>1530</v>
      </c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25</v>
      </c>
      <c r="J327" s="31">
        <f t="shared" si="17"/>
        <v>3</v>
      </c>
      <c r="K327" s="32">
        <f t="shared" si="18"/>
        <v>0.8928571428571429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 t="s">
        <v>1530</v>
      </c>
      <c r="AE327" s="70" t="s">
        <v>1530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25</v>
      </c>
      <c r="J328" s="31">
        <f t="shared" si="17"/>
        <v>3</v>
      </c>
      <c r="K328" s="32">
        <f t="shared" si="18"/>
        <v>0.8928571428571429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 t="s">
        <v>1530</v>
      </c>
      <c r="AE328" s="70" t="s">
        <v>1530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9</v>
      </c>
      <c r="J338" s="31">
        <f t="shared" si="17"/>
        <v>19</v>
      </c>
      <c r="K338" s="32">
        <f t="shared" si="18"/>
        <v>0.32142857142857145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 t="s">
        <v>1530</v>
      </c>
      <c r="AC338" s="70" t="s">
        <v>1530</v>
      </c>
      <c r="AD338" s="97" t="s">
        <v>1530</v>
      </c>
      <c r="AE338" s="97" t="s">
        <v>1530</v>
      </c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9</v>
      </c>
      <c r="J339" s="142">
        <f t="shared" si="17"/>
        <v>19</v>
      </c>
      <c r="K339" s="143">
        <f t="shared" si="18"/>
        <v>0.32142857142857145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 t="s">
        <v>1530</v>
      </c>
      <c r="AC339" s="144" t="s">
        <v>1530</v>
      </c>
      <c r="AD339" s="144" t="s">
        <v>1530</v>
      </c>
      <c r="AE339" s="144" t="s">
        <v>1530</v>
      </c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13</v>
      </c>
      <c r="J341" s="31">
        <f t="shared" si="17"/>
        <v>15</v>
      </c>
      <c r="K341" s="32">
        <f t="shared" si="18"/>
        <v>0.4642857142857143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 t="s">
        <v>1530</v>
      </c>
      <c r="AC341" s="70" t="s">
        <v>1530</v>
      </c>
      <c r="AD341" s="70" t="s">
        <v>1530</v>
      </c>
      <c r="AE341" s="70" t="s">
        <v>1530</v>
      </c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13</v>
      </c>
      <c r="J342" s="31">
        <f t="shared" si="17"/>
        <v>15</v>
      </c>
      <c r="K342" s="32">
        <f t="shared" si="18"/>
        <v>0.4642857142857143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 t="s">
        <v>1530</v>
      </c>
      <c r="AC342" s="70" t="s">
        <v>1530</v>
      </c>
      <c r="AD342" s="70" t="s">
        <v>1530</v>
      </c>
      <c r="AE342" s="70" t="s">
        <v>1530</v>
      </c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13</v>
      </c>
      <c r="J343" s="31">
        <f t="shared" si="17"/>
        <v>15</v>
      </c>
      <c r="K343" s="32">
        <f t="shared" si="18"/>
        <v>0.4642857142857143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 t="s">
        <v>1530</v>
      </c>
      <c r="AC343" s="70" t="s">
        <v>1530</v>
      </c>
      <c r="AD343" s="70" t="s">
        <v>1530</v>
      </c>
      <c r="AE343" s="70" t="s">
        <v>1530</v>
      </c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13</v>
      </c>
      <c r="J346" s="31">
        <f t="shared" si="20"/>
        <v>15</v>
      </c>
      <c r="K346" s="32">
        <f t="shared" si="21"/>
        <v>0.4642857142857143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 t="s">
        <v>1530</v>
      </c>
      <c r="AC346" s="70" t="s">
        <v>1530</v>
      </c>
      <c r="AD346" s="70" t="s">
        <v>1530</v>
      </c>
      <c r="AE346" s="70" t="s">
        <v>1530</v>
      </c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13</v>
      </c>
      <c r="J347" s="31">
        <f t="shared" si="20"/>
        <v>15</v>
      </c>
      <c r="K347" s="32">
        <f t="shared" si="21"/>
        <v>0.4642857142857143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70" t="s">
        <v>1530</v>
      </c>
      <c r="AE347" s="70" t="s">
        <v>1530</v>
      </c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13</v>
      </c>
      <c r="J348" s="31">
        <f t="shared" si="20"/>
        <v>15</v>
      </c>
      <c r="K348" s="32">
        <f t="shared" si="21"/>
        <v>0.4642857142857143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 t="s">
        <v>1530</v>
      </c>
      <c r="AC348" s="70" t="s">
        <v>1530</v>
      </c>
      <c r="AD348" s="70" t="s">
        <v>1530</v>
      </c>
      <c r="AE348" s="70" t="s">
        <v>1530</v>
      </c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13</v>
      </c>
      <c r="J349" s="31">
        <f t="shared" si="20"/>
        <v>15</v>
      </c>
      <c r="K349" s="32">
        <f t="shared" si="21"/>
        <v>0.4642857142857143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 t="s">
        <v>1530</v>
      </c>
      <c r="AC349" s="70" t="s">
        <v>1530</v>
      </c>
      <c r="AD349" s="70" t="s">
        <v>1530</v>
      </c>
      <c r="AE349" s="70" t="s">
        <v>1530</v>
      </c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13</v>
      </c>
      <c r="J351" s="31">
        <f t="shared" si="20"/>
        <v>15</v>
      </c>
      <c r="K351" s="32">
        <f t="shared" si="21"/>
        <v>0.4642857142857143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18</v>
      </c>
      <c r="J362" s="31">
        <f t="shared" si="20"/>
        <v>10</v>
      </c>
      <c r="K362" s="32">
        <f t="shared" si="21"/>
        <v>0.6428571428571429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 t="s">
        <v>1530</v>
      </c>
      <c r="AC362" s="70" t="s">
        <v>1530</v>
      </c>
      <c r="AD362" s="70" t="s">
        <v>1530</v>
      </c>
      <c r="AE362" s="70" t="s">
        <v>1530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18</v>
      </c>
      <c r="J363" s="31">
        <f t="shared" si="20"/>
        <v>10</v>
      </c>
      <c r="K363" s="32">
        <f t="shared" si="21"/>
        <v>0.6428571428571429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 t="s">
        <v>1530</v>
      </c>
      <c r="AC363" s="70" t="s">
        <v>1530</v>
      </c>
      <c r="AD363" s="70" t="s">
        <v>1530</v>
      </c>
      <c r="AE363" s="70" t="s">
        <v>1530</v>
      </c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9</v>
      </c>
      <c r="J368" s="31">
        <f t="shared" si="20"/>
        <v>19</v>
      </c>
      <c r="K368" s="32">
        <f t="shared" si="21"/>
        <v>0.32142857142857145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 t="s">
        <v>1530</v>
      </c>
      <c r="AC368" s="70" t="s">
        <v>1530</v>
      </c>
      <c r="AD368" s="97" t="s">
        <v>1530</v>
      </c>
      <c r="AE368" s="97" t="s">
        <v>1530</v>
      </c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10</v>
      </c>
      <c r="J369" s="31">
        <f t="shared" si="20"/>
        <v>18</v>
      </c>
      <c r="K369" s="32">
        <f t="shared" si="21"/>
        <v>0.35714285714285715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 t="s">
        <v>1530</v>
      </c>
      <c r="AC369" s="70" t="s">
        <v>1530</v>
      </c>
      <c r="AD369" s="70" t="s">
        <v>1530</v>
      </c>
      <c r="AE369" s="70" t="s">
        <v>1530</v>
      </c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9</v>
      </c>
      <c r="J373" s="31">
        <f t="shared" si="20"/>
        <v>19</v>
      </c>
      <c r="K373" s="32">
        <f t="shared" si="21"/>
        <v>0.32142857142857145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 t="s">
        <v>1530</v>
      </c>
      <c r="AC373" s="70" t="s">
        <v>1530</v>
      </c>
      <c r="AD373" s="97" t="s">
        <v>1530</v>
      </c>
      <c r="AE373" s="97" t="s">
        <v>1530</v>
      </c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9</v>
      </c>
      <c r="J376" s="31">
        <f t="shared" si="20"/>
        <v>19</v>
      </c>
      <c r="K376" s="32">
        <f t="shared" si="21"/>
        <v>0.32142857142857145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 t="s">
        <v>1530</v>
      </c>
      <c r="AC376" s="70" t="s">
        <v>1530</v>
      </c>
      <c r="AD376" s="70" t="s">
        <v>1530</v>
      </c>
      <c r="AE376" s="70" t="s">
        <v>1530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19</v>
      </c>
      <c r="J380" s="31">
        <f t="shared" si="20"/>
        <v>9</v>
      </c>
      <c r="K380" s="32">
        <f t="shared" si="21"/>
        <v>0.6785714285714286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 t="s">
        <v>1530</v>
      </c>
      <c r="AC380" s="70" t="s">
        <v>1530</v>
      </c>
      <c r="AD380" s="70" t="s">
        <v>1530</v>
      </c>
      <c r="AE380" s="70" t="s">
        <v>1530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19</v>
      </c>
      <c r="J381" s="31">
        <f t="shared" si="20"/>
        <v>9</v>
      </c>
      <c r="K381" s="32">
        <f t="shared" si="21"/>
        <v>0.6785714285714286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 t="s">
        <v>1530</v>
      </c>
      <c r="AC381" s="70" t="s">
        <v>1530</v>
      </c>
      <c r="AD381" s="70" t="s">
        <v>1530</v>
      </c>
      <c r="AE381" s="70" t="s">
        <v>1530</v>
      </c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19</v>
      </c>
      <c r="J382" s="31">
        <f t="shared" si="20"/>
        <v>9</v>
      </c>
      <c r="K382" s="32">
        <f t="shared" si="21"/>
        <v>0.6785714285714286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70" t="s">
        <v>1530</v>
      </c>
      <c r="AE382" s="70" t="s">
        <v>1530</v>
      </c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19</v>
      </c>
      <c r="J383" s="31">
        <f t="shared" si="20"/>
        <v>9</v>
      </c>
      <c r="K383" s="32">
        <f t="shared" si="21"/>
        <v>0.6785714285714286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 t="s">
        <v>1530</v>
      </c>
      <c r="AC383" s="70" t="s">
        <v>1530</v>
      </c>
      <c r="AD383" s="70" t="s">
        <v>1530</v>
      </c>
      <c r="AE383" s="70" t="s">
        <v>1530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18</v>
      </c>
      <c r="J384" s="31">
        <f t="shared" si="20"/>
        <v>10</v>
      </c>
      <c r="K384" s="32">
        <f t="shared" si="21"/>
        <v>0.6428571428571429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 t="s">
        <v>1530</v>
      </c>
      <c r="AC384" s="70" t="s">
        <v>1530</v>
      </c>
      <c r="AD384" s="70" t="s">
        <v>1530</v>
      </c>
      <c r="AE384" s="70" t="s">
        <v>1530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26</v>
      </c>
      <c r="J387" s="31">
        <f t="shared" si="20"/>
        <v>2</v>
      </c>
      <c r="K387" s="32">
        <f t="shared" si="21"/>
        <v>0.9285714285714286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 t="s">
        <v>1530</v>
      </c>
      <c r="AE387" s="70" t="s">
        <v>1530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27</v>
      </c>
      <c r="J389" s="31">
        <f t="shared" si="20"/>
        <v>1</v>
      </c>
      <c r="K389" s="32">
        <f t="shared" si="21"/>
        <v>0.9642857142857143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1530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27</v>
      </c>
      <c r="J390" s="31">
        <f t="shared" si="20"/>
        <v>1</v>
      </c>
      <c r="K390" s="32">
        <f t="shared" si="21"/>
        <v>0.9642857142857143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1530</v>
      </c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27</v>
      </c>
      <c r="J391" s="31">
        <f t="shared" si="20"/>
        <v>1</v>
      </c>
      <c r="K391" s="32">
        <f t="shared" si="21"/>
        <v>0.9642857142857143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1530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9</v>
      </c>
      <c r="J392" s="31">
        <f t="shared" si="20"/>
        <v>19</v>
      </c>
      <c r="K392" s="32">
        <f t="shared" si="21"/>
        <v>0.32142857142857145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10</v>
      </c>
      <c r="J393" s="31">
        <f t="shared" si="20"/>
        <v>18</v>
      </c>
      <c r="K393" s="32">
        <f t="shared" si="21"/>
        <v>0.35714285714285715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9</v>
      </c>
      <c r="J398" s="31">
        <f t="shared" si="20"/>
        <v>19</v>
      </c>
      <c r="K398" s="32">
        <f t="shared" si="21"/>
        <v>0.32142857142857145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 t="s">
        <v>1530</v>
      </c>
      <c r="AC398" s="70" t="s">
        <v>1530</v>
      </c>
      <c r="AD398" s="70" t="s">
        <v>1530</v>
      </c>
      <c r="AE398" s="70" t="s">
        <v>1530</v>
      </c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26</v>
      </c>
      <c r="J399" s="31">
        <f t="shared" si="20"/>
        <v>2</v>
      </c>
      <c r="K399" s="32">
        <f t="shared" si="21"/>
        <v>0.9285714285714286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 t="s">
        <v>1530</v>
      </c>
      <c r="AE399" s="70" t="s">
        <v>1530</v>
      </c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 t="s">
        <v>1530</v>
      </c>
      <c r="AE400" s="70" t="s">
        <v>1530</v>
      </c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27</v>
      </c>
      <c r="J403" s="31">
        <f t="shared" si="20"/>
        <v>1</v>
      </c>
      <c r="K403" s="32">
        <f t="shared" si="21"/>
        <v>0.9642857142857143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 t="s">
        <v>1530</v>
      </c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10</v>
      </c>
      <c r="J404" s="31">
        <f t="shared" si="20"/>
        <v>18</v>
      </c>
      <c r="K404" s="32">
        <f t="shared" si="21"/>
        <v>0.35714285714285715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9</v>
      </c>
      <c r="J407" s="31">
        <f t="shared" si="20"/>
        <v>19</v>
      </c>
      <c r="K407" s="32">
        <f t="shared" si="21"/>
        <v>0.32142857142857145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 t="s">
        <v>1530</v>
      </c>
      <c r="AC407" s="70" t="s">
        <v>1530</v>
      </c>
      <c r="AD407" s="70" t="s">
        <v>1530</v>
      </c>
      <c r="AE407" s="70" t="s">
        <v>1530</v>
      </c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9</v>
      </c>
      <c r="J417" s="31">
        <f t="shared" si="23"/>
        <v>19</v>
      </c>
      <c r="K417" s="32">
        <f t="shared" si="24"/>
        <v>0.32142857142857145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 t="s">
        <v>1530</v>
      </c>
      <c r="AC417" s="70" t="s">
        <v>1530</v>
      </c>
      <c r="AD417" s="70" t="s">
        <v>1530</v>
      </c>
      <c r="AE417" s="70" t="s">
        <v>1530</v>
      </c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9</v>
      </c>
      <c r="J418" s="31">
        <f t="shared" si="23"/>
        <v>19</v>
      </c>
      <c r="K418" s="32">
        <f t="shared" si="24"/>
        <v>0.32142857142857145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1530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21</v>
      </c>
      <c r="J429" s="31">
        <f t="shared" si="23"/>
        <v>7</v>
      </c>
      <c r="K429" s="32">
        <f t="shared" si="24"/>
        <v>0.75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 t="s">
        <v>1530</v>
      </c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27</v>
      </c>
      <c r="J433" s="31">
        <f t="shared" si="23"/>
        <v>1</v>
      </c>
      <c r="K433" s="32">
        <f t="shared" si="24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1530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27</v>
      </c>
      <c r="J434" s="31">
        <f t="shared" si="23"/>
        <v>1</v>
      </c>
      <c r="K434" s="32">
        <f t="shared" si="24"/>
        <v>0.9642857142857143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1530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27</v>
      </c>
      <c r="J435" s="31">
        <f t="shared" si="23"/>
        <v>1</v>
      </c>
      <c r="K435" s="32">
        <f t="shared" si="24"/>
        <v>0.9642857142857143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1530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13</v>
      </c>
      <c r="J467" s="31">
        <f t="shared" si="23"/>
        <v>15</v>
      </c>
      <c r="K467" s="32">
        <f t="shared" si="24"/>
        <v>0.4642857142857143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 t="s">
        <v>1530</v>
      </c>
      <c r="AC467" s="70" t="s">
        <v>1530</v>
      </c>
      <c r="AD467" s="70" t="s">
        <v>1530</v>
      </c>
      <c r="AE467" s="70" t="s">
        <v>1530</v>
      </c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13</v>
      </c>
      <c r="J468" s="31">
        <f t="shared" si="23"/>
        <v>15</v>
      </c>
      <c r="K468" s="32">
        <f t="shared" si="24"/>
        <v>0.4642857142857143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 t="s">
        <v>1530</v>
      </c>
      <c r="AC468" s="70" t="s">
        <v>1530</v>
      </c>
      <c r="AD468" s="70" t="s">
        <v>1530</v>
      </c>
      <c r="AE468" s="70" t="s">
        <v>1530</v>
      </c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20</v>
      </c>
      <c r="J476" s="31">
        <f t="shared" si="26"/>
        <v>8</v>
      </c>
      <c r="K476" s="32">
        <f t="shared" si="27"/>
        <v>0.7142857142857143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 t="s">
        <v>1530</v>
      </c>
      <c r="AC476" s="70" t="s">
        <v>1530</v>
      </c>
      <c r="AD476" s="70" t="s">
        <v>1530</v>
      </c>
      <c r="AE476" s="70" t="s">
        <v>1530</v>
      </c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20</v>
      </c>
      <c r="J478" s="31">
        <f t="shared" si="26"/>
        <v>8</v>
      </c>
      <c r="K478" s="32">
        <f t="shared" si="27"/>
        <v>0.7142857142857143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 t="s">
        <v>1530</v>
      </c>
      <c r="AC478" s="70" t="s">
        <v>1530</v>
      </c>
      <c r="AD478" s="70" t="s">
        <v>1530</v>
      </c>
      <c r="AE478" s="70" t="s">
        <v>1530</v>
      </c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9</v>
      </c>
      <c r="J484" s="31">
        <f t="shared" si="26"/>
        <v>19</v>
      </c>
      <c r="K484" s="32">
        <f t="shared" si="27"/>
        <v>0.32142857142857145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 t="s">
        <v>1530</v>
      </c>
      <c r="AC484" s="70" t="s">
        <v>1530</v>
      </c>
      <c r="AD484" s="70" t="s">
        <v>1530</v>
      </c>
      <c r="AE484" s="70" t="s">
        <v>1530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9</v>
      </c>
      <c r="J486" s="31">
        <f t="shared" si="26"/>
        <v>19</v>
      </c>
      <c r="K486" s="32">
        <f t="shared" si="27"/>
        <v>0.32142857142857145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 t="s">
        <v>1530</v>
      </c>
      <c r="AC486" s="70" t="s">
        <v>1530</v>
      </c>
      <c r="AD486" s="70" t="s">
        <v>1530</v>
      </c>
      <c r="AE486" s="70" t="s">
        <v>1530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25</v>
      </c>
      <c r="J505" s="31">
        <f t="shared" si="26"/>
        <v>3</v>
      </c>
      <c r="K505" s="32">
        <f t="shared" si="27"/>
        <v>0.8928571428571429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 t="s">
        <v>1530</v>
      </c>
      <c r="AD505" s="70" t="s">
        <v>1530</v>
      </c>
      <c r="AE505" s="70" t="s">
        <v>1530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20</v>
      </c>
      <c r="J507" s="31">
        <f t="shared" si="26"/>
        <v>8</v>
      </c>
      <c r="K507" s="32">
        <f t="shared" si="27"/>
        <v>0.7142857142857143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 t="s">
        <v>1530</v>
      </c>
      <c r="AC507" s="70" t="s">
        <v>1530</v>
      </c>
      <c r="AD507" s="70" t="s">
        <v>1530</v>
      </c>
      <c r="AE507" s="70" t="s">
        <v>1530</v>
      </c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10</v>
      </c>
      <c r="J508" s="31">
        <f t="shared" si="26"/>
        <v>18</v>
      </c>
      <c r="K508" s="32">
        <f t="shared" si="27"/>
        <v>0.35714285714285715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 t="s">
        <v>1530</v>
      </c>
      <c r="AC508" s="70" t="s">
        <v>1530</v>
      </c>
      <c r="AD508" s="70" t="s">
        <v>1530</v>
      </c>
      <c r="AE508" s="70" t="s">
        <v>1530</v>
      </c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202" zoomScale="90" zoomScaleNormal="90" workbookViewId="0">
      <selection activeCell="B210" sqref="B210:F21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0.18650793650793651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0.18650793650793651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0.18650793650793651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0.18650793650793651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0.18650793650793651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0.1765873015873016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0.16468253968253968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0.15277777777777779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0.11904761904761904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0.10119047619047619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52</v>
      </c>
      <c r="E196" s="109">
        <f>D196/C196</f>
        <v>0.1918819188191882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37</v>
      </c>
      <c r="E197" s="118">
        <f>D197/C197</f>
        <v>0.15879828326180256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0.17857142857142858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0.17261904761904762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0.16071428571428573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0.125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0.10714285714285714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57</v>
      </c>
      <c r="E207" s="109">
        <f>D207/C207</f>
        <v>0.21033210332103322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33</v>
      </c>
      <c r="E208" s="118">
        <f>D208/C208</f>
        <v>0.14163090128755365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0.21031746031746032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0.20039682539682541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0.18849206349206349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0.15079365079365079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0.13293650793650794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58</v>
      </c>
      <c r="E218" s="109">
        <f>D218/C218</f>
        <v>0.2140221402214022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48</v>
      </c>
      <c r="E219" s="118">
        <f>D219/C219</f>
        <v>0.20600858369098712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 t="str">
        <f>'RESUMEN TOTAL'!AB21</f>
        <v>APAGADO</v>
      </c>
      <c r="W17" s="70" t="str">
        <f>'RESUMEN TOTAL'!AC21</f>
        <v>APAGADO</v>
      </c>
      <c r="X17" s="70" t="str">
        <f>'RESUMEN TOTAL'!AD21</f>
        <v>APAGADO</v>
      </c>
      <c r="Y17" s="70" t="str">
        <f>'RESUMEN TOTAL'!AE21</f>
        <v>APAGADO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 t="str">
        <f>'RESUMEN TOTAL'!AB39</f>
        <v>APAGADO</v>
      </c>
      <c r="W29" s="70" t="str">
        <f>'RESUMEN TOTAL'!AC39</f>
        <v>APAGADO</v>
      </c>
      <c r="X29" s="70" t="str">
        <f>'RESUMEN TOTAL'!AD39</f>
        <v>APAGADO</v>
      </c>
      <c r="Y29" s="70" t="str">
        <f>'RESUMEN TOTAL'!AE39</f>
        <v>APAGADO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 t="str">
        <f>'RESUMEN TOTAL'!AB54</f>
        <v>APAGADO</v>
      </c>
      <c r="W44" s="70" t="str">
        <f>'RESUMEN TOTAL'!AC54</f>
        <v>APAGADO</v>
      </c>
      <c r="X44" s="70" t="str">
        <f>'RESUMEN TOTAL'!AD54</f>
        <v>APAGADO</v>
      </c>
      <c r="Y44" s="70" t="str">
        <f>'RESUMEN TOTAL'!AE54</f>
        <v>APAGADO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 t="str">
        <f>'RESUMEN TOTAL'!AB56</f>
        <v>APAGADO</v>
      </c>
      <c r="W46" s="70" t="str">
        <f>'RESUMEN TOTAL'!AC56</f>
        <v>APAGADO</v>
      </c>
      <c r="X46" s="70" t="str">
        <f>'RESUMEN TOTAL'!AD56</f>
        <v>APAGADO</v>
      </c>
      <c r="Y46" s="70" t="str">
        <f>'RESUMEN TOTAL'!AE56</f>
        <v>APAGADO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 t="str">
        <f>'RESUMEN TOTAL'!AD72</f>
        <v>APAGADO</v>
      </c>
      <c r="Y62" s="70" t="str">
        <f>'RESUMEN TOTAL'!AE72</f>
        <v>APAGADO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 t="str">
        <f>'RESUMEN TOTAL'!AB77</f>
        <v>APAGADO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 t="str">
        <f>'RESUMEN TOTAL'!AB85</f>
        <v>APAGADO</v>
      </c>
      <c r="W75" s="70" t="str">
        <f>'RESUMEN TOTAL'!AC85</f>
        <v>APAGADO</v>
      </c>
      <c r="X75" s="70" t="str">
        <f>'RESUMEN TOTAL'!AD85</f>
        <v>APAGADO</v>
      </c>
      <c r="Y75" s="70" t="str">
        <f>'RESUMEN TOTAL'!AE85</f>
        <v>APAGADO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 t="str">
        <f>'RESUMEN TOTAL'!AB94</f>
        <v>APAGADO</v>
      </c>
      <c r="W84" s="70" t="str">
        <f>'RESUMEN TOTAL'!AC94</f>
        <v>APAGADO</v>
      </c>
      <c r="X84" s="70" t="str">
        <f>'RESUMEN TOTAL'!AD94</f>
        <v>APAGADO</v>
      </c>
      <c r="Y84" s="70" t="str">
        <f>'RESUMEN TOTAL'!AE94</f>
        <v>APAGADO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 t="str">
        <f>'RESUMEN TOTAL'!AB105</f>
        <v>APAGADO</v>
      </c>
      <c r="W95" s="70" t="str">
        <f>'RESUMEN TOTAL'!AC105</f>
        <v>APAGADO</v>
      </c>
      <c r="X95" s="70" t="str">
        <f>'RESUMEN TOTAL'!AD105</f>
        <v>APAGADO</v>
      </c>
      <c r="Y95" s="70" t="str">
        <f>'RESUMEN TOTAL'!AE105</f>
        <v>APAGADO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 t="str">
        <f>'RESUMEN TOTAL'!AB106</f>
        <v>APAGADO</v>
      </c>
      <c r="W96" s="70" t="str">
        <f>'RESUMEN TOTAL'!AC106</f>
        <v>APAGADO</v>
      </c>
      <c r="X96" s="70" t="str">
        <f>'RESUMEN TOTAL'!AD106</f>
        <v>APAGADO</v>
      </c>
      <c r="Y96" s="70" t="str">
        <f>'RESUMEN TOTAL'!AE106</f>
        <v>APAGADO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 t="str">
        <f>'RESUMEN TOTAL'!AB107</f>
        <v>APAGADO</v>
      </c>
      <c r="W97" s="70" t="str">
        <f>'RESUMEN TOTAL'!AC107</f>
        <v>APAGADO</v>
      </c>
      <c r="X97" s="70" t="str">
        <f>'RESUMEN TOTAL'!AD107</f>
        <v>APAGADO</v>
      </c>
      <c r="Y97" s="70" t="str">
        <f>'RESUMEN TOTAL'!AE107</f>
        <v>APAGADO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 t="str">
        <f>'RESUMEN TOTAL'!AB108</f>
        <v>APAGADO</v>
      </c>
      <c r="W98" s="70" t="str">
        <f>'RESUMEN TOTAL'!AC108</f>
        <v>APAGADO</v>
      </c>
      <c r="X98" s="70" t="str">
        <f>'RESUMEN TOTAL'!AD108</f>
        <v>APAGADO</v>
      </c>
      <c r="Y98" s="70" t="str">
        <f>'RESUMEN TOTAL'!AE108</f>
        <v>APAGADO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 t="str">
        <f>'RESUMEN TOTAL'!AD113</f>
        <v>APAGADO</v>
      </c>
      <c r="Y103" s="70" t="str">
        <f>'RESUMEN TOTAL'!AE113</f>
        <v>APAGADO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 t="str">
        <f>'RESUMEN TOTAL'!AD114</f>
        <v>APAGADO</v>
      </c>
      <c r="Y104" s="70" t="str">
        <f>'RESUMEN TOTAL'!AE114</f>
        <v>APAGADO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 t="str">
        <f>'RESUMEN TOTAL'!AB131</f>
        <v>APAGADO</v>
      </c>
      <c r="W114" s="70" t="str">
        <f>'RESUMEN TOTAL'!AC131</f>
        <v>APAGADO</v>
      </c>
      <c r="X114" s="70" t="str">
        <f>'RESUMEN TOTAL'!AD131</f>
        <v>APAGADO</v>
      </c>
      <c r="Y114" s="70" t="str">
        <f>'RESUMEN TOTAL'!AE131</f>
        <v>APAGADO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 t="str">
        <f>'RESUMEN TOTAL'!AB145</f>
        <v>APAGADO</v>
      </c>
      <c r="W126" s="70" t="str">
        <f>'RESUMEN TOTAL'!AC145</f>
        <v>APAGADO</v>
      </c>
      <c r="X126" s="70" t="str">
        <f>'RESUMEN TOTAL'!AD145</f>
        <v>APAGADO</v>
      </c>
      <c r="Y126" s="70" t="str">
        <f>'RESUMEN TOTAL'!AE145</f>
        <v>APAGADO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 t="str">
        <f>'RESUMEN TOTAL'!AB146</f>
        <v>APAGADO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 t="str">
        <f>'RESUMEN TOTAL'!AB147</f>
        <v>APAGADO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 t="str">
        <f>'RESUMEN TOTAL'!AB148</f>
        <v>APAGADO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 t="str">
        <f>'RESUMEN TOTAL'!AE152</f>
        <v>APAGADO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 t="str">
        <f>'RESUMEN TOTAL'!AE153</f>
        <v>APAGADO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 t="str">
        <f>'RESUMEN TOTAL'!AE157</f>
        <v>APAGADO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 t="str">
        <f>'RESUMEN TOTAL'!AE161</f>
        <v>APAGADO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 t="str">
        <f>'RESUMEN TOTAL'!AE162</f>
        <v>APAGADO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 t="str">
        <f>'RESUMEN TOTAL'!AE163</f>
        <v>APAGADO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 t="str">
        <f>'RESUMEN TOTAL'!AE164</f>
        <v>APAGADO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 t="str">
        <f>'RESUMEN TOTAL'!AB171</f>
        <v>APAGADO</v>
      </c>
      <c r="W148" s="70" t="str">
        <f>'RESUMEN TOTAL'!AC171</f>
        <v>APAGADO</v>
      </c>
      <c r="X148" s="70" t="str">
        <f>'RESUMEN TOTAL'!AD171</f>
        <v>APAGADO</v>
      </c>
      <c r="Y148" s="70" t="str">
        <f>'RESUMEN TOTAL'!AE171</f>
        <v>APAGADO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 t="str">
        <f>'RESUMEN TOTAL'!AB175</f>
        <v>APAGADO</v>
      </c>
      <c r="W152" s="70" t="str">
        <f>'RESUMEN TOTAL'!AC175</f>
        <v>APAGADO</v>
      </c>
      <c r="X152" s="70" t="str">
        <f>'RESUMEN TOTAL'!AD175</f>
        <v>APAGADO</v>
      </c>
      <c r="Y152" s="70" t="str">
        <f>'RESUMEN TOTAL'!AE175</f>
        <v>APAGADO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 t="str">
        <f>'RESUMEN TOTAL'!AC176</f>
        <v>APAGADO</v>
      </c>
      <c r="X153" s="70" t="str">
        <f>'RESUMEN TOTAL'!AD176</f>
        <v>APAGADO</v>
      </c>
      <c r="Y153" s="70" t="str">
        <f>'RESUMEN TOTAL'!AE176</f>
        <v>APAGADO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 t="str">
        <f>'RESUMEN TOTAL'!AB177</f>
        <v>APAGADO</v>
      </c>
      <c r="W154" s="70" t="str">
        <f>'RESUMEN TOTAL'!AC177</f>
        <v>APAGADO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 t="str">
        <f>'RESUMEN TOTAL'!AB178</f>
        <v>APAGADO</v>
      </c>
      <c r="W155" s="70" t="str">
        <f>'RESUMEN TOTAL'!AC178</f>
        <v>APAGADO</v>
      </c>
      <c r="X155" s="70" t="str">
        <f>'RESUMEN TOTAL'!AD178</f>
        <v>APAGADO</v>
      </c>
      <c r="Y155" s="70" t="str">
        <f>'RESUMEN TOTAL'!AE178</f>
        <v>APAGADO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 t="str">
        <f>'RESUMEN TOTAL'!AB190</f>
        <v>APAGADO</v>
      </c>
      <c r="W167" s="70" t="str">
        <f>'RESUMEN TOTAL'!AC190</f>
        <v>APAGADO</v>
      </c>
      <c r="X167" s="70" t="str">
        <f>'RESUMEN TOTAL'!AD190</f>
        <v>APAGADO</v>
      </c>
      <c r="Y167" s="70" t="str">
        <f>'RESUMEN TOTAL'!AE190</f>
        <v>APAGADO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 t="str">
        <f>'RESUMEN TOTAL'!AB220</f>
        <v>APAGADO</v>
      </c>
      <c r="W194" s="70" t="str">
        <f>'RESUMEN TOTAL'!AC220</f>
        <v>APAGADO</v>
      </c>
      <c r="X194" s="70" t="str">
        <f>'RESUMEN TOTAL'!AD220</f>
        <v>APAGADO</v>
      </c>
      <c r="Y194" s="70" t="str">
        <f>'RESUMEN TOTAL'!AE220</f>
        <v>APAGADO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 t="str">
        <f>'RESUMEN TOTAL'!AB221</f>
        <v>APAGADO</v>
      </c>
      <c r="W195" s="70" t="str">
        <f>'RESUMEN TOTAL'!AC221</f>
        <v>APAGADO</v>
      </c>
      <c r="X195" s="70" t="str">
        <f>'RESUMEN TOTAL'!AD221</f>
        <v>APAGADO</v>
      </c>
      <c r="Y195" s="70" t="str">
        <f>'RESUMEN TOTAL'!AE221</f>
        <v>A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 t="str">
        <f>'RESUMEN TOTAL'!AB222</f>
        <v>APAGADO</v>
      </c>
      <c r="W196" s="70" t="str">
        <f>'RESUMEN TOTAL'!AC222</f>
        <v>APAGADO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 t="str">
        <f>'RESUMEN TOTAL'!AB228</f>
        <v>APAGADO</v>
      </c>
      <c r="W202" s="70" t="str">
        <f>'RESUMEN TOTAL'!AC228</f>
        <v>APAGADO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 t="str">
        <f>'RESUMEN TOTAL'!AD230</f>
        <v>APAGADO</v>
      </c>
      <c r="Y204" s="70" t="str">
        <f>'RESUMEN TOTAL'!AE230</f>
        <v>APAGADO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 t="str">
        <f>'RESUMEN TOTAL'!AB231</f>
        <v>APAGADO</v>
      </c>
      <c r="W205" s="70" t="str">
        <f>'RESUMEN TOTAL'!AC231</f>
        <v>APAGADO</v>
      </c>
      <c r="X205" s="70" t="str">
        <f>'RESUMEN TOTAL'!AD231</f>
        <v>APAGADO</v>
      </c>
      <c r="Y205" s="70" t="str">
        <f>'RESUMEN TOTAL'!AE231</f>
        <v>APAGADO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 t="str">
        <f>'RESUMEN TOTAL'!AC232</f>
        <v>APAGADO</v>
      </c>
      <c r="X206" s="70" t="str">
        <f>'RESUMEN TOTAL'!AD232</f>
        <v>APAGADO</v>
      </c>
      <c r="Y206" s="70" t="str">
        <f>'RESUMEN TOTAL'!AE232</f>
        <v>APAGADO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 t="str">
        <f>'RESUMEN TOTAL'!AD241</f>
        <v>APAGADO</v>
      </c>
      <c r="Y215" s="70" t="str">
        <f>'RESUMEN TOTAL'!AE241</f>
        <v>APAGADO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 t="str">
        <f>'RESUMEN TOTAL'!AC246</f>
        <v>APAGADO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 t="str">
        <f>'RESUMEN TOTAL'!AB249</f>
        <v>APAGADO</v>
      </c>
      <c r="W221" s="70" t="str">
        <f>'RESUMEN TOTAL'!AC249</f>
        <v>APAGADO</v>
      </c>
      <c r="X221" s="70" t="str">
        <f>'RESUMEN TOTAL'!AD249</f>
        <v>APAGADO</v>
      </c>
      <c r="Y221" s="70" t="str">
        <f>'RESUMEN TOTAL'!AE249</f>
        <v>APAGADO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 t="str">
        <f>'RESUMEN TOTAL'!AE250</f>
        <v>APAGADO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 t="str">
        <f>'RESUMEN TOTAL'!AB254</f>
        <v>APAGADO</v>
      </c>
      <c r="W226" s="70" t="str">
        <f>'RESUMEN TOTAL'!AC254</f>
        <v>APAGADO</v>
      </c>
      <c r="X226" s="70" t="str">
        <f>'RESUMEN TOTAL'!AD254</f>
        <v>APAGADO</v>
      </c>
      <c r="Y226" s="70" t="str">
        <f>'RESUMEN TOTAL'!AE254</f>
        <v>APAGADO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 t="str">
        <f>'RESUMEN TOTAL'!AB265</f>
        <v>APAGADO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 t="str">
        <f>'RESUMEN TOTAL'!AB267</f>
        <v>APAGADO</v>
      </c>
      <c r="W237" s="70" t="str">
        <f>'RESUMEN TOTAL'!AC267</f>
        <v>APAGADO</v>
      </c>
      <c r="X237" s="70" t="str">
        <f>'RESUMEN TOTAL'!AD267</f>
        <v>APAGADO</v>
      </c>
      <c r="Y237" s="70" t="str">
        <f>'RESUMEN TOTAL'!AE267</f>
        <v>APAGADO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 t="str">
        <f>'RESUMEN TOTAL'!AB268</f>
        <v>APAGADO</v>
      </c>
      <c r="W238" s="70" t="str">
        <f>'RESUMEN TOTAL'!AC268</f>
        <v>APAGADO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 t="str">
        <f>'RESUMEN TOTAL'!AB269</f>
        <v>APAGADO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 t="str">
        <f>'RESUMEN TOTAL'!AB271</f>
        <v>APAGADO</v>
      </c>
      <c r="W241" s="70" t="str">
        <f>'RESUMEN TOTAL'!AC271</f>
        <v>APAGADO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 t="str">
        <f>'RESUMEN TOTAL'!AB272</f>
        <v>APAGADO</v>
      </c>
      <c r="W242" s="70" t="str">
        <f>'RESUMEN TOTAL'!AC272</f>
        <v>APAGADO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 t="str">
        <f>'RESUMEN TOTAL'!AB273</f>
        <v>APAGADO</v>
      </c>
      <c r="W243" s="70" t="str">
        <f>'RESUMEN TOTAL'!AC273</f>
        <v>APAGADO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 t="str">
        <f>'RESUMEN TOTAL'!AB279</f>
        <v>APAGADO</v>
      </c>
      <c r="W249" s="70" t="str">
        <f>'RESUMEN TOTAL'!AC279</f>
        <v>APAGADO</v>
      </c>
      <c r="X249" s="70" t="str">
        <f>'RESUMEN TOTAL'!AD279</f>
        <v>APAGADO</v>
      </c>
      <c r="Y249" s="70" t="str">
        <f>'RESUMEN TOTAL'!AE279</f>
        <v>APAGADO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 t="str">
        <f>'RESUMEN TOTAL'!AB284</f>
        <v>APAGADO</v>
      </c>
      <c r="W254" s="70" t="str">
        <f>'RESUMEN TOTAL'!AC284</f>
        <v>APAGADO</v>
      </c>
      <c r="X254" s="70" t="str">
        <f>'RESUMEN TOTAL'!AD284</f>
        <v>APAGADO</v>
      </c>
      <c r="Y254" s="70" t="str">
        <f>'RESUMEN TOTAL'!AE284</f>
        <v>APAGADO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 t="str">
        <f>'RESUMEN TOTAL'!AB301</f>
        <v>APAGADO</v>
      </c>
      <c r="W267" s="70" t="str">
        <f>'RESUMEN TOTAL'!AC301</f>
        <v>APAGADO</v>
      </c>
      <c r="X267" s="70" t="str">
        <f>'RESUMEN TOTAL'!AD301</f>
        <v>APAGADO</v>
      </c>
      <c r="Y267" s="70" t="str">
        <f>'RESUMEN TOTAL'!AE301</f>
        <v>APAGADO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 t="str">
        <f>'RESUMEN TOTAL'!AC307</f>
        <v>APAGADO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 t="str">
        <f>'RESUMEN TOTAL'!AB322</f>
        <v>APAGADO</v>
      </c>
      <c r="W285" s="70" t="str">
        <f>'RESUMEN TOTAL'!AC322</f>
        <v>APAGADO</v>
      </c>
      <c r="X285" s="70" t="str">
        <f>'RESUMEN TOTAL'!AD322</f>
        <v>APAGADO</v>
      </c>
      <c r="Y285" s="70" t="str">
        <f>'RESUMEN TOTAL'!AE322</f>
        <v>APAGADO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 t="str">
        <f>'RESUMEN TOTAL'!AD327</f>
        <v>APAGADO</v>
      </c>
      <c r="Y290" s="70" t="str">
        <f>'RESUMEN TOTAL'!AE327</f>
        <v>APAGADO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 t="str">
        <f>'RESUMEN TOTAL'!AD328</f>
        <v>APAGADO</v>
      </c>
      <c r="Y291" s="70" t="str">
        <f>'RESUMEN TOTAL'!AE328</f>
        <v>APAGADO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 t="str">
        <f>'RESUMEN TOTAL'!AB338</f>
        <v>APAGADO</v>
      </c>
      <c r="W301" s="70" t="str">
        <f>'RESUMEN TOTAL'!AC338</f>
        <v>APAGADO</v>
      </c>
      <c r="X301" s="70" t="str">
        <f>'RESUMEN TOTAL'!AD338</f>
        <v>APAGADO</v>
      </c>
      <c r="Y301" s="70" t="str">
        <f>'RESUMEN TOTAL'!AE338</f>
        <v>APAGADO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 t="str">
        <f>'RESUMEN TOTAL'!AB339</f>
        <v>APAGADO</v>
      </c>
      <c r="W302" s="70" t="str">
        <f>'RESUMEN TOTAL'!AC339</f>
        <v>APAGADO</v>
      </c>
      <c r="X302" s="70" t="str">
        <f>'RESUMEN TOTAL'!AD339</f>
        <v>APAGADO</v>
      </c>
      <c r="Y302" s="70" t="str">
        <f>'RESUMEN TOTAL'!AE339</f>
        <v>APAGADO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 t="str">
        <f>'RESUMEN TOTAL'!AB341</f>
        <v>APAGADO</v>
      </c>
      <c r="W304" s="70" t="str">
        <f>'RESUMEN TOTAL'!AC341</f>
        <v>APAGADO</v>
      </c>
      <c r="X304" s="70" t="str">
        <f>'RESUMEN TOTAL'!AD341</f>
        <v>APAGADO</v>
      </c>
      <c r="Y304" s="70" t="str">
        <f>'RESUMEN TOTAL'!AE341</f>
        <v>APAGADO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 t="str">
        <f>'RESUMEN TOTAL'!AB342</f>
        <v>APAGADO</v>
      </c>
      <c r="W305" s="70" t="str">
        <f>'RESUMEN TOTAL'!AC342</f>
        <v>APAGADO</v>
      </c>
      <c r="X305" s="70" t="str">
        <f>'RESUMEN TOTAL'!AD342</f>
        <v>APAGADO</v>
      </c>
      <c r="Y305" s="70" t="str">
        <f>'RESUMEN TOTAL'!AE342</f>
        <v>APAGADO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 t="str">
        <f>'RESUMEN TOTAL'!AB343</f>
        <v>APAGADO</v>
      </c>
      <c r="W306" s="70" t="str">
        <f>'RESUMEN TOTAL'!AC343</f>
        <v>APAGADO</v>
      </c>
      <c r="X306" s="70" t="str">
        <f>'RESUMEN TOTAL'!AD343</f>
        <v>APAGADO</v>
      </c>
      <c r="Y306" s="70" t="str">
        <f>'RESUMEN TOTAL'!AE343</f>
        <v>APAGADO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 t="str">
        <f>'RESUMEN TOTAL'!AB346</f>
        <v>APAGADO</v>
      </c>
      <c r="W309" s="70" t="str">
        <f>'RESUMEN TOTAL'!AC346</f>
        <v>APAGADO</v>
      </c>
      <c r="X309" s="70" t="str">
        <f>'RESUMEN TOTAL'!AD346</f>
        <v>APAGADO</v>
      </c>
      <c r="Y309" s="70" t="str">
        <f>'RESUMEN TOTAL'!AE346</f>
        <v>APAGADO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 t="str">
        <f>'RESUMEN TOTAL'!AB347</f>
        <v>APAGADO</v>
      </c>
      <c r="W310" s="70" t="str">
        <f>'RESUMEN TOTAL'!AC347</f>
        <v>APAGADO</v>
      </c>
      <c r="X310" s="70" t="str">
        <f>'RESUMEN TOTAL'!AD347</f>
        <v>APAGADO</v>
      </c>
      <c r="Y310" s="70" t="str">
        <f>'RESUMEN TOTAL'!AE347</f>
        <v>APAGADO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 t="str">
        <f>'RESUMEN TOTAL'!AB348</f>
        <v>APAGADO</v>
      </c>
      <c r="W311" s="70" t="str">
        <f>'RESUMEN TOTAL'!AC348</f>
        <v>APAGADO</v>
      </c>
      <c r="X311" s="70" t="str">
        <f>'RESUMEN TOTAL'!AD348</f>
        <v>APAGADO</v>
      </c>
      <c r="Y311" s="70" t="str">
        <f>'RESUMEN TOTAL'!AE348</f>
        <v>APAGADO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 t="str">
        <f>'RESUMEN TOTAL'!AB349</f>
        <v>APAGADO</v>
      </c>
      <c r="W312" s="70" t="str">
        <f>'RESUMEN TOTAL'!AC349</f>
        <v>APAGADO</v>
      </c>
      <c r="X312" s="70" t="str">
        <f>'RESUMEN TOTAL'!AD349</f>
        <v>APAGADO</v>
      </c>
      <c r="Y312" s="70" t="str">
        <f>'RESUMEN TOTAL'!AE349</f>
        <v>APAGADO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 t="str">
        <f>'RESUMEN TOTAL'!AB351</f>
        <v>APAGADO</v>
      </c>
      <c r="W314" s="70" t="str">
        <f>'RESUMEN TOTAL'!AC351</f>
        <v>APAGADO</v>
      </c>
      <c r="X314" s="70" t="str">
        <f>'RESUMEN TOTAL'!AD351</f>
        <v>APAGADO</v>
      </c>
      <c r="Y314" s="70" t="str">
        <f>'RESUMEN TOTAL'!AE351</f>
        <v>APAGADO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 t="str">
        <f>'RESUMEN TOTAL'!AB362</f>
        <v>APAGADO</v>
      </c>
      <c r="W322" s="70" t="str">
        <f>'RESUMEN TOTAL'!AC362</f>
        <v>APAGADO</v>
      </c>
      <c r="X322" s="70" t="str">
        <f>'RESUMEN TOTAL'!AD362</f>
        <v>APAGADO</v>
      </c>
      <c r="Y322" s="70" t="str">
        <f>'RESUMEN TOTAL'!AE362</f>
        <v>APAGADO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 t="str">
        <f>'RESUMEN TOTAL'!AB363</f>
        <v>APAGADO</v>
      </c>
      <c r="W323" s="70" t="str">
        <f>'RESUMEN TOTAL'!AC363</f>
        <v>APAGADO</v>
      </c>
      <c r="X323" s="70" t="str">
        <f>'RESUMEN TOTAL'!AD363</f>
        <v>APAGADO</v>
      </c>
      <c r="Y323" s="70" t="str">
        <f>'RESUMEN TOTAL'!AE363</f>
        <v>APAGADO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 t="str">
        <f>'RESUMEN TOTAL'!AB368</f>
        <v>APAGADO</v>
      </c>
      <c r="W326" s="70" t="str">
        <f>'RESUMEN TOTAL'!AC368</f>
        <v>APAGADO</v>
      </c>
      <c r="X326" s="70" t="str">
        <f>'RESUMEN TOTAL'!AD368</f>
        <v>APAGADO</v>
      </c>
      <c r="Y326" s="70" t="str">
        <f>'RESUMEN TOTAL'!AE368</f>
        <v>APAGADO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 t="str">
        <f>'RESUMEN TOTAL'!AB373</f>
        <v>APAGADO</v>
      </c>
      <c r="W329" s="70" t="str">
        <f>'RESUMEN TOTAL'!AC373</f>
        <v>APAGADO</v>
      </c>
      <c r="X329" s="70" t="str">
        <f>'RESUMEN TOTAL'!AD373</f>
        <v>APAGADO</v>
      </c>
      <c r="Y329" s="70" t="str">
        <f>'RESUMEN TOTAL'!AE373</f>
        <v>APAGADO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 t="str">
        <f>'RESUMEN TOTAL'!AB376</f>
        <v>APAGADO</v>
      </c>
      <c r="W332" s="70" t="str">
        <f>'RESUMEN TOTAL'!AC376</f>
        <v>APAGADO</v>
      </c>
      <c r="X332" s="70" t="str">
        <f>'RESUMEN TOTAL'!AD376</f>
        <v>APAGADO</v>
      </c>
      <c r="Y332" s="70" t="str">
        <f>'RESUMEN TOTAL'!AE376</f>
        <v>APAGADO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 t="str">
        <f>'RESUMEN TOTAL'!AB380</f>
        <v>APAGADO</v>
      </c>
      <c r="W336" s="70" t="str">
        <f>'RESUMEN TOTAL'!AC380</f>
        <v>APAGADO</v>
      </c>
      <c r="X336" s="70" t="str">
        <f>'RESUMEN TOTAL'!AD380</f>
        <v>APAGADO</v>
      </c>
      <c r="Y336" s="70" t="str">
        <f>'RESUMEN TOTAL'!AE380</f>
        <v>APAGADO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 t="str">
        <f>'RESUMEN TOTAL'!AB381</f>
        <v>APAGADO</v>
      </c>
      <c r="W337" s="70" t="str">
        <f>'RESUMEN TOTAL'!AC381</f>
        <v>APAGADO</v>
      </c>
      <c r="X337" s="70" t="str">
        <f>'RESUMEN TOTAL'!AD381</f>
        <v>APAGADO</v>
      </c>
      <c r="Y337" s="70" t="str">
        <f>'RESUMEN TOTAL'!AE381</f>
        <v>APAGADO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 t="str">
        <f>'RESUMEN TOTAL'!AB382</f>
        <v>APAGADO</v>
      </c>
      <c r="W338" s="70" t="str">
        <f>'RESUMEN TOTAL'!AC382</f>
        <v>APAGADO</v>
      </c>
      <c r="X338" s="70" t="str">
        <f>'RESUMEN TOTAL'!AD382</f>
        <v>APAGADO</v>
      </c>
      <c r="Y338" s="70" t="str">
        <f>'RESUMEN TOTAL'!AE382</f>
        <v>APAGADO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 t="str">
        <f>'RESUMEN TOTAL'!AB383</f>
        <v>APAGADO</v>
      </c>
      <c r="W339" s="70" t="str">
        <f>'RESUMEN TOTAL'!AC383</f>
        <v>APAGADO</v>
      </c>
      <c r="X339" s="70" t="str">
        <f>'RESUMEN TOTAL'!AD383</f>
        <v>APAGADO</v>
      </c>
      <c r="Y339" s="70" t="str">
        <f>'RESUMEN TOTAL'!AE383</f>
        <v>APAGADO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 t="str">
        <f>'RESUMEN TOTAL'!AB384</f>
        <v>APAGADO</v>
      </c>
      <c r="W340" s="70" t="str">
        <f>'RESUMEN TOTAL'!AC384</f>
        <v>APAGADO</v>
      </c>
      <c r="X340" s="70" t="str">
        <f>'RESUMEN TOTAL'!AD384</f>
        <v>APAGADO</v>
      </c>
      <c r="Y340" s="70" t="str">
        <f>'RESUMEN TOTAL'!AE384</f>
        <v>APAGADO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 t="str">
        <f>'RESUMEN TOTAL'!AD387</f>
        <v>APAGADO</v>
      </c>
      <c r="Y343" s="70" t="str">
        <f>'RESUMEN TOTAL'!AE387</f>
        <v>APAGADO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 t="str">
        <f>'RESUMEN TOTAL'!AE389</f>
        <v>APAGADO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 t="str">
        <f>'RESUMEN TOTAL'!AE390</f>
        <v>APAGADO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 t="str">
        <f>'RESUMEN TOTAL'!AE391</f>
        <v>APAGADO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 t="str">
        <f>'RESUMEN TOTAL'!AB392</f>
        <v>APAGADO</v>
      </c>
      <c r="W348" s="70" t="str">
        <f>'RESUMEN TOTAL'!AC392</f>
        <v>APAGADO</v>
      </c>
      <c r="X348" s="70" t="str">
        <f>'RESUMEN TOTAL'!AD392</f>
        <v>APAGADO</v>
      </c>
      <c r="Y348" s="70" t="str">
        <f>'RESUMEN TOTAL'!AE392</f>
        <v>APAGADO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 t="str">
        <f>'RESUMEN TOTAL'!AB393</f>
        <v>APAGADO</v>
      </c>
      <c r="W349" s="70" t="str">
        <f>'RESUMEN TOTAL'!AC393</f>
        <v>APAGADO</v>
      </c>
      <c r="X349" s="70" t="str">
        <f>'RESUMEN TOTAL'!AD393</f>
        <v>APAGADO</v>
      </c>
      <c r="Y349" s="70" t="str">
        <f>'RESUMEN TOTAL'!AE393</f>
        <v>APAGADO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 t="str">
        <f>'RESUMEN TOTAL'!AB398</f>
        <v>APAGADO</v>
      </c>
      <c r="W354" s="70" t="str">
        <f>'RESUMEN TOTAL'!AC398</f>
        <v>APAGADO</v>
      </c>
      <c r="X354" s="70" t="str">
        <f>'RESUMEN TOTAL'!AD398</f>
        <v>APAGADO</v>
      </c>
      <c r="Y354" s="70" t="str">
        <f>'RESUMEN TOTAL'!AE398</f>
        <v>APAGADO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 t="str">
        <f>'RESUMEN TOTAL'!AD399</f>
        <v>APAGADO</v>
      </c>
      <c r="Y355" s="70" t="str">
        <f>'RESUMEN TOTAL'!AE399</f>
        <v>APAGADO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 t="str">
        <f>'RESUMEN TOTAL'!AD400</f>
        <v>APAGADO</v>
      </c>
      <c r="Y356" s="70" t="str">
        <f>'RESUMEN TOTAL'!AE400</f>
        <v>APAGADO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 t="str">
        <f>'RESUMEN TOTAL'!AE403</f>
        <v>APAGADO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 t="str">
        <f>'RESUMEN TOTAL'!AB404</f>
        <v>APAGADO</v>
      </c>
      <c r="W360" s="70" t="str">
        <f>'RESUMEN TOTAL'!AC404</f>
        <v>APAGADO</v>
      </c>
      <c r="X360" s="70" t="str">
        <f>'RESUMEN TOTAL'!AD404</f>
        <v>APAGADO</v>
      </c>
      <c r="Y360" s="70" t="str">
        <f>'RESUMEN TOTAL'!AE404</f>
        <v>APAGADO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 t="str">
        <f>'RESUMEN TOTAL'!AB407</f>
        <v>APAGADO</v>
      </c>
      <c r="W363" s="70" t="str">
        <f>'RESUMEN TOTAL'!AC407</f>
        <v>APAGADO</v>
      </c>
      <c r="X363" s="70" t="str">
        <f>'RESUMEN TOTAL'!AD407</f>
        <v>APAGADO</v>
      </c>
      <c r="Y363" s="70" t="str">
        <f>'RESUMEN TOTAL'!AE407</f>
        <v>APAGADO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 t="str">
        <f>'RESUMEN TOTAL'!AB417</f>
        <v>APAGADO</v>
      </c>
      <c r="W373" s="70" t="str">
        <f>'RESUMEN TOTAL'!AC417</f>
        <v>APAGADO</v>
      </c>
      <c r="X373" s="70" t="str">
        <f>'RESUMEN TOTAL'!AD417</f>
        <v>APAGADO</v>
      </c>
      <c r="Y373" s="70" t="str">
        <f>'RESUMEN TOTAL'!AE417</f>
        <v>APAGADO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 t="str">
        <f>'RESUMEN TOTAL'!AB418</f>
        <v>APAGADO</v>
      </c>
      <c r="W374" s="70" t="str">
        <f>'RESUMEN TOTAL'!AC418</f>
        <v>APAGADO</v>
      </c>
      <c r="X374" s="70" t="str">
        <f>'RESUMEN TOTAL'!AD418</f>
        <v>APAGADO</v>
      </c>
      <c r="Y374" s="70" t="str">
        <f>'RESUMEN TOTAL'!AE418</f>
        <v>APAGADO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 t="str">
        <f>'RESUMEN TOTAL'!AE428</f>
        <v>APAGADO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 t="str">
        <f>'RESUMEN TOTAL'!AB429</f>
        <v>APAGADO</v>
      </c>
      <c r="W383" s="70" t="str">
        <f>'RESUMEN TOTAL'!AC429</f>
        <v>APAGADO</v>
      </c>
      <c r="X383" s="70" t="str">
        <f>'RESUMEN TOTAL'!AD429</f>
        <v>APAGADO</v>
      </c>
      <c r="Y383" s="70" t="str">
        <f>'RESUMEN TOTAL'!AE429</f>
        <v>APAGADO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 t="str">
        <f>'RESUMEN TOTAL'!AE432</f>
        <v>APAGADO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 t="str">
        <f>'RESUMEN TOTAL'!AE433</f>
        <v>APAGADO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 t="str">
        <f>'RESUMEN TOTAL'!AE434</f>
        <v>APAGADO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 t="str">
        <f>'RESUMEN TOTAL'!AE435</f>
        <v>APAGADO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 t="str">
        <f>'RESUMEN TOTAL'!AB467</f>
        <v>APAGADO</v>
      </c>
      <c r="W420" s="70" t="str">
        <f>'RESUMEN TOTAL'!AC467</f>
        <v>APAGADO</v>
      </c>
      <c r="X420" s="70" t="str">
        <f>'RESUMEN TOTAL'!AD467</f>
        <v>APAGADO</v>
      </c>
      <c r="Y420" s="70" t="str">
        <f>'RESUMEN TOTAL'!AE467</f>
        <v>APAGADO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 t="str">
        <f>'RESUMEN TOTAL'!AB468</f>
        <v>APAGADO</v>
      </c>
      <c r="W421" s="70" t="str">
        <f>'RESUMEN TOTAL'!AC468</f>
        <v>APAGADO</v>
      </c>
      <c r="X421" s="70" t="str">
        <f>'RESUMEN TOTAL'!AD468</f>
        <v>APAGADO</v>
      </c>
      <c r="Y421" s="70" t="str">
        <f>'RESUMEN TOTAL'!AE468</f>
        <v>APAGADO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 t="str">
        <f>'RESUMEN TOTAL'!AB476</f>
        <v>APAGADO</v>
      </c>
      <c r="W428" s="70" t="str">
        <f>'RESUMEN TOTAL'!AC476</f>
        <v>APAGADO</v>
      </c>
      <c r="X428" s="70" t="str">
        <f>'RESUMEN TOTAL'!AD476</f>
        <v>APAGADO</v>
      </c>
      <c r="Y428" s="70" t="str">
        <f>'RESUMEN TOTAL'!AE476</f>
        <v>APAGADO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 t="str">
        <f>'RESUMEN TOTAL'!AB478</f>
        <v>APAGADO</v>
      </c>
      <c r="W430" s="70" t="str">
        <f>'RESUMEN TOTAL'!AC478</f>
        <v>APAGADO</v>
      </c>
      <c r="X430" s="70" t="str">
        <f>'RESUMEN TOTAL'!AD478</f>
        <v>APAGADO</v>
      </c>
      <c r="Y430" s="70" t="str">
        <f>'RESUMEN TOTAL'!AE478</f>
        <v>APAGADO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 t="str">
        <f>'RESUMEN TOTAL'!AB484</f>
        <v>APAGADO</v>
      </c>
      <c r="W436" s="70" t="str">
        <f>'RESUMEN TOTAL'!AC484</f>
        <v>APAGADO</v>
      </c>
      <c r="X436" s="70" t="str">
        <f>'RESUMEN TOTAL'!AD484</f>
        <v>APAGADO</v>
      </c>
      <c r="Y436" s="70" t="str">
        <f>'RESUMEN TOTAL'!AE484</f>
        <v>APAGADO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 t="str">
        <f>'RESUMEN TOTAL'!AB486</f>
        <v>APAGADO</v>
      </c>
      <c r="W438" s="70" t="str">
        <f>'RESUMEN TOTAL'!AC486</f>
        <v>APAGADO</v>
      </c>
      <c r="X438" s="70" t="str">
        <f>'RESUMEN TOTAL'!AD486</f>
        <v>APAGADO</v>
      </c>
      <c r="Y438" s="70" t="str">
        <f>'RESUMEN TOTAL'!AE486</f>
        <v>APAGADO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 t="str">
        <f>'RESUMEN TOTAL'!AC505</f>
        <v>APAGADO</v>
      </c>
      <c r="X457" s="70" t="str">
        <f>'RESUMEN TOTAL'!AD505</f>
        <v>APAGADO</v>
      </c>
      <c r="Y457" s="70" t="str">
        <f>'RESUMEN TOTAL'!AE505</f>
        <v>APAGADO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 t="str">
        <f>'RESUMEN TOTAL'!AB507</f>
        <v>APAGADO</v>
      </c>
      <c r="W459" s="70" t="str">
        <f>'RESUMEN TOTAL'!AC507</f>
        <v>APAGADO</v>
      </c>
      <c r="X459" s="70" t="str">
        <f>'RESUMEN TOTAL'!AD507</f>
        <v>APAGADO</v>
      </c>
      <c r="Y459" s="70" t="str">
        <f>'RESUMEN TOTAL'!AE507</f>
        <v>APAGADO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 t="str">
        <f>'RESUMEN TOTAL'!AB508</f>
        <v>APAGADO</v>
      </c>
      <c r="W460" s="70" t="str">
        <f>'RESUMEN TOTAL'!AC508</f>
        <v>APAGADO</v>
      </c>
      <c r="X460" s="70" t="str">
        <f>'RESUMEN TOTAL'!AD508</f>
        <v>APAGADO</v>
      </c>
      <c r="Y460" s="70" t="str">
        <f>'RESUMEN TOTAL'!AE508</f>
        <v>APAGADO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51</v>
      </c>
      <c r="W3" s="46">
        <f>COUNTIFS('RESUMEN TOTAL'!AC8:AC619,"=APAGADO",'RESUMEN TOTAL'!C8:C619,"=BONOMO")</f>
        <v>52</v>
      </c>
      <c r="X3" s="46">
        <f>COUNTIFS('RESUMEN TOTAL'!AD8:AD619,"=APAGADO",'RESUMEN TOTAL'!C8:C619,"=BONOMO")</f>
        <v>57</v>
      </c>
      <c r="Y3" s="46">
        <f>COUNTIFS('RESUMEN TOTAL'!AE8:AE619,"=APAGADO",'RESUMEN TOTAL'!C8:C619,"=BONOMO")</f>
        <v>58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0.18819188191881919</v>
      </c>
      <c r="W4" s="50">
        <f t="shared" si="0"/>
        <v>0.1918819188191882</v>
      </c>
      <c r="X4" s="50">
        <f t="shared" si="0"/>
        <v>0.21033210332103322</v>
      </c>
      <c r="Y4" s="50">
        <f t="shared" si="0"/>
        <v>0.2140221402214022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43</v>
      </c>
      <c r="W5" s="46">
        <f>COUNTIFS('RESUMEN TOTAL'!AC10:AC621,"=APAGADO",'RESUMEN TOTAL'!C10:C621,"=COSEIDI")</f>
        <v>37</v>
      </c>
      <c r="X5" s="46">
        <f>COUNTIFS('RESUMEN TOTAL'!AD10:AD621,"=APAGADO",'RESUMEN TOTAL'!C10:C621,"=COSEIDI")</f>
        <v>33</v>
      </c>
      <c r="Y5" s="46">
        <f>COUNTIFS('RESUMEN TOTAL'!AE10:AE621,"=APAGADO",'RESUMEN TOTAL'!C10:C621,"=COSEIDI")</f>
        <v>48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0.18454935622317598</v>
      </c>
      <c r="W6" s="50">
        <f t="shared" si="1"/>
        <v>0.15879828326180256</v>
      </c>
      <c r="X6" s="50">
        <f t="shared" si="1"/>
        <v>0.14163090128755365</v>
      </c>
      <c r="Y6" s="50">
        <f t="shared" si="1"/>
        <v>0.20600858369098712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2025-08-20T11:00:45Z</dcterms:modified>
</cp:coreProperties>
</file>