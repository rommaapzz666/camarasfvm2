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3A39C0AD-58BD-47B7-9B15-3122E6BA9C2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TOTAL'!$A$7:$AW$616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89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C47" i="24" s="1"/>
  <c r="V3" i="2"/>
  <c r="C36" i="24" s="1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<sst xmlns="http://schemas.openxmlformats.org/spreadsheetml/2006/main" count="5943" uniqueCount="2514">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</sst>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7"/>
  <sheetViews>
    <sheetView tabSelected="1" topLeftCell="G1" zoomScaleNormal="100" zoomScaleSheetLayoutView="130" workbookViewId="0">
      <pane xSplit="12" ySplit="7" topLeftCell="U8" activePane="bottomRight" state="frozen"/>
      <selection activeCell="G1" sqref="G1"/>
      <selection pane="topRight" activeCell="S1" sqref="S1"/>
      <selection pane="bottomLeft" activeCell="G8" sqref="G8"/>
      <selection pane="bottomRight" activeCell="G7" sqref="G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50" style="30" customWidth="1"/>
    <col min="8" max="8" width="10.42578125" style="30" customWidth="1"/>
    <col min="9" max="9" width="38.5703125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14.140625" style="4" hidden="1" customWidth="1"/>
    <col min="19" max="19" width="12.140625" style="14" customWidth="1"/>
    <col min="20" max="20" width="12.42578125" style="14" customWidth="1"/>
    <col min="21" max="21" width="13.28515625" style="14" customWidth="1"/>
    <col min="22" max="22" width="14.28515625" style="14" customWidth="1"/>
    <col min="23" max="23" width="15.85546875" style="14" customWidth="1"/>
    <col min="24" max="24" width="14.28515625" style="14" customWidth="1"/>
    <col min="25" max="25" width="13.7109375" style="14" customWidth="1"/>
    <col min="26" max="26" width="11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0.28515625" style="14" customWidth="1"/>
    <col min="43" max="43" width="0.285156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0.14040114613180515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  <c r="AW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0</v>
      </c>
      <c r="W3" s="123">
        <f t="shared" si="3"/>
        <v>0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COUNTIF(AW7:AW761,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0</v>
      </c>
      <c r="T4" s="10">
        <f>COUNTIFS(T8:T715, "=APAGADO",K8:K715,"=Fibra Optica")</f>
        <v>0</v>
      </c>
      <c r="U4" s="10">
        <f>COUNTIFS(U8:U715, "=APAGADO",K8:K715,"=Fibra Optica")</f>
        <v>50</v>
      </c>
      <c r="V4" s="10">
        <f>COUNTIFS(V8:V715, "=APAGADO",K8:K715,"=Fibra Optica")</f>
        <v>0</v>
      </c>
      <c r="W4" s="10">
        <f>COUNTIFS(W8:W715, "=APAGADO",K8:K715,"=Fibra Optica")</f>
        <v>0</v>
      </c>
      <c r="X4" s="10">
        <f>COUNTIFS(X8:X715, "=APAGADO",K8:K715,"=Fibra Optica")</f>
        <v>0</v>
      </c>
      <c r="Y4" s="10">
        <f>COUNTIFS(Y8:Y715, "=APAGADO",K8:K715,"=Fibra Optica")</f>
        <v>0</v>
      </c>
      <c r="Z4" s="10">
        <f>COUNTIFS(Z8:Z715, "=APAGADO",K8:K715,"=Fibra Optica")</f>
        <v>0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0</v>
      </c>
      <c r="AF4" s="10">
        <f>COUNTIFS(AF8:AF715, "=APAGADO",K8:K715,"=Fibra Optica")</f>
        <v>0</v>
      </c>
      <c r="AG4" s="10">
        <f>COUNTIFS(AG8:AG715, "=APAGADO",K8:K715,"=Fibra Optica")</f>
        <v>0</v>
      </c>
      <c r="AH4" s="10">
        <f>COUNTIFS(AH8:AH715, "=APAGADO",K8:K715,"=Fibra Optica")</f>
        <v>0</v>
      </c>
      <c r="AI4" s="10">
        <f>COUNTIFS(AI8:AI715, "=APAGADO",K8:K715,"=Fibra Optica")</f>
        <v>0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0</v>
      </c>
      <c r="AM4" s="10">
        <f>COUNTIFS(AM8:AM715, "=APAGADO",K8:K715,"=Fibra Optica")</f>
        <v>0</v>
      </c>
      <c r="AN4" s="10">
        <f>COUNTIFS(AN8:AN715, "=APAGADO",K8:K715,"=Fibra Optica")</f>
        <v>0</v>
      </c>
      <c r="AO4" s="10">
        <f>COUNTIFS(AO8:AO715, "=APAGADO",K8:K715,"=Fibra Optica")</f>
        <v>0</v>
      </c>
      <c r="AP4" s="10">
        <f>COUNTIFS(AP8:AP715, "=APAGADO",K8:K715,"=Fibra Optica")</f>
        <v>0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0</v>
      </c>
      <c r="AT4" s="10">
        <f>COUNTIFS(AT8:AT715, "=APAGADO",K8:K715,"=Fibra Optica")</f>
        <v>0</v>
      </c>
      <c r="AU4" s="10">
        <f>COUNTIFS(AU8:AU715, "=APAGADO",L8:L715,"=Fibra Optica")</f>
        <v>0</v>
      </c>
      <c r="AV4" s="10">
        <f>COUNTIFS(AV8:AV715, "=APAGADO",M8:M715,"=Fibra Optica")</f>
        <v>0</v>
      </c>
      <c r="AW4" s="10">
        <f>COUNTIFS(AW8:AW715, "=APAGADO",N8:N715,"=Fibra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0</v>
      </c>
      <c r="T5" s="127">
        <f>COUNTIFS(T8:T715, "=APAGADO",K8:K715,"=RADIO")</f>
        <v>0</v>
      </c>
      <c r="U5" s="127">
        <f>COUNTIFS(U8:U715, "=APAGADO",K8:K715,"=RADIO")</f>
        <v>3</v>
      </c>
      <c r="V5" s="127">
        <f>COUNTIFS(V8:V715, "=APAGADO",K8:K715,"=RADIO")</f>
        <v>0</v>
      </c>
      <c r="W5" s="127">
        <f>COUNTIFS(W8:W715, "=APAGADO",K8:K715,"=RADIO")</f>
        <v>0</v>
      </c>
      <c r="X5" s="127">
        <f>COUNTIFS(X8:X715, "=APAGADO",K8:K715,"=RADIO")</f>
        <v>0</v>
      </c>
      <c r="Y5" s="127">
        <f>COUNTIFS(Y8:Y715, "=APAGADO",K8:K715,"=RADIO")</f>
        <v>0</v>
      </c>
      <c r="Z5" s="127">
        <f>COUNTIFS(Z8:Z715, "=APAGADO",K8:K715,"=RADIO")</f>
        <v>0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0</v>
      </c>
      <c r="AF5" s="127">
        <f>COUNTIFS(AF8:AF715, "=APAGADO",K8:K715,"=RADIO")</f>
        <v>0</v>
      </c>
      <c r="AG5" s="127">
        <f>COUNTIFS(AG8:AG715, "=APAGADO",K8:K715,"=RADIO")</f>
        <v>0</v>
      </c>
      <c r="AH5" s="127">
        <f>COUNTIFS(AH8:AH715, "=APAGADO",K8:K715,"=RADIO")</f>
        <v>0</v>
      </c>
      <c r="AI5" s="127">
        <f>COUNTIFS(AI8:AI715, "=APAGADO",K8:K715,"=RADIO")</f>
        <v>0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0</v>
      </c>
      <c r="AM5" s="127">
        <f>COUNTIFS(AM8:AM715, "=APAGADO",K8:K715,"=RADIO")</f>
        <v>0</v>
      </c>
      <c r="AN5" s="127">
        <f>COUNTIFS(AN8:AN715, "=APAGADO",K8:K715,"=RADIO")</f>
        <v>0</v>
      </c>
      <c r="AO5" s="127">
        <f>COUNTIFS(AO8:AO715, "=APAGADO",K8:K715,"=RADIO")</f>
        <v>0</v>
      </c>
      <c r="AP5" s="127">
        <f>COUNTIFS(AP8:AP715, "=APAGADO",K8:K715,"=RADIO")</f>
        <v>0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0</v>
      </c>
      <c r="AT5" s="127">
        <f>COUNTIFS(AT8:AT715, "=APAGADO",K8:K715,"=RADIO")</f>
        <v>0</v>
      </c>
      <c r="AU5" s="127">
        <f>COUNTIFS(AU8:AU715, "=APAGADO",L8:L715,"=RADIO")</f>
        <v>0</v>
      </c>
      <c r="AV5" s="127">
        <f>COUNTIFS(AV8:AV715, "=APAGADO",M8:M715,"=RADIO")</f>
        <v>0</v>
      </c>
      <c r="AW5" s="127">
        <f>COUNTIFS(AW8:AW715, "=APAGADO",N8:N715,"=RADIO")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0</v>
      </c>
      <c r="T6" s="10">
        <f>COUNTIFS(T8:T715, "=APAGADO",K8:K715,"=PTO A FO")</f>
        <v>0</v>
      </c>
      <c r="U6" s="10">
        <f>COUNTIFS(U8:U715, "=APAGADO",K8:K715,"=PTO A FO")</f>
        <v>9</v>
      </c>
      <c r="V6" s="10">
        <f>COUNTIFS(V8:V715, "=APAGADO",K8:K715,"=PTO A FO")</f>
        <v>0</v>
      </c>
      <c r="W6" s="10">
        <f>COUNTIFS(W8:W715, "=APAGADO",K8:K715,"=PTO A FO")</f>
        <v>0</v>
      </c>
      <c r="X6" s="10">
        <f>COUNTIFS(X8:X715, "=APAGADO",K8:K715,"=PTO A FO")</f>
        <v>0</v>
      </c>
      <c r="Y6" s="10">
        <f>COUNTIFS(Y8:Y715, "=APAGADO",K8:K715,"=PTO A FO")</f>
        <v>0</v>
      </c>
      <c r="Z6" s="10">
        <f>COUNTIFS(Z8:Z715, "=APAGADO",K8:K715,"=PTO A FO")</f>
        <v>0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0</v>
      </c>
      <c r="AF6" s="10">
        <f>COUNTIFS(AF8:AF715, "=APAGADO",K8:K715,"=PTO A FO")</f>
        <v>0</v>
      </c>
      <c r="AG6" s="10">
        <f>COUNTIFS(AG8:AG715, "=APAGADO",K8:K715,"=PTO A FO")</f>
        <v>0</v>
      </c>
      <c r="AH6" s="10">
        <f>COUNTIFS(AH8:AH715, "=APAGADO",K8:K715,"=PTO A FO")</f>
        <v>0</v>
      </c>
      <c r="AI6" s="10">
        <f>COUNTIFS(AI8:AI715, "=APAGADO",K8:K715,"=PTO A FO")</f>
        <v>0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0</v>
      </c>
      <c r="AM6" s="10">
        <f>COUNTIFS(AM8:AM715, "=APAGADO",K8:K715,"=PTO A FO")</f>
        <v>0</v>
      </c>
      <c r="AN6" s="10">
        <f>COUNTIFS(AN8:AN715, "=APAGADO",K8:K715,"=PTO A FO")</f>
        <v>0</v>
      </c>
      <c r="AO6" s="10">
        <f>COUNTIFS(AO8:AO715, "=APAGADO",K8:K715,"=PTO A FO")</f>
        <v>0</v>
      </c>
      <c r="AP6" s="10">
        <f>COUNTIFS(AP8:AP715, "=APAGADO",K8:K715,"=PTO A FO")</f>
        <v>0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0</v>
      </c>
      <c r="AT6" s="10">
        <f>COUNTIFS(AT8:AT715, "=APAGADO",K8:K715,"=PTO A FO")</f>
        <v>0</v>
      </c>
      <c r="AU6" s="10">
        <f>COUNTIFS(AU8:AU715, "=APAGADO",L8:L715,"=PTO A FO")</f>
        <v>0</v>
      </c>
      <c r="AV6" s="10">
        <f>COUNTIFS(AV8:AV715, "=APAGADO",M8:M715,"=PTO A FO")</f>
        <v>0</v>
      </c>
      <c r="AW6" s="10">
        <f>COUNTIFS(AW8:AW715, "=APAGADO",N8:N715,"=PTO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28</v>
      </c>
      <c r="P13" s="136" t="s">
        <v>1629</v>
      </c>
      <c r="Q13" s="131">
        <f t="shared" si="6"/>
        <v>0</v>
      </c>
      <c r="R13" s="132">
        <f t="shared" si="7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28</v>
      </c>
      <c r="P14" s="136" t="s">
        <v>2098</v>
      </c>
      <c r="Q14" s="31">
        <f t="shared" si="6"/>
        <v>0</v>
      </c>
      <c r="R14" s="32">
        <f t="shared" si="7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28</v>
      </c>
      <c r="P15" s="136" t="s">
        <v>1620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28</v>
      </c>
      <c r="P16" s="136" t="s">
        <v>1621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28</v>
      </c>
      <c r="P17" s="136" t="s">
        <v>1624</v>
      </c>
      <c r="Q17" s="131">
        <f t="shared" si="6"/>
        <v>0</v>
      </c>
      <c r="R17" s="132">
        <f t="shared" si="7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28</v>
      </c>
      <c r="P18" s="136" t="s">
        <v>1626</v>
      </c>
      <c r="Q18" s="31">
        <f t="shared" si="6"/>
        <v>0</v>
      </c>
      <c r="R18" s="32">
        <f t="shared" si="7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28</v>
      </c>
      <c r="P19" s="136" t="s">
        <v>1630</v>
      </c>
      <c r="Q19" s="31">
        <f t="shared" si="6"/>
        <v>0</v>
      </c>
      <c r="R19" s="32">
        <f t="shared" si="7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28</v>
      </c>
      <c r="P20" s="136" t="s">
        <v>1631</v>
      </c>
      <c r="Q20" s="31">
        <f t="shared" si="6"/>
        <v>0</v>
      </c>
      <c r="R20" s="32">
        <f t="shared" si="7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28</v>
      </c>
      <c r="P24" s="136" t="s">
        <v>1640</v>
      </c>
      <c r="Q24" s="131">
        <f t="shared" si="6"/>
        <v>0</v>
      </c>
      <c r="R24" s="132">
        <f t="shared" si="7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27</v>
      </c>
      <c r="P25" s="136" t="s">
        <v>2099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2208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28</v>
      </c>
      <c r="P28" s="136" t="s">
        <v>2229</v>
      </c>
      <c r="Q28" s="131">
        <f t="shared" si="6"/>
        <v>0</v>
      </c>
      <c r="R28" s="132">
        <f t="shared" si="7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28</v>
      </c>
      <c r="P30" s="136" t="s">
        <v>1634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28</v>
      </c>
      <c r="P31" s="136" t="s">
        <v>1635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28</v>
      </c>
      <c r="P32" s="136" t="s">
        <v>1636</v>
      </c>
      <c r="Q32" s="31">
        <f t="shared" si="9"/>
        <v>0</v>
      </c>
      <c r="R32" s="32">
        <f t="shared" si="10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28</v>
      </c>
      <c r="P33" s="136" t="s">
        <v>1637</v>
      </c>
      <c r="Q33" s="31">
        <f t="shared" si="9"/>
        <v>0</v>
      </c>
      <c r="R33" s="32">
        <f t="shared" si="10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27</v>
      </c>
      <c r="P34" s="136" t="s">
        <v>1638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2208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28</v>
      </c>
      <c r="P36" s="136" t="s">
        <v>1642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28</v>
      </c>
      <c r="P37" s="136" t="s">
        <v>1643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28</v>
      </c>
      <c r="P38" s="136" t="s">
        <v>2104</v>
      </c>
      <c r="Q38" s="31">
        <f t="shared" si="9"/>
        <v>0</v>
      </c>
      <c r="R38" s="32">
        <f t="shared" si="10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28</v>
      </c>
      <c r="P39" s="136" t="s">
        <v>2128</v>
      </c>
      <c r="Q39" s="31">
        <f t="shared" si="9"/>
        <v>0</v>
      </c>
      <c r="R39" s="32">
        <f t="shared" si="10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28</v>
      </c>
      <c r="P40" s="136" t="s">
        <v>2129</v>
      </c>
      <c r="Q40" s="31">
        <f t="shared" si="9"/>
        <v>0</v>
      </c>
      <c r="R40" s="32">
        <f t="shared" si="10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28</v>
      </c>
      <c r="P41" s="136" t="s">
        <v>2130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27</v>
      </c>
      <c r="P42" s="136" t="s">
        <v>2172</v>
      </c>
      <c r="Q42" s="31">
        <f t="shared" si="9"/>
        <v>1</v>
      </c>
      <c r="R42" s="32">
        <f t="shared" si="10"/>
        <v>0.9642857142857143</v>
      </c>
      <c r="S42" s="70"/>
      <c r="T42" s="70"/>
      <c r="U42" s="70" t="s">
        <v>2208</v>
      </c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27</v>
      </c>
      <c r="P43" s="136" t="s">
        <v>2176</v>
      </c>
      <c r="Q43" s="31">
        <f t="shared" si="9"/>
        <v>1</v>
      </c>
      <c r="R43" s="32">
        <f t="shared" si="10"/>
        <v>0.9642857142857143</v>
      </c>
      <c r="S43" s="70"/>
      <c r="T43" s="70"/>
      <c r="U43" s="70" t="s">
        <v>2208</v>
      </c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27</v>
      </c>
      <c r="P44" s="136" t="s">
        <v>1648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2208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28</v>
      </c>
      <c r="P47" s="136" t="s">
        <v>1677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28</v>
      </c>
      <c r="P57" s="136" t="s">
        <v>1701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28</v>
      </c>
      <c r="P62" s="136" t="s">
        <v>1714</v>
      </c>
      <c r="Q62" s="131">
        <f t="shared" ref="Q62:Q93" si="12">COUNTIF(S62:AT62,"APAGADO")</f>
        <v>0</v>
      </c>
      <c r="R62" s="132">
        <f t="shared" ref="R62:R93" si="13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28</v>
      </c>
      <c r="P64" s="136" t="s">
        <v>1716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28</v>
      </c>
      <c r="P66" s="136" t="s">
        <v>1718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28</v>
      </c>
      <c r="P67" s="136" t="s">
        <v>1719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28</v>
      </c>
      <c r="P68" s="136" t="s">
        <v>1720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27</v>
      </c>
      <c r="P69" s="136" t="s">
        <v>1721</v>
      </c>
      <c r="Q69" s="131">
        <f t="shared" si="12"/>
        <v>1</v>
      </c>
      <c r="R69" s="132">
        <f t="shared" si="13"/>
        <v>0.9642857142857143</v>
      </c>
      <c r="S69" s="70"/>
      <c r="T69" s="70"/>
      <c r="U69" s="70" t="s">
        <v>2208</v>
      </c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27</v>
      </c>
      <c r="P70" s="136" t="s">
        <v>1723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2208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27</v>
      </c>
      <c r="P71" s="136" t="s">
        <v>1724</v>
      </c>
      <c r="Q71" s="31">
        <f t="shared" si="12"/>
        <v>1</v>
      </c>
      <c r="R71" s="32">
        <f t="shared" si="13"/>
        <v>0.9642857142857143</v>
      </c>
      <c r="S71" s="70"/>
      <c r="T71" s="70"/>
      <c r="U71" s="70" t="s">
        <v>2208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27</v>
      </c>
      <c r="P77" s="136" t="s">
        <v>2414</v>
      </c>
      <c r="Q77" s="31">
        <f t="shared" si="12"/>
        <v>1</v>
      </c>
      <c r="R77" s="32">
        <f t="shared" si="13"/>
        <v>0.9642857142857143</v>
      </c>
      <c r="S77" s="70"/>
      <c r="T77" s="70"/>
      <c r="U77" s="70" t="s">
        <v>2208</v>
      </c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27</v>
      </c>
      <c r="P84" s="136" t="s">
        <v>1656</v>
      </c>
      <c r="Q84" s="31">
        <f t="shared" si="12"/>
        <v>1</v>
      </c>
      <c r="R84" s="32">
        <f t="shared" si="13"/>
        <v>0.9642857142857143</v>
      </c>
      <c r="S84" s="70"/>
      <c r="T84" s="70"/>
      <c r="U84" s="70" t="s">
        <v>2208</v>
      </c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27</v>
      </c>
      <c r="P91" s="136" t="s">
        <v>2292</v>
      </c>
      <c r="Q91" s="31">
        <f t="shared" si="12"/>
        <v>1</v>
      </c>
      <c r="R91" s="32">
        <f t="shared" si="13"/>
        <v>0.9642857142857143</v>
      </c>
      <c r="S91" s="70"/>
      <c r="T91" s="70"/>
      <c r="U91" s="70" t="s">
        <v>2208</v>
      </c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28</v>
      </c>
      <c r="P98" s="136" t="s">
        <v>1668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28</v>
      </c>
      <c r="P101" s="136" t="s">
        <v>1671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28</v>
      </c>
      <c r="P104" s="136" t="s">
        <v>1674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28</v>
      </c>
      <c r="P105" s="136" t="s">
        <v>1675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28</v>
      </c>
      <c r="P108" s="136" t="s">
        <v>1679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27</v>
      </c>
      <c r="P110" s="136" t="s">
        <v>1681</v>
      </c>
      <c r="Q110" s="31">
        <f t="shared" si="15"/>
        <v>1</v>
      </c>
      <c r="R110" s="32">
        <f t="shared" si="16"/>
        <v>0.9642857142857143</v>
      </c>
      <c r="S110" s="70"/>
      <c r="T110" s="70"/>
      <c r="U110" s="70" t="s">
        <v>2208</v>
      </c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28</v>
      </c>
      <c r="P111" s="136" t="s">
        <v>1682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28</v>
      </c>
      <c r="P112" s="136" t="s">
        <v>1683</v>
      </c>
      <c r="Q112" s="31">
        <f t="shared" si="15"/>
        <v>0</v>
      </c>
      <c r="R112" s="32">
        <f t="shared" si="16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28</v>
      </c>
      <c r="P118" s="136" t="s">
        <v>1689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7">COUNTIF(S126:AT126,"")</f>
        <v>28</v>
      </c>
      <c r="P126" s="136" t="s">
        <v>1706</v>
      </c>
      <c r="Q126" s="131">
        <f t="shared" ref="Q126:Q151" si="18">COUNTIF(S126:AT126,"APAGADO")</f>
        <v>0</v>
      </c>
      <c r="R126" s="132">
        <f t="shared" ref="R126:R151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27</v>
      </c>
      <c r="P131" s="136" t="s">
        <v>1726</v>
      </c>
      <c r="Q131" s="131">
        <f t="shared" si="18"/>
        <v>1</v>
      </c>
      <c r="R131" s="132">
        <f t="shared" si="19"/>
        <v>0.9642857142857143</v>
      </c>
      <c r="S131" s="70"/>
      <c r="T131" s="70"/>
      <c r="U131" s="70" t="s">
        <v>2208</v>
      </c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27</v>
      </c>
      <c r="P138" s="136" t="s">
        <v>2131</v>
      </c>
      <c r="Q138" s="131">
        <f t="shared" si="18"/>
        <v>1</v>
      </c>
      <c r="R138" s="132">
        <f t="shared" si="19"/>
        <v>0.9642857142857143</v>
      </c>
      <c r="S138" s="70"/>
      <c r="T138" s="70"/>
      <c r="U138" s="70" t="s">
        <v>2208</v>
      </c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27</v>
      </c>
      <c r="P146" s="136" t="s">
        <v>1736</v>
      </c>
      <c r="Q146" s="31">
        <f t="shared" si="18"/>
        <v>1</v>
      </c>
      <c r="R146" s="32">
        <f t="shared" si="19"/>
        <v>0.9642857142857143</v>
      </c>
      <c r="S146" s="70"/>
      <c r="T146" s="70"/>
      <c r="U146" s="70" t="s">
        <v>2208</v>
      </c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ht="15.75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7"/>
        <v>27</v>
      </c>
      <c r="P148" s="136" t="s">
        <v>1738</v>
      </c>
      <c r="Q148" s="31">
        <f t="shared" si="18"/>
        <v>1</v>
      </c>
      <c r="R148" s="32">
        <f t="shared" si="19"/>
        <v>0.9642857142857143</v>
      </c>
      <c r="S148" s="70"/>
      <c r="T148" s="70"/>
      <c r="U148" s="70" t="s">
        <v>2208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7"/>
        <v>27</v>
      </c>
      <c r="P149" s="136" t="s">
        <v>1739</v>
      </c>
      <c r="Q149" s="31">
        <f t="shared" si="18"/>
        <v>1</v>
      </c>
      <c r="R149" s="32">
        <f t="shared" si="19"/>
        <v>0.9642857142857143</v>
      </c>
      <c r="S149" s="70"/>
      <c r="T149" s="70"/>
      <c r="U149" s="70" t="s">
        <v>2208</v>
      </c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7"/>
        <v>28</v>
      </c>
      <c r="P150" s="136" t="s">
        <v>1738</v>
      </c>
      <c r="Q150" s="31">
        <f t="shared" si="18"/>
        <v>0</v>
      </c>
      <c r="R150" s="32">
        <f t="shared" si="1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158"/>
    </row>
    <row r="151" spans="1:49" ht="15.75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7"/>
        <v>28</v>
      </c>
      <c r="P151" s="136" t="s">
        <v>1740</v>
      </c>
      <c r="Q151" s="31">
        <f t="shared" si="18"/>
        <v>0</v>
      </c>
      <c r="R151" s="32">
        <f t="shared" si="19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1:49" ht="15.75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158"/>
    </row>
    <row r="153" spans="1:49" ht="15.75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20">COUNTIF(S153:AT153,"")</f>
        <v>28</v>
      </c>
      <c r="P153" s="136" t="s">
        <v>2103</v>
      </c>
      <c r="Q153" s="131">
        <f t="shared" ref="Q153:Q186" si="21">COUNTIF(S153:AT153,"APAGADO")</f>
        <v>0</v>
      </c>
      <c r="R153" s="132">
        <f t="shared" ref="R153:R186" si="22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20"/>
        <v>28</v>
      </c>
      <c r="P154" s="136" t="s">
        <v>1744</v>
      </c>
      <c r="Q154" s="31">
        <f t="shared" si="21"/>
        <v>0</v>
      </c>
      <c r="R154" s="32">
        <f t="shared" si="22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20"/>
        <v>27</v>
      </c>
      <c r="P155" s="136" t="s">
        <v>2297</v>
      </c>
      <c r="Q155" s="31">
        <f t="shared" si="21"/>
        <v>1</v>
      </c>
      <c r="R155" s="32">
        <f t="shared" si="22"/>
        <v>0.9642857142857143</v>
      </c>
      <c r="S155" s="70"/>
      <c r="T155" s="70"/>
      <c r="U155" s="70" t="s">
        <v>2208</v>
      </c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20"/>
        <v>28</v>
      </c>
      <c r="P156" s="136" t="s">
        <v>2298</v>
      </c>
      <c r="Q156" s="31">
        <f t="shared" si="21"/>
        <v>0</v>
      </c>
      <c r="R156" s="32">
        <f t="shared" si="22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  <c r="AW156" s="158"/>
    </row>
    <row r="157" spans="1:49" ht="15.75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20"/>
        <v>28</v>
      </c>
      <c r="P158" s="136" t="s">
        <v>1743</v>
      </c>
      <c r="Q158" s="31">
        <f t="shared" si="21"/>
        <v>0</v>
      </c>
      <c r="R158" s="32">
        <f t="shared" si="22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58"/>
    </row>
    <row r="159" spans="1:49" ht="15.75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20"/>
        <v>28</v>
      </c>
      <c r="P160" s="136" t="s">
        <v>1742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s="88" customFormat="1" ht="15.75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20"/>
        <v>28</v>
      </c>
      <c r="P161" s="136" t="s">
        <v>2295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158"/>
    </row>
    <row r="162" spans="1:49" s="88" customFormat="1" ht="16.149999999999999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20"/>
        <v>28</v>
      </c>
      <c r="P162" s="136" t="s">
        <v>2296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20"/>
        <v>28</v>
      </c>
      <c r="P163" s="136" t="s">
        <v>2294</v>
      </c>
      <c r="Q163" s="85">
        <f t="shared" si="21"/>
        <v>0</v>
      </c>
      <c r="R163" s="130">
        <f t="shared" si="22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20"/>
        <v>28</v>
      </c>
      <c r="P164" s="136" t="s">
        <v>1746</v>
      </c>
      <c r="Q164" s="131">
        <f t="shared" si="21"/>
        <v>0</v>
      </c>
      <c r="R164" s="132">
        <f t="shared" si="22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158"/>
    </row>
    <row r="165" spans="1:49" s="73" customFormat="1" ht="15.75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20"/>
        <v>28</v>
      </c>
      <c r="P165" s="136" t="s">
        <v>2299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20"/>
        <v>28</v>
      </c>
      <c r="P166" s="136" t="s">
        <v>1745</v>
      </c>
      <c r="Q166" s="131">
        <f t="shared" si="21"/>
        <v>0</v>
      </c>
      <c r="R166" s="132">
        <f t="shared" si="2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20"/>
        <v>28</v>
      </c>
      <c r="P167" s="136" t="s">
        <v>1747</v>
      </c>
      <c r="Q167" s="31">
        <f t="shared" si="21"/>
        <v>0</v>
      </c>
      <c r="R167" s="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20"/>
        <v>28</v>
      </c>
      <c r="P168" s="136" t="s">
        <v>1748</v>
      </c>
      <c r="Q168" s="31">
        <f t="shared" si="21"/>
        <v>0</v>
      </c>
      <c r="R168" s="32">
        <f t="shared" si="2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20"/>
        <v>27</v>
      </c>
      <c r="P169" s="136" t="s">
        <v>1749</v>
      </c>
      <c r="Q169" s="31">
        <f t="shared" si="21"/>
        <v>1</v>
      </c>
      <c r="R169" s="32">
        <f t="shared" si="22"/>
        <v>0.9642857142857143</v>
      </c>
      <c r="S169" s="70"/>
      <c r="T169" s="70"/>
      <c r="U169" s="70" t="s">
        <v>2208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20"/>
        <v>28</v>
      </c>
      <c r="P170" s="136" t="s">
        <v>1750</v>
      </c>
      <c r="Q170" s="31">
        <f t="shared" si="21"/>
        <v>0</v>
      </c>
      <c r="R170" s="32">
        <f t="shared" si="2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20"/>
        <v>28</v>
      </c>
      <c r="P171" s="136" t="s">
        <v>1751</v>
      </c>
      <c r="Q171" s="31">
        <f t="shared" si="21"/>
        <v>0</v>
      </c>
      <c r="R171" s="32">
        <f t="shared" si="2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20"/>
        <v>27</v>
      </c>
      <c r="P172" s="140" t="s">
        <v>1752</v>
      </c>
      <c r="Q172" s="139">
        <f t="shared" si="21"/>
        <v>1</v>
      </c>
      <c r="R172" s="141">
        <f t="shared" si="22"/>
        <v>0.9642857142857143</v>
      </c>
      <c r="S172" s="70"/>
      <c r="T172" s="70"/>
      <c r="U172" s="70" t="s">
        <v>2208</v>
      </c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70"/>
      <c r="AW172" s="70"/>
    </row>
    <row r="173" spans="1:49" s="69" customFormat="1" ht="15" customHeight="1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158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20"/>
        <v>28</v>
      </c>
      <c r="P174" s="136" t="s">
        <v>2362</v>
      </c>
      <c r="Q174" s="31">
        <f t="shared" si="21"/>
        <v>0</v>
      </c>
      <c r="R174" s="32">
        <f t="shared" si="2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thickBot="1" x14ac:dyDescent="0.3">
      <c r="A175"/>
      <c r="B175"/>
      <c r="C175"/>
      <c r="D175"/>
      <c r="E175" s="149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20"/>
        <v>28</v>
      </c>
      <c r="P175" s="136" t="s">
        <v>1764</v>
      </c>
      <c r="Q175" s="31">
        <f t="shared" si="21"/>
        <v>0</v>
      </c>
      <c r="R175" s="32">
        <f t="shared" si="2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 s="158"/>
    </row>
    <row r="176" spans="1:49" s="69" customFormat="1" ht="15.75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20"/>
        <v>28</v>
      </c>
      <c r="P176" s="136" t="s">
        <v>2433</v>
      </c>
      <c r="Q176" s="31">
        <f t="shared" si="21"/>
        <v>0</v>
      </c>
      <c r="R176" s="32">
        <f t="shared" si="2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20"/>
        <v>28</v>
      </c>
      <c r="P177" s="136" t="s">
        <v>1765</v>
      </c>
      <c r="Q177" s="31">
        <f t="shared" si="21"/>
        <v>0</v>
      </c>
      <c r="R177" s="32">
        <f t="shared" si="2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58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20"/>
        <v>28</v>
      </c>
      <c r="P178" s="136" t="s">
        <v>1766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20"/>
        <v>28</v>
      </c>
      <c r="P179" s="136" t="s">
        <v>2363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20"/>
        <v>28</v>
      </c>
      <c r="P180" s="136" t="s">
        <v>1767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20"/>
        <v>28</v>
      </c>
      <c r="P181" s="136" t="s">
        <v>2364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20"/>
        <v>27</v>
      </c>
      <c r="P182" s="136" t="s">
        <v>1753</v>
      </c>
      <c r="Q182" s="31">
        <f t="shared" si="21"/>
        <v>1</v>
      </c>
      <c r="R182" s="32">
        <f t="shared" si="22"/>
        <v>0.9642857142857143</v>
      </c>
      <c r="S182" s="70"/>
      <c r="T182" s="70"/>
      <c r="U182" s="70" t="s">
        <v>2208</v>
      </c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</row>
    <row r="183" spans="1:49" ht="15.75" thickBot="1" x14ac:dyDescent="0.3">
      <c r="A183"/>
      <c r="B183"/>
      <c r="C183"/>
      <c r="D183"/>
      <c r="E183" s="149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20"/>
        <v>28</v>
      </c>
      <c r="P183" s="136" t="s">
        <v>1754</v>
      </c>
      <c r="Q183" s="31">
        <f t="shared" si="21"/>
        <v>0</v>
      </c>
      <c r="R183" s="32">
        <f t="shared" si="2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158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20"/>
        <v>28</v>
      </c>
      <c r="P184" s="136" t="s">
        <v>1755</v>
      </c>
      <c r="Q184" s="31">
        <f t="shared" si="21"/>
        <v>0</v>
      </c>
      <c r="R184" s="32">
        <f t="shared" si="2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58"/>
    </row>
    <row r="185" spans="1:49" ht="15.75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20"/>
        <v>28</v>
      </c>
      <c r="P185" s="136" t="s">
        <v>1756</v>
      </c>
      <c r="Q185" s="31">
        <f t="shared" si="21"/>
        <v>0</v>
      </c>
      <c r="R185" s="32">
        <f t="shared" si="2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20"/>
        <v>28</v>
      </c>
      <c r="P186" s="136" t="s">
        <v>1757</v>
      </c>
      <c r="Q186" s="31">
        <f t="shared" si="21"/>
        <v>0</v>
      </c>
      <c r="R186" s="32">
        <f t="shared" si="2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158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3">COUNTIF(S187:AT187,"")</f>
        <v>28</v>
      </c>
      <c r="P187" s="136" t="s">
        <v>1758</v>
      </c>
      <c r="Q187" s="131">
        <f t="shared" ref="Q187:Q207" si="24">COUNTIF(S187:AT187,"APAGADO")</f>
        <v>0</v>
      </c>
      <c r="R187" s="132">
        <f t="shared" ref="R187:R207" si="25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thickBot="1" x14ac:dyDescent="0.3">
      <c r="A188"/>
      <c r="B188"/>
      <c r="C188"/>
      <c r="D188"/>
      <c r="E188" s="149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3"/>
        <v>28</v>
      </c>
      <c r="P188" s="136" t="s">
        <v>1759</v>
      </c>
      <c r="Q188" s="31">
        <f t="shared" si="24"/>
        <v>0</v>
      </c>
      <c r="R188" s="32">
        <f t="shared" si="25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3"/>
        <v>28</v>
      </c>
      <c r="P189" s="136" t="s">
        <v>1760</v>
      </c>
      <c r="Q189" s="31">
        <f t="shared" si="24"/>
        <v>0</v>
      </c>
      <c r="R189" s="32">
        <f t="shared" si="25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3"/>
        <v>28</v>
      </c>
      <c r="P190" s="136" t="s">
        <v>1761</v>
      </c>
      <c r="Q190" s="31">
        <f t="shared" si="24"/>
        <v>0</v>
      </c>
      <c r="R190" s="32">
        <f t="shared" si="25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thickBot="1" x14ac:dyDescent="0.3">
      <c r="A191"/>
      <c r="B191"/>
      <c r="C191"/>
      <c r="D191"/>
      <c r="E191" s="149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3"/>
        <v>28</v>
      </c>
      <c r="P191" s="136" t="s">
        <v>1762</v>
      </c>
      <c r="Q191" s="31">
        <f t="shared" si="24"/>
        <v>0</v>
      </c>
      <c r="R191" s="32">
        <f t="shared" si="25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  <c r="AW191" s="158"/>
    </row>
    <row r="192" spans="1:49" ht="15.75" thickBot="1" x14ac:dyDescent="0.3">
      <c r="A192"/>
      <c r="B192"/>
      <c r="C192"/>
      <c r="D192"/>
      <c r="E192" s="149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3"/>
        <v>28</v>
      </c>
      <c r="P192" s="136" t="s">
        <v>1763</v>
      </c>
      <c r="Q192" s="31">
        <f t="shared" si="24"/>
        <v>0</v>
      </c>
      <c r="R192" s="32">
        <f t="shared" si="25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3"/>
        <v>28</v>
      </c>
      <c r="P193" s="136" t="s">
        <v>2112</v>
      </c>
      <c r="Q193" s="31">
        <f t="shared" si="24"/>
        <v>0</v>
      </c>
      <c r="R193" s="32">
        <f t="shared" si="25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58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3"/>
        <v>28</v>
      </c>
      <c r="P194" s="136" t="s">
        <v>2112</v>
      </c>
      <c r="Q194" s="31">
        <f t="shared" si="24"/>
        <v>0</v>
      </c>
      <c r="R194" s="32">
        <f t="shared" si="25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3"/>
        <v>28</v>
      </c>
      <c r="P195" s="136" t="s">
        <v>1768</v>
      </c>
      <c r="Q195" s="31">
        <f t="shared" si="24"/>
        <v>0</v>
      </c>
      <c r="R195" s="32">
        <f t="shared" si="25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3"/>
        <v>28</v>
      </c>
      <c r="P196" s="136" t="s">
        <v>1769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3"/>
        <v>28</v>
      </c>
      <c r="P197" s="136" t="s">
        <v>1770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thickBot="1" x14ac:dyDescent="0.3">
      <c r="A198" s="69"/>
      <c r="B198" s="69"/>
      <c r="C198" s="69"/>
      <c r="D198" s="69"/>
      <c r="E198" s="150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3"/>
        <v>27</v>
      </c>
      <c r="P198" s="140"/>
      <c r="Q198" s="139">
        <f t="shared" si="24"/>
        <v>1</v>
      </c>
      <c r="R198" s="141">
        <f t="shared" si="25"/>
        <v>0.9642857142857143</v>
      </c>
      <c r="S198" s="70"/>
      <c r="T198" s="70"/>
      <c r="U198" s="70" t="s">
        <v>2208</v>
      </c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70"/>
      <c r="AW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3"/>
        <v>28</v>
      </c>
      <c r="P199" s="136" t="s">
        <v>1776</v>
      </c>
      <c r="Q199" s="131">
        <f t="shared" si="24"/>
        <v>0</v>
      </c>
      <c r="R199" s="1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58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3"/>
        <v>28</v>
      </c>
      <c r="P200" s="136" t="s">
        <v>1779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s="69" customFormat="1" ht="15.75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3"/>
        <v>28</v>
      </c>
      <c r="P201" s="136" t="s">
        <v>1781</v>
      </c>
      <c r="Q201" s="31">
        <f t="shared" si="24"/>
        <v>0</v>
      </c>
      <c r="R201" s="32">
        <f t="shared" si="25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73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3"/>
        <v>28</v>
      </c>
      <c r="P202" s="136" t="s">
        <v>1782</v>
      </c>
      <c r="Q202" s="31">
        <f t="shared" si="24"/>
        <v>0</v>
      </c>
      <c r="R202" s="32">
        <f t="shared" si="25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3"/>
        <v>28</v>
      </c>
      <c r="P203" s="136" t="s">
        <v>1783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3"/>
        <v>28</v>
      </c>
      <c r="P204" s="136" t="s">
        <v>1784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3"/>
        <v>28</v>
      </c>
      <c r="P205" s="136" t="s">
        <v>1785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3"/>
        <v>28</v>
      </c>
      <c r="P206" s="136" t="s">
        <v>1645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thickBot="1" x14ac:dyDescent="0.3">
      <c r="A207"/>
      <c r="B207"/>
      <c r="C207"/>
      <c r="D207"/>
      <c r="E207" s="149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3"/>
        <v>28</v>
      </c>
      <c r="P207" s="136" t="s">
        <v>1786</v>
      </c>
      <c r="Q207" s="131">
        <f t="shared" si="24"/>
        <v>0</v>
      </c>
      <c r="R207" s="1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s="73" customFormat="1" ht="15.75" thickBot="1" x14ac:dyDescent="0.3">
      <c r="A208"/>
      <c r="B208"/>
      <c r="C208"/>
      <c r="D208"/>
      <c r="E208" s="149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ht="15.75" thickBot="1" x14ac:dyDescent="0.3">
      <c r="A209"/>
      <c r="B209"/>
      <c r="C209"/>
      <c r="D209"/>
      <c r="E209" s="149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6">COUNTIF(S209:AT209,"")</f>
        <v>28</v>
      </c>
      <c r="P209" s="136" t="s">
        <v>1771</v>
      </c>
      <c r="Q209" s="131">
        <f t="shared" ref="Q209:Q240" si="27">COUNTIF(S209:AT209,"APAGADO")</f>
        <v>0</v>
      </c>
      <c r="R209" s="132">
        <f t="shared" ref="R209:R240" si="28">(O209)/(Q209+O209)</f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thickBot="1" x14ac:dyDescent="0.3">
      <c r="A210"/>
      <c r="B210"/>
      <c r="C210"/>
      <c r="D210"/>
      <c r="E210" s="149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6"/>
        <v>28</v>
      </c>
      <c r="P210" s="136" t="s">
        <v>1772</v>
      </c>
      <c r="Q210" s="131">
        <f t="shared" si="27"/>
        <v>0</v>
      </c>
      <c r="R210" s="132">
        <f t="shared" si="28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  <c r="AW210" s="158"/>
    </row>
    <row r="211" spans="1:49" s="73" customFormat="1" ht="15.75" thickBot="1" x14ac:dyDescent="0.3">
      <c r="A211"/>
      <c r="B211"/>
      <c r="C211"/>
      <c r="D211"/>
      <c r="E211" s="149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6"/>
        <v>28</v>
      </c>
      <c r="P211" s="136" t="s">
        <v>1773</v>
      </c>
      <c r="Q211" s="31">
        <f t="shared" si="27"/>
        <v>0</v>
      </c>
      <c r="R211" s="32">
        <f t="shared" si="28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58"/>
    </row>
    <row r="212" spans="1:49" ht="15.75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6"/>
        <v>28</v>
      </c>
      <c r="P212" s="136" t="s">
        <v>1774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158"/>
    </row>
    <row r="213" spans="1:49" ht="15.75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6"/>
        <v>28</v>
      </c>
      <c r="P213" s="136" t="s">
        <v>1775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158"/>
    </row>
    <row r="214" spans="1:49" ht="15.75" thickBot="1" x14ac:dyDescent="0.3">
      <c r="A214"/>
      <c r="B214"/>
      <c r="C214"/>
      <c r="D214"/>
      <c r="E214" s="149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6"/>
        <v>28</v>
      </c>
      <c r="P214" s="136" t="s">
        <v>2365</v>
      </c>
      <c r="Q214" s="31">
        <f t="shared" si="27"/>
        <v>0</v>
      </c>
      <c r="R214" s="32">
        <f t="shared" si="28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  <c r="AW214" s="158"/>
    </row>
    <row r="215" spans="1:49" ht="15.75" thickBot="1" x14ac:dyDescent="0.3">
      <c r="E215" s="149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6"/>
        <v>27</v>
      </c>
      <c r="P215" s="136" t="s">
        <v>1777</v>
      </c>
      <c r="Q215" s="31">
        <f t="shared" si="27"/>
        <v>1</v>
      </c>
      <c r="R215" s="32">
        <f t="shared" si="28"/>
        <v>0.9642857142857143</v>
      </c>
      <c r="S215" s="70"/>
      <c r="T215" s="70"/>
      <c r="U215" s="70" t="s">
        <v>2208</v>
      </c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  <c r="AW215" s="158"/>
    </row>
    <row r="216" spans="1:49" ht="15.75" thickBot="1" x14ac:dyDescent="0.3">
      <c r="A216"/>
      <c r="B216"/>
      <c r="C216"/>
      <c r="D216"/>
      <c r="E216" s="149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6"/>
        <v>28</v>
      </c>
      <c r="P216" s="136" t="s">
        <v>1778</v>
      </c>
      <c r="Q216" s="31">
        <f t="shared" si="27"/>
        <v>0</v>
      </c>
      <c r="R216" s="32">
        <f t="shared" si="28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158"/>
    </row>
    <row r="217" spans="1:49" ht="15.75" thickBot="1" x14ac:dyDescent="0.3">
      <c r="A217"/>
      <c r="B217"/>
      <c r="C217"/>
      <c r="D217"/>
      <c r="E217" s="149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6"/>
        <v>28</v>
      </c>
      <c r="P217" s="136" t="s">
        <v>1780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thickBot="1" x14ac:dyDescent="0.3">
      <c r="A218"/>
      <c r="B218"/>
      <c r="C218"/>
      <c r="D218"/>
      <c r="E218" s="149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6"/>
        <v>28</v>
      </c>
      <c r="P218" s="136" t="s">
        <v>1787</v>
      </c>
      <c r="Q218" s="131">
        <f t="shared" si="27"/>
        <v>0</v>
      </c>
      <c r="R218" s="1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s="73" customFormat="1" ht="15.75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6"/>
        <v>28</v>
      </c>
      <c r="P219" s="136" t="s">
        <v>2147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6"/>
        <v>27</v>
      </c>
      <c r="P220" s="136" t="s">
        <v>1788</v>
      </c>
      <c r="Q220" s="31">
        <f t="shared" si="27"/>
        <v>1</v>
      </c>
      <c r="R220" s="32">
        <f t="shared" si="28"/>
        <v>0.9642857142857143</v>
      </c>
      <c r="S220" s="70"/>
      <c r="T220" s="70"/>
      <c r="U220" s="70" t="s">
        <v>2208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 s="7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6"/>
        <v>28</v>
      </c>
      <c r="P221" s="136" t="s">
        <v>1789</v>
      </c>
      <c r="Q221" s="131">
        <f t="shared" si="27"/>
        <v>0</v>
      </c>
      <c r="R221" s="132">
        <f t="shared" si="28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58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6"/>
        <v>28</v>
      </c>
      <c r="P222" s="136" t="s">
        <v>1790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6"/>
        <v>28</v>
      </c>
      <c r="P223" s="136" t="s">
        <v>1791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6"/>
        <v>28</v>
      </c>
      <c r="P224" s="136" t="s">
        <v>2199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6"/>
        <v>28</v>
      </c>
      <c r="P225" s="136" t="s">
        <v>2366</v>
      </c>
      <c r="Q225" s="31">
        <f t="shared" si="27"/>
        <v>0</v>
      </c>
      <c r="R225" s="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6"/>
        <v>28</v>
      </c>
      <c r="P226" s="136" t="s">
        <v>2367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6"/>
        <v>28</v>
      </c>
      <c r="P227" s="136" t="s">
        <v>1792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6"/>
        <v>28</v>
      </c>
      <c r="P228" s="136" t="s">
        <v>1793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58"/>
    </row>
    <row r="229" spans="1:49" ht="15.75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6"/>
        <v>28</v>
      </c>
      <c r="P229" s="136" t="s">
        <v>1794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6"/>
        <v>28</v>
      </c>
      <c r="P230" s="136" t="s">
        <v>1795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6"/>
        <v>27</v>
      </c>
      <c r="P231" s="136" t="s">
        <v>1796</v>
      </c>
      <c r="Q231" s="131">
        <f t="shared" si="27"/>
        <v>1</v>
      </c>
      <c r="R231" s="132">
        <f t="shared" si="28"/>
        <v>0.9642857142857143</v>
      </c>
      <c r="S231" s="70"/>
      <c r="T231" s="70"/>
      <c r="U231" s="70" t="s">
        <v>2208</v>
      </c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6"/>
        <v>28</v>
      </c>
      <c r="P232" s="136" t="s">
        <v>1797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58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6"/>
        <v>28</v>
      </c>
      <c r="P233" s="136" t="s">
        <v>2415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6"/>
        <v>28</v>
      </c>
      <c r="P234" s="136" t="s">
        <v>2212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6"/>
        <v>28</v>
      </c>
      <c r="P235" s="136" t="s">
        <v>1798</v>
      </c>
      <c r="Q235" s="131">
        <f t="shared" si="27"/>
        <v>0</v>
      </c>
      <c r="R235" s="132">
        <f t="shared" si="28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158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6"/>
        <v>28</v>
      </c>
      <c r="P236" s="136" t="s">
        <v>2467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 s="158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6"/>
        <v>28</v>
      </c>
      <c r="P237" s="136" t="s">
        <v>1799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158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6"/>
        <v>28</v>
      </c>
      <c r="P238" s="136" t="s">
        <v>2206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5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6"/>
        <v>28</v>
      </c>
      <c r="P239" s="136" t="s">
        <v>1800</v>
      </c>
      <c r="Q239" s="31">
        <f t="shared" si="27"/>
        <v>0</v>
      </c>
      <c r="R239" s="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6"/>
        <v>28</v>
      </c>
      <c r="P240" s="136" t="s">
        <v>1801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9">COUNTIF(S241:AT241,"")</f>
        <v>28</v>
      </c>
      <c r="P241" s="136" t="s">
        <v>1802</v>
      </c>
      <c r="Q241" s="31">
        <f t="shared" ref="Q241:Q265" si="30">COUNTIF(S241:AT241,"APAGADO")</f>
        <v>0</v>
      </c>
      <c r="R241" s="32">
        <f t="shared" ref="R241:R265" si="31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9"/>
        <v>28</v>
      </c>
      <c r="P242" s="136" t="s">
        <v>1803</v>
      </c>
      <c r="Q242" s="31">
        <f t="shared" si="30"/>
        <v>0</v>
      </c>
      <c r="R242" s="32">
        <f t="shared" si="31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9"/>
        <v>28</v>
      </c>
      <c r="P243" s="136" t="s">
        <v>1804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9"/>
        <v>28</v>
      </c>
      <c r="P244" s="136" t="s">
        <v>1805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9"/>
        <v>28</v>
      </c>
      <c r="P245" s="136" t="s">
        <v>1806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9"/>
        <v>28</v>
      </c>
      <c r="P246" s="136" t="s">
        <v>1807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9"/>
        <v>27</v>
      </c>
      <c r="P247" s="136" t="s">
        <v>1808</v>
      </c>
      <c r="Q247" s="31">
        <f t="shared" si="30"/>
        <v>1</v>
      </c>
      <c r="R247" s="32">
        <f t="shared" si="31"/>
        <v>0.9642857142857143</v>
      </c>
      <c r="S247" s="70"/>
      <c r="T247" s="70"/>
      <c r="U247" s="70" t="s">
        <v>2208</v>
      </c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9"/>
        <v>28</v>
      </c>
      <c r="P248" s="136" t="s">
        <v>1809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9"/>
        <v>28</v>
      </c>
      <c r="P249" s="136" t="s">
        <v>1810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9"/>
        <v>28</v>
      </c>
      <c r="P250" s="136" t="s">
        <v>1811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9"/>
        <v>28</v>
      </c>
      <c r="P251" s="136" t="s">
        <v>1812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9"/>
        <v>28</v>
      </c>
      <c r="P252" s="136" t="s">
        <v>1813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9"/>
        <v>27</v>
      </c>
      <c r="P253" s="136" t="s">
        <v>1814</v>
      </c>
      <c r="Q253" s="31">
        <f t="shared" si="30"/>
        <v>1</v>
      </c>
      <c r="R253" s="32">
        <f t="shared" si="31"/>
        <v>0.9642857142857143</v>
      </c>
      <c r="S253" s="70"/>
      <c r="T253" s="70"/>
      <c r="U253" s="70" t="s">
        <v>2208</v>
      </c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9"/>
        <v>28</v>
      </c>
      <c r="P254" s="136" t="s">
        <v>2291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  <c r="AW254" s="158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9"/>
        <v>27</v>
      </c>
      <c r="P255" s="136" t="s">
        <v>1771</v>
      </c>
      <c r="Q255" s="31">
        <f t="shared" si="30"/>
        <v>1</v>
      </c>
      <c r="R255" s="32">
        <f t="shared" si="31"/>
        <v>0.9642857142857143</v>
      </c>
      <c r="S255" s="70"/>
      <c r="T255" s="70"/>
      <c r="U255" s="70" t="s">
        <v>2208</v>
      </c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</row>
    <row r="256" spans="1:49" ht="15.75" thickBot="1" x14ac:dyDescent="0.3">
      <c r="A256" s="69"/>
      <c r="B256" s="69"/>
      <c r="C256" s="69"/>
      <c r="D256" s="69"/>
      <c r="E256" s="150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9"/>
        <v>27</v>
      </c>
      <c r="P256" s="140" t="s">
        <v>1815</v>
      </c>
      <c r="Q256" s="139">
        <f t="shared" si="30"/>
        <v>1</v>
      </c>
      <c r="R256" s="141">
        <f t="shared" si="31"/>
        <v>0.9642857142857143</v>
      </c>
      <c r="S256" s="70"/>
      <c r="T256" s="70"/>
      <c r="U256" s="70" t="s">
        <v>2208</v>
      </c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 s="70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9"/>
        <v>27</v>
      </c>
      <c r="P257" s="140" t="s">
        <v>2222</v>
      </c>
      <c r="Q257" s="139">
        <f t="shared" si="30"/>
        <v>1</v>
      </c>
      <c r="R257" s="141">
        <f t="shared" si="31"/>
        <v>0.9642857142857143</v>
      </c>
      <c r="S257" s="70"/>
      <c r="T257" s="70"/>
      <c r="U257" s="70" t="s">
        <v>2208</v>
      </c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9"/>
        <v>28</v>
      </c>
      <c r="P258" s="136" t="s">
        <v>2380</v>
      </c>
      <c r="Q258" s="31">
        <f t="shared" si="30"/>
        <v>0</v>
      </c>
      <c r="R258" s="32">
        <f t="shared" si="31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158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9"/>
        <v>28</v>
      </c>
      <c r="P259" s="136" t="s">
        <v>2381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9"/>
        <v>28</v>
      </c>
      <c r="P260" s="136" t="s">
        <v>2151</v>
      </c>
      <c r="Q260" s="131">
        <f t="shared" si="30"/>
        <v>0</v>
      </c>
      <c r="R260" s="1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ht="15.75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9"/>
        <v>28</v>
      </c>
      <c r="P261" s="136" t="s">
        <v>2153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9"/>
        <v>28</v>
      </c>
      <c r="P263" s="136" t="s">
        <v>2382</v>
      </c>
      <c r="Q263" s="31">
        <f t="shared" si="30"/>
        <v>0</v>
      </c>
      <c r="R263" s="32">
        <f t="shared" si="31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9"/>
        <v>28</v>
      </c>
      <c r="P264" s="136" t="s">
        <v>1816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9"/>
        <v>28</v>
      </c>
      <c r="P265" s="136" t="s">
        <v>1817</v>
      </c>
      <c r="Q265" s="31">
        <f t="shared" si="30"/>
        <v>0</v>
      </c>
      <c r="R265" s="32">
        <f t="shared" si="31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2">COUNTIF(S268:AT268,"")</f>
        <v>28</v>
      </c>
      <c r="P268" s="136" t="s">
        <v>1818</v>
      </c>
      <c r="Q268" s="131">
        <f t="shared" ref="Q268:Q335" si="33">COUNTIF(S268:AT268,"APAGADO")</f>
        <v>0</v>
      </c>
      <c r="R268" s="132">
        <f t="shared" ref="R268:R335" si="34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s="73" customFormat="1" ht="15.75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2"/>
        <v>28</v>
      </c>
      <c r="P269" s="136" t="s">
        <v>1819</v>
      </c>
      <c r="Q269" s="131">
        <f t="shared" si="33"/>
        <v>0</v>
      </c>
      <c r="R269" s="132">
        <f t="shared" si="34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2"/>
        <v>28</v>
      </c>
      <c r="P270" s="136" t="s">
        <v>1820</v>
      </c>
      <c r="Q270" s="31">
        <f t="shared" si="33"/>
        <v>0</v>
      </c>
      <c r="R270" s="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ht="15.75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2"/>
        <v>28</v>
      </c>
      <c r="P271" s="136" t="s">
        <v>2384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3.5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2"/>
        <v>28</v>
      </c>
      <c r="P272" s="136" t="s">
        <v>1821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  <c r="AW272" s="70"/>
    </row>
    <row r="273" spans="1:49" ht="14.25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2"/>
        <v>27</v>
      </c>
      <c r="P273" s="136" t="s">
        <v>1822</v>
      </c>
      <c r="Q273" s="31">
        <f t="shared" si="33"/>
        <v>1</v>
      </c>
      <c r="R273" s="32">
        <f t="shared" si="34"/>
        <v>0.9642857142857143</v>
      </c>
      <c r="S273" s="70"/>
      <c r="T273" s="70"/>
      <c r="U273" s="70" t="s">
        <v>2208</v>
      </c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</row>
    <row r="274" spans="1:49" ht="15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2"/>
        <v>28</v>
      </c>
      <c r="P274" s="136" t="s">
        <v>1823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58"/>
    </row>
    <row r="275" spans="1:49" s="73" customFormat="1" ht="15.75" thickBot="1" x14ac:dyDescent="0.3">
      <c r="A275"/>
      <c r="B275"/>
      <c r="C275"/>
      <c r="D275"/>
      <c r="E275" s="149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2"/>
        <v>28</v>
      </c>
      <c r="P275" s="136" t="s">
        <v>1825</v>
      </c>
      <c r="Q275" s="31">
        <f t="shared" si="33"/>
        <v>0</v>
      </c>
      <c r="R275" s="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ht="15.75" thickBot="1" x14ac:dyDescent="0.3">
      <c r="A276"/>
      <c r="B276"/>
      <c r="C276"/>
      <c r="D276"/>
      <c r="E276" s="149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2"/>
        <v>28</v>
      </c>
      <c r="P276" s="136" t="s">
        <v>1826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2"/>
        <v>28</v>
      </c>
      <c r="P277" s="136" t="s">
        <v>1828</v>
      </c>
      <c r="Q277" s="131">
        <f t="shared" si="33"/>
        <v>0</v>
      </c>
      <c r="R277" s="1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2"/>
        <v>28</v>
      </c>
      <c r="P278" s="136" t="s">
        <v>1829</v>
      </c>
      <c r="Q278" s="31">
        <f t="shared" si="33"/>
        <v>0</v>
      </c>
      <c r="R278" s="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2"/>
        <v>28</v>
      </c>
      <c r="P279" s="136" t="s">
        <v>1824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2"/>
        <v>28</v>
      </c>
      <c r="P280" s="136" t="s">
        <v>1812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s="73" customFormat="1" ht="15.75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2"/>
        <v>27</v>
      </c>
      <c r="P281" s="136" t="s">
        <v>1827</v>
      </c>
      <c r="Q281" s="31">
        <f t="shared" si="33"/>
        <v>1</v>
      </c>
      <c r="R281" s="32">
        <f t="shared" si="34"/>
        <v>0.9642857142857143</v>
      </c>
      <c r="S281" s="70"/>
      <c r="T281" s="70"/>
      <c r="U281" s="70" t="s">
        <v>2208</v>
      </c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ht="15.75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2"/>
        <v>28</v>
      </c>
      <c r="P282" s="136" t="s">
        <v>1830</v>
      </c>
      <c r="Q282" s="31">
        <f t="shared" si="33"/>
        <v>0</v>
      </c>
      <c r="R282" s="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2"/>
        <v>28</v>
      </c>
      <c r="P283" s="136" t="s">
        <v>1831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158"/>
    </row>
    <row r="284" spans="1:49" ht="15.75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2"/>
        <v>28</v>
      </c>
      <c r="P284" s="136" t="s">
        <v>1832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58"/>
    </row>
    <row r="285" spans="1:49" ht="15.75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2"/>
        <v>28</v>
      </c>
      <c r="P285" s="136" t="s">
        <v>1833</v>
      </c>
      <c r="Q285" s="131">
        <f t="shared" si="33"/>
        <v>0</v>
      </c>
      <c r="R285" s="1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s="73" customFormat="1" ht="15.75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2"/>
        <v>28</v>
      </c>
      <c r="P286" s="136" t="s">
        <v>1834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2"/>
        <v>28</v>
      </c>
      <c r="P287" s="136" t="s">
        <v>1835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 t="s">
        <v>2208</v>
      </c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2"/>
        <v>28</v>
      </c>
      <c r="P290" s="136" t="s">
        <v>1836</v>
      </c>
      <c r="Q290" s="31">
        <f t="shared" si="33"/>
        <v>0</v>
      </c>
      <c r="R290" s="32">
        <f t="shared" si="34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129"/>
      <c r="AW290" s="158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2"/>
        <v>28</v>
      </c>
      <c r="P291" s="136" t="s">
        <v>1842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58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2"/>
        <v>28</v>
      </c>
      <c r="P292" s="136" t="s">
        <v>1837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2"/>
        <v>28</v>
      </c>
      <c r="P293" s="136" t="s">
        <v>1838</v>
      </c>
      <c r="Q293" s="31">
        <f t="shared" si="33"/>
        <v>0</v>
      </c>
      <c r="R293" s="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s="73" customFormat="1" ht="15.75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2"/>
        <v>28</v>
      </c>
      <c r="P294" s="136" t="s">
        <v>1839</v>
      </c>
      <c r="Q294" s="131">
        <f t="shared" si="33"/>
        <v>0</v>
      </c>
      <c r="R294" s="1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2"/>
        <v>28</v>
      </c>
      <c r="P295" s="136" t="s">
        <v>1840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2"/>
        <v>28</v>
      </c>
      <c r="P296" s="136" t="s">
        <v>1646</v>
      </c>
      <c r="Q296" s="31">
        <f t="shared" si="33"/>
        <v>0</v>
      </c>
      <c r="R296" s="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2"/>
        <v>27</v>
      </c>
      <c r="P297" s="136" t="s">
        <v>1841</v>
      </c>
      <c r="Q297" s="31">
        <f t="shared" si="33"/>
        <v>1</v>
      </c>
      <c r="R297" s="32">
        <f t="shared" si="34"/>
        <v>0.9642857142857143</v>
      </c>
      <c r="S297" s="70"/>
      <c r="T297" s="70"/>
      <c r="U297" s="70" t="s">
        <v>2208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2"/>
        <v>28</v>
      </c>
      <c r="P298" s="136" t="s">
        <v>1843</v>
      </c>
      <c r="Q298" s="131">
        <f t="shared" si="33"/>
        <v>0</v>
      </c>
      <c r="R298" s="1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  <c r="AW298" s="158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2"/>
        <v>28</v>
      </c>
      <c r="P299" s="136" t="s">
        <v>1844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58"/>
    </row>
    <row r="300" spans="1:49" s="73" customFormat="1" ht="15.75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2"/>
        <v>28</v>
      </c>
      <c r="P300" s="136" t="s">
        <v>1845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2"/>
        <v>27</v>
      </c>
      <c r="P301" s="136" t="s">
        <v>2134</v>
      </c>
      <c r="Q301" s="131">
        <f t="shared" si="33"/>
        <v>1</v>
      </c>
      <c r="R301" s="132">
        <f t="shared" si="34"/>
        <v>0.9642857142857143</v>
      </c>
      <c r="S301" s="70"/>
      <c r="T301" s="70"/>
      <c r="U301" s="70" t="s">
        <v>2208</v>
      </c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</row>
    <row r="302" spans="1:49" s="73" customFormat="1" ht="14.25" customHeight="1" thickBot="1" x14ac:dyDescent="0.3">
      <c r="A302" s="8"/>
      <c r="B302" s="8"/>
      <c r="C302" s="8"/>
      <c r="D302" s="8"/>
      <c r="E302" s="149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2"/>
        <v>28</v>
      </c>
      <c r="P302" s="143" t="s">
        <v>1641</v>
      </c>
      <c r="Q302" s="139">
        <f t="shared" si="33"/>
        <v>0</v>
      </c>
      <c r="R302" s="141">
        <f t="shared" si="34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 s="158"/>
    </row>
    <row r="303" spans="1:49" s="73" customFormat="1" ht="15.75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2"/>
        <v>27</v>
      </c>
      <c r="P303" s="136" t="s">
        <v>2102</v>
      </c>
      <c r="Q303" s="131">
        <f t="shared" si="33"/>
        <v>1</v>
      </c>
      <c r="R303" s="132">
        <f t="shared" si="34"/>
        <v>0.9642857142857143</v>
      </c>
      <c r="S303" s="70"/>
      <c r="T303" s="70"/>
      <c r="U303" s="70" t="s">
        <v>2208</v>
      </c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</row>
    <row r="304" spans="1:49" s="73" customFormat="1" ht="15.75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2"/>
        <v>27</v>
      </c>
      <c r="P304" s="136" t="s">
        <v>2096</v>
      </c>
      <c r="Q304" s="131">
        <f t="shared" si="33"/>
        <v>1</v>
      </c>
      <c r="R304" s="132">
        <f t="shared" si="34"/>
        <v>0.9642857142857143</v>
      </c>
      <c r="S304" s="70"/>
      <c r="T304" s="70"/>
      <c r="U304" s="70" t="s">
        <v>2208</v>
      </c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ht="15.75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2"/>
        <v>27</v>
      </c>
      <c r="P305" s="136" t="s">
        <v>1846</v>
      </c>
      <c r="Q305" s="31">
        <f t="shared" si="33"/>
        <v>1</v>
      </c>
      <c r="R305" s="32">
        <f t="shared" si="34"/>
        <v>0.9642857142857143</v>
      </c>
      <c r="S305" s="70"/>
      <c r="T305" s="70"/>
      <c r="U305" s="70" t="s">
        <v>2208</v>
      </c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2"/>
        <v>27</v>
      </c>
      <c r="P306" s="136" t="s">
        <v>1847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2208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2"/>
        <v>27</v>
      </c>
      <c r="P307" s="136" t="s">
        <v>1848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2208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2"/>
        <v>27</v>
      </c>
      <c r="P308" s="136" t="s">
        <v>1849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2"/>
        <v>27</v>
      </c>
      <c r="P309" s="136" t="s">
        <v>1850</v>
      </c>
      <c r="Q309" s="31">
        <f t="shared" si="33"/>
        <v>1</v>
      </c>
      <c r="R309" s="32">
        <f t="shared" si="34"/>
        <v>0.9642857142857143</v>
      </c>
      <c r="S309" s="70"/>
      <c r="T309" s="70"/>
      <c r="U309" s="70" t="s">
        <v>2208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158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2"/>
        <v>28</v>
      </c>
      <c r="P311" s="136" t="s">
        <v>1851</v>
      </c>
      <c r="Q311" s="31">
        <f t="shared" si="33"/>
        <v>0</v>
      </c>
      <c r="R311" s="32">
        <f t="shared" si="34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2"/>
        <v>28</v>
      </c>
      <c r="P312" s="136" t="s">
        <v>1852</v>
      </c>
      <c r="Q312" s="31">
        <f t="shared" si="33"/>
        <v>0</v>
      </c>
      <c r="R312" s="32">
        <f t="shared" si="34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2"/>
        <v>28</v>
      </c>
      <c r="P313" s="136" t="s">
        <v>1854</v>
      </c>
      <c r="Q313" s="31">
        <f t="shared" si="33"/>
        <v>0</v>
      </c>
      <c r="R313" s="32">
        <f t="shared" si="34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2"/>
        <v>28</v>
      </c>
      <c r="P314" s="140" t="s">
        <v>1855</v>
      </c>
      <c r="Q314" s="31">
        <f t="shared" si="33"/>
        <v>0</v>
      </c>
      <c r="R314" s="156">
        <f t="shared" si="34"/>
        <v>1</v>
      </c>
      <c r="S314" s="138"/>
      <c r="T314" s="70"/>
      <c r="U314" s="70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/>
      <c r="AM314" s="70"/>
      <c r="AN314" s="70"/>
      <c r="AO314" s="70"/>
      <c r="AP314" s="138"/>
      <c r="AQ314" s="138"/>
      <c r="AR314" s="138"/>
      <c r="AS314" s="70"/>
      <c r="AT314" s="138"/>
      <c r="AU314" s="70"/>
      <c r="AV314" s="138"/>
      <c r="AW314" s="15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2"/>
        <v>28</v>
      </c>
      <c r="P315" s="136" t="s">
        <v>1856</v>
      </c>
      <c r="Q315" s="31">
        <f t="shared" si="33"/>
        <v>0</v>
      </c>
      <c r="R315" s="32">
        <f t="shared" si="34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158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2"/>
        <v>27</v>
      </c>
      <c r="P316" s="136" t="s">
        <v>1859</v>
      </c>
      <c r="Q316" s="31">
        <f t="shared" si="33"/>
        <v>1</v>
      </c>
      <c r="R316" s="32">
        <f t="shared" si="34"/>
        <v>0.9642857142857143</v>
      </c>
      <c r="S316" s="70"/>
      <c r="T316" s="70"/>
      <c r="U316" s="70" t="s">
        <v>2208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2"/>
        <v>27</v>
      </c>
      <c r="P317" s="136" t="s">
        <v>1857</v>
      </c>
      <c r="Q317" s="31">
        <f t="shared" si="33"/>
        <v>1</v>
      </c>
      <c r="R317" s="32">
        <f t="shared" si="34"/>
        <v>0.9642857142857143</v>
      </c>
      <c r="S317" s="70"/>
      <c r="T317" s="70"/>
      <c r="U317" s="70" t="s">
        <v>2208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2"/>
        <v>27</v>
      </c>
      <c r="P318" s="136" t="s">
        <v>1858</v>
      </c>
      <c r="Q318" s="31">
        <f t="shared" si="33"/>
        <v>1</v>
      </c>
      <c r="R318" s="32">
        <f t="shared" si="34"/>
        <v>0.9642857142857143</v>
      </c>
      <c r="S318" s="70"/>
      <c r="T318" s="70"/>
      <c r="U318" s="70" t="s">
        <v>2208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s="149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2"/>
        <v>28</v>
      </c>
      <c r="P319" s="136" t="s">
        <v>1860</v>
      </c>
      <c r="Q319" s="31">
        <f t="shared" si="33"/>
        <v>0</v>
      </c>
      <c r="R319" s="32">
        <f t="shared" si="34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158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2"/>
        <v>27</v>
      </c>
      <c r="P320" s="136" t="s">
        <v>1863</v>
      </c>
      <c r="Q320" s="31">
        <f t="shared" si="33"/>
        <v>1</v>
      </c>
      <c r="R320" s="32">
        <f t="shared" si="34"/>
        <v>0.9642857142857143</v>
      </c>
      <c r="S320" s="70"/>
      <c r="T320" s="70"/>
      <c r="U320" s="70" t="s">
        <v>2208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2"/>
        <v>27</v>
      </c>
      <c r="P321" s="136" t="s">
        <v>1864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2208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/>
      <c r="B322"/>
      <c r="C322"/>
      <c r="D322"/>
      <c r="E322" s="149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2"/>
        <v>27</v>
      </c>
      <c r="P322" s="143"/>
      <c r="Q322" s="31">
        <f t="shared" si="33"/>
        <v>1</v>
      </c>
      <c r="R322" s="156">
        <f t="shared" si="34"/>
        <v>0.9642857142857143</v>
      </c>
      <c r="S322" s="138"/>
      <c r="T322" s="138"/>
      <c r="U322" s="70" t="s">
        <v>2208</v>
      </c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58"/>
    </row>
    <row r="323" spans="1:49" ht="15.75" thickBot="1" x14ac:dyDescent="0.3">
      <c r="A323"/>
      <c r="B323"/>
      <c r="C323"/>
      <c r="D323"/>
      <c r="E323" s="149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6"/>
      <c r="S323" s="138"/>
      <c r="T323" s="138"/>
      <c r="U323" s="70" t="s">
        <v>2208</v>
      </c>
      <c r="V323" s="138"/>
      <c r="W323" s="138"/>
      <c r="X323" s="138"/>
      <c r="Y323" s="138"/>
      <c r="Z323" s="70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2"/>
        <v>27</v>
      </c>
      <c r="P324" s="136" t="s">
        <v>1866</v>
      </c>
      <c r="Q324" s="131">
        <f t="shared" si="33"/>
        <v>1</v>
      </c>
      <c r="R324" s="132">
        <f t="shared" si="34"/>
        <v>0.9642857142857143</v>
      </c>
      <c r="S324" s="70"/>
      <c r="T324" s="70"/>
      <c r="U324" s="70" t="s">
        <v>2208</v>
      </c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142"/>
      <c r="AR324" s="70"/>
      <c r="AS324" s="70"/>
      <c r="AT324" s="70"/>
      <c r="AU324" s="70"/>
      <c r="AV324" s="70"/>
      <c r="AW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2"/>
        <v>28</v>
      </c>
      <c r="P325" s="136" t="s">
        <v>2093</v>
      </c>
      <c r="Q325" s="131">
        <f t="shared" si="33"/>
        <v>0</v>
      </c>
      <c r="R325" s="132">
        <f t="shared" si="34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58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2"/>
        <v>27</v>
      </c>
      <c r="P326" s="136" t="s">
        <v>2135</v>
      </c>
      <c r="Q326" s="131">
        <f t="shared" si="33"/>
        <v>1</v>
      </c>
      <c r="R326" s="132">
        <f t="shared" si="34"/>
        <v>0.9642857142857143</v>
      </c>
      <c r="S326" s="70"/>
      <c r="T326" s="70"/>
      <c r="U326" s="70" t="s">
        <v>2208</v>
      </c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142"/>
      <c r="AR326" s="70"/>
      <c r="AS326" s="70"/>
      <c r="AT326" s="70"/>
      <c r="AU326" s="70"/>
      <c r="AV326" s="70"/>
      <c r="AW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2"/>
        <v>27</v>
      </c>
      <c r="P327" s="136" t="s">
        <v>1870</v>
      </c>
      <c r="Q327" s="31">
        <f t="shared" si="33"/>
        <v>1</v>
      </c>
      <c r="R327" s="32">
        <f t="shared" si="34"/>
        <v>0.9642857142857143</v>
      </c>
      <c r="S327" s="70"/>
      <c r="T327" s="70"/>
      <c r="U327" s="70" t="s">
        <v>2208</v>
      </c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2"/>
        <v>28</v>
      </c>
      <c r="P328" s="136" t="s">
        <v>1871</v>
      </c>
      <c r="Q328" s="31">
        <f t="shared" si="33"/>
        <v>0</v>
      </c>
      <c r="R328" s="32">
        <f t="shared" si="34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158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2"/>
        <v>28</v>
      </c>
      <c r="P329" s="136" t="s">
        <v>1853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/>
      <c r="B330"/>
      <c r="C330"/>
      <c r="D330"/>
      <c r="E330" s="149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2"/>
        <v>28</v>
      </c>
      <c r="P330" s="136" t="s">
        <v>1861</v>
      </c>
      <c r="Q330" s="31">
        <f t="shared" si="33"/>
        <v>0</v>
      </c>
      <c r="R330" s="32">
        <f t="shared" si="34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2"/>
        <v>28</v>
      </c>
      <c r="P331" s="136" t="s">
        <v>1862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2"/>
        <v>27</v>
      </c>
      <c r="P332" s="136" t="s">
        <v>1865</v>
      </c>
      <c r="Q332" s="31">
        <f t="shared" si="33"/>
        <v>1</v>
      </c>
      <c r="R332" s="32">
        <f t="shared" si="34"/>
        <v>0.9642857142857143</v>
      </c>
      <c r="S332" s="70"/>
      <c r="T332" s="70"/>
      <c r="U332" s="70" t="s">
        <v>2208</v>
      </c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2"/>
        <v>27</v>
      </c>
      <c r="P333" s="136" t="s">
        <v>1867</v>
      </c>
      <c r="Q333" s="31">
        <f t="shared" si="33"/>
        <v>1</v>
      </c>
      <c r="R333" s="32">
        <f t="shared" si="34"/>
        <v>0.9642857142857143</v>
      </c>
      <c r="S333" s="70"/>
      <c r="T333" s="70"/>
      <c r="U333" s="70" t="s">
        <v>2208</v>
      </c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142"/>
      <c r="AR333" s="70"/>
      <c r="AS333" s="70"/>
      <c r="AT333" s="70"/>
      <c r="AU333" s="70"/>
      <c r="AV333" s="70"/>
      <c r="AW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2"/>
        <v>27</v>
      </c>
      <c r="P334" s="136" t="s">
        <v>1868</v>
      </c>
      <c r="Q334" s="131">
        <f t="shared" si="33"/>
        <v>1</v>
      </c>
      <c r="R334" s="132">
        <f t="shared" si="34"/>
        <v>0.9642857142857143</v>
      </c>
      <c r="S334" s="70"/>
      <c r="T334" s="70"/>
      <c r="U334" s="70" t="s">
        <v>2208</v>
      </c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2"/>
        <v>27</v>
      </c>
      <c r="P335" s="136" t="s">
        <v>1869</v>
      </c>
      <c r="Q335" s="131">
        <f t="shared" si="33"/>
        <v>1</v>
      </c>
      <c r="R335" s="132">
        <f t="shared" si="34"/>
        <v>0.9642857142857143</v>
      </c>
      <c r="S335" s="70"/>
      <c r="T335" s="70"/>
      <c r="U335" s="70" t="s">
        <v>2208</v>
      </c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5">COUNTIF(S336:AT336,"")</f>
        <v>28</v>
      </c>
      <c r="P336" s="136" t="s">
        <v>1872</v>
      </c>
      <c r="Q336" s="31">
        <f t="shared" ref="Q336:Q401" si="36">COUNTIF(S336:AT336,"APAGADO")</f>
        <v>0</v>
      </c>
      <c r="R336" s="32">
        <f t="shared" ref="R336:R401" si="37">(O336)/(Q336+O336)</f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158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5"/>
        <v>28</v>
      </c>
      <c r="P337" s="136" t="s">
        <v>1873</v>
      </c>
      <c r="Q337" s="31">
        <f t="shared" si="36"/>
        <v>0</v>
      </c>
      <c r="R337" s="32">
        <f t="shared" si="37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5"/>
        <v>27</v>
      </c>
      <c r="P338" s="136" t="s">
        <v>1874</v>
      </c>
      <c r="Q338" s="31">
        <f t="shared" si="36"/>
        <v>1</v>
      </c>
      <c r="R338" s="32">
        <f t="shared" si="37"/>
        <v>0.9642857142857143</v>
      </c>
      <c r="S338" s="70"/>
      <c r="T338" s="70"/>
      <c r="U338" s="70" t="s">
        <v>2208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5"/>
        <v>28</v>
      </c>
      <c r="P339" s="136" t="s">
        <v>1875</v>
      </c>
      <c r="Q339" s="31">
        <f t="shared" si="36"/>
        <v>0</v>
      </c>
      <c r="R339" s="32">
        <f t="shared" si="37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5"/>
        <v>28</v>
      </c>
      <c r="P340" s="136" t="s">
        <v>1876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5"/>
        <v>28</v>
      </c>
      <c r="P341" s="136" t="s">
        <v>1877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5"/>
        <v>28</v>
      </c>
      <c r="P342" s="136" t="s">
        <v>1878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5"/>
        <v>28</v>
      </c>
      <c r="P343" s="136" t="s">
        <v>1879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5"/>
        <v>28</v>
      </c>
      <c r="P344" s="136" t="s">
        <v>1880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5"/>
        <v>28</v>
      </c>
      <c r="P345" s="136" t="s">
        <v>1881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58"/>
    </row>
    <row r="347" spans="1:49" ht="15.75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5"/>
        <v>27</v>
      </c>
      <c r="P347" s="136" t="s">
        <v>1882</v>
      </c>
      <c r="Q347" s="31">
        <f t="shared" si="36"/>
        <v>1</v>
      </c>
      <c r="R347" s="32">
        <f t="shared" si="37"/>
        <v>0.9642857142857143</v>
      </c>
      <c r="S347" s="70"/>
      <c r="T347" s="70"/>
      <c r="U347" s="70" t="s">
        <v>2208</v>
      </c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5"/>
        <v>28</v>
      </c>
      <c r="P348" s="136" t="s">
        <v>1883</v>
      </c>
      <c r="Q348" s="31">
        <f t="shared" si="36"/>
        <v>0</v>
      </c>
      <c r="R348" s="32">
        <f t="shared" si="37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5"/>
        <v>28</v>
      </c>
      <c r="P349" s="136" t="s">
        <v>1884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5"/>
        <v>28</v>
      </c>
      <c r="P350" s="136" t="s">
        <v>1885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5"/>
        <v>28</v>
      </c>
      <c r="P351" s="136" t="s">
        <v>2167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5"/>
        <v>28</v>
      </c>
      <c r="P352" s="136" t="s">
        <v>2170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5"/>
        <v>28</v>
      </c>
      <c r="P353" s="136" t="s">
        <v>1890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5"/>
        <v>28</v>
      </c>
      <c r="P354" s="136" t="s">
        <v>1891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5"/>
        <v>28</v>
      </c>
      <c r="P355" s="136" t="s">
        <v>1892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5"/>
        <v>28</v>
      </c>
      <c r="P356" s="136" t="s">
        <v>1893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5"/>
        <v>28</v>
      </c>
      <c r="P357" s="136" t="s">
        <v>1894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5"/>
        <v>28</v>
      </c>
      <c r="P358" s="136" t="s">
        <v>1895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5"/>
        <v>28</v>
      </c>
      <c r="P359" s="136" t="s">
        <v>1896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  <c r="AW359" s="158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5"/>
        <v>28</v>
      </c>
      <c r="P360" s="136" t="s">
        <v>1897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58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5"/>
        <v>28</v>
      </c>
      <c r="P361" s="136" t="s">
        <v>1898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5"/>
        <v>28</v>
      </c>
      <c r="P362" s="136"/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5"/>
        <v>28</v>
      </c>
      <c r="P364" s="136" t="s">
        <v>1899</v>
      </c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5"/>
        <v>28</v>
      </c>
      <c r="P366" s="136" t="s">
        <v>1886</v>
      </c>
      <c r="Q366" s="85">
        <f t="shared" si="36"/>
        <v>0</v>
      </c>
      <c r="R366" s="86">
        <f t="shared" si="37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5"/>
        <v>28</v>
      </c>
      <c r="P367" s="136" t="s">
        <v>1887</v>
      </c>
      <c r="Q367" s="31">
        <f t="shared" si="36"/>
        <v>0</v>
      </c>
      <c r="R367" s="32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5"/>
        <v>28</v>
      </c>
      <c r="P368" s="136" t="s">
        <v>1888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5"/>
        <v>28</v>
      </c>
      <c r="P369" s="136" t="s">
        <v>1889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s="73" customFormat="1" ht="15.75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5"/>
        <v>28</v>
      </c>
      <c r="P370" s="136" t="s">
        <v>2385</v>
      </c>
      <c r="Q370" s="131">
        <f t="shared" si="36"/>
        <v>0</v>
      </c>
      <c r="R370" s="1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5"/>
        <v>28</v>
      </c>
      <c r="P371" s="136" t="s">
        <v>2386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ht="15.75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5"/>
        <v>27</v>
      </c>
      <c r="P372" s="136" t="s">
        <v>1901</v>
      </c>
      <c r="Q372" s="131">
        <f t="shared" si="36"/>
        <v>1</v>
      </c>
      <c r="R372" s="132">
        <f t="shared" si="37"/>
        <v>0.9642857142857143</v>
      </c>
      <c r="S372" s="70"/>
      <c r="T372" s="70"/>
      <c r="U372" s="70" t="s">
        <v>2208</v>
      </c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</row>
    <row r="373" spans="1:49" s="73" customFormat="1" ht="15.75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5"/>
        <v>27</v>
      </c>
      <c r="P373" s="136" t="s">
        <v>1902</v>
      </c>
      <c r="Q373" s="131">
        <f t="shared" si="36"/>
        <v>1</v>
      </c>
      <c r="R373" s="132">
        <f t="shared" si="37"/>
        <v>0.9642857142857143</v>
      </c>
      <c r="S373" s="70"/>
      <c r="T373" s="70"/>
      <c r="U373" s="70" t="s">
        <v>2208</v>
      </c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5"/>
        <v>27</v>
      </c>
      <c r="P374" s="136" t="s">
        <v>1903</v>
      </c>
      <c r="Q374" s="31">
        <f t="shared" si="36"/>
        <v>1</v>
      </c>
      <c r="R374" s="32">
        <f t="shared" si="37"/>
        <v>0.9642857142857143</v>
      </c>
      <c r="S374" s="70"/>
      <c r="T374" s="70"/>
      <c r="U374" s="70" t="s">
        <v>2208</v>
      </c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5"/>
        <v>27</v>
      </c>
      <c r="P375" s="136" t="s">
        <v>1904</v>
      </c>
      <c r="Q375" s="31">
        <f t="shared" si="36"/>
        <v>1</v>
      </c>
      <c r="R375" s="32">
        <f t="shared" si="37"/>
        <v>0.9642857142857143</v>
      </c>
      <c r="S375" s="70"/>
      <c r="T375" s="70"/>
      <c r="U375" s="70" t="s">
        <v>2208</v>
      </c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5"/>
        <v>27</v>
      </c>
      <c r="P376" s="136" t="s">
        <v>1905</v>
      </c>
      <c r="Q376" s="31">
        <f t="shared" si="36"/>
        <v>1</v>
      </c>
      <c r="R376" s="32">
        <f t="shared" si="37"/>
        <v>0.9642857142857143</v>
      </c>
      <c r="S376" s="70"/>
      <c r="T376" s="70"/>
      <c r="U376" s="70" t="s">
        <v>2208</v>
      </c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5"/>
        <v>27</v>
      </c>
      <c r="P377" s="136" t="s">
        <v>1906</v>
      </c>
      <c r="Q377" s="31">
        <f t="shared" si="36"/>
        <v>1</v>
      </c>
      <c r="R377" s="32">
        <f t="shared" si="37"/>
        <v>0.9642857142857143</v>
      </c>
      <c r="S377" s="70"/>
      <c r="T377" s="70"/>
      <c r="U377" s="70" t="s">
        <v>2208</v>
      </c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5"/>
        <v>27</v>
      </c>
      <c r="P378" s="136" t="s">
        <v>1907</v>
      </c>
      <c r="Q378" s="31">
        <f t="shared" si="36"/>
        <v>1</v>
      </c>
      <c r="R378" s="32">
        <f t="shared" si="37"/>
        <v>0.9642857142857143</v>
      </c>
      <c r="S378" s="70"/>
      <c r="T378" s="70"/>
      <c r="U378" s="70" t="s">
        <v>2208</v>
      </c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5"/>
        <v>27</v>
      </c>
      <c r="P379" s="136" t="s">
        <v>1908</v>
      </c>
      <c r="Q379" s="31">
        <f t="shared" si="36"/>
        <v>1</v>
      </c>
      <c r="R379" s="32">
        <f t="shared" si="37"/>
        <v>0.9642857142857143</v>
      </c>
      <c r="S379" s="70"/>
      <c r="T379" s="70"/>
      <c r="U379" s="70" t="s">
        <v>2208</v>
      </c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5"/>
        <v>28</v>
      </c>
      <c r="P380" s="136" t="s">
        <v>1909</v>
      </c>
      <c r="Q380" s="31">
        <f t="shared" si="36"/>
        <v>0</v>
      </c>
      <c r="R380" s="32">
        <f t="shared" si="37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158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5"/>
        <v>28</v>
      </c>
      <c r="P381" s="136" t="s">
        <v>1910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5"/>
        <v>28</v>
      </c>
      <c r="P382" s="136" t="s">
        <v>1911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s="73" customFormat="1" ht="15.75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5"/>
        <v>28</v>
      </c>
      <c r="P383" s="136" t="s">
        <v>1912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5"/>
        <v>28</v>
      </c>
      <c r="P384" s="136" t="s">
        <v>1913</v>
      </c>
      <c r="Q384" s="31">
        <f t="shared" si="36"/>
        <v>0</v>
      </c>
      <c r="R384" s="32">
        <f t="shared" si="37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158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5"/>
        <v>28</v>
      </c>
      <c r="P385" s="136" t="s">
        <v>2088</v>
      </c>
      <c r="Q385" s="31">
        <f t="shared" si="36"/>
        <v>0</v>
      </c>
      <c r="R385" s="32">
        <f t="shared" si="37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5"/>
        <v>28</v>
      </c>
      <c r="P386" s="136" t="s">
        <v>1900</v>
      </c>
      <c r="Q386" s="31">
        <f t="shared" si="36"/>
        <v>0</v>
      </c>
      <c r="R386" s="32">
        <f t="shared" si="37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ht="15.75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5"/>
        <v>28</v>
      </c>
      <c r="P387" s="136" t="s">
        <v>1914</v>
      </c>
      <c r="Q387" s="31">
        <f t="shared" si="36"/>
        <v>0</v>
      </c>
      <c r="R387" s="32">
        <f t="shared" si="37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ht="15.75" thickBot="1" x14ac:dyDescent="0.3">
      <c r="A388"/>
      <c r="B388"/>
      <c r="C388"/>
      <c r="D388"/>
      <c r="E388" s="149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5"/>
        <v>28</v>
      </c>
      <c r="P388" s="136" t="s">
        <v>1915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s="73" customFormat="1" ht="15.75" thickBot="1" x14ac:dyDescent="0.3">
      <c r="A389"/>
      <c r="B389"/>
      <c r="C389"/>
      <c r="D389"/>
      <c r="E389" s="149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5"/>
        <v>28</v>
      </c>
      <c r="P389" s="136" t="s">
        <v>2387</v>
      </c>
      <c r="Q389" s="131">
        <f t="shared" si="36"/>
        <v>0</v>
      </c>
      <c r="R389" s="1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s="73" customFormat="1" ht="15.75" thickBot="1" x14ac:dyDescent="0.3">
      <c r="A390"/>
      <c r="B390"/>
      <c r="C390"/>
      <c r="D390"/>
      <c r="E390" s="149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5"/>
        <v>28</v>
      </c>
      <c r="P390" s="136" t="s">
        <v>2118</v>
      </c>
      <c r="Q390" s="131">
        <f t="shared" si="36"/>
        <v>0</v>
      </c>
      <c r="R390" s="1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ht="15.75" thickBot="1" x14ac:dyDescent="0.3">
      <c r="A391"/>
      <c r="B391"/>
      <c r="C391"/>
      <c r="D391"/>
      <c r="E391" s="149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5"/>
        <v>28</v>
      </c>
      <c r="P391" s="136" t="s">
        <v>2388</v>
      </c>
      <c r="Q391" s="31">
        <f t="shared" si="36"/>
        <v>0</v>
      </c>
      <c r="R391" s="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ht="15.75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5"/>
        <v>28</v>
      </c>
      <c r="P392" s="136" t="s">
        <v>1916</v>
      </c>
      <c r="Q392" s="31">
        <f t="shared" si="36"/>
        <v>0</v>
      </c>
      <c r="R392" s="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5"/>
        <v>28</v>
      </c>
      <c r="P393" s="136" t="s">
        <v>1917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5"/>
        <v>28</v>
      </c>
      <c r="P394" s="136" t="s">
        <v>1918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5"/>
        <v>28</v>
      </c>
      <c r="P395" s="136" t="s">
        <v>1919</v>
      </c>
      <c r="Q395" s="31">
        <f t="shared" si="36"/>
        <v>0</v>
      </c>
      <c r="R395" s="32">
        <f t="shared" si="37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s="73" customFormat="1" ht="15.75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5"/>
        <v>28</v>
      </c>
      <c r="P396" s="136" t="s">
        <v>2253</v>
      </c>
      <c r="Q396" s="131">
        <f t="shared" si="36"/>
        <v>0</v>
      </c>
      <c r="R396" s="132">
        <f t="shared" si="37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s="88" customFormat="1" ht="15.75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5"/>
        <v>28</v>
      </c>
      <c r="P397" s="136" t="s">
        <v>1921</v>
      </c>
      <c r="Q397" s="85">
        <f t="shared" si="36"/>
        <v>0</v>
      </c>
      <c r="R397" s="86">
        <f t="shared" si="37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158"/>
    </row>
    <row r="398" spans="1:49" s="73" customFormat="1" ht="15.75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5"/>
        <v>28</v>
      </c>
      <c r="P398" s="136" t="s">
        <v>1922</v>
      </c>
      <c r="Q398" s="31">
        <f t="shared" si="36"/>
        <v>0</v>
      </c>
      <c r="R398" s="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58"/>
    </row>
    <row r="399" spans="1:49" s="73" customFormat="1" ht="15.75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5"/>
        <v>28</v>
      </c>
      <c r="P399" s="136" t="s">
        <v>1923</v>
      </c>
      <c r="Q399" s="31">
        <f t="shared" si="36"/>
        <v>0</v>
      </c>
      <c r="R399" s="32">
        <f t="shared" si="37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58"/>
    </row>
    <row r="400" spans="1:49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5"/>
        <v>28</v>
      </c>
      <c r="P400" s="136" t="s">
        <v>1924</v>
      </c>
      <c r="Q400" s="31">
        <f t="shared" si="36"/>
        <v>0</v>
      </c>
      <c r="R400" s="32">
        <f t="shared" si="37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5"/>
        <v>28</v>
      </c>
      <c r="P401" s="140" t="s">
        <v>1931</v>
      </c>
      <c r="Q401" s="139">
        <f t="shared" si="36"/>
        <v>0</v>
      </c>
      <c r="R401" s="141">
        <f t="shared" si="37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  <c r="AW401" s="158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8">COUNTIF(S402:AT402,"")</f>
        <v>27</v>
      </c>
      <c r="P402" s="143" t="s">
        <v>1932</v>
      </c>
      <c r="Q402" s="31">
        <f t="shared" ref="Q402:Q465" si="39">COUNTIF(S402:AT402,"APAGADO")</f>
        <v>1</v>
      </c>
      <c r="R402" s="156">
        <f t="shared" ref="R402:R465" si="40">(O402)/(Q402+O402)</f>
        <v>0.9642857142857143</v>
      </c>
      <c r="S402" s="138"/>
      <c r="T402" s="138"/>
      <c r="U402" s="70" t="s">
        <v>2208</v>
      </c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70"/>
    </row>
    <row r="403" spans="1:49" s="69" customFormat="1" ht="15.75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8"/>
        <v>28</v>
      </c>
      <c r="P403" s="136" t="s">
        <v>1933</v>
      </c>
      <c r="Q403" s="31">
        <f t="shared" si="39"/>
        <v>0</v>
      </c>
      <c r="R403" s="32">
        <f t="shared" si="40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158"/>
    </row>
    <row r="404" spans="1:49" s="69" customFormat="1" ht="15.75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8"/>
        <v>28</v>
      </c>
      <c r="P404" s="136" t="s">
        <v>1934</v>
      </c>
      <c r="Q404" s="131">
        <f t="shared" si="39"/>
        <v>0</v>
      </c>
      <c r="R404" s="132">
        <f t="shared" si="40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58"/>
    </row>
    <row r="405" spans="1:49" ht="15.75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8"/>
        <v>28</v>
      </c>
      <c r="P405" s="136" t="s">
        <v>1935</v>
      </c>
      <c r="Q405" s="31">
        <f t="shared" si="39"/>
        <v>0</v>
      </c>
      <c r="R405" s="32">
        <f t="shared" si="40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  <c r="AW405" s="158"/>
    </row>
    <row r="406" spans="1:49" ht="15.75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8"/>
        <v>28</v>
      </c>
      <c r="P406" s="136" t="s">
        <v>1936</v>
      </c>
      <c r="Q406" s="31">
        <f t="shared" si="39"/>
        <v>0</v>
      </c>
      <c r="R406" s="32">
        <f t="shared" si="40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  <c r="AW406" s="158"/>
    </row>
    <row r="407" spans="1:49" ht="15.75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8"/>
        <v>27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70" t="s">
        <v>2208</v>
      </c>
      <c r="V407" s="136"/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58"/>
      <c r="AW407" s="70"/>
    </row>
    <row r="408" spans="1:49" ht="15.75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8"/>
        <v>28</v>
      </c>
      <c r="P408" s="136" t="s">
        <v>2392</v>
      </c>
      <c r="Q408" s="31">
        <f t="shared" si="39"/>
        <v>0</v>
      </c>
      <c r="R408" s="32">
        <f t="shared" si="40"/>
        <v>1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70"/>
      <c r="AU408" s="147"/>
      <c r="AV408" s="158"/>
      <c r="AW408" s="158"/>
    </row>
    <row r="409" spans="1:49" ht="15.75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8"/>
        <v>28</v>
      </c>
      <c r="P409" s="136"/>
      <c r="Q409" s="31">
        <f t="shared" si="39"/>
        <v>0</v>
      </c>
      <c r="R409" s="32">
        <f t="shared" si="40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58"/>
      <c r="AW409" s="158"/>
    </row>
    <row r="410" spans="1:49" ht="15.75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8"/>
        <v>28</v>
      </c>
      <c r="P410" s="143" t="s">
        <v>1925</v>
      </c>
      <c r="Q410" s="139">
        <f t="shared" si="39"/>
        <v>0</v>
      </c>
      <c r="R410" s="141">
        <f t="shared" si="40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58"/>
      <c r="AW410" s="158"/>
    </row>
    <row r="411" spans="1:49" ht="15.75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8"/>
        <v>28</v>
      </c>
      <c r="P411" s="143" t="s">
        <v>1926</v>
      </c>
      <c r="Q411" s="139">
        <f t="shared" si="39"/>
        <v>0</v>
      </c>
      <c r="R411" s="141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s="73" customFormat="1" ht="15.75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8"/>
        <v>27</v>
      </c>
      <c r="P412" s="136" t="s">
        <v>1927</v>
      </c>
      <c r="Q412" s="31">
        <f t="shared" si="39"/>
        <v>1</v>
      </c>
      <c r="R412" s="32">
        <f t="shared" si="40"/>
        <v>0.9642857142857143</v>
      </c>
      <c r="S412" s="70"/>
      <c r="T412" s="70"/>
      <c r="U412" s="70" t="s">
        <v>2208</v>
      </c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58"/>
      <c r="AW412" s="70"/>
    </row>
    <row r="413" spans="1:49" ht="15.75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8"/>
        <v>27</v>
      </c>
      <c r="P413" s="136" t="s">
        <v>1928</v>
      </c>
      <c r="Q413" s="31">
        <f t="shared" si="39"/>
        <v>1</v>
      </c>
      <c r="R413" s="32">
        <f t="shared" si="40"/>
        <v>0.9642857142857143</v>
      </c>
      <c r="S413" s="70"/>
      <c r="T413" s="70"/>
      <c r="U413" s="70" t="s">
        <v>2208</v>
      </c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0"/>
    </row>
    <row r="414" spans="1:49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8"/>
        <v>28</v>
      </c>
      <c r="P414" s="136" t="s">
        <v>1929</v>
      </c>
      <c r="Q414" s="31">
        <f t="shared" si="39"/>
        <v>0</v>
      </c>
      <c r="R414" s="32">
        <f t="shared" si="40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158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8"/>
        <v>28</v>
      </c>
      <c r="P415" s="136" t="s">
        <v>1930</v>
      </c>
      <c r="Q415" s="31">
        <f t="shared" si="39"/>
        <v>0</v>
      </c>
      <c r="R415" s="32">
        <f t="shared" si="40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  <c r="AW415" s="158"/>
    </row>
    <row r="416" spans="1:49" ht="15.75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8"/>
        <v>27</v>
      </c>
      <c r="P416" s="140"/>
      <c r="Q416" s="139">
        <f t="shared" si="39"/>
        <v>1</v>
      </c>
      <c r="R416" s="141">
        <f t="shared" si="40"/>
        <v>0.9642857142857143</v>
      </c>
      <c r="S416" s="70"/>
      <c r="T416" s="70"/>
      <c r="U416" s="70" t="s">
        <v>2208</v>
      </c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148"/>
      <c r="AR416" s="70"/>
      <c r="AS416" s="70"/>
      <c r="AT416" s="70"/>
      <c r="AU416" s="70"/>
      <c r="AV416" s="70"/>
      <c r="AW416" s="70"/>
    </row>
    <row r="417" spans="1:49" s="69" customFormat="1" ht="15.75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8"/>
        <v>28</v>
      </c>
      <c r="P417" s="136" t="s">
        <v>1937</v>
      </c>
      <c r="Q417" s="131">
        <f t="shared" si="39"/>
        <v>0</v>
      </c>
      <c r="R417" s="132">
        <f t="shared" si="40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158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8"/>
        <v>28</v>
      </c>
      <c r="P418" s="136" t="s">
        <v>2393</v>
      </c>
      <c r="Q418" s="31">
        <f t="shared" si="39"/>
        <v>0</v>
      </c>
      <c r="R418" s="32">
        <f t="shared" si="40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158"/>
    </row>
    <row r="419" spans="1:49" ht="15.75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8"/>
        <v>28</v>
      </c>
      <c r="P419" s="136" t="s">
        <v>2394</v>
      </c>
      <c r="Q419" s="31">
        <f t="shared" si="39"/>
        <v>0</v>
      </c>
      <c r="R419" s="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ht="15.75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8"/>
        <v>27</v>
      </c>
      <c r="P420" s="136" t="s">
        <v>1938</v>
      </c>
      <c r="Q420" s="85">
        <f t="shared" si="39"/>
        <v>1</v>
      </c>
      <c r="R420" s="86">
        <f t="shared" si="40"/>
        <v>0.9642857142857143</v>
      </c>
      <c r="S420" s="70"/>
      <c r="T420" s="70"/>
      <c r="U420" s="70" t="s">
        <v>2208</v>
      </c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87"/>
      <c r="AR420" s="70"/>
      <c r="AS420" s="70"/>
      <c r="AT420" s="70"/>
      <c r="AU420" s="70"/>
      <c r="AV420" s="70"/>
      <c r="AW420" s="70"/>
    </row>
    <row r="421" spans="1:49" s="73" customFormat="1" ht="15.75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8"/>
        <v>28</v>
      </c>
      <c r="P421" s="136" t="s">
        <v>1842</v>
      </c>
      <c r="Q421" s="31">
        <f t="shared" si="39"/>
        <v>0</v>
      </c>
      <c r="R421" s="32">
        <f t="shared" si="40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158"/>
    </row>
    <row r="422" spans="1:49" ht="15.75" thickBot="1" x14ac:dyDescent="0.3">
      <c r="A422"/>
      <c r="B422"/>
      <c r="C422"/>
      <c r="D422"/>
      <c r="E422" s="149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8"/>
        <v>27</v>
      </c>
      <c r="P422" s="136" t="s">
        <v>1939</v>
      </c>
      <c r="Q422" s="31">
        <f t="shared" si="39"/>
        <v>1</v>
      </c>
      <c r="R422" s="32">
        <f t="shared" si="40"/>
        <v>0.9642857142857143</v>
      </c>
      <c r="S422" s="70"/>
      <c r="T422" s="70"/>
      <c r="U422" s="70" t="s">
        <v>2208</v>
      </c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</row>
    <row r="423" spans="1:49" ht="15.75" thickBot="1" x14ac:dyDescent="0.3">
      <c r="A423"/>
      <c r="B423"/>
      <c r="C423"/>
      <c r="D423"/>
      <c r="E423" s="149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8"/>
        <v>27</v>
      </c>
      <c r="P423" s="136" t="s">
        <v>1940</v>
      </c>
      <c r="Q423" s="31">
        <f t="shared" si="39"/>
        <v>1</v>
      </c>
      <c r="R423" s="32">
        <f t="shared" si="40"/>
        <v>0.9642857142857143</v>
      </c>
      <c r="S423" s="70"/>
      <c r="T423" s="70"/>
      <c r="U423" s="70" t="s">
        <v>2208</v>
      </c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</row>
    <row r="424" spans="1:49" ht="15.75" thickBot="1" x14ac:dyDescent="0.3">
      <c r="A424"/>
      <c r="B424"/>
      <c r="C424"/>
      <c r="D424"/>
      <c r="E424" s="149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8"/>
        <v>27</v>
      </c>
      <c r="P424" s="136" t="s">
        <v>1941</v>
      </c>
      <c r="Q424" s="131">
        <f t="shared" si="39"/>
        <v>1</v>
      </c>
      <c r="R424" s="132">
        <f t="shared" si="40"/>
        <v>0.9642857142857143</v>
      </c>
      <c r="S424" s="70"/>
      <c r="T424" s="70"/>
      <c r="U424" s="70" t="s">
        <v>2208</v>
      </c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s="73" customFormat="1" ht="15.75" thickBot="1" x14ac:dyDescent="0.3">
      <c r="A425"/>
      <c r="B425"/>
      <c r="C425"/>
      <c r="D425"/>
      <c r="E425" s="149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8"/>
        <v>27</v>
      </c>
      <c r="P425" s="136" t="s">
        <v>1942</v>
      </c>
      <c r="Q425" s="131">
        <f t="shared" si="39"/>
        <v>1</v>
      </c>
      <c r="R425" s="132">
        <f t="shared" si="40"/>
        <v>0.9642857142857143</v>
      </c>
      <c r="S425" s="70"/>
      <c r="T425" s="70"/>
      <c r="U425" s="70" t="s">
        <v>2208</v>
      </c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s="73" customFormat="1" ht="17.25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8"/>
        <v>28</v>
      </c>
      <c r="P426" s="136" t="s">
        <v>2289</v>
      </c>
      <c r="Q426" s="131">
        <f t="shared" si="39"/>
        <v>0</v>
      </c>
      <c r="R426" s="132">
        <f t="shared" si="40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158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8"/>
        <v>28</v>
      </c>
      <c r="P427" s="136" t="s">
        <v>2290</v>
      </c>
      <c r="Q427" s="131">
        <f t="shared" si="39"/>
        <v>0</v>
      </c>
      <c r="R427" s="1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58"/>
    </row>
    <row r="428" spans="1:49" s="73" customFormat="1" ht="15.75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8"/>
        <v>28</v>
      </c>
      <c r="P428" s="136" t="s">
        <v>2092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8"/>
        <v>28</v>
      </c>
      <c r="P429" s="136" t="s">
        <v>2091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8"/>
        <v>28</v>
      </c>
      <c r="P430" s="136" t="s">
        <v>2139</v>
      </c>
      <c r="Q430" s="31">
        <f t="shared" si="39"/>
        <v>0</v>
      </c>
      <c r="R430" s="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 s="158"/>
    </row>
    <row r="431" spans="1:49" s="88" customFormat="1" ht="15.75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8"/>
        <v>28</v>
      </c>
      <c r="P431" s="136" t="s">
        <v>1943</v>
      </c>
      <c r="Q431" s="131">
        <f t="shared" si="39"/>
        <v>0</v>
      </c>
      <c r="R431" s="1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158"/>
    </row>
    <row r="432" spans="1:49" s="73" customFormat="1" ht="15.75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8"/>
        <v>28</v>
      </c>
      <c r="P432" s="136" t="s">
        <v>1944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58"/>
    </row>
    <row r="433" spans="1:49" s="73" customFormat="1" ht="15.75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8"/>
        <v>28</v>
      </c>
      <c r="P433" s="136" t="s">
        <v>2194</v>
      </c>
      <c r="Q433" s="131">
        <f t="shared" si="39"/>
        <v>0</v>
      </c>
      <c r="R433" s="132">
        <f t="shared" si="40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158"/>
    </row>
    <row r="434" spans="1:49" ht="15.75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8"/>
        <v>28</v>
      </c>
      <c r="P434" s="136" t="s">
        <v>2471</v>
      </c>
      <c r="Q434" s="31">
        <f t="shared" si="39"/>
        <v>0</v>
      </c>
      <c r="R434" s="32">
        <f t="shared" si="40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  <c r="AV434" s="158"/>
      <c r="AW434" s="158"/>
    </row>
    <row r="435" spans="1:49" s="73" customFormat="1" ht="15.75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8"/>
        <v>28</v>
      </c>
      <c r="P435" s="136" t="s">
        <v>1947</v>
      </c>
      <c r="Q435" s="131">
        <f t="shared" si="39"/>
        <v>0</v>
      </c>
      <c r="R435" s="132">
        <f t="shared" si="40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158"/>
    </row>
    <row r="436" spans="1:49" s="73" customFormat="1" ht="15.75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8"/>
        <v>28</v>
      </c>
      <c r="P436" s="136" t="s">
        <v>2395</v>
      </c>
      <c r="Q436" s="31">
        <f t="shared" si="39"/>
        <v>0</v>
      </c>
      <c r="R436" s="32">
        <f t="shared" si="40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158"/>
    </row>
    <row r="437" spans="1:49" s="88" customFormat="1" ht="15.75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8"/>
        <v>28</v>
      </c>
      <c r="P437" s="136" t="s">
        <v>1949</v>
      </c>
      <c r="Q437" s="131">
        <f t="shared" si="39"/>
        <v>0</v>
      </c>
      <c r="R437" s="1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73" customFormat="1" ht="15.75" thickBot="1" x14ac:dyDescent="0.3">
      <c r="A438"/>
      <c r="B438"/>
      <c r="C438"/>
      <c r="D438"/>
      <c r="E438" s="149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8"/>
        <v>28</v>
      </c>
      <c r="P438" s="136" t="s">
        <v>1950</v>
      </c>
      <c r="Q438" s="31">
        <f t="shared" si="39"/>
        <v>0</v>
      </c>
      <c r="R438" s="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ht="15.75" thickBot="1" x14ac:dyDescent="0.3">
      <c r="A439"/>
      <c r="B439"/>
      <c r="C439"/>
      <c r="D439"/>
      <c r="E439" s="149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8"/>
        <v>28</v>
      </c>
      <c r="P439" s="136" t="s">
        <v>1951</v>
      </c>
      <c r="Q439" s="31">
        <f t="shared" si="39"/>
        <v>0</v>
      </c>
      <c r="R439" s="32">
        <f t="shared" si="40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ht="15.75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8"/>
        <v>28</v>
      </c>
      <c r="P440" s="136" t="s">
        <v>1945</v>
      </c>
      <c r="Q440" s="131">
        <f t="shared" si="39"/>
        <v>0</v>
      </c>
      <c r="R440" s="1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s="73" customFormat="1" ht="15.75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8"/>
        <v>27</v>
      </c>
      <c r="P441" s="136" t="s">
        <v>1946</v>
      </c>
      <c r="Q441" s="131">
        <f t="shared" si="39"/>
        <v>1</v>
      </c>
      <c r="R441" s="132">
        <f t="shared" si="40"/>
        <v>0.9642857142857143</v>
      </c>
      <c r="S441" s="70"/>
      <c r="T441" s="70"/>
      <c r="U441" s="70" t="s">
        <v>2208</v>
      </c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0"/>
    </row>
    <row r="442" spans="1:49" ht="15.75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8"/>
        <v>28</v>
      </c>
      <c r="P442" s="136" t="s">
        <v>1948</v>
      </c>
      <c r="Q442" s="31">
        <f t="shared" si="39"/>
        <v>0</v>
      </c>
      <c r="R442" s="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58"/>
    </row>
    <row r="443" spans="1:49" ht="16.899999999999999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8"/>
        <v>28</v>
      </c>
      <c r="P443" s="136" t="s">
        <v>1920</v>
      </c>
      <c r="Q443" s="31">
        <f t="shared" si="39"/>
        <v>0</v>
      </c>
      <c r="R443" s="32">
        <f t="shared" si="40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58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8"/>
        <v>28</v>
      </c>
      <c r="P444" s="136" t="s">
        <v>1952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s="73" customFormat="1" ht="16.899999999999999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8"/>
        <v>28</v>
      </c>
      <c r="P445" s="136" t="s">
        <v>1953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8"/>
        <v>28</v>
      </c>
      <c r="P446" s="136" t="s">
        <v>2402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8"/>
        <v>27</v>
      </c>
      <c r="P447" s="136" t="s">
        <v>1956</v>
      </c>
      <c r="Q447" s="31">
        <f t="shared" si="39"/>
        <v>1</v>
      </c>
      <c r="R447" s="32">
        <f t="shared" si="40"/>
        <v>0.9642857142857143</v>
      </c>
      <c r="S447" s="70"/>
      <c r="T447" s="70"/>
      <c r="U447" s="70" t="s">
        <v>2208</v>
      </c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8"/>
        <v>27</v>
      </c>
      <c r="P448" s="136" t="s">
        <v>1957</v>
      </c>
      <c r="Q448" s="31">
        <f t="shared" si="39"/>
        <v>1</v>
      </c>
      <c r="R448" s="32">
        <f t="shared" si="40"/>
        <v>0.9642857142857143</v>
      </c>
      <c r="S448" s="70"/>
      <c r="T448" s="70"/>
      <c r="U448" s="70" t="s">
        <v>2208</v>
      </c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8"/>
        <v>27</v>
      </c>
      <c r="P449" s="136" t="s">
        <v>1954</v>
      </c>
      <c r="Q449" s="31">
        <f t="shared" si="39"/>
        <v>1</v>
      </c>
      <c r="R449" s="32">
        <f t="shared" si="40"/>
        <v>0.9642857142857143</v>
      </c>
      <c r="S449" s="70"/>
      <c r="T449" s="70"/>
      <c r="U449" s="70" t="s">
        <v>2208</v>
      </c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8"/>
        <v>27</v>
      </c>
      <c r="P450" s="136" t="s">
        <v>1955</v>
      </c>
      <c r="Q450" s="31">
        <f t="shared" si="39"/>
        <v>1</v>
      </c>
      <c r="R450" s="32">
        <f t="shared" si="40"/>
        <v>0.9642857142857143</v>
      </c>
      <c r="S450" s="70"/>
      <c r="T450" s="70"/>
      <c r="U450" s="70" t="s">
        <v>2208</v>
      </c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8"/>
        <v>28</v>
      </c>
      <c r="P451" s="136" t="s">
        <v>1961</v>
      </c>
      <c r="Q451" s="131">
        <f t="shared" si="39"/>
        <v>0</v>
      </c>
      <c r="R451" s="132">
        <f t="shared" si="40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thickBot="1" x14ac:dyDescent="0.3">
      <c r="A452"/>
      <c r="B452"/>
      <c r="C452"/>
      <c r="D452"/>
      <c r="E452" s="149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8"/>
        <v>28</v>
      </c>
      <c r="P452" s="136" t="s">
        <v>1964</v>
      </c>
      <c r="Q452" s="31">
        <f t="shared" si="39"/>
        <v>0</v>
      </c>
      <c r="R452" s="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8"/>
        <v>28</v>
      </c>
      <c r="P453" s="143"/>
      <c r="Q453" s="139">
        <f t="shared" si="39"/>
        <v>0</v>
      </c>
      <c r="R453" s="141">
        <f t="shared" si="40"/>
        <v>1</v>
      </c>
      <c r="S453" s="138"/>
      <c r="T453" s="138"/>
      <c r="U453" s="138"/>
      <c r="V453" s="138"/>
      <c r="W453" s="138"/>
      <c r="X453" s="70"/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58"/>
      <c r="AW453" s="158"/>
    </row>
    <row r="454" spans="1:49" s="73" customFormat="1" ht="15.75" thickBot="1" x14ac:dyDescent="0.3">
      <c r="A454"/>
      <c r="B454"/>
      <c r="C454"/>
      <c r="D454"/>
      <c r="E454" s="149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8"/>
        <v>28</v>
      </c>
      <c r="P454" s="136" t="s">
        <v>1965</v>
      </c>
      <c r="Q454" s="31">
        <f t="shared" si="39"/>
        <v>0</v>
      </c>
      <c r="R454" s="32">
        <f t="shared" si="40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158"/>
      <c r="AW454" s="158"/>
    </row>
    <row r="455" spans="1:49" ht="15.75" thickBot="1" x14ac:dyDescent="0.3">
      <c r="A455"/>
      <c r="B455"/>
      <c r="C455"/>
      <c r="D455"/>
      <c r="E455" s="149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8"/>
        <v>28</v>
      </c>
      <c r="P455" s="136" t="s">
        <v>1966</v>
      </c>
      <c r="Q455" s="31">
        <f t="shared" si="39"/>
        <v>0</v>
      </c>
      <c r="R455" s="32">
        <f t="shared" si="40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158"/>
    </row>
    <row r="456" spans="1:49" ht="15.75" thickBot="1" x14ac:dyDescent="0.3">
      <c r="A456"/>
      <c r="B456"/>
      <c r="C456"/>
      <c r="D456"/>
      <c r="E456" s="149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8"/>
        <v>27</v>
      </c>
      <c r="P456" s="136" t="s">
        <v>1970</v>
      </c>
      <c r="Q456" s="31">
        <f t="shared" si="39"/>
        <v>1</v>
      </c>
      <c r="R456" s="32">
        <f t="shared" si="40"/>
        <v>0.9642857142857143</v>
      </c>
      <c r="S456" s="70"/>
      <c r="T456" s="70"/>
      <c r="U456" s="70" t="s">
        <v>2208</v>
      </c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158"/>
    </row>
    <row r="457" spans="1:49" ht="15.75" thickBot="1" x14ac:dyDescent="0.3">
      <c r="A457"/>
      <c r="B457"/>
      <c r="C457"/>
      <c r="D457"/>
      <c r="E457" s="149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8"/>
        <v>27</v>
      </c>
      <c r="P457" s="136" t="s">
        <v>1971</v>
      </c>
      <c r="Q457" s="31">
        <f t="shared" si="39"/>
        <v>1</v>
      </c>
      <c r="R457" s="32">
        <f t="shared" si="40"/>
        <v>0.9642857142857143</v>
      </c>
      <c r="S457" s="70"/>
      <c r="T457" s="70"/>
      <c r="U457" s="70" t="s">
        <v>2208</v>
      </c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8"/>
        <v>28</v>
      </c>
      <c r="P458" s="136" t="s">
        <v>1958</v>
      </c>
      <c r="Q458" s="31">
        <f t="shared" si="39"/>
        <v>0</v>
      </c>
      <c r="R458" s="32">
        <f t="shared" si="40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thickBot="1" x14ac:dyDescent="0.3">
      <c r="A459"/>
      <c r="B459"/>
      <c r="C459"/>
      <c r="D459"/>
      <c r="E459" s="149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8"/>
        <v>28</v>
      </c>
      <c r="P459" s="136" t="s">
        <v>1959</v>
      </c>
      <c r="Q459" s="31">
        <f t="shared" si="39"/>
        <v>0</v>
      </c>
      <c r="R459" s="32">
        <f t="shared" si="40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s="69" customFormat="1" ht="15.75" thickBot="1" x14ac:dyDescent="0.3">
      <c r="A460"/>
      <c r="B460"/>
      <c r="C460"/>
      <c r="D460"/>
      <c r="E460" s="149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8"/>
        <v>28</v>
      </c>
      <c r="P460" s="136" t="s">
        <v>1960</v>
      </c>
      <c r="Q460" s="131">
        <f t="shared" si="39"/>
        <v>0</v>
      </c>
      <c r="R460" s="1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s="69" customFormat="1" ht="15.75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8"/>
        <v>28</v>
      </c>
      <c r="P461" s="136" t="s">
        <v>2396</v>
      </c>
      <c r="Q461" s="31">
        <f t="shared" si="39"/>
        <v>0</v>
      </c>
      <c r="R461" s="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ht="15.75" thickBot="1" x14ac:dyDescent="0.3">
      <c r="A462"/>
      <c r="B462"/>
      <c r="C462"/>
      <c r="D462"/>
      <c r="E462" s="149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8"/>
        <v>28</v>
      </c>
      <c r="P462" s="136" t="s">
        <v>1962</v>
      </c>
      <c r="Q462" s="31">
        <f t="shared" si="39"/>
        <v>0</v>
      </c>
      <c r="R462" s="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ht="15.75" thickBot="1" x14ac:dyDescent="0.3">
      <c r="A463"/>
      <c r="B463"/>
      <c r="C463"/>
      <c r="D463"/>
      <c r="E463" s="149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8"/>
        <v>28</v>
      </c>
      <c r="P463" s="136" t="s">
        <v>1963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8"/>
        <v>28</v>
      </c>
      <c r="P464" s="136" t="s">
        <v>2397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s="69" customFormat="1" ht="15.75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8"/>
        <v>27</v>
      </c>
      <c r="P465" s="140"/>
      <c r="Q465" s="139">
        <f t="shared" si="39"/>
        <v>1</v>
      </c>
      <c r="R465" s="141">
        <f t="shared" si="40"/>
        <v>0.9642857142857143</v>
      </c>
      <c r="S465" s="70"/>
      <c r="T465" s="70"/>
      <c r="U465" s="70" t="s">
        <v>2208</v>
      </c>
      <c r="V465" s="142"/>
      <c r="W465" s="142"/>
      <c r="X465" s="70"/>
      <c r="Y465" s="70"/>
      <c r="Z465" s="70"/>
      <c r="AA465" s="142"/>
      <c r="AB465" s="142"/>
      <c r="AC465" s="142"/>
      <c r="AD465" s="142"/>
      <c r="AE465" s="70"/>
      <c r="AF465" s="70"/>
      <c r="AG465" s="70"/>
      <c r="AH465" s="70"/>
      <c r="AI465" s="70"/>
      <c r="AJ465" s="142"/>
      <c r="AK465" s="142"/>
      <c r="AL465" s="70"/>
      <c r="AM465" s="70"/>
      <c r="AN465" s="70"/>
      <c r="AO465" s="70"/>
      <c r="AP465" s="142"/>
      <c r="AQ465" s="142"/>
      <c r="AR465" s="142"/>
      <c r="AS465" s="70"/>
      <c r="AT465" s="70"/>
      <c r="AU465" s="70"/>
      <c r="AV465" s="70"/>
      <c r="AW465" s="70"/>
    </row>
    <row r="466" spans="1:49" s="73" customFormat="1" ht="15.75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1">COUNTIF(S466:AT466,"")</f>
        <v>28</v>
      </c>
      <c r="P466" s="136" t="s">
        <v>2398</v>
      </c>
      <c r="Q466" s="31">
        <f t="shared" ref="Q466:Q529" si="42">COUNTIF(S466:AT466,"APAGADO")</f>
        <v>0</v>
      </c>
      <c r="R466" s="32">
        <f t="shared" ref="R466:R529" si="43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58"/>
    </row>
    <row r="467" spans="1:49" s="73" customFormat="1" ht="15.75" thickBot="1" x14ac:dyDescent="0.3">
      <c r="A467"/>
      <c r="B467"/>
      <c r="C467"/>
      <c r="D467"/>
      <c r="E467" s="149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1"/>
        <v>28</v>
      </c>
      <c r="P467" s="136" t="s">
        <v>1967</v>
      </c>
      <c r="Q467" s="131">
        <f t="shared" si="42"/>
        <v>0</v>
      </c>
      <c r="R467" s="132">
        <f t="shared" si="43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58"/>
    </row>
    <row r="468" spans="1:49" ht="15.75" thickBot="1" x14ac:dyDescent="0.3">
      <c r="A468"/>
      <c r="B468"/>
      <c r="C468"/>
      <c r="D468"/>
      <c r="E468" s="149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1"/>
        <v>27</v>
      </c>
      <c r="P468" s="136" t="s">
        <v>1968</v>
      </c>
      <c r="Q468" s="131">
        <f t="shared" si="42"/>
        <v>1</v>
      </c>
      <c r="R468" s="132">
        <f t="shared" si="43"/>
        <v>0.9642857142857143</v>
      </c>
      <c r="S468" s="70"/>
      <c r="T468" s="70"/>
      <c r="U468" s="70" t="s">
        <v>2208</v>
      </c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</row>
    <row r="469" spans="1:49" ht="15.75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1"/>
        <v>27</v>
      </c>
      <c r="P469" s="136" t="s">
        <v>1969</v>
      </c>
      <c r="Q469" s="131">
        <f t="shared" si="42"/>
        <v>1</v>
      </c>
      <c r="R469" s="132">
        <f t="shared" si="43"/>
        <v>0.9642857142857143</v>
      </c>
      <c r="S469" s="70"/>
      <c r="T469" s="70"/>
      <c r="U469" s="70" t="s">
        <v>2208</v>
      </c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</row>
    <row r="470" spans="1:49" ht="15.75" thickBot="1" x14ac:dyDescent="0.3">
      <c r="A470"/>
      <c r="B470"/>
      <c r="C470"/>
      <c r="D470"/>
      <c r="E470" s="149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1"/>
        <v>28</v>
      </c>
      <c r="P470" s="136" t="s">
        <v>1972</v>
      </c>
      <c r="Q470" s="31">
        <f t="shared" si="42"/>
        <v>0</v>
      </c>
      <c r="R470" s="32">
        <f t="shared" si="43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158"/>
    </row>
    <row r="471" spans="1:49" ht="15.75" thickBot="1" x14ac:dyDescent="0.3">
      <c r="A471"/>
      <c r="B471"/>
      <c r="C471"/>
      <c r="D471"/>
      <c r="E471" s="149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1"/>
        <v>28</v>
      </c>
      <c r="P471" s="136" t="s">
        <v>1973</v>
      </c>
      <c r="Q471" s="31">
        <f t="shared" si="42"/>
        <v>0</v>
      </c>
      <c r="R471" s="32">
        <f t="shared" si="43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158"/>
    </row>
    <row r="472" spans="1:49" s="73" customFormat="1" ht="15.75" thickBot="1" x14ac:dyDescent="0.3">
      <c r="A472"/>
      <c r="B472"/>
      <c r="C472"/>
      <c r="D472"/>
      <c r="E472" s="149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1"/>
        <v>28</v>
      </c>
      <c r="P472" s="136" t="s">
        <v>2399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s="73" customFormat="1" ht="15.75" thickBot="1" x14ac:dyDescent="0.3">
      <c r="A473"/>
      <c r="B473"/>
      <c r="C473"/>
      <c r="D473"/>
      <c r="E473" s="149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1"/>
        <v>28</v>
      </c>
      <c r="P473" s="136" t="s">
        <v>2400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thickBot="1" x14ac:dyDescent="0.3">
      <c r="A474"/>
      <c r="B474"/>
      <c r="C474"/>
      <c r="D474"/>
      <c r="E474" s="149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1"/>
        <v>28</v>
      </c>
      <c r="P474" s="136" t="s">
        <v>2403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thickBot="1" x14ac:dyDescent="0.3">
      <c r="A475"/>
      <c r="B475"/>
      <c r="C475"/>
      <c r="D475"/>
      <c r="E475" s="149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1"/>
        <v>28</v>
      </c>
      <c r="P475" s="136" t="s">
        <v>2404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thickBot="1" x14ac:dyDescent="0.3">
      <c r="A476"/>
      <c r="B476"/>
      <c r="C476"/>
      <c r="D476"/>
      <c r="E476" s="149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1"/>
        <v>28</v>
      </c>
      <c r="P476" s="136" t="s">
        <v>2405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1"/>
        <v>28</v>
      </c>
      <c r="P477" s="136" t="s">
        <v>2406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thickBot="1" x14ac:dyDescent="0.3">
      <c r="A478"/>
      <c r="B478"/>
      <c r="C478"/>
      <c r="D478"/>
      <c r="E478" s="149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1"/>
        <v>28</v>
      </c>
      <c r="P479" s="136" t="s">
        <v>1974</v>
      </c>
      <c r="Q479" s="131">
        <f t="shared" si="42"/>
        <v>0</v>
      </c>
      <c r="R479" s="132">
        <f t="shared" si="43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1"/>
        <v>28</v>
      </c>
      <c r="P480" s="136" t="s">
        <v>1975</v>
      </c>
      <c r="Q480" s="131">
        <f t="shared" si="42"/>
        <v>0</v>
      </c>
      <c r="R480" s="132">
        <f t="shared" si="43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1"/>
        <v>27</v>
      </c>
      <c r="P481" s="136"/>
      <c r="Q481" s="131">
        <f t="shared" si="42"/>
        <v>1</v>
      </c>
      <c r="R481" s="132">
        <f t="shared" si="43"/>
        <v>0.9642857142857143</v>
      </c>
      <c r="S481" s="70"/>
      <c r="T481" s="70"/>
      <c r="U481" s="70" t="s">
        <v>2208</v>
      </c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</row>
    <row r="482" spans="1:49" s="73" customFormat="1" ht="15.75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1"/>
        <v>28</v>
      </c>
      <c r="P482" s="136" t="s">
        <v>2087</v>
      </c>
      <c r="Q482" s="131">
        <f t="shared" si="42"/>
        <v>0</v>
      </c>
      <c r="R482" s="132">
        <f t="shared" si="43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58"/>
    </row>
    <row r="483" spans="1:49" ht="15.75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1"/>
        <v>28</v>
      </c>
      <c r="P483" s="136" t="s">
        <v>1976</v>
      </c>
      <c r="Q483" s="31">
        <f t="shared" si="42"/>
        <v>0</v>
      </c>
      <c r="R483" s="32">
        <f t="shared" si="43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58"/>
    </row>
    <row r="484" spans="1:49" ht="15.75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1"/>
        <v>28</v>
      </c>
      <c r="P484" s="136" t="s">
        <v>1977</v>
      </c>
      <c r="Q484" s="31">
        <f t="shared" si="42"/>
        <v>0</v>
      </c>
      <c r="R484" s="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1"/>
        <v>28</v>
      </c>
      <c r="P485" s="136" t="s">
        <v>1978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1"/>
        <v>28</v>
      </c>
      <c r="P486" s="136" t="s">
        <v>1979</v>
      </c>
      <c r="Q486" s="31">
        <f t="shared" si="42"/>
        <v>0</v>
      </c>
      <c r="R486" s="32">
        <f t="shared" si="43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1"/>
        <v>28</v>
      </c>
      <c r="P487" s="136" t="s">
        <v>1980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1"/>
        <v>28</v>
      </c>
      <c r="P488" s="136" t="s">
        <v>1981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s="73" customFormat="1" ht="15.75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1"/>
        <v>28</v>
      </c>
      <c r="P489" s="136" t="s">
        <v>1982</v>
      </c>
      <c r="Q489" s="131">
        <f t="shared" si="42"/>
        <v>0</v>
      </c>
      <c r="R489" s="1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s="73" customFormat="1" ht="15.75" thickBot="1" x14ac:dyDescent="0.3">
      <c r="A490"/>
      <c r="B490"/>
      <c r="C490"/>
      <c r="D490"/>
      <c r="E490" s="149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1"/>
        <v>28</v>
      </c>
      <c r="P490" s="136" t="s">
        <v>1983</v>
      </c>
      <c r="Q490" s="31">
        <f t="shared" si="42"/>
        <v>0</v>
      </c>
      <c r="R490" s="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ht="15.75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1"/>
        <v>28</v>
      </c>
      <c r="P491" s="136" t="s">
        <v>1984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s="73" customFormat="1" ht="15.75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1"/>
        <v>28</v>
      </c>
      <c r="P492" s="136" t="s">
        <v>1985</v>
      </c>
      <c r="Q492" s="131">
        <f t="shared" si="42"/>
        <v>0</v>
      </c>
      <c r="R492" s="1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s="73" customFormat="1" ht="15.75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1"/>
        <v>28</v>
      </c>
      <c r="P493" s="136" t="s">
        <v>1986</v>
      </c>
      <c r="Q493" s="85">
        <f t="shared" si="42"/>
        <v>0</v>
      </c>
      <c r="R493" s="86">
        <f t="shared" si="43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 s="158"/>
    </row>
    <row r="494" spans="1:49" ht="15.75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1"/>
        <v>28</v>
      </c>
      <c r="P494" s="136" t="s">
        <v>1987</v>
      </c>
      <c r="Q494" s="31">
        <f t="shared" si="42"/>
        <v>0</v>
      </c>
      <c r="R494" s="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58"/>
    </row>
    <row r="495" spans="1:49" ht="15.75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1"/>
        <v>28</v>
      </c>
      <c r="P495" s="136" t="s">
        <v>1988</v>
      </c>
      <c r="Q495" s="31">
        <f t="shared" si="42"/>
        <v>0</v>
      </c>
      <c r="R495" s="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58"/>
    </row>
    <row r="496" spans="1:49" ht="15.75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1"/>
        <v>28</v>
      </c>
      <c r="P496" s="136" t="s">
        <v>1989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s="73" customFormat="1" ht="15.75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1"/>
        <v>28</v>
      </c>
      <c r="P497" s="136" t="s">
        <v>1990</v>
      </c>
      <c r="Q497" s="85">
        <f t="shared" si="42"/>
        <v>0</v>
      </c>
      <c r="R497" s="86">
        <f t="shared" si="43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 s="158"/>
    </row>
    <row r="498" spans="1:49" s="73" customFormat="1" ht="15.75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1"/>
        <v>28</v>
      </c>
      <c r="P498" s="136" t="s">
        <v>2105</v>
      </c>
      <c r="Q498" s="85">
        <f t="shared" si="42"/>
        <v>0</v>
      </c>
      <c r="R498" s="86">
        <f t="shared" si="43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 s="158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1"/>
        <v>28</v>
      </c>
      <c r="P499" s="136" t="s">
        <v>2106</v>
      </c>
      <c r="Q499" s="85">
        <f t="shared" si="42"/>
        <v>0</v>
      </c>
      <c r="R499" s="86">
        <f t="shared" si="43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1"/>
        <v>28</v>
      </c>
      <c r="P500" s="136" t="s">
        <v>2107</v>
      </c>
      <c r="Q500" s="85">
        <f t="shared" si="42"/>
        <v>0</v>
      </c>
      <c r="R500" s="86">
        <f t="shared" si="43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1"/>
        <v>28</v>
      </c>
      <c r="P501" s="136" t="s">
        <v>2108</v>
      </c>
      <c r="Q501" s="85">
        <f t="shared" si="42"/>
        <v>0</v>
      </c>
      <c r="R501" s="86">
        <f t="shared" si="43"/>
        <v>1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1"/>
        <v>28</v>
      </c>
      <c r="P502" s="136" t="s">
        <v>2241</v>
      </c>
      <c r="Q502" s="85">
        <f t="shared" si="42"/>
        <v>0</v>
      </c>
      <c r="R502" s="86">
        <f t="shared" si="43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1"/>
        <v>28</v>
      </c>
      <c r="P503" s="136" t="s">
        <v>1991</v>
      </c>
      <c r="Q503" s="131">
        <f t="shared" si="42"/>
        <v>0</v>
      </c>
      <c r="R503" s="132">
        <f t="shared" si="43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158"/>
    </row>
    <row r="504" spans="1:49" ht="15.75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1"/>
        <v>28</v>
      </c>
      <c r="P504" s="136" t="s">
        <v>2407</v>
      </c>
      <c r="Q504" s="31">
        <f t="shared" si="42"/>
        <v>0</v>
      </c>
      <c r="R504" s="32">
        <f t="shared" si="43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158"/>
    </row>
    <row r="505" spans="1:49" ht="15.75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1"/>
        <v>28</v>
      </c>
      <c r="P505" s="136" t="s">
        <v>1993</v>
      </c>
      <c r="Q505" s="31">
        <f t="shared" si="42"/>
        <v>0</v>
      </c>
      <c r="R505" s="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1"/>
        <v>28</v>
      </c>
      <c r="P506" s="136" t="s">
        <v>1994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1"/>
        <v>28</v>
      </c>
      <c r="P507" s="136" t="s">
        <v>2408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1"/>
        <v>28</v>
      </c>
      <c r="P508" s="136" t="s">
        <v>2409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1"/>
        <v>27</v>
      </c>
      <c r="P509" s="136" t="s">
        <v>2410</v>
      </c>
      <c r="Q509" s="31">
        <f t="shared" si="42"/>
        <v>1</v>
      </c>
      <c r="R509" s="32">
        <f t="shared" si="43"/>
        <v>0.9642857142857143</v>
      </c>
      <c r="S509" s="70"/>
      <c r="T509" s="70"/>
      <c r="U509" s="70" t="s">
        <v>2208</v>
      </c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1"/>
        <v>27</v>
      </c>
      <c r="P510" s="136" t="s">
        <v>2411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 t="s">
        <v>2208</v>
      </c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1"/>
        <v>28</v>
      </c>
      <c r="P511" s="136" t="s">
        <v>1992</v>
      </c>
      <c r="Q511" s="31">
        <f t="shared" si="42"/>
        <v>0</v>
      </c>
      <c r="R511" s="32">
        <f t="shared" si="43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1"/>
        <v>28</v>
      </c>
      <c r="P512" s="136" t="s">
        <v>1995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1"/>
        <v>28</v>
      </c>
      <c r="P513" s="136" t="s">
        <v>1996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1"/>
        <v>28</v>
      </c>
      <c r="P514" s="136" t="s">
        <v>1997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1"/>
        <v>28</v>
      </c>
      <c r="P515" s="136" t="s">
        <v>1998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1"/>
        <v>28</v>
      </c>
      <c r="P516" s="136" t="s">
        <v>1999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1"/>
        <v>28</v>
      </c>
      <c r="P517" s="136" t="s">
        <v>2009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thickBot="1" x14ac:dyDescent="0.3">
      <c r="A518"/>
      <c r="B518"/>
      <c r="C518"/>
      <c r="D518"/>
      <c r="E518" s="149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1"/>
        <v>28</v>
      </c>
      <c r="P518" s="136" t="s">
        <v>2013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1"/>
        <v>28</v>
      </c>
      <c r="P519" s="136" t="s">
        <v>2014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1"/>
        <v>28</v>
      </c>
      <c r="P520" s="136" t="s">
        <v>2015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s="73" customFormat="1" ht="15.75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1"/>
        <v>28</v>
      </c>
      <c r="P521" s="136" t="s">
        <v>2016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ht="15.75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1"/>
        <v>28</v>
      </c>
      <c r="P522" s="136" t="s">
        <v>2018</v>
      </c>
      <c r="Q522" s="131">
        <f t="shared" si="42"/>
        <v>0</v>
      </c>
      <c r="R522" s="1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ht="15.75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1"/>
        <v>28</v>
      </c>
      <c r="P523" s="136" t="s">
        <v>2019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s="73" customFormat="1" ht="15.75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1"/>
        <v>28</v>
      </c>
      <c r="P524" s="136" t="s">
        <v>2020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ht="15.75" thickBot="1" x14ac:dyDescent="0.3">
      <c r="A525"/>
      <c r="B525"/>
      <c r="C525"/>
      <c r="D525"/>
      <c r="E525" s="149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1"/>
        <v>28</v>
      </c>
      <c r="P525" s="136" t="s">
        <v>2023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ht="15.75" thickBot="1" x14ac:dyDescent="0.3">
      <c r="A526"/>
      <c r="B526"/>
      <c r="C526"/>
      <c r="D526"/>
      <c r="E526" s="149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1"/>
        <v>28</v>
      </c>
      <c r="P526" s="136" t="s">
        <v>2024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1"/>
        <v>28</v>
      </c>
      <c r="P527" s="136" t="s">
        <v>2025</v>
      </c>
      <c r="Q527" s="131">
        <f t="shared" si="42"/>
        <v>0</v>
      </c>
      <c r="R527" s="1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thickBot="1" x14ac:dyDescent="0.3">
      <c r="A528"/>
      <c r="B528"/>
      <c r="C528"/>
      <c r="D528"/>
      <c r="E528" s="149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1"/>
        <v>28</v>
      </c>
      <c r="P528" s="136" t="s">
        <v>2026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1"/>
        <v>28</v>
      </c>
      <c r="P529" s="136" t="s">
        <v>2027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thickBot="1" x14ac:dyDescent="0.3">
      <c r="A530"/>
      <c r="B530"/>
      <c r="C530"/>
      <c r="D530"/>
      <c r="E530" s="149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4">COUNTIF(S530:AT530,"")</f>
        <v>28</v>
      </c>
      <c r="P530" s="136" t="s">
        <v>2000</v>
      </c>
      <c r="Q530" s="31">
        <f t="shared" ref="Q530:Q595" si="45">COUNTIF(S530:AT530,"APAGADO")</f>
        <v>0</v>
      </c>
      <c r="R530" s="32">
        <f t="shared" ref="R530:R595" si="46">(O530)/(Q530+O530)</f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4"/>
        <v>28</v>
      </c>
      <c r="P531" s="136" t="s">
        <v>2001</v>
      </c>
      <c r="Q531" s="31">
        <f t="shared" si="45"/>
        <v>0</v>
      </c>
      <c r="R531" s="32">
        <f t="shared" si="46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4"/>
        <v>28</v>
      </c>
      <c r="P532" s="136" t="s">
        <v>2002</v>
      </c>
      <c r="Q532" s="31">
        <f t="shared" si="45"/>
        <v>0</v>
      </c>
      <c r="R532" s="32">
        <f t="shared" si="46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4"/>
        <v>28</v>
      </c>
      <c r="P533" s="136" t="s">
        <v>2003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4"/>
        <v>28</v>
      </c>
      <c r="P534" s="136" t="s">
        <v>2004</v>
      </c>
      <c r="Q534" s="131">
        <f t="shared" si="45"/>
        <v>0</v>
      </c>
      <c r="R534" s="1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4"/>
        <v>28</v>
      </c>
      <c r="P535" s="136" t="s">
        <v>2005</v>
      </c>
      <c r="Q535" s="31">
        <f t="shared" si="45"/>
        <v>0</v>
      </c>
      <c r="R535" s="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s="73" customFormat="1" ht="15.75" thickBot="1" x14ac:dyDescent="0.3">
      <c r="A536"/>
      <c r="B536"/>
      <c r="C536"/>
      <c r="D536"/>
      <c r="E536" s="149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4"/>
        <v>28</v>
      </c>
      <c r="P536" s="136" t="s">
        <v>2006</v>
      </c>
      <c r="Q536" s="31">
        <f t="shared" si="45"/>
        <v>0</v>
      </c>
      <c r="R536" s="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ht="15.75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4"/>
        <v>28</v>
      </c>
      <c r="P537" s="136" t="s">
        <v>2007</v>
      </c>
      <c r="Q537" s="131">
        <f t="shared" si="45"/>
        <v>0</v>
      </c>
      <c r="R537" s="1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ht="15.75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4"/>
        <v>28</v>
      </c>
      <c r="P538" s="136" t="s">
        <v>2008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4"/>
        <v>28</v>
      </c>
      <c r="P539" s="136" t="s">
        <v>2010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4"/>
        <v>28</v>
      </c>
      <c r="P540" s="136" t="s">
        <v>2011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thickBot="1" x14ac:dyDescent="0.3">
      <c r="A541"/>
      <c r="B541"/>
      <c r="C541"/>
      <c r="D541"/>
      <c r="E541" s="149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4"/>
        <v>28</v>
      </c>
      <c r="P541" s="136" t="s">
        <v>2012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4"/>
        <v>28</v>
      </c>
      <c r="P542" s="136" t="s">
        <v>2017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s="73" customFormat="1" ht="15.75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4"/>
        <v>28</v>
      </c>
      <c r="P543" s="136" t="s">
        <v>2412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ht="15.75" thickBot="1" x14ac:dyDescent="0.3">
      <c r="A544"/>
      <c r="B544"/>
      <c r="C544"/>
      <c r="D544"/>
      <c r="E544" s="149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4"/>
        <v>28</v>
      </c>
      <c r="P544" s="136" t="s">
        <v>2021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s="73" customFormat="1" ht="15.75" thickBot="1" x14ac:dyDescent="0.3">
      <c r="A545"/>
      <c r="B545"/>
      <c r="C545"/>
      <c r="D545"/>
      <c r="E545" s="149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4"/>
        <v>28</v>
      </c>
      <c r="P545" s="136" t="s">
        <v>2022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s="73" customFormat="1" ht="15.75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4"/>
        <v>28</v>
      </c>
      <c r="P546" s="136" t="s">
        <v>2028</v>
      </c>
      <c r="Q546" s="131">
        <f t="shared" si="45"/>
        <v>0</v>
      </c>
      <c r="R546" s="1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4"/>
        <v>28</v>
      </c>
      <c r="P547" s="136" t="s">
        <v>2159</v>
      </c>
      <c r="Q547" s="131">
        <f t="shared" si="45"/>
        <v>0</v>
      </c>
      <c r="R547" s="1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4"/>
        <v>28</v>
      </c>
      <c r="P548" s="136" t="s">
        <v>2162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ht="15.75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4"/>
        <v>28</v>
      </c>
      <c r="P549" s="136" t="s">
        <v>2029</v>
      </c>
      <c r="Q549" s="31">
        <f t="shared" si="45"/>
        <v>0</v>
      </c>
      <c r="R549" s="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ht="15.75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4"/>
        <v>28</v>
      </c>
      <c r="P550" s="136" t="s">
        <v>2030</v>
      </c>
      <c r="Q550" s="31">
        <f t="shared" si="45"/>
        <v>0</v>
      </c>
      <c r="R550" s="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4"/>
        <v>28</v>
      </c>
      <c r="P551" s="136" t="s">
        <v>2460</v>
      </c>
      <c r="Q551" s="31">
        <f t="shared" si="45"/>
        <v>0</v>
      </c>
      <c r="R551" s="32">
        <f t="shared" si="46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4"/>
        <v>28</v>
      </c>
      <c r="P552" s="136" t="s">
        <v>2031</v>
      </c>
      <c r="Q552" s="31">
        <f t="shared" si="45"/>
        <v>0</v>
      </c>
      <c r="R552" s="32">
        <f t="shared" si="46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4"/>
        <v>28</v>
      </c>
      <c r="P553" s="136" t="s">
        <v>2032</v>
      </c>
      <c r="Q553" s="31">
        <f t="shared" si="45"/>
        <v>0</v>
      </c>
      <c r="R553" s="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4"/>
        <v>28</v>
      </c>
      <c r="P554" s="136" t="s">
        <v>2033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s="88" customFormat="1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4"/>
        <v>28</v>
      </c>
      <c r="P555" s="136" t="s">
        <v>2034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s="88" customFormat="1" ht="15.75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4"/>
        <v>28</v>
      </c>
      <c r="P556" s="136" t="s">
        <v>2035</v>
      </c>
      <c r="Q556" s="31">
        <f t="shared" si="45"/>
        <v>0</v>
      </c>
      <c r="R556" s="32">
        <f t="shared" si="46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73" customFormat="1" ht="15.75" thickBot="1" x14ac:dyDescent="0.3">
      <c r="A557"/>
      <c r="B557"/>
      <c r="C557"/>
      <c r="D557"/>
      <c r="E557" s="149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4"/>
        <v>28</v>
      </c>
      <c r="P557" s="136" t="s">
        <v>2122</v>
      </c>
      <c r="Q557" s="31">
        <f t="shared" si="45"/>
        <v>0</v>
      </c>
      <c r="R557" s="32">
        <f t="shared" si="46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ht="15.75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4"/>
        <v>28</v>
      </c>
      <c r="P558" s="136" t="s">
        <v>2036</v>
      </c>
      <c r="Q558" s="131">
        <f t="shared" si="45"/>
        <v>0</v>
      </c>
      <c r="R558" s="1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s="73" customFormat="1" ht="15.75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4"/>
        <v>28</v>
      </c>
      <c r="P559" s="136" t="s">
        <v>2037</v>
      </c>
      <c r="Q559" s="31">
        <f t="shared" si="45"/>
        <v>0</v>
      </c>
      <c r="R559" s="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s="73" customFormat="1" ht="15.75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4"/>
        <v>27</v>
      </c>
      <c r="P560" s="136" t="s">
        <v>2038</v>
      </c>
      <c r="Q560" s="131">
        <f t="shared" si="45"/>
        <v>1</v>
      </c>
      <c r="R560" s="132">
        <f t="shared" si="46"/>
        <v>0.9642857142857143</v>
      </c>
      <c r="S560" s="70"/>
      <c r="T560" s="70"/>
      <c r="U560" s="70" t="s">
        <v>2208</v>
      </c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4"/>
        <v>28</v>
      </c>
      <c r="P561" s="136" t="s">
        <v>2039</v>
      </c>
      <c r="Q561" s="131">
        <f t="shared" si="45"/>
        <v>0</v>
      </c>
      <c r="R561" s="132">
        <f t="shared" si="46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58"/>
    </row>
    <row r="562" spans="1:49" s="73" customFormat="1" ht="15.75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4"/>
        <v>28</v>
      </c>
      <c r="P562" s="136" t="s">
        <v>2040</v>
      </c>
      <c r="Q562" s="31">
        <f t="shared" si="45"/>
        <v>0</v>
      </c>
      <c r="R562" s="32">
        <f t="shared" si="46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58"/>
    </row>
    <row r="563" spans="1:49" ht="15.75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4"/>
        <v>28</v>
      </c>
      <c r="P563" s="136" t="s">
        <v>2041</v>
      </c>
      <c r="Q563" s="131">
        <f t="shared" si="45"/>
        <v>0</v>
      </c>
      <c r="R563" s="1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ht="15.75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4"/>
        <v>28</v>
      </c>
      <c r="P564" s="136" t="s">
        <v>2137</v>
      </c>
      <c r="Q564" s="31">
        <f t="shared" si="45"/>
        <v>0</v>
      </c>
      <c r="R564" s="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s="73" customFormat="1" ht="15.75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4"/>
        <v>28</v>
      </c>
      <c r="P565" s="136" t="s">
        <v>2080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s="73" customFormat="1" ht="15.75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4"/>
        <v>28</v>
      </c>
      <c r="P566" s="136" t="s">
        <v>2084</v>
      </c>
      <c r="Q566" s="131">
        <f t="shared" si="45"/>
        <v>0</v>
      </c>
      <c r="R566" s="1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4"/>
        <v>28</v>
      </c>
      <c r="P567" s="136" t="s">
        <v>2042</v>
      </c>
      <c r="Q567" s="131">
        <f t="shared" si="45"/>
        <v>0</v>
      </c>
      <c r="R567" s="1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4"/>
        <v>28</v>
      </c>
      <c r="P568" s="136" t="s">
        <v>2043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4"/>
        <v>28</v>
      </c>
      <c r="P569" s="136" t="s">
        <v>2044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4"/>
        <v>28</v>
      </c>
      <c r="P570" s="136" t="s">
        <v>2045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thickBot="1" x14ac:dyDescent="0.3">
      <c r="A571"/>
      <c r="B571"/>
      <c r="C571"/>
      <c r="D571"/>
      <c r="E571" s="149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4"/>
        <v>28</v>
      </c>
      <c r="P571" s="136" t="s">
        <v>2126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ht="15.75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4"/>
        <v>27</v>
      </c>
      <c r="P572" s="136"/>
      <c r="Q572" s="131">
        <f t="shared" si="45"/>
        <v>1</v>
      </c>
      <c r="R572" s="132">
        <f t="shared" si="46"/>
        <v>0.9642857142857143</v>
      </c>
      <c r="S572" s="70"/>
      <c r="T572" s="70"/>
      <c r="U572" s="70" t="s">
        <v>2208</v>
      </c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ht="15.75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4"/>
        <v>28</v>
      </c>
      <c r="P573" s="136" t="s">
        <v>2127</v>
      </c>
      <c r="Q573" s="131">
        <f t="shared" si="45"/>
        <v>0</v>
      </c>
      <c r="R573" s="132">
        <f t="shared" si="46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4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4"/>
        <v>28</v>
      </c>
      <c r="P575" s="136" t="s">
        <v>2123</v>
      </c>
      <c r="Q575" s="31">
        <f t="shared" si="45"/>
        <v>0</v>
      </c>
      <c r="R575" s="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4"/>
        <v>28</v>
      </c>
      <c r="P576" s="136" t="s">
        <v>2046</v>
      </c>
      <c r="Q576" s="31">
        <f t="shared" si="45"/>
        <v>0</v>
      </c>
      <c r="R576" s="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s="73" customFormat="1" ht="15.75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4"/>
        <v>28</v>
      </c>
      <c r="P577" s="136" t="s">
        <v>2124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s="73" customFormat="1" ht="15.75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4"/>
        <v>28</v>
      </c>
      <c r="P578" s="136" t="s">
        <v>2047</v>
      </c>
      <c r="Q578" s="31">
        <f t="shared" si="45"/>
        <v>0</v>
      </c>
      <c r="R578" s="32">
        <f t="shared" si="46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ht="15.75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4"/>
        <v>28</v>
      </c>
      <c r="P579" s="136" t="s">
        <v>2048</v>
      </c>
      <c r="Q579" s="131">
        <f t="shared" si="45"/>
        <v>0</v>
      </c>
      <c r="R579" s="1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ht="15.75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5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4"/>
        <v>28</v>
      </c>
      <c r="P580" s="136" t="s">
        <v>2125</v>
      </c>
      <c r="Q580" s="31">
        <f t="shared" si="45"/>
        <v>0</v>
      </c>
      <c r="R580" s="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4"/>
        <v>27</v>
      </c>
      <c r="P581" s="136" t="s">
        <v>2049</v>
      </c>
      <c r="Q581" s="31">
        <f t="shared" si="45"/>
        <v>1</v>
      </c>
      <c r="R581" s="32">
        <f t="shared" si="46"/>
        <v>0.9642857142857143</v>
      </c>
      <c r="S581" s="70"/>
      <c r="T581" s="70"/>
      <c r="U581" s="70" t="s">
        <v>2208</v>
      </c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</row>
    <row r="582" spans="1:49" ht="15.75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5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4"/>
        <v>27</v>
      </c>
      <c r="P582" s="136" t="s">
        <v>2050</v>
      </c>
      <c r="Q582" s="31">
        <f t="shared" si="45"/>
        <v>1</v>
      </c>
      <c r="R582" s="32">
        <f t="shared" si="46"/>
        <v>0.9642857142857143</v>
      </c>
      <c r="S582" s="70"/>
      <c r="T582" s="70"/>
      <c r="U582" s="70" t="s">
        <v>2208</v>
      </c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</row>
    <row r="583" spans="1:49" ht="15.75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4"/>
        <v>27</v>
      </c>
      <c r="P583" s="136" t="s">
        <v>2051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2208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5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4"/>
        <v>27</v>
      </c>
      <c r="P584" s="136" t="s">
        <v>2052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2208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5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4"/>
        <v>28</v>
      </c>
      <c r="P585" s="136" t="s">
        <v>2054</v>
      </c>
      <c r="Q585" s="31">
        <f t="shared" si="45"/>
        <v>0</v>
      </c>
      <c r="R585" s="32">
        <f t="shared" si="46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158"/>
    </row>
    <row r="586" spans="1:49" ht="15.75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5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4"/>
        <v>28</v>
      </c>
      <c r="P586" s="136" t="s">
        <v>2055</v>
      </c>
      <c r="Q586" s="31">
        <f t="shared" si="45"/>
        <v>0</v>
      </c>
      <c r="R586" s="32">
        <f t="shared" si="46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158"/>
    </row>
    <row r="587" spans="1:49" ht="15.75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4"/>
        <v>28</v>
      </c>
      <c r="P587" s="136" t="s">
        <v>2053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s="73" customFormat="1" ht="15.75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4"/>
        <v>28</v>
      </c>
      <c r="P588" s="136" t="s">
        <v>2056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s="73" customFormat="1" ht="15.75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3"/>
      <c r="O589" s="151">
        <f t="shared" si="44"/>
        <v>28</v>
      </c>
      <c r="P589" s="152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4"/>
        <v>28</v>
      </c>
      <c r="P590" s="136" t="s">
        <v>2140</v>
      </c>
      <c r="Q590" s="131">
        <f t="shared" si="45"/>
        <v>0</v>
      </c>
      <c r="R590" s="132">
        <f t="shared" si="46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5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4"/>
        <v>28</v>
      </c>
      <c r="P591" s="136" t="s">
        <v>2190</v>
      </c>
      <c r="Q591" s="131">
        <f t="shared" si="45"/>
        <v>0</v>
      </c>
      <c r="R591" s="1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ht="14.25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5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4"/>
        <v>28</v>
      </c>
      <c r="P592" s="136" t="s">
        <v>2413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ht="15.75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4"/>
        <v>28</v>
      </c>
      <c r="P593" s="136" t="s">
        <v>2142</v>
      </c>
      <c r="Q593" s="31">
        <f t="shared" si="45"/>
        <v>0</v>
      </c>
      <c r="R593" s="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5.75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4"/>
        <v>28</v>
      </c>
      <c r="P594" s="136" t="s">
        <v>2143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4"/>
        <v>28</v>
      </c>
      <c r="P595" s="136" t="s">
        <v>2058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7">COUNTIF(S596:AT596,"")</f>
        <v>28</v>
      </c>
      <c r="P596" s="136" t="s">
        <v>2057</v>
      </c>
      <c r="Q596" s="31">
        <f t="shared" ref="Q596:Q607" si="48">COUNTIF(S596:AT596,"APAGADO")</f>
        <v>0</v>
      </c>
      <c r="R596" s="32">
        <f t="shared" ref="R596:R607" si="49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7"/>
        <v>28</v>
      </c>
      <c r="P597" s="136" t="s">
        <v>2059</v>
      </c>
      <c r="Q597" s="31">
        <f t="shared" si="48"/>
        <v>0</v>
      </c>
      <c r="R597" s="32">
        <f t="shared" si="49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7"/>
        <v>28</v>
      </c>
      <c r="P598" s="136" t="s">
        <v>2141</v>
      </c>
      <c r="Q598" s="31">
        <f t="shared" si="48"/>
        <v>0</v>
      </c>
      <c r="R598" s="32">
        <f t="shared" si="49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s="73" customFormat="1" ht="15.75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5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7"/>
        <v>27</v>
      </c>
      <c r="P599" s="136" t="s">
        <v>2063</v>
      </c>
      <c r="Q599" s="131">
        <f t="shared" si="48"/>
        <v>1</v>
      </c>
      <c r="R599" s="132">
        <f t="shared" si="49"/>
        <v>0.9642857142857143</v>
      </c>
      <c r="S599" s="70"/>
      <c r="T599" s="70"/>
      <c r="U599" s="70" t="s">
        <v>2208</v>
      </c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s="73" customFormat="1" ht="15.75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4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7"/>
        <v>28</v>
      </c>
      <c r="P600" s="136" t="s">
        <v>2064</v>
      </c>
      <c r="Q600" s="131">
        <f t="shared" si="48"/>
        <v>0</v>
      </c>
      <c r="R600" s="132">
        <f t="shared" si="49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5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7"/>
        <v>28</v>
      </c>
      <c r="P601" s="136" t="s">
        <v>2065</v>
      </c>
      <c r="Q601" s="131">
        <f t="shared" si="48"/>
        <v>0</v>
      </c>
      <c r="R601" s="132">
        <f t="shared" si="49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7"/>
        <v>28</v>
      </c>
      <c r="P602" s="136" t="s">
        <v>2066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thickBot="1" x14ac:dyDescent="0.3">
      <c r="A603"/>
      <c r="B603"/>
      <c r="C603"/>
      <c r="D603"/>
      <c r="E603" s="149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7"/>
        <v>28</v>
      </c>
      <c r="P603" s="136" t="s">
        <v>2069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7"/>
        <v>28</v>
      </c>
      <c r="P604" s="136" t="s">
        <v>2216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thickBot="1" x14ac:dyDescent="0.3">
      <c r="A605"/>
      <c r="B605"/>
      <c r="C605"/>
      <c r="D605"/>
      <c r="E605" s="149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7"/>
        <v>28</v>
      </c>
      <c r="P605" s="136" t="s">
        <v>2060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7"/>
        <v>28</v>
      </c>
      <c r="P606" s="136" t="s">
        <v>2061</v>
      </c>
      <c r="Q606" s="131">
        <f t="shared" si="48"/>
        <v>0</v>
      </c>
      <c r="R606" s="132">
        <f t="shared" si="49"/>
        <v>1</v>
      </c>
      <c r="S606" s="71"/>
      <c r="T606" s="71"/>
      <c r="U606" s="71"/>
      <c r="V606" s="71"/>
      <c r="W606" s="71"/>
      <c r="X606" s="71"/>
      <c r="Y606" s="71"/>
      <c r="Z606" s="70"/>
      <c r="AA606" s="71"/>
      <c r="AB606" s="71"/>
      <c r="AC606" s="71"/>
      <c r="AD606" s="71"/>
      <c r="AE606" s="70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0"/>
    </row>
    <row r="607" spans="1:49" ht="17.25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7"/>
        <v>28</v>
      </c>
      <c r="P607" s="136" t="s">
        <v>2062</v>
      </c>
      <c r="Q607" s="131">
        <f t="shared" si="48"/>
        <v>0</v>
      </c>
      <c r="R607" s="132">
        <f t="shared" si="49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158"/>
    </row>
    <row r="608" spans="1:49" ht="17.25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158"/>
    </row>
    <row r="609" spans="1:19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x14ac:dyDescent="0.25">
      <c r="A616"/>
      <c r="B616"/>
      <c r="E616" s="149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W616" xr:uid="{00000000-0001-0000-0000-000000000000}"/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314" priority="3141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313" priority="3142" operator="equal">
      <formula>$H$284</formula>
    </cfRule>
  </conditionalFormatting>
  <conditionalFormatting sqref="H1:H608">
    <cfRule type="cellIs" dxfId="312" priority="3138" operator="equal">
      <formula>"IPCOMS"</formula>
    </cfRule>
  </conditionalFormatting>
  <conditionalFormatting sqref="I20:I21">
    <cfRule type="cellIs" dxfId="311" priority="5804" operator="equal">
      <formula>$H$305</formula>
    </cfRule>
    <cfRule type="cellIs" dxfId="310" priority="5805" operator="equal">
      <formula>$H$284</formula>
    </cfRule>
  </conditionalFormatting>
  <conditionalFormatting sqref="I165:I166 I226:I227 I263 I287:I292 I302:I304 I412:I416 I428:I430 I433:I434 H690:H1048576 I20:I21">
    <cfRule type="cellIs" dxfId="309" priority="5350" operator="equal">
      <formula>"IPCOMS"</formula>
    </cfRule>
  </conditionalFormatting>
  <conditionalFormatting sqref="J1:J578 J594:J608 J690:J1048576">
    <cfRule type="containsText" dxfId="308" priority="5811" operator="containsText" text="domo">
      <formula>NOT(ISERROR(SEARCH("domo",J1)))</formula>
    </cfRule>
  </conditionalFormatting>
  <conditionalFormatting sqref="J1:J589">
    <cfRule type="cellIs" dxfId="307" priority="3143" operator="equal">
      <formula>$J$10</formula>
    </cfRule>
  </conditionalFormatting>
  <conditionalFormatting sqref="J34:J35 J158:N234 J238:N410 J435:N578">
    <cfRule type="containsText" dxfId="306" priority="5278" operator="containsText" text="Radio">
      <formula>NOT(ISERROR(SEARCH("Radio",J34)))</formula>
    </cfRule>
  </conditionalFormatting>
  <conditionalFormatting sqref="J135:J148 L148:N148">
    <cfRule type="containsText" dxfId="305" priority="5292" operator="containsText" text="Radio">
      <formula>NOT(ISERROR(SEARCH("Radio",J135)))</formula>
    </cfRule>
  </conditionalFormatting>
  <conditionalFormatting sqref="J412:J416">
    <cfRule type="containsText" dxfId="304" priority="5311" operator="containsText" text="Radio">
      <formula>NOT(ISERROR(SEARCH("Radio",J412)))</formula>
    </cfRule>
  </conditionalFormatting>
  <conditionalFormatting sqref="J580">
    <cfRule type="containsText" dxfId="303" priority="5751" operator="containsText" text="fija">
      <formula>NOT(ISERROR(SEARCH("fija",J580)))</formula>
    </cfRule>
    <cfRule type="containsText" dxfId="302" priority="5752" operator="containsText" text="domo">
      <formula>NOT(ISERROR(SEARCH("domo",J580)))</formula>
    </cfRule>
    <cfRule type="containsText" dxfId="301" priority="5753" operator="containsText" text="Radio">
      <formula>NOT(ISERROR(SEARCH("Radio",J580)))</formula>
    </cfRule>
  </conditionalFormatting>
  <conditionalFormatting sqref="J580:J581">
    <cfRule type="containsText" dxfId="300" priority="5747" operator="containsText" text="domo">
      <formula>NOT(ISERROR(SEARCH("domo",J580)))</formula>
    </cfRule>
    <cfRule type="containsText" dxfId="299" priority="5746" operator="containsText" text="fija">
      <formula>NOT(ISERROR(SEARCH("fija",J580)))</formula>
    </cfRule>
  </conditionalFormatting>
  <conditionalFormatting sqref="J581">
    <cfRule type="containsText" dxfId="298" priority="5748" operator="containsText" text="Radio">
      <formula>NOT(ISERROR(SEARCH("Radio",J581)))</formula>
    </cfRule>
    <cfRule type="containsText" dxfId="297" priority="5745" operator="containsText" text="domo">
      <formula>NOT(ISERROR(SEARCH("domo",J581)))</formula>
    </cfRule>
    <cfRule type="containsText" dxfId="296" priority="5744" operator="containsText" text="fija">
      <formula>NOT(ISERROR(SEARCH("fija",J581)))</formula>
    </cfRule>
  </conditionalFormatting>
  <conditionalFormatting sqref="J584">
    <cfRule type="containsText" dxfId="295" priority="5742" operator="containsText" text="domo">
      <formula>NOT(ISERROR(SEARCH("domo",J584)))</formula>
    </cfRule>
    <cfRule type="containsText" dxfId="294" priority="5741" operator="containsText" text="fija">
      <formula>NOT(ISERROR(SEARCH("fija",J584)))</formula>
    </cfRule>
    <cfRule type="containsText" dxfId="293" priority="5743" operator="containsText" text="Radio">
      <formula>NOT(ISERROR(SEARCH("Radio",J584)))</formula>
    </cfRule>
  </conditionalFormatting>
  <conditionalFormatting sqref="J584:J585">
    <cfRule type="containsText" dxfId="292" priority="5736" operator="containsText" text="fija">
      <formula>NOT(ISERROR(SEARCH("fija",J584)))</formula>
    </cfRule>
    <cfRule type="containsText" dxfId="291" priority="5737" operator="containsText" text="domo">
      <formula>NOT(ISERROR(SEARCH("domo",J584)))</formula>
    </cfRule>
  </conditionalFormatting>
  <conditionalFormatting sqref="J585 J48:N134 K135:K136 J236:K237 J411:K411 K412:K416 J417:N432 J433:K434 J690:N1048576 J594:N608 M411:N411 L411:L416">
    <cfRule type="containsText" dxfId="290" priority="5738" operator="containsText" text="Radio">
      <formula>NOT(ISERROR(SEARCH("Radio",J48)))</formula>
    </cfRule>
  </conditionalFormatting>
  <conditionalFormatting sqref="J585:J586">
    <cfRule type="containsText" dxfId="289" priority="5731" operator="containsText" text="fija">
      <formula>NOT(ISERROR(SEARCH("fija",J585)))</formula>
    </cfRule>
    <cfRule type="containsText" dxfId="288" priority="5732" operator="containsText" text="domo">
      <formula>NOT(ISERROR(SEARCH("domo",J585)))</formula>
    </cfRule>
  </conditionalFormatting>
  <conditionalFormatting sqref="J586">
    <cfRule type="containsText" dxfId="287" priority="5733" operator="containsText" text="Radio">
      <formula>NOT(ISERROR(SEARCH("Radio",J586)))</formula>
    </cfRule>
  </conditionalFormatting>
  <conditionalFormatting sqref="J586:J587">
    <cfRule type="containsText" dxfId="286" priority="5726" operator="containsText" text="fija">
      <formula>NOT(ISERROR(SEARCH("fija",J586)))</formula>
    </cfRule>
    <cfRule type="containsText" dxfId="285" priority="5727" operator="containsText" text="domo">
      <formula>NOT(ISERROR(SEARCH("domo",J586)))</formula>
    </cfRule>
  </conditionalFormatting>
  <conditionalFormatting sqref="J587">
    <cfRule type="containsText" dxfId="284" priority="5725" operator="containsText" text="domo">
      <formula>NOT(ISERROR(SEARCH("domo",J587)))</formula>
    </cfRule>
    <cfRule type="containsText" dxfId="283" priority="5728" operator="containsText" text="Radio">
      <formula>NOT(ISERROR(SEARCH("Radio",J587)))</formula>
    </cfRule>
    <cfRule type="containsText" dxfId="282" priority="5724" operator="containsText" text="fija">
      <formula>NOT(ISERROR(SEARCH("fija",J587)))</formula>
    </cfRule>
  </conditionalFormatting>
  <conditionalFormatting sqref="J590:J608 J690:J1048576">
    <cfRule type="cellIs" dxfId="281" priority="5806" operator="equal">
      <formula>$J$10</formula>
    </cfRule>
  </conditionalFormatting>
  <conditionalFormatting sqref="J592">
    <cfRule type="containsText" dxfId="280" priority="6023" operator="containsText" text="domo">
      <formula>NOT(ISERROR(SEARCH("domo",J592)))</formula>
    </cfRule>
    <cfRule type="containsText" dxfId="279" priority="6022" operator="containsText" text="fija">
      <formula>NOT(ISERROR(SEARCH("fija",J592)))</formula>
    </cfRule>
  </conditionalFormatting>
  <conditionalFormatting sqref="J594:J608 J690:J1048576 J1:J578">
    <cfRule type="containsText" dxfId="278" priority="5810" operator="containsText" text="fija">
      <formula>NOT(ISERROR(SEARCH("fija",J1)))</formula>
    </cfRule>
  </conditionalFormatting>
  <conditionalFormatting sqref="J595:J598">
    <cfRule type="containsText" dxfId="277" priority="5755" operator="containsText" text="domo">
      <formula>NOT(ISERROR(SEARCH("domo",J595)))</formula>
    </cfRule>
    <cfRule type="containsText" dxfId="276" priority="5754" operator="containsText" text="fija">
      <formula>NOT(ISERROR(SEARCH("fija",J595)))</formula>
    </cfRule>
  </conditionalFormatting>
  <conditionalFormatting sqref="J235:K235">
    <cfRule type="containsText" dxfId="275" priority="5313" operator="containsText" text="Radio">
      <formula>NOT(ISERROR(SEARCH("Radio",J235)))</formula>
    </cfRule>
  </conditionalFormatting>
  <conditionalFormatting sqref="J37:L47">
    <cfRule type="containsText" dxfId="274" priority="5283" operator="containsText" text="Radio">
      <formula>NOT(ISERROR(SEARCH("Radio",J37)))</formula>
    </cfRule>
  </conditionalFormatting>
  <conditionalFormatting sqref="J1:N36">
    <cfRule type="containsText" dxfId="273" priority="5348" operator="containsText" text="Radio">
      <formula>NOT(ISERROR(SEARCH("Radio",J1)))</formula>
    </cfRule>
  </conditionalFormatting>
  <conditionalFormatting sqref="J149:N156 J157">
    <cfRule type="containsText" dxfId="272" priority="5286" operator="containsText" text="Radio">
      <formula>NOT(ISERROR(SEARCH("Radio",J149)))</formula>
    </cfRule>
  </conditionalFormatting>
  <conditionalFormatting sqref="J592:N592 K593">
    <cfRule type="containsText" dxfId="271" priority="6279" operator="containsText" text="Radio">
      <formula>NOT(ISERROR(SEARCH("Radio",J592)))</formula>
    </cfRule>
  </conditionalFormatting>
  <conditionalFormatting sqref="K1:K136 K163:K588 K690:K1048576">
    <cfRule type="cellIs" dxfId="270" priority="5352" operator="equal">
      <formula>"GPON"</formula>
    </cfRule>
    <cfRule type="cellIs" dxfId="269" priority="5351" operator="equal">
      <formula>"GPON"</formula>
    </cfRule>
  </conditionalFormatting>
  <conditionalFormatting sqref="K139">
    <cfRule type="containsText" dxfId="268" priority="5341" operator="containsText" text="Radio">
      <formula>NOT(ISERROR(SEARCH("Radio",K139)))</formula>
    </cfRule>
    <cfRule type="cellIs" dxfId="267" priority="5342" operator="equal">
      <formula>$K$13</formula>
    </cfRule>
    <cfRule type="cellIs" dxfId="266" priority="5344" operator="equal">
      <formula>"PTP A FO"</formula>
    </cfRule>
    <cfRule type="cellIs" dxfId="265" priority="5340" operator="equal">
      <formula>"GPON"</formula>
    </cfRule>
    <cfRule type="cellIs" dxfId="264" priority="5343" operator="equal">
      <formula>"PTP A FO"</formula>
    </cfRule>
    <cfRule type="cellIs" dxfId="263" priority="5339" operator="equal">
      <formula>"GPON"</formula>
    </cfRule>
  </conditionalFormatting>
  <conditionalFormatting sqref="K142:K149">
    <cfRule type="cellIs" dxfId="262" priority="5319" operator="equal">
      <formula>"PTP A FO"</formula>
    </cfRule>
    <cfRule type="containsText" dxfId="261" priority="5316" operator="containsText" text="Radio">
      <formula>NOT(ISERROR(SEARCH("Radio",K142)))</formula>
    </cfRule>
    <cfRule type="cellIs" dxfId="260" priority="5317" operator="equal">
      <formula>$K$13</formula>
    </cfRule>
    <cfRule type="cellIs" dxfId="259" priority="5318" operator="equal">
      <formula>"PTP A FO"</formula>
    </cfRule>
  </conditionalFormatting>
  <conditionalFormatting sqref="K142:K156">
    <cfRule type="cellIs" dxfId="258" priority="5284" operator="equal">
      <formula>"GPON"</formula>
    </cfRule>
    <cfRule type="cellIs" dxfId="257" priority="5285" operator="equal">
      <formula>"GPON"</formula>
    </cfRule>
  </conditionalFormatting>
  <conditionalFormatting sqref="K146:K147">
    <cfRule type="cellIs" dxfId="256" priority="5282" operator="equal">
      <formula>"PTP A FO"</formula>
    </cfRule>
    <cfRule type="cellIs" dxfId="255" priority="5280" operator="equal">
      <formula>$K$13</formula>
    </cfRule>
    <cfRule type="cellIs" dxfId="254" priority="5281" operator="equal">
      <formula>"PTP A FO"</formula>
    </cfRule>
    <cfRule type="containsText" dxfId="253" priority="5279" operator="containsText" text="Radio">
      <formula>NOT(ISERROR(SEARCH("Radio",K146)))</formula>
    </cfRule>
  </conditionalFormatting>
  <conditionalFormatting sqref="K157:K162">
    <cfRule type="cellIs" dxfId="252" priority="685" operator="equal">
      <formula>"GPON"</formula>
    </cfRule>
    <cfRule type="cellIs" dxfId="251" priority="686" operator="equal">
      <formula>"GPON"</formula>
    </cfRule>
  </conditionalFormatting>
  <conditionalFormatting sqref="K235:K237">
    <cfRule type="cellIs" dxfId="250" priority="5330" operator="equal">
      <formula>$K$13</formula>
    </cfRule>
    <cfRule type="cellIs" dxfId="249" priority="5332" operator="equal">
      <formula>"PTP A FO"</formula>
    </cfRule>
    <cfRule type="cellIs" dxfId="248" priority="5331" operator="equal">
      <formula>"PTP A FO"</formula>
    </cfRule>
  </conditionalFormatting>
  <conditionalFormatting sqref="K236:K237">
    <cfRule type="cellIs" dxfId="247" priority="5327" operator="equal">
      <formula>"PTP A FO"</formula>
    </cfRule>
    <cfRule type="cellIs" dxfId="246" priority="5328" operator="equal">
      <formula>"PTP A FO"</formula>
    </cfRule>
    <cfRule type="cellIs" dxfId="245" priority="5326" operator="equal">
      <formula>$K$13</formula>
    </cfRule>
  </conditionalFormatting>
  <conditionalFormatting sqref="K433:K434">
    <cfRule type="cellIs" dxfId="244" priority="5338" operator="equal">
      <formula>"PTP A FO"</formula>
    </cfRule>
    <cfRule type="cellIs" dxfId="243" priority="5337" operator="equal">
      <formula>"PTP A FO"</formula>
    </cfRule>
    <cfRule type="containsText" dxfId="242" priority="5335" operator="containsText" text="Radio">
      <formula>NOT(ISERROR(SEARCH("Radio",K433)))</formula>
    </cfRule>
    <cfRule type="cellIs" dxfId="241" priority="5336" operator="equal">
      <formula>$K$13</formula>
    </cfRule>
  </conditionalFormatting>
  <conditionalFormatting sqref="K579">
    <cfRule type="cellIs" dxfId="240" priority="5402" operator="equal">
      <formula>"PTP A FO"</formula>
    </cfRule>
    <cfRule type="containsText" dxfId="239" priority="5401" operator="containsText" text="Radio">
      <formula>NOT(ISERROR(SEARCH("Radio",K579)))</formula>
    </cfRule>
  </conditionalFormatting>
  <conditionalFormatting sqref="K589:K608">
    <cfRule type="cellIs" dxfId="238" priority="3140" operator="equal">
      <formula>"GPON"</formula>
    </cfRule>
    <cfRule type="cellIs" dxfId="237" priority="3139" operator="equal">
      <formula>"GPON"</formula>
    </cfRule>
  </conditionalFormatting>
  <conditionalFormatting sqref="K1:L134 K135:K136 K163:L234 K238:L432 K433:K434 K435:L578 K592:L592 K593 K594:L608 K690:L1048576">
    <cfRule type="cellIs" dxfId="236" priority="6003" operator="equal">
      <formula>"PTP A FO"</formula>
    </cfRule>
  </conditionalFormatting>
  <conditionalFormatting sqref="K1:L134 K135:K136 K163:L234 K238:L432 K433:K434 K435:L588 K590:L608 K690:L1048576">
    <cfRule type="cellIs" dxfId="235" priority="5808" operator="equal">
      <formula>"PTP A FO"</formula>
    </cfRule>
  </conditionalFormatting>
  <conditionalFormatting sqref="K1:L134 K135:K136 K238:L432 K433:K434 K590:L608 K690:L1048576 K435:L588 K163:L234">
    <cfRule type="cellIs" dxfId="234" priority="5807" operator="equal">
      <formula>$K$13</formula>
    </cfRule>
  </conditionalFormatting>
  <conditionalFormatting sqref="K149:L156 K158:L162">
    <cfRule type="cellIs" dxfId="233" priority="5289" operator="equal">
      <formula>"PTP A FO"</formula>
    </cfRule>
    <cfRule type="cellIs" dxfId="232" priority="5288" operator="equal">
      <formula>"PTP A FO"</formula>
    </cfRule>
    <cfRule type="cellIs" dxfId="231" priority="5287" operator="equal">
      <formula>$K$13</formula>
    </cfRule>
  </conditionalFormatting>
  <conditionalFormatting sqref="K157:L157">
    <cfRule type="containsText" dxfId="230" priority="687" operator="containsText" text="Radio">
      <formula>NOT(ISERROR(SEARCH("Radio",K157)))</formula>
    </cfRule>
    <cfRule type="cellIs" dxfId="229" priority="688" operator="equal">
      <formula>$K$13</formula>
    </cfRule>
    <cfRule type="cellIs" dxfId="228" priority="689" operator="equal">
      <formula>"PTP A FO"</formula>
    </cfRule>
    <cfRule type="cellIs" dxfId="227" priority="690" operator="equal">
      <formula>"PTP A FO"</formula>
    </cfRule>
  </conditionalFormatting>
  <conditionalFormatting sqref="K589:L589">
    <cfRule type="cellIs" dxfId="226" priority="3144" operator="equal">
      <formula>$K$13</formula>
    </cfRule>
    <cfRule type="cellIs" dxfId="225" priority="3145" operator="equal">
      <formula>"PTP A FO"</formula>
    </cfRule>
  </conditionalFormatting>
  <conditionalFormatting sqref="L148">
    <cfRule type="cellIs" dxfId="224" priority="5295" operator="equal">
      <formula>"PTP A FO"</formula>
    </cfRule>
    <cfRule type="cellIs" dxfId="223" priority="5294" operator="equal">
      <formula>"PTP A FO"</formula>
    </cfRule>
    <cfRule type="cellIs" dxfId="222" priority="5293" operator="equal">
      <formula>$K$13</formula>
    </cfRule>
  </conditionalFormatting>
  <conditionalFormatting sqref="M157:N157">
    <cfRule type="containsText" dxfId="221" priority="684" operator="containsText" text="Radio">
      <formula>NOT(ISERROR(SEARCH("Radio",M157)))</formula>
    </cfRule>
  </conditionalFormatting>
  <conditionalFormatting sqref="R7:R406 R408:R608">
    <cfRule type="cellIs" dxfId="220" priority="6239" operator="greaterThan">
      <formula>0.8</formula>
    </cfRule>
    <cfRule type="cellIs" dxfId="219" priority="6238" operator="lessThan">
      <formula>0.8</formula>
    </cfRule>
  </conditionalFormatting>
  <conditionalFormatting sqref="S36:T43">
    <cfRule type="cellIs" dxfId="218" priority="1238" operator="equal">
      <formula>"APAGADO"</formula>
    </cfRule>
  </conditionalFormatting>
  <conditionalFormatting sqref="S426:T434">
    <cfRule type="cellIs" dxfId="217" priority="1196" operator="equal">
      <formula>"APAGADO"</formula>
    </cfRule>
  </conditionalFormatting>
  <conditionalFormatting sqref="S353:U369">
    <cfRule type="cellIs" dxfId="216" priority="1113" operator="equal">
      <formula>"APAGADO"</formula>
    </cfRule>
  </conditionalFormatting>
  <conditionalFormatting sqref="S414:U415 S412:T413">
    <cfRule type="cellIs" dxfId="215" priority="2334" operator="equal">
      <formula>"APAGADO"</formula>
    </cfRule>
  </conditionalFormatting>
  <conditionalFormatting sqref="S435:W435 Y435:AD435">
    <cfRule type="cellIs" dxfId="214" priority="4036" operator="equal">
      <formula>"APAGADO"</formula>
    </cfRule>
  </conditionalFormatting>
  <conditionalFormatting sqref="S417:Z417 S416:T416 V416:Z416">
    <cfRule type="cellIs" dxfId="213" priority="926" operator="equal">
      <formula>"APAGADO"</formula>
    </cfRule>
  </conditionalFormatting>
  <conditionalFormatting sqref="S121:AA121">
    <cfRule type="cellIs" dxfId="212" priority="4129" operator="equal">
      <formula>"APAGADO"</formula>
    </cfRule>
  </conditionalFormatting>
  <conditionalFormatting sqref="S436:AD436">
    <cfRule type="cellIs" dxfId="211" priority="906" operator="equal">
      <formula>"APAGADO"</formula>
    </cfRule>
  </conditionalFormatting>
  <conditionalFormatting sqref="S336:AK336 S333:T335 V333:AK335">
    <cfRule type="cellIs" dxfId="210" priority="585" operator="equal">
      <formula>"APAGADO"</formula>
    </cfRule>
  </conditionalFormatting>
  <conditionalFormatting sqref="S337:AT337 S348:AT352 S347:T347 V347:AT347 S339:AT346 S338:T338 V338:AT338">
    <cfRule type="cellIs" dxfId="209" priority="264" operator="equal">
      <formula>"APAGADO"</formula>
    </cfRule>
  </conditionalFormatting>
  <conditionalFormatting sqref="S370:AT371 S380:AT401 S372:T379 V372:AT379 S403:AT406 S402:T402 V402:AT402">
    <cfRule type="cellIs" dxfId="208" priority="261" operator="equal">
      <formula>"APAGADO"</formula>
    </cfRule>
  </conditionalFormatting>
  <conditionalFormatting sqref="S408:AT411">
    <cfRule type="cellIs" dxfId="207" priority="260" operator="equal">
      <formula>"APAGADO"</formula>
    </cfRule>
  </conditionalFormatting>
  <conditionalFormatting sqref="S8:AV35">
    <cfRule type="cellIs" dxfId="206" priority="1246" operator="equal">
      <formula>"APAGADO"</formula>
    </cfRule>
  </conditionalFormatting>
  <conditionalFormatting sqref="S45:AV68 S44:T44 V44:AV44 S85:AV90 S84:T84 V84:AV84 S92:AV109 S91:T91 V91:AV91 S111:AV120 S110:T110 V110:AV110 S72:AV76 S69:T71 S78:AV83 S77:T77 V77:AV77 V69:AV71">
    <cfRule type="cellIs" dxfId="205" priority="336" operator="equal">
      <formula>"APAGADO"</formula>
    </cfRule>
  </conditionalFormatting>
  <conditionalFormatting sqref="S122:AV234">
    <cfRule type="cellIs" dxfId="204" priority="176" operator="equal">
      <formula>"APAGADO"</formula>
    </cfRule>
  </conditionalFormatting>
  <conditionalFormatting sqref="S238:AV246 S248:AV252 S247:T247 V247:AV247 S254:AV254 S253:T253 V253:AV253 S258:AV272 S255:T257 V255:AV257 S274:AV280 S273:T273 V273:AV273 S282:AV287 S281:T281 V281:AV281 S289:AV296 S288:T288 V288:AV288 S298:AV300 S297:T297 V297:AV297 S302:AV302 S301:T301 V301:AV301 S303:T309 V303:AV309 S310:AV332">
    <cfRule type="cellIs" dxfId="203" priority="144" operator="equal">
      <formula>"APAGADO"</formula>
    </cfRule>
  </conditionalFormatting>
  <conditionalFormatting sqref="S418:AV419 S421:AV421 S420:T420 V420:AV420 S422:T425 V422:AV425">
    <cfRule type="cellIs" dxfId="202" priority="209" operator="equal">
      <formula>"APAGADO"</formula>
    </cfRule>
  </conditionalFormatting>
  <conditionalFormatting sqref="S437:AV440 S453:AU454 S455:AV455 S442:AV446 S441:T441 V441:AV441 S451:AV452 S447:T450 V447:AV450 S466:AV467 S465:T465 V465:AV465 S470:AV480 S468:T469 V468:AV469 S458:AV464 S456:T457 V456:AV457 S482:AV508 S481:T481 V481:AV481 S511:AV559 S509:T510 V509:AV510 S561:AV571 S560:T560 V560:AV560 S573:AV580 S572:T572 V572:AV572 S585:AV598 S581:T584 V581:AV584 S600:AV608 S599:T599 V599:AV599">
    <cfRule type="cellIs" dxfId="201" priority="153" operator="equal">
      <formula>"APAGADO"</formula>
    </cfRule>
  </conditionalFormatting>
  <conditionalFormatting sqref="S690:AV766 AC690:AN1048576">
    <cfRule type="cellIs" dxfId="200" priority="5385" operator="equal">
      <formula>"apagado"</formula>
    </cfRule>
  </conditionalFormatting>
  <conditionalFormatting sqref="S690:AV1048576">
    <cfRule type="notContainsText" dxfId="199" priority="6268" operator="notContains" text="Caida">
      <formula>ISERROR(SEARCH("Caida",S690))</formula>
    </cfRule>
    <cfRule type="containsText" dxfId="198" priority="5935" operator="containsText" text="Caida">
      <formula>NOT(ISERROR(SEARCH("Caida",S690)))</formula>
    </cfRule>
  </conditionalFormatting>
  <conditionalFormatting sqref="U690:U1209">
    <cfRule type="containsText" dxfId="197" priority="5565" operator="containsText" text="Caida">
      <formula>NOT(ISERROR(SEARCH("Caida",U690)))</formula>
    </cfRule>
    <cfRule type="notContainsText" dxfId="196" priority="5564" operator="notContains" text="Caida">
      <formula>ISERROR(SEARCH("Caida",U690))</formula>
    </cfRule>
    <cfRule type="cellIs" dxfId="195" priority="5694" operator="equal">
      <formula>"APAGADO"</formula>
    </cfRule>
    <cfRule type="cellIs" dxfId="194" priority="5590" operator="greaterThan">
      <formula>0.8</formula>
    </cfRule>
    <cfRule type="cellIs" dxfId="193" priority="5567" operator="greaterThan">
      <formula>0.8</formula>
    </cfRule>
    <cfRule type="cellIs" dxfId="192" priority="5566" operator="lessThan">
      <formula>0.8</formula>
    </cfRule>
  </conditionalFormatting>
  <conditionalFormatting sqref="U690:U1048576">
    <cfRule type="cellIs" dxfId="191" priority="5584" operator="equal">
      <formula>$U$16</formula>
    </cfRule>
  </conditionalFormatting>
  <conditionalFormatting sqref="U37:W38">
    <cfRule type="cellIs" dxfId="190" priority="4097" operator="equal">
      <formula>"APAGADO"</formula>
    </cfRule>
  </conditionalFormatting>
  <conditionalFormatting sqref="U434:W434">
    <cfRule type="cellIs" dxfId="189" priority="2213" operator="equal">
      <formula>"APAGADO"</formula>
    </cfRule>
  </conditionalFormatting>
  <conditionalFormatting sqref="U39:AG40">
    <cfRule type="cellIs" dxfId="188" priority="1944" operator="equal">
      <formula>"APAGADO"</formula>
    </cfRule>
  </conditionalFormatting>
  <conditionalFormatting sqref="U36:AV36">
    <cfRule type="cellIs" dxfId="187" priority="1521" operator="equal">
      <formula>"APAGADO"</formula>
    </cfRule>
  </conditionalFormatting>
  <conditionalFormatting sqref="U41:AV41 V42:AV43">
    <cfRule type="cellIs" dxfId="186" priority="183" operator="equal">
      <formula>"APAGADO"</formula>
    </cfRule>
  </conditionalFormatting>
  <conditionalFormatting sqref="U426:AV432">
    <cfRule type="cellIs" dxfId="185" priority="835" operator="equal">
      <formula>"APAGADO"</formula>
    </cfRule>
  </conditionalFormatting>
  <conditionalFormatting sqref="V236:W236">
    <cfRule type="cellIs" dxfId="184" priority="4109" operator="equal">
      <formula>"APAGADO"</formula>
    </cfRule>
  </conditionalFormatting>
  <conditionalFormatting sqref="V353:AT359">
    <cfRule type="cellIs" dxfId="183" priority="930" operator="equal">
      <formula>"APAGADO"</formula>
    </cfRule>
  </conditionalFormatting>
  <conditionalFormatting sqref="V361:AT369">
    <cfRule type="cellIs" dxfId="182" priority="1489" operator="equal">
      <formula>"APAGADO"</formula>
    </cfRule>
  </conditionalFormatting>
  <conditionalFormatting sqref="X434:X435">
    <cfRule type="cellIs" dxfId="181" priority="3965" operator="equal">
      <formula>"APAGADO"</formula>
    </cfRule>
  </conditionalFormatting>
  <conditionalFormatting sqref="X415:Z415">
    <cfRule type="cellIs" dxfId="180" priority="3684" operator="equal">
      <formula>"APAGADO"</formula>
    </cfRule>
  </conditionalFormatting>
  <conditionalFormatting sqref="X38:AG38">
    <cfRule type="cellIs" dxfId="179" priority="5161" operator="equal">
      <formula>"APAGADO"</formula>
    </cfRule>
  </conditionalFormatting>
  <conditionalFormatting sqref="X37:AJ37 AF235:AF237 V360:AH360 AJ360:AT360 AO690:AV1048576">
    <cfRule type="cellIs" dxfId="178" priority="5384" operator="equal">
      <formula>"APAGADO"</formula>
    </cfRule>
  </conditionalFormatting>
  <conditionalFormatting sqref="Y434:AO434">
    <cfRule type="cellIs" dxfId="177" priority="1607" operator="equal">
      <formula>"APAGADO"</formula>
    </cfRule>
  </conditionalFormatting>
  <conditionalFormatting sqref="Y407:AT407">
    <cfRule type="cellIs" dxfId="176" priority="3685" operator="equal">
      <formula>"APAGADO"</formula>
    </cfRule>
  </conditionalFormatting>
  <conditionalFormatting sqref="AA416:AP416">
    <cfRule type="cellIs" dxfId="175" priority="408" operator="equal">
      <formula>"APAGADO"</formula>
    </cfRule>
  </conditionalFormatting>
  <conditionalFormatting sqref="AA417:AV417">
    <cfRule type="cellIs" dxfId="174" priority="1348" operator="equal">
      <formula>"APAGADO"</formula>
    </cfRule>
  </conditionalFormatting>
  <conditionalFormatting sqref="AC121:AV121">
    <cfRule type="cellIs" dxfId="173" priority="4297" operator="equal">
      <formula>"APAGADO"</formula>
    </cfRule>
  </conditionalFormatting>
  <conditionalFormatting sqref="AD415:AI415">
    <cfRule type="cellIs" dxfId="172" priority="2038" operator="equal">
      <formula>"APAGADO"</formula>
    </cfRule>
  </conditionalFormatting>
  <conditionalFormatting sqref="AE435:AV436">
    <cfRule type="cellIs" dxfId="171" priority="830" operator="equal">
      <formula>"APAGADO"</formula>
    </cfRule>
  </conditionalFormatting>
  <conditionalFormatting sqref="AH236:AI236">
    <cfRule type="cellIs" dxfId="170" priority="5166" operator="equal">
      <formula>"APAGADO"</formula>
    </cfRule>
  </conditionalFormatting>
  <conditionalFormatting sqref="AH38:AV40">
    <cfRule type="cellIs" dxfId="169" priority="1370" operator="equal">
      <formula>"APAGADO"</formula>
    </cfRule>
  </conditionalFormatting>
  <conditionalFormatting sqref="AL334:AL336">
    <cfRule type="cellIs" dxfId="168" priority="535" operator="equal">
      <formula>"APAGADO"</formula>
    </cfRule>
  </conditionalFormatting>
  <conditionalFormatting sqref="AL333:AM333">
    <cfRule type="cellIs" dxfId="167" priority="543" operator="equal">
      <formula>"APAGADO"</formula>
    </cfRule>
  </conditionalFormatting>
  <conditionalFormatting sqref="AL236:AP236">
    <cfRule type="cellIs" dxfId="166" priority="4707" operator="equal">
      <formula>"APAGADO"</formula>
    </cfRule>
  </conditionalFormatting>
  <conditionalFormatting sqref="AL415:AP415">
    <cfRule type="cellIs" dxfId="165" priority="1731" operator="equal">
      <formula>"APAGADO"</formula>
    </cfRule>
  </conditionalFormatting>
  <conditionalFormatting sqref="AL37:AV37">
    <cfRule type="cellIs" dxfId="164" priority="4304" operator="equal">
      <formula>"APAGADO"</formula>
    </cfRule>
  </conditionalFormatting>
  <conditionalFormatting sqref="AM334:AM335">
    <cfRule type="cellIs" dxfId="163" priority="482" operator="equal">
      <formula>"APAGADO"</formula>
    </cfRule>
  </conditionalFormatting>
  <conditionalFormatting sqref="AM336:AV336">
    <cfRule type="cellIs" dxfId="162" priority="188" operator="equal">
      <formula>"APAGADO"</formula>
    </cfRule>
  </conditionalFormatting>
  <conditionalFormatting sqref="AN333:AW335">
    <cfRule type="cellIs" dxfId="161" priority="69" operator="equal">
      <formula>"APAGADO"</formula>
    </cfRule>
  </conditionalFormatting>
  <conditionalFormatting sqref="AR416:AU416">
    <cfRule type="cellIs" dxfId="160" priority="214" operator="equal">
      <formula>"APAGADO"</formula>
    </cfRule>
  </conditionalFormatting>
  <conditionalFormatting sqref="AR434:AU434">
    <cfRule type="cellIs" dxfId="159" priority="2499" operator="equal">
      <formula>"APAGADO"</formula>
    </cfRule>
  </conditionalFormatting>
  <conditionalFormatting sqref="AR236:AV236">
    <cfRule type="cellIs" dxfId="158" priority="4278" operator="equal">
      <formula>"APAGADO"</formula>
    </cfRule>
  </conditionalFormatting>
  <conditionalFormatting sqref="AU337:AV406 AU407:AU411">
    <cfRule type="cellIs" dxfId="157" priority="163" operator="equal">
      <formula>"APAGADO"</formula>
    </cfRule>
  </conditionalFormatting>
  <conditionalFormatting sqref="AV415:AV416">
    <cfRule type="cellIs" dxfId="156" priority="162" operator="equal">
      <formula>"APAGADO"</formula>
    </cfRule>
  </conditionalFormatting>
  <conditionalFormatting sqref="AW42:AW43">
    <cfRule type="cellIs" dxfId="155" priority="142" operator="equal">
      <formula>"APAGADO"</formula>
    </cfRule>
  </conditionalFormatting>
  <conditionalFormatting sqref="AW71">
    <cfRule type="cellIs" dxfId="154" priority="136" operator="equal">
      <formula>"APAGADO"</formula>
    </cfRule>
  </conditionalFormatting>
  <conditionalFormatting sqref="AW77">
    <cfRule type="cellIs" dxfId="153" priority="141" operator="equal">
      <formula>"APAGADO"</formula>
    </cfRule>
  </conditionalFormatting>
  <conditionalFormatting sqref="AW84">
    <cfRule type="cellIs" dxfId="152" priority="140" operator="equal">
      <formula>"APAGADO"</formula>
    </cfRule>
  </conditionalFormatting>
  <conditionalFormatting sqref="AW110">
    <cfRule type="cellIs" dxfId="151" priority="139" operator="equal">
      <formula>"APAGADO"</formula>
    </cfRule>
  </conditionalFormatting>
  <conditionalFormatting sqref="AW131">
    <cfRule type="cellIs" dxfId="150" priority="137" operator="equal">
      <formula>"APAGADO"</formula>
    </cfRule>
  </conditionalFormatting>
  <conditionalFormatting sqref="AW138">
    <cfRule type="cellIs" dxfId="149" priority="138" operator="equal">
      <formula>"APAGADO"</formula>
    </cfRule>
  </conditionalFormatting>
  <conditionalFormatting sqref="AW145:AW149">
    <cfRule type="cellIs" dxfId="148" priority="131" operator="equal">
      <formula>"APAGADO"</formula>
    </cfRule>
  </conditionalFormatting>
  <conditionalFormatting sqref="AW151">
    <cfRule type="cellIs" dxfId="147" priority="130" operator="equal">
      <formula>"APAGADO"</formula>
    </cfRule>
  </conditionalFormatting>
  <conditionalFormatting sqref="AW172">
    <cfRule type="cellIs" dxfId="146" priority="129" operator="equal">
      <formula>"APAGADO"</formula>
    </cfRule>
  </conditionalFormatting>
  <conditionalFormatting sqref="AW182">
    <cfRule type="cellIs" dxfId="145" priority="128" operator="equal">
      <formula>"APAGADO"</formula>
    </cfRule>
  </conditionalFormatting>
  <conditionalFormatting sqref="AW185">
    <cfRule type="cellIs" dxfId="144" priority="127" operator="equal">
      <formula>"APAGADO"</formula>
    </cfRule>
  </conditionalFormatting>
  <conditionalFormatting sqref="AW198">
    <cfRule type="cellIs" dxfId="143" priority="126" operator="equal">
      <formula>"APAGADO"</formula>
    </cfRule>
  </conditionalFormatting>
  <conditionalFormatting sqref="AW220">
    <cfRule type="cellIs" dxfId="142" priority="125" operator="equal">
      <formula>"APAGADO"</formula>
    </cfRule>
  </conditionalFormatting>
  <conditionalFormatting sqref="AW227">
    <cfRule type="cellIs" dxfId="141" priority="124" operator="equal">
      <formula>"APAGADO"</formula>
    </cfRule>
  </conditionalFormatting>
  <conditionalFormatting sqref="AW229:AW231">
    <cfRule type="cellIs" dxfId="140" priority="66" operator="equal">
      <formula>"APAGADO"</formula>
    </cfRule>
  </conditionalFormatting>
  <conditionalFormatting sqref="AW253">
    <cfRule type="cellIs" dxfId="139" priority="122" operator="equal">
      <formula>"APAGADO"</formula>
    </cfRule>
  </conditionalFormatting>
  <conditionalFormatting sqref="AW255:AW257">
    <cfRule type="cellIs" dxfId="138" priority="119" operator="equal">
      <formula>"APAGADO"</formula>
    </cfRule>
  </conditionalFormatting>
  <conditionalFormatting sqref="AW272:AW273">
    <cfRule type="cellIs" dxfId="137" priority="117" operator="equal">
      <formula>"APAGADO"</formula>
    </cfRule>
  </conditionalFormatting>
  <conditionalFormatting sqref="AW297">
    <cfRule type="cellIs" dxfId="136" priority="116" operator="equal">
      <formula>"APAGADO"</formula>
    </cfRule>
  </conditionalFormatting>
  <conditionalFormatting sqref="AW301">
    <cfRule type="cellIs" dxfId="135" priority="115" operator="equal">
      <formula>"APAGADO"</formula>
    </cfRule>
  </conditionalFormatting>
  <conditionalFormatting sqref="AW303:AW309">
    <cfRule type="cellIs" dxfId="134" priority="108" operator="equal">
      <formula>"APAGADO"</formula>
    </cfRule>
  </conditionalFormatting>
  <conditionalFormatting sqref="AW316:AW318">
    <cfRule type="cellIs" dxfId="133" priority="73" operator="equal">
      <formula>"APAGADO"</formula>
    </cfRule>
  </conditionalFormatting>
  <conditionalFormatting sqref="AW324">
    <cfRule type="cellIs" dxfId="132" priority="72" operator="equal">
      <formula>"APAGADO"</formula>
    </cfRule>
  </conditionalFormatting>
  <conditionalFormatting sqref="AW326:AW327">
    <cfRule type="cellIs" dxfId="131" priority="67" operator="equal">
      <formula>"APAGADO"</formula>
    </cfRule>
  </conditionalFormatting>
  <conditionalFormatting sqref="AW344:AW345">
    <cfRule type="cellIs" dxfId="130" priority="106" operator="equal">
      <formula>"APAGADO"</formula>
    </cfRule>
  </conditionalFormatting>
  <conditionalFormatting sqref="AW372:AW379">
    <cfRule type="cellIs" dxfId="129" priority="98" operator="equal">
      <formula>"APAGADO"</formula>
    </cfRule>
  </conditionalFormatting>
  <conditionalFormatting sqref="AW383">
    <cfRule type="cellIs" dxfId="128" priority="97" operator="equal">
      <formula>"APAGADO"</formula>
    </cfRule>
  </conditionalFormatting>
  <conditionalFormatting sqref="AW402">
    <cfRule type="cellIs" dxfId="127" priority="94" operator="equal">
      <formula>"APAGADO"</formula>
    </cfRule>
  </conditionalFormatting>
  <conditionalFormatting sqref="AW407">
    <cfRule type="cellIs" dxfId="126" priority="93" operator="equal">
      <formula>"APAGADO"</formula>
    </cfRule>
  </conditionalFormatting>
  <conditionalFormatting sqref="AW412:AW413">
    <cfRule type="cellIs" dxfId="125" priority="95" operator="equal">
      <formula>"APAGADO"</formula>
    </cfRule>
  </conditionalFormatting>
  <conditionalFormatting sqref="AW416">
    <cfRule type="cellIs" dxfId="124" priority="92" operator="equal">
      <formula>"APAGADO"</formula>
    </cfRule>
  </conditionalFormatting>
  <conditionalFormatting sqref="AW420">
    <cfRule type="cellIs" dxfId="123" priority="91" operator="equal">
      <formula>"APAGADO"</formula>
    </cfRule>
  </conditionalFormatting>
  <conditionalFormatting sqref="AW422:AW425">
    <cfRule type="cellIs" dxfId="122" priority="87" operator="equal">
      <formula>"APAGADO"</formula>
    </cfRule>
  </conditionalFormatting>
  <conditionalFormatting sqref="AW441">
    <cfRule type="cellIs" dxfId="121" priority="86" operator="equal">
      <formula>"APAGADO"</formula>
    </cfRule>
  </conditionalFormatting>
  <conditionalFormatting sqref="AW465">
    <cfRule type="cellIs" dxfId="120" priority="85" operator="equal">
      <formula>"APAGADO"</formula>
    </cfRule>
  </conditionalFormatting>
  <conditionalFormatting sqref="AW468:AW469">
    <cfRule type="cellIs" dxfId="119" priority="83" operator="equal">
      <formula>"APAGADO"</formula>
    </cfRule>
  </conditionalFormatting>
  <conditionalFormatting sqref="AW481">
    <cfRule type="cellIs" dxfId="118" priority="82" operator="equal">
      <formula>"APAGADO"</formula>
    </cfRule>
  </conditionalFormatting>
  <conditionalFormatting sqref="AW560">
    <cfRule type="cellIs" dxfId="117" priority="81" operator="equal">
      <formula>"APAGADO"</formula>
    </cfRule>
  </conditionalFormatting>
  <conditionalFormatting sqref="AW581:AW584">
    <cfRule type="cellIs" dxfId="116" priority="77" operator="equal">
      <formula>"APAGADO"</formula>
    </cfRule>
  </conditionalFormatting>
  <conditionalFormatting sqref="AW606">
    <cfRule type="cellIs" dxfId="115" priority="76" operator="equal">
      <formula>"APAGADO"</formula>
    </cfRule>
  </conditionalFormatting>
  <conditionalFormatting sqref="U42">
    <cfRule type="cellIs" dxfId="64" priority="65" operator="equal">
      <formula>"APAGADO"</formula>
    </cfRule>
  </conditionalFormatting>
  <conditionalFormatting sqref="U43">
    <cfRule type="cellIs" dxfId="63" priority="64" operator="equal">
      <formula>"APAGADO"</formula>
    </cfRule>
  </conditionalFormatting>
  <conditionalFormatting sqref="U44">
    <cfRule type="cellIs" dxfId="62" priority="63" operator="equal">
      <formula>"APAGADO"</formula>
    </cfRule>
  </conditionalFormatting>
  <conditionalFormatting sqref="U84">
    <cfRule type="cellIs" dxfId="61" priority="62" operator="equal">
      <formula>"APAGADO"</formula>
    </cfRule>
  </conditionalFormatting>
  <conditionalFormatting sqref="U91">
    <cfRule type="cellIs" dxfId="60" priority="61" operator="equal">
      <formula>"APAGADO"</formula>
    </cfRule>
  </conditionalFormatting>
  <conditionalFormatting sqref="U110">
    <cfRule type="cellIs" dxfId="59" priority="60" operator="equal">
      <formula>"APAGADO"</formula>
    </cfRule>
  </conditionalFormatting>
  <conditionalFormatting sqref="U69">
    <cfRule type="cellIs" dxfId="58" priority="59" operator="equal">
      <formula>"APAGADO"</formula>
    </cfRule>
  </conditionalFormatting>
  <conditionalFormatting sqref="U71">
    <cfRule type="cellIs" dxfId="57" priority="58" operator="equal">
      <formula>"APAGADO"</formula>
    </cfRule>
  </conditionalFormatting>
  <conditionalFormatting sqref="U247">
    <cfRule type="cellIs" dxfId="56" priority="57" operator="equal">
      <formula>"APAGADO"</formula>
    </cfRule>
  </conditionalFormatting>
  <conditionalFormatting sqref="U253">
    <cfRule type="cellIs" dxfId="55" priority="56" operator="equal">
      <formula>"APAGADO"</formula>
    </cfRule>
  </conditionalFormatting>
  <conditionalFormatting sqref="U255">
    <cfRule type="cellIs" dxfId="54" priority="55" operator="equal">
      <formula>"APAGADO"</formula>
    </cfRule>
  </conditionalFormatting>
  <conditionalFormatting sqref="U256">
    <cfRule type="cellIs" dxfId="53" priority="54" operator="equal">
      <formula>"APAGADO"</formula>
    </cfRule>
  </conditionalFormatting>
  <conditionalFormatting sqref="U257">
    <cfRule type="cellIs" dxfId="52" priority="53" operator="equal">
      <formula>"APAGADO"</formula>
    </cfRule>
  </conditionalFormatting>
  <conditionalFormatting sqref="U273">
    <cfRule type="cellIs" dxfId="51" priority="52" operator="equal">
      <formula>"APAGADO"</formula>
    </cfRule>
  </conditionalFormatting>
  <conditionalFormatting sqref="U281">
    <cfRule type="cellIs" dxfId="50" priority="51" operator="equal">
      <formula>"APAGADO"</formula>
    </cfRule>
  </conditionalFormatting>
  <conditionalFormatting sqref="U288">
    <cfRule type="cellIs" dxfId="49" priority="50" operator="equal">
      <formula>"APAGADO"</formula>
    </cfRule>
  </conditionalFormatting>
  <conditionalFormatting sqref="U297">
    <cfRule type="cellIs" dxfId="48" priority="49" operator="equal">
      <formula>"APAGADO"</formula>
    </cfRule>
  </conditionalFormatting>
  <conditionalFormatting sqref="U301">
    <cfRule type="cellIs" dxfId="47" priority="48" operator="equal">
      <formula>"APAGADO"</formula>
    </cfRule>
  </conditionalFormatting>
  <conditionalFormatting sqref="U303">
    <cfRule type="cellIs" dxfId="46" priority="47" operator="equal">
      <formula>"APAGADO"</formula>
    </cfRule>
  </conditionalFormatting>
  <conditionalFormatting sqref="U304:U309">
    <cfRule type="cellIs" dxfId="45" priority="46" operator="equal">
      <formula>"APAGADO"</formula>
    </cfRule>
  </conditionalFormatting>
  <conditionalFormatting sqref="U347">
    <cfRule type="cellIs" dxfId="44" priority="45" operator="equal">
      <formula>"APAGADO"</formula>
    </cfRule>
  </conditionalFormatting>
  <conditionalFormatting sqref="U372">
    <cfRule type="cellIs" dxfId="43" priority="44" operator="equal">
      <formula>"APAGADO"</formula>
    </cfRule>
  </conditionalFormatting>
  <conditionalFormatting sqref="U373">
    <cfRule type="cellIs" dxfId="42" priority="43" operator="equal">
      <formula>"APAGADO"</formula>
    </cfRule>
  </conditionalFormatting>
  <conditionalFormatting sqref="U374">
    <cfRule type="cellIs" dxfId="41" priority="42" operator="equal">
      <formula>"APAGADO"</formula>
    </cfRule>
  </conditionalFormatting>
  <conditionalFormatting sqref="U375">
    <cfRule type="cellIs" dxfId="40" priority="41" operator="equal">
      <formula>"APAGADO"</formula>
    </cfRule>
  </conditionalFormatting>
  <conditionalFormatting sqref="U376">
    <cfRule type="cellIs" dxfId="39" priority="40" operator="equal">
      <formula>"APAGADO"</formula>
    </cfRule>
  </conditionalFormatting>
  <conditionalFormatting sqref="U377">
    <cfRule type="cellIs" dxfId="38" priority="39" operator="equal">
      <formula>"APAGADO"</formula>
    </cfRule>
  </conditionalFormatting>
  <conditionalFormatting sqref="U378">
    <cfRule type="cellIs" dxfId="37" priority="38" operator="equal">
      <formula>"APAGADO"</formula>
    </cfRule>
  </conditionalFormatting>
  <conditionalFormatting sqref="U379">
    <cfRule type="cellIs" dxfId="36" priority="37" operator="equal">
      <formula>"APAGADO"</formula>
    </cfRule>
  </conditionalFormatting>
  <conditionalFormatting sqref="U412">
    <cfRule type="cellIs" dxfId="35" priority="36" operator="equal">
      <formula>"APAGADO"</formula>
    </cfRule>
  </conditionalFormatting>
  <conditionalFormatting sqref="U413">
    <cfRule type="cellIs" dxfId="34" priority="35" operator="equal">
      <formula>"APAGADO"</formula>
    </cfRule>
  </conditionalFormatting>
  <conditionalFormatting sqref="U402">
    <cfRule type="cellIs" dxfId="33" priority="34" operator="equal">
      <formula>"APAGADO"</formula>
    </cfRule>
  </conditionalFormatting>
  <conditionalFormatting sqref="U407">
    <cfRule type="cellIs" dxfId="32" priority="33" operator="equal">
      <formula>"APAGADO"</formula>
    </cfRule>
  </conditionalFormatting>
  <conditionalFormatting sqref="U420">
    <cfRule type="cellIs" dxfId="31" priority="32" operator="equal">
      <formula>"APAGADO"</formula>
    </cfRule>
  </conditionalFormatting>
  <conditionalFormatting sqref="U416">
    <cfRule type="cellIs" dxfId="30" priority="31" operator="equal">
      <formula>"APAGADO"</formula>
    </cfRule>
  </conditionalFormatting>
  <conditionalFormatting sqref="U422">
    <cfRule type="cellIs" dxfId="29" priority="30" operator="equal">
      <formula>"APAGADO"</formula>
    </cfRule>
  </conditionalFormatting>
  <conditionalFormatting sqref="U423">
    <cfRule type="cellIs" dxfId="28" priority="29" operator="equal">
      <formula>"APAGADO"</formula>
    </cfRule>
  </conditionalFormatting>
  <conditionalFormatting sqref="U424">
    <cfRule type="cellIs" dxfId="27" priority="28" operator="equal">
      <formula>"APAGADO"</formula>
    </cfRule>
  </conditionalFormatting>
  <conditionalFormatting sqref="U425">
    <cfRule type="cellIs" dxfId="26" priority="27" operator="equal">
      <formula>"APAGADO"</formula>
    </cfRule>
  </conditionalFormatting>
  <conditionalFormatting sqref="U441">
    <cfRule type="cellIs" dxfId="25" priority="26" operator="equal">
      <formula>"APAGADO"</formula>
    </cfRule>
  </conditionalFormatting>
  <conditionalFormatting sqref="U449">
    <cfRule type="cellIs" dxfId="24" priority="25" operator="equal">
      <formula>"APAGADO"</formula>
    </cfRule>
  </conditionalFormatting>
  <conditionalFormatting sqref="U450">
    <cfRule type="cellIs" dxfId="23" priority="24" operator="equal">
      <formula>"APAGADO"</formula>
    </cfRule>
  </conditionalFormatting>
  <conditionalFormatting sqref="U447">
    <cfRule type="cellIs" dxfId="22" priority="23" operator="equal">
      <formula>"APAGADO"</formula>
    </cfRule>
  </conditionalFormatting>
  <conditionalFormatting sqref="U448">
    <cfRule type="cellIs" dxfId="21" priority="22" operator="equal">
      <formula>"APAGADO"</formula>
    </cfRule>
  </conditionalFormatting>
  <conditionalFormatting sqref="U465">
    <cfRule type="cellIs" dxfId="20" priority="21" operator="equal">
      <formula>"APAGADO"</formula>
    </cfRule>
  </conditionalFormatting>
  <conditionalFormatting sqref="U468">
    <cfRule type="cellIs" dxfId="19" priority="20" operator="equal">
      <formula>"APAGADO"</formula>
    </cfRule>
  </conditionalFormatting>
  <conditionalFormatting sqref="U469">
    <cfRule type="cellIs" dxfId="18" priority="19" operator="equal">
      <formula>"APAGADO"</formula>
    </cfRule>
  </conditionalFormatting>
  <conditionalFormatting sqref="U456">
    <cfRule type="cellIs" dxfId="17" priority="18" operator="equal">
      <formula>"APAGADO"</formula>
    </cfRule>
  </conditionalFormatting>
  <conditionalFormatting sqref="U457">
    <cfRule type="cellIs" dxfId="16" priority="17" operator="equal">
      <formula>"APAGADO"</formula>
    </cfRule>
  </conditionalFormatting>
  <conditionalFormatting sqref="U481">
    <cfRule type="cellIs" dxfId="15" priority="16" operator="equal">
      <formula>"APAGADO"</formula>
    </cfRule>
  </conditionalFormatting>
  <conditionalFormatting sqref="U509">
    <cfRule type="cellIs" dxfId="14" priority="15" operator="equal">
      <formula>"APAGADO"</formula>
    </cfRule>
  </conditionalFormatting>
  <conditionalFormatting sqref="U510">
    <cfRule type="cellIs" dxfId="13" priority="14" operator="equal">
      <formula>"APAGADO"</formula>
    </cfRule>
  </conditionalFormatting>
  <conditionalFormatting sqref="U560">
    <cfRule type="cellIs" dxfId="12" priority="13" operator="equal">
      <formula>"APAGADO"</formula>
    </cfRule>
  </conditionalFormatting>
  <conditionalFormatting sqref="U572">
    <cfRule type="cellIs" dxfId="11" priority="12" operator="equal">
      <formula>"APAGADO"</formula>
    </cfRule>
  </conditionalFormatting>
  <conditionalFormatting sqref="U584">
    <cfRule type="cellIs" dxfId="10" priority="11" operator="equal">
      <formula>"APAGADO"</formula>
    </cfRule>
  </conditionalFormatting>
  <conditionalFormatting sqref="U581">
    <cfRule type="cellIs" dxfId="9" priority="10" operator="equal">
      <formula>"APAGADO"</formula>
    </cfRule>
  </conditionalFormatting>
  <conditionalFormatting sqref="U582">
    <cfRule type="cellIs" dxfId="8" priority="9" operator="equal">
      <formula>"APAGADO"</formula>
    </cfRule>
  </conditionalFormatting>
  <conditionalFormatting sqref="U583">
    <cfRule type="cellIs" dxfId="7" priority="8" operator="equal">
      <formula>"APAGADO"</formula>
    </cfRule>
  </conditionalFormatting>
  <conditionalFormatting sqref="U599">
    <cfRule type="cellIs" dxfId="6" priority="7" operator="equal">
      <formula>"APAGADO"</formula>
    </cfRule>
  </conditionalFormatting>
  <conditionalFormatting sqref="U333">
    <cfRule type="cellIs" dxfId="5" priority="6" operator="equal">
      <formula>"APAGADO"</formula>
    </cfRule>
  </conditionalFormatting>
  <conditionalFormatting sqref="U334">
    <cfRule type="cellIs" dxfId="4" priority="5" operator="equal">
      <formula>"APAGADO"</formula>
    </cfRule>
  </conditionalFormatting>
  <conditionalFormatting sqref="U335">
    <cfRule type="cellIs" dxfId="3" priority="4" operator="equal">
      <formula>"APAGADO"</formula>
    </cfRule>
  </conditionalFormatting>
  <conditionalFormatting sqref="U338">
    <cfRule type="cellIs" dxfId="2" priority="3" operator="equal">
      <formula>"APAGADO"</formula>
    </cfRule>
  </conditionalFormatting>
  <conditionalFormatting sqref="U77">
    <cfRule type="cellIs" dxfId="1" priority="2" operator="equal">
      <formula>"APAGADO"</formula>
    </cfRule>
  </conditionalFormatting>
  <conditionalFormatting sqref="U70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 t="str">
        <f>'RESUMEN TOTAL'!U148</f>
        <v>APAGADO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 t="str">
        <f>'RESUMEN TOTAL'!U155</f>
        <v>APAGADO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>
        <f>'RESUMEN TOTAL'!Y164</f>
        <v>0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>
        <f>'RESUMEN TOTAL'!T170</f>
        <v>0</v>
      </c>
      <c r="H126" s="70">
        <f>'RESUMEN TOTAL'!U170</f>
        <v>0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>
        <f>'RESUMEN TOTAL'!T171</f>
        <v>0</v>
      </c>
      <c r="H127" s="70">
        <f>'RESUMEN TOTAL'!U171</f>
        <v>0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>
        <f>'RESUMEN TOTAL'!S172</f>
        <v>0</v>
      </c>
      <c r="G128" s="70">
        <f>'RESUMEN TOTAL'!T172</f>
        <v>0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>
        <f>'RESUMEN TOTAL'!X172</f>
        <v>0</v>
      </c>
      <c r="L128" s="70">
        <f>'RESUMEN TOTAL'!Y172</f>
        <v>0</v>
      </c>
      <c r="M128" s="70">
        <f>'RESUMEN TOTAL'!Z172</f>
        <v>0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>
        <f>'RESUMEN TOTAL'!AE172</f>
        <v>0</v>
      </c>
      <c r="S128" s="70">
        <f>'RESUMEN TOTAL'!AF172</f>
        <v>0</v>
      </c>
      <c r="T128" s="70">
        <f>'RESUMEN TOTAL'!AG172</f>
        <v>0</v>
      </c>
      <c r="U128" s="70">
        <f>'RESUMEN TOTAL'!AH172</f>
        <v>0</v>
      </c>
      <c r="V128" s="70">
        <f>'RESUMEN TOTAL'!AI172</f>
        <v>0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>
        <f>'RESUMEN TOTAL'!Y177</f>
        <v>0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>
        <f>'RESUMEN TOTAL'!Y178</f>
        <v>0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>
        <f>'RESUMEN TOTAL'!Y179</f>
        <v>0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 t="str">
        <f>'RESUMEN TOTAL'!U182</f>
        <v>APAGADO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>
        <f>'RESUMEN TOTAL'!Y182</f>
        <v>0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>
        <f>'RESUMEN TOTAL'!S183</f>
        <v>0</v>
      </c>
      <c r="G136" s="70">
        <f>'RESUMEN TOTAL'!T183</f>
        <v>0</v>
      </c>
      <c r="H136" s="70">
        <f>'RESUMEN TOTAL'!U183</f>
        <v>0</v>
      </c>
      <c r="I136" s="70">
        <f>'RESUMEN TOTAL'!V183</f>
        <v>0</v>
      </c>
      <c r="J136" s="70">
        <f>'RESUMEN TOTAL'!W183</f>
        <v>0</v>
      </c>
      <c r="K136" s="70">
        <f>'RESUMEN TOTAL'!X183</f>
        <v>0</v>
      </c>
      <c r="L136" s="70">
        <f>'RESUMEN TOTAL'!Y183</f>
        <v>0</v>
      </c>
      <c r="M136" s="70">
        <f>'RESUMEN TOTAL'!Z183</f>
        <v>0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>
        <f>'RESUMEN TOTAL'!AE183</f>
        <v>0</v>
      </c>
      <c r="S136" s="70">
        <f>'RESUMEN TOTAL'!AF183</f>
        <v>0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>
        <f>'RESUMEN TOTAL'!Y185</f>
        <v>0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>
        <f>'RESUMEN TOTAL'!Y186</f>
        <v>0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>
        <f>'RESUMEN TOTAL'!AE186</f>
        <v>0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>
        <f>'RESUMEN TOTAL'!Z188</f>
        <v>0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>
        <f>'RESUMEN TOTAL'!Y189</f>
        <v>0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>
        <f>'RESUMEN TOTAL'!Y190</f>
        <v>0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>
        <f>'RESUMEN TOTAL'!S191</f>
        <v>0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>
        <f>'RESUMEN TOTAL'!S192</f>
        <v>0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>
        <f>'RESUMEN TOTAL'!T208</f>
        <v>0</v>
      </c>
      <c r="H155" s="70">
        <f>'RESUMEN TOTAL'!U208</f>
        <v>0</v>
      </c>
      <c r="I155" s="70">
        <f>'RESUMEN TOTAL'!V208</f>
        <v>0</v>
      </c>
      <c r="J155" s="70">
        <f>'RESUMEN TOTAL'!W208</f>
        <v>0</v>
      </c>
      <c r="K155" s="70">
        <f>'RESUMEN TOTAL'!X208</f>
        <v>0</v>
      </c>
      <c r="L155" s="70">
        <f>'RESUMEN TOTAL'!Y208</f>
        <v>0</v>
      </c>
      <c r="M155" s="70">
        <f>'RESUMEN TOTAL'!Z208</f>
        <v>0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>
        <f>'RESUMEN TOTAL'!AE209</f>
        <v>0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>
        <f>'RESUMEN TOTAL'!S210</f>
        <v>0</v>
      </c>
      <c r="G157" s="70">
        <f>'RESUMEN TOTAL'!T210</f>
        <v>0</v>
      </c>
      <c r="H157" s="70">
        <f>'RESUMEN TOTAL'!U210</f>
        <v>0</v>
      </c>
      <c r="I157" s="70">
        <f>'RESUMEN TOTAL'!V210</f>
        <v>0</v>
      </c>
      <c r="J157" s="70">
        <f>'RESUMEN TOTAL'!W210</f>
        <v>0</v>
      </c>
      <c r="K157" s="70">
        <f>'RESUMEN TOTAL'!X210</f>
        <v>0</v>
      </c>
      <c r="L157" s="70">
        <f>'RESUMEN TOTAL'!Y210</f>
        <v>0</v>
      </c>
      <c r="M157" s="70">
        <f>'RESUMEN TOTAL'!Z210</f>
        <v>0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>
        <f>'RESUMEN TOTAL'!AE210</f>
        <v>0</v>
      </c>
      <c r="S157" s="70">
        <f>'RESUMEN TOTAL'!AF210</f>
        <v>0</v>
      </c>
      <c r="T157" s="70">
        <f>'RESUMEN TOTAL'!AG210</f>
        <v>0</v>
      </c>
      <c r="U157" s="70">
        <f>'RESUMEN TOTAL'!AH210</f>
        <v>0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>
        <f>'RESUMEN TOTAL'!X212</f>
        <v>0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>
        <f>'RESUMEN TOTAL'!AF212</f>
        <v>0</v>
      </c>
      <c r="T159" s="70">
        <f>'RESUMEN TOTAL'!AG212</f>
        <v>0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>
        <f>'RESUMEN TOTAL'!X213</f>
        <v>0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>
        <f>'RESUMEN TOTAL'!AF213</f>
        <v>0</v>
      </c>
      <c r="T160" s="70">
        <f>'RESUMEN TOTAL'!AG213</f>
        <v>0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>
        <f>'RESUMEN TOTAL'!S215</f>
        <v>0</v>
      </c>
      <c r="G162" s="70">
        <f>'RESUMEN TOTAL'!T215</f>
        <v>0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>
        <f>'RESUMEN TOTAL'!X215</f>
        <v>0</v>
      </c>
      <c r="L162" s="70">
        <f>'RESUMEN TOTAL'!Y215</f>
        <v>0</v>
      </c>
      <c r="M162" s="70">
        <f>'RESUMEN TOTAL'!Z215</f>
        <v>0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>
        <f>'RESUMEN TOTAL'!AE215</f>
        <v>0</v>
      </c>
      <c r="S162" s="70">
        <f>'RESUMEN TOTAL'!AF215</f>
        <v>0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 t="str">
        <f>'RESUMEN TOTAL'!U231</f>
        <v>APAGADO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>
        <f>'RESUMEN TOTAL'!AE246</f>
        <v>0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 t="str">
        <f>'RESUMEN TOTAL'!U247</f>
        <v>APAGADO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>
        <f>'RESUMEN TOTAL'!S253</f>
        <v>0</v>
      </c>
      <c r="G190" s="70">
        <f>'RESUMEN TOTAL'!T253</f>
        <v>0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>
        <f>'RESUMEN TOTAL'!X253</f>
        <v>0</v>
      </c>
      <c r="L190" s="70">
        <f>'RESUMEN TOTAL'!Y253</f>
        <v>0</v>
      </c>
      <c r="M190" s="70">
        <f>'RESUMEN TOTAL'!Z253</f>
        <v>0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>
        <f>'RESUMEN TOTAL'!AE253</f>
        <v>0</v>
      </c>
      <c r="S190" s="70">
        <f>'RESUMEN TOTAL'!AF253</f>
        <v>0</v>
      </c>
      <c r="T190" s="70">
        <f>'RESUMEN TOTAL'!AG253</f>
        <v>0</v>
      </c>
      <c r="U190" s="70">
        <f>'RESUMEN TOTAL'!AH253</f>
        <v>0</v>
      </c>
      <c r="V190" s="70">
        <f>'RESUMEN TOTAL'!AI253</f>
        <v>0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 t="str">
        <f>'RESUMEN TOTAL'!U255</f>
        <v>APAGADO</v>
      </c>
      <c r="I192" s="70">
        <f>'RESUMEN TOTAL'!V255</f>
        <v>0</v>
      </c>
      <c r="J192" s="70">
        <f>'RESUMEN TOTAL'!W255</f>
        <v>0</v>
      </c>
      <c r="K192" s="70">
        <f>'RESUMEN TOTAL'!X255</f>
        <v>0</v>
      </c>
      <c r="L192" s="70">
        <f>'RESUMEN TOTAL'!Y255</f>
        <v>0</v>
      </c>
      <c r="M192" s="70">
        <f>'RESUMEN TOTAL'!Z255</f>
        <v>0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>
        <f>'RESUMEN TOTAL'!AE255</f>
        <v>0</v>
      </c>
      <c r="S192" s="70">
        <f>'RESUMEN TOTAL'!AF255</f>
        <v>0</v>
      </c>
      <c r="T192" s="70">
        <f>'RESUMEN TOTAL'!AG255</f>
        <v>0</v>
      </c>
      <c r="U192" s="70">
        <f>'RESUMEN TOTAL'!AH255</f>
        <v>0</v>
      </c>
      <c r="V192" s="70">
        <f>'RESUMEN TOTAL'!AI255</f>
        <v>0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>
        <f>'RESUMEN TOTAL'!S256</f>
        <v>0</v>
      </c>
      <c r="G193" s="70">
        <f>'RESUMEN TOTAL'!T256</f>
        <v>0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>
        <f>'RESUMEN TOTAL'!X256</f>
        <v>0</v>
      </c>
      <c r="L193" s="70">
        <f>'RESUMEN TOTAL'!Y256</f>
        <v>0</v>
      </c>
      <c r="M193" s="70">
        <f>'RESUMEN TOTAL'!Z256</f>
        <v>0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>
        <f>'RESUMEN TOTAL'!AE256</f>
        <v>0</v>
      </c>
      <c r="S193" s="70">
        <f>'RESUMEN TOTAL'!AF256</f>
        <v>0</v>
      </c>
      <c r="T193" s="70">
        <f>'RESUMEN TOTAL'!AG256</f>
        <v>0</v>
      </c>
      <c r="U193" s="70">
        <f>'RESUMEN TOTAL'!AH256</f>
        <v>0</v>
      </c>
      <c r="V193" s="70">
        <f>'RESUMEN TOTAL'!AI256</f>
        <v>0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>
        <f>'RESUMEN TOTAL'!S257</f>
        <v>0</v>
      </c>
      <c r="G194" s="70">
        <f>'RESUMEN TOTAL'!T257</f>
        <v>0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>
        <f>'RESUMEN TOTAL'!X257</f>
        <v>0</v>
      </c>
      <c r="L194" s="70">
        <f>'RESUMEN TOTAL'!Y257</f>
        <v>0</v>
      </c>
      <c r="M194" s="70">
        <f>'RESUMEN TOTAL'!Z257</f>
        <v>0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>
        <f>'RESUMEN TOTAL'!AE257</f>
        <v>0</v>
      </c>
      <c r="S194" s="70">
        <f>'RESUMEN TOTAL'!AF257</f>
        <v>0</v>
      </c>
      <c r="T194" s="70">
        <f>'RESUMEN TOTAL'!AG257</f>
        <v>0</v>
      </c>
      <c r="U194" s="70">
        <f>'RESUMEN TOTAL'!AH257</f>
        <v>0</v>
      </c>
      <c r="V194" s="70">
        <f>'RESUMEN TOTAL'!AI257</f>
        <v>0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>
        <f>'RESUMEN TOTAL'!U264</f>
        <v>0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>
        <f>'RESUMEN TOTAL'!U265</f>
        <v>0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 t="str">
        <f>'RESUMEN TOTAL'!U273</f>
        <v>APAGADO</v>
      </c>
      <c r="I204" s="70">
        <f>'RESUMEN TOTAL'!V273</f>
        <v>0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>
        <f>'RESUMEN TOTAL'!T275</f>
        <v>0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>
        <f>'RESUMEN TOTAL'!T276</f>
        <v>0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>
        <f>'RESUMEN TOTAL'!AE276</f>
        <v>0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>
        <f>'RESUMEN TOTAL'!T277</f>
        <v>0</v>
      </c>
      <c r="H208" s="70">
        <f>'RESUMEN TOTAL'!U277</f>
        <v>0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>
        <f>'RESUMEN TOTAL'!T278</f>
        <v>0</v>
      </c>
      <c r="H209" s="70">
        <f>'RESUMEN TOTAL'!U278</f>
        <v>0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>
        <f>'RESUMEN TOTAL'!T281</f>
        <v>0</v>
      </c>
      <c r="H212" s="70" t="str">
        <f>'RESUMEN TOTAL'!U281</f>
        <v>APAGADO</v>
      </c>
      <c r="I212" s="70">
        <f>'RESUMEN TOTAL'!V281</f>
        <v>0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>
        <f>'RESUMEN TOTAL'!AE281</f>
        <v>0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>
        <f>'RESUMEN TOTAL'!AI281</f>
        <v>0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>
        <f>'RESUMEN TOTAL'!S283</f>
        <v>0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>
        <f>'RESUMEN TOTAL'!AE285</f>
        <v>0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>
        <f>'RESUMEN TOTAL'!AS293</f>
        <v>0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>
        <f>'RESUMEN TOTAL'!AE294</f>
        <v>0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>
        <f>'RESUMEN TOTAL'!AE295</f>
        <v>0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>
        <f>'RESUMEN TOTAL'!AE296</f>
        <v>0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>
        <f>'RESUMEN TOTAL'!AS296</f>
        <v>0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 t="str">
        <f>'RESUMEN TOTAL'!U297</f>
        <v>APAGADO</v>
      </c>
      <c r="I222" s="70">
        <f>'RESUMEN TOTAL'!V297</f>
        <v>0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>
        <f>'RESUMEN TOTAL'!AE297</f>
        <v>0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 t="str">
        <f>'RESUMEN TOTAL'!U301</f>
        <v>APAGADO</v>
      </c>
      <c r="I226" s="70">
        <f>'RESUMEN TOTAL'!V301</f>
        <v>0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>
        <f>'RESUMEN TOTAL'!AS301</f>
        <v>0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 t="str">
        <f>'RESUMEN TOTAL'!U305</f>
        <v>APAGADO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>
        <f>'RESUMEN TOTAL'!Y305</f>
        <v>0</v>
      </c>
      <c r="M227" s="70">
        <f>'RESUMEN TOTAL'!Z305</f>
        <v>0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>
        <f>'RESUMEN TOTAL'!AE305</f>
        <v>0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 t="str">
        <f>'RESUMEN TOTAL'!U306</f>
        <v>APAGADO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>
        <f>'RESUMEN TOTAL'!Y306</f>
        <v>0</v>
      </c>
      <c r="M228" s="70">
        <f>'RESUMEN TOTAL'!Z306</f>
        <v>0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 t="str">
        <f>'RESUMEN TOTAL'!U307</f>
        <v>APAGADO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>
        <f>'RESUMEN TOTAL'!Y307</f>
        <v>0</v>
      </c>
      <c r="M229" s="70">
        <f>'RESUMEN TOTAL'!Z307</f>
        <v>0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 t="str">
        <f>'RESUMEN TOTAL'!U308</f>
        <v>APAGADO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>
        <f>'RESUMEN TOTAL'!Y308</f>
        <v>0</v>
      </c>
      <c r="M230" s="70">
        <f>'RESUMEN TOTAL'!Z308</f>
        <v>0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>
        <f>'RESUMEN TOTAL'!AL308</f>
        <v>0</v>
      </c>
      <c r="Z230" s="70">
        <f>'RESUMEN TOTAL'!AM308</f>
        <v>0</v>
      </c>
      <c r="AA230" s="70">
        <f>'RESUMEN TOTAL'!AN308</f>
        <v>0</v>
      </c>
      <c r="AB230" s="70">
        <f>'RESUMEN TOTAL'!AO308</f>
        <v>0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 t="str">
        <f>'RESUMEN TOTAL'!U309</f>
        <v>APAGADO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>
        <f>'RESUMEN TOTAL'!Y309</f>
        <v>0</v>
      </c>
      <c r="M231" s="70">
        <f>'RESUMEN TOTAL'!Z309</f>
        <v>0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>
        <f>'RESUMEN TOTAL'!AL309</f>
        <v>0</v>
      </c>
      <c r="Z231" s="70">
        <f>'RESUMEN TOTAL'!AM309</f>
        <v>0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>
        <f>'RESUMEN TOTAL'!AE312</f>
        <v>0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>
        <f>'RESUMEN TOTAL'!T313</f>
        <v>0</v>
      </c>
      <c r="H234" s="70">
        <f>'RESUMEN TOTAL'!U313</f>
        <v>0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>
        <f>'RESUMEN TOTAL'!AE313</f>
        <v>0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>
        <f>'RESUMEN TOTAL'!AL313</f>
        <v>0</v>
      </c>
      <c r="Z234" s="70">
        <f>'RESUMEN TOTAL'!AM313</f>
        <v>0</v>
      </c>
      <c r="AA234" s="70">
        <f>'RESUMEN TOTAL'!AN313</f>
        <v>0</v>
      </c>
      <c r="AB234" s="70">
        <f>'RESUMEN TOTAL'!AO313</f>
        <v>0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>
        <f>'RESUMEN TOTAL'!AS313</f>
        <v>0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>
        <f>'RESUMEN TOTAL'!T314</f>
        <v>0</v>
      </c>
      <c r="H235" s="70">
        <f>'RESUMEN TOTAL'!U314</f>
        <v>0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>
        <f>'RESUMEN TOTAL'!AL314</f>
        <v>0</v>
      </c>
      <c r="Z235" s="70">
        <f>'RESUMEN TOTAL'!AM314</f>
        <v>0</v>
      </c>
      <c r="AA235" s="70">
        <f>'RESUMEN TOTAL'!AN314</f>
        <v>0</v>
      </c>
      <c r="AB235" s="70">
        <f>'RESUMEN TOTAL'!AO314</f>
        <v>0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>
        <f>'RESUMEN TOTAL'!AS314</f>
        <v>0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>
        <f>'RESUMEN TOTAL'!T315</f>
        <v>0</v>
      </c>
      <c r="H236" s="70">
        <f>'RESUMEN TOTAL'!U315</f>
        <v>0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>
        <f>'RESUMEN TOTAL'!AL315</f>
        <v>0</v>
      </c>
      <c r="Z236" s="70">
        <f>'RESUMEN TOTAL'!AM315</f>
        <v>0</v>
      </c>
      <c r="AA236" s="70">
        <f>'RESUMEN TOTAL'!AN315</f>
        <v>0</v>
      </c>
      <c r="AB236" s="70">
        <f>'RESUMEN TOTAL'!AO315</f>
        <v>0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>
        <f>'RESUMEN TOTAL'!AS315</f>
        <v>0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>
        <f>'RESUMEN TOTAL'!T316</f>
        <v>0</v>
      </c>
      <c r="H237" s="70" t="str">
        <f>'RESUMEN TOTAL'!U316</f>
        <v>APAGADO</v>
      </c>
      <c r="I237" s="70">
        <f>'RESUMEN TOTAL'!V316</f>
        <v>0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>
        <f>'RESUMEN TOTAL'!T317</f>
        <v>0</v>
      </c>
      <c r="H238" s="70" t="str">
        <f>'RESUMEN TOTAL'!U317</f>
        <v>APAGADO</v>
      </c>
      <c r="I238" s="70">
        <f>'RESUMEN TOTAL'!V317</f>
        <v>0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>
        <f>'RESUMEN TOTAL'!T318</f>
        <v>0</v>
      </c>
      <c r="H239" s="70" t="str">
        <f>'RESUMEN TOTAL'!U318</f>
        <v>APAGADO</v>
      </c>
      <c r="I239" s="70">
        <f>'RESUMEN TOTAL'!V318</f>
        <v>0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>
        <f>'RESUMEN TOTAL'!S319</f>
        <v>0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 t="str">
        <f>'RESUMEN TOTAL'!U320</f>
        <v>APAGADO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>
        <f>'RESUMEN TOTAL'!AE320</f>
        <v>0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>
        <f>'RESUMEN TOTAL'!AN320</f>
        <v>0</v>
      </c>
      <c r="AB241" s="70">
        <f>'RESUMEN TOTAL'!AO320</f>
        <v>0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 t="str">
        <f>'RESUMEN TOTAL'!U321</f>
        <v>APAGADO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 t="str">
        <f>'RESUMEN TOTAL'!U322</f>
        <v>APAGADO</v>
      </c>
      <c r="I243" s="70">
        <f>'RESUMEN TOTAL'!V322</f>
        <v>0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>
        <f>'RESUMEN TOTAL'!S324</f>
        <v>0</v>
      </c>
      <c r="G244" s="70">
        <f>'RESUMEN TOTAL'!T324</f>
        <v>0</v>
      </c>
      <c r="H244" s="70" t="str">
        <f>'RESUMEN TOTAL'!U324</f>
        <v>APAGADO</v>
      </c>
      <c r="I244" s="70">
        <f>'RESUMEN TOTAL'!V324</f>
        <v>0</v>
      </c>
      <c r="J244" s="70">
        <f>'RESUMEN TOTAL'!W324</f>
        <v>0</v>
      </c>
      <c r="K244" s="70">
        <f>'RESUMEN TOTAL'!X324</f>
        <v>0</v>
      </c>
      <c r="L244" s="70">
        <f>'RESUMEN TOTAL'!Y324</f>
        <v>0</v>
      </c>
      <c r="M244" s="70">
        <f>'RESUMEN TOTAL'!Z324</f>
        <v>0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>
        <f>'RESUMEN TOTAL'!AE324</f>
        <v>0</v>
      </c>
      <c r="S244" s="70">
        <f>'RESUMEN TOTAL'!AF324</f>
        <v>0</v>
      </c>
      <c r="T244" s="70">
        <f>'RESUMEN TOTAL'!AG324</f>
        <v>0</v>
      </c>
      <c r="U244" s="70">
        <f>'RESUMEN TOTAL'!AH324</f>
        <v>0</v>
      </c>
      <c r="V244" s="70">
        <f>'RESUMEN TOTAL'!AI324</f>
        <v>0</v>
      </c>
      <c r="W244" s="70">
        <f>'RESUMEN TOTAL'!AJ324</f>
        <v>0</v>
      </c>
      <c r="X244" s="70">
        <f>'RESUMEN TOTAL'!AK324</f>
        <v>0</v>
      </c>
      <c r="Y244" s="70">
        <f>'RESUMEN TOTAL'!AL324</f>
        <v>0</v>
      </c>
      <c r="Z244" s="70">
        <f>'RESUMEN TOTAL'!AM324</f>
        <v>0</v>
      </c>
      <c r="AA244" s="70">
        <f>'RESUMEN TOTAL'!AN324</f>
        <v>0</v>
      </c>
      <c r="AB244" s="70">
        <f>'RESUMEN TOTAL'!AO324</f>
        <v>0</v>
      </c>
      <c r="AC244" s="70">
        <f>'RESUMEN TOTAL'!AP324</f>
        <v>0</v>
      </c>
      <c r="AD244" s="70">
        <f>'RESUMEN TOTAL'!AQ324</f>
        <v>0</v>
      </c>
      <c r="AE244" s="70">
        <f>'RESUMEN TOTAL'!AR324</f>
        <v>0</v>
      </c>
      <c r="AF244" s="70">
        <f>'RESUMEN TOTAL'!AS324</f>
        <v>0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>
        <f>'RESUMEN TOTAL'!S326</f>
        <v>0</v>
      </c>
      <c r="G246" s="70">
        <f>'RESUMEN TOTAL'!T326</f>
        <v>0</v>
      </c>
      <c r="H246" s="70" t="str">
        <f>'RESUMEN TOTAL'!U326</f>
        <v>APAGADO</v>
      </c>
      <c r="I246" s="70">
        <f>'RESUMEN TOTAL'!V326</f>
        <v>0</v>
      </c>
      <c r="J246" s="70">
        <f>'RESUMEN TOTAL'!W326</f>
        <v>0</v>
      </c>
      <c r="K246" s="70">
        <f>'RESUMEN TOTAL'!X326</f>
        <v>0</v>
      </c>
      <c r="L246" s="70">
        <f>'RESUMEN TOTAL'!Y326</f>
        <v>0</v>
      </c>
      <c r="M246" s="70">
        <f>'RESUMEN TOTAL'!Z326</f>
        <v>0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>
        <f>'RESUMEN TOTAL'!AE326</f>
        <v>0</v>
      </c>
      <c r="S246" s="70">
        <f>'RESUMEN TOTAL'!AF326</f>
        <v>0</v>
      </c>
      <c r="T246" s="70">
        <f>'RESUMEN TOTAL'!AG326</f>
        <v>0</v>
      </c>
      <c r="U246" s="70">
        <f>'RESUMEN TOTAL'!AH326</f>
        <v>0</v>
      </c>
      <c r="V246" s="70">
        <f>'RESUMEN TOTAL'!AI326</f>
        <v>0</v>
      </c>
      <c r="W246" s="70">
        <f>'RESUMEN TOTAL'!AJ326</f>
        <v>0</v>
      </c>
      <c r="X246" s="70">
        <f>'RESUMEN TOTAL'!AK326</f>
        <v>0</v>
      </c>
      <c r="Y246" s="70">
        <f>'RESUMEN TOTAL'!AL326</f>
        <v>0</v>
      </c>
      <c r="Z246" s="70">
        <f>'RESUMEN TOTAL'!AM326</f>
        <v>0</v>
      </c>
      <c r="AA246" s="70">
        <f>'RESUMEN TOTAL'!AN326</f>
        <v>0</v>
      </c>
      <c r="AB246" s="70">
        <f>'RESUMEN TOTAL'!AO326</f>
        <v>0</v>
      </c>
      <c r="AC246" s="70">
        <f>'RESUMEN TOTAL'!AP326</f>
        <v>0</v>
      </c>
      <c r="AD246" s="70">
        <f>'RESUMEN TOTAL'!AQ326</f>
        <v>0</v>
      </c>
      <c r="AE246" s="70">
        <f>'RESUMEN TOTAL'!AR326</f>
        <v>0</v>
      </c>
      <c r="AF246" s="70">
        <f>'RESUMEN TOTAL'!AS326</f>
        <v>0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>
        <f>'RESUMEN TOTAL'!S327</f>
        <v>0</v>
      </c>
      <c r="G247" s="70">
        <f>'RESUMEN TOTAL'!T327</f>
        <v>0</v>
      </c>
      <c r="H247" s="70" t="str">
        <f>'RESUMEN TOTAL'!U327</f>
        <v>APAGADO</v>
      </c>
      <c r="I247" s="70">
        <f>'RESUMEN TOTAL'!V327</f>
        <v>0</v>
      </c>
      <c r="J247" s="70">
        <f>'RESUMEN TOTAL'!W327</f>
        <v>0</v>
      </c>
      <c r="K247" s="70">
        <f>'RESUMEN TOTAL'!X327</f>
        <v>0</v>
      </c>
      <c r="L247" s="70">
        <f>'RESUMEN TOTAL'!Y327</f>
        <v>0</v>
      </c>
      <c r="M247" s="70">
        <f>'RESUMEN TOTAL'!Z327</f>
        <v>0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>
        <f>'RESUMEN TOTAL'!AF327</f>
        <v>0</v>
      </c>
      <c r="T247" s="70">
        <f>'RESUMEN TOTAL'!AG327</f>
        <v>0</v>
      </c>
      <c r="U247" s="70">
        <f>'RESUMEN TOTAL'!AH327</f>
        <v>0</v>
      </c>
      <c r="V247" s="70">
        <f>'RESUMEN TOTAL'!AI327</f>
        <v>0</v>
      </c>
      <c r="W247" s="70">
        <f>'RESUMEN TOTAL'!AJ327</f>
        <v>0</v>
      </c>
      <c r="X247" s="70">
        <f>'RESUMEN TOTAL'!AK327</f>
        <v>0</v>
      </c>
      <c r="Y247" s="70">
        <f>'RESUMEN TOTAL'!AL327</f>
        <v>0</v>
      </c>
      <c r="Z247" s="70">
        <f>'RESUMEN TOTAL'!AM327</f>
        <v>0</v>
      </c>
      <c r="AA247" s="70">
        <f>'RESUMEN TOTAL'!AN327</f>
        <v>0</v>
      </c>
      <c r="AB247" s="70">
        <f>'RESUMEN TOTAL'!AO327</f>
        <v>0</v>
      </c>
      <c r="AC247" s="70">
        <f>'RESUMEN TOTAL'!AP327</f>
        <v>0</v>
      </c>
      <c r="AD247" s="70">
        <f>'RESUMEN TOTAL'!AQ327</f>
        <v>0</v>
      </c>
      <c r="AE247" s="70">
        <f>'RESUMEN TOTAL'!AR327</f>
        <v>0</v>
      </c>
      <c r="AF247" s="70">
        <f>'RESUMEN TOTAL'!AS327</f>
        <v>0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>
        <f>'RESUMEN TOTAL'!AI328</f>
        <v>0</v>
      </c>
      <c r="W248" s="70">
        <f>'RESUMEN TOTAL'!AJ328</f>
        <v>0</v>
      </c>
      <c r="X248" s="70">
        <f>'RESUMEN TOTAL'!AK328</f>
        <v>0</v>
      </c>
      <c r="Y248" s="70">
        <f>'RESUMEN TOTAL'!AL328</f>
        <v>0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>
        <f>'RESUMEN TOTAL'!AS328</f>
        <v>0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>
        <f>'RESUMEN TOTAL'!S330</f>
        <v>0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>
        <f>'RESUMEN TOTAL'!S331</f>
        <v>0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 t="str">
        <f>'RESUMEN TOTAL'!U332</f>
        <v>APAGADO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>
        <f>'RESUMEN TOTAL'!S333</f>
        <v>0</v>
      </c>
      <c r="G253" s="70">
        <f>'RESUMEN TOTAL'!T333</f>
        <v>0</v>
      </c>
      <c r="H253" s="70" t="str">
        <f>'RESUMEN TOTAL'!U333</f>
        <v>APAGADO</v>
      </c>
      <c r="I253" s="70">
        <f>'RESUMEN TOTAL'!V333</f>
        <v>0</v>
      </c>
      <c r="J253" s="70">
        <f>'RESUMEN TOTAL'!W333</f>
        <v>0</v>
      </c>
      <c r="K253" s="70">
        <f>'RESUMEN TOTAL'!X333</f>
        <v>0</v>
      </c>
      <c r="L253" s="70">
        <f>'RESUMEN TOTAL'!Y333</f>
        <v>0</v>
      </c>
      <c r="M253" s="70">
        <f>'RESUMEN TOTAL'!Z333</f>
        <v>0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>
        <f>'RESUMEN TOTAL'!AE333</f>
        <v>0</v>
      </c>
      <c r="S253" s="70">
        <f>'RESUMEN TOTAL'!AF333</f>
        <v>0</v>
      </c>
      <c r="T253" s="70">
        <f>'RESUMEN TOTAL'!AG333</f>
        <v>0</v>
      </c>
      <c r="U253" s="70">
        <f>'RESUMEN TOTAL'!AH333</f>
        <v>0</v>
      </c>
      <c r="V253" s="70">
        <f>'RESUMEN TOTAL'!AI333</f>
        <v>0</v>
      </c>
      <c r="W253" s="70">
        <f>'RESUMEN TOTAL'!AJ333</f>
        <v>0</v>
      </c>
      <c r="X253" s="70">
        <f>'RESUMEN TOTAL'!AK333</f>
        <v>0</v>
      </c>
      <c r="Y253" s="70">
        <f>'RESUMEN TOTAL'!AL333</f>
        <v>0</v>
      </c>
      <c r="Z253" s="70">
        <f>'RESUMEN TOTAL'!AM333</f>
        <v>0</v>
      </c>
      <c r="AA253" s="70">
        <f>'RESUMEN TOTAL'!AN333</f>
        <v>0</v>
      </c>
      <c r="AB253" s="70">
        <f>'RESUMEN TOTAL'!AO333</f>
        <v>0</v>
      </c>
      <c r="AC253" s="70">
        <f>'RESUMEN TOTAL'!AP333</f>
        <v>0</v>
      </c>
      <c r="AD253" s="70">
        <f>'RESUMEN TOTAL'!AQ333</f>
        <v>0</v>
      </c>
      <c r="AE253" s="70">
        <f>'RESUMEN TOTAL'!AR333</f>
        <v>0</v>
      </c>
      <c r="AF253" s="70">
        <f>'RESUMEN TOTAL'!AS333</f>
        <v>0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>
        <f>'RESUMEN TOTAL'!S334</f>
        <v>0</v>
      </c>
      <c r="G254" s="70">
        <f>'RESUMEN TOTAL'!T334</f>
        <v>0</v>
      </c>
      <c r="H254" s="70" t="str">
        <f>'RESUMEN TOTAL'!U334</f>
        <v>APAGADO</v>
      </c>
      <c r="I254" s="70">
        <f>'RESUMEN TOTAL'!V334</f>
        <v>0</v>
      </c>
      <c r="J254" s="70">
        <f>'RESUMEN TOTAL'!W334</f>
        <v>0</v>
      </c>
      <c r="K254" s="70">
        <f>'RESUMEN TOTAL'!X334</f>
        <v>0</v>
      </c>
      <c r="L254" s="70">
        <f>'RESUMEN TOTAL'!Y334</f>
        <v>0</v>
      </c>
      <c r="M254" s="70">
        <f>'RESUMEN TOTAL'!Z334</f>
        <v>0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>
        <f>'RESUMEN TOTAL'!AE334</f>
        <v>0</v>
      </c>
      <c r="S254" s="70">
        <f>'RESUMEN TOTAL'!AF334</f>
        <v>0</v>
      </c>
      <c r="T254" s="70">
        <f>'RESUMEN TOTAL'!AG334</f>
        <v>0</v>
      </c>
      <c r="U254" s="70">
        <f>'RESUMEN TOTAL'!AH334</f>
        <v>0</v>
      </c>
      <c r="V254" s="70">
        <f>'RESUMEN TOTAL'!AI334</f>
        <v>0</v>
      </c>
      <c r="W254" s="70">
        <f>'RESUMEN TOTAL'!AJ334</f>
        <v>0</v>
      </c>
      <c r="X254" s="70">
        <f>'RESUMEN TOTAL'!AK334</f>
        <v>0</v>
      </c>
      <c r="Y254" s="70">
        <f>'RESUMEN TOTAL'!AL334</f>
        <v>0</v>
      </c>
      <c r="Z254" s="70">
        <f>'RESUMEN TOTAL'!AM334</f>
        <v>0</v>
      </c>
      <c r="AA254" s="70">
        <f>'RESUMEN TOTAL'!AN334</f>
        <v>0</v>
      </c>
      <c r="AB254" s="70">
        <f>'RESUMEN TOTAL'!AO334</f>
        <v>0</v>
      </c>
      <c r="AC254" s="70">
        <f>'RESUMEN TOTAL'!AP334</f>
        <v>0</v>
      </c>
      <c r="AD254" s="70">
        <f>'RESUMEN TOTAL'!AQ334</f>
        <v>0</v>
      </c>
      <c r="AE254" s="70">
        <f>'RESUMEN TOTAL'!AR334</f>
        <v>0</v>
      </c>
      <c r="AF254" s="70">
        <f>'RESUMEN TOTAL'!AS334</f>
        <v>0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>
        <f>'RESUMEN TOTAL'!S335</f>
        <v>0</v>
      </c>
      <c r="G255" s="70">
        <f>'RESUMEN TOTAL'!T335</f>
        <v>0</v>
      </c>
      <c r="H255" s="70" t="str">
        <f>'RESUMEN TOTAL'!U335</f>
        <v>APAGADO</v>
      </c>
      <c r="I255" s="70">
        <f>'RESUMEN TOTAL'!V335</f>
        <v>0</v>
      </c>
      <c r="J255" s="70">
        <f>'RESUMEN TOTAL'!W335</f>
        <v>0</v>
      </c>
      <c r="K255" s="70">
        <f>'RESUMEN TOTAL'!X335</f>
        <v>0</v>
      </c>
      <c r="L255" s="70">
        <f>'RESUMEN TOTAL'!Y335</f>
        <v>0</v>
      </c>
      <c r="M255" s="70">
        <f>'RESUMEN TOTAL'!Z335</f>
        <v>0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>
        <f>'RESUMEN TOTAL'!AE335</f>
        <v>0</v>
      </c>
      <c r="S255" s="70">
        <f>'RESUMEN TOTAL'!AF335</f>
        <v>0</v>
      </c>
      <c r="T255" s="70">
        <f>'RESUMEN TOTAL'!AG335</f>
        <v>0</v>
      </c>
      <c r="U255" s="70">
        <f>'RESUMEN TOTAL'!AH335</f>
        <v>0</v>
      </c>
      <c r="V255" s="70">
        <f>'RESUMEN TOTAL'!AI335</f>
        <v>0</v>
      </c>
      <c r="W255" s="70">
        <f>'RESUMEN TOTAL'!AJ335</f>
        <v>0</v>
      </c>
      <c r="X255" s="70">
        <f>'RESUMEN TOTAL'!AK335</f>
        <v>0</v>
      </c>
      <c r="Y255" s="70">
        <f>'RESUMEN TOTAL'!AL335</f>
        <v>0</v>
      </c>
      <c r="Z255" s="70">
        <f>'RESUMEN TOTAL'!AM335</f>
        <v>0</v>
      </c>
      <c r="AA255" s="70">
        <f>'RESUMEN TOTAL'!AN335</f>
        <v>0</v>
      </c>
      <c r="AB255" s="70">
        <f>'RESUMEN TOTAL'!AO335</f>
        <v>0</v>
      </c>
      <c r="AC255" s="70">
        <f>'RESUMEN TOTAL'!AP335</f>
        <v>0</v>
      </c>
      <c r="AD255" s="70">
        <f>'RESUMEN TOTAL'!AQ335</f>
        <v>0</v>
      </c>
      <c r="AE255" s="70">
        <f>'RESUMEN TOTAL'!AR335</f>
        <v>0</v>
      </c>
      <c r="AF255" s="70">
        <f>'RESUMEN TOTAL'!AS335</f>
        <v>0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>
        <f>'RESUMEN TOTAL'!AI336</f>
        <v>0</v>
      </c>
      <c r="W256" s="70">
        <f>'RESUMEN TOTAL'!AJ336</f>
        <v>0</v>
      </c>
      <c r="X256" s="70">
        <f>'RESUMEN TOTAL'!AK336</f>
        <v>0</v>
      </c>
      <c r="Y256" s="70">
        <f>'RESUMEN TOTAL'!AL336</f>
        <v>0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>
        <f>'RESUMEN TOTAL'!AS336</f>
        <v>0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>
        <f>'RESUMEN TOTAL'!T338</f>
        <v>0</v>
      </c>
      <c r="H258" s="70" t="str">
        <f>'RESUMEN TOTAL'!U338</f>
        <v>APAGADO</v>
      </c>
      <c r="I258" s="70">
        <f>'RESUMEN TOTAL'!V338</f>
        <v>0</v>
      </c>
      <c r="J258" s="70">
        <f>'RESUMEN TOTAL'!W338</f>
        <v>0</v>
      </c>
      <c r="K258" s="70">
        <f>'RESUMEN TOTAL'!X338</f>
        <v>0</v>
      </c>
      <c r="L258" s="70">
        <f>'RESUMEN TOTAL'!Y338</f>
        <v>0</v>
      </c>
      <c r="M258" s="70">
        <f>'RESUMEN TOTAL'!Z338</f>
        <v>0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>
        <f>'RESUMEN TOTAL'!AE338</f>
        <v>0</v>
      </c>
      <c r="S258" s="70">
        <f>'RESUMEN TOTAL'!AF338</f>
        <v>0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>
        <f>'RESUMEN TOTAL'!AN338</f>
        <v>0</v>
      </c>
      <c r="AB258" s="70">
        <f>'RESUMEN TOTAL'!AO338</f>
        <v>0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>
        <f>'RESUMEN TOTAL'!U340</f>
        <v>0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>
        <f>'RESUMEN TOTAL'!U341</f>
        <v>0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>
        <f>'RESUMEN TOTAL'!U342</f>
        <v>0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>
        <f>'RESUMEN TOTAL'!U343</f>
        <v>0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>
        <f>'RESUMEN TOTAL'!AN343</f>
        <v>0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>
        <f>'RESUMEN TOTAL'!U344</f>
        <v>0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>
        <f>'RESUMEN TOTAL'!Z344</f>
        <v>0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>
        <f>'RESUMEN TOTAL'!AE344</f>
        <v>0</v>
      </c>
      <c r="S264" s="70">
        <f>'RESUMEN TOTAL'!AF344</f>
        <v>0</v>
      </c>
      <c r="T264" s="70">
        <f>'RESUMEN TOTAL'!AG344</f>
        <v>0</v>
      </c>
      <c r="U264" s="70">
        <f>'RESUMEN TOTAL'!AH344</f>
        <v>0</v>
      </c>
      <c r="V264" s="70">
        <f>'RESUMEN TOTAL'!AI344</f>
        <v>0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>
        <f>'RESUMEN TOTAL'!AN344</f>
        <v>0</v>
      </c>
      <c r="AB264" s="70">
        <f>'RESUMEN TOTAL'!AO344</f>
        <v>0</v>
      </c>
      <c r="AC264" s="70">
        <f>'RESUMEN TOTAL'!AP344</f>
        <v>0</v>
      </c>
      <c r="AD264" s="70">
        <f>'RESUMEN TOTAL'!AQ344</f>
        <v>0</v>
      </c>
      <c r="AE264" s="70">
        <f>'RESUMEN TOTAL'!AR344</f>
        <v>0</v>
      </c>
      <c r="AF264" s="70">
        <f>'RESUMEN TOTAL'!AS344</f>
        <v>0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>
        <f>'RESUMEN TOTAL'!U345</f>
        <v>0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>
        <f>'RESUMEN TOTAL'!Z345</f>
        <v>0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>
        <f>'RESUMEN TOTAL'!AE345</f>
        <v>0</v>
      </c>
      <c r="S265" s="70">
        <f>'RESUMEN TOTAL'!AF345</f>
        <v>0</v>
      </c>
      <c r="T265" s="70">
        <f>'RESUMEN TOTAL'!AG345</f>
        <v>0</v>
      </c>
      <c r="U265" s="70">
        <f>'RESUMEN TOTAL'!AH345</f>
        <v>0</v>
      </c>
      <c r="V265" s="70">
        <f>'RESUMEN TOTAL'!AI345</f>
        <v>0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>
        <f>'RESUMEN TOTAL'!AN345</f>
        <v>0</v>
      </c>
      <c r="AB265" s="70">
        <f>'RESUMEN TOTAL'!AO345</f>
        <v>0</v>
      </c>
      <c r="AC265" s="70">
        <f>'RESUMEN TOTAL'!AP345</f>
        <v>0</v>
      </c>
      <c r="AD265" s="70">
        <f>'RESUMEN TOTAL'!AQ345</f>
        <v>0</v>
      </c>
      <c r="AE265" s="70">
        <f>'RESUMEN TOTAL'!AR345</f>
        <v>0</v>
      </c>
      <c r="AF265" s="70">
        <f>'RESUMEN TOTAL'!AS345</f>
        <v>0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>
        <f>'RESUMEN TOTAL'!U353</f>
        <v>0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>
        <f>'RESUMEN TOTAL'!U354</f>
        <v>0</v>
      </c>
      <c r="I267" s="70">
        <f>'RESUMEN TOTAL'!V354</f>
        <v>0</v>
      </c>
      <c r="J267" s="70">
        <f>'RESUMEN TOTAL'!W354</f>
        <v>0</v>
      </c>
      <c r="K267" s="70">
        <f>'RESUMEN TOTAL'!X354</f>
        <v>0</v>
      </c>
      <c r="L267" s="70">
        <f>'RESUMEN TOTAL'!Y354</f>
        <v>0</v>
      </c>
      <c r="M267" s="70">
        <f>'RESUMEN TOTAL'!Z354</f>
        <v>0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>
        <f>'RESUMEN TOTAL'!U355</f>
        <v>0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>
        <f>'RESUMEN TOTAL'!U356</f>
        <v>0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>
        <f>'RESUMEN TOTAL'!U357</f>
        <v>0</v>
      </c>
      <c r="I270" s="70">
        <f>'RESUMEN TOTAL'!V357</f>
        <v>0</v>
      </c>
      <c r="J270" s="70">
        <f>'RESUMEN TOTAL'!W357</f>
        <v>0</v>
      </c>
      <c r="K270" s="70">
        <f>'RESUMEN TOTAL'!X357</f>
        <v>0</v>
      </c>
      <c r="L270" s="70">
        <f>'RESUMEN TOTAL'!Y357</f>
        <v>0</v>
      </c>
      <c r="M270" s="70">
        <f>'RESUMEN TOTAL'!Z357</f>
        <v>0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>
        <f>'RESUMEN TOTAL'!U358</f>
        <v>0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>
        <f>'RESUMEN TOTAL'!U359</f>
        <v>0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>
        <f>'RESUMEN TOTAL'!U360</f>
        <v>0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>
        <f>'RESUMEN TOTAL'!U361</f>
        <v>0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>
        <f>'RESUMEN TOTAL'!U362</f>
        <v>0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>
        <f>'RESUMEN TOTAL'!U363</f>
        <v>0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>
        <f>'RESUMEN TOTAL'!U364</f>
        <v>0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>
        <f>'RESUMEN TOTAL'!U366</f>
        <v>0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 t="str">
        <f>'RESUMEN TOTAL'!U372</f>
        <v>APAGADO</v>
      </c>
      <c r="I281" s="70">
        <f>'RESUMEN TOTAL'!V372</f>
        <v>0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>
        <f>'RESUMEN TOTAL'!AF372</f>
        <v>0</v>
      </c>
      <c r="T281" s="70">
        <f>'RESUMEN TOTAL'!AG372</f>
        <v>0</v>
      </c>
      <c r="U281" s="70">
        <f>'RESUMEN TOTAL'!AH372</f>
        <v>0</v>
      </c>
      <c r="V281" s="70">
        <f>'RESUMEN TOTAL'!AI372</f>
        <v>0</v>
      </c>
      <c r="W281" s="70">
        <f>'RESUMEN TOTAL'!AJ372</f>
        <v>0</v>
      </c>
      <c r="X281" s="70">
        <f>'RESUMEN TOTAL'!AK372</f>
        <v>0</v>
      </c>
      <c r="Y281" s="70">
        <f>'RESUMEN TOTAL'!AL372</f>
        <v>0</v>
      </c>
      <c r="Z281" s="70">
        <f>'RESUMEN TOTAL'!AM372</f>
        <v>0</v>
      </c>
      <c r="AA281" s="70">
        <f>'RESUMEN TOTAL'!AN372</f>
        <v>0</v>
      </c>
      <c r="AB281" s="70">
        <f>'RESUMEN TOTAL'!AO372</f>
        <v>0</v>
      </c>
      <c r="AC281" s="70">
        <f>'RESUMEN TOTAL'!AP372</f>
        <v>0</v>
      </c>
      <c r="AD281" s="70">
        <f>'RESUMEN TOTAL'!AQ372</f>
        <v>0</v>
      </c>
      <c r="AE281" s="70">
        <f>'RESUMEN TOTAL'!AR372</f>
        <v>0</v>
      </c>
      <c r="AF281" s="70">
        <f>'RESUMEN TOTAL'!AS372</f>
        <v>0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 t="str">
        <f>'RESUMEN TOTAL'!U373</f>
        <v>APAGADO</v>
      </c>
      <c r="I282" s="70">
        <f>'RESUMEN TOTAL'!V373</f>
        <v>0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>
        <f>'RESUMEN TOTAL'!AE373</f>
        <v>0</v>
      </c>
      <c r="S282" s="70">
        <f>'RESUMEN TOTAL'!AF373</f>
        <v>0</v>
      </c>
      <c r="T282" s="70">
        <f>'RESUMEN TOTAL'!AG373</f>
        <v>0</v>
      </c>
      <c r="U282" s="70">
        <f>'RESUMEN TOTAL'!AH373</f>
        <v>0</v>
      </c>
      <c r="V282" s="70">
        <f>'RESUMEN TOTAL'!AI373</f>
        <v>0</v>
      </c>
      <c r="W282" s="70">
        <f>'RESUMEN TOTAL'!AJ373</f>
        <v>0</v>
      </c>
      <c r="X282" s="70">
        <f>'RESUMEN TOTAL'!AK373</f>
        <v>0</v>
      </c>
      <c r="Y282" s="70">
        <f>'RESUMEN TOTAL'!AL373</f>
        <v>0</v>
      </c>
      <c r="Z282" s="70">
        <f>'RESUMEN TOTAL'!AM373</f>
        <v>0</v>
      </c>
      <c r="AA282" s="70">
        <f>'RESUMEN TOTAL'!AN373</f>
        <v>0</v>
      </c>
      <c r="AB282" s="70">
        <f>'RESUMEN TOTAL'!AO373</f>
        <v>0</v>
      </c>
      <c r="AC282" s="70">
        <f>'RESUMEN TOTAL'!AP373</f>
        <v>0</v>
      </c>
      <c r="AD282" s="70">
        <f>'RESUMEN TOTAL'!AQ373</f>
        <v>0</v>
      </c>
      <c r="AE282" s="70">
        <f>'RESUMEN TOTAL'!AR373</f>
        <v>0</v>
      </c>
      <c r="AF282" s="70">
        <f>'RESUMEN TOTAL'!AS373</f>
        <v>0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 t="str">
        <f>'RESUMEN TOTAL'!U374</f>
        <v>APAGADO</v>
      </c>
      <c r="I283" s="70">
        <f>'RESUMEN TOTAL'!V374</f>
        <v>0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>
        <f>'RESUMEN TOTAL'!AE374</f>
        <v>0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 t="str">
        <f>'RESUMEN TOTAL'!U375</f>
        <v>APAGADO</v>
      </c>
      <c r="I284" s="70">
        <f>'RESUMEN TOTAL'!V375</f>
        <v>0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>
        <f>'RESUMEN TOTAL'!AE375</f>
        <v>0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 t="str">
        <f>'RESUMEN TOTAL'!U376</f>
        <v>APAGADO</v>
      </c>
      <c r="I285" s="70">
        <f>'RESUMEN TOTAL'!V376</f>
        <v>0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 t="str">
        <f>'RESUMEN TOTAL'!U377</f>
        <v>APAGADO</v>
      </c>
      <c r="I286" s="70">
        <f>'RESUMEN TOTAL'!V377</f>
        <v>0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 t="str">
        <f>'RESUMEN TOTAL'!U378</f>
        <v>APAGADO</v>
      </c>
      <c r="I287" s="70">
        <f>'RESUMEN TOTAL'!V378</f>
        <v>0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>
        <f>'RESUMEN TOTAL'!AE378</f>
        <v>0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 t="str">
        <f>'RESUMEN TOTAL'!U379</f>
        <v>APAGADO</v>
      </c>
      <c r="I288" s="70">
        <f>'RESUMEN TOTAL'!V379</f>
        <v>0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>
        <f>'RESUMEN TOTAL'!AE379</f>
        <v>0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>
        <f>'RESUMEN TOTAL'!AE387</f>
        <v>0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>
        <f>'RESUMEN TOTAL'!AE391</f>
        <v>0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>
        <f>'RESUMEN TOTAL'!AE396</f>
        <v>0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 t="str">
        <f>'RESUMEN TOTAL'!U402</f>
        <v>APAGADO</v>
      </c>
      <c r="I306" s="70">
        <f>'RESUMEN TOTAL'!V402</f>
        <v>0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 t="str">
        <f>'RESUMEN TOTAL'!U407</f>
        <v>APAGADO</v>
      </c>
      <c r="I311" s="70">
        <f>'RESUMEN TOTAL'!V407</f>
        <v>0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>
        <f>'RESUMEN TOTAL'!AT408</f>
        <v>0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>
        <f>'RESUMEN TOTAL'!X417</f>
        <v>0</v>
      </c>
      <c r="L316" s="70">
        <f>'RESUMEN TOTAL'!Y417</f>
        <v>0</v>
      </c>
      <c r="M316" s="70">
        <f>'RESUMEN TOTAL'!Z417</f>
        <v>0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>
        <f>'RESUMEN TOTAL'!AE418</f>
        <v>0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>
        <f>'RESUMEN TOTAL'!S420</f>
        <v>0</v>
      </c>
      <c r="G319" s="70">
        <f>'RESUMEN TOTAL'!T420</f>
        <v>0</v>
      </c>
      <c r="H319" s="70" t="str">
        <f>'RESUMEN TOTAL'!U420</f>
        <v>APAGADO</v>
      </c>
      <c r="I319" s="70">
        <f>'RESUMEN TOTAL'!V420</f>
        <v>0</v>
      </c>
      <c r="J319" s="70">
        <f>'RESUMEN TOTAL'!W420</f>
        <v>0</v>
      </c>
      <c r="K319" s="70">
        <f>'RESUMEN TOTAL'!X420</f>
        <v>0</v>
      </c>
      <c r="L319" s="70">
        <f>'RESUMEN TOTAL'!Y420</f>
        <v>0</v>
      </c>
      <c r="M319" s="70">
        <f>'RESUMEN TOTAL'!Z420</f>
        <v>0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>
        <f>'RESUMEN TOTAL'!AE420</f>
        <v>0</v>
      </c>
      <c r="S319" s="70">
        <f>'RESUMEN TOTAL'!AF420</f>
        <v>0</v>
      </c>
      <c r="T319" s="70">
        <f>'RESUMEN TOTAL'!AG420</f>
        <v>0</v>
      </c>
      <c r="U319" s="70">
        <f>'RESUMEN TOTAL'!AH420</f>
        <v>0</v>
      </c>
      <c r="V319" s="70">
        <f>'RESUMEN TOTAL'!AI420</f>
        <v>0</v>
      </c>
      <c r="W319" s="70">
        <f>'RESUMEN TOTAL'!AJ420</f>
        <v>0</v>
      </c>
      <c r="X319" s="70">
        <f>'RESUMEN TOTAL'!AK420</f>
        <v>0</v>
      </c>
      <c r="Y319" s="70">
        <f>'RESUMEN TOTAL'!AL420</f>
        <v>0</v>
      </c>
      <c r="Z319" s="70">
        <f>'RESUMEN TOTAL'!AM420</f>
        <v>0</v>
      </c>
      <c r="AA319" s="70">
        <f>'RESUMEN TOTAL'!AN420</f>
        <v>0</v>
      </c>
      <c r="AB319" s="70">
        <f>'RESUMEN TOTAL'!AO420</f>
        <v>0</v>
      </c>
      <c r="AC319" s="70">
        <f>'RESUMEN TOTAL'!AP420</f>
        <v>0</v>
      </c>
      <c r="AD319" s="70">
        <f>'RESUMEN TOTAL'!AQ420</f>
        <v>0</v>
      </c>
      <c r="AE319" s="70">
        <f>'RESUMEN TOTAL'!AR420</f>
        <v>0</v>
      </c>
      <c r="AF319" s="70">
        <f>'RESUMEN TOTAL'!AS420</f>
        <v>0</v>
      </c>
      <c r="AG319" s="70">
        <f>'RESUMEN TOTAL'!AT420</f>
        <v>0</v>
      </c>
      <c r="AH319" s="70">
        <f>'RESUMEN TOTAL'!AU420</f>
        <v>0</v>
      </c>
      <c r="AI319" s="70">
        <f>'RESUMEN TOTAL'!AV420</f>
        <v>0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>
        <f>'RESUMEN TOTAL'!AH421</f>
        <v>0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>
        <f>'RESUMEN TOTAL'!S422</f>
        <v>0</v>
      </c>
      <c r="G321" s="70">
        <f>'RESUMEN TOTAL'!T422</f>
        <v>0</v>
      </c>
      <c r="H321" s="70">
        <f>'RESUMEN TOTAL'!V422</f>
        <v>0</v>
      </c>
      <c r="I321" s="70">
        <v>0</v>
      </c>
      <c r="J321" s="70">
        <f>'RESUMEN TOTAL'!W422</f>
        <v>0</v>
      </c>
      <c r="K321" s="70">
        <f>'RESUMEN TOTAL'!X422</f>
        <v>0</v>
      </c>
      <c r="L321" s="70">
        <f>'RESUMEN TOTAL'!Y422</f>
        <v>0</v>
      </c>
      <c r="M321" s="70">
        <f>'RESUMEN TOTAL'!Z422</f>
        <v>0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>
        <f>'RESUMEN TOTAL'!AE422</f>
        <v>0</v>
      </c>
      <c r="S321" s="70">
        <f>'RESUMEN TOTAL'!AF422</f>
        <v>0</v>
      </c>
      <c r="T321" s="70">
        <f>'RESUMEN TOTAL'!AG422</f>
        <v>0</v>
      </c>
      <c r="U321" s="70">
        <f>'RESUMEN TOTAL'!AH422</f>
        <v>0</v>
      </c>
      <c r="V321" s="70">
        <f>'RESUMEN TOTAL'!AI422</f>
        <v>0</v>
      </c>
      <c r="W321" s="70">
        <f>'RESUMEN TOTAL'!AJ422</f>
        <v>0</v>
      </c>
      <c r="X321" s="70">
        <f>'RESUMEN TOTAL'!AK422</f>
        <v>0</v>
      </c>
      <c r="Y321" s="70">
        <f>'RESUMEN TOTAL'!AL422</f>
        <v>0</v>
      </c>
      <c r="Z321" s="70">
        <f>'RESUMEN TOTAL'!AM422</f>
        <v>0</v>
      </c>
      <c r="AA321" s="70">
        <f>'RESUMEN TOTAL'!AN422</f>
        <v>0</v>
      </c>
      <c r="AB321" s="70">
        <f>'RESUMEN TOTAL'!AO422</f>
        <v>0</v>
      </c>
      <c r="AC321" s="70">
        <f>'RESUMEN TOTAL'!AP422</f>
        <v>0</v>
      </c>
      <c r="AD321" s="70">
        <f>'RESUMEN TOTAL'!AQ422</f>
        <v>0</v>
      </c>
      <c r="AE321" s="70">
        <f>'RESUMEN TOTAL'!AR422</f>
        <v>0</v>
      </c>
      <c r="AF321" s="70">
        <f>'RESUMEN TOTAL'!AS422</f>
        <v>0</v>
      </c>
      <c r="AG321" s="70">
        <f>'RESUMEN TOTAL'!AT422</f>
        <v>0</v>
      </c>
      <c r="AH321" s="70">
        <f>'RESUMEN TOTAL'!AU422</f>
        <v>0</v>
      </c>
      <c r="AI321" s="70">
        <f>'RESUMEN TOTAL'!AV422</f>
        <v>0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>
        <f>'RESUMEN TOTAL'!S423</f>
        <v>0</v>
      </c>
      <c r="G322" s="70">
        <f>'RESUMEN TOTAL'!T423</f>
        <v>0</v>
      </c>
      <c r="H322" s="70">
        <f>'RESUMEN TOTAL'!V423</f>
        <v>0</v>
      </c>
      <c r="I322" s="70">
        <v>0</v>
      </c>
      <c r="J322" s="70">
        <f>'RESUMEN TOTAL'!W423</f>
        <v>0</v>
      </c>
      <c r="K322" s="70">
        <f>'RESUMEN TOTAL'!X423</f>
        <v>0</v>
      </c>
      <c r="L322" s="70">
        <f>'RESUMEN TOTAL'!Y423</f>
        <v>0</v>
      </c>
      <c r="M322" s="70">
        <f>'RESUMEN TOTAL'!Z423</f>
        <v>0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>
        <f>'RESUMEN TOTAL'!AE423</f>
        <v>0</v>
      </c>
      <c r="S322" s="70">
        <f>'RESUMEN TOTAL'!AF423</f>
        <v>0</v>
      </c>
      <c r="T322" s="70">
        <f>'RESUMEN TOTAL'!AG423</f>
        <v>0</v>
      </c>
      <c r="U322" s="70">
        <f>'RESUMEN TOTAL'!AH423</f>
        <v>0</v>
      </c>
      <c r="V322" s="70">
        <f>'RESUMEN TOTAL'!AI423</f>
        <v>0</v>
      </c>
      <c r="W322" s="70">
        <f>'RESUMEN TOTAL'!AJ423</f>
        <v>0</v>
      </c>
      <c r="X322" s="70">
        <f>'RESUMEN TOTAL'!AK423</f>
        <v>0</v>
      </c>
      <c r="Y322" s="70">
        <f>'RESUMEN TOTAL'!AL423</f>
        <v>0</v>
      </c>
      <c r="Z322" s="70">
        <f>'RESUMEN TOTAL'!AM423</f>
        <v>0</v>
      </c>
      <c r="AA322" s="70">
        <f>'RESUMEN TOTAL'!AN423</f>
        <v>0</v>
      </c>
      <c r="AB322" s="70">
        <f>'RESUMEN TOTAL'!AO423</f>
        <v>0</v>
      </c>
      <c r="AC322" s="70">
        <f>'RESUMEN TOTAL'!AP423</f>
        <v>0</v>
      </c>
      <c r="AD322" s="70">
        <f>'RESUMEN TOTAL'!AQ423</f>
        <v>0</v>
      </c>
      <c r="AE322" s="70">
        <f>'RESUMEN TOTAL'!AR423</f>
        <v>0</v>
      </c>
      <c r="AF322" s="70">
        <f>'RESUMEN TOTAL'!AS423</f>
        <v>0</v>
      </c>
      <c r="AG322" s="70">
        <f>'RESUMEN TOTAL'!AT423</f>
        <v>0</v>
      </c>
      <c r="AH322" s="70">
        <f>'RESUMEN TOTAL'!AU423</f>
        <v>0</v>
      </c>
      <c r="AI322" s="70">
        <f>'RESUMEN TOTAL'!AV423</f>
        <v>0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>
        <f>'RESUMEN TOTAL'!V424</f>
        <v>0</v>
      </c>
      <c r="I323" s="70">
        <v>0</v>
      </c>
      <c r="J323" s="70">
        <f>'RESUMEN TOTAL'!W424</f>
        <v>0</v>
      </c>
      <c r="K323" s="70">
        <f>'RESUMEN TOTAL'!X424</f>
        <v>0</v>
      </c>
      <c r="L323" s="70">
        <f>'RESUMEN TOTAL'!Y424</f>
        <v>0</v>
      </c>
      <c r="M323" s="70">
        <f>'RESUMEN TOTAL'!Z424</f>
        <v>0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>
        <f>'RESUMEN TOTAL'!AE424</f>
        <v>0</v>
      </c>
      <c r="S323" s="70">
        <f>'RESUMEN TOTAL'!AF424</f>
        <v>0</v>
      </c>
      <c r="T323" s="70">
        <f>'RESUMEN TOTAL'!AG424</f>
        <v>0</v>
      </c>
      <c r="U323" s="70">
        <f>'RESUMEN TOTAL'!AH424</f>
        <v>0</v>
      </c>
      <c r="V323" s="70">
        <f>'RESUMEN TOTAL'!AI424</f>
        <v>0</v>
      </c>
      <c r="W323" s="70">
        <f>'RESUMEN TOTAL'!AJ424</f>
        <v>0</v>
      </c>
      <c r="X323" s="70">
        <f>'RESUMEN TOTAL'!AK424</f>
        <v>0</v>
      </c>
      <c r="Y323" s="70">
        <f>'RESUMEN TOTAL'!AL424</f>
        <v>0</v>
      </c>
      <c r="Z323" s="70">
        <f>'RESUMEN TOTAL'!AM424</f>
        <v>0</v>
      </c>
      <c r="AA323" s="70">
        <f>'RESUMEN TOTAL'!AN424</f>
        <v>0</v>
      </c>
      <c r="AB323" s="70">
        <f>'RESUMEN TOTAL'!AO424</f>
        <v>0</v>
      </c>
      <c r="AC323" s="70">
        <f>'RESUMEN TOTAL'!AP424</f>
        <v>0</v>
      </c>
      <c r="AD323" s="70">
        <f>'RESUMEN TOTAL'!AQ424</f>
        <v>0</v>
      </c>
      <c r="AE323" s="70">
        <f>'RESUMEN TOTAL'!AR424</f>
        <v>0</v>
      </c>
      <c r="AF323" s="70">
        <f>'RESUMEN TOTAL'!AS424</f>
        <v>0</v>
      </c>
      <c r="AG323" s="70">
        <f>'RESUMEN TOTAL'!AT424</f>
        <v>0</v>
      </c>
      <c r="AH323" s="70">
        <f>'RESUMEN TOTAL'!AU424</f>
        <v>0</v>
      </c>
      <c r="AI323" s="70">
        <f>'RESUMEN TOTAL'!AV424</f>
        <v>0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>
        <f>'RESUMEN TOTAL'!V425</f>
        <v>0</v>
      </c>
      <c r="I324" s="70">
        <v>0</v>
      </c>
      <c r="J324" s="70">
        <f>'RESUMEN TOTAL'!W425</f>
        <v>0</v>
      </c>
      <c r="K324" s="70">
        <f>'RESUMEN TOTAL'!X425</f>
        <v>0</v>
      </c>
      <c r="L324" s="70">
        <f>'RESUMEN TOTAL'!Y425</f>
        <v>0</v>
      </c>
      <c r="M324" s="70">
        <f>'RESUMEN TOTAL'!Z425</f>
        <v>0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>
        <f>'RESUMEN TOTAL'!AE425</f>
        <v>0</v>
      </c>
      <c r="S324" s="70">
        <f>'RESUMEN TOTAL'!AF425</f>
        <v>0</v>
      </c>
      <c r="T324" s="70">
        <f>'RESUMEN TOTAL'!AG425</f>
        <v>0</v>
      </c>
      <c r="U324" s="70">
        <f>'RESUMEN TOTAL'!AH425</f>
        <v>0</v>
      </c>
      <c r="V324" s="70">
        <f>'RESUMEN TOTAL'!AI425</f>
        <v>0</v>
      </c>
      <c r="W324" s="70">
        <f>'RESUMEN TOTAL'!AJ425</f>
        <v>0</v>
      </c>
      <c r="X324" s="70">
        <f>'RESUMEN TOTAL'!AK425</f>
        <v>0</v>
      </c>
      <c r="Y324" s="70">
        <f>'RESUMEN TOTAL'!AL425</f>
        <v>0</v>
      </c>
      <c r="Z324" s="70">
        <f>'RESUMEN TOTAL'!AM425</f>
        <v>0</v>
      </c>
      <c r="AA324" s="70">
        <f>'RESUMEN TOTAL'!AN425</f>
        <v>0</v>
      </c>
      <c r="AB324" s="70">
        <f>'RESUMEN TOTAL'!AO425</f>
        <v>0</v>
      </c>
      <c r="AC324" s="70">
        <f>'RESUMEN TOTAL'!AP425</f>
        <v>0</v>
      </c>
      <c r="AD324" s="70">
        <f>'RESUMEN TOTAL'!AQ425</f>
        <v>0</v>
      </c>
      <c r="AE324" s="70">
        <f>'RESUMEN TOTAL'!AR425</f>
        <v>0</v>
      </c>
      <c r="AF324" s="70">
        <f>'RESUMEN TOTAL'!AS425</f>
        <v>0</v>
      </c>
      <c r="AG324" s="70">
        <f>'RESUMEN TOTAL'!AT425</f>
        <v>0</v>
      </c>
      <c r="AH324" s="70">
        <f>'RESUMEN TOTAL'!AU425</f>
        <v>0</v>
      </c>
      <c r="AI324" s="70">
        <f>'RESUMEN TOTAL'!AV425</f>
        <v>0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>
        <f>'RESUMEN TOTAL'!AE435</f>
        <v>0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>
        <f>'RESUMEN TOTAL'!AE436</f>
        <v>0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>
        <f>'RESUMEN TOTAL'!S437</f>
        <v>0</v>
      </c>
      <c r="G329" s="70">
        <f>'RESUMEN TOTAL'!T437</f>
        <v>0</v>
      </c>
      <c r="H329" s="70">
        <f>'RESUMEN TOTAL'!U437</f>
        <v>0</v>
      </c>
      <c r="I329" s="70">
        <f>'RESUMEN TOTAL'!V437</f>
        <v>0</v>
      </c>
      <c r="J329" s="70">
        <f>'RESUMEN TOTAL'!W437</f>
        <v>0</v>
      </c>
      <c r="K329" s="70">
        <f>'RESUMEN TOTAL'!X437</f>
        <v>0</v>
      </c>
      <c r="L329" s="70">
        <f>'RESUMEN TOTAL'!Y437</f>
        <v>0</v>
      </c>
      <c r="M329" s="70">
        <f>'RESUMEN TOTAL'!Z437</f>
        <v>0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>
        <f>'RESUMEN TOTAL'!AU437</f>
        <v>0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>
        <f>'RESUMEN TOTAL'!AE440</f>
        <v>0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>
        <f>'RESUMEN TOTAL'!S441</f>
        <v>0</v>
      </c>
      <c r="G333" s="70">
        <f>'RESUMEN TOTAL'!T441</f>
        <v>0</v>
      </c>
      <c r="H333" s="70" t="str">
        <f>'RESUMEN TOTAL'!U441</f>
        <v>APAGADO</v>
      </c>
      <c r="I333" s="70">
        <f>'RESUMEN TOTAL'!V441</f>
        <v>0</v>
      </c>
      <c r="J333" s="70">
        <f>'RESUMEN TOTAL'!W441</f>
        <v>0</v>
      </c>
      <c r="K333" s="70">
        <f>'RESUMEN TOTAL'!X441</f>
        <v>0</v>
      </c>
      <c r="L333" s="70">
        <f>'RESUMEN TOTAL'!Y441</f>
        <v>0</v>
      </c>
      <c r="M333" s="70">
        <f>'RESUMEN TOTAL'!Z441</f>
        <v>0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>
        <f>'RESUMEN TOTAL'!AE441</f>
        <v>0</v>
      </c>
      <c r="S333" s="70">
        <f>'RESUMEN TOTAL'!AF441</f>
        <v>0</v>
      </c>
      <c r="T333" s="70">
        <f>'RESUMEN TOTAL'!AG441</f>
        <v>0</v>
      </c>
      <c r="U333" s="70">
        <f>'RESUMEN TOTAL'!AH441</f>
        <v>0</v>
      </c>
      <c r="V333" s="70">
        <f>'RESUMEN TOTAL'!AI441</f>
        <v>0</v>
      </c>
      <c r="W333" s="70">
        <f>'RESUMEN TOTAL'!AJ441</f>
        <v>0</v>
      </c>
      <c r="X333" s="70">
        <f>'RESUMEN TOTAL'!AK441</f>
        <v>0</v>
      </c>
      <c r="Y333" s="70">
        <f>'RESUMEN TOTAL'!AL441</f>
        <v>0</v>
      </c>
      <c r="Z333" s="70">
        <f>'RESUMEN TOTAL'!AM441</f>
        <v>0</v>
      </c>
      <c r="AA333" s="70">
        <f>'RESUMEN TOTAL'!AN441</f>
        <v>0</v>
      </c>
      <c r="AB333" s="70">
        <f>'RESUMEN TOTAL'!AO441</f>
        <v>0</v>
      </c>
      <c r="AC333" s="70">
        <f>'RESUMEN TOTAL'!AP441</f>
        <v>0</v>
      </c>
      <c r="AD333" s="70">
        <f>'RESUMEN TOTAL'!AQ441</f>
        <v>0</v>
      </c>
      <c r="AE333" s="70">
        <f>'RESUMEN TOTAL'!AR441</f>
        <v>0</v>
      </c>
      <c r="AF333" s="70">
        <f>'RESUMEN TOTAL'!AS441</f>
        <v>0</v>
      </c>
      <c r="AG333" s="70">
        <f>'RESUMEN TOTAL'!AT441</f>
        <v>0</v>
      </c>
      <c r="AH333" s="70">
        <f>'RESUMEN TOTAL'!AU441</f>
        <v>0</v>
      </c>
      <c r="AI333" s="70">
        <f>'RESUMEN TOTAL'!AV441</f>
        <v>0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>
        <f>'RESUMEN TOTAL'!X443</f>
        <v>0</v>
      </c>
      <c r="L335" s="70">
        <f>'RESUMEN TOTAL'!Y443</f>
        <v>0</v>
      </c>
      <c r="M335" s="70">
        <f>'RESUMEN TOTAL'!Z443</f>
        <v>0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 t="str">
        <f>'RESUMEN TOTAL'!U447</f>
        <v>APAGADO</v>
      </c>
      <c r="I336" s="70">
        <f>'RESUMEN TOTAL'!V447</f>
        <v>0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 t="str">
        <f>'RESUMEN TOTAL'!U448</f>
        <v>APAGADO</v>
      </c>
      <c r="I337" s="70">
        <f>'RESUMEN TOTAL'!V448</f>
        <v>0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 t="str">
        <f>'RESUMEN TOTAL'!U449</f>
        <v>APAGADO</v>
      </c>
      <c r="I338" s="70">
        <f>'RESUMEN TOTAL'!V449</f>
        <v>0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 t="str">
        <f>'RESUMEN TOTAL'!U450</f>
        <v>APAGADO</v>
      </c>
      <c r="I339" s="70">
        <f>'RESUMEN TOTAL'!V450</f>
        <v>0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>
        <f>'RESUMEN TOTAL'!X453</f>
        <v>0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>
        <f>'RESUMEN TOTAL'!AI454</f>
        <v>0</v>
      </c>
      <c r="W343" s="70">
        <f>'RESUMEN TOTAL'!AJ454</f>
        <v>0</v>
      </c>
      <c r="X343" s="70">
        <f>'RESUMEN TOTAL'!AK454</f>
        <v>0</v>
      </c>
      <c r="Y343" s="70">
        <f>'RESUMEN TOTAL'!AL454</f>
        <v>0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>
        <f>'RESUMEN TOTAL'!AS454</f>
        <v>0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>
        <f>'RESUMEN TOTAL'!AI455</f>
        <v>0</v>
      </c>
      <c r="W344" s="70">
        <f>'RESUMEN TOTAL'!AJ455</f>
        <v>0</v>
      </c>
      <c r="X344" s="70">
        <f>'RESUMEN TOTAL'!AK455</f>
        <v>0</v>
      </c>
      <c r="Y344" s="70">
        <f>'RESUMEN TOTAL'!AL455</f>
        <v>0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>
        <f>'RESUMEN TOTAL'!AS455</f>
        <v>0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>
        <f>'RESUMEN TOTAL'!S456</f>
        <v>0</v>
      </c>
      <c r="G345" s="70">
        <f>'RESUMEN TOTAL'!T456</f>
        <v>0</v>
      </c>
      <c r="H345" s="70" t="str">
        <f>'RESUMEN TOTAL'!U456</f>
        <v>APAGADO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>
        <f>'RESUMEN TOTAL'!AI456</f>
        <v>0</v>
      </c>
      <c r="W345" s="70">
        <f>'RESUMEN TOTAL'!AJ456</f>
        <v>0</v>
      </c>
      <c r="X345" s="70">
        <f>'RESUMEN TOTAL'!AK456</f>
        <v>0</v>
      </c>
      <c r="Y345" s="70">
        <f>'RESUMEN TOTAL'!AL456</f>
        <v>0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>
        <f>'RESUMEN TOTAL'!AS456</f>
        <v>0</v>
      </c>
      <c r="AG345" s="70">
        <f>'RESUMEN TOTAL'!AT456</f>
        <v>0</v>
      </c>
      <c r="AH345" s="70">
        <f>'RESUMEN TOTAL'!AU456</f>
        <v>0</v>
      </c>
      <c r="AI345" s="70">
        <f>'RESUMEN TOTAL'!AV456</f>
        <v>0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>
        <f>'RESUMEN TOTAL'!S457</f>
        <v>0</v>
      </c>
      <c r="G346" s="70">
        <f>'RESUMEN TOTAL'!T457</f>
        <v>0</v>
      </c>
      <c r="H346" s="70" t="str">
        <f>'RESUMEN TOTAL'!U457</f>
        <v>APAGADO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>
        <f>'RESUMEN TOTAL'!AI457</f>
        <v>0</v>
      </c>
      <c r="W346" s="70">
        <f>'RESUMEN TOTAL'!AJ457</f>
        <v>0</v>
      </c>
      <c r="X346" s="70">
        <f>'RESUMEN TOTAL'!AK457</f>
        <v>0</v>
      </c>
      <c r="Y346" s="70">
        <f>'RESUMEN TOTAL'!AL457</f>
        <v>0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>
        <f>'RESUMEN TOTAL'!AS457</f>
        <v>0</v>
      </c>
      <c r="AG346" s="70">
        <f>'RESUMEN TOTAL'!AT457</f>
        <v>0</v>
      </c>
      <c r="AH346" s="70">
        <f>'RESUMEN TOTAL'!AU457</f>
        <v>0</v>
      </c>
      <c r="AI346" s="70">
        <f>'RESUMEN TOTAL'!AV457</f>
        <v>0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>
        <f>'RESUMEN TOTAL'!AI458</f>
        <v>0</v>
      </c>
      <c r="W347" s="70">
        <f>'RESUMEN TOTAL'!AJ458</f>
        <v>0</v>
      </c>
      <c r="X347" s="70">
        <f>'RESUMEN TOTAL'!AK458</f>
        <v>0</v>
      </c>
      <c r="Y347" s="70">
        <f>'RESUMEN TOTAL'!AL458</f>
        <v>0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>
        <f>'RESUMEN TOTAL'!AS458</f>
        <v>0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>
        <f>'RESUMEN TOTAL'!AI459</f>
        <v>0</v>
      </c>
      <c r="W348" s="70">
        <f>'RESUMEN TOTAL'!AJ459</f>
        <v>0</v>
      </c>
      <c r="X348" s="70">
        <f>'RESUMEN TOTAL'!AK459</f>
        <v>0</v>
      </c>
      <c r="Y348" s="70">
        <f>'RESUMEN TOTAL'!AL459</f>
        <v>0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>
        <f>'RESUMEN TOTAL'!AS459</f>
        <v>0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>
        <f>'RESUMEN TOTAL'!Z461</f>
        <v>0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>
        <f>'RESUMEN TOTAL'!AE461</f>
        <v>0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>
        <f>'RESUMEN TOTAL'!AE464</f>
        <v>0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>
        <f>'RESUMEN TOTAL'!S465</f>
        <v>0</v>
      </c>
      <c r="G354" s="70">
        <f>'RESUMEN TOTAL'!T465</f>
        <v>0</v>
      </c>
      <c r="H354" s="70" t="str">
        <f>'RESUMEN TOTAL'!U465</f>
        <v>APAGADO</v>
      </c>
      <c r="I354" s="70">
        <f>'RESUMEN TOTAL'!V465</f>
        <v>0</v>
      </c>
      <c r="J354" s="70">
        <f>'RESUMEN TOTAL'!W465</f>
        <v>0</v>
      </c>
      <c r="K354" s="70">
        <f>'RESUMEN TOTAL'!X465</f>
        <v>0</v>
      </c>
      <c r="L354" s="70">
        <f>'RESUMEN TOTAL'!Y465</f>
        <v>0</v>
      </c>
      <c r="M354" s="70">
        <f>'RESUMEN TOTAL'!Z465</f>
        <v>0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>
        <f>'RESUMEN TOTAL'!AE465</f>
        <v>0</v>
      </c>
      <c r="S354" s="70">
        <f>'RESUMEN TOTAL'!AF465</f>
        <v>0</v>
      </c>
      <c r="T354" s="70">
        <f>'RESUMEN TOTAL'!AG465</f>
        <v>0</v>
      </c>
      <c r="U354" s="70">
        <f>'RESUMEN TOTAL'!AH465</f>
        <v>0</v>
      </c>
      <c r="V354" s="70">
        <f>'RESUMEN TOTAL'!AI465</f>
        <v>0</v>
      </c>
      <c r="W354" s="70">
        <f>'RESUMEN TOTAL'!AJ465</f>
        <v>0</v>
      </c>
      <c r="X354" s="70">
        <f>'RESUMEN TOTAL'!AK465</f>
        <v>0</v>
      </c>
      <c r="Y354" s="70">
        <f>'RESUMEN TOTAL'!AL465</f>
        <v>0</v>
      </c>
      <c r="Z354" s="70">
        <f>'RESUMEN TOTAL'!AM465</f>
        <v>0</v>
      </c>
      <c r="AA354" s="70">
        <f>'RESUMEN TOTAL'!AN465</f>
        <v>0</v>
      </c>
      <c r="AB354" s="70">
        <f>'RESUMEN TOTAL'!AO465</f>
        <v>0</v>
      </c>
      <c r="AC354" s="70">
        <f>'RESUMEN TOTAL'!AP465</f>
        <v>0</v>
      </c>
      <c r="AD354" s="70">
        <f>'RESUMEN TOTAL'!AQ465</f>
        <v>0</v>
      </c>
      <c r="AE354" s="70">
        <f>'RESUMEN TOTAL'!AR465</f>
        <v>0</v>
      </c>
      <c r="AF354" s="70">
        <f>'RESUMEN TOTAL'!AS465</f>
        <v>0</v>
      </c>
      <c r="AG354" s="70">
        <f>'RESUMEN TOTAL'!AT465</f>
        <v>0</v>
      </c>
      <c r="AH354" s="70">
        <f>'RESUMEN TOTAL'!AU465</f>
        <v>0</v>
      </c>
      <c r="AI354" s="70">
        <f>'RESUMEN TOTAL'!AV465</f>
        <v>0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>
        <f>'RESUMEN TOTAL'!T467</f>
        <v>0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>
        <f>'RESUMEN TOTAL'!S468</f>
        <v>0</v>
      </c>
      <c r="G357" s="70">
        <f>'RESUMEN TOTAL'!T468</f>
        <v>0</v>
      </c>
      <c r="H357" s="70" t="str">
        <f>'RESUMEN TOTAL'!U468</f>
        <v>APAGADO</v>
      </c>
      <c r="I357" s="70">
        <f>'RESUMEN TOTAL'!V468</f>
        <v>0</v>
      </c>
      <c r="J357" s="70">
        <f>'RESUMEN TOTAL'!W468</f>
        <v>0</v>
      </c>
      <c r="K357" s="70">
        <f>'RESUMEN TOTAL'!X468</f>
        <v>0</v>
      </c>
      <c r="L357" s="70">
        <f>'RESUMEN TOTAL'!Y468</f>
        <v>0</v>
      </c>
      <c r="M357" s="70">
        <f>'RESUMEN TOTAL'!Z468</f>
        <v>0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>
        <f>'RESUMEN TOTAL'!AE468</f>
        <v>0</v>
      </c>
      <c r="S357" s="70">
        <f>'RESUMEN TOTAL'!AF468</f>
        <v>0</v>
      </c>
      <c r="T357" s="70">
        <f>'RESUMEN TOTAL'!AG468</f>
        <v>0</v>
      </c>
      <c r="U357" s="70">
        <f>'RESUMEN TOTAL'!AH468</f>
        <v>0</v>
      </c>
      <c r="V357" s="70">
        <f>'RESUMEN TOTAL'!AI468</f>
        <v>0</v>
      </c>
      <c r="W357" s="70">
        <f>'RESUMEN TOTAL'!AJ468</f>
        <v>0</v>
      </c>
      <c r="X357" s="70">
        <f>'RESUMEN TOTAL'!AK468</f>
        <v>0</v>
      </c>
      <c r="Y357" s="70">
        <f>'RESUMEN TOTAL'!AL468</f>
        <v>0</v>
      </c>
      <c r="Z357" s="70">
        <f>'RESUMEN TOTAL'!AM468</f>
        <v>0</v>
      </c>
      <c r="AA357" s="70">
        <f>'RESUMEN TOTAL'!AN468</f>
        <v>0</v>
      </c>
      <c r="AB357" s="70">
        <f>'RESUMEN TOTAL'!AO468</f>
        <v>0</v>
      </c>
      <c r="AC357" s="70">
        <f>'RESUMEN TOTAL'!AP468</f>
        <v>0</v>
      </c>
      <c r="AD357" s="70">
        <f>'RESUMEN TOTAL'!AQ468</f>
        <v>0</v>
      </c>
      <c r="AE357" s="70">
        <f>'RESUMEN TOTAL'!AR468</f>
        <v>0</v>
      </c>
      <c r="AF357" s="70">
        <f>'RESUMEN TOTAL'!AS468</f>
        <v>0</v>
      </c>
      <c r="AG357" s="70">
        <f>'RESUMEN TOTAL'!AT468</f>
        <v>0</v>
      </c>
      <c r="AH357" s="70">
        <f>'RESUMEN TOTAL'!AU468</f>
        <v>0</v>
      </c>
      <c r="AI357" s="70">
        <f>'RESUMEN TOTAL'!AV468</f>
        <v>0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>
        <f>'RESUMEN TOTAL'!S469</f>
        <v>0</v>
      </c>
      <c r="G358" s="70">
        <f>'RESUMEN TOTAL'!T469</f>
        <v>0</v>
      </c>
      <c r="H358" s="70" t="str">
        <f>'RESUMEN TOTAL'!U469</f>
        <v>APAGADO</v>
      </c>
      <c r="I358" s="70">
        <f>'RESUMEN TOTAL'!V469</f>
        <v>0</v>
      </c>
      <c r="J358" s="70">
        <f>'RESUMEN TOTAL'!W469</f>
        <v>0</v>
      </c>
      <c r="K358" s="70">
        <f>'RESUMEN TOTAL'!X469</f>
        <v>0</v>
      </c>
      <c r="L358" s="70">
        <f>'RESUMEN TOTAL'!Y469</f>
        <v>0</v>
      </c>
      <c r="M358" s="70">
        <f>'RESUMEN TOTAL'!Z469</f>
        <v>0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>
        <f>'RESUMEN TOTAL'!AE469</f>
        <v>0</v>
      </c>
      <c r="S358" s="70">
        <f>'RESUMEN TOTAL'!AF469</f>
        <v>0</v>
      </c>
      <c r="T358" s="70">
        <f>'RESUMEN TOTAL'!AG469</f>
        <v>0</v>
      </c>
      <c r="U358" s="70">
        <f>'RESUMEN TOTAL'!AH469</f>
        <v>0</v>
      </c>
      <c r="V358" s="70">
        <f>'RESUMEN TOTAL'!AI469</f>
        <v>0</v>
      </c>
      <c r="W358" s="70">
        <f>'RESUMEN TOTAL'!AJ469</f>
        <v>0</v>
      </c>
      <c r="X358" s="70">
        <f>'RESUMEN TOTAL'!AK469</f>
        <v>0</v>
      </c>
      <c r="Y358" s="70">
        <f>'RESUMEN TOTAL'!AL469</f>
        <v>0</v>
      </c>
      <c r="Z358" s="70">
        <f>'RESUMEN TOTAL'!AM469</f>
        <v>0</v>
      </c>
      <c r="AA358" s="70">
        <f>'RESUMEN TOTAL'!AN469</f>
        <v>0</v>
      </c>
      <c r="AB358" s="70">
        <f>'RESUMEN TOTAL'!AO469</f>
        <v>0</v>
      </c>
      <c r="AC358" s="70">
        <f>'RESUMEN TOTAL'!AP469</f>
        <v>0</v>
      </c>
      <c r="AD358" s="70">
        <f>'RESUMEN TOTAL'!AQ469</f>
        <v>0</v>
      </c>
      <c r="AE358" s="70">
        <f>'RESUMEN TOTAL'!AR469</f>
        <v>0</v>
      </c>
      <c r="AF358" s="70">
        <f>'RESUMEN TOTAL'!AS469</f>
        <v>0</v>
      </c>
      <c r="AG358" s="70">
        <f>'RESUMEN TOTAL'!AT469</f>
        <v>0</v>
      </c>
      <c r="AH358" s="70">
        <f>'RESUMEN TOTAL'!AU469</f>
        <v>0</v>
      </c>
      <c r="AI358" s="70">
        <f>'RESUMEN TOTAL'!AV469</f>
        <v>0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>
        <f>'RESUMEN TOTAL'!S479</f>
        <v>0</v>
      </c>
      <c r="G361" s="70">
        <f>'RESUMEN TOTAL'!T479</f>
        <v>0</v>
      </c>
      <c r="H361" s="70">
        <f>'RESUMEN TOTAL'!U479</f>
        <v>0</v>
      </c>
      <c r="I361" s="70">
        <f>'RESUMEN TOTAL'!V479</f>
        <v>0</v>
      </c>
      <c r="J361" s="70">
        <f>'RESUMEN TOTAL'!W479</f>
        <v>0</v>
      </c>
      <c r="K361" s="70">
        <f>'RESUMEN TOTAL'!X479</f>
        <v>0</v>
      </c>
      <c r="L361" s="70">
        <f>'RESUMEN TOTAL'!Y479</f>
        <v>0</v>
      </c>
      <c r="M361" s="70">
        <f>'RESUMEN TOTAL'!Z479</f>
        <v>0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>
        <f>'RESUMEN TOTAL'!AE479</f>
        <v>0</v>
      </c>
      <c r="S361" s="70">
        <f>'RESUMEN TOTAL'!AF479</f>
        <v>0</v>
      </c>
      <c r="T361" s="70">
        <f>'RESUMEN TOTAL'!AG479</f>
        <v>0</v>
      </c>
      <c r="U361" s="70">
        <f>'RESUMEN TOTAL'!AH479</f>
        <v>0</v>
      </c>
      <c r="V361" s="70">
        <f>'RESUMEN TOTAL'!AI479</f>
        <v>0</v>
      </c>
      <c r="W361" s="70">
        <f>'RESUMEN TOTAL'!AJ479</f>
        <v>0</v>
      </c>
      <c r="X361" s="70">
        <f>'RESUMEN TOTAL'!AK479</f>
        <v>0</v>
      </c>
      <c r="Y361" s="70">
        <f>'RESUMEN TOTAL'!AL479</f>
        <v>0</v>
      </c>
      <c r="Z361" s="70">
        <f>'RESUMEN TOTAL'!AM479</f>
        <v>0</v>
      </c>
      <c r="AA361" s="70">
        <f>'RESUMEN TOTAL'!AN479</f>
        <v>0</v>
      </c>
      <c r="AB361" s="70">
        <f>'RESUMEN TOTAL'!AO479</f>
        <v>0</v>
      </c>
      <c r="AC361" s="70">
        <f>'RESUMEN TOTAL'!AP479</f>
        <v>0</v>
      </c>
      <c r="AD361" s="70">
        <f>'RESUMEN TOTAL'!AQ479</f>
        <v>0</v>
      </c>
      <c r="AE361" s="70">
        <f>'RESUMEN TOTAL'!AR479</f>
        <v>0</v>
      </c>
      <c r="AF361" s="70">
        <f>'RESUMEN TOTAL'!AS479</f>
        <v>0</v>
      </c>
      <c r="AG361" s="70">
        <f>'RESUMEN TOTAL'!AT479</f>
        <v>0</v>
      </c>
      <c r="AH361" s="70">
        <f>'RESUMEN TOTAL'!AU479</f>
        <v>0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>
        <f>'RESUMEN TOTAL'!S480</f>
        <v>0</v>
      </c>
      <c r="G362" s="70">
        <f>'RESUMEN TOTAL'!T480</f>
        <v>0</v>
      </c>
      <c r="H362" s="70">
        <f>'RESUMEN TOTAL'!U480</f>
        <v>0</v>
      </c>
      <c r="I362" s="70">
        <f>'RESUMEN TOTAL'!V480</f>
        <v>0</v>
      </c>
      <c r="J362" s="70">
        <f>'RESUMEN TOTAL'!W480</f>
        <v>0</v>
      </c>
      <c r="K362" s="70">
        <f>'RESUMEN TOTAL'!X480</f>
        <v>0</v>
      </c>
      <c r="L362" s="70">
        <f>'RESUMEN TOTAL'!Y480</f>
        <v>0</v>
      </c>
      <c r="M362" s="70">
        <f>'RESUMEN TOTAL'!Z480</f>
        <v>0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>
        <f>'RESUMEN TOTAL'!AE480</f>
        <v>0</v>
      </c>
      <c r="S362" s="70">
        <f>'RESUMEN TOTAL'!AF480</f>
        <v>0</v>
      </c>
      <c r="T362" s="70">
        <f>'RESUMEN TOTAL'!AG480</f>
        <v>0</v>
      </c>
      <c r="U362" s="70">
        <f>'RESUMEN TOTAL'!AH480</f>
        <v>0</v>
      </c>
      <c r="V362" s="70">
        <f>'RESUMEN TOTAL'!AI480</f>
        <v>0</v>
      </c>
      <c r="W362" s="70">
        <f>'RESUMEN TOTAL'!AJ480</f>
        <v>0</v>
      </c>
      <c r="X362" s="70">
        <f>'RESUMEN TOTAL'!AK480</f>
        <v>0</v>
      </c>
      <c r="Y362" s="70">
        <f>'RESUMEN TOTAL'!AL480</f>
        <v>0</v>
      </c>
      <c r="Z362" s="70">
        <f>'RESUMEN TOTAL'!AM480</f>
        <v>0</v>
      </c>
      <c r="AA362" s="70">
        <f>'RESUMEN TOTAL'!AN480</f>
        <v>0</v>
      </c>
      <c r="AB362" s="70">
        <f>'RESUMEN TOTAL'!AO480</f>
        <v>0</v>
      </c>
      <c r="AC362" s="70">
        <f>'RESUMEN TOTAL'!AP480</f>
        <v>0</v>
      </c>
      <c r="AD362" s="70">
        <f>'RESUMEN TOTAL'!AQ480</f>
        <v>0</v>
      </c>
      <c r="AE362" s="70">
        <f>'RESUMEN TOTAL'!AR480</f>
        <v>0</v>
      </c>
      <c r="AF362" s="70">
        <f>'RESUMEN TOTAL'!AS480</f>
        <v>0</v>
      </c>
      <c r="AG362" s="70">
        <f>'RESUMEN TOTAL'!AT480</f>
        <v>0</v>
      </c>
      <c r="AH362" s="70">
        <f>'RESUMEN TOTAL'!AU480</f>
        <v>0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>
        <f>'RESUMEN TOTAL'!S481</f>
        <v>0</v>
      </c>
      <c r="G363" s="70">
        <f>'RESUMEN TOTAL'!T481</f>
        <v>0</v>
      </c>
      <c r="H363" s="70" t="str">
        <f>'RESUMEN TOTAL'!U481</f>
        <v>APAGADO</v>
      </c>
      <c r="I363" s="70">
        <f>'RESUMEN TOTAL'!V481</f>
        <v>0</v>
      </c>
      <c r="J363" s="70">
        <f>'RESUMEN TOTAL'!W481</f>
        <v>0</v>
      </c>
      <c r="K363" s="70">
        <f>'RESUMEN TOTAL'!X481</f>
        <v>0</v>
      </c>
      <c r="L363" s="70">
        <f>'RESUMEN TOTAL'!Y481</f>
        <v>0</v>
      </c>
      <c r="M363" s="70">
        <f>'RESUMEN TOTAL'!Z481</f>
        <v>0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>
        <f>'RESUMEN TOTAL'!AE481</f>
        <v>0</v>
      </c>
      <c r="S363" s="70">
        <f>'RESUMEN TOTAL'!AF481</f>
        <v>0</v>
      </c>
      <c r="T363" s="70">
        <f>'RESUMEN TOTAL'!AG481</f>
        <v>0</v>
      </c>
      <c r="U363" s="70">
        <f>'RESUMEN TOTAL'!AH481</f>
        <v>0</v>
      </c>
      <c r="V363" s="70">
        <f>'RESUMEN TOTAL'!AI481</f>
        <v>0</v>
      </c>
      <c r="W363" s="70">
        <f>'RESUMEN TOTAL'!AJ481</f>
        <v>0</v>
      </c>
      <c r="X363" s="70">
        <f>'RESUMEN TOTAL'!AK481</f>
        <v>0</v>
      </c>
      <c r="Y363" s="70">
        <f>'RESUMEN TOTAL'!AL481</f>
        <v>0</v>
      </c>
      <c r="Z363" s="70">
        <f>'RESUMEN TOTAL'!AM481</f>
        <v>0</v>
      </c>
      <c r="AA363" s="70">
        <f>'RESUMEN TOTAL'!AN481</f>
        <v>0</v>
      </c>
      <c r="AB363" s="70">
        <f>'RESUMEN TOTAL'!AO481</f>
        <v>0</v>
      </c>
      <c r="AC363" s="70">
        <f>'RESUMEN TOTAL'!AP481</f>
        <v>0</v>
      </c>
      <c r="AD363" s="70">
        <f>'RESUMEN TOTAL'!AQ481</f>
        <v>0</v>
      </c>
      <c r="AE363" s="70">
        <f>'RESUMEN TOTAL'!AR481</f>
        <v>0</v>
      </c>
      <c r="AF363" s="70">
        <f>'RESUMEN TOTAL'!AS481</f>
        <v>0</v>
      </c>
      <c r="AG363" s="70">
        <f>'RESUMEN TOTAL'!AT481</f>
        <v>0</v>
      </c>
      <c r="AH363" s="70">
        <f>'RESUMEN TOTAL'!AU481</f>
        <v>0</v>
      </c>
      <c r="AI363" s="70">
        <f>'RESUMEN TOTAL'!AV481</f>
        <v>0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>
        <f>'RESUMEN TOTAL'!Y483</f>
        <v>0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>
        <f>'RESUMEN TOTAL'!X484</f>
        <v>0</v>
      </c>
      <c r="L365" s="70">
        <f>'RESUMEN TOTAL'!Y484</f>
        <v>0</v>
      </c>
      <c r="M365" s="70">
        <f>'RESUMEN TOTAL'!Z484</f>
        <v>0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>
        <f>'RESUMEN TOTAL'!AE484</f>
        <v>0</v>
      </c>
      <c r="S365" s="70">
        <f>'RESUMEN TOTAL'!AF484</f>
        <v>0</v>
      </c>
      <c r="T365" s="70">
        <f>'RESUMEN TOTAL'!AG484</f>
        <v>0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>
        <f>'RESUMEN TOTAL'!AE486</f>
        <v>0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>
        <f>'RESUMEN TOTAL'!AE487</f>
        <v>0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>
        <f>'RESUMEN TOTAL'!U503</f>
        <v>0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>
        <f>'RESUMEN TOTAL'!AE503</f>
        <v>0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>
        <f>'RESUMEN TOTAL'!Z507</f>
        <v>0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>
        <f>'RESUMEN TOTAL'!Z508</f>
        <v>0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 t="str">
        <f>'RESUMEN TOTAL'!U509</f>
        <v>APAGADO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>
        <f>'RESUMEN TOTAL'!Z509</f>
        <v>0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 t="str">
        <f>'RESUMEN TOTAL'!U510</f>
        <v>APAGADO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>
        <f>'RESUMEN TOTAL'!Z510</f>
        <v>0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>
        <f>'RESUMEN TOTAL'!X511</f>
        <v>0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>
        <f>'RESUMEN TOTAL'!AF511</f>
        <v>0</v>
      </c>
      <c r="T385" s="70">
        <f>'RESUMEN TOTAL'!AG511</f>
        <v>0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>
        <f>'RESUMEN TOTAL'!T521</f>
        <v>0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>
        <f>'RESUMEN TOTAL'!AE525</f>
        <v>0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>
        <f>'RESUMEN TOTAL'!AE526</f>
        <v>0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>
        <f>'RESUMEN TOTAL'!T530</f>
        <v>0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>
        <f>'RESUMEN TOTAL'!S537</f>
        <v>0</v>
      </c>
      <c r="G411" s="70">
        <f>'RESUMEN TOTAL'!T537</f>
        <v>0</v>
      </c>
      <c r="H411" s="70">
        <f>'RESUMEN TOTAL'!U537</f>
        <v>0</v>
      </c>
      <c r="I411" s="70">
        <f>'RESUMEN TOTAL'!V537</f>
        <v>0</v>
      </c>
      <c r="J411" s="70">
        <f>'RESUMEN TOTAL'!W537</f>
        <v>0</v>
      </c>
      <c r="K411" s="70">
        <f>'RESUMEN TOTAL'!X537</f>
        <v>0</v>
      </c>
      <c r="L411" s="70">
        <f>'RESUMEN TOTAL'!Y537</f>
        <v>0</v>
      </c>
      <c r="M411" s="70">
        <f>'RESUMEN TOTAL'!Z537</f>
        <v>0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>
        <f>'RESUMEN TOTAL'!AE537</f>
        <v>0</v>
      </c>
      <c r="S411" s="70">
        <f>'RESUMEN TOTAL'!AF537</f>
        <v>0</v>
      </c>
      <c r="T411" s="70">
        <f>'RESUMEN TOTAL'!AG537</f>
        <v>0</v>
      </c>
      <c r="U411" s="70">
        <f>'RESUMEN TOTAL'!AH537</f>
        <v>0</v>
      </c>
      <c r="V411" s="70">
        <f>'RESUMEN TOTAL'!AI537</f>
        <v>0</v>
      </c>
      <c r="W411" s="70">
        <f>'RESUMEN TOTAL'!AJ537</f>
        <v>0</v>
      </c>
      <c r="X411" s="70">
        <f>'RESUMEN TOTAL'!AK537</f>
        <v>0</v>
      </c>
      <c r="Y411" s="70">
        <f>'RESUMEN TOTAL'!AL537</f>
        <v>0</v>
      </c>
      <c r="Z411" s="70">
        <f>'RESUMEN TOTAL'!AM537</f>
        <v>0</v>
      </c>
      <c r="AA411" s="70">
        <f>'RESUMEN TOTAL'!AN537</f>
        <v>0</v>
      </c>
      <c r="AB411" s="70">
        <f>'RESUMEN TOTAL'!AO537</f>
        <v>0</v>
      </c>
      <c r="AC411" s="70">
        <f>'RESUMEN TOTAL'!AP537</f>
        <v>0</v>
      </c>
      <c r="AD411" s="70">
        <f>'RESUMEN TOTAL'!AQ537</f>
        <v>0</v>
      </c>
      <c r="AE411" s="70">
        <f>'RESUMEN TOTAL'!AR537</f>
        <v>0</v>
      </c>
      <c r="AF411" s="70">
        <f>'RESUMEN TOTAL'!AS537</f>
        <v>0</v>
      </c>
      <c r="AG411" s="70">
        <f>'RESUMEN TOTAL'!AT537</f>
        <v>0</v>
      </c>
      <c r="AH411" s="70">
        <f>'RESUMEN TOTAL'!AU537</f>
        <v>0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>
        <f>'RESUMEN TOTAL'!S540</f>
        <v>0</v>
      </c>
      <c r="G414" s="70">
        <f>'RESUMEN TOTAL'!T540</f>
        <v>0</v>
      </c>
      <c r="H414" s="70">
        <f>'RESUMEN TOTAL'!U540</f>
        <v>0</v>
      </c>
      <c r="I414" s="70">
        <f>'RESUMEN TOTAL'!V540</f>
        <v>0</v>
      </c>
      <c r="J414" s="70">
        <f>'RESUMEN TOTAL'!W540</f>
        <v>0</v>
      </c>
      <c r="K414" s="70">
        <f>'RESUMEN TOTAL'!X540</f>
        <v>0</v>
      </c>
      <c r="L414" s="70">
        <f>'RESUMEN TOTAL'!Y540</f>
        <v>0</v>
      </c>
      <c r="M414" s="70">
        <f>'RESUMEN TOTAL'!Z540</f>
        <v>0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>
        <f>'RESUMEN TOTAL'!AE540</f>
        <v>0</v>
      </c>
      <c r="S414" s="70">
        <f>'RESUMEN TOTAL'!AF540</f>
        <v>0</v>
      </c>
      <c r="T414" s="70">
        <f>'RESUMEN TOTAL'!AG540</f>
        <v>0</v>
      </c>
      <c r="U414" s="70">
        <f>'RESUMEN TOTAL'!AH540</f>
        <v>0</v>
      </c>
      <c r="V414" s="70">
        <f>'RESUMEN TOTAL'!AI540</f>
        <v>0</v>
      </c>
      <c r="W414" s="70">
        <f>'RESUMEN TOTAL'!AJ540</f>
        <v>0</v>
      </c>
      <c r="X414" s="70">
        <f>'RESUMEN TOTAL'!AK540</f>
        <v>0</v>
      </c>
      <c r="Y414" s="70">
        <f>'RESUMEN TOTAL'!AL540</f>
        <v>0</v>
      </c>
      <c r="Z414" s="70">
        <f>'RESUMEN TOTAL'!AM540</f>
        <v>0</v>
      </c>
      <c r="AA414" s="70">
        <f>'RESUMEN TOTAL'!AN540</f>
        <v>0</v>
      </c>
      <c r="AB414" s="70">
        <f>'RESUMEN TOTAL'!AO540</f>
        <v>0</v>
      </c>
      <c r="AC414" s="70">
        <f>'RESUMEN TOTAL'!AP540</f>
        <v>0</v>
      </c>
      <c r="AD414" s="70">
        <f>'RESUMEN TOTAL'!AQ540</f>
        <v>0</v>
      </c>
      <c r="AE414" s="70">
        <f>'RESUMEN TOTAL'!AR540</f>
        <v>0</v>
      </c>
      <c r="AF414" s="70">
        <f>'RESUMEN TOTAL'!AS540</f>
        <v>0</v>
      </c>
      <c r="AG414" s="70">
        <f>'RESUMEN TOTAL'!AT540</f>
        <v>0</v>
      </c>
      <c r="AH414" s="70">
        <f>'RESUMEN TOTAL'!AU540</f>
        <v>0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>
        <f>'RESUMEN TOTAL'!S541</f>
        <v>0</v>
      </c>
      <c r="G415" s="70">
        <f>'RESUMEN TOTAL'!T541</f>
        <v>0</v>
      </c>
      <c r="H415" s="70">
        <f>'RESUMEN TOTAL'!U541</f>
        <v>0</v>
      </c>
      <c r="I415" s="70">
        <f>'RESUMEN TOTAL'!V541</f>
        <v>0</v>
      </c>
      <c r="J415" s="70">
        <f>'RESUMEN TOTAL'!W541</f>
        <v>0</v>
      </c>
      <c r="K415" s="70">
        <f>'RESUMEN TOTAL'!X541</f>
        <v>0</v>
      </c>
      <c r="L415" s="70">
        <f>'RESUMEN TOTAL'!Y541</f>
        <v>0</v>
      </c>
      <c r="M415" s="70">
        <f>'RESUMEN TOTAL'!Z541</f>
        <v>0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>
        <f>'RESUMEN TOTAL'!AE541</f>
        <v>0</v>
      </c>
      <c r="S415" s="70">
        <f>'RESUMEN TOTAL'!AF541</f>
        <v>0</v>
      </c>
      <c r="T415" s="70">
        <f>'RESUMEN TOTAL'!AG541</f>
        <v>0</v>
      </c>
      <c r="U415" s="70">
        <f>'RESUMEN TOTAL'!AH541</f>
        <v>0</v>
      </c>
      <c r="V415" s="70">
        <f>'RESUMEN TOTAL'!AI541</f>
        <v>0</v>
      </c>
      <c r="W415" s="70">
        <f>'RESUMEN TOTAL'!AJ541</f>
        <v>0</v>
      </c>
      <c r="X415" s="70">
        <f>'RESUMEN TOTAL'!AK541</f>
        <v>0</v>
      </c>
      <c r="Y415" s="70">
        <f>'RESUMEN TOTAL'!AL541</f>
        <v>0</v>
      </c>
      <c r="Z415" s="70">
        <f>'RESUMEN TOTAL'!AM541</f>
        <v>0</v>
      </c>
      <c r="AA415" s="70">
        <f>'RESUMEN TOTAL'!AN541</f>
        <v>0</v>
      </c>
      <c r="AB415" s="70">
        <f>'RESUMEN TOTAL'!AO541</f>
        <v>0</v>
      </c>
      <c r="AC415" s="70">
        <f>'RESUMEN TOTAL'!AP541</f>
        <v>0</v>
      </c>
      <c r="AD415" s="70">
        <f>'RESUMEN TOTAL'!AQ541</f>
        <v>0</v>
      </c>
      <c r="AE415" s="70">
        <f>'RESUMEN TOTAL'!AR541</f>
        <v>0</v>
      </c>
      <c r="AF415" s="70">
        <f>'RESUMEN TOTAL'!AS541</f>
        <v>0</v>
      </c>
      <c r="AG415" s="70">
        <f>'RESUMEN TOTAL'!AT541</f>
        <v>0</v>
      </c>
      <c r="AH415" s="70">
        <f>'RESUMEN TOTAL'!AU541</f>
        <v>0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>
        <f>'RESUMEN TOTAL'!AE551</f>
        <v>0</v>
      </c>
      <c r="S420" s="70">
        <f>'RESUMEN TOTAL'!AF551</f>
        <v>0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>
        <f>'RESUMEN TOTAL'!AE559</f>
        <v>0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>
        <f>'RESUMEN TOTAL'!S560</f>
        <v>0</v>
      </c>
      <c r="G428" s="70">
        <f>'RESUMEN TOTAL'!T560</f>
        <v>0</v>
      </c>
      <c r="H428" s="70" t="str">
        <f>'RESUMEN TOTAL'!U560</f>
        <v>APAGADO</v>
      </c>
      <c r="I428" s="70">
        <f>'RESUMEN TOTAL'!V560</f>
        <v>0</v>
      </c>
      <c r="J428" s="70">
        <f>'RESUMEN TOTAL'!W560</f>
        <v>0</v>
      </c>
      <c r="K428" s="70">
        <f>'RESUMEN TOTAL'!X560</f>
        <v>0</v>
      </c>
      <c r="L428" s="70">
        <f>'RESUMEN TOTAL'!Y560</f>
        <v>0</v>
      </c>
      <c r="M428" s="70">
        <f>'RESUMEN TOTAL'!Z560</f>
        <v>0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>
        <f>'RESUMEN TOTAL'!AE560</f>
        <v>0</v>
      </c>
      <c r="S428" s="70">
        <f>'RESUMEN TOTAL'!AF560</f>
        <v>0</v>
      </c>
      <c r="T428" s="70">
        <f>'RESUMEN TOTAL'!AG560</f>
        <v>0</v>
      </c>
      <c r="U428" s="70">
        <f>'RESUMEN TOTAL'!AH560</f>
        <v>0</v>
      </c>
      <c r="V428" s="70">
        <f>'RESUMEN TOTAL'!AI560</f>
        <v>0</v>
      </c>
      <c r="W428" s="70">
        <f>'RESUMEN TOTAL'!AJ560</f>
        <v>0</v>
      </c>
      <c r="X428" s="70">
        <f>'RESUMEN TOTAL'!AK560</f>
        <v>0</v>
      </c>
      <c r="Y428" s="70">
        <f>'RESUMEN TOTAL'!AL560</f>
        <v>0</v>
      </c>
      <c r="Z428" s="70">
        <f>'RESUMEN TOTAL'!AM560</f>
        <v>0</v>
      </c>
      <c r="AA428" s="70">
        <f>'RESUMEN TOTAL'!AN560</f>
        <v>0</v>
      </c>
      <c r="AB428" s="70">
        <f>'RESUMEN TOTAL'!AO560</f>
        <v>0</v>
      </c>
      <c r="AC428" s="70">
        <f>'RESUMEN TOTAL'!AP560</f>
        <v>0</v>
      </c>
      <c r="AD428" s="70">
        <f>'RESUMEN TOTAL'!AQ560</f>
        <v>0</v>
      </c>
      <c r="AE428" s="70">
        <f>'RESUMEN TOTAL'!AR560</f>
        <v>0</v>
      </c>
      <c r="AF428" s="70">
        <f>'RESUMEN TOTAL'!AS560</f>
        <v>0</v>
      </c>
      <c r="AG428" s="70">
        <f>'RESUMEN TOTAL'!AT560</f>
        <v>0</v>
      </c>
      <c r="AH428" s="70">
        <f>'RESUMEN TOTAL'!AU560</f>
        <v>0</v>
      </c>
      <c r="AI428" s="70">
        <f>'RESUMEN TOTAL'!AV560</f>
        <v>0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>
        <f>'RESUMEN TOTAL'!U567</f>
        <v>0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>
        <f>'RESUMEN TOTAL'!S568</f>
        <v>0</v>
      </c>
      <c r="G435" s="70">
        <f>'RESUMEN TOTAL'!T568</f>
        <v>0</v>
      </c>
      <c r="H435" s="70">
        <f>'RESUMEN TOTAL'!U568</f>
        <v>0</v>
      </c>
      <c r="I435" s="70">
        <f>'RESUMEN TOTAL'!V568</f>
        <v>0</v>
      </c>
      <c r="J435" s="70">
        <f>'RESUMEN TOTAL'!W568</f>
        <v>0</v>
      </c>
      <c r="K435" s="70">
        <f>'RESUMEN TOTAL'!X568</f>
        <v>0</v>
      </c>
      <c r="L435" s="70">
        <f>'RESUMEN TOTAL'!Y568</f>
        <v>0</v>
      </c>
      <c r="M435" s="70">
        <f>'RESUMEN TOTAL'!Z568</f>
        <v>0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>
        <f>'RESUMEN TOTAL'!AE568</f>
        <v>0</v>
      </c>
      <c r="S435" s="70">
        <f>'RESUMEN TOTAL'!AF568</f>
        <v>0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>
        <f>'RESUMEN TOTAL'!S572</f>
        <v>0</v>
      </c>
      <c r="G436" s="70">
        <f>'RESUMEN TOTAL'!T572</f>
        <v>0</v>
      </c>
      <c r="H436" s="70" t="str">
        <f>'RESUMEN TOTAL'!U572</f>
        <v>APAGADO</v>
      </c>
      <c r="I436" s="70">
        <f>'RESUMEN TOTAL'!V572</f>
        <v>0</v>
      </c>
      <c r="J436" s="70">
        <f>'RESUMEN TOTAL'!W572</f>
        <v>0</v>
      </c>
      <c r="K436" s="70">
        <f>'RESUMEN TOTAL'!X572</f>
        <v>0</v>
      </c>
      <c r="L436" s="70">
        <f>'RESUMEN TOTAL'!Y572</f>
        <v>0</v>
      </c>
      <c r="M436" s="70">
        <f>'RESUMEN TOTAL'!Z572</f>
        <v>0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>
        <f>'RESUMEN TOTAL'!AE572</f>
        <v>0</v>
      </c>
      <c r="S436" s="70">
        <f>'RESUMEN TOTAL'!AF572</f>
        <v>0</v>
      </c>
      <c r="T436" s="70">
        <f>'RESUMEN TOTAL'!AG572</f>
        <v>0</v>
      </c>
      <c r="U436" s="70">
        <f>'RESUMEN TOTAL'!AH572</f>
        <v>0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>
        <f>'RESUMEN TOTAL'!AO572</f>
        <v>0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 t="str">
        <f>'RESUMEN TOTAL'!U581</f>
        <v>APAGADO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>
        <f>'RESUMEN TOTAL'!Y581</f>
        <v>0</v>
      </c>
      <c r="M443" s="70">
        <f>'RESUMEN TOTAL'!Z581</f>
        <v>0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>
        <f>'RESUMEN TOTAL'!AG581</f>
        <v>0</v>
      </c>
      <c r="U443" s="70">
        <f>'RESUMEN TOTAL'!AH581</f>
        <v>0</v>
      </c>
      <c r="V443" s="70">
        <f>'RESUMEN TOTAL'!AI581</f>
        <v>0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 t="str">
        <f>'RESUMEN TOTAL'!U582</f>
        <v>APAGADO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>
        <f>'RESUMEN TOTAL'!Y582</f>
        <v>0</v>
      </c>
      <c r="M444" s="70">
        <f>'RESUMEN TOTAL'!Z582</f>
        <v>0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>
        <f>'RESUMEN TOTAL'!AG582</f>
        <v>0</v>
      </c>
      <c r="U444" s="70">
        <f>'RESUMEN TOTAL'!AH582</f>
        <v>0</v>
      </c>
      <c r="V444" s="70">
        <f>'RESUMEN TOTAL'!AI582</f>
        <v>0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 t="str">
        <f>'RESUMEN TOTAL'!U583</f>
        <v>APAGADO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>
        <f>'RESUMEN TOTAL'!Y583</f>
        <v>0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>
        <f>'RESUMEN TOTAL'!S584</f>
        <v>0</v>
      </c>
      <c r="G446" s="70">
        <f>'RESUMEN TOTAL'!T584</f>
        <v>0</v>
      </c>
      <c r="H446" s="70" t="str">
        <f>'RESUMEN TOTAL'!U584</f>
        <v>APAGADO</v>
      </c>
      <c r="I446" s="70">
        <f>'RESUMEN TOTAL'!V584</f>
        <v>0</v>
      </c>
      <c r="J446" s="70">
        <f>'RESUMEN TOTAL'!W584</f>
        <v>0</v>
      </c>
      <c r="K446" s="70">
        <f>'RESUMEN TOTAL'!X584</f>
        <v>0</v>
      </c>
      <c r="L446" s="70">
        <f>'RESUMEN TOTAL'!Y584</f>
        <v>0</v>
      </c>
      <c r="M446" s="70">
        <f>'RESUMEN TOTAL'!Z584</f>
        <v>0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>
        <f>'RESUMEN TOTAL'!AE584</f>
        <v>0</v>
      </c>
      <c r="S446" s="70">
        <f>'RESUMEN TOTAL'!AF584</f>
        <v>0</v>
      </c>
      <c r="T446" s="70">
        <f>'RESUMEN TOTAL'!AG584</f>
        <v>0</v>
      </c>
      <c r="U446" s="70">
        <f>'RESUMEN TOTAL'!AH584</f>
        <v>0</v>
      </c>
      <c r="V446" s="70">
        <f>'RESUMEN TOTAL'!AI584</f>
        <v>0</v>
      </c>
      <c r="W446" s="70">
        <f>'RESUMEN TOTAL'!AJ584</f>
        <v>0</v>
      </c>
      <c r="X446" s="70">
        <f>'RESUMEN TOTAL'!AK584</f>
        <v>0</v>
      </c>
      <c r="Y446" s="70">
        <f>'RESUMEN TOTAL'!AL584</f>
        <v>0</v>
      </c>
      <c r="Z446" s="70">
        <f>'RESUMEN TOTAL'!AM584</f>
        <v>0</v>
      </c>
      <c r="AA446" s="70">
        <f>'RESUMEN TOTAL'!AN584</f>
        <v>0</v>
      </c>
      <c r="AB446" s="70">
        <f>'RESUMEN TOTAL'!AO584</f>
        <v>0</v>
      </c>
      <c r="AC446" s="70">
        <f>'RESUMEN TOTAL'!AP584</f>
        <v>0</v>
      </c>
      <c r="AD446" s="70">
        <f>'RESUMEN TOTAL'!AQ584</f>
        <v>0</v>
      </c>
      <c r="AE446" s="70">
        <f>'RESUMEN TOTAL'!AR584</f>
        <v>0</v>
      </c>
      <c r="AF446" s="70">
        <f>'RESUMEN TOTAL'!AS584</f>
        <v>0</v>
      </c>
      <c r="AG446" s="70">
        <f>'RESUMEN TOTAL'!AT584</f>
        <v>0</v>
      </c>
      <c r="AH446" s="70">
        <f>'RESUMEN TOTAL'!AU584</f>
        <v>0</v>
      </c>
      <c r="AI446" s="70">
        <f>'RESUMEN TOTAL'!AV584</f>
        <v>0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>
        <f>'RESUMEN TOTAL'!AL586</f>
        <v>0</v>
      </c>
      <c r="Z448" s="70">
        <f>'RESUMEN TOTAL'!AM586</f>
        <v>0</v>
      </c>
      <c r="AA448" s="70">
        <f>'RESUMEN TOTAL'!AN586</f>
        <v>0</v>
      </c>
      <c r="AB448" s="70">
        <f>'RESUMEN TOTAL'!AO586</f>
        <v>0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>
        <f>'RESUMEN TOTAL'!AL588</f>
        <v>0</v>
      </c>
      <c r="Z450" s="70">
        <f>'RESUMEN TOTAL'!AM588</f>
        <v>0</v>
      </c>
      <c r="AA450" s="70">
        <f>'RESUMEN TOTAL'!AN588</f>
        <v>0</v>
      </c>
      <c r="AB450" s="70">
        <f>'RESUMEN TOTAL'!AO588</f>
        <v>0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>
        <f>'RESUMEN TOTAL'!U593</f>
        <v>0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>
        <f>'RESUMEN TOTAL'!AE593</f>
        <v>0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 t="str">
        <f>'RESUMEN TOTAL'!U599</f>
        <v>APAGADO</v>
      </c>
      <c r="I457" s="70">
        <f>'RESUMEN TOTAL'!V599</f>
        <v>0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4" priority="97" operator="containsText" text="fija">
      <formula>NOT(ISERROR(SEARCH("fija",D4)))</formula>
    </cfRule>
    <cfRule type="containsText" dxfId="113" priority="98" operator="containsText" text="domo">
      <formula>NOT(ISERROR(SEARCH("domo",D4)))</formula>
    </cfRule>
    <cfRule type="cellIs" dxfId="112" priority="924" operator="equal">
      <formula>$D$7</formula>
    </cfRule>
  </conditionalFormatting>
  <conditionalFormatting sqref="D439">
    <cfRule type="containsText" dxfId="111" priority="69" operator="containsText" text="Radio">
      <formula>NOT(ISERROR(SEARCH("Radio",D439)))</formula>
    </cfRule>
    <cfRule type="containsText" dxfId="110" priority="68" operator="containsText" text="domo">
      <formula>NOT(ISERROR(SEARCH("domo",D439)))</formula>
    </cfRule>
    <cfRule type="containsText" dxfId="109" priority="67" operator="containsText" text="fija">
      <formula>NOT(ISERROR(SEARCH("fija",D439)))</formula>
    </cfRule>
  </conditionalFormatting>
  <conditionalFormatting sqref="D439:D440">
    <cfRule type="containsText" dxfId="108" priority="65" operator="containsText" text="domo">
      <formula>NOT(ISERROR(SEARCH("domo",D439)))</formula>
    </cfRule>
    <cfRule type="containsText" dxfId="107" priority="64" operator="containsText" text="fija">
      <formula>NOT(ISERROR(SEARCH("fija",D439)))</formula>
    </cfRule>
  </conditionalFormatting>
  <conditionalFormatting sqref="D440">
    <cfRule type="containsText" dxfId="106" priority="66" operator="containsText" text="Radio">
      <formula>NOT(ISERROR(SEARCH("Radio",D440)))</formula>
    </cfRule>
    <cfRule type="containsText" dxfId="105" priority="63" operator="containsText" text="domo">
      <formula>NOT(ISERROR(SEARCH("domo",D440)))</formula>
    </cfRule>
    <cfRule type="containsText" dxfId="104" priority="62" operator="containsText" text="fija">
      <formula>NOT(ISERROR(SEARCH("fija",D440)))</formula>
    </cfRule>
  </conditionalFormatting>
  <conditionalFormatting sqref="D443">
    <cfRule type="containsText" dxfId="103" priority="59" operator="containsText" text="fija">
      <formula>NOT(ISERROR(SEARCH("fija",D443)))</formula>
    </cfRule>
    <cfRule type="containsText" dxfId="102" priority="61" operator="containsText" text="Radio">
      <formula>NOT(ISERROR(SEARCH("Radio",D443)))</formula>
    </cfRule>
    <cfRule type="containsText" dxfId="101" priority="60" operator="containsText" text="domo">
      <formula>NOT(ISERROR(SEARCH("domo",D443)))</formula>
    </cfRule>
  </conditionalFormatting>
  <conditionalFormatting sqref="D443:D444">
    <cfRule type="containsText" dxfId="100" priority="56" operator="containsText" text="fija">
      <formula>NOT(ISERROR(SEARCH("fija",D443)))</formula>
    </cfRule>
    <cfRule type="containsText" dxfId="99" priority="57" operator="containsText" text="domo">
      <formula>NOT(ISERROR(SEARCH("domo",D443)))</formula>
    </cfRule>
  </conditionalFormatting>
  <conditionalFormatting sqref="D444:D445">
    <cfRule type="containsText" dxfId="98" priority="54" operator="containsText" text="domo">
      <formula>NOT(ISERROR(SEARCH("domo",D444)))</formula>
    </cfRule>
    <cfRule type="containsText" dxfId="97" priority="53" operator="containsText" text="fija">
      <formula>NOT(ISERROR(SEARCH("fija",D444)))</formula>
    </cfRule>
  </conditionalFormatting>
  <conditionalFormatting sqref="D445">
    <cfRule type="containsText" dxfId="96" priority="55" operator="containsText" text="Radio">
      <formula>NOT(ISERROR(SEARCH("Radio",D445)))</formula>
    </cfRule>
  </conditionalFormatting>
  <conditionalFormatting sqref="D445:D446">
    <cfRule type="containsText" dxfId="95" priority="50" operator="containsText" text="fija">
      <formula>NOT(ISERROR(SEARCH("fija",D445)))</formula>
    </cfRule>
    <cfRule type="containsText" dxfId="94" priority="51" operator="containsText" text="domo">
      <formula>NOT(ISERROR(SEARCH("domo",D445)))</formula>
    </cfRule>
  </conditionalFormatting>
  <conditionalFormatting sqref="D446">
    <cfRule type="containsText" dxfId="93" priority="48" operator="containsText" text="fija">
      <formula>NOT(ISERROR(SEARCH("fija",D446)))</formula>
    </cfRule>
    <cfRule type="containsText" dxfId="92" priority="49" operator="containsText" text="domo">
      <formula>NOT(ISERROR(SEARCH("domo",D446)))</formula>
    </cfRule>
    <cfRule type="containsText" dxfId="91" priority="52" operator="containsText" text="Radio">
      <formula>NOT(ISERROR(SEARCH("Radio",D446)))</formula>
    </cfRule>
  </conditionalFormatting>
  <conditionalFormatting sqref="D448">
    <cfRule type="containsText" dxfId="90" priority="171" operator="containsText" text="fija">
      <formula>NOT(ISERROR(SEARCH("fija",D448)))</formula>
    </cfRule>
    <cfRule type="containsText" dxfId="89" priority="172" operator="containsText" text="domo">
      <formula>NOT(ISERROR(SEARCH("domo",D448)))</formula>
    </cfRule>
  </conditionalFormatting>
  <conditionalFormatting sqref="D451:D453">
    <cfRule type="containsText" dxfId="88" priority="70" operator="containsText" text="fija">
      <formula>NOT(ISERROR(SEARCH("fija",D451)))</formula>
    </cfRule>
    <cfRule type="containsText" dxfId="87" priority="71" operator="containsText" text="domo">
      <formula>NOT(ISERROR(SEARCH("domo",D451)))</formula>
    </cfRule>
  </conditionalFormatting>
  <conditionalFormatting sqref="D642">
    <cfRule type="containsText" dxfId="86" priority="1" operator="containsText" text="Radio">
      <formula>NOT(ISERROR(SEARCH("Radio",D642)))</formula>
    </cfRule>
  </conditionalFormatting>
  <conditionalFormatting sqref="D4:E641">
    <cfRule type="containsText" dxfId="85" priority="58" operator="containsText" text="Radio">
      <formula>NOT(ISERROR(SEARCH("Radio",D4)))</formula>
    </cfRule>
  </conditionalFormatting>
  <conditionalFormatting sqref="D448:E448 D458:E641">
    <cfRule type="containsText" dxfId="84" priority="193" operator="containsText" text="Radio">
      <formula>NOT(ISERROR(SEARCH("Radio",D448)))</formula>
    </cfRule>
  </conditionalFormatting>
  <conditionalFormatting sqref="E4:E665">
    <cfRule type="cellIs" dxfId="83" priority="169" operator="equal">
      <formula>"PTP A FO"</formula>
    </cfRule>
    <cfRule type="cellIs" dxfId="82" priority="927" operator="equal">
      <formula>$E$10</formula>
    </cfRule>
    <cfRule type="cellIs" dxfId="81" priority="928" operator="equal">
      <formula>"PTP A FO"</formula>
    </cfRule>
  </conditionalFormatting>
  <conditionalFormatting sqref="E438">
    <cfRule type="cellIs" dxfId="80" priority="11" operator="equal">
      <formula>"PTP A FO"</formula>
    </cfRule>
    <cfRule type="containsText" dxfId="79" priority="10" operator="containsText" text="Radio">
      <formula>NOT(ISERROR(SEARCH("Radio",E438)))</formula>
    </cfRule>
  </conditionalFormatting>
  <conditionalFormatting sqref="E642:E665">
    <cfRule type="containsText" dxfId="78" priority="3" operator="containsText" text="Radio">
      <formula>NOT(ISERROR(SEARCH("Radio",E642)))</formula>
    </cfRule>
  </conditionalFormatting>
  <conditionalFormatting sqref="F5:AJ643">
    <cfRule type="notContainsText" dxfId="77" priority="13" operator="notContains" text="Caida">
      <formula>ISERROR(SEARCH("Caida",F5))</formula>
    </cfRule>
    <cfRule type="cellIs" dxfId="76" priority="8" operator="equal">
      <formula>"apagado"</formula>
    </cfRule>
    <cfRule type="cellIs" dxfId="75" priority="16" operator="greaterThan">
      <formula>0.8</formula>
    </cfRule>
    <cfRule type="cellIs" dxfId="74" priority="12" operator="equal">
      <formula>"APAGADO"</formula>
    </cfRule>
    <cfRule type="cellIs" dxfId="73" priority="15" operator="lessThan">
      <formula>0.8</formula>
    </cfRule>
    <cfRule type="containsText" dxfId="72" priority="14" operator="containsText" text="Caida">
      <formula>NOT(ISERROR(SEARCH("Caida",F5)))</formula>
    </cfRule>
  </conditionalFormatting>
  <conditionalFormatting sqref="H4">
    <cfRule type="cellIs" dxfId="71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0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0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0" priority="5" operator="greaterThan">
      <formula>0.1</formula>
    </cfRule>
    <cfRule type="cellIs" dxfId="69" priority="6" operator="greaterThan">
      <formula>10</formula>
    </cfRule>
  </conditionalFormatting>
  <conditionalFormatting sqref="C5 F6:AJ6">
    <cfRule type="cellIs" dxfId="68" priority="3" operator="greaterThan">
      <formula>0.1</formula>
    </cfRule>
    <cfRule type="cellIs" dxfId="67" priority="4" operator="greaterThan">
      <formula>0.11</formula>
    </cfRule>
  </conditionalFormatting>
  <conditionalFormatting sqref="F4:AJ4">
    <cfRule type="cellIs" dxfId="66" priority="9" operator="greaterThan">
      <formula>0.1</formula>
    </cfRule>
    <cfRule type="cellIs" dxfId="65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" zoomScaleNormal="100" workbookViewId="0">
      <selection activeCell="G11" sqref="A2:G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9">
        <v>46235</v>
      </c>
    </row>
    <row r="3" spans="1:6" ht="15" customHeight="1" x14ac:dyDescent="0.25">
      <c r="A3" s="76" t="s">
        <v>1438</v>
      </c>
      <c r="B3" s="53" t="s">
        <v>6</v>
      </c>
      <c r="C3" s="66">
        <v>98</v>
      </c>
      <c r="D3" s="54"/>
      <c r="E3" s="55">
        <f>C3/C2</f>
        <v>0.16333333333333333</v>
      </c>
      <c r="F3" s="160"/>
    </row>
    <row r="4" spans="1:6" x14ac:dyDescent="0.25">
      <c r="A4" s="76"/>
      <c r="B4" s="53" t="s">
        <v>1212</v>
      </c>
      <c r="C4" s="67">
        <v>16</v>
      </c>
      <c r="D4" s="100">
        <f>C3-C4</f>
        <v>82</v>
      </c>
      <c r="E4" s="55">
        <f>D4/C2</f>
        <v>0.13666666666666666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74</v>
      </c>
      <c r="E5" s="55">
        <f>D5/C2</f>
        <v>0.12333333333333334</v>
      </c>
      <c r="F5" s="160"/>
    </row>
    <row r="6" spans="1:6" x14ac:dyDescent="0.25">
      <c r="A6" s="94" t="s">
        <v>1438</v>
      </c>
      <c r="B6" s="53" t="s">
        <v>15</v>
      </c>
      <c r="C6" s="91">
        <v>3</v>
      </c>
      <c r="D6" s="100">
        <f>D5-C6</f>
        <v>71</v>
      </c>
      <c r="E6" s="55">
        <f>D6/C2</f>
        <v>0.11833333333333333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9">
        <v>46237</v>
      </c>
    </row>
    <row r="25" spans="1:6" x14ac:dyDescent="0.25">
      <c r="A25" t="s">
        <v>1432</v>
      </c>
      <c r="B25" s="53" t="s">
        <v>6</v>
      </c>
      <c r="C25" s="66">
        <v>98</v>
      </c>
      <c r="D25" s="54"/>
      <c r="E25" s="55">
        <f>C25/C24</f>
        <v>0.16333333333333333</v>
      </c>
      <c r="F25" s="160"/>
    </row>
    <row r="26" spans="1:6" x14ac:dyDescent="0.25">
      <c r="B26" s="53" t="s">
        <v>1212</v>
      </c>
      <c r="C26" s="67">
        <v>16</v>
      </c>
      <c r="D26" s="100">
        <f>C25-C26</f>
        <v>82</v>
      </c>
      <c r="E26" s="55">
        <f>D26/C24</f>
        <v>0.13666666666666666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74</v>
      </c>
      <c r="E27" s="55">
        <f>D27/C24</f>
        <v>0.12333333333333334</v>
      </c>
      <c r="F27" s="160"/>
    </row>
    <row r="28" spans="1:6" x14ac:dyDescent="0.25">
      <c r="A28" t="s">
        <v>1432</v>
      </c>
      <c r="B28" s="53" t="s">
        <v>15</v>
      </c>
      <c r="C28" s="91">
        <v>3</v>
      </c>
      <c r="D28" s="100">
        <f>D27-C28</f>
        <v>71</v>
      </c>
      <c r="E28" s="55">
        <f>D28/C24</f>
        <v>0.11833333333333333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9">
        <v>46177</v>
      </c>
    </row>
    <row r="36" spans="1:6" x14ac:dyDescent="0.25">
      <c r="A36" t="s">
        <v>1431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1212</v>
      </c>
      <c r="C37" s="67">
        <v>7</v>
      </c>
      <c r="D37" s="100">
        <f>C36-C37</f>
        <v>-7</v>
      </c>
      <c r="E37" s="55">
        <f>D37/C35</f>
        <v>-1.1666666666666667E-2</v>
      </c>
      <c r="F37" s="160"/>
    </row>
    <row r="38" spans="1:6" x14ac:dyDescent="0.25">
      <c r="B38" s="53" t="s">
        <v>1213</v>
      </c>
      <c r="C38" s="67">
        <v>14</v>
      </c>
      <c r="D38" s="100">
        <f>D37-C38</f>
        <v>-21</v>
      </c>
      <c r="E38" s="55">
        <f>D38/C35</f>
        <v>-3.5000000000000003E-2</v>
      </c>
      <c r="F38" s="160"/>
    </row>
    <row r="39" spans="1:6" x14ac:dyDescent="0.25">
      <c r="A39" t="s">
        <v>1431</v>
      </c>
      <c r="B39" s="53" t="s">
        <v>15</v>
      </c>
      <c r="C39" s="91">
        <v>5</v>
      </c>
      <c r="D39" s="100">
        <f>D38-C39</f>
        <v>-26</v>
      </c>
      <c r="E39" s="55">
        <f>D39/C35</f>
        <v>-4.3333333333333335E-2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43</v>
      </c>
      <c r="E43" s="111">
        <f>D43/C43</f>
        <v>0.14827586206896551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9">
        <v>46178</v>
      </c>
    </row>
    <row r="47" spans="1:6" x14ac:dyDescent="0.25">
      <c r="A47" t="s">
        <v>1433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1212</v>
      </c>
      <c r="C48" s="67">
        <v>7</v>
      </c>
      <c r="D48" s="100">
        <f>C47-C48</f>
        <v>-7</v>
      </c>
      <c r="E48" s="55">
        <f>D48/C46</f>
        <v>-1.1666666666666667E-2</v>
      </c>
      <c r="F48" s="160"/>
    </row>
    <row r="49" spans="1:6" x14ac:dyDescent="0.25">
      <c r="B49" s="53" t="s">
        <v>1213</v>
      </c>
      <c r="C49" s="67">
        <v>10</v>
      </c>
      <c r="D49" s="100">
        <f>D48-C49</f>
        <v>-17</v>
      </c>
      <c r="E49" s="55">
        <f>D49/C46</f>
        <v>-2.8333333333333332E-2</v>
      </c>
      <c r="F49" s="160"/>
    </row>
    <row r="50" spans="1:6" x14ac:dyDescent="0.25">
      <c r="A50" t="s">
        <v>1433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-2.8333333333333332E-2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40</v>
      </c>
      <c r="E54" s="111">
        <f>D54/C54</f>
        <v>0.13793103448275862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-9</v>
      </c>
      <c r="E59" s="55">
        <f>D59/C57</f>
        <v>-1.4999999999999999E-2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-17</v>
      </c>
      <c r="E60" s="55">
        <f>D60/C57</f>
        <v>-2.8333333333333332E-2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-19</v>
      </c>
      <c r="E61" s="55">
        <f>D61/C57</f>
        <v>-3.1666666666666669E-2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-15</v>
      </c>
      <c r="E70" s="55">
        <f>D70/C68</f>
        <v>-2.5000000000000001E-2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-23</v>
      </c>
      <c r="E71" s="55">
        <f>D71/C68</f>
        <v>-3.833333333333333E-2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-3.833333333333333E-2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-9</v>
      </c>
      <c r="E81" s="55">
        <f>D81/C79</f>
        <v>-1.4999999999999999E-2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-17</v>
      </c>
      <c r="E82" s="55">
        <f>D82/C79</f>
        <v>-2.8333333333333332E-2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-24</v>
      </c>
      <c r="E83" s="55">
        <f>D83/C79</f>
        <v>-0.04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-4</v>
      </c>
      <c r="E147" s="55">
        <f>D147/C145</f>
        <v>-6.6666666666666671E-3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-12</v>
      </c>
      <c r="E148" s="55">
        <f>D148/C145</f>
        <v>-0.02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-2.1666666666666667E-2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0.09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8.5000000000000006E-2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7.166666666666667E-2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7.0000000000000007E-2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0.10333333333333333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0.1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9.8333333333333328E-2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9.6666666666666665E-2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8.1666666666666665E-2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7.4999999999999997E-2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6.1666666666666668E-2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0.06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0.13166666666666665</v>
      </c>
      <c r="F338" s="160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0.12833333333333333</v>
      </c>
      <c r="F339" s="160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0.115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0.11333333333333333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2026-08-03T16:39:08Z</dcterms:modified>
</cp:coreProperties>
</file>