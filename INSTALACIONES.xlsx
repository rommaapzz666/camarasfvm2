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"/>
    </mc:Choice>
  </mc:AlternateContent>
  <xr:revisionPtr revIDLastSave="0" documentId="13_ncr:1_{C50E4F6D-E63E-449C-9C09-02DCEA1C15BF}" xr6:coauthVersionLast="47" xr6:coauthVersionMax="47" xr10:uidLastSave="{00000000-0000-0000-0000-000000000000}"/>
  <bookViews>
    <workbookView xWindow="-120" yWindow="-120" windowWidth="20730" windowHeight="11160" activeTab="1" xr2:uid="{EE4D23A6-479D-4233-AE73-15B5C9E02C78}"/>
  </bookViews>
  <sheets>
    <sheet name="PLETAC" sheetId="1" r:id="rId1"/>
    <sheet name="FIBERQUIL" sheetId="2" r:id="rId2"/>
    <sheet name="LPR PLETAC 20" sheetId="5" r:id="rId3"/>
    <sheet name="20 NUEVAS PLETAC" sheetId="6" r:id="rId4"/>
    <sheet name="10 + 5 BONOMO" sheetId="9" r:id="rId5"/>
    <sheet name="10 + 5 FIBERQUIL" sheetId="10" r:id="rId6"/>
    <sheet name="Hoja1" sheetId="3" r:id="rId7"/>
    <sheet name="Hoja2" sheetId="4" r:id="rId8"/>
    <sheet name="total funcionando" sheetId="7" r:id="rId9"/>
    <sheet name="nuevas instalaciones 8-9" sheetId="8" r:id="rId10"/>
    <sheet name="POSTES Y BRAZOS" sheetId="11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7" l="1"/>
  <c r="I9" i="7" s="1"/>
  <c r="J4" i="7"/>
  <c r="I10" i="7" s="1"/>
  <c r="J2" i="7"/>
  <c r="I8" i="7" s="1"/>
  <c r="G7" i="7" l="1"/>
  <c r="H7" i="7"/>
  <c r="H10" i="7"/>
  <c r="H9" i="7"/>
  <c r="H8" i="7"/>
  <c r="G11" i="7"/>
  <c r="G10" i="7"/>
  <c r="G9" i="7"/>
  <c r="G8" i="7"/>
  <c r="D1" i="7"/>
  <c r="E1" i="7"/>
  <c r="C1" i="7"/>
  <c r="G5" i="7"/>
  <c r="I5" i="7"/>
  <c r="H5" i="7"/>
  <c r="H11" i="7" l="1"/>
  <c r="J5" i="7"/>
  <c r="I11" i="7" s="1"/>
</calcChain>
</file>

<file path=xl/sharedStrings.xml><?xml version="1.0" encoding="utf-8"?>
<sst xmlns="http://schemas.openxmlformats.org/spreadsheetml/2006/main" count="1047" uniqueCount="252">
  <si>
    <t>LPR</t>
  </si>
  <si>
    <t>1-2</t>
  </si>
  <si>
    <t>Yrigoyen y Gorritti LPR x2.</t>
  </si>
  <si>
    <t>3-4</t>
  </si>
  <si>
    <t>Patagones y Gaboto LPR x2.</t>
  </si>
  <si>
    <t>5-6</t>
  </si>
  <si>
    <t>1314 y 1355 LPR x2.</t>
  </si>
  <si>
    <t>7-8</t>
  </si>
  <si>
    <t>Av Bosques y Calingasta</t>
  </si>
  <si>
    <t>9-10</t>
  </si>
  <si>
    <t>TERMINADO</t>
  </si>
  <si>
    <t>Camino Belgrano y Sargento Cabral</t>
  </si>
  <si>
    <t>FIJAS</t>
  </si>
  <si>
    <t>1</t>
  </si>
  <si>
    <t>Tranquera y Malambo (fija).</t>
  </si>
  <si>
    <t>2</t>
  </si>
  <si>
    <t>Mainini e/ Uruguay y Montevideo (fija).</t>
  </si>
  <si>
    <t>3</t>
  </si>
  <si>
    <t>Calchaqui y Rocha (fija).</t>
  </si>
  <si>
    <t>4</t>
  </si>
  <si>
    <t>Necochea e/Senzabello y Magallanes (fija).</t>
  </si>
  <si>
    <t>5</t>
  </si>
  <si>
    <t>El Aljibe y El Zonda (Fija).</t>
  </si>
  <si>
    <t>6</t>
  </si>
  <si>
    <t>Eva Peron y 1404 (fija).</t>
  </si>
  <si>
    <t>7</t>
  </si>
  <si>
    <t>Calchaqui y Galarza (fija).</t>
  </si>
  <si>
    <t>8</t>
  </si>
  <si>
    <t xml:space="preserve">CASA DE LA PROVINCIA </t>
  </si>
  <si>
    <t>9</t>
  </si>
  <si>
    <t>10</t>
  </si>
  <si>
    <t xml:space="preserve">DOMOS </t>
  </si>
  <si>
    <t>V Lopez y Tucuman (Domo.</t>
  </si>
  <si>
    <t>V Lopez Y gral Paz (dlmo).</t>
  </si>
  <si>
    <t>Monteagudo y Marmol (domo).</t>
  </si>
  <si>
    <t>Senzabello y Necochea (domo).</t>
  </si>
  <si>
    <t>Arenales y Estrada (domo).</t>
  </si>
  <si>
    <t>Moneteagudo y Alem (domo).</t>
  </si>
  <si>
    <t>Las Heras y Urquiza (domo).</t>
  </si>
  <si>
    <t>Peron y Chile (domo).</t>
  </si>
  <si>
    <t>Peron (plaza Calegari)(domo).</t>
  </si>
  <si>
    <t>11</t>
  </si>
  <si>
    <t>CASA DE LA PROVINCIA</t>
  </si>
  <si>
    <t>12</t>
  </si>
  <si>
    <t>Plaza Monteverde</t>
  </si>
  <si>
    <t>relevado 7/7</t>
  </si>
  <si>
    <t>poste</t>
  </si>
  <si>
    <t>Bonn y Yugoslavia</t>
  </si>
  <si>
    <t>Azahara y Nuestras Malvinas</t>
  </si>
  <si>
    <t>1282 y Ezeiza</t>
  </si>
  <si>
    <t>Boccuzzi y Brown</t>
  </si>
  <si>
    <t>Boccuzzi y Rodo</t>
  </si>
  <si>
    <t>D'Anuncio y J.B. Justo (Plaza)</t>
  </si>
  <si>
    <t>Juana Azurduy y Barracas (Plaza)</t>
  </si>
  <si>
    <t>Velez Sarfield y Estados Unidos</t>
  </si>
  <si>
    <t>Bonn y Mallorca</t>
  </si>
  <si>
    <t>Belgica y Cerdeña</t>
  </si>
  <si>
    <t>D'Anuncio e/Lisandro de la Torre y J.B. Justo</t>
  </si>
  <si>
    <t>1282 y 1201</t>
  </si>
  <si>
    <t>El Paisano y 441</t>
  </si>
  <si>
    <t>La Tranquera y 437</t>
  </si>
  <si>
    <t>554 y 531a</t>
  </si>
  <si>
    <t>Combate de los Pozos y Suipacha</t>
  </si>
  <si>
    <t>relevado 14/7</t>
  </si>
  <si>
    <t>poste instalado</t>
  </si>
  <si>
    <t>Thevenet y Ameghino (domo).</t>
  </si>
  <si>
    <t>IP</t>
  </si>
  <si>
    <t>NOMBRE</t>
  </si>
  <si>
    <t>MAC</t>
  </si>
  <si>
    <t>HUDSON Y EL MAESTRO</t>
  </si>
  <si>
    <t>DOMOS</t>
  </si>
  <si>
    <t>HUDSON Y OLIDEN</t>
  </si>
  <si>
    <t>HUDSON Y RINCON</t>
  </si>
  <si>
    <t>PERON Y BULNES</t>
  </si>
  <si>
    <t>PERON Y SUCRE</t>
  </si>
  <si>
    <t>PERON Y BERUTTI</t>
  </si>
  <si>
    <t>PERON Y BOGOTA</t>
  </si>
  <si>
    <t xml:space="preserve">HUDSON ENTRE </t>
  </si>
  <si>
    <t>PERON Y TUNES</t>
  </si>
  <si>
    <t>EMPRESA</t>
  </si>
  <si>
    <t>HUDSON E/1362 Y 1356 VETERINARIO</t>
  </si>
  <si>
    <t>THEVENET Y DELGADO</t>
  </si>
  <si>
    <t>MONTEVIDEO Y ALSINA</t>
  </si>
  <si>
    <t>DEL TRABAJO Y STORNI</t>
  </si>
  <si>
    <t>PUNTO SEGURO SAN JORGE</t>
  </si>
  <si>
    <t>MIRANDO AL CENTRO DE SALUD</t>
  </si>
  <si>
    <t>PLETAC</t>
  </si>
  <si>
    <t>RUTA 36 Y PERON</t>
  </si>
  <si>
    <t>LOS ANGELES Y LA PAZ</t>
  </si>
  <si>
    <t>1236 Y COLECTORA</t>
  </si>
  <si>
    <t>1282 Y COLECTORA</t>
  </si>
  <si>
    <t xml:space="preserve">AZURDUY Y LA TANZA </t>
  </si>
  <si>
    <t>AZUDUY Y LA MATANZA</t>
  </si>
  <si>
    <t>LUJAN Y LAS VIAS</t>
  </si>
  <si>
    <t>BLAS PARERA Y LOS LAURELES</t>
  </si>
  <si>
    <t>1 - 2</t>
  </si>
  <si>
    <t>3 - 4</t>
  </si>
  <si>
    <t>5 - 6</t>
  </si>
  <si>
    <t>7 - 8</t>
  </si>
  <si>
    <t>9 - 10</t>
  </si>
  <si>
    <t>13 - 14</t>
  </si>
  <si>
    <t>15 - 16</t>
  </si>
  <si>
    <t>17 - 18</t>
  </si>
  <si>
    <t>19 - 20</t>
  </si>
  <si>
    <t>HUDSON E/1362 Y 1356 VETERINARIO X 2</t>
  </si>
  <si>
    <t>PERON Y TUNES X 2</t>
  </si>
  <si>
    <t>THEVENET Y DELGADO X 2</t>
  </si>
  <si>
    <t>MONTEVIDEO Y ALSINA X 2</t>
  </si>
  <si>
    <t>DEL TRABAJO Y STORNI X 2</t>
  </si>
  <si>
    <t>BLAS PARERA Y LOS LAURELES X 2</t>
  </si>
  <si>
    <t>1236 Y COLECTORA X 2</t>
  </si>
  <si>
    <t>LUJAN Y LAS VIAS X 2</t>
  </si>
  <si>
    <t>AZURDUY Y LA MATANZA  X 2</t>
  </si>
  <si>
    <t>san jorge</t>
  </si>
  <si>
    <t>Concejo deliberante.</t>
  </si>
  <si>
    <t>Salud, deposito de gamboa y vacunas.</t>
  </si>
  <si>
    <t>Medicina laboral.</t>
  </si>
  <si>
    <t>Evaluar.</t>
  </si>
  <si>
    <t>ESTADO</t>
  </si>
  <si>
    <t xml:space="preserve"> </t>
  </si>
  <si>
    <t>SERRANO Y DAVIDSON</t>
  </si>
  <si>
    <t>556 Y 527</t>
  </si>
  <si>
    <t>PUNTO SEGURO SAN JORGE 556 Y 523</t>
  </si>
  <si>
    <t>YRIGOYEN Y SAN MARTIN</t>
  </si>
  <si>
    <t>EL MALAMBO Y LA AGUADA</t>
  </si>
  <si>
    <t>STORNI Y ESPOSOS CURIE</t>
  </si>
  <si>
    <t>CLORINDA Y MAGALLANES</t>
  </si>
  <si>
    <t>25 DE MAYO Y VELEZ SARFIELD</t>
  </si>
  <si>
    <t>PERON Y TUNEZ</t>
  </si>
  <si>
    <t>PERON Y SALTA</t>
  </si>
  <si>
    <t>PERON Y ALVARADO</t>
  </si>
  <si>
    <t>PERON Y LA PAZ</t>
  </si>
  <si>
    <t>RELEVADO</t>
  </si>
  <si>
    <t>FECHA</t>
  </si>
  <si>
    <t>FIJA</t>
  </si>
  <si>
    <t>DOMO</t>
  </si>
  <si>
    <t>X</t>
  </si>
  <si>
    <t>UBICACIÓN</t>
  </si>
  <si>
    <t>INSTALADOS</t>
  </si>
  <si>
    <t>TOTALES</t>
  </si>
  <si>
    <t>554 Y 525</t>
  </si>
  <si>
    <t>COMPRADAS</t>
  </si>
  <si>
    <t>CON SUMINISTRO</t>
  </si>
  <si>
    <t>20 domos:</t>
  </si>
  <si>
    <t>España y Asuncion.</t>
  </si>
  <si>
    <t>Serrano y Davinson.</t>
  </si>
  <si>
    <t>Solis y Braile.</t>
  </si>
  <si>
    <t>Pisani y Sicilia.</t>
  </si>
  <si>
    <t>Azurduy y Ezeiza.</t>
  </si>
  <si>
    <t>Agrelo y Newbery.</t>
  </si>
  <si>
    <t>Zorzal y Laureles.</t>
  </si>
  <si>
    <t>Casuarinas y Cardenal.</t>
  </si>
  <si>
    <t>Ñandu y Casuarinas.</t>
  </si>
  <si>
    <t>Bosques y Alta Gracia.</t>
  </si>
  <si>
    <t>Patagones e Irala.</t>
  </si>
  <si>
    <t xml:space="preserve">Curie y Braile </t>
  </si>
  <si>
    <t>Algarrobo y La Paloma(Plaza).</t>
  </si>
  <si>
    <t>La Huella y Ezeiza.</t>
  </si>
  <si>
    <t>Cabello y Villar.</t>
  </si>
  <si>
    <t>Los Pinos y La Paloma.</t>
  </si>
  <si>
    <t>Bosques y San Clemente.</t>
  </si>
  <si>
    <t>Sallares y Jujuy.</t>
  </si>
  <si>
    <t>Plaza Mailin.</t>
  </si>
  <si>
    <t>Cacheuta y 1341.</t>
  </si>
  <si>
    <t>10 fijas:</t>
  </si>
  <si>
    <t>Algarrobo y La Paloma x2.</t>
  </si>
  <si>
    <t>1148 y 1150 x2.</t>
  </si>
  <si>
    <t>C de los Pozos y Cantu x1.</t>
  </si>
  <si>
    <t>Basualdo e/ A Diaz y Bengoechea x2.</t>
  </si>
  <si>
    <t>Milan y Novak x1.</t>
  </si>
  <si>
    <t>Yugoslavia y Bruselas x2.</t>
  </si>
  <si>
    <t>10 domos:</t>
  </si>
  <si>
    <t>5 fijas:</t>
  </si>
  <si>
    <t>BONOMO</t>
  </si>
  <si>
    <t>FIBERQUIL</t>
  </si>
  <si>
    <t>1148 y 1150 x2.frente a la escuela</t>
  </si>
  <si>
    <t>9/9</t>
  </si>
  <si>
    <t>POSTE</t>
  </si>
  <si>
    <t>172.20.8.29</t>
  </si>
  <si>
    <t>172.20.8.30</t>
  </si>
  <si>
    <t>172.20.8.31</t>
  </si>
  <si>
    <t>172.20.8.32</t>
  </si>
  <si>
    <t>172.20.8.33</t>
  </si>
  <si>
    <t>172.20.8.34</t>
  </si>
  <si>
    <t>172.20.8.35</t>
  </si>
  <si>
    <t>172.20.8.36</t>
  </si>
  <si>
    <t>172.20.8.37</t>
  </si>
  <si>
    <t>172.20.8.38</t>
  </si>
  <si>
    <t>172.20.8.39</t>
  </si>
  <si>
    <t>172.20.8.40</t>
  </si>
  <si>
    <t>172.20.8.41</t>
  </si>
  <si>
    <t>172.20.8.42</t>
  </si>
  <si>
    <t>172.20.8.43</t>
  </si>
  <si>
    <t>172.20.8.44</t>
  </si>
  <si>
    <t>172.20.8.4X</t>
  </si>
  <si>
    <t>172.20.8.45</t>
  </si>
  <si>
    <t>10/9</t>
  </si>
  <si>
    <t>pescante</t>
  </si>
  <si>
    <t>POSTES BONOMO</t>
  </si>
  <si>
    <t xml:space="preserve">Algarrobo y La Paloma </t>
  </si>
  <si>
    <t>Novak y Pagani</t>
  </si>
  <si>
    <t>Yugoslavia y Bucarest x2.</t>
  </si>
  <si>
    <t>POSTES CICOMSA</t>
  </si>
  <si>
    <t>BRAZOS BONOMO</t>
  </si>
  <si>
    <t>CORRIENTES Y REPUBLICA</t>
  </si>
  <si>
    <t>EVA PERON Y REPUBLICA</t>
  </si>
  <si>
    <t>Ffecha</t>
  </si>
  <si>
    <t>COMPRADAS - INSTALADAS</t>
  </si>
  <si>
    <t>1/10</t>
  </si>
  <si>
    <t>RESTAN INSTALAR</t>
  </si>
  <si>
    <t>2/10</t>
  </si>
  <si>
    <t>3/10</t>
  </si>
  <si>
    <t>BOSQ08</t>
  </si>
  <si>
    <t>BOSQ09</t>
  </si>
  <si>
    <t>172.20.10.227</t>
  </si>
  <si>
    <t>172.20.10.228</t>
  </si>
  <si>
    <t>172.20.10.225</t>
  </si>
  <si>
    <t>SRO23</t>
  </si>
  <si>
    <t>172.20.10.231</t>
  </si>
  <si>
    <t>DJO08</t>
  </si>
  <si>
    <t>172.20.10.232</t>
  </si>
  <si>
    <t>ARA03</t>
  </si>
  <si>
    <t>TRABAJANDO</t>
  </si>
  <si>
    <t>172.20.10.233</t>
  </si>
  <si>
    <t>172.20.10.234</t>
  </si>
  <si>
    <t>172.20.10.235</t>
  </si>
  <si>
    <t>172.20.10.236</t>
  </si>
  <si>
    <t>172.20.10.230</t>
  </si>
  <si>
    <t>172.20.10.210</t>
  </si>
  <si>
    <t>172.20.10.226</t>
  </si>
  <si>
    <t>172.20.10.220</t>
  </si>
  <si>
    <t>CEN94</t>
  </si>
  <si>
    <t>172.20.10.221</t>
  </si>
  <si>
    <t>NJU12</t>
  </si>
  <si>
    <t>172.20.10.222</t>
  </si>
  <si>
    <t>BOSQ07</t>
  </si>
  <si>
    <t>172.20.10.223</t>
  </si>
  <si>
    <t>CAR03</t>
  </si>
  <si>
    <t>172.20.10.224</t>
  </si>
  <si>
    <t>LPI07</t>
  </si>
  <si>
    <t>172.20.10.217</t>
  </si>
  <si>
    <t>SRO22</t>
  </si>
  <si>
    <t>172.20.10.218</t>
  </si>
  <si>
    <t>SIR19</t>
  </si>
  <si>
    <t>ROT02</t>
  </si>
  <si>
    <t>ESM18</t>
  </si>
  <si>
    <t>EPQ05</t>
  </si>
  <si>
    <t>SJO11</t>
  </si>
  <si>
    <t>SJO12</t>
  </si>
  <si>
    <t>SNA04</t>
  </si>
  <si>
    <t>Combate de los Pozos y CANTU</t>
  </si>
  <si>
    <t>SNA03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</si>
</sst>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0">
    <xf numFmtId="0" fontId="0" fillId="0" borderId="0" xfId="0"/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/>
    </xf>
    <xf numFmtId="0" fontId="0" fillId="2" borderId="9" xfId="0" applyFill="1" applyBorder="1"/>
    <xf numFmtId="0" fontId="0" fillId="2" borderId="10" xfId="0" applyFill="1" applyBorder="1"/>
    <xf numFmtId="49" fontId="0" fillId="0" borderId="0" xfId="0" applyNumberFormat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0" fontId="0" fillId="2" borderId="6" xfId="0" applyFill="1" applyBorder="1"/>
    <xf numFmtId="0" fontId="0" fillId="2" borderId="7" xfId="0" applyFill="1" applyBorder="1"/>
    <xf numFmtId="49" fontId="0" fillId="2" borderId="2" xfId="0" applyNumberFormat="1" applyFill="1" applyBorder="1" applyAlignment="1">
      <alignment horizontal="center" vertical="center"/>
    </xf>
    <xf numFmtId="0" fontId="0" fillId="0" borderId="4" xfId="0" applyBorder="1"/>
    <xf numFmtId="0" fontId="0" fillId="0" borderId="7" xfId="0" applyBorder="1"/>
    <xf numFmtId="0" fontId="0" fillId="0" borderId="0" xfId="0" applyAlignment="1">
      <alignment horizontal="left" vertical="center"/>
    </xf>
    <xf numFmtId="0" fontId="0" fillId="2" borderId="4" xfId="0" applyFill="1" applyBorder="1"/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/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0" fillId="0" borderId="10" xfId="0" applyBorder="1"/>
    <xf numFmtId="49" fontId="0" fillId="0" borderId="2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30" xfId="0" applyFill="1" applyBorder="1"/>
    <xf numFmtId="49" fontId="0" fillId="2" borderId="26" xfId="0" applyNumberForma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/>
    <xf numFmtId="49" fontId="0" fillId="2" borderId="31" xfId="0" applyNumberForma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32" xfId="0" applyFill="1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0" xfId="0" applyAlignment="1">
      <alignment horizontal="center"/>
    </xf>
    <xf numFmtId="16" fontId="0" fillId="2" borderId="0" xfId="0" applyNumberFormat="1" applyFill="1" applyAlignment="1">
      <alignment horizontal="center"/>
    </xf>
    <xf numFmtId="16" fontId="0" fillId="2" borderId="36" xfId="0" applyNumberForma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2" borderId="11" xfId="0" applyFill="1" applyBorder="1"/>
    <xf numFmtId="0" fontId="0" fillId="2" borderId="12" xfId="0" applyFill="1" applyBorder="1"/>
    <xf numFmtId="0" fontId="0" fillId="2" borderId="33" xfId="0" applyFill="1" applyBorder="1"/>
    <xf numFmtId="0" fontId="0" fillId="2" borderId="42" xfId="0" applyFill="1" applyBorder="1"/>
    <xf numFmtId="0" fontId="0" fillId="2" borderId="43" xfId="0" applyFill="1" applyBorder="1"/>
    <xf numFmtId="0" fontId="0" fillId="2" borderId="44" xfId="0" applyFill="1" applyBorder="1"/>
    <xf numFmtId="0" fontId="0" fillId="0" borderId="33" xfId="0" applyBorder="1"/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" fontId="0" fillId="2" borderId="35" xfId="0" applyNumberFormat="1" applyFill="1" applyBorder="1" applyAlignment="1">
      <alignment horizontal="center"/>
    </xf>
    <xf numFmtId="16" fontId="0" fillId="0" borderId="45" xfId="0" applyNumberFormat="1" applyBorder="1" applyAlignment="1">
      <alignment horizontal="center"/>
    </xf>
    <xf numFmtId="0" fontId="0" fillId="3" borderId="0" xfId="0" applyFill="1"/>
    <xf numFmtId="0" fontId="0" fillId="2" borderId="3" xfId="0" applyFill="1" applyBorder="1" applyAlignment="1">
      <alignment horizontal="center" vertical="center"/>
    </xf>
    <xf numFmtId="16" fontId="0" fillId="2" borderId="34" xfId="0" applyNumberFormat="1" applyFill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16" fontId="0" fillId="0" borderId="52" xfId="0" applyNumberFormat="1" applyBorder="1" applyAlignment="1">
      <alignment horizontal="center"/>
    </xf>
    <xf numFmtId="0" fontId="0" fillId="0" borderId="53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6" xfId="0" applyBorder="1"/>
    <xf numFmtId="0" fontId="0" fillId="0" borderId="9" xfId="0" applyBorder="1"/>
    <xf numFmtId="0" fontId="0" fillId="0" borderId="3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3" borderId="1" xfId="0" applyFill="1" applyBorder="1"/>
    <xf numFmtId="0" fontId="0" fillId="0" borderId="0" xfId="0" applyAlignment="1">
      <alignment horizontal="right"/>
    </xf>
    <xf numFmtId="0" fontId="0" fillId="0" borderId="58" xfId="0" applyBorder="1"/>
    <xf numFmtId="0" fontId="0" fillId="0" borderId="59" xfId="0" applyBorder="1" applyAlignment="1">
      <alignment horizontal="right"/>
    </xf>
    <xf numFmtId="0" fontId="0" fillId="0" borderId="58" xfId="0" applyBorder="1" applyAlignment="1">
      <alignment horizontal="center"/>
    </xf>
    <xf numFmtId="0" fontId="0" fillId="0" borderId="54" xfId="0" applyBorder="1" applyAlignment="1">
      <alignment horizontal="right"/>
    </xf>
    <xf numFmtId="0" fontId="0" fillId="0" borderId="55" xfId="0" applyBorder="1" applyAlignment="1">
      <alignment horizontal="right"/>
    </xf>
    <xf numFmtId="0" fontId="0" fillId="0" borderId="56" xfId="0" applyBorder="1" applyAlignment="1">
      <alignment horizontal="right"/>
    </xf>
    <xf numFmtId="49" fontId="0" fillId="3" borderId="5" xfId="0" applyNumberFormat="1" applyFill="1" applyBorder="1" applyAlignment="1">
      <alignment horizontal="center" vertical="center"/>
    </xf>
    <xf numFmtId="0" fontId="0" fillId="3" borderId="6" xfId="0" applyFill="1" applyBorder="1"/>
    <xf numFmtId="0" fontId="0" fillId="3" borderId="7" xfId="0" applyFill="1" applyBorder="1"/>
    <xf numFmtId="0" fontId="0" fillId="3" borderId="30" xfId="0" applyFill="1" applyBorder="1"/>
    <xf numFmtId="0" fontId="0" fillId="2" borderId="0" xfId="0" applyFill="1"/>
    <xf numFmtId="16" fontId="0" fillId="2" borderId="0" xfId="0" applyNumberFormat="1" applyFill="1"/>
    <xf numFmtId="0" fontId="0" fillId="2" borderId="55" xfId="0" applyFill="1" applyBorder="1"/>
    <xf numFmtId="0" fontId="3" fillId="0" borderId="0" xfId="0" applyFont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0" fillId="2" borderId="56" xfId="0" applyFill="1" applyBorder="1"/>
    <xf numFmtId="0" fontId="0" fillId="2" borderId="9" xfId="0" applyFill="1" applyBorder="1" applyAlignment="1">
      <alignment horizontal="center" vertical="center"/>
    </xf>
    <xf numFmtId="16" fontId="0" fillId="2" borderId="37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297180</xdr:colOff>
      <xdr:row>0</xdr:row>
      <xdr:rowOff>7620</xdr:rowOff>
    </xdr:from>
    <xdr:to>
      <xdr:col>12</xdr:col>
      <xdr:colOff>61369</xdr:colOff>
      <xdr:row>25</xdr:row>
      <xdr:rowOff>109251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11743B6-6715-B111-0C28-9683529D5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71120" y="7620"/>
          <a:ext cx="2934109" cy="47726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</xdr:col>
      <xdr:colOff>2274102</xdr:colOff>
      <xdr:row>8</xdr:row>
      <xdr:rowOff>64932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62FA0A-8CC1-1E76-CF94-9B17F5B41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5760"/>
          <a:ext cx="4439270" cy="11622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2</xdr:col>
      <xdr:colOff>141292</xdr:colOff>
      <xdr:row>17</xdr:row>
      <xdr:rowOff>71219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EF50D63-9738-816C-1B22-9637B19B4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28800"/>
          <a:ext cx="2305372" cy="1362265"/>
        </a:xfrm>
        <a:prstGeom prst="rect">
          <a:avLst/>
        </a:prstGeom>
      </xdr:spPr>
    </xdr:pic>
    <xdr:clientData/>
  </xdr:twoCellAnchor>
  <xdr:twoCellAnchor editAs="oneCell">
    <xdr:from>
      <xdr:col>6</xdr:col>
      <xdr:colOff>1854201</xdr:colOff>
      <xdr:row>21</xdr:row>
      <xdr:rowOff>59265</xdr:rowOff>
    </xdr:from>
    <xdr:to>
      <xdr:col>10</xdr:col>
      <xdr:colOff>1564770</xdr:colOff>
      <xdr:row>33</xdr:row>
      <xdr:rowOff>55349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EB93E53-8AB3-CF38-0884-810B9A5C7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56134" y="4030132"/>
          <a:ext cx="3969303" cy="22905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13</xdr:col>
      <xdr:colOff>724780</xdr:colOff>
      <xdr:row>53</xdr:row>
      <xdr:rowOff>156119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CAF1B9E-F037-1E90-A595-ED813F66D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37600" y="6203950"/>
          <a:ext cx="6306430" cy="389626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57</xdr:row>
      <xdr:rowOff>0</xdr:rowOff>
    </xdr:from>
    <xdr:to>
      <xdr:col>9</xdr:col>
      <xdr:colOff>432082</xdr:colOff>
      <xdr:row>67</xdr:row>
      <xdr:rowOff>63769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E67A3E1-0E66-AC6E-AC33-0015DB02B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37600" y="10318750"/>
          <a:ext cx="2019582" cy="19243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85C8-DA7D-42D7-9F11-0B726156BA9D}">
  <dimension ref="A1:D34"/>
  <sheetViews>
    <sheetView zoomScale="110" zoomScaleNormal="110" workbookViewId="0">
      <selection activeCell="G15" sqref="G15"/>
    </sheetView>
  </sheetViews>
  <sheetFormatPr baseColWidth="10" defaultRowHeight="15" x14ac:dyDescent="0.25"/>
  <cols>
    <col min="1" max="1" width="7.85546875" style="7" bestFit="1" customWidth="1"/>
    <col min="2" max="2" width="15.5703125" customWidth="1"/>
    <col min="3" max="3" width="38.5703125" bestFit="1" customWidth="1"/>
    <col min="4" max="4" width="28" style="14" bestFit="1" customWidth="1"/>
    <col min="5" max="5" width="2.140625" customWidth="1"/>
  </cols>
  <sheetData>
    <row r="1" spans="1:4" ht="16.5" thickTop="1" thickBot="1" x14ac:dyDescent="0.3">
      <c r="A1" s="1" t="s">
        <v>0</v>
      </c>
    </row>
    <row r="2" spans="1:4" ht="15.75" thickTop="1" x14ac:dyDescent="0.25">
      <c r="A2" s="8" t="s">
        <v>1</v>
      </c>
      <c r="B2" s="9" t="s">
        <v>10</v>
      </c>
      <c r="C2" s="10" t="s">
        <v>2</v>
      </c>
    </row>
    <row r="3" spans="1:4" x14ac:dyDescent="0.25">
      <c r="A3" s="8" t="s">
        <v>3</v>
      </c>
      <c r="B3" s="9" t="s">
        <v>10</v>
      </c>
      <c r="C3" s="10" t="s">
        <v>4</v>
      </c>
    </row>
    <row r="4" spans="1:4" x14ac:dyDescent="0.25">
      <c r="A4" s="8" t="s">
        <v>5</v>
      </c>
      <c r="B4" s="9" t="s">
        <v>10</v>
      </c>
      <c r="C4" s="10" t="s">
        <v>6</v>
      </c>
    </row>
    <row r="5" spans="1:4" x14ac:dyDescent="0.25">
      <c r="A5" s="8" t="s">
        <v>7</v>
      </c>
      <c r="B5" s="9" t="s">
        <v>10</v>
      </c>
      <c r="C5" s="10" t="s">
        <v>8</v>
      </c>
      <c r="D5"/>
    </row>
    <row r="6" spans="1:4" ht="15.75" thickBot="1" x14ac:dyDescent="0.3">
      <c r="A6" s="4" t="s">
        <v>9</v>
      </c>
      <c r="B6" s="5" t="s">
        <v>10</v>
      </c>
      <c r="C6" s="6" t="s">
        <v>11</v>
      </c>
      <c r="D6" s="14" t="s">
        <v>119</v>
      </c>
    </row>
    <row r="7" spans="1:4" ht="16.5" thickTop="1" thickBot="1" x14ac:dyDescent="0.3"/>
    <row r="8" spans="1:4" ht="16.5" thickTop="1" thickBot="1" x14ac:dyDescent="0.3">
      <c r="A8" s="1" t="s">
        <v>12</v>
      </c>
    </row>
    <row r="9" spans="1:4" ht="15.75" thickTop="1" x14ac:dyDescent="0.25">
      <c r="A9" s="11" t="s">
        <v>13</v>
      </c>
      <c r="B9" s="9" t="s">
        <v>45</v>
      </c>
      <c r="C9" s="15" t="s">
        <v>14</v>
      </c>
    </row>
    <row r="10" spans="1:4" x14ac:dyDescent="0.25">
      <c r="A10" s="8" t="s">
        <v>15</v>
      </c>
      <c r="B10" s="9" t="s">
        <v>10</v>
      </c>
      <c r="C10" s="10" t="s">
        <v>16</v>
      </c>
    </row>
    <row r="11" spans="1:4" x14ac:dyDescent="0.25">
      <c r="A11" s="8" t="s">
        <v>17</v>
      </c>
      <c r="B11" s="9" t="s">
        <v>10</v>
      </c>
      <c r="C11" s="10" t="s">
        <v>18</v>
      </c>
      <c r="D11" s="16" t="s">
        <v>64</v>
      </c>
    </row>
    <row r="12" spans="1:4" x14ac:dyDescent="0.25">
      <c r="A12" s="8" t="s">
        <v>19</v>
      </c>
      <c r="B12" s="9" t="s">
        <v>10</v>
      </c>
      <c r="C12" s="10" t="s">
        <v>20</v>
      </c>
    </row>
    <row r="13" spans="1:4" x14ac:dyDescent="0.25">
      <c r="A13" s="8" t="s">
        <v>21</v>
      </c>
      <c r="B13" s="9" t="s">
        <v>10</v>
      </c>
      <c r="C13" s="10" t="s">
        <v>22</v>
      </c>
    </row>
    <row r="14" spans="1:4" x14ac:dyDescent="0.25">
      <c r="A14" s="8" t="s">
        <v>23</v>
      </c>
      <c r="B14" s="9" t="s">
        <v>10</v>
      </c>
      <c r="C14" s="10" t="s">
        <v>24</v>
      </c>
    </row>
    <row r="15" spans="1:4" x14ac:dyDescent="0.25">
      <c r="A15" s="8" t="s">
        <v>25</v>
      </c>
      <c r="B15" s="9" t="s">
        <v>10</v>
      </c>
      <c r="C15" s="10" t="s">
        <v>26</v>
      </c>
    </row>
    <row r="16" spans="1:4" x14ac:dyDescent="0.25">
      <c r="A16" s="8" t="s">
        <v>27</v>
      </c>
      <c r="B16" s="9" t="s">
        <v>10</v>
      </c>
      <c r="C16" s="10" t="s">
        <v>28</v>
      </c>
    </row>
    <row r="17" spans="1:4" x14ac:dyDescent="0.25">
      <c r="A17" s="8" t="s">
        <v>29</v>
      </c>
      <c r="B17" s="9" t="s">
        <v>10</v>
      </c>
      <c r="C17" s="10" t="s">
        <v>28</v>
      </c>
    </row>
    <row r="18" spans="1:4" ht="15.75" thickBot="1" x14ac:dyDescent="0.3">
      <c r="A18" s="4" t="s">
        <v>30</v>
      </c>
      <c r="B18" s="5" t="s">
        <v>10</v>
      </c>
      <c r="C18" s="6" t="s">
        <v>28</v>
      </c>
    </row>
    <row r="19" spans="1:4" ht="15.75" thickTop="1" x14ac:dyDescent="0.25"/>
    <row r="20" spans="1:4" ht="15.75" thickBot="1" x14ac:dyDescent="0.3"/>
    <row r="21" spans="1:4" ht="16.5" thickTop="1" thickBot="1" x14ac:dyDescent="0.3">
      <c r="A21" s="1" t="s">
        <v>31</v>
      </c>
    </row>
    <row r="22" spans="1:4" ht="15.75" thickTop="1" x14ac:dyDescent="0.25">
      <c r="A22" s="8" t="s">
        <v>13</v>
      </c>
      <c r="B22" s="9" t="s">
        <v>10</v>
      </c>
      <c r="C22" s="10" t="s">
        <v>32</v>
      </c>
      <c r="D22" s="16" t="s">
        <v>64</v>
      </c>
    </row>
    <row r="23" spans="1:4" x14ac:dyDescent="0.25">
      <c r="A23" s="8" t="s">
        <v>15</v>
      </c>
      <c r="B23" s="9" t="s">
        <v>10</v>
      </c>
      <c r="C23" s="10" t="s">
        <v>33</v>
      </c>
      <c r="D23" s="16" t="s">
        <v>64</v>
      </c>
    </row>
    <row r="24" spans="1:4" x14ac:dyDescent="0.25">
      <c r="A24" s="8" t="s">
        <v>17</v>
      </c>
      <c r="B24" s="9" t="s">
        <v>10</v>
      </c>
      <c r="C24" s="10" t="s">
        <v>34</v>
      </c>
      <c r="D24" s="16" t="s">
        <v>64</v>
      </c>
    </row>
    <row r="25" spans="1:4" x14ac:dyDescent="0.25">
      <c r="A25" s="8" t="s">
        <v>19</v>
      </c>
      <c r="B25" s="9" t="s">
        <v>10</v>
      </c>
      <c r="C25" s="10" t="s">
        <v>65</v>
      </c>
      <c r="D25" s="16" t="s">
        <v>64</v>
      </c>
    </row>
    <row r="26" spans="1:4" x14ac:dyDescent="0.25">
      <c r="A26" s="8" t="s">
        <v>21</v>
      </c>
      <c r="B26" s="9" t="s">
        <v>45</v>
      </c>
      <c r="C26" s="10" t="s">
        <v>35</v>
      </c>
    </row>
    <row r="27" spans="1:4" x14ac:dyDescent="0.25">
      <c r="A27" s="8" t="s">
        <v>23</v>
      </c>
      <c r="B27" s="9" t="s">
        <v>10</v>
      </c>
      <c r="C27" s="10" t="s">
        <v>36</v>
      </c>
    </row>
    <row r="28" spans="1:4" x14ac:dyDescent="0.25">
      <c r="A28" s="8" t="s">
        <v>25</v>
      </c>
      <c r="B28" s="9" t="s">
        <v>10</v>
      </c>
      <c r="C28" s="10" t="s">
        <v>37</v>
      </c>
      <c r="D28"/>
    </row>
    <row r="29" spans="1:4" x14ac:dyDescent="0.25">
      <c r="A29" s="8" t="s">
        <v>27</v>
      </c>
      <c r="B29" s="9" t="s">
        <v>10</v>
      </c>
      <c r="C29" s="10" t="s">
        <v>38</v>
      </c>
    </row>
    <row r="30" spans="1:4" x14ac:dyDescent="0.25">
      <c r="A30" s="8" t="s">
        <v>29</v>
      </c>
      <c r="B30" s="9" t="s">
        <v>10</v>
      </c>
      <c r="C30" s="10" t="s">
        <v>39</v>
      </c>
    </row>
    <row r="31" spans="1:4" x14ac:dyDescent="0.25">
      <c r="A31" s="8" t="s">
        <v>30</v>
      </c>
      <c r="B31" s="9" t="s">
        <v>10</v>
      </c>
      <c r="C31" s="10" t="s">
        <v>40</v>
      </c>
    </row>
    <row r="32" spans="1:4" x14ac:dyDescent="0.25">
      <c r="A32" s="8" t="s">
        <v>41</v>
      </c>
      <c r="B32" s="9" t="s">
        <v>10</v>
      </c>
      <c r="C32" s="10" t="s">
        <v>42</v>
      </c>
    </row>
    <row r="33" spans="1:3" ht="15.75" thickBot="1" x14ac:dyDescent="0.3">
      <c r="A33" s="4" t="s">
        <v>43</v>
      </c>
      <c r="B33" s="5" t="s">
        <v>10</v>
      </c>
      <c r="C33" s="6" t="s">
        <v>44</v>
      </c>
    </row>
    <row r="34" spans="1:3" ht="15.75" thickTop="1" x14ac:dyDescent="0.25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1AC98-DBD3-4E93-B938-F2C6F25574C7}">
  <dimension ref="A1:F26"/>
  <sheetViews>
    <sheetView showGridLines="0" tabSelected="1" zoomScaleNormal="100" workbookViewId="0">
      <selection activeCell="H10" sqref="H10"/>
    </sheetView>
  </sheetViews>
  <sheetFormatPr baseColWidth="10" defaultRowHeight="15" x14ac:dyDescent="0.25"/>
  <cols>
    <col min="1" max="1" width="7.85546875" style="7" bestFit="1" customWidth="1"/>
    <col min="2" max="2" width="15.5703125" customWidth="1"/>
    <col min="3" max="3" width="40.28515625" bestFit="1" customWidth="1"/>
    <col min="4" max="4" width="12.7109375" style="17" bestFit="1" customWidth="1"/>
    <col min="5" max="5" width="14.28515625" style="17" customWidth="1"/>
  </cols>
  <sheetData>
    <row r="1" spans="1:6" ht="15.75" thickBot="1" x14ac:dyDescent="0.3"/>
    <row r="2" spans="1:6" ht="16.5" thickTop="1" thickBot="1" x14ac:dyDescent="0.3">
      <c r="A2" s="1" t="s">
        <v>12</v>
      </c>
      <c r="D2" s="17" t="s">
        <v>66</v>
      </c>
      <c r="E2" s="17" t="s">
        <v>67</v>
      </c>
    </row>
    <row r="3" spans="1:6" ht="15.75" thickTop="1" x14ac:dyDescent="0.25">
      <c r="A3" s="8" t="s">
        <v>13</v>
      </c>
      <c r="B3" s="9" t="s">
        <v>10</v>
      </c>
      <c r="C3" s="69" t="s">
        <v>57</v>
      </c>
      <c r="D3" s="24" t="s">
        <v>214</v>
      </c>
      <c r="E3" s="24" t="s">
        <v>212</v>
      </c>
    </row>
    <row r="4" spans="1:6" x14ac:dyDescent="0.25">
      <c r="A4" s="8" t="s">
        <v>15</v>
      </c>
      <c r="B4" s="9" t="s">
        <v>10</v>
      </c>
      <c r="C4" s="69" t="s">
        <v>57</v>
      </c>
      <c r="D4" s="24" t="s">
        <v>215</v>
      </c>
      <c r="E4" s="24" t="s">
        <v>213</v>
      </c>
    </row>
    <row r="5" spans="1:6" x14ac:dyDescent="0.25">
      <c r="A5" s="8" t="s">
        <v>17</v>
      </c>
      <c r="B5" s="9" t="s">
        <v>10</v>
      </c>
      <c r="C5" s="69" t="s">
        <v>55</v>
      </c>
      <c r="D5" s="24" t="s">
        <v>216</v>
      </c>
      <c r="E5" s="24" t="s">
        <v>217</v>
      </c>
    </row>
    <row r="6" spans="1:6" x14ac:dyDescent="0.25">
      <c r="A6" s="8" t="s">
        <v>19</v>
      </c>
      <c r="B6" s="9" t="s">
        <v>10</v>
      </c>
      <c r="C6" s="69" t="s">
        <v>58</v>
      </c>
      <c r="D6" s="24" t="s">
        <v>227</v>
      </c>
      <c r="E6" s="24" t="s">
        <v>246</v>
      </c>
    </row>
    <row r="7" spans="1:6" x14ac:dyDescent="0.25">
      <c r="A7" s="8" t="s">
        <v>21</v>
      </c>
      <c r="B7" s="9" t="s">
        <v>10</v>
      </c>
      <c r="C7" s="69" t="s">
        <v>59</v>
      </c>
      <c r="D7" s="24" t="s">
        <v>218</v>
      </c>
      <c r="E7" s="24" t="s">
        <v>219</v>
      </c>
    </row>
    <row r="8" spans="1:6" x14ac:dyDescent="0.25">
      <c r="A8" s="8" t="s">
        <v>23</v>
      </c>
      <c r="B8" s="9" t="s">
        <v>10</v>
      </c>
      <c r="C8" s="69" t="s">
        <v>60</v>
      </c>
      <c r="D8" s="24" t="s">
        <v>220</v>
      </c>
      <c r="E8" s="24" t="s">
        <v>221</v>
      </c>
    </row>
    <row r="9" spans="1:6" x14ac:dyDescent="0.25">
      <c r="A9" s="8" t="s">
        <v>25</v>
      </c>
      <c r="B9" s="9" t="s">
        <v>10</v>
      </c>
      <c r="C9" s="69" t="s">
        <v>61</v>
      </c>
      <c r="D9" s="24" t="s">
        <v>223</v>
      </c>
      <c r="E9" s="24" t="s">
        <v>247</v>
      </c>
    </row>
    <row r="10" spans="1:6" x14ac:dyDescent="0.25">
      <c r="A10" s="8" t="s">
        <v>27</v>
      </c>
      <c r="B10" s="9" t="s">
        <v>10</v>
      </c>
      <c r="C10" s="69" t="s">
        <v>61</v>
      </c>
      <c r="D10" s="24" t="s">
        <v>224</v>
      </c>
      <c r="E10" s="24" t="s">
        <v>248</v>
      </c>
    </row>
    <row r="11" spans="1:6" x14ac:dyDescent="0.25">
      <c r="A11" s="8" t="s">
        <v>29</v>
      </c>
      <c r="B11" s="9" t="s">
        <v>10</v>
      </c>
      <c r="C11" s="69" t="s">
        <v>250</v>
      </c>
      <c r="D11" s="24" t="s">
        <v>225</v>
      </c>
      <c r="E11" s="24" t="s">
        <v>251</v>
      </c>
    </row>
    <row r="12" spans="1:6" ht="15.75" thickBot="1" x14ac:dyDescent="0.3">
      <c r="A12" s="4" t="s">
        <v>30</v>
      </c>
      <c r="B12" s="5" t="s">
        <v>10</v>
      </c>
      <c r="C12" s="70" t="s">
        <v>62</v>
      </c>
      <c r="D12" s="24" t="s">
        <v>226</v>
      </c>
      <c r="E12" s="24" t="s">
        <v>249</v>
      </c>
    </row>
    <row r="13" spans="1:6" ht="15.75" thickTop="1" x14ac:dyDescent="0.25"/>
    <row r="14" spans="1:6" ht="15.75" thickBot="1" x14ac:dyDescent="0.3"/>
    <row r="15" spans="1:6" ht="16.5" thickTop="1" thickBot="1" x14ac:dyDescent="0.3">
      <c r="A15" s="1" t="s">
        <v>31</v>
      </c>
    </row>
    <row r="16" spans="1:6" ht="15.75" thickTop="1" x14ac:dyDescent="0.25">
      <c r="A16" s="8" t="s">
        <v>13</v>
      </c>
      <c r="B16" s="9" t="s">
        <v>10</v>
      </c>
      <c r="C16" s="69" t="s">
        <v>47</v>
      </c>
      <c r="D16" s="24" t="s">
        <v>240</v>
      </c>
      <c r="E16" s="24" t="s">
        <v>241</v>
      </c>
      <c r="F16" t="s">
        <v>177</v>
      </c>
    </row>
    <row r="17" spans="1:6" x14ac:dyDescent="0.25">
      <c r="A17" s="8" t="s">
        <v>15</v>
      </c>
      <c r="B17" s="9" t="s">
        <v>10</v>
      </c>
      <c r="C17" s="69" t="s">
        <v>48</v>
      </c>
      <c r="D17" s="24" t="s">
        <v>242</v>
      </c>
      <c r="E17" s="24" t="s">
        <v>243</v>
      </c>
    </row>
    <row r="18" spans="1:6" x14ac:dyDescent="0.25">
      <c r="A18" s="8" t="s">
        <v>17</v>
      </c>
      <c r="B18" s="9" t="s">
        <v>10</v>
      </c>
      <c r="C18" s="69" t="s">
        <v>49</v>
      </c>
      <c r="D18" s="24" t="s">
        <v>228</v>
      </c>
      <c r="E18" s="24" t="s">
        <v>244</v>
      </c>
    </row>
    <row r="19" spans="1:6" x14ac:dyDescent="0.25">
      <c r="A19" s="8" t="s">
        <v>19</v>
      </c>
      <c r="B19" s="9" t="s">
        <v>63</v>
      </c>
      <c r="C19" s="69" t="s">
        <v>50</v>
      </c>
      <c r="D19" s="24" t="s">
        <v>230</v>
      </c>
      <c r="E19" s="24" t="s">
        <v>231</v>
      </c>
    </row>
    <row r="20" spans="1:6" x14ac:dyDescent="0.25">
      <c r="A20" s="8" t="s">
        <v>21</v>
      </c>
      <c r="B20" s="9" t="s">
        <v>63</v>
      </c>
      <c r="C20" s="69" t="s">
        <v>51</v>
      </c>
      <c r="D20" s="24" t="s">
        <v>232</v>
      </c>
      <c r="E20" s="24" t="s">
        <v>233</v>
      </c>
    </row>
    <row r="21" spans="1:6" x14ac:dyDescent="0.25">
      <c r="A21" s="8" t="s">
        <v>23</v>
      </c>
      <c r="B21" s="9" t="s">
        <v>10</v>
      </c>
      <c r="C21" s="69" t="s">
        <v>52</v>
      </c>
      <c r="D21" s="24" t="s">
        <v>234</v>
      </c>
      <c r="E21" s="24" t="s">
        <v>235</v>
      </c>
    </row>
    <row r="22" spans="1:6" x14ac:dyDescent="0.25">
      <c r="A22" s="8" t="s">
        <v>25</v>
      </c>
      <c r="B22" s="9" t="s">
        <v>10</v>
      </c>
      <c r="C22" s="69" t="s">
        <v>53</v>
      </c>
      <c r="D22" s="24" t="s">
        <v>236</v>
      </c>
      <c r="E22" s="24" t="s">
        <v>237</v>
      </c>
    </row>
    <row r="23" spans="1:6" x14ac:dyDescent="0.25">
      <c r="A23" s="8" t="s">
        <v>27</v>
      </c>
      <c r="B23" s="9" t="s">
        <v>10</v>
      </c>
      <c r="C23" s="69" t="s">
        <v>54</v>
      </c>
      <c r="D23" s="24" t="s">
        <v>238</v>
      </c>
      <c r="E23" s="24" t="s">
        <v>239</v>
      </c>
    </row>
    <row r="24" spans="1:6" x14ac:dyDescent="0.25">
      <c r="A24" s="8" t="s">
        <v>29</v>
      </c>
      <c r="B24" s="9" t="s">
        <v>10</v>
      </c>
      <c r="C24" s="69" t="s">
        <v>55</v>
      </c>
      <c r="D24" s="24" t="s">
        <v>216</v>
      </c>
      <c r="E24" s="24" t="s">
        <v>217</v>
      </c>
      <c r="F24" t="s">
        <v>222</v>
      </c>
    </row>
    <row r="25" spans="1:6" ht="15.75" thickBot="1" x14ac:dyDescent="0.3">
      <c r="A25" s="4" t="s">
        <v>30</v>
      </c>
      <c r="B25" s="5" t="s">
        <v>10</v>
      </c>
      <c r="C25" s="70" t="s">
        <v>56</v>
      </c>
      <c r="D25" s="24" t="s">
        <v>229</v>
      </c>
      <c r="E25" s="24" t="s">
        <v>245</v>
      </c>
    </row>
    <row r="26" spans="1:6" ht="15.75" thickTop="1" x14ac:dyDescent="0.25"/>
  </sheetData>
  <phoneticPr fontId="1" type="noConversion"/>
  <pageMargins left="0.7" right="0.7" top="0.75" bottom="0.75" header="0.3" footer="0.3"/>
  <pageSetup paperSize="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DD345-F7C2-4483-8570-5717E72AC9D6}">
  <dimension ref="A1:G13"/>
  <sheetViews>
    <sheetView workbookViewId="0">
      <selection activeCell="D17" sqref="D17"/>
    </sheetView>
  </sheetViews>
  <sheetFormatPr baseColWidth="10" defaultRowHeight="15" x14ac:dyDescent="0.25"/>
  <cols>
    <col min="2" max="2" width="18.7109375" hidden="1" customWidth="1"/>
    <col min="3" max="3" width="18.7109375" customWidth="1"/>
    <col min="4" max="4" width="35.42578125" bestFit="1" customWidth="1"/>
  </cols>
  <sheetData>
    <row r="1" spans="1:7" ht="16.5" thickTop="1" thickBot="1" x14ac:dyDescent="0.3">
      <c r="A1" s="35" t="s">
        <v>0</v>
      </c>
      <c r="B1" s="38" t="s">
        <v>118</v>
      </c>
      <c r="C1" s="17"/>
      <c r="E1" s="35" t="s">
        <v>206</v>
      </c>
      <c r="F1" s="38" t="s">
        <v>67</v>
      </c>
    </row>
    <row r="2" spans="1:7" ht="15.75" thickTop="1" x14ac:dyDescent="0.25">
      <c r="A2" s="11" t="s">
        <v>95</v>
      </c>
      <c r="B2" s="90"/>
      <c r="C2" s="99" t="s">
        <v>10</v>
      </c>
      <c r="D2" s="15" t="s">
        <v>104</v>
      </c>
      <c r="E2" s="11" t="s">
        <v>176</v>
      </c>
      <c r="F2" s="36"/>
    </row>
    <row r="3" spans="1:7" x14ac:dyDescent="0.25">
      <c r="A3" s="8" t="s">
        <v>96</v>
      </c>
      <c r="B3" s="44"/>
      <c r="C3" s="98" t="s">
        <v>10</v>
      </c>
      <c r="D3" s="10" t="s">
        <v>105</v>
      </c>
      <c r="E3" s="8" t="s">
        <v>210</v>
      </c>
      <c r="F3" s="24"/>
    </row>
    <row r="4" spans="1:7" x14ac:dyDescent="0.25">
      <c r="A4" s="3" t="s">
        <v>97</v>
      </c>
      <c r="B4" s="24"/>
      <c r="C4" s="53" t="s">
        <v>132</v>
      </c>
      <c r="D4" s="13" t="s">
        <v>106</v>
      </c>
      <c r="E4" s="3"/>
      <c r="F4" s="24"/>
    </row>
    <row r="5" spans="1:7" x14ac:dyDescent="0.25">
      <c r="A5" s="3" t="s">
        <v>98</v>
      </c>
      <c r="B5" s="24"/>
      <c r="C5" s="53" t="s">
        <v>132</v>
      </c>
      <c r="D5" s="13" t="s">
        <v>107</v>
      </c>
      <c r="E5" s="3"/>
      <c r="F5" s="24"/>
    </row>
    <row r="6" spans="1:7" ht="15.75" thickBot="1" x14ac:dyDescent="0.3">
      <c r="A6" s="8" t="s">
        <v>99</v>
      </c>
      <c r="B6" s="44"/>
      <c r="C6" s="98" t="s">
        <v>132</v>
      </c>
      <c r="D6" s="10" t="s">
        <v>108</v>
      </c>
      <c r="E6" s="8" t="s">
        <v>208</v>
      </c>
      <c r="F6" s="24"/>
    </row>
    <row r="7" spans="1:7" ht="15.75" thickTop="1" x14ac:dyDescent="0.25">
      <c r="A7" s="2">
        <v>11</v>
      </c>
      <c r="B7" s="36"/>
      <c r="C7" s="52" t="s">
        <v>132</v>
      </c>
      <c r="D7" s="12" t="s">
        <v>87</v>
      </c>
      <c r="E7" s="2"/>
      <c r="F7" s="36"/>
    </row>
    <row r="8" spans="1:7" x14ac:dyDescent="0.25">
      <c r="A8" s="8">
        <v>12</v>
      </c>
      <c r="B8" s="44"/>
      <c r="C8" s="98" t="s">
        <v>132</v>
      </c>
      <c r="D8" s="10" t="s">
        <v>88</v>
      </c>
      <c r="E8" s="8" t="s">
        <v>211</v>
      </c>
      <c r="F8" s="24"/>
    </row>
    <row r="9" spans="1:7" x14ac:dyDescent="0.25">
      <c r="A9" s="3" t="s">
        <v>100</v>
      </c>
      <c r="B9" s="24"/>
      <c r="C9" s="53" t="s">
        <v>132</v>
      </c>
      <c r="D9" s="13" t="s">
        <v>109</v>
      </c>
      <c r="E9" s="3"/>
      <c r="F9" s="24"/>
    </row>
    <row r="10" spans="1:7" x14ac:dyDescent="0.25">
      <c r="A10" s="8" t="s">
        <v>101</v>
      </c>
      <c r="B10" s="44"/>
      <c r="C10" s="98" t="s">
        <v>132</v>
      </c>
      <c r="D10" s="10" t="s">
        <v>110</v>
      </c>
      <c r="E10" s="8" t="s">
        <v>211</v>
      </c>
      <c r="F10" s="24"/>
    </row>
    <row r="11" spans="1:7" x14ac:dyDescent="0.25">
      <c r="A11" s="8" t="s">
        <v>102</v>
      </c>
      <c r="B11" s="44"/>
      <c r="C11" s="98" t="s">
        <v>10</v>
      </c>
      <c r="D11" s="10" t="s">
        <v>112</v>
      </c>
      <c r="E11" s="8" t="s">
        <v>196</v>
      </c>
      <c r="F11" s="24"/>
    </row>
    <row r="12" spans="1:7" ht="15.75" thickBot="1" x14ac:dyDescent="0.3">
      <c r="A12" s="33" t="s">
        <v>103</v>
      </c>
      <c r="B12" s="37"/>
      <c r="C12" s="54" t="s">
        <v>132</v>
      </c>
      <c r="D12" s="34" t="s">
        <v>111</v>
      </c>
      <c r="E12" s="33"/>
      <c r="F12" s="37"/>
      <c r="G12" t="s">
        <v>46</v>
      </c>
    </row>
    <row r="13" spans="1:7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CCA8-C476-4FA8-BE3B-A0186ED84098}">
  <dimension ref="A1:O30"/>
  <sheetViews>
    <sheetView zoomScaleNormal="100" workbookViewId="0">
      <selection activeCell="I1" sqref="I1:I1048576"/>
    </sheetView>
  </sheetViews>
  <sheetFormatPr baseColWidth="10" defaultRowHeight="15" x14ac:dyDescent="0.25"/>
  <cols>
    <col min="3" max="3" width="33.28515625" customWidth="1"/>
    <col min="4" max="4" width="8.85546875" style="55" customWidth="1"/>
    <col min="5" max="7" width="0" hidden="1" customWidth="1"/>
    <col min="14" max="14" width="26.42578125" bestFit="1" customWidth="1"/>
  </cols>
  <sheetData>
    <row r="1" spans="1:15" ht="16.5" thickTop="1" thickBot="1" x14ac:dyDescent="0.3">
      <c r="A1" s="35" t="s">
        <v>70</v>
      </c>
      <c r="B1" s="38" t="s">
        <v>79</v>
      </c>
      <c r="D1" s="55" t="s">
        <v>133</v>
      </c>
      <c r="E1" s="30" t="s">
        <v>66</v>
      </c>
      <c r="F1" s="31" t="s">
        <v>67</v>
      </c>
      <c r="G1" s="32" t="s">
        <v>68</v>
      </c>
    </row>
    <row r="2" spans="1:15" ht="15.75" thickTop="1" x14ac:dyDescent="0.25">
      <c r="A2" s="11" t="s">
        <v>13</v>
      </c>
      <c r="B2" s="90" t="s">
        <v>10</v>
      </c>
      <c r="C2" s="15" t="s">
        <v>71</v>
      </c>
      <c r="D2" s="91">
        <v>45936</v>
      </c>
      <c r="E2" s="20" t="s">
        <v>178</v>
      </c>
      <c r="F2" s="21"/>
      <c r="G2" s="22"/>
      <c r="H2" s="119" t="s">
        <v>177</v>
      </c>
      <c r="N2" s="15" t="s">
        <v>71</v>
      </c>
      <c r="O2" t="s">
        <v>177</v>
      </c>
    </row>
    <row r="3" spans="1:15" x14ac:dyDescent="0.25">
      <c r="A3" s="8" t="s">
        <v>15</v>
      </c>
      <c r="B3" s="44" t="s">
        <v>10</v>
      </c>
      <c r="C3" s="10" t="s">
        <v>72</v>
      </c>
      <c r="D3" s="87">
        <v>45910</v>
      </c>
      <c r="E3" s="23" t="s">
        <v>179</v>
      </c>
      <c r="F3" s="24"/>
      <c r="G3" s="25"/>
      <c r="N3" s="10" t="s">
        <v>130</v>
      </c>
      <c r="O3" t="s">
        <v>177</v>
      </c>
    </row>
    <row r="4" spans="1:15" x14ac:dyDescent="0.25">
      <c r="A4" s="8" t="s">
        <v>17</v>
      </c>
      <c r="B4" s="44" t="s">
        <v>10</v>
      </c>
      <c r="C4" s="10" t="s">
        <v>129</v>
      </c>
      <c r="D4" s="87">
        <v>45926</v>
      </c>
      <c r="E4" s="23" t="s">
        <v>180</v>
      </c>
      <c r="F4" s="24"/>
      <c r="G4" s="25"/>
      <c r="N4" s="10" t="s">
        <v>128</v>
      </c>
      <c r="O4" t="s">
        <v>177</v>
      </c>
    </row>
    <row r="5" spans="1:15" x14ac:dyDescent="0.25">
      <c r="A5" s="8" t="s">
        <v>19</v>
      </c>
      <c r="B5" s="44" t="s">
        <v>10</v>
      </c>
      <c r="C5" s="10" t="s">
        <v>130</v>
      </c>
      <c r="D5" s="87">
        <v>45930</v>
      </c>
      <c r="E5" s="23" t="s">
        <v>181</v>
      </c>
      <c r="F5" s="24"/>
      <c r="G5" s="25"/>
      <c r="H5" s="119" t="s">
        <v>177</v>
      </c>
      <c r="N5" s="45" t="s">
        <v>127</v>
      </c>
      <c r="O5" t="s">
        <v>177</v>
      </c>
    </row>
    <row r="6" spans="1:15" x14ac:dyDescent="0.25">
      <c r="A6" s="8" t="s">
        <v>21</v>
      </c>
      <c r="B6" s="44" t="s">
        <v>10</v>
      </c>
      <c r="C6" s="10" t="s">
        <v>128</v>
      </c>
      <c r="D6" s="87">
        <v>45932</v>
      </c>
      <c r="E6" s="23" t="s">
        <v>182</v>
      </c>
      <c r="F6" s="24"/>
      <c r="G6" s="25"/>
      <c r="H6" s="119" t="s">
        <v>177</v>
      </c>
      <c r="N6" s="45" t="s">
        <v>126</v>
      </c>
      <c r="O6" t="s">
        <v>177</v>
      </c>
    </row>
    <row r="7" spans="1:15" ht="15.75" thickBot="1" x14ac:dyDescent="0.3">
      <c r="A7" s="8" t="s">
        <v>23</v>
      </c>
      <c r="B7" s="44" t="s">
        <v>10</v>
      </c>
      <c r="C7" s="10" t="s">
        <v>131</v>
      </c>
      <c r="D7" s="87">
        <v>45930</v>
      </c>
      <c r="E7" s="23" t="s">
        <v>183</v>
      </c>
      <c r="F7" s="24"/>
      <c r="G7" s="25"/>
      <c r="N7" s="6" t="s">
        <v>121</v>
      </c>
      <c r="O7" t="s">
        <v>177</v>
      </c>
    </row>
    <row r="8" spans="1:15" ht="15.75" thickTop="1" x14ac:dyDescent="0.25">
      <c r="A8" s="8" t="s">
        <v>25</v>
      </c>
      <c r="B8" s="44" t="s">
        <v>10</v>
      </c>
      <c r="C8" s="10" t="s">
        <v>80</v>
      </c>
      <c r="D8" s="87">
        <v>45909</v>
      </c>
      <c r="E8" s="23" t="s">
        <v>184</v>
      </c>
      <c r="F8" s="24"/>
      <c r="G8" s="25"/>
      <c r="N8" s="48" t="s">
        <v>123</v>
      </c>
      <c r="O8" t="s">
        <v>177</v>
      </c>
    </row>
    <row r="9" spans="1:15" x14ac:dyDescent="0.25">
      <c r="A9" s="8" t="s">
        <v>27</v>
      </c>
      <c r="B9" s="44" t="s">
        <v>10</v>
      </c>
      <c r="C9" s="45" t="s">
        <v>127</v>
      </c>
      <c r="D9" s="56">
        <v>45933</v>
      </c>
      <c r="E9" s="23" t="s">
        <v>185</v>
      </c>
      <c r="F9" s="24"/>
      <c r="G9" s="25"/>
      <c r="H9" s="119" t="s">
        <v>177</v>
      </c>
    </row>
    <row r="10" spans="1:15" x14ac:dyDescent="0.25">
      <c r="A10" s="8" t="s">
        <v>29</v>
      </c>
      <c r="B10" s="44" t="s">
        <v>10</v>
      </c>
      <c r="C10" s="45" t="s">
        <v>126</v>
      </c>
      <c r="D10" s="56">
        <v>45902</v>
      </c>
      <c r="E10" s="23" t="s">
        <v>186</v>
      </c>
      <c r="F10" s="24"/>
      <c r="G10" s="25"/>
      <c r="H10" s="119" t="s">
        <v>177</v>
      </c>
    </row>
    <row r="11" spans="1:15" ht="15.75" thickBot="1" x14ac:dyDescent="0.3">
      <c r="A11" s="4" t="s">
        <v>30</v>
      </c>
      <c r="B11" s="128" t="s">
        <v>10</v>
      </c>
      <c r="C11" s="6" t="s">
        <v>121</v>
      </c>
      <c r="D11" s="57">
        <v>45936</v>
      </c>
      <c r="E11" s="27" t="s">
        <v>187</v>
      </c>
      <c r="F11" s="27"/>
      <c r="G11" s="28"/>
      <c r="H11" s="119" t="s">
        <v>177</v>
      </c>
    </row>
    <row r="12" spans="1:15" ht="16.5" thickTop="1" thickBot="1" x14ac:dyDescent="0.3">
      <c r="B12" s="17"/>
      <c r="E12" s="17"/>
      <c r="F12" s="17"/>
      <c r="G12" s="17"/>
    </row>
    <row r="13" spans="1:15" ht="16.5" thickTop="1" thickBot="1" x14ac:dyDescent="0.3">
      <c r="A13" s="35" t="s">
        <v>12</v>
      </c>
      <c r="B13" s="38"/>
      <c r="E13" s="30" t="s">
        <v>66</v>
      </c>
      <c r="F13" s="31" t="s">
        <v>67</v>
      </c>
      <c r="G13" s="32" t="s">
        <v>68</v>
      </c>
    </row>
    <row r="14" spans="1:15" ht="15.75" thickTop="1" x14ac:dyDescent="0.25">
      <c r="A14" s="11" t="s">
        <v>13</v>
      </c>
      <c r="B14" s="90" t="s">
        <v>10</v>
      </c>
      <c r="C14" s="15" t="s">
        <v>69</v>
      </c>
      <c r="D14" s="91">
        <v>45908</v>
      </c>
      <c r="E14" s="20" t="s">
        <v>187</v>
      </c>
      <c r="F14" s="21"/>
      <c r="G14" s="22"/>
    </row>
    <row r="15" spans="1:15" x14ac:dyDescent="0.25">
      <c r="A15" s="8" t="s">
        <v>15</v>
      </c>
      <c r="B15" s="44" t="s">
        <v>10</v>
      </c>
      <c r="C15" s="10" t="s">
        <v>80</v>
      </c>
      <c r="D15" s="87">
        <v>45908</v>
      </c>
      <c r="E15" s="23" t="s">
        <v>188</v>
      </c>
      <c r="F15" s="24"/>
      <c r="G15" s="25"/>
    </row>
    <row r="16" spans="1:15" x14ac:dyDescent="0.25">
      <c r="A16" s="8" t="s">
        <v>17</v>
      </c>
      <c r="B16" s="44" t="s">
        <v>10</v>
      </c>
      <c r="C16" s="10" t="s">
        <v>80</v>
      </c>
      <c r="D16" s="87">
        <v>45908</v>
      </c>
      <c r="E16" s="23" t="s">
        <v>189</v>
      </c>
      <c r="F16" s="24"/>
      <c r="G16" s="25"/>
    </row>
    <row r="17" spans="1:8" x14ac:dyDescent="0.25">
      <c r="A17" s="8" t="s">
        <v>19</v>
      </c>
      <c r="B17" s="44" t="s">
        <v>10</v>
      </c>
      <c r="C17" s="10" t="s">
        <v>124</v>
      </c>
      <c r="D17" s="87">
        <v>45930</v>
      </c>
      <c r="E17" s="23" t="s">
        <v>190</v>
      </c>
      <c r="F17" s="24"/>
      <c r="G17" s="25"/>
    </row>
    <row r="18" spans="1:8" x14ac:dyDescent="0.25">
      <c r="A18" s="8" t="s">
        <v>21</v>
      </c>
      <c r="B18" s="44" t="s">
        <v>10</v>
      </c>
      <c r="C18" s="10" t="s">
        <v>122</v>
      </c>
      <c r="D18" s="87">
        <v>45904</v>
      </c>
      <c r="E18" s="23" t="s">
        <v>191</v>
      </c>
      <c r="F18" s="24"/>
      <c r="G18" s="25"/>
    </row>
    <row r="19" spans="1:8" x14ac:dyDescent="0.25">
      <c r="A19" s="8" t="s">
        <v>23</v>
      </c>
      <c r="B19" s="44" t="s">
        <v>10</v>
      </c>
      <c r="C19" s="10" t="s">
        <v>140</v>
      </c>
      <c r="D19" s="87">
        <v>45904</v>
      </c>
      <c r="E19" s="23" t="s">
        <v>192</v>
      </c>
      <c r="F19" s="24"/>
      <c r="G19" s="25"/>
    </row>
    <row r="20" spans="1:8" x14ac:dyDescent="0.25">
      <c r="A20" s="8" t="s">
        <v>25</v>
      </c>
      <c r="B20" s="44" t="s">
        <v>10</v>
      </c>
      <c r="C20" s="10" t="s">
        <v>123</v>
      </c>
      <c r="D20" s="87">
        <v>45929</v>
      </c>
      <c r="E20" s="23" t="s">
        <v>193</v>
      </c>
      <c r="F20" s="24"/>
      <c r="G20" s="25"/>
    </row>
    <row r="21" spans="1:8" x14ac:dyDescent="0.25">
      <c r="A21" s="46" t="s">
        <v>27</v>
      </c>
      <c r="B21" s="47" t="s">
        <v>10</v>
      </c>
      <c r="C21" s="48" t="s">
        <v>123</v>
      </c>
      <c r="D21" s="57">
        <v>45929</v>
      </c>
      <c r="E21" s="23" t="s">
        <v>194</v>
      </c>
      <c r="F21" s="42"/>
      <c r="G21" s="43"/>
      <c r="H21" s="119" t="s">
        <v>177</v>
      </c>
    </row>
    <row r="22" spans="1:8" x14ac:dyDescent="0.25">
      <c r="A22" s="46" t="s">
        <v>29</v>
      </c>
      <c r="B22" s="47" t="s">
        <v>10</v>
      </c>
      <c r="C22" s="48" t="s">
        <v>125</v>
      </c>
      <c r="D22" s="57">
        <v>45902</v>
      </c>
      <c r="E22" s="23" t="s">
        <v>194</v>
      </c>
      <c r="F22" s="42"/>
      <c r="G22" s="43"/>
    </row>
    <row r="23" spans="1:8" ht="15.75" thickBot="1" x14ac:dyDescent="0.3">
      <c r="A23" s="49" t="s">
        <v>30</v>
      </c>
      <c r="B23" s="50" t="s">
        <v>10</v>
      </c>
      <c r="C23" s="51" t="s">
        <v>125</v>
      </c>
      <c r="D23" s="129">
        <v>45902</v>
      </c>
      <c r="E23" s="27" t="s">
        <v>195</v>
      </c>
      <c r="F23" s="27"/>
      <c r="G23" s="28"/>
    </row>
    <row r="24" spans="1:8" ht="15.75" thickTop="1" x14ac:dyDescent="0.25"/>
    <row r="30" spans="1:8" x14ac:dyDescent="0.25">
      <c r="H30" s="13" t="s">
        <v>120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DBE5C-7205-4F9F-85B7-BF38F9DDABD6}">
  <dimension ref="A1:E20"/>
  <sheetViews>
    <sheetView workbookViewId="0">
      <selection activeCell="E23" sqref="E23"/>
    </sheetView>
  </sheetViews>
  <sheetFormatPr baseColWidth="10" defaultRowHeight="15" x14ac:dyDescent="0.25"/>
  <cols>
    <col min="3" max="3" width="31.140625" bestFit="1" customWidth="1"/>
  </cols>
  <sheetData>
    <row r="1" spans="1:5" ht="16.5" thickTop="1" thickBot="1" x14ac:dyDescent="0.3">
      <c r="A1" s="1" t="s">
        <v>70</v>
      </c>
    </row>
    <row r="2" spans="1:5" ht="15.75" thickTop="1" x14ac:dyDescent="0.25">
      <c r="A2" s="3" t="s">
        <v>13</v>
      </c>
      <c r="B2" s="100" t="s">
        <v>173</v>
      </c>
      <c r="C2" s="12" t="s">
        <v>144</v>
      </c>
      <c r="D2" t="s">
        <v>46</v>
      </c>
    </row>
    <row r="3" spans="1:5" x14ac:dyDescent="0.25">
      <c r="A3" s="115" t="s">
        <v>15</v>
      </c>
      <c r="B3" s="116" t="s">
        <v>173</v>
      </c>
      <c r="C3" s="117" t="s">
        <v>146</v>
      </c>
      <c r="D3" s="89"/>
      <c r="E3" s="89" t="s">
        <v>197</v>
      </c>
    </row>
    <row r="4" spans="1:5" x14ac:dyDescent="0.25">
      <c r="A4" s="3" t="s">
        <v>17</v>
      </c>
      <c r="B4" s="100" t="s">
        <v>173</v>
      </c>
      <c r="C4" s="13" t="s">
        <v>148</v>
      </c>
      <c r="E4" t="s">
        <v>197</v>
      </c>
    </row>
    <row r="5" spans="1:5" x14ac:dyDescent="0.25">
      <c r="A5" s="3" t="s">
        <v>19</v>
      </c>
      <c r="B5" s="100" t="s">
        <v>173</v>
      </c>
      <c r="C5" s="13" t="s">
        <v>149</v>
      </c>
      <c r="D5" t="s">
        <v>46</v>
      </c>
    </row>
    <row r="6" spans="1:5" x14ac:dyDescent="0.25">
      <c r="A6" s="3" t="s">
        <v>21</v>
      </c>
      <c r="B6" s="100" t="s">
        <v>173</v>
      </c>
      <c r="C6" s="13" t="s">
        <v>153</v>
      </c>
    </row>
    <row r="7" spans="1:5" x14ac:dyDescent="0.25">
      <c r="A7" s="3" t="s">
        <v>23</v>
      </c>
      <c r="B7" s="100" t="s">
        <v>173</v>
      </c>
      <c r="C7" s="13" t="s">
        <v>155</v>
      </c>
      <c r="E7" t="s">
        <v>197</v>
      </c>
    </row>
    <row r="8" spans="1:5" x14ac:dyDescent="0.25">
      <c r="A8" s="3" t="s">
        <v>25</v>
      </c>
      <c r="B8" s="100" t="s">
        <v>173</v>
      </c>
      <c r="C8" s="13" t="s">
        <v>157</v>
      </c>
      <c r="D8" t="s">
        <v>46</v>
      </c>
    </row>
    <row r="9" spans="1:5" x14ac:dyDescent="0.25">
      <c r="A9" s="3" t="s">
        <v>27</v>
      </c>
      <c r="B9" s="100" t="s">
        <v>173</v>
      </c>
      <c r="C9" s="13" t="s">
        <v>160</v>
      </c>
      <c r="E9" t="s">
        <v>197</v>
      </c>
    </row>
    <row r="10" spans="1:5" x14ac:dyDescent="0.25">
      <c r="A10" s="3" t="s">
        <v>29</v>
      </c>
      <c r="B10" s="100" t="s">
        <v>173</v>
      </c>
      <c r="C10" s="13" t="s">
        <v>161</v>
      </c>
      <c r="D10" t="s">
        <v>46</v>
      </c>
    </row>
    <row r="11" spans="1:5" ht="15.75" thickBot="1" x14ac:dyDescent="0.3">
      <c r="A11" s="33" t="s">
        <v>30</v>
      </c>
      <c r="B11" s="101" t="s">
        <v>173</v>
      </c>
      <c r="C11" s="34" t="s">
        <v>163</v>
      </c>
      <c r="E11" t="s">
        <v>197</v>
      </c>
    </row>
    <row r="12" spans="1:5" ht="15.75" thickTop="1" x14ac:dyDescent="0.25">
      <c r="C12" s="118" t="s">
        <v>204</v>
      </c>
    </row>
    <row r="13" spans="1:5" ht="15.75" thickBot="1" x14ac:dyDescent="0.3"/>
    <row r="14" spans="1:5" ht="16.5" thickTop="1" thickBot="1" x14ac:dyDescent="0.3">
      <c r="A14" s="35" t="s">
        <v>12</v>
      </c>
    </row>
    <row r="15" spans="1:5" ht="15.75" thickTop="1" x14ac:dyDescent="0.25">
      <c r="A15" s="2" t="s">
        <v>13</v>
      </c>
      <c r="B15" s="102" t="s">
        <v>173</v>
      </c>
      <c r="C15" s="12" t="s">
        <v>175</v>
      </c>
    </row>
    <row r="16" spans="1:5" x14ac:dyDescent="0.25">
      <c r="A16" s="3" t="s">
        <v>15</v>
      </c>
      <c r="B16" s="100" t="s">
        <v>173</v>
      </c>
      <c r="C16" s="13" t="s">
        <v>175</v>
      </c>
    </row>
    <row r="17" spans="1:3" x14ac:dyDescent="0.25">
      <c r="A17" s="3" t="s">
        <v>17</v>
      </c>
      <c r="B17" s="100" t="s">
        <v>173</v>
      </c>
      <c r="C17" s="13" t="s">
        <v>167</v>
      </c>
    </row>
    <row r="18" spans="1:3" x14ac:dyDescent="0.25">
      <c r="A18" s="115" t="s">
        <v>19</v>
      </c>
      <c r="B18" s="116" t="s">
        <v>173</v>
      </c>
      <c r="C18" s="117" t="s">
        <v>168</v>
      </c>
    </row>
    <row r="19" spans="1:3" ht="15.75" thickBot="1" x14ac:dyDescent="0.3">
      <c r="A19" s="33" t="s">
        <v>21</v>
      </c>
      <c r="B19" s="101" t="s">
        <v>173</v>
      </c>
      <c r="C19" s="34" t="s">
        <v>168</v>
      </c>
    </row>
    <row r="20" spans="1:3" ht="15.75" thickTop="1" x14ac:dyDescent="0.25">
      <c r="C20" s="118" t="s">
        <v>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83C3F-681D-484E-967E-1312A1B157CE}">
  <dimension ref="A1:F19"/>
  <sheetViews>
    <sheetView workbookViewId="0">
      <selection activeCell="G19" sqref="G19"/>
    </sheetView>
  </sheetViews>
  <sheetFormatPr baseColWidth="10" defaultRowHeight="15" x14ac:dyDescent="0.25"/>
  <cols>
    <col min="3" max="3" width="25.28515625" bestFit="1" customWidth="1"/>
    <col min="4" max="4" width="6.42578125" bestFit="1" customWidth="1"/>
  </cols>
  <sheetData>
    <row r="1" spans="1:6" ht="16.5" thickTop="1" thickBot="1" x14ac:dyDescent="0.3">
      <c r="A1" s="35" t="s">
        <v>70</v>
      </c>
    </row>
    <row r="2" spans="1:6" ht="15.75" thickTop="1" x14ac:dyDescent="0.25">
      <c r="A2" s="2" t="s">
        <v>13</v>
      </c>
      <c r="B2" s="102" t="s">
        <v>174</v>
      </c>
      <c r="C2" s="12" t="s">
        <v>145</v>
      </c>
      <c r="F2" t="s">
        <v>197</v>
      </c>
    </row>
    <row r="3" spans="1:6" x14ac:dyDescent="0.25">
      <c r="A3" s="3" t="s">
        <v>15</v>
      </c>
      <c r="B3" s="100" t="s">
        <v>174</v>
      </c>
      <c r="C3" s="13" t="s">
        <v>147</v>
      </c>
      <c r="F3" t="s">
        <v>197</v>
      </c>
    </row>
    <row r="4" spans="1:6" x14ac:dyDescent="0.25">
      <c r="A4" s="3" t="s">
        <v>17</v>
      </c>
      <c r="B4" s="100" t="s">
        <v>174</v>
      </c>
      <c r="C4" s="13" t="s">
        <v>150</v>
      </c>
    </row>
    <row r="5" spans="1:6" x14ac:dyDescent="0.25">
      <c r="A5" s="3" t="s">
        <v>19</v>
      </c>
      <c r="B5" s="100" t="s">
        <v>174</v>
      </c>
      <c r="C5" s="13" t="s">
        <v>151</v>
      </c>
    </row>
    <row r="6" spans="1:6" x14ac:dyDescent="0.25">
      <c r="A6" s="3" t="s">
        <v>21</v>
      </c>
      <c r="B6" s="100" t="s">
        <v>174</v>
      </c>
      <c r="C6" s="13" t="s">
        <v>152</v>
      </c>
    </row>
    <row r="7" spans="1:6" x14ac:dyDescent="0.25">
      <c r="A7" s="8" t="s">
        <v>23</v>
      </c>
      <c r="B7" s="9" t="s">
        <v>10</v>
      </c>
      <c r="C7" s="10" t="s">
        <v>154</v>
      </c>
      <c r="D7" s="120">
        <v>45925</v>
      </c>
      <c r="E7" s="119" t="s">
        <v>46</v>
      </c>
    </row>
    <row r="8" spans="1:6" x14ac:dyDescent="0.25">
      <c r="A8" s="3" t="s">
        <v>25</v>
      </c>
      <c r="B8" s="100" t="s">
        <v>174</v>
      </c>
      <c r="C8" s="13" t="s">
        <v>156</v>
      </c>
    </row>
    <row r="9" spans="1:6" x14ac:dyDescent="0.25">
      <c r="A9" s="8" t="s">
        <v>27</v>
      </c>
      <c r="B9" s="9" t="s">
        <v>10</v>
      </c>
      <c r="C9" s="10" t="s">
        <v>158</v>
      </c>
      <c r="D9" s="120">
        <v>45925</v>
      </c>
    </row>
    <row r="10" spans="1:6" x14ac:dyDescent="0.25">
      <c r="A10" s="3" t="s">
        <v>29</v>
      </c>
      <c r="B10" s="100" t="s">
        <v>174</v>
      </c>
      <c r="C10" s="13" t="s">
        <v>159</v>
      </c>
      <c r="E10" t="s">
        <v>46</v>
      </c>
    </row>
    <row r="11" spans="1:6" ht="15.75" thickBot="1" x14ac:dyDescent="0.3">
      <c r="A11" s="4" t="s">
        <v>30</v>
      </c>
      <c r="B11" s="5" t="s">
        <v>174</v>
      </c>
      <c r="C11" s="6" t="s">
        <v>162</v>
      </c>
      <c r="D11" s="120">
        <v>45930</v>
      </c>
    </row>
    <row r="12" spans="1:6" ht="16.5" thickTop="1" thickBot="1" x14ac:dyDescent="0.3"/>
    <row r="13" spans="1:6" ht="16.5" thickTop="1" thickBot="1" x14ac:dyDescent="0.3">
      <c r="A13" s="35" t="s">
        <v>12</v>
      </c>
    </row>
    <row r="14" spans="1:6" ht="15.75" thickTop="1" x14ac:dyDescent="0.25">
      <c r="A14" s="2" t="s">
        <v>13</v>
      </c>
      <c r="B14" s="102" t="s">
        <v>174</v>
      </c>
      <c r="C14" s="12" t="s">
        <v>199</v>
      </c>
      <c r="E14" s="119" t="s">
        <v>46</v>
      </c>
    </row>
    <row r="15" spans="1:6" x14ac:dyDescent="0.25">
      <c r="A15" s="3" t="s">
        <v>15</v>
      </c>
      <c r="B15" s="100" t="s">
        <v>174</v>
      </c>
      <c r="C15" s="13" t="s">
        <v>200</v>
      </c>
    </row>
    <row r="16" spans="1:6" x14ac:dyDescent="0.25">
      <c r="A16" s="8" t="s">
        <v>17</v>
      </c>
      <c r="B16" s="9" t="s">
        <v>174</v>
      </c>
      <c r="C16" s="10" t="s">
        <v>169</v>
      </c>
      <c r="D16" s="120">
        <v>45931</v>
      </c>
    </row>
    <row r="17" spans="1:4" x14ac:dyDescent="0.25">
      <c r="A17" s="8" t="s">
        <v>19</v>
      </c>
      <c r="B17" s="9" t="s">
        <v>10</v>
      </c>
      <c r="C17" s="10" t="s">
        <v>201</v>
      </c>
      <c r="D17" s="120">
        <v>45918</v>
      </c>
    </row>
    <row r="18" spans="1:4" ht="15.75" thickBot="1" x14ac:dyDescent="0.3">
      <c r="A18" s="4" t="s">
        <v>21</v>
      </c>
      <c r="B18" s="5" t="s">
        <v>10</v>
      </c>
      <c r="C18" s="6" t="s">
        <v>201</v>
      </c>
      <c r="D18" s="120">
        <v>45918</v>
      </c>
    </row>
    <row r="19" spans="1:4" ht="15.75" thickTop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6494-A7DC-4B8A-B8EE-3B5B84EF23A4}">
  <dimension ref="A1:E32"/>
  <sheetViews>
    <sheetView zoomScale="80" zoomScaleNormal="80" workbookViewId="0">
      <selection activeCell="G26" sqref="G26"/>
    </sheetView>
  </sheetViews>
  <sheetFormatPr baseColWidth="10" defaultRowHeight="15" x14ac:dyDescent="0.25"/>
  <cols>
    <col min="2" max="2" width="37.42578125" bestFit="1" customWidth="1"/>
    <col min="3" max="5" width="11.5703125" style="17"/>
  </cols>
  <sheetData>
    <row r="1" spans="1:5" ht="15.75" thickBot="1" x14ac:dyDescent="0.3">
      <c r="A1" s="7"/>
    </row>
    <row r="2" spans="1:5" ht="16.5" thickTop="1" thickBot="1" x14ac:dyDescent="0.3">
      <c r="A2" s="1" t="s">
        <v>31</v>
      </c>
      <c r="C2" s="30" t="s">
        <v>66</v>
      </c>
      <c r="D2" s="31" t="s">
        <v>67</v>
      </c>
      <c r="E2" s="32" t="s">
        <v>68</v>
      </c>
    </row>
    <row r="3" spans="1:5" ht="15.75" thickTop="1" x14ac:dyDescent="0.25">
      <c r="A3" s="2" t="s">
        <v>13</v>
      </c>
      <c r="B3" s="18" t="s">
        <v>47</v>
      </c>
      <c r="C3" s="20"/>
      <c r="D3" s="21"/>
      <c r="E3" s="22"/>
    </row>
    <row r="4" spans="1:5" x14ac:dyDescent="0.25">
      <c r="A4" s="3" t="s">
        <v>15</v>
      </c>
      <c r="B4" s="19" t="s">
        <v>48</v>
      </c>
      <c r="C4" s="23"/>
      <c r="D4" s="24"/>
      <c r="E4" s="25"/>
    </row>
    <row r="5" spans="1:5" x14ac:dyDescent="0.25">
      <c r="A5" s="3" t="s">
        <v>19</v>
      </c>
      <c r="B5" s="19" t="s">
        <v>50</v>
      </c>
      <c r="C5" s="23"/>
      <c r="D5" s="24"/>
      <c r="E5" s="25"/>
    </row>
    <row r="6" spans="1:5" x14ac:dyDescent="0.25">
      <c r="A6" s="3" t="s">
        <v>21</v>
      </c>
      <c r="B6" s="19" t="s">
        <v>51</v>
      </c>
      <c r="C6" s="23"/>
      <c r="D6" s="24"/>
      <c r="E6" s="25"/>
    </row>
    <row r="7" spans="1:5" x14ac:dyDescent="0.25">
      <c r="A7" s="3" t="s">
        <v>23</v>
      </c>
      <c r="B7" s="19" t="s">
        <v>52</v>
      </c>
      <c r="C7" s="23"/>
      <c r="D7" s="24"/>
      <c r="E7" s="25"/>
    </row>
    <row r="8" spans="1:5" x14ac:dyDescent="0.25">
      <c r="A8" s="3" t="s">
        <v>25</v>
      </c>
      <c r="B8" s="19" t="s">
        <v>53</v>
      </c>
      <c r="C8" s="23"/>
      <c r="D8" s="24"/>
      <c r="E8" s="25"/>
    </row>
    <row r="9" spans="1:5" x14ac:dyDescent="0.25">
      <c r="A9" s="3" t="s">
        <v>27</v>
      </c>
      <c r="B9" s="19" t="s">
        <v>54</v>
      </c>
      <c r="C9" s="23"/>
      <c r="D9" s="24"/>
      <c r="E9" s="25"/>
    </row>
    <row r="10" spans="1:5" x14ac:dyDescent="0.25">
      <c r="A10" s="3" t="s">
        <v>29</v>
      </c>
      <c r="B10" s="29" t="s">
        <v>55</v>
      </c>
      <c r="C10" s="23"/>
      <c r="D10" s="24"/>
      <c r="E10" s="25"/>
    </row>
    <row r="11" spans="1:5" x14ac:dyDescent="0.25">
      <c r="A11" s="3" t="s">
        <v>13</v>
      </c>
      <c r="B11" s="29" t="s">
        <v>32</v>
      </c>
      <c r="C11" s="23"/>
      <c r="D11" s="24"/>
      <c r="E11" s="25"/>
    </row>
    <row r="12" spans="1:5" x14ac:dyDescent="0.25">
      <c r="A12" s="3" t="s">
        <v>15</v>
      </c>
      <c r="B12" s="29" t="s">
        <v>33</v>
      </c>
      <c r="C12" s="23"/>
      <c r="D12" s="24"/>
      <c r="E12" s="25"/>
    </row>
    <row r="13" spans="1:5" x14ac:dyDescent="0.25">
      <c r="A13" s="3" t="s">
        <v>17</v>
      </c>
      <c r="B13" s="29" t="s">
        <v>34</v>
      </c>
      <c r="C13" s="23"/>
      <c r="D13" s="24"/>
      <c r="E13" s="25"/>
    </row>
    <row r="14" spans="1:5" x14ac:dyDescent="0.25">
      <c r="A14" s="3" t="s">
        <v>21</v>
      </c>
      <c r="B14" s="29" t="s">
        <v>35</v>
      </c>
      <c r="C14" s="23"/>
      <c r="D14" s="24"/>
      <c r="E14" s="25"/>
    </row>
    <row r="15" spans="1:5" x14ac:dyDescent="0.25">
      <c r="A15" s="3" t="s">
        <v>23</v>
      </c>
      <c r="B15" s="29" t="s">
        <v>36</v>
      </c>
      <c r="C15" s="23"/>
      <c r="D15" s="24"/>
      <c r="E15" s="25"/>
    </row>
    <row r="16" spans="1:5" ht="15.75" thickBot="1" x14ac:dyDescent="0.3">
      <c r="A16" s="3" t="s">
        <v>25</v>
      </c>
      <c r="B16" s="19" t="s">
        <v>37</v>
      </c>
      <c r="C16" s="26"/>
      <c r="D16" s="27"/>
      <c r="E16" s="28"/>
    </row>
    <row r="17" spans="1:5" ht="16.5" thickTop="1" thickBot="1" x14ac:dyDescent="0.3"/>
    <row r="18" spans="1:5" ht="16.5" thickTop="1" thickBot="1" x14ac:dyDescent="0.3">
      <c r="A18" s="1" t="s">
        <v>12</v>
      </c>
    </row>
    <row r="19" spans="1:5" ht="15.75" thickTop="1" x14ac:dyDescent="0.25">
      <c r="A19" s="3" t="s">
        <v>17</v>
      </c>
      <c r="B19" s="29" t="s">
        <v>18</v>
      </c>
      <c r="C19" s="20"/>
      <c r="D19" s="21"/>
      <c r="E19" s="22"/>
    </row>
    <row r="20" spans="1:5" x14ac:dyDescent="0.25">
      <c r="A20" s="3" t="s">
        <v>19</v>
      </c>
      <c r="B20" s="29" t="s">
        <v>20</v>
      </c>
      <c r="C20" s="23"/>
      <c r="D20" s="24"/>
      <c r="E20" s="25"/>
    </row>
    <row r="21" spans="1:5" x14ac:dyDescent="0.25">
      <c r="A21" s="3" t="s">
        <v>21</v>
      </c>
      <c r="B21" s="29" t="s">
        <v>22</v>
      </c>
      <c r="C21" s="23"/>
      <c r="D21" s="24"/>
      <c r="E21" s="25"/>
    </row>
    <row r="22" spans="1:5" x14ac:dyDescent="0.25">
      <c r="A22" s="3" t="s">
        <v>13</v>
      </c>
      <c r="B22" s="29" t="s">
        <v>57</v>
      </c>
      <c r="C22" s="23"/>
      <c r="D22" s="24"/>
      <c r="E22" s="25"/>
    </row>
    <row r="23" spans="1:5" x14ac:dyDescent="0.25">
      <c r="A23" s="3" t="s">
        <v>15</v>
      </c>
      <c r="B23" s="29" t="s">
        <v>57</v>
      </c>
      <c r="C23" s="23"/>
      <c r="D23" s="24"/>
      <c r="E23" s="25"/>
    </row>
    <row r="24" spans="1:5" x14ac:dyDescent="0.25">
      <c r="A24" s="3" t="s">
        <v>17</v>
      </c>
      <c r="B24" s="29" t="s">
        <v>55</v>
      </c>
      <c r="C24" s="23"/>
      <c r="D24" s="24"/>
      <c r="E24" s="25"/>
    </row>
    <row r="25" spans="1:5" x14ac:dyDescent="0.25">
      <c r="A25" s="3" t="s">
        <v>21</v>
      </c>
      <c r="B25" s="29" t="s">
        <v>59</v>
      </c>
      <c r="C25" s="23"/>
      <c r="D25" s="24"/>
      <c r="E25" s="25"/>
    </row>
    <row r="26" spans="1:5" ht="15.75" thickBot="1" x14ac:dyDescent="0.3">
      <c r="A26" s="3" t="s">
        <v>23</v>
      </c>
      <c r="B26" s="29" t="s">
        <v>60</v>
      </c>
      <c r="C26" s="26"/>
      <c r="D26" s="27"/>
      <c r="E26" s="28"/>
    </row>
    <row r="27" spans="1:5" ht="16.5" thickTop="1" thickBot="1" x14ac:dyDescent="0.3"/>
    <row r="28" spans="1:5" ht="16.5" thickTop="1" thickBot="1" x14ac:dyDescent="0.3">
      <c r="A28" s="1" t="s">
        <v>0</v>
      </c>
    </row>
    <row r="29" spans="1:5" ht="15.75" thickTop="1" x14ac:dyDescent="0.25">
      <c r="A29" s="2" t="s">
        <v>1</v>
      </c>
      <c r="B29" s="18" t="s">
        <v>2</v>
      </c>
      <c r="C29" s="20"/>
      <c r="D29" s="21"/>
      <c r="E29" s="22"/>
    </row>
    <row r="30" spans="1:5" x14ac:dyDescent="0.25">
      <c r="A30" s="3" t="s">
        <v>3</v>
      </c>
      <c r="B30" s="19" t="s">
        <v>4</v>
      </c>
      <c r="C30" s="23"/>
      <c r="D30" s="24"/>
      <c r="E30" s="25"/>
    </row>
    <row r="31" spans="1:5" ht="15.75" thickBot="1" x14ac:dyDescent="0.3">
      <c r="A31" s="3" t="s">
        <v>5</v>
      </c>
      <c r="B31" s="19" t="s">
        <v>6</v>
      </c>
      <c r="C31" s="26"/>
      <c r="D31" s="27"/>
      <c r="E31" s="28"/>
    </row>
    <row r="32" spans="1:5" ht="15.75" thickTop="1" x14ac:dyDescent="0.25"/>
  </sheetData>
  <pageMargins left="0.7" right="0.7" top="0.75" bottom="0.75" header="0.3" footer="0.3"/>
  <pageSetup paperSize="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413F8-7E97-4AF5-9507-22010CB5EC0F}">
  <dimension ref="A9:P80"/>
  <sheetViews>
    <sheetView topLeftCell="C25" zoomScale="90" zoomScaleNormal="90" workbookViewId="0">
      <selection activeCell="M31" sqref="M31"/>
    </sheetView>
  </sheetViews>
  <sheetFormatPr baseColWidth="10" defaultRowHeight="15" x14ac:dyDescent="0.25"/>
  <cols>
    <col min="1" max="1" width="14.42578125" customWidth="1"/>
    <col min="2" max="2" width="17.140625" style="17" customWidth="1"/>
    <col min="3" max="3" width="35.7109375" customWidth="1"/>
    <col min="4" max="6" width="11.5703125" style="17"/>
    <col min="7" max="7" width="27.28515625" bestFit="1" customWidth="1"/>
    <col min="11" max="11" width="23.5703125" bestFit="1" customWidth="1"/>
  </cols>
  <sheetData>
    <row r="9" spans="14:16" ht="15.75" thickBot="1" x14ac:dyDescent="0.3"/>
    <row r="10" spans="14:16" ht="15.75" thickTop="1" x14ac:dyDescent="0.25">
      <c r="N10" s="20"/>
      <c r="O10" s="21"/>
      <c r="P10" s="22"/>
    </row>
    <row r="11" spans="14:16" x14ac:dyDescent="0.25">
      <c r="N11" s="23"/>
      <c r="O11" s="24"/>
      <c r="P11" s="25"/>
    </row>
    <row r="12" spans="14:16" x14ac:dyDescent="0.25">
      <c r="N12" s="23"/>
      <c r="O12" s="24"/>
      <c r="P12" s="25"/>
    </row>
    <row r="13" spans="14:16" x14ac:dyDescent="0.25">
      <c r="N13" s="23"/>
      <c r="O13" s="24"/>
      <c r="P13" s="25"/>
    </row>
    <row r="14" spans="14:16" x14ac:dyDescent="0.25">
      <c r="N14" s="23"/>
      <c r="O14" s="24"/>
      <c r="P14" s="25"/>
    </row>
    <row r="15" spans="14:16" x14ac:dyDescent="0.25">
      <c r="N15" s="23"/>
      <c r="O15" s="24"/>
      <c r="P15" s="25"/>
    </row>
    <row r="16" spans="14:16" x14ac:dyDescent="0.25">
      <c r="N16" s="23"/>
      <c r="O16" s="24"/>
      <c r="P16" s="25"/>
    </row>
    <row r="17" spans="1:16" ht="15.75" thickBot="1" x14ac:dyDescent="0.3">
      <c r="N17" s="26"/>
      <c r="O17" s="27"/>
      <c r="P17" s="28"/>
    </row>
    <row r="18" spans="1:16" ht="16.5" thickTop="1" thickBot="1" x14ac:dyDescent="0.3">
      <c r="N18" s="17"/>
      <c r="O18" s="17"/>
      <c r="P18" s="17"/>
    </row>
    <row r="19" spans="1:16" ht="16.5" thickTop="1" thickBot="1" x14ac:dyDescent="0.3">
      <c r="A19" s="35" t="s">
        <v>70</v>
      </c>
      <c r="B19" s="38" t="s">
        <v>79</v>
      </c>
      <c r="N19" s="17"/>
      <c r="O19" s="17"/>
      <c r="P19" s="17"/>
    </row>
    <row r="20" spans="1:16" ht="16.5" thickTop="1" thickBot="1" x14ac:dyDescent="0.3">
      <c r="A20" s="2" t="s">
        <v>13</v>
      </c>
      <c r="B20" s="36"/>
      <c r="C20" s="12" t="s">
        <v>71</v>
      </c>
      <c r="D20" s="30" t="s">
        <v>66</v>
      </c>
      <c r="E20" s="31" t="s">
        <v>67</v>
      </c>
      <c r="F20" s="32" t="s">
        <v>68</v>
      </c>
      <c r="N20" s="20"/>
      <c r="O20" s="21"/>
      <c r="P20" s="22"/>
    </row>
    <row r="21" spans="1:16" ht="15.75" thickTop="1" x14ac:dyDescent="0.25">
      <c r="A21" s="3" t="s">
        <v>15</v>
      </c>
      <c r="B21" s="24"/>
      <c r="C21" s="13" t="s">
        <v>72</v>
      </c>
      <c r="D21" s="20"/>
      <c r="E21" s="21"/>
      <c r="F21" s="22"/>
      <c r="H21" s="13"/>
      <c r="N21" s="23"/>
      <c r="O21" s="24"/>
      <c r="P21" s="25"/>
    </row>
    <row r="22" spans="1:16" ht="15.75" thickBot="1" x14ac:dyDescent="0.3">
      <c r="A22" s="3" t="s">
        <v>17</v>
      </c>
      <c r="B22" s="24"/>
      <c r="C22" s="13" t="s">
        <v>73</v>
      </c>
      <c r="D22" s="23"/>
      <c r="E22" s="24"/>
      <c r="F22" s="25"/>
      <c r="H22" s="13"/>
      <c r="N22" s="26"/>
      <c r="O22" s="27"/>
      <c r="P22" s="28"/>
    </row>
    <row r="23" spans="1:16" ht="15.75" thickTop="1" x14ac:dyDescent="0.25">
      <c r="A23" s="3" t="s">
        <v>19</v>
      </c>
      <c r="B23" s="24"/>
      <c r="C23" s="13" t="s">
        <v>74</v>
      </c>
      <c r="D23" s="23"/>
      <c r="E23" s="24"/>
      <c r="F23" s="25"/>
    </row>
    <row r="24" spans="1:16" x14ac:dyDescent="0.25">
      <c r="A24" s="3" t="s">
        <v>21</v>
      </c>
      <c r="B24" s="24"/>
      <c r="C24" s="13" t="s">
        <v>75</v>
      </c>
      <c r="D24" s="23"/>
      <c r="E24" s="24"/>
      <c r="F24" s="25"/>
      <c r="H24" s="13"/>
    </row>
    <row r="25" spans="1:16" x14ac:dyDescent="0.25">
      <c r="A25" s="3" t="s">
        <v>23</v>
      </c>
      <c r="B25" s="24"/>
      <c r="C25" s="13" t="s">
        <v>76</v>
      </c>
      <c r="D25" s="23"/>
      <c r="E25" s="24"/>
      <c r="F25" s="25"/>
      <c r="H25" s="13"/>
    </row>
    <row r="26" spans="1:16" x14ac:dyDescent="0.25">
      <c r="A26" s="3" t="s">
        <v>25</v>
      </c>
      <c r="B26" s="24"/>
      <c r="C26" s="13" t="s">
        <v>80</v>
      </c>
      <c r="D26" s="23"/>
      <c r="E26" s="24"/>
      <c r="F26" s="25"/>
      <c r="H26" s="13"/>
    </row>
    <row r="27" spans="1:16" x14ac:dyDescent="0.25">
      <c r="A27" s="3" t="s">
        <v>27</v>
      </c>
      <c r="B27" s="24"/>
      <c r="C27" s="13"/>
      <c r="D27" s="23"/>
      <c r="E27" s="24"/>
      <c r="F27" s="25"/>
    </row>
    <row r="28" spans="1:16" x14ac:dyDescent="0.25">
      <c r="A28" s="3" t="s">
        <v>29</v>
      </c>
      <c r="B28" s="24"/>
      <c r="C28" s="13"/>
      <c r="D28" s="23"/>
      <c r="E28" s="24"/>
      <c r="F28" s="25"/>
    </row>
    <row r="29" spans="1:16" ht="15.75" thickBot="1" x14ac:dyDescent="0.3">
      <c r="A29" s="33" t="s">
        <v>30</v>
      </c>
      <c r="B29" s="37"/>
      <c r="C29" s="34"/>
      <c r="D29" s="26"/>
      <c r="E29" s="27"/>
      <c r="F29" s="28"/>
    </row>
    <row r="30" spans="1:16" ht="16.5" thickTop="1" thickBot="1" x14ac:dyDescent="0.3"/>
    <row r="31" spans="1:16" ht="16.5" thickTop="1" thickBot="1" x14ac:dyDescent="0.3">
      <c r="A31" s="35" t="s">
        <v>12</v>
      </c>
      <c r="B31" s="38" t="s">
        <v>79</v>
      </c>
    </row>
    <row r="32" spans="1:16" ht="16.5" thickTop="1" thickBot="1" x14ac:dyDescent="0.3">
      <c r="A32" s="2" t="s">
        <v>13</v>
      </c>
      <c r="B32" s="36"/>
      <c r="C32" s="12" t="s">
        <v>69</v>
      </c>
      <c r="D32" s="30" t="s">
        <v>66</v>
      </c>
      <c r="E32" s="31" t="s">
        <v>67</v>
      </c>
      <c r="F32" s="32" t="s">
        <v>68</v>
      </c>
    </row>
    <row r="33" spans="1:7" ht="15.75" thickTop="1" x14ac:dyDescent="0.25">
      <c r="A33" s="3" t="s">
        <v>15</v>
      </c>
      <c r="B33" s="24"/>
      <c r="C33" s="13" t="s">
        <v>77</v>
      </c>
      <c r="D33" s="20"/>
      <c r="E33" s="21"/>
      <c r="F33" s="22"/>
    </row>
    <row r="34" spans="1:7" x14ac:dyDescent="0.25">
      <c r="A34" s="3" t="s">
        <v>17</v>
      </c>
      <c r="B34" s="24"/>
      <c r="C34" s="13" t="s">
        <v>80</v>
      </c>
      <c r="D34" s="23"/>
      <c r="E34" s="24"/>
      <c r="F34" s="25"/>
    </row>
    <row r="35" spans="1:7" x14ac:dyDescent="0.25">
      <c r="A35" s="3" t="s">
        <v>19</v>
      </c>
      <c r="B35" s="24"/>
      <c r="C35" s="13" t="s">
        <v>80</v>
      </c>
      <c r="D35" s="23"/>
      <c r="E35" s="24"/>
      <c r="F35" s="25"/>
    </row>
    <row r="36" spans="1:7" x14ac:dyDescent="0.25">
      <c r="A36" s="3" t="s">
        <v>21</v>
      </c>
      <c r="B36" s="24"/>
      <c r="C36" s="13" t="s">
        <v>78</v>
      </c>
      <c r="D36" s="23"/>
      <c r="E36" s="24"/>
      <c r="F36" s="25"/>
    </row>
    <row r="37" spans="1:7" x14ac:dyDescent="0.25">
      <c r="A37" s="3" t="s">
        <v>23</v>
      </c>
      <c r="B37" s="24"/>
      <c r="C37" s="13" t="s">
        <v>84</v>
      </c>
      <c r="D37" s="23"/>
      <c r="E37" s="24"/>
      <c r="F37" s="25"/>
      <c r="G37" t="s">
        <v>85</v>
      </c>
    </row>
    <row r="38" spans="1:7" x14ac:dyDescent="0.25">
      <c r="A38" s="3" t="s">
        <v>25</v>
      </c>
      <c r="B38" s="24"/>
      <c r="C38" s="13" t="s">
        <v>113</v>
      </c>
      <c r="D38" s="23"/>
      <c r="E38" s="24"/>
      <c r="F38" s="25"/>
    </row>
    <row r="39" spans="1:7" x14ac:dyDescent="0.25">
      <c r="A39" s="3" t="s">
        <v>27</v>
      </c>
      <c r="B39" s="24"/>
      <c r="C39" s="13" t="s">
        <v>113</v>
      </c>
      <c r="D39" s="23"/>
      <c r="E39" s="24"/>
      <c r="F39" s="25"/>
    </row>
    <row r="40" spans="1:7" x14ac:dyDescent="0.25">
      <c r="A40" s="3" t="s">
        <v>29</v>
      </c>
      <c r="B40" s="24"/>
      <c r="C40" s="13"/>
      <c r="D40" s="23"/>
      <c r="E40" s="24"/>
      <c r="F40" s="25"/>
    </row>
    <row r="41" spans="1:7" ht="15.75" thickBot="1" x14ac:dyDescent="0.3">
      <c r="A41" s="33" t="s">
        <v>30</v>
      </c>
      <c r="B41" s="37"/>
      <c r="C41" s="34"/>
      <c r="D41" s="26"/>
      <c r="E41" s="27"/>
      <c r="F41" s="28"/>
    </row>
    <row r="42" spans="1:7" ht="16.5" thickTop="1" thickBot="1" x14ac:dyDescent="0.3"/>
    <row r="43" spans="1:7" ht="16.5" thickTop="1" thickBot="1" x14ac:dyDescent="0.3">
      <c r="A43" s="35" t="s">
        <v>0</v>
      </c>
      <c r="B43" s="38" t="s">
        <v>79</v>
      </c>
    </row>
    <row r="44" spans="1:7" ht="16.5" thickTop="1" thickBot="1" x14ac:dyDescent="0.3">
      <c r="A44" s="2" t="s">
        <v>13</v>
      </c>
      <c r="B44" s="36" t="s">
        <v>86</v>
      </c>
      <c r="C44" s="12" t="s">
        <v>80</v>
      </c>
      <c r="D44" s="30" t="s">
        <v>66</v>
      </c>
      <c r="E44" s="31" t="s">
        <v>67</v>
      </c>
      <c r="F44" s="32" t="s">
        <v>68</v>
      </c>
    </row>
    <row r="45" spans="1:7" ht="15.75" thickTop="1" x14ac:dyDescent="0.25">
      <c r="A45" s="3" t="s">
        <v>15</v>
      </c>
      <c r="B45" s="24" t="s">
        <v>86</v>
      </c>
      <c r="C45" s="13" t="s">
        <v>80</v>
      </c>
      <c r="D45" s="20"/>
      <c r="E45" s="21"/>
      <c r="F45" s="22"/>
    </row>
    <row r="46" spans="1:7" x14ac:dyDescent="0.25">
      <c r="A46" s="3" t="s">
        <v>17</v>
      </c>
      <c r="B46" s="24" t="s">
        <v>86</v>
      </c>
      <c r="C46" s="13" t="s">
        <v>78</v>
      </c>
      <c r="D46" s="23"/>
      <c r="E46" s="24"/>
      <c r="F46" s="25"/>
    </row>
    <row r="47" spans="1:7" x14ac:dyDescent="0.25">
      <c r="A47" s="3" t="s">
        <v>19</v>
      </c>
      <c r="B47" s="24" t="s">
        <v>86</v>
      </c>
      <c r="C47" s="13" t="s">
        <v>78</v>
      </c>
      <c r="D47" s="23"/>
      <c r="E47" s="24"/>
      <c r="F47" s="25"/>
    </row>
    <row r="48" spans="1:7" x14ac:dyDescent="0.25">
      <c r="A48" s="3" t="s">
        <v>21</v>
      </c>
      <c r="B48" s="24" t="s">
        <v>86</v>
      </c>
      <c r="C48" s="13" t="s">
        <v>81</v>
      </c>
      <c r="D48" s="23"/>
      <c r="E48" s="24"/>
      <c r="F48" s="25"/>
    </row>
    <row r="49" spans="1:6" x14ac:dyDescent="0.25">
      <c r="A49" s="3" t="s">
        <v>23</v>
      </c>
      <c r="B49" s="24" t="s">
        <v>86</v>
      </c>
      <c r="C49" s="13" t="s">
        <v>81</v>
      </c>
      <c r="D49" s="23"/>
      <c r="E49" s="24"/>
      <c r="F49" s="25"/>
    </row>
    <row r="50" spans="1:6" x14ac:dyDescent="0.25">
      <c r="A50" s="3" t="s">
        <v>25</v>
      </c>
      <c r="B50" s="24" t="s">
        <v>86</v>
      </c>
      <c r="C50" s="13" t="s">
        <v>82</v>
      </c>
      <c r="D50" s="23"/>
      <c r="E50" s="24"/>
      <c r="F50" s="25"/>
    </row>
    <row r="51" spans="1:6" x14ac:dyDescent="0.25">
      <c r="A51" s="3" t="s">
        <v>27</v>
      </c>
      <c r="B51" s="24" t="s">
        <v>86</v>
      </c>
      <c r="C51" s="13" t="s">
        <v>82</v>
      </c>
      <c r="D51" s="23"/>
      <c r="E51" s="24"/>
      <c r="F51" s="25"/>
    </row>
    <row r="52" spans="1:6" x14ac:dyDescent="0.25">
      <c r="A52" s="3" t="s">
        <v>29</v>
      </c>
      <c r="B52" s="24" t="s">
        <v>86</v>
      </c>
      <c r="C52" s="13" t="s">
        <v>83</v>
      </c>
      <c r="D52" s="23"/>
      <c r="E52" s="24"/>
      <c r="F52" s="25"/>
    </row>
    <row r="53" spans="1:6" ht="15.75" thickBot="1" x14ac:dyDescent="0.3">
      <c r="A53" s="33" t="s">
        <v>30</v>
      </c>
      <c r="B53" s="37" t="s">
        <v>86</v>
      </c>
      <c r="C53" s="34" t="s">
        <v>83</v>
      </c>
      <c r="D53" s="26"/>
      <c r="E53" s="27"/>
      <c r="F53" s="28"/>
    </row>
    <row r="54" spans="1:6" ht="15.75" thickTop="1" x14ac:dyDescent="0.25">
      <c r="A54" s="2">
        <v>11</v>
      </c>
      <c r="B54" s="36" t="s">
        <v>86</v>
      </c>
      <c r="C54" s="12" t="s">
        <v>87</v>
      </c>
      <c r="D54" s="39"/>
      <c r="E54" s="21"/>
      <c r="F54" s="22"/>
    </row>
    <row r="55" spans="1:6" x14ac:dyDescent="0.25">
      <c r="A55" s="3">
        <v>12</v>
      </c>
      <c r="B55" s="24" t="s">
        <v>86</v>
      </c>
      <c r="C55" s="13" t="s">
        <v>88</v>
      </c>
      <c r="D55" s="40"/>
      <c r="E55" s="24"/>
      <c r="F55" s="25"/>
    </row>
    <row r="56" spans="1:6" x14ac:dyDescent="0.25">
      <c r="A56" s="3">
        <v>13</v>
      </c>
      <c r="B56" s="24" t="s">
        <v>86</v>
      </c>
      <c r="C56" s="13" t="s">
        <v>94</v>
      </c>
      <c r="D56" s="23"/>
      <c r="E56" s="24"/>
      <c r="F56" s="25"/>
    </row>
    <row r="57" spans="1:6" x14ac:dyDescent="0.25">
      <c r="A57" s="3">
        <v>14</v>
      </c>
      <c r="B57" s="24" t="s">
        <v>86</v>
      </c>
      <c r="C57" s="13" t="s">
        <v>94</v>
      </c>
      <c r="D57" s="23"/>
      <c r="E57" s="24"/>
      <c r="F57" s="25"/>
    </row>
    <row r="58" spans="1:6" x14ac:dyDescent="0.25">
      <c r="A58" s="3">
        <v>15</v>
      </c>
      <c r="B58" s="24" t="s">
        <v>86</v>
      </c>
      <c r="C58" s="13" t="s">
        <v>89</v>
      </c>
      <c r="D58" s="23"/>
      <c r="E58" s="24"/>
      <c r="F58" s="25"/>
    </row>
    <row r="59" spans="1:6" x14ac:dyDescent="0.25">
      <c r="A59" s="3">
        <v>16</v>
      </c>
      <c r="B59" s="24" t="s">
        <v>86</v>
      </c>
      <c r="C59" s="13" t="s">
        <v>90</v>
      </c>
      <c r="D59" s="23"/>
      <c r="E59" s="24"/>
      <c r="F59" s="25"/>
    </row>
    <row r="60" spans="1:6" x14ac:dyDescent="0.25">
      <c r="A60" s="3">
        <v>17</v>
      </c>
      <c r="B60" s="24" t="s">
        <v>86</v>
      </c>
      <c r="C60" s="13" t="s">
        <v>91</v>
      </c>
      <c r="D60" s="23"/>
      <c r="E60" s="24"/>
      <c r="F60" s="25"/>
    </row>
    <row r="61" spans="1:6" x14ac:dyDescent="0.25">
      <c r="A61" s="3">
        <v>18</v>
      </c>
      <c r="B61" s="24" t="s">
        <v>86</v>
      </c>
      <c r="C61" s="13" t="s">
        <v>92</v>
      </c>
      <c r="D61" s="23"/>
      <c r="E61" s="24"/>
      <c r="F61" s="25"/>
    </row>
    <row r="62" spans="1:6" x14ac:dyDescent="0.25">
      <c r="A62" s="3">
        <v>19</v>
      </c>
      <c r="B62" s="24" t="s">
        <v>86</v>
      </c>
      <c r="C62" s="13" t="s">
        <v>93</v>
      </c>
      <c r="D62" s="23"/>
      <c r="E62" s="24"/>
      <c r="F62" s="25"/>
    </row>
    <row r="63" spans="1:6" ht="15.75" thickBot="1" x14ac:dyDescent="0.3">
      <c r="A63" s="33">
        <v>20</v>
      </c>
      <c r="B63" s="37" t="s">
        <v>86</v>
      </c>
      <c r="C63" s="34" t="s">
        <v>93</v>
      </c>
      <c r="D63" s="26"/>
      <c r="E63" s="27"/>
      <c r="F63" s="28"/>
    </row>
    <row r="64" spans="1:6" ht="15.75" thickTop="1" x14ac:dyDescent="0.25"/>
    <row r="67" spans="1:7" ht="15.75" thickBot="1" x14ac:dyDescent="0.3"/>
    <row r="68" spans="1:7" ht="16.5" thickTop="1" thickBot="1" x14ac:dyDescent="0.3">
      <c r="A68" s="35" t="s">
        <v>0</v>
      </c>
      <c r="B68" s="38" t="s">
        <v>79</v>
      </c>
    </row>
    <row r="69" spans="1:7" ht="15.75" thickTop="1" x14ac:dyDescent="0.25">
      <c r="A69" s="2" t="s">
        <v>95</v>
      </c>
      <c r="B69" s="36" t="s">
        <v>86</v>
      </c>
      <c r="C69" s="12" t="s">
        <v>104</v>
      </c>
    </row>
    <row r="70" spans="1:7" x14ac:dyDescent="0.25">
      <c r="A70" s="3" t="s">
        <v>96</v>
      </c>
      <c r="B70" s="24" t="s">
        <v>86</v>
      </c>
      <c r="C70" s="13" t="s">
        <v>105</v>
      </c>
    </row>
    <row r="71" spans="1:7" x14ac:dyDescent="0.25">
      <c r="A71" s="3" t="s">
        <v>97</v>
      </c>
      <c r="B71" s="24" t="s">
        <v>86</v>
      </c>
      <c r="C71" s="13" t="s">
        <v>106</v>
      </c>
    </row>
    <row r="72" spans="1:7" x14ac:dyDescent="0.25">
      <c r="A72" s="3" t="s">
        <v>98</v>
      </c>
      <c r="B72" s="24" t="s">
        <v>86</v>
      </c>
      <c r="C72" s="13" t="s">
        <v>107</v>
      </c>
      <c r="G72" s="41" t="s">
        <v>114</v>
      </c>
    </row>
    <row r="73" spans="1:7" ht="15.75" thickBot="1" x14ac:dyDescent="0.3">
      <c r="A73" s="3" t="s">
        <v>99</v>
      </c>
      <c r="B73" s="24" t="s">
        <v>86</v>
      </c>
      <c r="C73" s="13" t="s">
        <v>108</v>
      </c>
      <c r="G73" s="41"/>
    </row>
    <row r="74" spans="1:7" ht="15.75" thickTop="1" x14ac:dyDescent="0.25">
      <c r="A74" s="2">
        <v>11</v>
      </c>
      <c r="B74" s="36" t="s">
        <v>86</v>
      </c>
      <c r="C74" s="12" t="s">
        <v>87</v>
      </c>
      <c r="G74" s="41" t="s">
        <v>115</v>
      </c>
    </row>
    <row r="75" spans="1:7" x14ac:dyDescent="0.25">
      <c r="A75" s="3">
        <v>12</v>
      </c>
      <c r="B75" s="24" t="s">
        <v>86</v>
      </c>
      <c r="C75" s="13" t="s">
        <v>88</v>
      </c>
      <c r="G75" s="41"/>
    </row>
    <row r="76" spans="1:7" x14ac:dyDescent="0.25">
      <c r="A76" s="3" t="s">
        <v>100</v>
      </c>
      <c r="B76" s="24" t="s">
        <v>86</v>
      </c>
      <c r="C76" s="13" t="s">
        <v>109</v>
      </c>
      <c r="G76" s="41" t="s">
        <v>116</v>
      </c>
    </row>
    <row r="77" spans="1:7" x14ac:dyDescent="0.25">
      <c r="A77" s="3" t="s">
        <v>101</v>
      </c>
      <c r="B77" s="24" t="s">
        <v>86</v>
      </c>
      <c r="C77" s="13" t="s">
        <v>110</v>
      </c>
      <c r="G77" s="41" t="s">
        <v>117</v>
      </c>
    </row>
    <row r="78" spans="1:7" x14ac:dyDescent="0.25">
      <c r="A78" s="3" t="s">
        <v>102</v>
      </c>
      <c r="B78" s="24" t="s">
        <v>86</v>
      </c>
      <c r="C78" s="13" t="s">
        <v>112</v>
      </c>
      <c r="G78" s="41"/>
    </row>
    <row r="79" spans="1:7" ht="15.75" thickBot="1" x14ac:dyDescent="0.3">
      <c r="A79" s="33" t="s">
        <v>103</v>
      </c>
      <c r="B79" s="37" t="s">
        <v>86</v>
      </c>
      <c r="C79" s="34" t="s">
        <v>111</v>
      </c>
    </row>
    <row r="80" spans="1:7" ht="15.75" thickTop="1" x14ac:dyDescent="0.25"/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62F8C-CC07-4880-BC45-E35FE9382A12}">
  <dimension ref="A1:K111"/>
  <sheetViews>
    <sheetView workbookViewId="0">
      <selection activeCell="I14" sqref="I14"/>
    </sheetView>
  </sheetViews>
  <sheetFormatPr baseColWidth="10" defaultRowHeight="18.75" x14ac:dyDescent="0.25"/>
  <cols>
    <col min="2" max="2" width="36.28515625" bestFit="1" customWidth="1"/>
    <col min="3" max="5" width="7.28515625" style="55" customWidth="1"/>
    <col min="6" max="6" width="18.28515625" bestFit="1" customWidth="1"/>
    <col min="7" max="7" width="11.5703125" style="55"/>
    <col min="8" max="8" width="15.85546875" style="55" bestFit="1" customWidth="1"/>
    <col min="9" max="9" width="25.5703125" style="55" customWidth="1"/>
    <col min="10" max="10" width="31.28515625" style="122" bestFit="1" customWidth="1"/>
  </cols>
  <sheetData>
    <row r="1" spans="1:11" ht="20.25" thickTop="1" thickBot="1" x14ac:dyDescent="0.3">
      <c r="C1" s="55">
        <f>COUNTIF(C3:C100, "=X")</f>
        <v>33</v>
      </c>
      <c r="D1" s="55">
        <f t="shared" ref="D1:E1" si="0">COUNTIF(D3:D100, "=X")</f>
        <v>35</v>
      </c>
      <c r="E1" s="55">
        <f t="shared" si="0"/>
        <v>11</v>
      </c>
      <c r="F1" s="88">
        <v>45936</v>
      </c>
      <c r="G1" s="59" t="s">
        <v>141</v>
      </c>
      <c r="H1" s="58" t="s">
        <v>142</v>
      </c>
      <c r="I1" s="59" t="s">
        <v>138</v>
      </c>
      <c r="J1" s="126" t="s">
        <v>207</v>
      </c>
      <c r="K1" s="55"/>
    </row>
    <row r="2" spans="1:11" ht="20.25" thickTop="1" thickBot="1" x14ac:dyDescent="0.3">
      <c r="A2" t="s">
        <v>118</v>
      </c>
      <c r="B2" t="s">
        <v>137</v>
      </c>
      <c r="C2" s="79" t="s">
        <v>134</v>
      </c>
      <c r="D2" s="80" t="s">
        <v>135</v>
      </c>
      <c r="E2" s="81" t="s">
        <v>0</v>
      </c>
      <c r="F2" s="75" t="s">
        <v>12</v>
      </c>
      <c r="G2" s="61">
        <v>40</v>
      </c>
      <c r="H2" s="60">
        <v>40</v>
      </c>
      <c r="I2" s="61">
        <v>33</v>
      </c>
      <c r="J2" s="125">
        <f>G2-I2</f>
        <v>7</v>
      </c>
    </row>
    <row r="3" spans="1:11" ht="19.5" thickTop="1" x14ac:dyDescent="0.25">
      <c r="A3" s="9" t="s">
        <v>45</v>
      </c>
      <c r="B3" s="68" t="s">
        <v>14</v>
      </c>
      <c r="C3" s="82" t="s">
        <v>136</v>
      </c>
      <c r="D3" s="62"/>
      <c r="E3" s="83"/>
      <c r="F3" s="76" t="s">
        <v>70</v>
      </c>
      <c r="G3" s="63">
        <v>60</v>
      </c>
      <c r="H3" s="62">
        <v>52</v>
      </c>
      <c r="I3" s="63">
        <v>35</v>
      </c>
      <c r="J3" s="123">
        <f t="shared" ref="J3:J5" si="1">G3-I3</f>
        <v>25</v>
      </c>
    </row>
    <row r="4" spans="1:11" ht="19.5" thickBot="1" x14ac:dyDescent="0.3">
      <c r="A4" s="9" t="s">
        <v>10</v>
      </c>
      <c r="B4" s="69" t="s">
        <v>16</v>
      </c>
      <c r="C4" s="82" t="s">
        <v>136</v>
      </c>
      <c r="D4" s="62"/>
      <c r="E4" s="83"/>
      <c r="F4" s="77" t="s">
        <v>0</v>
      </c>
      <c r="G4" s="65">
        <v>42</v>
      </c>
      <c r="H4" s="64">
        <v>30</v>
      </c>
      <c r="I4" s="65">
        <v>20</v>
      </c>
      <c r="J4" s="123">
        <f t="shared" si="1"/>
        <v>22</v>
      </c>
    </row>
    <row r="5" spans="1:11" ht="20.25" thickTop="1" thickBot="1" x14ac:dyDescent="0.3">
      <c r="A5" s="9" t="s">
        <v>10</v>
      </c>
      <c r="B5" s="69" t="s">
        <v>18</v>
      </c>
      <c r="C5" s="82" t="s">
        <v>136</v>
      </c>
      <c r="D5" s="62"/>
      <c r="E5" s="83"/>
      <c r="F5" s="78" t="s">
        <v>139</v>
      </c>
      <c r="G5" s="67">
        <f>SUM(G2:G4)</f>
        <v>142</v>
      </c>
      <c r="H5" s="66">
        <f>SUM(H2:H4)</f>
        <v>122</v>
      </c>
      <c r="I5" s="67">
        <f>SUM(I2:I4)</f>
        <v>88</v>
      </c>
      <c r="J5" s="124">
        <f t="shared" si="1"/>
        <v>54</v>
      </c>
    </row>
    <row r="6" spans="1:11" ht="20.25" thickTop="1" thickBot="1" x14ac:dyDescent="0.3">
      <c r="A6" s="9" t="s">
        <v>10</v>
      </c>
      <c r="B6" s="69" t="s">
        <v>20</v>
      </c>
      <c r="C6" s="82" t="s">
        <v>136</v>
      </c>
      <c r="D6" s="62"/>
      <c r="E6" s="83"/>
      <c r="F6" s="55"/>
    </row>
    <row r="7" spans="1:11" ht="20.25" thickTop="1" thickBot="1" x14ac:dyDescent="0.3">
      <c r="A7" s="9" t="s">
        <v>10</v>
      </c>
      <c r="B7" s="69" t="s">
        <v>22</v>
      </c>
      <c r="C7" s="82" t="s">
        <v>136</v>
      </c>
      <c r="D7" s="62"/>
      <c r="E7" s="83"/>
      <c r="F7" s="55"/>
      <c r="G7" s="94">
        <f>F1</f>
        <v>45936</v>
      </c>
      <c r="H7" s="95" t="str">
        <f>I1</f>
        <v>INSTALADOS</v>
      </c>
      <c r="I7" s="95" t="s">
        <v>209</v>
      </c>
    </row>
    <row r="8" spans="1:11" ht="19.5" thickTop="1" x14ac:dyDescent="0.25">
      <c r="A8" s="9" t="s">
        <v>10</v>
      </c>
      <c r="B8" s="69" t="s">
        <v>24</v>
      </c>
      <c r="C8" s="82" t="s">
        <v>136</v>
      </c>
      <c r="D8" s="62"/>
      <c r="E8" s="83"/>
      <c r="G8" s="92" t="str">
        <f>F2</f>
        <v>FIJAS</v>
      </c>
      <c r="H8" s="93">
        <f>I2</f>
        <v>33</v>
      </c>
      <c r="I8" s="93">
        <f>J2</f>
        <v>7</v>
      </c>
    </row>
    <row r="9" spans="1:11" x14ac:dyDescent="0.25">
      <c r="A9" s="9" t="s">
        <v>10</v>
      </c>
      <c r="B9" s="69" t="s">
        <v>26</v>
      </c>
      <c r="C9" s="82" t="s">
        <v>136</v>
      </c>
      <c r="D9" s="62"/>
      <c r="E9" s="83"/>
      <c r="G9" s="82" t="str">
        <f>F3</f>
        <v>DOMOS</v>
      </c>
      <c r="H9" s="83">
        <f>I3</f>
        <v>35</v>
      </c>
      <c r="I9" s="83">
        <f t="shared" ref="I9:I11" si="2">J3</f>
        <v>25</v>
      </c>
    </row>
    <row r="10" spans="1:11" x14ac:dyDescent="0.25">
      <c r="A10" s="9" t="s">
        <v>10</v>
      </c>
      <c r="B10" s="69" t="s">
        <v>28</v>
      </c>
      <c r="C10" s="82" t="s">
        <v>136</v>
      </c>
      <c r="D10" s="62"/>
      <c r="E10" s="83"/>
      <c r="G10" s="82" t="str">
        <f>F4</f>
        <v>LPR</v>
      </c>
      <c r="H10" s="83">
        <f>I4</f>
        <v>20</v>
      </c>
      <c r="I10" s="83">
        <f t="shared" si="2"/>
        <v>22</v>
      </c>
    </row>
    <row r="11" spans="1:11" ht="19.5" thickBot="1" x14ac:dyDescent="0.3">
      <c r="A11" s="9" t="s">
        <v>10</v>
      </c>
      <c r="B11" s="69" t="s">
        <v>28</v>
      </c>
      <c r="C11" s="82" t="s">
        <v>136</v>
      </c>
      <c r="D11" s="62"/>
      <c r="E11" s="83"/>
      <c r="F11" s="55"/>
      <c r="G11" s="96" t="str">
        <f>F5</f>
        <v>TOTALES</v>
      </c>
      <c r="H11" s="97">
        <f>I5</f>
        <v>88</v>
      </c>
      <c r="I11" s="97">
        <f t="shared" si="2"/>
        <v>54</v>
      </c>
    </row>
    <row r="12" spans="1:11" ht="20.25" thickTop="1" thickBot="1" x14ac:dyDescent="0.3">
      <c r="A12" s="5" t="s">
        <v>10</v>
      </c>
      <c r="B12" s="70" t="s">
        <v>28</v>
      </c>
      <c r="C12" s="82" t="s">
        <v>136</v>
      </c>
      <c r="D12" s="62"/>
      <c r="E12" s="83"/>
      <c r="F12" s="55"/>
    </row>
    <row r="13" spans="1:11" ht="19.5" thickTop="1" x14ac:dyDescent="0.25">
      <c r="A13" s="9" t="s">
        <v>10</v>
      </c>
      <c r="B13" s="69" t="s">
        <v>57</v>
      </c>
      <c r="C13" s="82" t="s">
        <v>136</v>
      </c>
      <c r="D13" s="62"/>
      <c r="E13" s="83"/>
    </row>
    <row r="14" spans="1:11" x14ac:dyDescent="0.25">
      <c r="A14" s="9" t="s">
        <v>10</v>
      </c>
      <c r="B14" s="69" t="s">
        <v>57</v>
      </c>
      <c r="C14" s="82" t="s">
        <v>136</v>
      </c>
      <c r="D14" s="62"/>
      <c r="E14" s="83"/>
    </row>
    <row r="15" spans="1:11" x14ac:dyDescent="0.25">
      <c r="A15" s="9" t="s">
        <v>10</v>
      </c>
      <c r="B15" s="69" t="s">
        <v>55</v>
      </c>
      <c r="C15" s="82" t="s">
        <v>136</v>
      </c>
      <c r="D15" s="62"/>
      <c r="E15" s="83"/>
    </row>
    <row r="16" spans="1:11" x14ac:dyDescent="0.25">
      <c r="A16" s="9" t="s">
        <v>10</v>
      </c>
      <c r="B16" s="69" t="s">
        <v>58</v>
      </c>
      <c r="C16" s="82" t="s">
        <v>136</v>
      </c>
      <c r="D16" s="62"/>
      <c r="E16" s="83"/>
    </row>
    <row r="17" spans="1:5" x14ac:dyDescent="0.25">
      <c r="A17" s="9" t="s">
        <v>10</v>
      </c>
      <c r="B17" s="69" t="s">
        <v>59</v>
      </c>
      <c r="C17" s="82" t="s">
        <v>136</v>
      </c>
      <c r="D17" s="62"/>
      <c r="E17" s="83"/>
    </row>
    <row r="18" spans="1:5" x14ac:dyDescent="0.25">
      <c r="A18" s="9" t="s">
        <v>10</v>
      </c>
      <c r="B18" s="69" t="s">
        <v>60</v>
      </c>
      <c r="C18" s="82" t="s">
        <v>136</v>
      </c>
      <c r="D18" s="62"/>
      <c r="E18" s="83"/>
    </row>
    <row r="19" spans="1:5" x14ac:dyDescent="0.25">
      <c r="A19" s="9" t="s">
        <v>10</v>
      </c>
      <c r="B19" s="69" t="s">
        <v>61</v>
      </c>
      <c r="C19" s="82" t="s">
        <v>136</v>
      </c>
      <c r="D19" s="62"/>
      <c r="E19" s="83"/>
    </row>
    <row r="20" spans="1:5" x14ac:dyDescent="0.25">
      <c r="A20" s="9" t="s">
        <v>10</v>
      </c>
      <c r="B20" s="69" t="s">
        <v>61</v>
      </c>
      <c r="C20" s="82" t="s">
        <v>136</v>
      </c>
      <c r="D20" s="62"/>
      <c r="E20" s="83"/>
    </row>
    <row r="21" spans="1:5" x14ac:dyDescent="0.25">
      <c r="A21" s="9" t="s">
        <v>10</v>
      </c>
      <c r="B21" s="69" t="s">
        <v>62</v>
      </c>
      <c r="C21" s="82" t="s">
        <v>136</v>
      </c>
      <c r="D21" s="62"/>
      <c r="E21" s="83"/>
    </row>
    <row r="22" spans="1:5" ht="19.5" thickBot="1" x14ac:dyDescent="0.3">
      <c r="A22" s="5" t="s">
        <v>10</v>
      </c>
      <c r="B22" s="70" t="s">
        <v>62</v>
      </c>
      <c r="C22" s="82" t="s">
        <v>136</v>
      </c>
      <c r="D22" s="62"/>
      <c r="E22" s="83"/>
    </row>
    <row r="23" spans="1:5" ht="19.5" thickTop="1" x14ac:dyDescent="0.25">
      <c r="A23" s="47" t="s">
        <v>10</v>
      </c>
      <c r="B23" s="71" t="s">
        <v>125</v>
      </c>
      <c r="C23" s="82" t="s">
        <v>136</v>
      </c>
      <c r="D23" s="62"/>
      <c r="E23" s="83"/>
    </row>
    <row r="24" spans="1:5" ht="19.5" thickBot="1" x14ac:dyDescent="0.3">
      <c r="A24" s="50" t="s">
        <v>10</v>
      </c>
      <c r="B24" s="72" t="s">
        <v>125</v>
      </c>
      <c r="C24" s="82" t="s">
        <v>136</v>
      </c>
      <c r="D24" s="62"/>
      <c r="E24" s="83"/>
    </row>
    <row r="25" spans="1:5" ht="19.5" thickTop="1" x14ac:dyDescent="0.25">
      <c r="A25" s="90" t="s">
        <v>10</v>
      </c>
      <c r="B25" s="68" t="s">
        <v>69</v>
      </c>
      <c r="C25" s="82" t="s">
        <v>136</v>
      </c>
      <c r="D25" s="62"/>
      <c r="E25" s="83"/>
    </row>
    <row r="26" spans="1:5" x14ac:dyDescent="0.25">
      <c r="A26" s="44" t="s">
        <v>10</v>
      </c>
      <c r="B26" s="69" t="s">
        <v>80</v>
      </c>
      <c r="C26" s="82" t="s">
        <v>136</v>
      </c>
      <c r="D26" s="62"/>
      <c r="E26" s="83"/>
    </row>
    <row r="27" spans="1:5" x14ac:dyDescent="0.25">
      <c r="A27" s="44" t="s">
        <v>10</v>
      </c>
      <c r="B27" s="69" t="s">
        <v>80</v>
      </c>
      <c r="C27" s="82" t="s">
        <v>136</v>
      </c>
      <c r="D27" s="62"/>
      <c r="E27" s="83"/>
    </row>
    <row r="28" spans="1:5" x14ac:dyDescent="0.25">
      <c r="A28" s="44" t="s">
        <v>132</v>
      </c>
      <c r="B28" s="69" t="s">
        <v>124</v>
      </c>
      <c r="C28" s="82" t="s">
        <v>136</v>
      </c>
      <c r="D28" s="62"/>
      <c r="E28" s="83"/>
    </row>
    <row r="29" spans="1:5" x14ac:dyDescent="0.25">
      <c r="A29" s="44" t="s">
        <v>10</v>
      </c>
      <c r="B29" s="69" t="s">
        <v>122</v>
      </c>
      <c r="C29" s="82" t="s">
        <v>136</v>
      </c>
      <c r="D29" s="62"/>
      <c r="E29" s="83"/>
    </row>
    <row r="30" spans="1:5" x14ac:dyDescent="0.25">
      <c r="A30" s="44" t="s">
        <v>10</v>
      </c>
      <c r="B30" s="69" t="s">
        <v>140</v>
      </c>
      <c r="C30" s="82" t="s">
        <v>136</v>
      </c>
      <c r="D30" s="62"/>
      <c r="E30" s="83"/>
    </row>
    <row r="31" spans="1:5" x14ac:dyDescent="0.25">
      <c r="A31" s="44" t="s">
        <v>132</v>
      </c>
      <c r="B31" s="69" t="s">
        <v>123</v>
      </c>
      <c r="C31" s="82" t="s">
        <v>136</v>
      </c>
      <c r="D31" s="62"/>
      <c r="E31" s="83"/>
    </row>
    <row r="32" spans="1:5" x14ac:dyDescent="0.25">
      <c r="A32" s="47" t="s">
        <v>132</v>
      </c>
      <c r="B32" s="71" t="s">
        <v>123</v>
      </c>
      <c r="C32" s="82" t="s">
        <v>136</v>
      </c>
      <c r="D32" s="62"/>
      <c r="E32" s="83"/>
    </row>
    <row r="33" spans="1:5" x14ac:dyDescent="0.25">
      <c r="A33" s="9" t="s">
        <v>10</v>
      </c>
      <c r="B33" s="69" t="s">
        <v>32</v>
      </c>
      <c r="C33" s="82"/>
      <c r="D33" s="62" t="s">
        <v>136</v>
      </c>
      <c r="E33" s="83"/>
    </row>
    <row r="34" spans="1:5" x14ac:dyDescent="0.25">
      <c r="A34" s="9" t="s">
        <v>10</v>
      </c>
      <c r="B34" s="69" t="s">
        <v>33</v>
      </c>
      <c r="C34" s="82"/>
      <c r="D34" s="62" t="s">
        <v>136</v>
      </c>
      <c r="E34" s="83"/>
    </row>
    <row r="35" spans="1:5" x14ac:dyDescent="0.25">
      <c r="A35" s="9" t="s">
        <v>10</v>
      </c>
      <c r="B35" s="69" t="s">
        <v>34</v>
      </c>
      <c r="C35" s="82"/>
      <c r="D35" s="62" t="s">
        <v>136</v>
      </c>
      <c r="E35" s="83"/>
    </row>
    <row r="36" spans="1:5" x14ac:dyDescent="0.25">
      <c r="A36" s="9" t="s">
        <v>10</v>
      </c>
      <c r="B36" s="69" t="s">
        <v>65</v>
      </c>
      <c r="C36" s="82"/>
      <c r="D36" s="62" t="s">
        <v>136</v>
      </c>
      <c r="E36" s="83"/>
    </row>
    <row r="37" spans="1:5" x14ac:dyDescent="0.25">
      <c r="A37" s="9" t="s">
        <v>45</v>
      </c>
      <c r="B37" s="69" t="s">
        <v>35</v>
      </c>
      <c r="C37" s="82"/>
      <c r="D37" s="62" t="s">
        <v>136</v>
      </c>
      <c r="E37" s="83"/>
    </row>
    <row r="38" spans="1:5" x14ac:dyDescent="0.25">
      <c r="A38" s="9" t="s">
        <v>10</v>
      </c>
      <c r="B38" s="69" t="s">
        <v>36</v>
      </c>
      <c r="C38" s="82"/>
      <c r="D38" s="62" t="s">
        <v>136</v>
      </c>
      <c r="E38" s="83"/>
    </row>
    <row r="39" spans="1:5" x14ac:dyDescent="0.25">
      <c r="A39" s="9" t="s">
        <v>10</v>
      </c>
      <c r="B39" s="69" t="s">
        <v>37</v>
      </c>
      <c r="C39" s="82"/>
      <c r="D39" s="62" t="s">
        <v>136</v>
      </c>
      <c r="E39" s="83"/>
    </row>
    <row r="40" spans="1:5" x14ac:dyDescent="0.25">
      <c r="A40" s="9" t="s">
        <v>10</v>
      </c>
      <c r="B40" s="69" t="s">
        <v>38</v>
      </c>
      <c r="C40" s="82"/>
      <c r="D40" s="62" t="s">
        <v>136</v>
      </c>
      <c r="E40" s="83"/>
    </row>
    <row r="41" spans="1:5" x14ac:dyDescent="0.25">
      <c r="A41" s="9" t="s">
        <v>10</v>
      </c>
      <c r="B41" s="69" t="s">
        <v>39</v>
      </c>
      <c r="C41" s="82"/>
      <c r="D41" s="62" t="s">
        <v>136</v>
      </c>
      <c r="E41" s="83"/>
    </row>
    <row r="42" spans="1:5" x14ac:dyDescent="0.25">
      <c r="A42" s="9" t="s">
        <v>10</v>
      </c>
      <c r="B42" s="69" t="s">
        <v>40</v>
      </c>
      <c r="C42" s="82"/>
      <c r="D42" s="62" t="s">
        <v>136</v>
      </c>
      <c r="E42" s="83"/>
    </row>
    <row r="43" spans="1:5" x14ac:dyDescent="0.25">
      <c r="A43" s="9" t="s">
        <v>10</v>
      </c>
      <c r="B43" s="69" t="s">
        <v>42</v>
      </c>
      <c r="C43" s="82"/>
      <c r="D43" s="62" t="s">
        <v>136</v>
      </c>
      <c r="E43" s="83"/>
    </row>
    <row r="44" spans="1:5" ht="19.5" thickBot="1" x14ac:dyDescent="0.3">
      <c r="A44" s="5" t="s">
        <v>10</v>
      </c>
      <c r="B44" s="70" t="s">
        <v>44</v>
      </c>
      <c r="C44" s="82"/>
      <c r="D44" s="62" t="s">
        <v>136</v>
      </c>
      <c r="E44" s="83"/>
    </row>
    <row r="45" spans="1:5" ht="19.5" thickTop="1" x14ac:dyDescent="0.25">
      <c r="A45" s="9" t="s">
        <v>10</v>
      </c>
      <c r="B45" s="69" t="s">
        <v>47</v>
      </c>
      <c r="C45" s="82"/>
      <c r="D45" s="62" t="s">
        <v>136</v>
      </c>
      <c r="E45" s="83"/>
    </row>
    <row r="46" spans="1:5" x14ac:dyDescent="0.25">
      <c r="A46" s="9" t="s">
        <v>10</v>
      </c>
      <c r="B46" s="69" t="s">
        <v>48</v>
      </c>
      <c r="C46" s="82"/>
      <c r="D46" s="62" t="s">
        <v>136</v>
      </c>
      <c r="E46" s="83"/>
    </row>
    <row r="47" spans="1:5" x14ac:dyDescent="0.25">
      <c r="A47" s="9" t="s">
        <v>10</v>
      </c>
      <c r="B47" s="69" t="s">
        <v>49</v>
      </c>
      <c r="C47" s="82"/>
      <c r="D47" s="62" t="s">
        <v>136</v>
      </c>
      <c r="E47" s="83"/>
    </row>
    <row r="48" spans="1:5" x14ac:dyDescent="0.25">
      <c r="A48" s="9" t="s">
        <v>10</v>
      </c>
      <c r="B48" s="69" t="s">
        <v>52</v>
      </c>
      <c r="C48" s="82"/>
      <c r="D48" s="62" t="s">
        <v>136</v>
      </c>
      <c r="E48" s="83"/>
    </row>
    <row r="49" spans="1:5" x14ac:dyDescent="0.25">
      <c r="A49" s="9" t="s">
        <v>10</v>
      </c>
      <c r="B49" s="69" t="s">
        <v>54</v>
      </c>
      <c r="C49" s="82"/>
      <c r="D49" s="62" t="s">
        <v>136</v>
      </c>
      <c r="E49" s="83"/>
    </row>
    <row r="50" spans="1:5" x14ac:dyDescent="0.25">
      <c r="A50" s="9" t="s">
        <v>10</v>
      </c>
      <c r="B50" s="69" t="s">
        <v>55</v>
      </c>
      <c r="C50" s="82"/>
      <c r="D50" s="62" t="s">
        <v>136</v>
      </c>
      <c r="E50" s="83"/>
    </row>
    <row r="51" spans="1:5" ht="19.5" thickBot="1" x14ac:dyDescent="0.3">
      <c r="A51" s="5" t="s">
        <v>10</v>
      </c>
      <c r="B51" s="70" t="s">
        <v>56</v>
      </c>
      <c r="C51" s="82"/>
      <c r="D51" s="62" t="s">
        <v>136</v>
      </c>
      <c r="E51" s="83"/>
    </row>
    <row r="52" spans="1:5" ht="19.5" thickTop="1" x14ac:dyDescent="0.25">
      <c r="A52" s="44" t="s">
        <v>10</v>
      </c>
      <c r="B52" s="73" t="s">
        <v>126</v>
      </c>
      <c r="C52" s="82"/>
      <c r="D52" s="62" t="s">
        <v>136</v>
      </c>
      <c r="E52" s="83"/>
    </row>
    <row r="53" spans="1:5" x14ac:dyDescent="0.25">
      <c r="A53" s="9" t="s">
        <v>10</v>
      </c>
      <c r="B53" s="69" t="s">
        <v>50</v>
      </c>
      <c r="C53" s="82"/>
      <c r="D53" s="62" t="s">
        <v>136</v>
      </c>
      <c r="E53" s="83"/>
    </row>
    <row r="54" spans="1:5" x14ac:dyDescent="0.25">
      <c r="A54" s="9" t="s">
        <v>10</v>
      </c>
      <c r="B54" s="69" t="s">
        <v>51</v>
      </c>
      <c r="C54" s="82"/>
      <c r="D54" s="62" t="s">
        <v>136</v>
      </c>
      <c r="E54" s="83"/>
    </row>
    <row r="55" spans="1:5" ht="19.5" thickBot="1" x14ac:dyDescent="0.3">
      <c r="A55" s="9" t="s">
        <v>10</v>
      </c>
      <c r="B55" s="69" t="s">
        <v>53</v>
      </c>
      <c r="C55" s="82"/>
      <c r="D55" s="62" t="s">
        <v>136</v>
      </c>
      <c r="E55" s="83"/>
    </row>
    <row r="56" spans="1:5" ht="19.5" thickTop="1" x14ac:dyDescent="0.25">
      <c r="A56" s="90" t="s">
        <v>10</v>
      </c>
      <c r="B56" s="68" t="s">
        <v>71</v>
      </c>
      <c r="C56" s="82"/>
      <c r="D56" s="62" t="s">
        <v>136</v>
      </c>
      <c r="E56" s="83"/>
    </row>
    <row r="57" spans="1:5" x14ac:dyDescent="0.25">
      <c r="A57" s="44" t="s">
        <v>10</v>
      </c>
      <c r="B57" s="69" t="s">
        <v>72</v>
      </c>
      <c r="C57" s="82"/>
      <c r="D57" s="62" t="s">
        <v>136</v>
      </c>
      <c r="E57" s="83"/>
    </row>
    <row r="58" spans="1:5" x14ac:dyDescent="0.25">
      <c r="A58" s="44" t="s">
        <v>10</v>
      </c>
      <c r="B58" s="69" t="s">
        <v>129</v>
      </c>
      <c r="C58" s="82"/>
      <c r="D58" s="62" t="s">
        <v>136</v>
      </c>
      <c r="E58" s="83"/>
    </row>
    <row r="59" spans="1:5" x14ac:dyDescent="0.25">
      <c r="A59" s="44" t="s">
        <v>132</v>
      </c>
      <c r="B59" s="69" t="s">
        <v>130</v>
      </c>
      <c r="C59" s="82"/>
      <c r="D59" s="62" t="s">
        <v>136</v>
      </c>
      <c r="E59" s="83"/>
    </row>
    <row r="60" spans="1:5" x14ac:dyDescent="0.25">
      <c r="A60" s="44" t="s">
        <v>10</v>
      </c>
      <c r="B60" s="69" t="s">
        <v>128</v>
      </c>
      <c r="C60" s="82"/>
      <c r="D60" s="62" t="s">
        <v>136</v>
      </c>
      <c r="E60" s="83"/>
    </row>
    <row r="61" spans="1:5" x14ac:dyDescent="0.25">
      <c r="A61" s="44" t="s">
        <v>132</v>
      </c>
      <c r="B61" s="69" t="s">
        <v>131</v>
      </c>
      <c r="C61" s="82"/>
      <c r="D61" s="62" t="s">
        <v>136</v>
      </c>
      <c r="E61" s="83"/>
    </row>
    <row r="62" spans="1:5" x14ac:dyDescent="0.25">
      <c r="A62" s="44" t="s">
        <v>10</v>
      </c>
      <c r="B62" s="69" t="s">
        <v>80</v>
      </c>
      <c r="C62" s="82"/>
      <c r="D62" s="62" t="s">
        <v>136</v>
      </c>
      <c r="E62" s="83"/>
    </row>
    <row r="63" spans="1:5" x14ac:dyDescent="0.25">
      <c r="A63" s="44" t="s">
        <v>10</v>
      </c>
      <c r="B63" s="73" t="s">
        <v>127</v>
      </c>
      <c r="C63" s="82"/>
      <c r="D63" s="62" t="s">
        <v>136</v>
      </c>
      <c r="E63" s="83"/>
    </row>
    <row r="64" spans="1:5" ht="19.5" thickBot="1" x14ac:dyDescent="0.3">
      <c r="A64" s="128" t="s">
        <v>10</v>
      </c>
      <c r="B64" s="70" t="s">
        <v>121</v>
      </c>
      <c r="C64" s="82"/>
      <c r="D64" s="62" t="s">
        <v>136</v>
      </c>
      <c r="E64" s="83"/>
    </row>
    <row r="65" spans="1:5" ht="19.5" thickTop="1" x14ac:dyDescent="0.25">
      <c r="A65" s="9" t="s">
        <v>10</v>
      </c>
      <c r="B65" s="69" t="s">
        <v>2</v>
      </c>
      <c r="C65" s="82"/>
      <c r="D65" s="62"/>
      <c r="E65" s="83" t="s">
        <v>136</v>
      </c>
    </row>
    <row r="66" spans="1:5" x14ac:dyDescent="0.25">
      <c r="A66" s="9" t="s">
        <v>10</v>
      </c>
      <c r="B66" s="69" t="s">
        <v>4</v>
      </c>
      <c r="C66" s="82"/>
      <c r="D66" s="62"/>
      <c r="E66" s="83" t="s">
        <v>136</v>
      </c>
    </row>
    <row r="67" spans="1:5" x14ac:dyDescent="0.25">
      <c r="A67" s="9" t="s">
        <v>10</v>
      </c>
      <c r="B67" s="69" t="s">
        <v>6</v>
      </c>
      <c r="C67" s="82"/>
      <c r="D67" s="62"/>
      <c r="E67" s="83" t="s">
        <v>136</v>
      </c>
    </row>
    <row r="68" spans="1:5" x14ac:dyDescent="0.25">
      <c r="A68" s="9" t="s">
        <v>10</v>
      </c>
      <c r="B68" s="69" t="s">
        <v>8</v>
      </c>
      <c r="C68" s="82"/>
      <c r="D68" s="62"/>
      <c r="E68" s="83" t="s">
        <v>136</v>
      </c>
    </row>
    <row r="69" spans="1:5" ht="19.5" thickBot="1" x14ac:dyDescent="0.3">
      <c r="A69" s="5" t="s">
        <v>10</v>
      </c>
      <c r="B69" s="70" t="s">
        <v>11</v>
      </c>
      <c r="C69" s="82"/>
      <c r="D69" s="62"/>
      <c r="E69" s="83" t="s">
        <v>136</v>
      </c>
    </row>
    <row r="70" spans="1:5" ht="19.5" thickTop="1" x14ac:dyDescent="0.25">
      <c r="A70" s="99" t="s">
        <v>10</v>
      </c>
      <c r="B70" s="68" t="s">
        <v>104</v>
      </c>
      <c r="C70" s="82"/>
      <c r="D70" s="62"/>
      <c r="E70" s="83" t="s">
        <v>136</v>
      </c>
    </row>
    <row r="71" spans="1:5" x14ac:dyDescent="0.25">
      <c r="A71" s="98" t="s">
        <v>10</v>
      </c>
      <c r="B71" s="69" t="s">
        <v>105</v>
      </c>
      <c r="C71" s="82"/>
      <c r="D71" s="62"/>
      <c r="E71" s="83" t="s">
        <v>136</v>
      </c>
    </row>
    <row r="72" spans="1:5" x14ac:dyDescent="0.25">
      <c r="A72" s="53" t="s">
        <v>132</v>
      </c>
      <c r="B72" s="19" t="s">
        <v>106</v>
      </c>
      <c r="C72" s="82"/>
      <c r="D72" s="62"/>
      <c r="E72" s="83"/>
    </row>
    <row r="73" spans="1:5" x14ac:dyDescent="0.25">
      <c r="A73" s="53" t="s">
        <v>132</v>
      </c>
      <c r="B73" s="19" t="s">
        <v>107</v>
      </c>
      <c r="C73" s="82"/>
      <c r="D73" s="62"/>
      <c r="E73" s="83"/>
    </row>
    <row r="74" spans="1:5" ht="19.5" thickBot="1" x14ac:dyDescent="0.3">
      <c r="A74" s="98" t="s">
        <v>10</v>
      </c>
      <c r="B74" s="69" t="s">
        <v>108</v>
      </c>
      <c r="C74" s="82"/>
      <c r="D74" s="62"/>
      <c r="E74" s="83" t="s">
        <v>136</v>
      </c>
    </row>
    <row r="75" spans="1:5" ht="19.5" thickTop="1" x14ac:dyDescent="0.25">
      <c r="A75" s="52" t="s">
        <v>10</v>
      </c>
      <c r="B75" s="18" t="s">
        <v>87</v>
      </c>
      <c r="C75" s="82"/>
      <c r="D75" s="62"/>
      <c r="E75" s="83"/>
    </row>
    <row r="76" spans="1:5" x14ac:dyDescent="0.25">
      <c r="A76" s="98" t="s">
        <v>10</v>
      </c>
      <c r="B76" s="69" t="s">
        <v>88</v>
      </c>
      <c r="C76" s="82"/>
      <c r="D76" s="62"/>
      <c r="E76" s="83" t="s">
        <v>136</v>
      </c>
    </row>
    <row r="77" spans="1:5" x14ac:dyDescent="0.25">
      <c r="A77" s="53" t="s">
        <v>132</v>
      </c>
      <c r="B77" s="19" t="s">
        <v>109</v>
      </c>
      <c r="C77" s="82"/>
      <c r="D77" s="62"/>
      <c r="E77" s="83"/>
    </row>
    <row r="78" spans="1:5" x14ac:dyDescent="0.25">
      <c r="A78" s="98" t="s">
        <v>10</v>
      </c>
      <c r="B78" s="69" t="s">
        <v>110</v>
      </c>
      <c r="C78" s="82"/>
      <c r="D78" s="62"/>
      <c r="E78" s="83" t="s">
        <v>136</v>
      </c>
    </row>
    <row r="79" spans="1:5" x14ac:dyDescent="0.25">
      <c r="A79" s="98" t="s">
        <v>10</v>
      </c>
      <c r="B79" s="69" t="s">
        <v>112</v>
      </c>
      <c r="C79" s="82"/>
      <c r="D79" s="62"/>
      <c r="E79" s="83" t="s">
        <v>136</v>
      </c>
    </row>
    <row r="80" spans="1:5" ht="19.5" thickBot="1" x14ac:dyDescent="0.3">
      <c r="A80" s="54" t="s">
        <v>132</v>
      </c>
      <c r="B80" s="74" t="s">
        <v>111</v>
      </c>
      <c r="C80" s="84"/>
      <c r="D80" s="85"/>
      <c r="E80" s="86"/>
    </row>
    <row r="81" spans="1:5" ht="19.5" thickTop="1" x14ac:dyDescent="0.25">
      <c r="A81" s="102" t="s">
        <v>174</v>
      </c>
      <c r="B81" s="12" t="s">
        <v>199</v>
      </c>
      <c r="C81" s="82"/>
      <c r="D81" s="62"/>
      <c r="E81" s="83"/>
    </row>
    <row r="82" spans="1:5" x14ac:dyDescent="0.25">
      <c r="A82" s="100" t="s">
        <v>174</v>
      </c>
      <c r="B82" s="13" t="s">
        <v>200</v>
      </c>
      <c r="C82" s="82"/>
      <c r="D82" s="62"/>
      <c r="E82" s="83"/>
    </row>
    <row r="83" spans="1:5" x14ac:dyDescent="0.25">
      <c r="A83" s="9" t="s">
        <v>174</v>
      </c>
      <c r="B83" s="10" t="s">
        <v>169</v>
      </c>
      <c r="C83" s="82" t="s">
        <v>136</v>
      </c>
      <c r="D83" s="62"/>
      <c r="E83" s="83"/>
    </row>
    <row r="84" spans="1:5" x14ac:dyDescent="0.25">
      <c r="A84" s="9" t="s">
        <v>10</v>
      </c>
      <c r="B84" s="10" t="s">
        <v>201</v>
      </c>
      <c r="C84" s="82" t="s">
        <v>136</v>
      </c>
      <c r="D84" s="62"/>
      <c r="E84" s="83"/>
    </row>
    <row r="85" spans="1:5" ht="19.5" thickBot="1" x14ac:dyDescent="0.3">
      <c r="A85" s="5" t="s">
        <v>10</v>
      </c>
      <c r="B85" s="6" t="s">
        <v>201</v>
      </c>
      <c r="C85" s="82" t="s">
        <v>136</v>
      </c>
      <c r="D85" s="62"/>
      <c r="E85" s="83"/>
    </row>
    <row r="86" spans="1:5" ht="19.5" thickTop="1" x14ac:dyDescent="0.25">
      <c r="A86" s="102" t="s">
        <v>174</v>
      </c>
      <c r="B86" s="12" t="s">
        <v>145</v>
      </c>
      <c r="C86" s="82"/>
      <c r="D86" s="62"/>
      <c r="E86" s="83"/>
    </row>
    <row r="87" spans="1:5" x14ac:dyDescent="0.25">
      <c r="A87" s="100" t="s">
        <v>174</v>
      </c>
      <c r="B87" s="13" t="s">
        <v>147</v>
      </c>
      <c r="C87" s="82"/>
      <c r="D87" s="62"/>
      <c r="E87" s="83"/>
    </row>
    <row r="88" spans="1:5" x14ac:dyDescent="0.25">
      <c r="A88" s="100" t="s">
        <v>174</v>
      </c>
      <c r="B88" s="13" t="s">
        <v>150</v>
      </c>
      <c r="C88" s="82"/>
      <c r="D88" s="62"/>
      <c r="E88" s="83"/>
    </row>
    <row r="89" spans="1:5" x14ac:dyDescent="0.25">
      <c r="A89" s="100" t="s">
        <v>174</v>
      </c>
      <c r="B89" s="13" t="s">
        <v>151</v>
      </c>
      <c r="C89" s="82"/>
      <c r="D89" s="62"/>
      <c r="E89" s="83"/>
    </row>
    <row r="90" spans="1:5" x14ac:dyDescent="0.25">
      <c r="A90" s="100" t="s">
        <v>174</v>
      </c>
      <c r="B90" s="13" t="s">
        <v>152</v>
      </c>
      <c r="C90" s="82"/>
      <c r="D90" s="62"/>
      <c r="E90" s="83"/>
    </row>
    <row r="91" spans="1:5" x14ac:dyDescent="0.25">
      <c r="A91" s="9" t="s">
        <v>174</v>
      </c>
      <c r="B91" s="10" t="s">
        <v>154</v>
      </c>
      <c r="C91" s="82"/>
      <c r="D91" s="62" t="s">
        <v>136</v>
      </c>
      <c r="E91" s="83"/>
    </row>
    <row r="92" spans="1:5" x14ac:dyDescent="0.25">
      <c r="A92" s="100" t="s">
        <v>174</v>
      </c>
      <c r="B92" s="13" t="s">
        <v>156</v>
      </c>
      <c r="C92" s="82"/>
      <c r="D92" s="62"/>
      <c r="E92" s="83"/>
    </row>
    <row r="93" spans="1:5" x14ac:dyDescent="0.25">
      <c r="A93" s="9" t="s">
        <v>174</v>
      </c>
      <c r="B93" s="10" t="s">
        <v>158</v>
      </c>
      <c r="C93" s="82"/>
      <c r="D93" s="62" t="s">
        <v>136</v>
      </c>
      <c r="E93" s="83"/>
    </row>
    <row r="94" spans="1:5" x14ac:dyDescent="0.25">
      <c r="A94" s="100" t="s">
        <v>174</v>
      </c>
      <c r="B94" s="13" t="s">
        <v>159</v>
      </c>
      <c r="C94" s="82"/>
      <c r="D94" s="62"/>
      <c r="E94" s="83"/>
    </row>
    <row r="95" spans="1:5" ht="19.5" thickBot="1" x14ac:dyDescent="0.3">
      <c r="A95" s="5" t="s">
        <v>174</v>
      </c>
      <c r="B95" s="6" t="s">
        <v>162</v>
      </c>
      <c r="C95" s="82"/>
      <c r="D95" s="62" t="s">
        <v>136</v>
      </c>
      <c r="E95" s="83"/>
    </row>
    <row r="96" spans="1:5" ht="19.5" thickTop="1" x14ac:dyDescent="0.25">
      <c r="A96" s="102" t="s">
        <v>173</v>
      </c>
      <c r="B96" s="12" t="s">
        <v>175</v>
      </c>
      <c r="C96" s="82"/>
      <c r="D96" s="62"/>
      <c r="E96" s="83"/>
    </row>
    <row r="97" spans="1:5" x14ac:dyDescent="0.25">
      <c r="A97" s="100" t="s">
        <v>173</v>
      </c>
      <c r="B97" s="13" t="s">
        <v>175</v>
      </c>
      <c r="C97" s="82"/>
      <c r="D97" s="62"/>
      <c r="E97" s="83"/>
    </row>
    <row r="98" spans="1:5" x14ac:dyDescent="0.25">
      <c r="A98" s="100" t="s">
        <v>173</v>
      </c>
      <c r="B98" s="13" t="s">
        <v>167</v>
      </c>
      <c r="C98" s="82"/>
      <c r="D98" s="62"/>
      <c r="E98" s="83"/>
    </row>
    <row r="99" spans="1:5" x14ac:dyDescent="0.25">
      <c r="A99" s="100" t="s">
        <v>173</v>
      </c>
      <c r="B99" s="13" t="s">
        <v>168</v>
      </c>
      <c r="C99" s="82"/>
      <c r="D99" s="62"/>
      <c r="E99" s="83"/>
    </row>
    <row r="100" spans="1:5" ht="19.5" thickBot="1" x14ac:dyDescent="0.3">
      <c r="A100" s="101" t="s">
        <v>173</v>
      </c>
      <c r="B100" s="34" t="s">
        <v>168</v>
      </c>
      <c r="C100" s="82"/>
      <c r="D100" s="62"/>
      <c r="E100" s="83"/>
    </row>
    <row r="101" spans="1:5" ht="19.5" thickTop="1" x14ac:dyDescent="0.25">
      <c r="A101" s="100" t="s">
        <v>173</v>
      </c>
      <c r="B101" s="12" t="s">
        <v>144</v>
      </c>
      <c r="C101" s="82"/>
      <c r="D101" s="62"/>
      <c r="E101" s="83"/>
    </row>
    <row r="102" spans="1:5" x14ac:dyDescent="0.25">
      <c r="A102" s="100" t="s">
        <v>173</v>
      </c>
      <c r="B102" s="13" t="s">
        <v>146</v>
      </c>
      <c r="C102" s="82"/>
      <c r="D102" s="62"/>
      <c r="E102" s="83"/>
    </row>
    <row r="103" spans="1:5" x14ac:dyDescent="0.25">
      <c r="A103" s="100" t="s">
        <v>173</v>
      </c>
      <c r="B103" s="13" t="s">
        <v>148</v>
      </c>
      <c r="C103" s="82"/>
      <c r="D103" s="62"/>
      <c r="E103" s="83"/>
    </row>
    <row r="104" spans="1:5" x14ac:dyDescent="0.25">
      <c r="A104" s="100" t="s">
        <v>173</v>
      </c>
      <c r="B104" s="13" t="s">
        <v>149</v>
      </c>
      <c r="C104" s="82"/>
      <c r="D104" s="62"/>
      <c r="E104" s="83"/>
    </row>
    <row r="105" spans="1:5" x14ac:dyDescent="0.25">
      <c r="A105" s="100" t="s">
        <v>173</v>
      </c>
      <c r="B105" s="13" t="s">
        <v>153</v>
      </c>
      <c r="C105" s="82"/>
      <c r="D105" s="62"/>
      <c r="E105" s="83"/>
    </row>
    <row r="106" spans="1:5" x14ac:dyDescent="0.25">
      <c r="A106" s="100" t="s">
        <v>173</v>
      </c>
      <c r="B106" s="13" t="s">
        <v>155</v>
      </c>
      <c r="C106" s="82"/>
      <c r="D106" s="62"/>
      <c r="E106" s="83"/>
    </row>
    <row r="107" spans="1:5" x14ac:dyDescent="0.25">
      <c r="A107" s="100" t="s">
        <v>173</v>
      </c>
      <c r="B107" s="13" t="s">
        <v>157</v>
      </c>
      <c r="C107" s="82"/>
      <c r="D107" s="62"/>
      <c r="E107" s="83"/>
    </row>
    <row r="108" spans="1:5" x14ac:dyDescent="0.25">
      <c r="A108" s="100" t="s">
        <v>173</v>
      </c>
      <c r="B108" s="13" t="s">
        <v>160</v>
      </c>
      <c r="C108" s="82"/>
      <c r="D108" s="62"/>
      <c r="E108" s="83"/>
    </row>
    <row r="109" spans="1:5" x14ac:dyDescent="0.25">
      <c r="A109" s="100" t="s">
        <v>173</v>
      </c>
      <c r="B109" s="13" t="s">
        <v>161</v>
      </c>
      <c r="C109" s="82"/>
      <c r="D109" s="62"/>
      <c r="E109" s="83"/>
    </row>
    <row r="110" spans="1:5" ht="19.5" thickBot="1" x14ac:dyDescent="0.3">
      <c r="A110" s="101" t="s">
        <v>173</v>
      </c>
      <c r="B110" s="34" t="s">
        <v>163</v>
      </c>
      <c r="C110" s="82"/>
      <c r="D110" s="62"/>
      <c r="E110" s="83"/>
    </row>
    <row r="111" spans="1:5" ht="19.5" thickTop="1" x14ac:dyDescent="0.25"/>
  </sheetData>
  <pageMargins left="0.7" right="0.7" top="0.75" bottom="0.75" header="0.3" footer="0.3"/>
  <pageSetup paperSize="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0143E-DFC6-4197-9920-640A4AA385B6}">
  <dimension ref="B1:H29"/>
  <sheetViews>
    <sheetView workbookViewId="0">
      <selection activeCell="F34" sqref="F34"/>
    </sheetView>
  </sheetViews>
  <sheetFormatPr baseColWidth="10" defaultRowHeight="15" x14ac:dyDescent="0.25"/>
  <cols>
    <col min="2" max="2" width="31.140625" bestFit="1" customWidth="1"/>
    <col min="5" max="5" width="31.140625" bestFit="1" customWidth="1"/>
    <col min="7" max="7" width="37.42578125" bestFit="1" customWidth="1"/>
    <col min="8" max="8" width="25.28515625" bestFit="1" customWidth="1"/>
  </cols>
  <sheetData>
    <row r="1" spans="2:8" x14ac:dyDescent="0.25">
      <c r="B1" t="s">
        <v>143</v>
      </c>
      <c r="E1" t="s">
        <v>173</v>
      </c>
      <c r="H1" t="s">
        <v>174</v>
      </c>
    </row>
    <row r="2" spans="2:8" x14ac:dyDescent="0.25">
      <c r="B2" s="89" t="s">
        <v>144</v>
      </c>
      <c r="E2" t="s">
        <v>171</v>
      </c>
      <c r="H2" t="s">
        <v>171</v>
      </c>
    </row>
    <row r="3" spans="2:8" x14ac:dyDescent="0.25">
      <c r="B3" t="s">
        <v>145</v>
      </c>
      <c r="E3" t="s">
        <v>144</v>
      </c>
      <c r="H3" t="s">
        <v>145</v>
      </c>
    </row>
    <row r="4" spans="2:8" x14ac:dyDescent="0.25">
      <c r="B4" s="89" t="s">
        <v>146</v>
      </c>
      <c r="E4" t="s">
        <v>146</v>
      </c>
      <c r="H4" t="s">
        <v>147</v>
      </c>
    </row>
    <row r="5" spans="2:8" x14ac:dyDescent="0.25">
      <c r="B5" t="s">
        <v>147</v>
      </c>
      <c r="E5" t="s">
        <v>148</v>
      </c>
      <c r="H5" t="s">
        <v>150</v>
      </c>
    </row>
    <row r="6" spans="2:8" x14ac:dyDescent="0.25">
      <c r="B6" s="89" t="s">
        <v>148</v>
      </c>
      <c r="E6" t="s">
        <v>149</v>
      </c>
      <c r="H6" t="s">
        <v>151</v>
      </c>
    </row>
    <row r="7" spans="2:8" x14ac:dyDescent="0.25">
      <c r="B7" s="89" t="s">
        <v>149</v>
      </c>
      <c r="E7" t="s">
        <v>153</v>
      </c>
      <c r="H7" t="s">
        <v>152</v>
      </c>
    </row>
    <row r="8" spans="2:8" x14ac:dyDescent="0.25">
      <c r="B8" t="s">
        <v>150</v>
      </c>
      <c r="E8" t="s">
        <v>155</v>
      </c>
      <c r="H8" t="s">
        <v>154</v>
      </c>
    </row>
    <row r="9" spans="2:8" x14ac:dyDescent="0.25">
      <c r="B9" t="s">
        <v>151</v>
      </c>
      <c r="E9" t="s">
        <v>157</v>
      </c>
      <c r="H9" t="s">
        <v>156</v>
      </c>
    </row>
    <row r="10" spans="2:8" x14ac:dyDescent="0.25">
      <c r="B10" t="s">
        <v>152</v>
      </c>
      <c r="E10" t="s">
        <v>160</v>
      </c>
      <c r="H10" t="s">
        <v>158</v>
      </c>
    </row>
    <row r="11" spans="2:8" x14ac:dyDescent="0.25">
      <c r="B11" s="89" t="s">
        <v>153</v>
      </c>
      <c r="E11" t="s">
        <v>161</v>
      </c>
      <c r="H11" t="s">
        <v>159</v>
      </c>
    </row>
    <row r="12" spans="2:8" x14ac:dyDescent="0.25">
      <c r="B12" t="s">
        <v>154</v>
      </c>
      <c r="E12" t="s">
        <v>163</v>
      </c>
      <c r="H12" t="s">
        <v>162</v>
      </c>
    </row>
    <row r="13" spans="2:8" x14ac:dyDescent="0.25">
      <c r="B13" s="89" t="s">
        <v>155</v>
      </c>
    </row>
    <row r="14" spans="2:8" x14ac:dyDescent="0.25">
      <c r="B14" t="s">
        <v>156</v>
      </c>
      <c r="E14" t="s">
        <v>172</v>
      </c>
      <c r="H14" t="s">
        <v>172</v>
      </c>
    </row>
    <row r="15" spans="2:8" x14ac:dyDescent="0.25">
      <c r="B15" s="89" t="s">
        <v>157</v>
      </c>
      <c r="E15" t="s">
        <v>175</v>
      </c>
      <c r="H15" t="s">
        <v>165</v>
      </c>
    </row>
    <row r="16" spans="2:8" x14ac:dyDescent="0.25">
      <c r="B16" t="s">
        <v>158</v>
      </c>
      <c r="E16" t="s">
        <v>167</v>
      </c>
      <c r="H16" t="s">
        <v>169</v>
      </c>
    </row>
    <row r="17" spans="2:8" x14ac:dyDescent="0.25">
      <c r="B17" t="s">
        <v>159</v>
      </c>
      <c r="E17" t="s">
        <v>168</v>
      </c>
      <c r="H17" t="s">
        <v>170</v>
      </c>
    </row>
    <row r="18" spans="2:8" x14ac:dyDescent="0.25">
      <c r="B18" s="89" t="s">
        <v>160</v>
      </c>
    </row>
    <row r="19" spans="2:8" x14ac:dyDescent="0.25">
      <c r="B19" s="89" t="s">
        <v>161</v>
      </c>
    </row>
    <row r="20" spans="2:8" x14ac:dyDescent="0.25">
      <c r="B20" t="s">
        <v>162</v>
      </c>
    </row>
    <row r="21" spans="2:8" x14ac:dyDescent="0.25">
      <c r="B21" s="89" t="s">
        <v>163</v>
      </c>
    </row>
    <row r="23" spans="2:8" x14ac:dyDescent="0.25">
      <c r="B23" t="s">
        <v>164</v>
      </c>
      <c r="E23" s="89"/>
    </row>
    <row r="24" spans="2:8" x14ac:dyDescent="0.25">
      <c r="B24" t="s">
        <v>165</v>
      </c>
    </row>
    <row r="25" spans="2:8" x14ac:dyDescent="0.25">
      <c r="B25" s="89" t="s">
        <v>166</v>
      </c>
    </row>
    <row r="26" spans="2:8" x14ac:dyDescent="0.25">
      <c r="B26" s="89" t="s">
        <v>167</v>
      </c>
    </row>
    <row r="27" spans="2:8" x14ac:dyDescent="0.25">
      <c r="B27" s="89" t="s">
        <v>168</v>
      </c>
    </row>
    <row r="28" spans="2:8" x14ac:dyDescent="0.25">
      <c r="B28" t="s">
        <v>169</v>
      </c>
    </row>
    <row r="29" spans="2:8" x14ac:dyDescent="0.25">
      <c r="B29" t="s">
        <v>170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3C89-432D-4358-9A1C-B160981530F9}">
  <dimension ref="A1:H12"/>
  <sheetViews>
    <sheetView workbookViewId="0">
      <selection activeCell="D1" sqref="D1:E11"/>
    </sheetView>
  </sheetViews>
  <sheetFormatPr baseColWidth="10" defaultRowHeight="15" x14ac:dyDescent="0.25"/>
  <cols>
    <col min="1" max="1" width="2" bestFit="1" customWidth="1"/>
    <col min="2" max="2" width="16.5703125" bestFit="1" customWidth="1"/>
    <col min="4" max="4" width="3" bestFit="1" customWidth="1"/>
    <col min="5" max="5" width="26.42578125" bestFit="1" customWidth="1"/>
    <col min="7" max="7" width="2" style="108" bestFit="1" customWidth="1"/>
    <col min="8" max="8" width="21.42578125" bestFit="1" customWidth="1"/>
  </cols>
  <sheetData>
    <row r="1" spans="1:8" ht="16.5" thickTop="1" thickBot="1" x14ac:dyDescent="0.3">
      <c r="B1" s="107" t="s">
        <v>198</v>
      </c>
      <c r="E1" s="107" t="s">
        <v>202</v>
      </c>
      <c r="F1" s="109"/>
      <c r="G1" s="110"/>
      <c r="H1" s="107" t="s">
        <v>203</v>
      </c>
    </row>
    <row r="2" spans="1:8" ht="15.75" thickTop="1" x14ac:dyDescent="0.25">
      <c r="A2" s="103">
        <v>1</v>
      </c>
      <c r="B2" s="106" t="s">
        <v>144</v>
      </c>
      <c r="D2" s="103">
        <v>1</v>
      </c>
      <c r="E2" s="121" t="s">
        <v>71</v>
      </c>
      <c r="F2" s="109"/>
      <c r="G2" s="112">
        <v>1</v>
      </c>
      <c r="H2" s="104" t="s">
        <v>145</v>
      </c>
    </row>
    <row r="3" spans="1:8" x14ac:dyDescent="0.25">
      <c r="A3" s="104">
        <v>2</v>
      </c>
      <c r="B3" s="104" t="s">
        <v>149</v>
      </c>
      <c r="D3" s="104">
        <v>2</v>
      </c>
      <c r="E3" s="121" t="s">
        <v>130</v>
      </c>
      <c r="F3" s="111"/>
      <c r="G3" s="113">
        <v>2</v>
      </c>
      <c r="H3" s="104" t="s">
        <v>147</v>
      </c>
    </row>
    <row r="4" spans="1:8" x14ac:dyDescent="0.25">
      <c r="A4" s="104">
        <v>3</v>
      </c>
      <c r="B4" s="104" t="s">
        <v>157</v>
      </c>
      <c r="D4" s="104">
        <v>3</v>
      </c>
      <c r="E4" s="121" t="s">
        <v>128</v>
      </c>
      <c r="F4" s="111"/>
      <c r="G4" s="113">
        <v>3</v>
      </c>
      <c r="H4" s="104" t="s">
        <v>146</v>
      </c>
    </row>
    <row r="5" spans="1:8" ht="15.75" thickBot="1" x14ac:dyDescent="0.3">
      <c r="A5" s="105">
        <v>4</v>
      </c>
      <c r="B5" s="105" t="s">
        <v>161</v>
      </c>
      <c r="D5" s="104">
        <v>4</v>
      </c>
      <c r="E5" s="121" t="s">
        <v>127</v>
      </c>
      <c r="F5" s="109"/>
      <c r="G5" s="113">
        <v>4</v>
      </c>
      <c r="H5" s="104" t="s">
        <v>148</v>
      </c>
    </row>
    <row r="6" spans="1:8" ht="15.75" thickTop="1" x14ac:dyDescent="0.25">
      <c r="D6" s="104">
        <v>5</v>
      </c>
      <c r="E6" s="121" t="s">
        <v>126</v>
      </c>
      <c r="F6" s="109"/>
      <c r="G6" s="113">
        <v>5</v>
      </c>
      <c r="H6" s="104" t="s">
        <v>155</v>
      </c>
    </row>
    <row r="7" spans="1:8" x14ac:dyDescent="0.25">
      <c r="D7" s="104">
        <v>6</v>
      </c>
      <c r="E7" s="121" t="s">
        <v>121</v>
      </c>
      <c r="F7" s="109"/>
      <c r="G7" s="113">
        <v>6</v>
      </c>
      <c r="H7" s="104" t="s">
        <v>160</v>
      </c>
    </row>
    <row r="8" spans="1:8" ht="15.75" thickBot="1" x14ac:dyDescent="0.3">
      <c r="D8" s="104">
        <v>7</v>
      </c>
      <c r="E8" s="121" t="s">
        <v>123</v>
      </c>
      <c r="F8" s="109"/>
      <c r="G8" s="114">
        <v>7</v>
      </c>
      <c r="H8" s="105" t="s">
        <v>163</v>
      </c>
    </row>
    <row r="9" spans="1:8" ht="15.75" thickTop="1" x14ac:dyDescent="0.25">
      <c r="D9" s="104">
        <v>8</v>
      </c>
      <c r="E9" s="121" t="s">
        <v>154</v>
      </c>
    </row>
    <row r="10" spans="1:8" x14ac:dyDescent="0.25">
      <c r="D10" s="104">
        <v>9</v>
      </c>
      <c r="E10" s="121" t="s">
        <v>159</v>
      </c>
    </row>
    <row r="11" spans="1:8" ht="15.75" thickBot="1" x14ac:dyDescent="0.3">
      <c r="D11" s="105">
        <v>10</v>
      </c>
      <c r="E11" s="127" t="s">
        <v>199</v>
      </c>
    </row>
    <row r="12" spans="1:8" ht="15.75" thickTop="1" x14ac:dyDescent="0.25"/>
  </sheetData>
  <pageMargins left="0.7" right="0.7" top="0.75" bottom="0.75" header="0.3" footer="0.3"/>
  <pageSetup paperSize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PLETAC</vt:lpstr>
      <vt:lpstr>FIBERQUIL</vt:lpstr>
      <vt:lpstr>LPR PLETAC 20</vt:lpstr>
      <vt:lpstr>20 NUEVAS PLETAC</vt:lpstr>
      <vt:lpstr>10 + 5 BONOMO</vt:lpstr>
      <vt:lpstr>10 + 5 FIBERQUIL</vt:lpstr>
      <vt:lpstr>Hoja1</vt:lpstr>
      <vt:lpstr>Hoja2</vt:lpstr>
      <vt:lpstr>total funcionando</vt:lpstr>
      <vt:lpstr>nuevas instalaciones 8-9</vt:lpstr>
      <vt:lpstr>POSTES Y BRAZOS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2025-07-02T16:33:31Z</dcterms:created>
  <dcterms:modified xsi:type="dcterms:W3CDTF">2025-10-07T14:11:46Z</dcterms:modified>
</cp:coreProperties>
</file>