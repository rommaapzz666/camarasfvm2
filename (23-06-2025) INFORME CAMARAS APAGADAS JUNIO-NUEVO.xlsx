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89A107F2-C8AB-4A03-8891-712F9510F28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" i="2" l="1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D174" i="24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<sst xmlns="http://schemas.openxmlformats.org/spreadsheetml/2006/main" count="5064" uniqueCount="1524">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</sst>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55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55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55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35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50" zoomScaleNormal="50" workbookViewId="0">
      <pane xSplit="11" ySplit="7" topLeftCell="L323" activePane="bottomRight" state="frozen"/>
      <selection pane="topRight" activeCell="M1" sqref="M1"/>
      <selection pane="bottomLeft" activeCell="A5" sqref="A5"/>
      <selection pane="bottomRight" activeCell="F323" sqref="F32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0.10351201478743069</v>
      </c>
      <c r="AC1" s="3">
        <f t="shared" si="1"/>
        <v>0.12296564195298372</v>
      </c>
      <c r="AD1" s="3">
        <f t="shared" si="1"/>
        <v>8.3175803402646506E-2</v>
      </c>
      <c r="AE1" s="3">
        <f t="shared" si="1"/>
        <v>0.12296564195298372</v>
      </c>
      <c r="AF1" s="3">
        <f t="shared" si="1"/>
        <v>8.6629001883239173E-2</v>
      </c>
      <c r="AG1" s="3">
        <f t="shared" si="1"/>
        <v>0.13392857142857142</v>
      </c>
      <c r="AH1" s="3">
        <f t="shared" si="1"/>
        <v>0.15652173913043479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90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29</v>
      </c>
      <c r="AC4" s="10">
        <f>COUNTIFS(AC8:AC600, "=APAGADO",F8:F600,"=Fibra Optica")</f>
        <v>47</v>
      </c>
      <c r="AD4" s="10">
        <f>COUNTIFS(AD8:AD600, "=APAGADO",F8:F600,"=Fibra Optica")</f>
        <v>28</v>
      </c>
      <c r="AE4" s="10">
        <f>COUNTIFS(AE8:AE600, "=APAGADO",F8:F600,"=Fibra Optica")</f>
        <v>52</v>
      </c>
      <c r="AF4" s="10">
        <f>COUNTIFS(AF8:AF600, "=APAGADO",F8:F600,"=Fibra Optica")</f>
        <v>29</v>
      </c>
      <c r="AG4" s="10">
        <f>COUNTIFS(AG8:AG600, "=APAGADO",F8:F600,"=Fibra Optica")</f>
        <v>56</v>
      </c>
      <c r="AH4" s="10">
        <f>COUNTIFS(AH8:AH600, "=APAGADO",F8:F600,"=Fibra Optica")</f>
        <v>64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15</v>
      </c>
      <c r="M5" s="136">
        <f>COUNTIFS(M8:M600, "=APAGADO",F8:F600,"=RADIO")</f>
        <v>13</v>
      </c>
      <c r="N5" s="136">
        <f>COUNTIFS(N8:N600, "=APAGADO",F8:F600,"=RADIO")</f>
        <v>14</v>
      </c>
      <c r="O5" s="136">
        <f>COUNTIFS(O8:O600, "=APAGADO",F8:F600,"=RADIO")</f>
        <v>11</v>
      </c>
      <c r="P5" s="136">
        <f>COUNTIFS(P8:P600, "=APAGADO",F8:F600,"=RADIO")</f>
        <v>15</v>
      </c>
      <c r="Q5" s="136">
        <f>COUNTIFS(Q8:Q600, "=APAGADO",F8:F600,"=RADIO")</f>
        <v>13</v>
      </c>
      <c r="R5" s="136">
        <f>COUNTIFS(R8:R600, "=APAGADO",F8:F600,"=RADIO")</f>
        <v>11</v>
      </c>
      <c r="S5" s="136">
        <f>COUNTIFS(S8:S600, "=APAGADO",F8:F600,"=RADIO")</f>
        <v>11</v>
      </c>
      <c r="T5" s="136">
        <f>COUNTIFS(T8:T600, "=APAGADO",F8:F600,"=RADIO")</f>
        <v>12</v>
      </c>
      <c r="U5" s="136">
        <f>COUNTIFS(U8:U600, "=APAGADO",F8:F600,"=RADIO")</f>
        <v>16</v>
      </c>
      <c r="V5" s="136">
        <f>COUNTIFS(V8:V600, "=APAGADO",F8:F600,"=RADIO")</f>
        <v>12</v>
      </c>
      <c r="W5" s="136">
        <f>COUNTIFS(W8:W600, "=APAGADO",F8:F600,"=RADIO")</f>
        <v>14</v>
      </c>
      <c r="X5" s="136">
        <f>COUNTIFS(X8:X600, "=APAGADO",F8:F600,"=RADIO")</f>
        <v>15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19</v>
      </c>
      <c r="AC5" s="136">
        <f>COUNTIFS(AC8:AC600, "=APAGADO",F8:F600,"=RADIO")</f>
        <v>14</v>
      </c>
      <c r="AD5" s="136">
        <f>COUNTIFS(AD8:AD600, "=APAGADO",F8:F600,"=RADIO")</f>
        <v>10</v>
      </c>
      <c r="AE5" s="136">
        <f>COUNTIFS(AE8:AE600, "=APAGADO",F8:F600,"=RADIO")</f>
        <v>9</v>
      </c>
      <c r="AF5" s="136">
        <f>COUNTIFS(AF8:AF600, "=APAGADO",F8:F600,"=RADIO")</f>
        <v>10</v>
      </c>
      <c r="AG5" s="136">
        <f>COUNTIFS(AG8:AG600, "=APAGADO",F8:F600,"=RADIO")</f>
        <v>9</v>
      </c>
      <c r="AH5" s="136">
        <f>COUNTIFS(AH8:AH600, "=APAGADO",F8:F600,"=RADIO")</f>
        <v>10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7</v>
      </c>
      <c r="AC6" s="10">
        <f>COUNTIFS(AC8:AC600, "=APAGADO",F8:F600,"=PTO A FO")</f>
        <v>6</v>
      </c>
      <c r="AD6" s="10">
        <f>COUNTIFS(AD8:AD600, "=APAGADO",F8:F600,"=PTO A FO")</f>
        <v>6</v>
      </c>
      <c r="AE6" s="10">
        <f>COUNTIFS(AE8:AE600, "=APAGADO",F8:F600,"=PTO A FO")</f>
        <v>7</v>
      </c>
      <c r="AF6" s="10">
        <f>COUNTIFS(AF8:AF600, "=APAGADO",F8:F600,"=PTO A FO")</f>
        <v>6</v>
      </c>
      <c r="AG6" s="10">
        <f>COUNTIFS(AG8:AG600, "=APAGADO",F8:F600,"=PTO A FO")</f>
        <v>9</v>
      </c>
      <c r="AH6" s="10">
        <f>COUNTIFS(AH8:AH600, "=APAGADO",F8:F600,"=PTO A FO")</f>
        <v>13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8</v>
      </c>
      <c r="J10" s="31">
        <f t="shared" si="6"/>
        <v>20</v>
      </c>
      <c r="K10" s="32">
        <f t="shared" si="7"/>
        <v>0.2857142857142857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 t="s">
        <v>1489</v>
      </c>
      <c r="AC10" s="72" t="s">
        <v>1489</v>
      </c>
      <c r="AD10" s="72" t="s">
        <v>1489</v>
      </c>
      <c r="AE10" s="72" t="s">
        <v>1489</v>
      </c>
      <c r="AF10" s="72" t="s">
        <v>1489</v>
      </c>
      <c r="AG10" s="72" t="s">
        <v>1489</v>
      </c>
      <c r="AH10" s="72" t="s">
        <v>1489</v>
      </c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8</v>
      </c>
      <c r="J11" s="31">
        <f t="shared" si="6"/>
        <v>20</v>
      </c>
      <c r="K11" s="32">
        <f t="shared" si="7"/>
        <v>0.2857142857142857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 t="s">
        <v>1489</v>
      </c>
      <c r="AC11" s="72" t="s">
        <v>1489</v>
      </c>
      <c r="AD11" s="72" t="s">
        <v>1489</v>
      </c>
      <c r="AE11" s="72" t="s">
        <v>1489</v>
      </c>
      <c r="AF11" s="72" t="s">
        <v>1489</v>
      </c>
      <c r="AG11" s="72" t="s">
        <v>1489</v>
      </c>
      <c r="AH11" s="72" t="s">
        <v>1489</v>
      </c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8</v>
      </c>
      <c r="J13" s="31">
        <f t="shared" si="6"/>
        <v>20</v>
      </c>
      <c r="K13" s="32">
        <f t="shared" si="7"/>
        <v>0.2857142857142857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 t="s">
        <v>1489</v>
      </c>
      <c r="AC13" s="72" t="s">
        <v>1489</v>
      </c>
      <c r="AD13" s="72" t="s">
        <v>1489</v>
      </c>
      <c r="AE13" s="72" t="s">
        <v>1489</v>
      </c>
      <c r="AF13" s="72" t="s">
        <v>1489</v>
      </c>
      <c r="AG13" s="72" t="s">
        <v>1489</v>
      </c>
      <c r="AH13" s="72" t="s">
        <v>1489</v>
      </c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25</v>
      </c>
      <c r="J18" s="31">
        <f t="shared" si="6"/>
        <v>3</v>
      </c>
      <c r="K18" s="32">
        <f t="shared" si="7"/>
        <v>0.8928571428571429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1489</v>
      </c>
      <c r="AG18" s="72" t="s">
        <v>1489</v>
      </c>
      <c r="AH18" s="72" t="s">
        <v>1489</v>
      </c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12</v>
      </c>
      <c r="J28" s="31">
        <f t="shared" si="6"/>
        <v>16</v>
      </c>
      <c r="K28" s="32">
        <f t="shared" si="7"/>
        <v>0.42857142857142855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 t="s">
        <v>1489</v>
      </c>
      <c r="AC28" s="72" t="s">
        <v>1489</v>
      </c>
      <c r="AD28" s="72" t="s">
        <v>1489</v>
      </c>
      <c r="AE28" s="72" t="s">
        <v>1489</v>
      </c>
      <c r="AF28" s="72"/>
      <c r="AG28" s="72" t="s">
        <v>1489</v>
      </c>
      <c r="AH28" s="72" t="s">
        <v>1489</v>
      </c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9</v>
      </c>
      <c r="J29" s="31">
        <f t="shared" si="6"/>
        <v>19</v>
      </c>
      <c r="K29" s="32">
        <f t="shared" si="7"/>
        <v>0.32142857142857145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 t="s">
        <v>1489</v>
      </c>
      <c r="AC29" s="72" t="s">
        <v>1489</v>
      </c>
      <c r="AD29" s="72" t="s">
        <v>1489</v>
      </c>
      <c r="AE29" s="72" t="s">
        <v>1489</v>
      </c>
      <c r="AF29" s="72"/>
      <c r="AG29" s="72" t="s">
        <v>1489</v>
      </c>
      <c r="AH29" s="72" t="s">
        <v>1489</v>
      </c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9</v>
      </c>
      <c r="J30" s="31">
        <f t="shared" si="6"/>
        <v>19</v>
      </c>
      <c r="K30" s="32">
        <f t="shared" si="7"/>
        <v>0.32142857142857145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 t="s">
        <v>1489</v>
      </c>
      <c r="AC30" s="72" t="s">
        <v>1489</v>
      </c>
      <c r="AD30" s="72" t="s">
        <v>1489</v>
      </c>
      <c r="AE30" s="72" t="s">
        <v>1489</v>
      </c>
      <c r="AF30" s="72" t="s">
        <v>1489</v>
      </c>
      <c r="AG30" s="72" t="s">
        <v>1489</v>
      </c>
      <c r="AH30" s="72" t="s">
        <v>1489</v>
      </c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9</v>
      </c>
      <c r="J31" s="31">
        <f t="shared" si="6"/>
        <v>19</v>
      </c>
      <c r="K31" s="32">
        <f t="shared" si="7"/>
        <v>0.32142857142857145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 t="s">
        <v>1489</v>
      </c>
      <c r="AC31" s="72" t="s">
        <v>1489</v>
      </c>
      <c r="AD31" s="72" t="s">
        <v>1489</v>
      </c>
      <c r="AE31" s="72" t="s">
        <v>1489</v>
      </c>
      <c r="AF31" s="72" t="s">
        <v>1489</v>
      </c>
      <c r="AG31" s="72" t="s">
        <v>1489</v>
      </c>
      <c r="AH31" s="72" t="s">
        <v>1489</v>
      </c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8</v>
      </c>
      <c r="J37" s="31">
        <f t="shared" si="6"/>
        <v>20</v>
      </c>
      <c r="K37" s="32">
        <f t="shared" si="7"/>
        <v>0.2857142857142857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 t="s">
        <v>1489</v>
      </c>
      <c r="AC37" s="72" t="s">
        <v>1489</v>
      </c>
      <c r="AD37" s="72" t="s">
        <v>1489</v>
      </c>
      <c r="AE37" s="72" t="s">
        <v>1489</v>
      </c>
      <c r="AF37" s="72" t="s">
        <v>1489</v>
      </c>
      <c r="AG37" s="72" t="s">
        <v>1489</v>
      </c>
      <c r="AH37" s="72" t="s">
        <v>1489</v>
      </c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 t="s">
        <v>1489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21</v>
      </c>
      <c r="J49" s="31">
        <f t="shared" si="6"/>
        <v>7</v>
      </c>
      <c r="K49" s="32">
        <f t="shared" si="7"/>
        <v>0.75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1489</v>
      </c>
      <c r="AF49" s="72"/>
      <c r="AG49" s="72" t="s">
        <v>1489</v>
      </c>
      <c r="AH49" s="72" t="s">
        <v>1489</v>
      </c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10</v>
      </c>
      <c r="J52" s="31">
        <f t="shared" si="6"/>
        <v>18</v>
      </c>
      <c r="K52" s="32">
        <f t="shared" si="7"/>
        <v>0.35714285714285715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 t="s">
        <v>1489</v>
      </c>
      <c r="AC52" s="72" t="s">
        <v>1489</v>
      </c>
      <c r="AD52" s="99" t="s">
        <v>1489</v>
      </c>
      <c r="AE52" s="99" t="s">
        <v>1489</v>
      </c>
      <c r="AF52" s="99" t="s">
        <v>1489</v>
      </c>
      <c r="AG52" s="99" t="s">
        <v>1489</v>
      </c>
      <c r="AH52" s="99" t="s">
        <v>1489</v>
      </c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27</v>
      </c>
      <c r="J53" s="31">
        <f t="shared" si="6"/>
        <v>1</v>
      </c>
      <c r="K53" s="32">
        <f t="shared" si="7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1489</v>
      </c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22</v>
      </c>
      <c r="J54" s="31">
        <f t="shared" si="6"/>
        <v>6</v>
      </c>
      <c r="K54" s="32">
        <f t="shared" si="7"/>
        <v>0.7857142857142857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1489</v>
      </c>
      <c r="AF54" s="72"/>
      <c r="AG54" s="72"/>
      <c r="AH54" s="72" t="s">
        <v>1489</v>
      </c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21</v>
      </c>
      <c r="J55" s="31">
        <f t="shared" si="6"/>
        <v>7</v>
      </c>
      <c r="K55" s="32">
        <f t="shared" si="7"/>
        <v>0.75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1489</v>
      </c>
      <c r="AF55" s="72"/>
      <c r="AG55" s="72" t="s">
        <v>1489</v>
      </c>
      <c r="AH55" s="72" t="s">
        <v>1489</v>
      </c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8</v>
      </c>
      <c r="J56" s="31">
        <f t="shared" si="6"/>
        <v>20</v>
      </c>
      <c r="K56" s="32">
        <f t="shared" si="7"/>
        <v>0.2857142857142857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 t="s">
        <v>1489</v>
      </c>
      <c r="AC56" s="72" t="s">
        <v>1489</v>
      </c>
      <c r="AD56" s="72" t="s">
        <v>1489</v>
      </c>
      <c r="AE56" s="72" t="s">
        <v>1489</v>
      </c>
      <c r="AF56" s="72" t="s">
        <v>1489</v>
      </c>
      <c r="AG56" s="72" t="s">
        <v>1489</v>
      </c>
      <c r="AH56" s="72" t="s">
        <v>1489</v>
      </c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 t="s">
        <v>1489</v>
      </c>
      <c r="AD57" s="72"/>
      <c r="AE57" s="72" t="s">
        <v>1489</v>
      </c>
      <c r="AF57" s="72"/>
      <c r="AG57" s="72" t="s">
        <v>1489</v>
      </c>
      <c r="AH57" s="72" t="s">
        <v>1489</v>
      </c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21</v>
      </c>
      <c r="J58" s="31">
        <f t="shared" si="6"/>
        <v>7</v>
      </c>
      <c r="K58" s="32">
        <f t="shared" si="7"/>
        <v>0.75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1489</v>
      </c>
      <c r="AF58" s="72"/>
      <c r="AG58" s="72" t="s">
        <v>1489</v>
      </c>
      <c r="AH58" s="72" t="s">
        <v>1489</v>
      </c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21</v>
      </c>
      <c r="J59" s="31">
        <f t="shared" si="6"/>
        <v>7</v>
      </c>
      <c r="K59" s="32">
        <f t="shared" si="7"/>
        <v>0.75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1489</v>
      </c>
      <c r="AF59" s="72"/>
      <c r="AG59" s="72" t="s">
        <v>1489</v>
      </c>
      <c r="AH59" s="72" t="s">
        <v>1489</v>
      </c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21</v>
      </c>
      <c r="J60" s="31">
        <f t="shared" si="6"/>
        <v>7</v>
      </c>
      <c r="K60" s="32">
        <f t="shared" si="7"/>
        <v>0.75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1489</v>
      </c>
      <c r="AF60" s="72"/>
      <c r="AG60" s="72" t="s">
        <v>1489</v>
      </c>
      <c r="AH60" s="72" t="s">
        <v>1489</v>
      </c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21</v>
      </c>
      <c r="J61" s="31">
        <f t="shared" si="6"/>
        <v>7</v>
      </c>
      <c r="K61" s="32">
        <f t="shared" si="7"/>
        <v>0.75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1489</v>
      </c>
      <c r="AF61" s="72"/>
      <c r="AG61" s="72" t="s">
        <v>1489</v>
      </c>
      <c r="AH61" s="72" t="s">
        <v>1489</v>
      </c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21</v>
      </c>
      <c r="J62" s="31">
        <f t="shared" si="6"/>
        <v>7</v>
      </c>
      <c r="K62" s="32">
        <f t="shared" si="7"/>
        <v>0.75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1489</v>
      </c>
      <c r="AF62" s="72"/>
      <c r="AG62" s="72" t="s">
        <v>1489</v>
      </c>
      <c r="AH62" s="72" t="s">
        <v>1489</v>
      </c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22</v>
      </c>
      <c r="J63" s="31">
        <f t="shared" si="6"/>
        <v>6</v>
      </c>
      <c r="K63" s="32">
        <f t="shared" si="7"/>
        <v>0.7857142857142857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1489</v>
      </c>
      <c r="AF63" s="72"/>
      <c r="AG63" s="72"/>
      <c r="AH63" s="72" t="s">
        <v>1489</v>
      </c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25</v>
      </c>
      <c r="J73" s="31">
        <f t="shared" si="9"/>
        <v>3</v>
      </c>
      <c r="K73" s="32">
        <f t="shared" si="10"/>
        <v>0.8928571428571429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 t="s">
        <v>1489</v>
      </c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18</v>
      </c>
      <c r="J74" s="31">
        <f t="shared" si="9"/>
        <v>10</v>
      </c>
      <c r="K74" s="32">
        <f t="shared" si="10"/>
        <v>0.6428571428571429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 t="s">
        <v>1489</v>
      </c>
      <c r="AF74" s="72"/>
      <c r="AG74" s="72" t="s">
        <v>1489</v>
      </c>
      <c r="AH74" s="72" t="s">
        <v>1489</v>
      </c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19</v>
      </c>
      <c r="J75" s="31">
        <f t="shared" si="9"/>
        <v>9</v>
      </c>
      <c r="K75" s="32">
        <f t="shared" si="10"/>
        <v>0.6785714285714286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 t="s">
        <v>1489</v>
      </c>
      <c r="AF75" s="72"/>
      <c r="AG75" s="72" t="s">
        <v>1489</v>
      </c>
      <c r="AH75" s="72" t="s">
        <v>1489</v>
      </c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19</v>
      </c>
      <c r="J78" s="31">
        <f t="shared" si="9"/>
        <v>9</v>
      </c>
      <c r="K78" s="32">
        <f t="shared" si="10"/>
        <v>0.6785714285714286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1489</v>
      </c>
      <c r="AF78" s="72"/>
      <c r="AG78" s="72" t="s">
        <v>1489</v>
      </c>
      <c r="AH78" s="72" t="s">
        <v>1489</v>
      </c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1489</v>
      </c>
      <c r="AD90" s="72" t="s">
        <v>1489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25</v>
      </c>
      <c r="J98" s="31">
        <f t="shared" si="9"/>
        <v>3</v>
      </c>
      <c r="K98" s="32">
        <f t="shared" si="10"/>
        <v>0.8928571428571429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 t="s">
        <v>1489</v>
      </c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 t="s">
        <v>1489</v>
      </c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1489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21</v>
      </c>
      <c r="J107" s="31">
        <f t="shared" si="9"/>
        <v>7</v>
      </c>
      <c r="K107" s="32">
        <f t="shared" si="10"/>
        <v>0.75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1489</v>
      </c>
      <c r="AF107" s="72"/>
      <c r="AG107" s="72" t="s">
        <v>1489</v>
      </c>
      <c r="AH107" s="72" t="s">
        <v>1489</v>
      </c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21</v>
      </c>
      <c r="J108" s="31">
        <f t="shared" si="9"/>
        <v>7</v>
      </c>
      <c r="K108" s="32">
        <f t="shared" si="10"/>
        <v>0.75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1489</v>
      </c>
      <c r="AF108" s="72"/>
      <c r="AG108" s="72" t="s">
        <v>1489</v>
      </c>
      <c r="AH108" s="72" t="s">
        <v>1489</v>
      </c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21</v>
      </c>
      <c r="J109" s="31">
        <f t="shared" si="9"/>
        <v>7</v>
      </c>
      <c r="K109" s="32">
        <f t="shared" si="10"/>
        <v>0.75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1489</v>
      </c>
      <c r="AF109" s="72"/>
      <c r="AG109" s="72" t="s">
        <v>1489</v>
      </c>
      <c r="AH109" s="72" t="s">
        <v>1489</v>
      </c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12</v>
      </c>
      <c r="J113" s="31">
        <f t="shared" si="9"/>
        <v>16</v>
      </c>
      <c r="K113" s="32">
        <f t="shared" si="10"/>
        <v>0.42857142857142855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 t="s">
        <v>1489</v>
      </c>
      <c r="AC113" s="72" t="s">
        <v>1489</v>
      </c>
      <c r="AD113" s="72" t="s">
        <v>1489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8</v>
      </c>
      <c r="J121" s="31">
        <f t="shared" si="9"/>
        <v>20</v>
      </c>
      <c r="K121" s="32">
        <f t="shared" si="10"/>
        <v>0.2857142857142857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 t="s">
        <v>1489</v>
      </c>
      <c r="AC121" s="72" t="s">
        <v>1489</v>
      </c>
      <c r="AD121" s="72" t="s">
        <v>1489</v>
      </c>
      <c r="AE121" s="72" t="s">
        <v>1489</v>
      </c>
      <c r="AF121" s="72" t="s">
        <v>1489</v>
      </c>
      <c r="AG121" s="72" t="s">
        <v>1489</v>
      </c>
      <c r="AH121" s="72" t="s">
        <v>1489</v>
      </c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26</v>
      </c>
      <c r="J122" s="31">
        <f t="shared" si="9"/>
        <v>2</v>
      </c>
      <c r="K122" s="32">
        <f t="shared" si="10"/>
        <v>0.9285714285714286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 t="s">
        <v>1489</v>
      </c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8</v>
      </c>
      <c r="J128" s="31">
        <f t="shared" si="9"/>
        <v>19</v>
      </c>
      <c r="K128" s="32">
        <f t="shared" si="10"/>
        <v>0.29629629629629628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 t="s">
        <v>1489</v>
      </c>
      <c r="AC128" s="72" t="s">
        <v>1489</v>
      </c>
      <c r="AD128" s="99" t="s">
        <v>1489</v>
      </c>
      <c r="AE128" s="99" t="s">
        <v>1522</v>
      </c>
      <c r="AF128" s="99" t="s">
        <v>1489</v>
      </c>
      <c r="AG128" s="99" t="s">
        <v>1489</v>
      </c>
      <c r="AH128" s="99" t="s">
        <v>1489</v>
      </c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8</v>
      </c>
      <c r="J131" s="31">
        <f t="shared" si="9"/>
        <v>20</v>
      </c>
      <c r="K131" s="32">
        <f t="shared" si="10"/>
        <v>0.2857142857142857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 t="s">
        <v>1489</v>
      </c>
      <c r="AC131" s="72" t="s">
        <v>1489</v>
      </c>
      <c r="AD131" s="99" t="s">
        <v>1489</v>
      </c>
      <c r="AE131" s="99" t="s">
        <v>1489</v>
      </c>
      <c r="AF131" s="99" t="s">
        <v>1489</v>
      </c>
      <c r="AG131" s="99" t="s">
        <v>1489</v>
      </c>
      <c r="AH131" s="99" t="s">
        <v>1489</v>
      </c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8</v>
      </c>
      <c r="J132" s="31">
        <f t="shared" si="9"/>
        <v>20</v>
      </c>
      <c r="K132" s="32">
        <f t="shared" si="10"/>
        <v>0.2857142857142857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 t="s">
        <v>1489</v>
      </c>
      <c r="AC132" s="72" t="s">
        <v>1489</v>
      </c>
      <c r="AD132" s="99" t="s">
        <v>1489</v>
      </c>
      <c r="AE132" s="99" t="s">
        <v>1489</v>
      </c>
      <c r="AF132" s="99" t="s">
        <v>1489</v>
      </c>
      <c r="AG132" s="99" t="s">
        <v>1489</v>
      </c>
      <c r="AH132" s="99" t="s">
        <v>1489</v>
      </c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23</v>
      </c>
      <c r="J142" s="31">
        <f t="shared" si="12"/>
        <v>5</v>
      </c>
      <c r="K142" s="32">
        <f t="shared" si="13"/>
        <v>0.8214285714285714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 t="s">
        <v>1489</v>
      </c>
      <c r="AH142" s="72" t="s">
        <v>1489</v>
      </c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23</v>
      </c>
      <c r="J143" s="31">
        <f t="shared" si="12"/>
        <v>5</v>
      </c>
      <c r="K143" s="32">
        <f t="shared" si="13"/>
        <v>0.8214285714285714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 t="s">
        <v>1489</v>
      </c>
      <c r="AH143" s="72" t="s">
        <v>1489</v>
      </c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25</v>
      </c>
      <c r="J147" s="31">
        <f t="shared" si="12"/>
        <v>3</v>
      </c>
      <c r="K147" s="32">
        <f t="shared" si="13"/>
        <v>0.8928571428571429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 t="s">
        <v>1489</v>
      </c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23</v>
      </c>
      <c r="J151" s="31">
        <f t="shared" si="12"/>
        <v>5</v>
      </c>
      <c r="K151" s="32">
        <f t="shared" si="13"/>
        <v>0.8214285714285714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 t="s">
        <v>1489</v>
      </c>
      <c r="AH151" s="72" t="s">
        <v>1489</v>
      </c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23</v>
      </c>
      <c r="J152" s="31">
        <f t="shared" si="12"/>
        <v>5</v>
      </c>
      <c r="K152" s="32">
        <f t="shared" si="13"/>
        <v>0.8214285714285714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 t="s">
        <v>1489</v>
      </c>
      <c r="AH152" s="72" t="s">
        <v>1489</v>
      </c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1489</v>
      </c>
      <c r="AH153" s="72" t="s">
        <v>1489</v>
      </c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24</v>
      </c>
      <c r="J154" s="31">
        <f t="shared" si="12"/>
        <v>4</v>
      </c>
      <c r="K154" s="32">
        <f t="shared" si="13"/>
        <v>0.8571428571428571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1489</v>
      </c>
      <c r="AH154" s="72" t="s">
        <v>1489</v>
      </c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26</v>
      </c>
      <c r="J158" s="31">
        <f t="shared" si="12"/>
        <v>2</v>
      </c>
      <c r="K158" s="32">
        <f t="shared" si="13"/>
        <v>0.9285714285714286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1489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8</v>
      </c>
      <c r="J159" s="31">
        <f t="shared" si="12"/>
        <v>20</v>
      </c>
      <c r="K159" s="32">
        <f t="shared" si="13"/>
        <v>0.2857142857142857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 t="s">
        <v>1489</v>
      </c>
      <c r="AC159" s="72" t="s">
        <v>1489</v>
      </c>
      <c r="AD159" s="99" t="s">
        <v>1489</v>
      </c>
      <c r="AE159" s="99" t="s">
        <v>1489</v>
      </c>
      <c r="AF159" s="99" t="s">
        <v>1489</v>
      </c>
      <c r="AG159" s="99" t="s">
        <v>1489</v>
      </c>
      <c r="AH159" s="99" t="s">
        <v>1489</v>
      </c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27</v>
      </c>
      <c r="J161" s="31">
        <f t="shared" si="12"/>
        <v>1</v>
      </c>
      <c r="K161" s="32">
        <f t="shared" si="13"/>
        <v>0.9642857142857143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 t="s">
        <v>1489</v>
      </c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 t="s">
        <v>1489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 t="s">
        <v>1489</v>
      </c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18</v>
      </c>
      <c r="J165" s="31">
        <f t="shared" si="12"/>
        <v>10</v>
      </c>
      <c r="K165" s="32">
        <f t="shared" si="13"/>
        <v>0.6428571428571429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 t="s">
        <v>1489</v>
      </c>
      <c r="AC165" s="72" t="s">
        <v>1489</v>
      </c>
      <c r="AD165" s="99"/>
      <c r="AE165" s="99" t="s">
        <v>1489</v>
      </c>
      <c r="AF165" s="99" t="s">
        <v>1489</v>
      </c>
      <c r="AG165" s="99" t="s">
        <v>1489</v>
      </c>
      <c r="AH165" s="99" t="s">
        <v>1489</v>
      </c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23</v>
      </c>
      <c r="J169" s="31">
        <f t="shared" si="12"/>
        <v>5</v>
      </c>
      <c r="K169" s="32">
        <f t="shared" si="13"/>
        <v>0.8214285714285714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 t="s">
        <v>1489</v>
      </c>
      <c r="AC169" s="72" t="s">
        <v>1489</v>
      </c>
      <c r="AD169" s="72" t="s">
        <v>1489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18</v>
      </c>
      <c r="J177" s="31">
        <f t="shared" si="12"/>
        <v>10</v>
      </c>
      <c r="K177" s="32">
        <f t="shared" si="13"/>
        <v>0.6428571428571429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 t="s">
        <v>1489</v>
      </c>
      <c r="AC177" s="72"/>
      <c r="AD177" s="72"/>
      <c r="AE177" s="72" t="s">
        <v>1489</v>
      </c>
      <c r="AF177" s="72"/>
      <c r="AG177" s="72" t="s">
        <v>1489</v>
      </c>
      <c r="AH177" s="72" t="s">
        <v>1489</v>
      </c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 t="s">
        <v>1489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 t="s">
        <v>1489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9</v>
      </c>
      <c r="J207" s="31">
        <f t="shared" si="15"/>
        <v>19</v>
      </c>
      <c r="K207" s="32">
        <f t="shared" si="16"/>
        <v>0.32142857142857145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 t="s">
        <v>1489</v>
      </c>
      <c r="AC207" s="72" t="s">
        <v>1489</v>
      </c>
      <c r="AD207" s="99" t="s">
        <v>1489</v>
      </c>
      <c r="AE207" s="99" t="s">
        <v>1489</v>
      </c>
      <c r="AF207" s="99" t="s">
        <v>1489</v>
      </c>
      <c r="AG207" s="99" t="s">
        <v>1489</v>
      </c>
      <c r="AH207" s="99" t="s">
        <v>1489</v>
      </c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 t="s">
        <v>1489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26</v>
      </c>
      <c r="J209" s="31">
        <f t="shared" si="15"/>
        <v>2</v>
      </c>
      <c r="K209" s="32">
        <f t="shared" si="16"/>
        <v>0.9285714285714286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 t="s">
        <v>1489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8</v>
      </c>
      <c r="J210" s="31">
        <f t="shared" si="15"/>
        <v>20</v>
      </c>
      <c r="K210" s="32">
        <f t="shared" si="16"/>
        <v>0.2857142857142857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 t="s">
        <v>1489</v>
      </c>
      <c r="AC210" s="72" t="s">
        <v>1489</v>
      </c>
      <c r="AD210" s="72" t="s">
        <v>1489</v>
      </c>
      <c r="AE210" s="72" t="s">
        <v>1489</v>
      </c>
      <c r="AF210" s="72" t="s">
        <v>1489</v>
      </c>
      <c r="AG210" s="72" t="s">
        <v>1489</v>
      </c>
      <c r="AH210" s="72" t="s">
        <v>1489</v>
      </c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20</v>
      </c>
      <c r="J231" s="31">
        <f t="shared" si="15"/>
        <v>8</v>
      </c>
      <c r="K231" s="32">
        <f t="shared" si="16"/>
        <v>0.7142857142857143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 t="s">
        <v>1489</v>
      </c>
      <c r="AF231" s="72" t="s">
        <v>1489</v>
      </c>
      <c r="AG231" s="72" t="s">
        <v>1489</v>
      </c>
      <c r="AH231" s="72" t="s">
        <v>1489</v>
      </c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21</v>
      </c>
      <c r="J233" s="31">
        <f t="shared" si="15"/>
        <v>7</v>
      </c>
      <c r="K233" s="32">
        <f t="shared" si="16"/>
        <v>0.75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 t="s">
        <v>1489</v>
      </c>
      <c r="AF233" s="72"/>
      <c r="AG233" s="72" t="s">
        <v>1489</v>
      </c>
      <c r="AH233" s="72" t="s">
        <v>1489</v>
      </c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21</v>
      </c>
      <c r="J236" s="31">
        <f t="shared" si="15"/>
        <v>7</v>
      </c>
      <c r="K236" s="32">
        <f t="shared" si="16"/>
        <v>0.75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 t="s">
        <v>1489</v>
      </c>
      <c r="AF236" s="72"/>
      <c r="AG236" s="72" t="s">
        <v>1489</v>
      </c>
      <c r="AH236" s="72" t="s">
        <v>1489</v>
      </c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26</v>
      </c>
      <c r="J247" s="31">
        <f t="shared" si="15"/>
        <v>2</v>
      </c>
      <c r="K247" s="32">
        <f t="shared" si="16"/>
        <v>0.9285714285714286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 t="s">
        <v>1489</v>
      </c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12</v>
      </c>
      <c r="J249" s="31">
        <f t="shared" si="15"/>
        <v>16</v>
      </c>
      <c r="K249" s="32">
        <f t="shared" si="16"/>
        <v>0.42857142857142855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 t="s">
        <v>1489</v>
      </c>
      <c r="AC249" s="72" t="s">
        <v>1489</v>
      </c>
      <c r="AD249" s="72" t="s">
        <v>1489</v>
      </c>
      <c r="AE249" s="72"/>
      <c r="AF249" s="72"/>
      <c r="AG249" s="72" t="s">
        <v>1489</v>
      </c>
      <c r="AH249" s="72" t="s">
        <v>1489</v>
      </c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26</v>
      </c>
      <c r="J255" s="31">
        <f t="shared" si="15"/>
        <v>2</v>
      </c>
      <c r="K255" s="32">
        <f t="shared" si="16"/>
        <v>0.9285714285714286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 t="s">
        <v>1489</v>
      </c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26</v>
      </c>
      <c r="J256" s="31">
        <f t="shared" si="15"/>
        <v>2</v>
      </c>
      <c r="K256" s="32">
        <f t="shared" si="16"/>
        <v>0.9285714285714286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 t="s">
        <v>1489</v>
      </c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 t="s">
        <v>1489</v>
      </c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9</v>
      </c>
      <c r="J263" s="31">
        <f t="shared" si="15"/>
        <v>19</v>
      </c>
      <c r="K263" s="32">
        <f t="shared" si="16"/>
        <v>0.32142857142857145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 t="s">
        <v>1489</v>
      </c>
      <c r="AC263" s="72" t="s">
        <v>1489</v>
      </c>
      <c r="AD263" s="99" t="s">
        <v>1489</v>
      </c>
      <c r="AE263" s="99" t="s">
        <v>1489</v>
      </c>
      <c r="AF263" s="99" t="s">
        <v>1489</v>
      </c>
      <c r="AG263" s="99" t="s">
        <v>1489</v>
      </c>
      <c r="AH263" s="99" t="s">
        <v>1489</v>
      </c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20</v>
      </c>
      <c r="J268" s="31">
        <f t="shared" si="18"/>
        <v>8</v>
      </c>
      <c r="K268" s="32">
        <f t="shared" si="19"/>
        <v>0.7142857142857143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 t="s">
        <v>1489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24</v>
      </c>
      <c r="J281" s="31">
        <f t="shared" si="18"/>
        <v>4</v>
      </c>
      <c r="K281" s="32">
        <f t="shared" si="19"/>
        <v>0.8571428571428571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 t="s">
        <v>1489</v>
      </c>
      <c r="AF281" s="72" t="s">
        <v>1489</v>
      </c>
      <c r="AG281" s="72" t="s">
        <v>1489</v>
      </c>
      <c r="AH281" s="72" t="s">
        <v>1489</v>
      </c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24</v>
      </c>
      <c r="J282" s="31">
        <f t="shared" si="18"/>
        <v>4</v>
      </c>
      <c r="K282" s="32">
        <f t="shared" si="19"/>
        <v>0.8571428571428571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 t="s">
        <v>1489</v>
      </c>
      <c r="AF282" s="72" t="s">
        <v>1489</v>
      </c>
      <c r="AG282" s="72" t="s">
        <v>1489</v>
      </c>
      <c r="AH282" s="72" t="s">
        <v>1489</v>
      </c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26</v>
      </c>
      <c r="J283" s="31">
        <f t="shared" si="18"/>
        <v>2</v>
      </c>
      <c r="K283" s="32">
        <f t="shared" si="19"/>
        <v>0.9285714285714286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 t="s">
        <v>1489</v>
      </c>
      <c r="AF283" s="72"/>
      <c r="AG283" s="72"/>
      <c r="AH283" s="72" t="s">
        <v>1489</v>
      </c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8</v>
      </c>
      <c r="J297" s="31">
        <f t="shared" si="18"/>
        <v>20</v>
      </c>
      <c r="K297" s="32">
        <f t="shared" si="19"/>
        <v>0.2857142857142857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 t="s">
        <v>1489</v>
      </c>
      <c r="AC297" s="72" t="s">
        <v>1489</v>
      </c>
      <c r="AD297" s="72" t="s">
        <v>1489</v>
      </c>
      <c r="AE297" s="72" t="s">
        <v>1489</v>
      </c>
      <c r="AF297" s="72" t="s">
        <v>1489</v>
      </c>
      <c r="AG297" s="72" t="s">
        <v>1489</v>
      </c>
      <c r="AH297" s="72" t="s">
        <v>1489</v>
      </c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8</v>
      </c>
      <c r="J298" s="31">
        <f t="shared" si="18"/>
        <v>20</v>
      </c>
      <c r="K298" s="32">
        <f t="shared" si="19"/>
        <v>0.2857142857142857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 t="s">
        <v>1489</v>
      </c>
      <c r="AC298" s="72" t="s">
        <v>1489</v>
      </c>
      <c r="AD298" s="72" t="s">
        <v>1489</v>
      </c>
      <c r="AE298" s="72" t="s">
        <v>1489</v>
      </c>
      <c r="AF298" s="72" t="s">
        <v>1489</v>
      </c>
      <c r="AG298" s="72" t="s">
        <v>1489</v>
      </c>
      <c r="AH298" s="72" t="s">
        <v>1489</v>
      </c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8</v>
      </c>
      <c r="J299" s="31">
        <f t="shared" si="18"/>
        <v>20</v>
      </c>
      <c r="K299" s="32">
        <f t="shared" si="19"/>
        <v>0.2857142857142857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 t="s">
        <v>1489</v>
      </c>
      <c r="AC299" s="72" t="s">
        <v>1489</v>
      </c>
      <c r="AD299" s="72" t="s">
        <v>1489</v>
      </c>
      <c r="AE299" s="72" t="s">
        <v>1489</v>
      </c>
      <c r="AF299" s="72" t="s">
        <v>1489</v>
      </c>
      <c r="AG299" s="72" t="s">
        <v>1489</v>
      </c>
      <c r="AH299" s="72" t="s">
        <v>1489</v>
      </c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8</v>
      </c>
      <c r="J300" s="31">
        <f t="shared" si="18"/>
        <v>20</v>
      </c>
      <c r="K300" s="32">
        <f t="shared" si="19"/>
        <v>0.2857142857142857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 t="s">
        <v>1489</v>
      </c>
      <c r="AC300" s="72" t="s">
        <v>1489</v>
      </c>
      <c r="AD300" s="72" t="s">
        <v>1489</v>
      </c>
      <c r="AE300" s="72" t="s">
        <v>1489</v>
      </c>
      <c r="AF300" s="72" t="s">
        <v>1489</v>
      </c>
      <c r="AG300" s="72" t="s">
        <v>1489</v>
      </c>
      <c r="AH300" s="72" t="s">
        <v>1489</v>
      </c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8</v>
      </c>
      <c r="J301" s="31">
        <f t="shared" si="18"/>
        <v>20</v>
      </c>
      <c r="K301" s="32">
        <f t="shared" si="19"/>
        <v>0.2857142857142857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 t="s">
        <v>1489</v>
      </c>
      <c r="AC301" s="72" t="s">
        <v>1489</v>
      </c>
      <c r="AD301" s="72" t="s">
        <v>1489</v>
      </c>
      <c r="AE301" s="72" t="s">
        <v>1489</v>
      </c>
      <c r="AF301" s="72" t="s">
        <v>1489</v>
      </c>
      <c r="AG301" s="72" t="s">
        <v>1489</v>
      </c>
      <c r="AH301" s="72" t="s">
        <v>1489</v>
      </c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21</v>
      </c>
      <c r="J304" s="31">
        <f t="shared" si="18"/>
        <v>7</v>
      </c>
      <c r="K304" s="32">
        <f t="shared" si="19"/>
        <v>0.75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 t="s">
        <v>1489</v>
      </c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 t="s">
        <v>1489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8</v>
      </c>
      <c r="J317" s="31">
        <f t="shared" si="18"/>
        <v>20</v>
      </c>
      <c r="K317" s="32">
        <f t="shared" si="19"/>
        <v>0.2857142857142857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 t="s">
        <v>1489</v>
      </c>
      <c r="AC317" s="72" t="s">
        <v>1489</v>
      </c>
      <c r="AD317" s="72" t="s">
        <v>1489</v>
      </c>
      <c r="AE317" s="72" t="s">
        <v>1489</v>
      </c>
      <c r="AF317" s="72" t="s">
        <v>1489</v>
      </c>
      <c r="AG317" s="72" t="s">
        <v>1489</v>
      </c>
      <c r="AH317" s="72" t="s">
        <v>1489</v>
      </c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27</v>
      </c>
      <c r="J318" s="31">
        <f t="shared" si="18"/>
        <v>1</v>
      </c>
      <c r="K318" s="32">
        <f t="shared" si="19"/>
        <v>0.9642857142857143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 t="s">
        <v>1489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 t="s">
        <v>1489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8</v>
      </c>
      <c r="J322" s="31">
        <f t="shared" si="18"/>
        <v>20</v>
      </c>
      <c r="K322" s="32">
        <f t="shared" si="19"/>
        <v>0.2857142857142857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 t="s">
        <v>1489</v>
      </c>
      <c r="AC322" s="72" t="s">
        <v>1489</v>
      </c>
      <c r="AD322" s="99" t="s">
        <v>1489</v>
      </c>
      <c r="AE322" s="99" t="s">
        <v>1489</v>
      </c>
      <c r="AF322" s="99" t="s">
        <v>1489</v>
      </c>
      <c r="AG322" s="99" t="s">
        <v>1489</v>
      </c>
      <c r="AH322" s="99" t="s">
        <v>1489</v>
      </c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1523</v>
      </c>
      <c r="G323" s="98"/>
      <c r="H323" s="98" t="s">
        <v>1300</v>
      </c>
      <c r="I323" s="31">
        <f t="shared" si="17"/>
        <v>10</v>
      </c>
      <c r="J323" s="31">
        <f t="shared" si="18"/>
        <v>18</v>
      </c>
      <c r="K323" s="32">
        <f t="shared" si="19"/>
        <v>0.35714285714285715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 t="s">
        <v>1489</v>
      </c>
      <c r="AC323" s="72" t="s">
        <v>1489</v>
      </c>
      <c r="AD323" s="99"/>
      <c r="AE323" s="99"/>
      <c r="AF323" s="99" t="s">
        <v>1489</v>
      </c>
      <c r="AG323" s="99" t="s">
        <v>1489</v>
      </c>
      <c r="AH323" s="99" t="s">
        <v>1489</v>
      </c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27</v>
      </c>
      <c r="J325" s="31">
        <f t="shared" si="18"/>
        <v>1</v>
      </c>
      <c r="K325" s="32">
        <f t="shared" si="19"/>
        <v>0.9642857142857143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 t="s">
        <v>1489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27</v>
      </c>
      <c r="J326" s="31">
        <f t="shared" si="18"/>
        <v>1</v>
      </c>
      <c r="K326" s="32">
        <f t="shared" si="19"/>
        <v>0.9642857142857143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 t="s">
        <v>1489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27</v>
      </c>
      <c r="J327" s="31">
        <f t="shared" si="18"/>
        <v>1</v>
      </c>
      <c r="K327" s="32">
        <f t="shared" si="19"/>
        <v>0.9642857142857143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 t="s">
        <v>1489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27</v>
      </c>
      <c r="J328" s="31">
        <f t="shared" ref="J328:J391" si="21">COUNTIF(L328:AM328,"APAGADO")</f>
        <v>1</v>
      </c>
      <c r="K328" s="32">
        <f t="shared" ref="K328:K391" si="22">(I328)/(J328+I328)</f>
        <v>0.9642857142857143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 t="s">
        <v>1489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27</v>
      </c>
      <c r="J329" s="31">
        <f t="shared" si="21"/>
        <v>1</v>
      </c>
      <c r="K329" s="32">
        <f t="shared" si="22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1489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26</v>
      </c>
      <c r="J330" s="31">
        <f t="shared" si="21"/>
        <v>2</v>
      </c>
      <c r="K330" s="32">
        <f t="shared" si="22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 t="s">
        <v>1489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26</v>
      </c>
      <c r="J331" s="31">
        <f t="shared" si="21"/>
        <v>2</v>
      </c>
      <c r="K331" s="32">
        <f t="shared" si="22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 t="s">
        <v>1489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26</v>
      </c>
      <c r="J332" s="31">
        <f t="shared" si="21"/>
        <v>2</v>
      </c>
      <c r="K332" s="32">
        <f t="shared" si="22"/>
        <v>0.9285714285714286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 t="s">
        <v>1489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26</v>
      </c>
      <c r="J333" s="31">
        <f t="shared" si="21"/>
        <v>2</v>
      </c>
      <c r="K333" s="32">
        <f t="shared" si="22"/>
        <v>0.9285714285714286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 t="s">
        <v>1489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27</v>
      </c>
      <c r="J334" s="31">
        <f t="shared" si="21"/>
        <v>1</v>
      </c>
      <c r="K334" s="32">
        <f t="shared" si="22"/>
        <v>0.9642857142857143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 t="s">
        <v>1489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 t="s">
        <v>1489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27</v>
      </c>
      <c r="J336" s="31">
        <f t="shared" si="21"/>
        <v>1</v>
      </c>
      <c r="K336" s="32">
        <f t="shared" si="22"/>
        <v>0.9642857142857143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 t="s">
        <v>1489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 t="s">
        <v>1489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8</v>
      </c>
      <c r="J350" s="31">
        <f t="shared" si="21"/>
        <v>20</v>
      </c>
      <c r="K350" s="32">
        <f t="shared" si="22"/>
        <v>0.2857142857142857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 t="s">
        <v>1489</v>
      </c>
      <c r="AC350" s="72" t="s">
        <v>1489</v>
      </c>
      <c r="AD350" s="99" t="s">
        <v>1489</v>
      </c>
      <c r="AE350" s="99" t="s">
        <v>1489</v>
      </c>
      <c r="AF350" s="99" t="s">
        <v>1489</v>
      </c>
      <c r="AG350" s="99" t="s">
        <v>1489</v>
      </c>
      <c r="AH350" s="99" t="s">
        <v>1489</v>
      </c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8</v>
      </c>
      <c r="J355" s="31">
        <f t="shared" si="21"/>
        <v>20</v>
      </c>
      <c r="K355" s="32">
        <f t="shared" si="22"/>
        <v>0.2857142857142857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 t="s">
        <v>1489</v>
      </c>
      <c r="AC355" s="72" t="s">
        <v>1489</v>
      </c>
      <c r="AD355" s="99" t="s">
        <v>1489</v>
      </c>
      <c r="AE355" s="99" t="s">
        <v>1489</v>
      </c>
      <c r="AF355" s="99" t="s">
        <v>1489</v>
      </c>
      <c r="AG355" s="99" t="s">
        <v>1489</v>
      </c>
      <c r="AH355" s="99" t="s">
        <v>1489</v>
      </c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8</v>
      </c>
      <c r="J358" s="31">
        <f t="shared" si="21"/>
        <v>20</v>
      </c>
      <c r="K358" s="32">
        <f t="shared" si="22"/>
        <v>0.2857142857142857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 t="s">
        <v>1489</v>
      </c>
      <c r="AC358" s="72" t="s">
        <v>1489</v>
      </c>
      <c r="AD358" s="72" t="s">
        <v>1489</v>
      </c>
      <c r="AE358" s="72" t="s">
        <v>1489</v>
      </c>
      <c r="AF358" s="72" t="s">
        <v>1489</v>
      </c>
      <c r="AG358" s="72" t="s">
        <v>1489</v>
      </c>
      <c r="AH358" s="72" t="s">
        <v>1489</v>
      </c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8</v>
      </c>
      <c r="J359" s="31">
        <f t="shared" si="21"/>
        <v>20</v>
      </c>
      <c r="K359" s="32">
        <f t="shared" si="22"/>
        <v>0.2857142857142857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 t="s">
        <v>1489</v>
      </c>
      <c r="AC359" s="72" t="s">
        <v>1489</v>
      </c>
      <c r="AD359" s="72" t="s">
        <v>1489</v>
      </c>
      <c r="AE359" s="72" t="s">
        <v>1489</v>
      </c>
      <c r="AF359" s="72" t="s">
        <v>1489</v>
      </c>
      <c r="AG359" s="72" t="s">
        <v>1489</v>
      </c>
      <c r="AH359" s="72" t="s">
        <v>1489</v>
      </c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22</v>
      </c>
      <c r="J371" s="31">
        <f t="shared" si="21"/>
        <v>6</v>
      </c>
      <c r="K371" s="32">
        <f t="shared" si="22"/>
        <v>0.7857142857142857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 t="s">
        <v>1489</v>
      </c>
      <c r="AH371" s="72" t="s">
        <v>1489</v>
      </c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23</v>
      </c>
      <c r="J372" s="31">
        <f t="shared" si="21"/>
        <v>5</v>
      </c>
      <c r="K372" s="32">
        <f t="shared" si="22"/>
        <v>0.8214285714285714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 t="s">
        <v>1489</v>
      </c>
      <c r="AH372" s="72" t="s">
        <v>1489</v>
      </c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22</v>
      </c>
      <c r="J373" s="31">
        <f t="shared" si="21"/>
        <v>6</v>
      </c>
      <c r="K373" s="32">
        <f t="shared" si="22"/>
        <v>0.7857142857142857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 t="s">
        <v>1489</v>
      </c>
      <c r="AH373" s="72" t="s">
        <v>1489</v>
      </c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16</v>
      </c>
      <c r="J376" s="31">
        <f t="shared" si="21"/>
        <v>12</v>
      </c>
      <c r="K376" s="32">
        <f t="shared" si="22"/>
        <v>0.5714285714285714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 t="s">
        <v>1489</v>
      </c>
      <c r="AC376" s="72" t="s">
        <v>1489</v>
      </c>
      <c r="AD376" s="72" t="s">
        <v>1489</v>
      </c>
      <c r="AE376" s="72" t="s">
        <v>1489</v>
      </c>
      <c r="AF376" s="72" t="s">
        <v>1489</v>
      </c>
      <c r="AG376" s="72" t="s">
        <v>1489</v>
      </c>
      <c r="AH376" s="72" t="s">
        <v>1489</v>
      </c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25</v>
      </c>
      <c r="J379" s="31">
        <f t="shared" si="21"/>
        <v>3</v>
      </c>
      <c r="K379" s="32">
        <f t="shared" si="22"/>
        <v>0.8928571428571429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 t="s">
        <v>1489</v>
      </c>
      <c r="AE379" s="72" t="s">
        <v>1489</v>
      </c>
      <c r="AF379" s="72" t="s">
        <v>1489</v>
      </c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18</v>
      </c>
      <c r="J385" s="31">
        <f t="shared" si="21"/>
        <v>10</v>
      </c>
      <c r="K385" s="32">
        <f t="shared" si="22"/>
        <v>0.6428571428571429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 t="s">
        <v>1489</v>
      </c>
      <c r="AC385" s="72" t="s">
        <v>1489</v>
      </c>
      <c r="AD385" s="72"/>
      <c r="AE385" s="72" t="s">
        <v>1489</v>
      </c>
      <c r="AF385" s="72" t="s">
        <v>1489</v>
      </c>
      <c r="AG385" s="72" t="s">
        <v>1489</v>
      </c>
      <c r="AH385" s="72" t="s">
        <v>1489</v>
      </c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22</v>
      </c>
      <c r="J386" s="31">
        <f t="shared" si="21"/>
        <v>6</v>
      </c>
      <c r="K386" s="32">
        <f t="shared" si="22"/>
        <v>0.7857142857142857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 t="s">
        <v>1489</v>
      </c>
      <c r="AH386" s="72" t="s">
        <v>1489</v>
      </c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9</v>
      </c>
      <c r="J389" s="31">
        <f t="shared" si="21"/>
        <v>19</v>
      </c>
      <c r="K389" s="32">
        <f t="shared" si="22"/>
        <v>0.32142857142857145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 t="s">
        <v>1489</v>
      </c>
      <c r="AD389" s="72" t="s">
        <v>1489</v>
      </c>
      <c r="AE389" s="72" t="s">
        <v>1489</v>
      </c>
      <c r="AF389" s="72" t="s">
        <v>1489</v>
      </c>
      <c r="AG389" s="72" t="s">
        <v>1489</v>
      </c>
      <c r="AH389" s="72" t="s">
        <v>1489</v>
      </c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27</v>
      </c>
      <c r="J391" s="31">
        <f t="shared" si="21"/>
        <v>1</v>
      </c>
      <c r="K391" s="32">
        <f t="shared" si="22"/>
        <v>0.9642857142857143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 t="s">
        <v>1489</v>
      </c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27</v>
      </c>
      <c r="J394" s="31">
        <f t="shared" si="24"/>
        <v>1</v>
      </c>
      <c r="K394" s="32">
        <f t="shared" si="25"/>
        <v>0.9642857142857143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 t="s">
        <v>1489</v>
      </c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27</v>
      </c>
      <c r="J397" s="31">
        <f t="shared" si="24"/>
        <v>1</v>
      </c>
      <c r="K397" s="32">
        <f t="shared" si="25"/>
        <v>0.9642857142857143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 t="s">
        <v>1489</v>
      </c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27</v>
      </c>
      <c r="J398" s="31">
        <f t="shared" si="24"/>
        <v>1</v>
      </c>
      <c r="K398" s="32">
        <f t="shared" si="25"/>
        <v>0.9642857142857143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 t="s">
        <v>1489</v>
      </c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19</v>
      </c>
      <c r="J399" s="31">
        <f t="shared" si="24"/>
        <v>9</v>
      </c>
      <c r="K399" s="32">
        <f t="shared" si="25"/>
        <v>0.6785714285714286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 t="s">
        <v>1489</v>
      </c>
      <c r="AC399" s="72" t="s">
        <v>1489</v>
      </c>
      <c r="AD399" s="72" t="s">
        <v>1489</v>
      </c>
      <c r="AE399" s="72" t="s">
        <v>1489</v>
      </c>
      <c r="AF399" s="72" t="s">
        <v>1489</v>
      </c>
      <c r="AG399" s="72" t="s">
        <v>1489</v>
      </c>
      <c r="AH399" s="72" t="s">
        <v>1489</v>
      </c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19</v>
      </c>
      <c r="J400" s="31">
        <f t="shared" si="24"/>
        <v>9</v>
      </c>
      <c r="K400" s="32">
        <f t="shared" si="25"/>
        <v>0.6785714285714286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 t="s">
        <v>1489</v>
      </c>
      <c r="AC400" s="72" t="s">
        <v>1489</v>
      </c>
      <c r="AD400" s="72" t="s">
        <v>1489</v>
      </c>
      <c r="AE400" s="72" t="s">
        <v>1489</v>
      </c>
      <c r="AF400" s="72" t="s">
        <v>1489</v>
      </c>
      <c r="AG400" s="72" t="s">
        <v>1489</v>
      </c>
      <c r="AH400" s="72" t="s">
        <v>1489</v>
      </c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27</v>
      </c>
      <c r="J403" s="31">
        <f t="shared" si="24"/>
        <v>1</v>
      </c>
      <c r="K403" s="32">
        <f t="shared" si="25"/>
        <v>0.9642857142857143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 t="s">
        <v>1489</v>
      </c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26</v>
      </c>
      <c r="J407" s="31">
        <f t="shared" si="24"/>
        <v>2</v>
      </c>
      <c r="K407" s="32">
        <f t="shared" si="25"/>
        <v>0.9285714285714286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 t="s">
        <v>1489</v>
      </c>
      <c r="AC407" s="72" t="s">
        <v>1489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26</v>
      </c>
      <c r="J408" s="31">
        <f t="shared" si="24"/>
        <v>2</v>
      </c>
      <c r="K408" s="32">
        <f t="shared" si="25"/>
        <v>0.9285714285714286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 t="s">
        <v>1489</v>
      </c>
      <c r="AC408" s="72" t="s">
        <v>1489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24</v>
      </c>
      <c r="J409" s="31">
        <f t="shared" si="24"/>
        <v>4</v>
      </c>
      <c r="K409" s="32">
        <f t="shared" si="25"/>
        <v>0.8571428571428571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 t="s">
        <v>1489</v>
      </c>
      <c r="AC409" s="72" t="s">
        <v>1489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24</v>
      </c>
      <c r="J410" s="31">
        <f t="shared" si="24"/>
        <v>4</v>
      </c>
      <c r="K410" s="32">
        <f t="shared" si="25"/>
        <v>0.8571428571428571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 t="s">
        <v>1489</v>
      </c>
      <c r="AC410" s="72" t="s">
        <v>1489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1489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27</v>
      </c>
      <c r="J412" s="31">
        <f t="shared" si="24"/>
        <v>1</v>
      </c>
      <c r="K412" s="32">
        <f t="shared" si="25"/>
        <v>0.9642857142857143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 t="s">
        <v>1489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27</v>
      </c>
      <c r="J413" s="31">
        <f t="shared" si="24"/>
        <v>1</v>
      </c>
      <c r="K413" s="32">
        <f t="shared" si="25"/>
        <v>0.9642857142857143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 t="s">
        <v>1489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 t="s">
        <v>1489</v>
      </c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 t="s">
        <v>1489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27</v>
      </c>
      <c r="J447" s="31">
        <f t="shared" si="24"/>
        <v>1</v>
      </c>
      <c r="K447" s="32">
        <f t="shared" si="25"/>
        <v>0.9642857142857143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 t="s">
        <v>1489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1489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1489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8</v>
      </c>
      <c r="J452" s="31">
        <f t="shared" si="24"/>
        <v>20</v>
      </c>
      <c r="K452" s="32">
        <f t="shared" si="25"/>
        <v>0.2857142857142857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 t="s">
        <v>1489</v>
      </c>
      <c r="AC452" s="72" t="s">
        <v>1489</v>
      </c>
      <c r="AD452" s="99" t="s">
        <v>1489</v>
      </c>
      <c r="AE452" s="99" t="s">
        <v>1489</v>
      </c>
      <c r="AF452" s="99" t="s">
        <v>1489</v>
      </c>
      <c r="AG452" s="99" t="s">
        <v>1489</v>
      </c>
      <c r="AH452" s="99" t="s">
        <v>1489</v>
      </c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8</v>
      </c>
      <c r="J453" s="31">
        <f t="shared" si="24"/>
        <v>20</v>
      </c>
      <c r="K453" s="32">
        <f t="shared" si="25"/>
        <v>0.2857142857142857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 t="s">
        <v>1489</v>
      </c>
      <c r="AC453" s="72" t="s">
        <v>1489</v>
      </c>
      <c r="AD453" s="99" t="s">
        <v>1489</v>
      </c>
      <c r="AE453" s="99" t="s">
        <v>1489</v>
      </c>
      <c r="AF453" s="99" t="s">
        <v>1489</v>
      </c>
      <c r="AG453" s="99" t="s">
        <v>1489</v>
      </c>
      <c r="AH453" s="99" t="s">
        <v>1489</v>
      </c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8</v>
      </c>
      <c r="J465" s="31">
        <f t="shared" si="27"/>
        <v>20</v>
      </c>
      <c r="K465" s="32">
        <f t="shared" si="28"/>
        <v>0.2857142857142857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 t="s">
        <v>1489</v>
      </c>
      <c r="AC465" s="72" t="s">
        <v>1489</v>
      </c>
      <c r="AD465" s="72" t="s">
        <v>1489</v>
      </c>
      <c r="AE465" s="72" t="s">
        <v>1489</v>
      </c>
      <c r="AF465" s="72" t="s">
        <v>1489</v>
      </c>
      <c r="AG465" s="72" t="s">
        <v>1489</v>
      </c>
      <c r="AH465" s="72" t="s">
        <v>1489</v>
      </c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8</v>
      </c>
      <c r="J467" s="31">
        <f t="shared" si="27"/>
        <v>20</v>
      </c>
      <c r="K467" s="32">
        <f t="shared" si="28"/>
        <v>0.2857142857142857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 t="s">
        <v>1489</v>
      </c>
      <c r="AC467" s="72" t="s">
        <v>1489</v>
      </c>
      <c r="AD467" s="72" t="s">
        <v>1489</v>
      </c>
      <c r="AE467" s="72" t="s">
        <v>1489</v>
      </c>
      <c r="AF467" s="72" t="s">
        <v>1489</v>
      </c>
      <c r="AG467" s="72" t="s">
        <v>1489</v>
      </c>
      <c r="AH467" s="72" t="s">
        <v>1489</v>
      </c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25</v>
      </c>
      <c r="J491" s="31">
        <f t="shared" si="27"/>
        <v>3</v>
      </c>
      <c r="K491" s="32">
        <f t="shared" si="28"/>
        <v>0.8928571428571429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 t="s">
        <v>1489</v>
      </c>
      <c r="AG491" s="72" t="s">
        <v>1489</v>
      </c>
      <c r="AH491" s="72" t="s">
        <v>1489</v>
      </c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25</v>
      </c>
      <c r="J492" s="31">
        <f t="shared" si="27"/>
        <v>3</v>
      </c>
      <c r="K492" s="32">
        <f t="shared" si="28"/>
        <v>0.8928571428571429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 t="s">
        <v>1489</v>
      </c>
      <c r="AG492" s="72" t="s">
        <v>1489</v>
      </c>
      <c r="AH492" s="72" t="s">
        <v>1489</v>
      </c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83" zoomScale="90" zoomScaleNormal="90" workbookViewId="0">
      <selection activeCell="F211" sqref="B211:F21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15</v>
      </c>
      <c r="D6" s="109">
        <f>D5-C6</f>
        <v>55</v>
      </c>
      <c r="E6" s="57">
        <f>D6/C2</f>
        <v>0.1134020618556701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55</v>
      </c>
      <c r="E7" s="76">
        <f>D7/C2</f>
        <v>0.1134020618556701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13</v>
      </c>
      <c r="D17" s="109">
        <f>D16-C17</f>
        <v>46</v>
      </c>
      <c r="E17" s="57">
        <f>D17/C13</f>
        <v>9.4845360824742264E-2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46</v>
      </c>
      <c r="E18" s="76">
        <f>D18/C13</f>
        <v>9.4845360824742264E-2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14</v>
      </c>
      <c r="D28" s="109">
        <f>D27-C28</f>
        <v>44</v>
      </c>
      <c r="E28" s="57">
        <f>D28/C24</f>
        <v>9.0721649484536079E-2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44</v>
      </c>
      <c r="E29" s="76">
        <f>D29/C24</f>
        <v>9.0721649484536079E-2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11</v>
      </c>
      <c r="D39" s="109">
        <f>D38-C39</f>
        <v>53</v>
      </c>
      <c r="E39" s="57">
        <f>D39/C35</f>
        <v>0.10927835051546392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53</v>
      </c>
      <c r="E40" s="76">
        <f>D40/C35</f>
        <v>0.10927835051546392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15</v>
      </c>
      <c r="D50" s="109">
        <f>D49-C50</f>
        <v>30</v>
      </c>
      <c r="E50" s="57">
        <f>D50/C46</f>
        <v>6.1855670103092786E-2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20</v>
      </c>
      <c r="E51" s="76">
        <f>D51/C46</f>
        <v>4.1237113402061855E-2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13</v>
      </c>
      <c r="D61" s="109">
        <f>D60-C61</f>
        <v>30</v>
      </c>
      <c r="E61" s="57">
        <f>D61/C57</f>
        <v>6.1855670103092786E-2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20</v>
      </c>
      <c r="E62" s="76">
        <f>D62/C57</f>
        <v>4.1237113402061855E-2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11</v>
      </c>
      <c r="D72" s="109">
        <f>D71-C72</f>
        <v>72</v>
      </c>
      <c r="E72" s="57">
        <f>D72/C68</f>
        <v>0.14845360824742268</v>
      </c>
      <c r="F72" s="139"/>
    </row>
    <row r="73" spans="1:6" ht="15.75" thickBot="1" x14ac:dyDescent="0.3">
      <c r="B73" s="58" t="s">
        <v>1492</v>
      </c>
      <c r="C73" s="137"/>
      <c r="D73" s="110">
        <f>D72-C73</f>
        <v>72</v>
      </c>
      <c r="E73" s="76">
        <f>D73/C68</f>
        <v>0.14845360824742268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11</v>
      </c>
      <c r="D83" s="109">
        <f>D82-C83</f>
        <v>57</v>
      </c>
      <c r="E83" s="57">
        <f>D83/C79</f>
        <v>0.11752577319587629</v>
      </c>
      <c r="F83" s="139"/>
    </row>
    <row r="84" spans="1:6" ht="15.75" thickBot="1" x14ac:dyDescent="0.3">
      <c r="B84" s="58" t="s">
        <v>1492</v>
      </c>
      <c r="C84" s="137"/>
      <c r="D84" s="110">
        <f>D83-C84</f>
        <v>57</v>
      </c>
      <c r="E84" s="76">
        <f>D84/C79</f>
        <v>0.11752577319587629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12</v>
      </c>
      <c r="D94" s="109">
        <f>D93-C94</f>
        <v>47</v>
      </c>
      <c r="E94" s="57">
        <f>D94/C90</f>
        <v>9.6907216494845363E-2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37</v>
      </c>
      <c r="E95" s="76">
        <f>D95/C90</f>
        <v>7.628865979381444E-2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16</v>
      </c>
      <c r="D105" s="109">
        <f>D104-C105</f>
        <v>63</v>
      </c>
      <c r="E105" s="57">
        <f>D105/C101</f>
        <v>0.12989690721649486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63</v>
      </c>
      <c r="E106" s="76">
        <f>D106/C101</f>
        <v>0.12989690721649486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12</v>
      </c>
      <c r="D116" s="109">
        <f>D115-C116</f>
        <v>44</v>
      </c>
      <c r="E116" s="57">
        <f>D116/C112</f>
        <v>9.0721649484536079E-2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34</v>
      </c>
      <c r="E117" s="76">
        <f>D117/C112</f>
        <v>7.0103092783505155E-2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14</v>
      </c>
      <c r="D127" s="109">
        <f>D126-C127</f>
        <v>48</v>
      </c>
      <c r="E127" s="57">
        <f>D127/C123</f>
        <v>9.8969072164948449E-2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48</v>
      </c>
      <c r="E128" s="76">
        <f>D128/C123</f>
        <v>9.8969072164948449E-2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15</v>
      </c>
      <c r="D138" s="109">
        <f>D137-C138</f>
        <v>38</v>
      </c>
      <c r="E138" s="57">
        <f>D138/C134</f>
        <v>7.8350515463917525E-2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28</v>
      </c>
      <c r="E139" s="76">
        <f>D139/C134</f>
        <v>5.7731958762886601E-2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55</v>
      </c>
      <c r="E174" s="111">
        <f>D174/C174</f>
        <v>0.20912547528517111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0.1154639175257732</v>
      </c>
      <c r="F179" s="139"/>
    </row>
    <row r="180" spans="2:6" x14ac:dyDescent="0.25">
      <c r="B180" s="55" t="s">
        <v>1254</v>
      </c>
      <c r="C180" s="69">
        <v>8</v>
      </c>
      <c r="D180" s="109">
        <f>C179-C180</f>
        <v>48</v>
      </c>
      <c r="E180" s="57">
        <f>D180/C178</f>
        <v>9.8969072164948449E-2</v>
      </c>
      <c r="F180" s="139"/>
    </row>
    <row r="181" spans="2:6" x14ac:dyDescent="0.25">
      <c r="B181" s="55" t="s">
        <v>1255</v>
      </c>
      <c r="C181" s="69">
        <v>6</v>
      </c>
      <c r="D181" s="109">
        <f>D180-C181</f>
        <v>42</v>
      </c>
      <c r="E181" s="57">
        <f>D181/C178</f>
        <v>8.6597938144329895E-2</v>
      </c>
      <c r="F181" s="139"/>
    </row>
    <row r="182" spans="2:6" x14ac:dyDescent="0.25">
      <c r="B182" s="55" t="s">
        <v>16</v>
      </c>
      <c r="C182" s="100">
        <f>'RESUMEN TOTAL'!AB5</f>
        <v>19</v>
      </c>
      <c r="D182" s="109">
        <f>D181-C182</f>
        <v>23</v>
      </c>
      <c r="E182" s="57">
        <f>D182/C178</f>
        <v>4.7422680412371132E-2</v>
      </c>
      <c r="F182" s="139"/>
    </row>
    <row r="183" spans="2:6" ht="15.75" thickBot="1" x14ac:dyDescent="0.3">
      <c r="B183" s="58" t="s">
        <v>1492</v>
      </c>
      <c r="C183" s="137">
        <v>10</v>
      </c>
      <c r="D183" s="110">
        <f>D182-C183</f>
        <v>13</v>
      </c>
      <c r="E183" s="76">
        <f>D183/C178</f>
        <v>2.6804123711340205E-2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24</v>
      </c>
      <c r="E185" s="111">
        <f>D185/C185</f>
        <v>9.125475285171103E-2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0.14020618556701031</v>
      </c>
      <c r="F190" s="139"/>
    </row>
    <row r="191" spans="2:6" x14ac:dyDescent="0.25">
      <c r="B191" s="55" t="s">
        <v>1254</v>
      </c>
      <c r="C191" s="69">
        <v>3</v>
      </c>
      <c r="D191" s="109">
        <f>C190-C191</f>
        <v>65</v>
      </c>
      <c r="E191" s="57">
        <f>D191/C189</f>
        <v>0.13402061855670103</v>
      </c>
      <c r="F191" s="139"/>
    </row>
    <row r="192" spans="2:6" x14ac:dyDescent="0.25">
      <c r="B192" s="55" t="s">
        <v>1255</v>
      </c>
      <c r="C192" s="69">
        <v>6</v>
      </c>
      <c r="D192" s="109">
        <f>D191-C192</f>
        <v>59</v>
      </c>
      <c r="E192" s="57">
        <f>D192/C189</f>
        <v>0.12164948453608247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9.0721649484536079E-2</v>
      </c>
      <c r="F193" s="139"/>
    </row>
    <row r="194" spans="2:6" ht="15.75" thickBot="1" x14ac:dyDescent="0.3">
      <c r="B194" s="58" t="s">
        <v>1492</v>
      </c>
      <c r="C194" s="137">
        <v>10</v>
      </c>
      <c r="D194" s="110">
        <f>D193-C194</f>
        <v>34</v>
      </c>
      <c r="E194" s="76">
        <f>D194/C189</f>
        <v>7.0103092783505155E-2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v>40</v>
      </c>
      <c r="E196" s="111">
        <f>D196/C196</f>
        <v>0.15209125475285171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9.0721649484536079E-2</v>
      </c>
      <c r="F201" s="139"/>
    </row>
    <row r="202" spans="2:6" x14ac:dyDescent="0.25">
      <c r="B202" s="55" t="s">
        <v>1254</v>
      </c>
      <c r="C202" s="69">
        <v>2</v>
      </c>
      <c r="D202" s="109">
        <f>C201-C202</f>
        <v>42</v>
      </c>
      <c r="E202" s="57">
        <f>D202/C200</f>
        <v>8.6597938144329895E-2</v>
      </c>
      <c r="F202" s="139"/>
    </row>
    <row r="203" spans="2:6" x14ac:dyDescent="0.25">
      <c r="B203" s="55" t="s">
        <v>1255</v>
      </c>
      <c r="C203" s="69">
        <v>6</v>
      </c>
      <c r="D203" s="109">
        <f>D202-C203</f>
        <v>36</v>
      </c>
      <c r="E203" s="57">
        <f>D203/C200</f>
        <v>7.422680412371134E-2</v>
      </c>
      <c r="F203" s="139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22</v>
      </c>
      <c r="E204" s="57">
        <f>D204/C200</f>
        <v>4.536082474226804E-2</v>
      </c>
      <c r="F204" s="139"/>
    </row>
    <row r="205" spans="2:6" ht="15.75" thickBot="1" x14ac:dyDescent="0.3">
      <c r="B205" s="58" t="s">
        <v>1492</v>
      </c>
      <c r="C205" s="137">
        <v>10</v>
      </c>
      <c r="D205" s="110">
        <f>D204-C205</f>
        <v>12</v>
      </c>
      <c r="E205" s="76">
        <f>D205/C200</f>
        <v>2.4742268041237112E-2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v>19</v>
      </c>
      <c r="E207" s="111">
        <f>D207/C207</f>
        <v>7.2243346007604556E-2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45831</v>
      </c>
    </row>
    <row r="212" spans="2:6" x14ac:dyDescent="0.25">
      <c r="B212" s="55" t="s">
        <v>6</v>
      </c>
      <c r="C212" s="68">
        <v>55</v>
      </c>
      <c r="D212" s="56"/>
      <c r="E212" s="57">
        <f>C212/C211</f>
        <v>0.1134020618556701</v>
      </c>
      <c r="F212" s="139"/>
    </row>
    <row r="213" spans="2:6" x14ac:dyDescent="0.25">
      <c r="B213" s="55" t="s">
        <v>1254</v>
      </c>
      <c r="C213" s="69">
        <v>24</v>
      </c>
      <c r="D213" s="109">
        <f>C212-C213</f>
        <v>31</v>
      </c>
      <c r="E213" s="57">
        <f>D213/C211</f>
        <v>6.3917525773195871E-2</v>
      </c>
      <c r="F213" s="139"/>
    </row>
    <row r="214" spans="2:6" x14ac:dyDescent="0.25">
      <c r="B214" s="55" t="s">
        <v>1255</v>
      </c>
      <c r="C214" s="69">
        <v>6</v>
      </c>
      <c r="D214" s="109">
        <f>D213-C214</f>
        <v>25</v>
      </c>
      <c r="E214" s="57">
        <f>D214/C211</f>
        <v>5.1546391752577317E-2</v>
      </c>
      <c r="F214" s="139"/>
    </row>
    <row r="215" spans="2:6" x14ac:dyDescent="0.25">
      <c r="B215" s="55" t="s">
        <v>16</v>
      </c>
      <c r="C215" s="100">
        <v>11</v>
      </c>
      <c r="D215" s="109">
        <f>D214-C215</f>
        <v>14</v>
      </c>
      <c r="E215" s="57">
        <f>D215/C211</f>
        <v>2.88659793814433E-2</v>
      </c>
      <c r="F215" s="139"/>
    </row>
    <row r="216" spans="2:6" ht="15.75" thickBot="1" x14ac:dyDescent="0.3">
      <c r="B216" s="58" t="s">
        <v>1492</v>
      </c>
      <c r="C216" s="137">
        <v>10</v>
      </c>
      <c r="D216" s="110">
        <f>D215-C216</f>
        <v>4</v>
      </c>
      <c r="E216" s="76">
        <f>D216/C211</f>
        <v>8.2474226804123713E-3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v>55</v>
      </c>
      <c r="E218" s="111">
        <f>D218/C218</f>
        <v>0.20912547528517111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v>35</v>
      </c>
      <c r="E219" s="120">
        <f>D219/C219</f>
        <v>0.15765765765765766</v>
      </c>
      <c r="F219" s="140"/>
    </row>
    <row r="220" spans="2:6" ht="15.75" thickTop="1" x14ac:dyDescent="0.25"/>
  </sheetData>
  <sheetProtection selectLockedCells="1"/>
  <mergeCells count="20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89:F197"/>
    <mergeCell ref="F200:F208"/>
    <mergeCell ref="F211:F219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M1" zoomScale="120" zoomScaleNormal="120" workbookViewId="0">
      <selection activeCell="T4" sqref="T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v>55</v>
      </c>
      <c r="V3" s="47">
        <f>COUNTIFS('RESUMEN TOTAL'!AB8:AB600,"=APAGADO",'RESUMEN TOTAL'!C8:C600,"=BONOMO")</f>
        <v>24</v>
      </c>
      <c r="W3" s="47">
        <f>COUNTIFS('RESUMEN TOTAL'!AC8:AC600,"=APAGADO",'RESUMEN TOTAL'!C8:C600,"=BONOMO")</f>
        <v>40</v>
      </c>
      <c r="X3" s="47">
        <f>COUNTIFS('RESUMEN TOTAL'!AD8:AD600,"=APAGADO",'RESUMEN TOTAL'!C8:C600,"=BONOMO")</f>
        <v>19</v>
      </c>
      <c r="Y3" s="47">
        <f>COUNTIFS('RESUMEN TOTAL'!AE8:AE600,"=APAGADO",'RESUMEN TOTAL'!C8:C600,"=BONOMO")</f>
        <v>41</v>
      </c>
      <c r="Z3" s="47">
        <f>COUNTIFS('RESUMEN TOTAL'!AF8:AF600,"=APAGADO",'RESUMEN TOTAL'!C8:C600,"=BONOMO")</f>
        <v>25</v>
      </c>
      <c r="AA3" s="47">
        <f>COUNTIFS('RESUMEN TOTAL'!AG8:AG600,"=APAGADO",'RESUMEN TOTAL'!C8:C600,"=BONOMO")</f>
        <v>42</v>
      </c>
      <c r="AB3" s="47">
        <f>COUNTIFS('RESUMEN TOTAL'!AH8:AH600,"=APAGADO",'RESUMEN TOTAL'!C8:C600,"=BONOMO")</f>
        <v>55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 t="s">
        <v>1518</v>
      </c>
      <c r="X4" s="52" t="s">
        <v>1520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32</v>
      </c>
      <c r="W5" s="47">
        <f>COUNTIFS('RESUMEN TOTAL'!AC10:AC602,"=APAGADO",'RESUMEN TOTAL'!C10:C602,"=COSEIDI")</f>
        <v>28</v>
      </c>
      <c r="X5" s="47">
        <f>COUNTIFS('RESUMEN TOTAL'!AD10:AD602,"=APAGADO",'RESUMEN TOTAL'!C10:C602,"=COSEIDI")</f>
        <v>25</v>
      </c>
      <c r="Y5" s="47">
        <f>COUNTIFS('RESUMEN TOTAL'!AE10:AE602,"=APAGADO",'RESUMEN TOTAL'!C10:C602,"=COSEIDI")</f>
        <v>27</v>
      </c>
      <c r="Z5" s="47">
        <f>COUNTIFS('RESUMEN TOTAL'!AF10:AF602,"=APAGADO",'RESUMEN TOTAL'!C10:C602,"=COSEIDI")</f>
        <v>21</v>
      </c>
      <c r="AA5" s="47">
        <f>COUNTIFS('RESUMEN TOTAL'!AG10:AG602,"=APAGADO",'RESUMEN TOTAL'!C10:C602,"=COSEIDI")</f>
        <v>33</v>
      </c>
      <c r="AB5" s="47">
        <f>COUNTIFS('RESUMEN TOTAL'!AH10:AH602,"=APAGADO",'RESUMEN TOTAL'!C10:C602,"=COSEIDI")</f>
        <v>35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 t="s">
        <v>1519</v>
      </c>
      <c r="X6" s="51" t="s">
        <v>1521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 t="str">
        <f>'RESUMEN TOTAL'!AH10</f>
        <v>APAGADO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 t="str">
        <f>'RESUMEN TOTAL'!AH11</f>
        <v>APAGADO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 t="str">
        <f>'RESUMEN TOTAL'!AH13</f>
        <v>APAGADO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 t="str">
        <f>'RESUMEN TOTAL'!AH37</f>
        <v>APAGADO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 t="str">
        <f>'RESUMEN TOTAL'!AH49</f>
        <v>APAGADO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 t="str">
        <f>'RESUMEN TOTAL'!AH52</f>
        <v>APAGADO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 t="str">
        <f>'RESUMEN TOTAL'!AH53</f>
        <v>APAGADO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 t="str">
        <f>'RESUMEN TOTAL'!AH54</f>
        <v>APAGADO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 t="str">
        <f>'RESUMEN TOTAL'!AH55</f>
        <v>APAGADO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 t="str">
        <f>'RESUMEN TOTAL'!AH56</f>
        <v>APAGADO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 t="str">
        <f>'RESUMEN TOTAL'!AH57</f>
        <v>APAGADO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 t="str">
        <f>'RESUMEN TOTAL'!AH58</f>
        <v>APAGADO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 t="str">
        <f>'RESUMEN TOTAL'!AH59</f>
        <v>APAGADO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 t="str">
        <f>'RESUMEN TOTAL'!AH60</f>
        <v>APAGADO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 t="str">
        <f>'RESUMEN TOTAL'!AH61</f>
        <v>APAGADO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 t="str">
        <f>'RESUMEN TOTAL'!AH62</f>
        <v>APAGADO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 t="str">
        <f>'RESUMEN TOTAL'!AH63</f>
        <v>APAGADO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 t="str">
        <f>'RESUMEN TOTAL'!AH73</f>
        <v>APAGADO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 t="str">
        <f>'RESUMEN TOTAL'!AH74</f>
        <v>APAGADO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 t="str">
        <f>'RESUMEN TOTAL'!AH75</f>
        <v>APAGADO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 t="str">
        <f>'RESUMEN TOTAL'!AH78</f>
        <v>APAGADO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 t="str">
        <f>'RESUMEN TOTAL'!AH98</f>
        <v>APAGADO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 t="str">
        <f>'RESUMEN TOTAL'!AH99</f>
        <v>APAGADO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 t="str">
        <f>'RESUMEN TOTAL'!AH107</f>
        <v>APAGADO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 t="str">
        <f>'RESUMEN TOTAL'!AH108</f>
        <v>APAGADO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 t="str">
        <f>'RESUMEN TOTAL'!AH109</f>
        <v>APAGADO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 t="str">
        <f>'RESUMEN TOTAL'!AB121</f>
        <v>APAGADO</v>
      </c>
      <c r="W111" s="72" t="str">
        <f>'RESUMEN TOTAL'!AC121</f>
        <v>APAGADO</v>
      </c>
      <c r="X111" s="72" t="str">
        <f>'RESUMEN TOTAL'!AD121</f>
        <v>APAGADO</v>
      </c>
      <c r="Y111" s="72" t="str">
        <f>'RESUMEN TOTAL'!AE121</f>
        <v>APAGADO</v>
      </c>
      <c r="Z111" s="72" t="str">
        <f>'RESUMEN TOTAL'!AF121</f>
        <v>APAGADO</v>
      </c>
      <c r="AA111" s="72" t="str">
        <f>'RESUMEN TOTAL'!AG121</f>
        <v>APAGADO</v>
      </c>
      <c r="AB111" s="72" t="str">
        <f>'RESUMEN TOTAL'!AH121</f>
        <v>APAGADO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 t="str">
        <f>'RESUMEN TOTAL'!AH122</f>
        <v>APAGADO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 t="str">
        <f>'RESUMEN TOTAL'!AB128</f>
        <v>APAGADO</v>
      </c>
      <c r="W118" s="72" t="str">
        <f>'RESUMEN TOTAL'!AC128</f>
        <v>APAGADO</v>
      </c>
      <c r="X118" s="72" t="str">
        <f>'RESUMEN TOTAL'!AD128</f>
        <v>APAGADO</v>
      </c>
      <c r="Y118" s="72" t="str">
        <f>'RESUMEN TOTAL'!AE128</f>
        <v>APÁGADO</v>
      </c>
      <c r="Z118" s="72" t="str">
        <f>'RESUMEN TOTAL'!AF128</f>
        <v>APAGADO</v>
      </c>
      <c r="AA118" s="72" t="str">
        <f>'RESUMEN TOTAL'!AG128</f>
        <v>APAGADO</v>
      </c>
      <c r="AB118" s="72" t="str">
        <f>'RESUMEN TOTAL'!AH128</f>
        <v>APAGADO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 t="str">
        <f>'RESUMEN TOTAL'!AB131</f>
        <v>APAGADO</v>
      </c>
      <c r="W121" s="72" t="str">
        <f>'RESUMEN TOTAL'!AC131</f>
        <v>APAGADO</v>
      </c>
      <c r="X121" s="72" t="str">
        <f>'RESUMEN TOTAL'!AD131</f>
        <v>APAGADO</v>
      </c>
      <c r="Y121" s="72" t="str">
        <f>'RESUMEN TOTAL'!AE131</f>
        <v>APAGADO</v>
      </c>
      <c r="Z121" s="72" t="str">
        <f>'RESUMEN TOTAL'!AF131</f>
        <v>APAGADO</v>
      </c>
      <c r="AA121" s="72" t="str">
        <f>'RESUMEN TOTAL'!AG131</f>
        <v>APAGADO</v>
      </c>
      <c r="AB121" s="72" t="str">
        <f>'RESUMEN TOTAL'!AH131</f>
        <v>APAGADO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 t="str">
        <f>'RESUMEN TOTAL'!AB132</f>
        <v>APAGADO</v>
      </c>
      <c r="W122" s="72" t="str">
        <f>'RESUMEN TOTAL'!AC132</f>
        <v>APAGADO</v>
      </c>
      <c r="X122" s="72" t="str">
        <f>'RESUMEN TOTAL'!AD132</f>
        <v>APAGADO</v>
      </c>
      <c r="Y122" s="72" t="str">
        <f>'RESUMEN TOTAL'!AE132</f>
        <v>APAGADO</v>
      </c>
      <c r="Z122" s="72" t="str">
        <f>'RESUMEN TOTAL'!AF132</f>
        <v>APAGADO</v>
      </c>
      <c r="AA122" s="72" t="str">
        <f>'RESUMEN TOTAL'!AG132</f>
        <v>APAGADO</v>
      </c>
      <c r="AB122" s="72" t="str">
        <f>'RESUMEN TOTAL'!AH132</f>
        <v>APAGADO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 t="str">
        <f>'RESUMEN TOTAL'!AG142</f>
        <v>APAGADO</v>
      </c>
      <c r="AB130" s="72" t="str">
        <f>'RESUMEN TOTAL'!AH142</f>
        <v>APAGADO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 t="str">
        <f>'RESUMEN TOTAL'!AG143</f>
        <v>APAGADO</v>
      </c>
      <c r="AB131" s="72" t="str">
        <f>'RESUMEN TOTAL'!AH143</f>
        <v>APAGADO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 t="str">
        <f>'RESUMEN TOTAL'!AH147</f>
        <v>APAGADO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 t="str">
        <f>'RESUMEN TOTAL'!AG151</f>
        <v>APAGADO</v>
      </c>
      <c r="AB139" s="72" t="str">
        <f>'RESUMEN TOTAL'!AH151</f>
        <v>APAGADO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 t="str">
        <f>'RESUMEN TOTAL'!AG152</f>
        <v>APAGADO</v>
      </c>
      <c r="AB140" s="72" t="str">
        <f>'RESUMEN TOTAL'!AH152</f>
        <v>APAGADO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 t="str">
        <f>'RESUMEN TOTAL'!AG153</f>
        <v>APAGADO</v>
      </c>
      <c r="AB141" s="72" t="str">
        <f>'RESUMEN TOTAL'!AH153</f>
        <v>APAGADO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 t="str">
        <f>'RESUMEN TOTAL'!AG154</f>
        <v>APAGADO</v>
      </c>
      <c r="AB142" s="72" t="str">
        <f>'RESUMEN TOTAL'!AH154</f>
        <v>APAGADO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 t="str">
        <f>'RESUMEN TOTAL'!AC158</f>
        <v>APAGADO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 t="str">
        <f>'RESUMEN TOTAL'!AB159</f>
        <v>APAGADO</v>
      </c>
      <c r="W147" s="72" t="str">
        <f>'RESUMEN TOTAL'!AC159</f>
        <v>APAGADO</v>
      </c>
      <c r="X147" s="72" t="str">
        <f>'RESUMEN TOTAL'!AD159</f>
        <v>APAGADO</v>
      </c>
      <c r="Y147" s="72" t="str">
        <f>'RESUMEN TOTAL'!AE159</f>
        <v>APAGADO</v>
      </c>
      <c r="Z147" s="72" t="str">
        <f>'RESUMEN TOTAL'!AF159</f>
        <v>APAGADO</v>
      </c>
      <c r="AA147" s="72" t="str">
        <f>'RESUMEN TOTAL'!AG159</f>
        <v>APAGADO</v>
      </c>
      <c r="AB147" s="72" t="str">
        <f>'RESUMEN TOTAL'!AH159</f>
        <v>APAGADO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 t="str">
        <f>'RESUMEN TOTAL'!AH161</f>
        <v>APAGADO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 t="str">
        <f>'RESUMEN TOTAL'!AB163</f>
        <v>APAGADO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 t="str">
        <f>'RESUMEN TOTAL'!AB164</f>
        <v>APAGADO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 t="str">
        <f>'RESUMEN TOTAL'!AB165</f>
        <v>APAGADO</v>
      </c>
      <c r="W153" s="72" t="str">
        <f>'RESUMEN TOTAL'!AC165</f>
        <v>APAGADO</v>
      </c>
      <c r="X153" s="72">
        <f>'RESUMEN TOTAL'!AD165</f>
        <v>0</v>
      </c>
      <c r="Y153" s="72" t="str">
        <f>'RESUMEN TOTAL'!AE165</f>
        <v>APAGADO</v>
      </c>
      <c r="Z153" s="72" t="str">
        <f>'RESUMEN TOTAL'!AF165</f>
        <v>APAGADO</v>
      </c>
      <c r="AA153" s="72" t="str">
        <f>'RESUMEN TOTAL'!AG165</f>
        <v>APAGADO</v>
      </c>
      <c r="AB153" s="72" t="str">
        <f>'RESUMEN TOTAL'!AH165</f>
        <v>APAGADO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 t="str">
        <f>'RESUMEN TOTAL'!AB169</f>
        <v>APAGADO</v>
      </c>
      <c r="W157" s="72" t="str">
        <f>'RESUMEN TOTAL'!AC169</f>
        <v>APAGADO</v>
      </c>
      <c r="X157" s="72" t="str">
        <f>'RESUMEN TOTAL'!AD169</f>
        <v>APAGADO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 t="str">
        <f>'RESUMEN TOTAL'!AB177</f>
        <v>APAGADO</v>
      </c>
      <c r="W165" s="72">
        <f>'RESUMEN TOTAL'!AC177</f>
        <v>0</v>
      </c>
      <c r="X165" s="72">
        <f>'RESUMEN TOTAL'!AD177</f>
        <v>0</v>
      </c>
      <c r="Y165" s="72" t="str">
        <f>'RESUMEN TOTAL'!AE177</f>
        <v>APAGADO</v>
      </c>
      <c r="Z165" s="72">
        <f>'RESUMEN TOTAL'!AF177</f>
        <v>0</v>
      </c>
      <c r="AA165" s="72" t="str">
        <f>'RESUMEN TOTAL'!AG177</f>
        <v>APAGADO</v>
      </c>
      <c r="AB165" s="72" t="str">
        <f>'RESUMEN TOTAL'!AH177</f>
        <v>APAGADO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 t="str">
        <f>'RESUMEN TOTAL'!AB181</f>
        <v>APAGADO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 t="str">
        <f>'RESUMEN TOTAL'!AB182</f>
        <v>APAGADO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 t="str">
        <f>'RESUMEN TOTAL'!AB207</f>
        <v>APAGADO</v>
      </c>
      <c r="W193" s="72" t="str">
        <f>'RESUMEN TOTAL'!AC207</f>
        <v>APAGADO</v>
      </c>
      <c r="X193" s="72" t="str">
        <f>'RESUMEN TOTAL'!AD207</f>
        <v>APAGADO</v>
      </c>
      <c r="Y193" s="72" t="str">
        <f>'RESUMEN TOTAL'!AE207</f>
        <v>APAGADO</v>
      </c>
      <c r="Z193" s="72" t="str">
        <f>'RESUMEN TOTAL'!AF207</f>
        <v>APAGADO</v>
      </c>
      <c r="AA193" s="72" t="str">
        <f>'RESUMEN TOTAL'!AG207</f>
        <v>APAGADO</v>
      </c>
      <c r="AB193" s="72" t="str">
        <f>'RESUMEN TOTAL'!AH207</f>
        <v>APAGADO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 t="str">
        <f>'RESUMEN TOTAL'!AB208</f>
        <v>APAGADO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 t="str">
        <f>'RESUMEN TOTAL'!AE209</f>
        <v>APAGADO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 t="str">
        <f>'RESUMEN TOTAL'!AB210</f>
        <v>APAGADO</v>
      </c>
      <c r="W196" s="72" t="str">
        <f>'RESUMEN TOTAL'!AC210</f>
        <v>APAGADO</v>
      </c>
      <c r="X196" s="72" t="str">
        <f>'RESUMEN TOTAL'!AD210</f>
        <v>APAGADO</v>
      </c>
      <c r="Y196" s="72" t="str">
        <f>'RESUMEN TOTAL'!AE210</f>
        <v>APAGADO</v>
      </c>
      <c r="Z196" s="72" t="str">
        <f>'RESUMEN TOTAL'!AF210</f>
        <v>APAGADO</v>
      </c>
      <c r="AA196" s="72" t="str">
        <f>'RESUMEN TOTAL'!AG210</f>
        <v>APAGADO</v>
      </c>
      <c r="AB196" s="72" t="str">
        <f>'RESUMEN TOTAL'!AH210</f>
        <v>APAGADO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 t="str">
        <f>'RESUMEN TOTAL'!AE231</f>
        <v>APAGADO</v>
      </c>
      <c r="Z217" s="72" t="str">
        <f>'RESUMEN TOTAL'!AF231</f>
        <v>APAGADO</v>
      </c>
      <c r="AA217" s="72" t="str">
        <f>'RESUMEN TOTAL'!AG231</f>
        <v>APAGADO</v>
      </c>
      <c r="AB217" s="72" t="str">
        <f>'RESUMEN TOTAL'!AH231</f>
        <v>APAGADO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 t="str">
        <f>'RESUMEN TOTAL'!AE233</f>
        <v>APAGADO</v>
      </c>
      <c r="Z219" s="72">
        <f>'RESUMEN TOTAL'!AF233</f>
        <v>0</v>
      </c>
      <c r="AA219" s="72" t="str">
        <f>'RESUMEN TOTAL'!AG233</f>
        <v>APAGADO</v>
      </c>
      <c r="AB219" s="72" t="str">
        <f>'RESUMEN TOTAL'!AH233</f>
        <v>APAGADO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 t="str">
        <f>'RESUMEN TOTAL'!AE236</f>
        <v>APAGADO</v>
      </c>
      <c r="Z222" s="72">
        <f>'RESUMEN TOTAL'!AF236</f>
        <v>0</v>
      </c>
      <c r="AA222" s="72" t="str">
        <f>'RESUMEN TOTAL'!AG236</f>
        <v>APAGADO</v>
      </c>
      <c r="AB222" s="72" t="str">
        <f>'RESUMEN TOTAL'!AH236</f>
        <v>APAGADO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 t="str">
        <f>'RESUMEN TOTAL'!AG247</f>
        <v>APAGADO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 t="str">
        <f>'RESUMEN TOTAL'!AB249</f>
        <v>APAGADO</v>
      </c>
      <c r="W234" s="72" t="str">
        <f>'RESUMEN TOTAL'!AC249</f>
        <v>APAGADO</v>
      </c>
      <c r="X234" s="72" t="str">
        <f>'RESUMEN TOTAL'!AD249</f>
        <v>APAGADO</v>
      </c>
      <c r="Y234" s="72">
        <f>'RESUMEN TOTAL'!AE249</f>
        <v>0</v>
      </c>
      <c r="Z234" s="72">
        <f>'RESUMEN TOTAL'!AF249</f>
        <v>0</v>
      </c>
      <c r="AA234" s="72" t="str">
        <f>'RESUMEN TOTAL'!AG249</f>
        <v>APAGADO</v>
      </c>
      <c r="AB234" s="72" t="str">
        <f>'RESUMEN TOTAL'!AH249</f>
        <v>APAGADO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 t="str">
        <f>'RESUMEN TOTAL'!AE255</f>
        <v>APAGADO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 t="str">
        <f>'RESUMEN TOTAL'!AE256</f>
        <v>APAGADO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 t="str">
        <f>'RESUMEN TOTAL'!AE257</f>
        <v>APAGADO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 t="str">
        <f>'RESUMEN TOTAL'!AB263</f>
        <v>APAGADO</v>
      </c>
      <c r="W248" s="72" t="str">
        <f>'RESUMEN TOTAL'!AC263</f>
        <v>APAGADO</v>
      </c>
      <c r="X248" s="72" t="str">
        <f>'RESUMEN TOTAL'!AD263</f>
        <v>APAGADO</v>
      </c>
      <c r="Y248" s="72" t="str">
        <f>'RESUMEN TOTAL'!AE263</f>
        <v>APAGADO</v>
      </c>
      <c r="Z248" s="72" t="str">
        <f>'RESUMEN TOTAL'!AF263</f>
        <v>APAGADO</v>
      </c>
      <c r="AA248" s="72" t="str">
        <f>'RESUMEN TOTAL'!AG263</f>
        <v>APAGADO</v>
      </c>
      <c r="AB248" s="72" t="str">
        <f>'RESUMEN TOTAL'!AH263</f>
        <v>APAGADO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 t="str">
        <f>'RESUMEN TOTAL'!AB268</f>
        <v>APAGADO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 t="str">
        <f>'RESUMEN TOTAL'!AB300</f>
        <v>APAGADO</v>
      </c>
      <c r="W278" s="72" t="str">
        <f>'RESUMEN TOTAL'!AC300</f>
        <v>APAGADO</v>
      </c>
      <c r="X278" s="72" t="str">
        <f>'RESUMEN TOTAL'!AD300</f>
        <v>APAGADO</v>
      </c>
      <c r="Y278" s="72" t="str">
        <f>'RESUMEN TOTAL'!AE300</f>
        <v>APAGADO</v>
      </c>
      <c r="Z278" s="72" t="str">
        <f>'RESUMEN TOTAL'!AF300</f>
        <v>APAGADO</v>
      </c>
      <c r="AA278" s="72" t="str">
        <f>'RESUMEN TOTAL'!AG300</f>
        <v>APAGADO</v>
      </c>
      <c r="AB278" s="72" t="str">
        <f>'RESUMEN TOTAL'!AH300</f>
        <v>APAGADO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 t="str">
        <f>'RESUMEN TOTAL'!AB301</f>
        <v>APAGADO</v>
      </c>
      <c r="W279" s="72" t="str">
        <f>'RESUMEN TOTAL'!AC301</f>
        <v>APAGADO</v>
      </c>
      <c r="X279" s="72" t="str">
        <f>'RESUMEN TOTAL'!AD301</f>
        <v>APAGADO</v>
      </c>
      <c r="Y279" s="72" t="str">
        <f>'RESUMEN TOTAL'!AE301</f>
        <v>APAGADO</v>
      </c>
      <c r="Z279" s="72" t="str">
        <f>'RESUMEN TOTAL'!AF301</f>
        <v>APAGADO</v>
      </c>
      <c r="AA279" s="72" t="str">
        <f>'RESUMEN TOTAL'!AG301</f>
        <v>APAGADO</v>
      </c>
      <c r="AB279" s="72" t="str">
        <f>'RESUMEN TOTAL'!AH301</f>
        <v>APAGADO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 t="str">
        <f>'RESUMEN TOTAL'!AF304</f>
        <v>APAGADO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 t="str">
        <f>'RESUMEN TOTAL'!AB306</f>
        <v>APAGADO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 t="str">
        <f>'RESUMEN TOTAL'!AB317</f>
        <v>APAGADO</v>
      </c>
      <c r="W295" s="72" t="str">
        <f>'RESUMEN TOTAL'!AC317</f>
        <v>APAGADO</v>
      </c>
      <c r="X295" s="72" t="str">
        <f>'RESUMEN TOTAL'!AD317</f>
        <v>APAGADO</v>
      </c>
      <c r="Y295" s="72" t="str">
        <f>'RESUMEN TOTAL'!AE317</f>
        <v>APAGADO</v>
      </c>
      <c r="Z295" s="72" t="str">
        <f>'RESUMEN TOTAL'!AF317</f>
        <v>APAGADO</v>
      </c>
      <c r="AA295" s="72" t="str">
        <f>'RESUMEN TOTAL'!AG317</f>
        <v>APAGADO</v>
      </c>
      <c r="AB295" s="72" t="str">
        <f>'RESUMEN TOTAL'!AH317</f>
        <v>APAGADO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 t="str">
        <f>'RESUMEN TOTAL'!AC318</f>
        <v>APAGADO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 t="str">
        <f>'RESUMEN TOTAL'!AC319</f>
        <v>APAGADO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 t="str">
        <f>'RESUMEN TOTAL'!AB322</f>
        <v>APAGADO</v>
      </c>
      <c r="W300" s="72" t="str">
        <f>'RESUMEN TOTAL'!AC322</f>
        <v>APAGADO</v>
      </c>
      <c r="X300" s="72" t="str">
        <f>'RESUMEN TOTAL'!AD322</f>
        <v>APAGADO</v>
      </c>
      <c r="Y300" s="72" t="str">
        <f>'RESUMEN TOTAL'!AE322</f>
        <v>APAGADO</v>
      </c>
      <c r="Z300" s="72" t="str">
        <f>'RESUMEN TOTAL'!AF322</f>
        <v>APAGADO</v>
      </c>
      <c r="AA300" s="72" t="str">
        <f>'RESUMEN TOTAL'!AG322</f>
        <v>APAGADO</v>
      </c>
      <c r="AB300" s="72" t="str">
        <f>'RESUMEN TOTAL'!AH322</f>
        <v>APAGADO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-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 t="str">
        <f>'RESUMEN TOTAL'!AB323</f>
        <v>APAGADO</v>
      </c>
      <c r="W301" s="72" t="str">
        <f>'RESUMEN TOTAL'!AC323</f>
        <v>APAGADO</v>
      </c>
      <c r="X301" s="72">
        <f>'RESUMEN TOTAL'!AD323</f>
        <v>0</v>
      </c>
      <c r="Y301" s="72">
        <f>'RESUMEN TOTAL'!AE323</f>
        <v>0</v>
      </c>
      <c r="Z301" s="72" t="str">
        <f>'RESUMEN TOTAL'!AF323</f>
        <v>APAGADO</v>
      </c>
      <c r="AA301" s="72" t="str">
        <f>'RESUMEN TOTAL'!AG323</f>
        <v>APAGADO</v>
      </c>
      <c r="AB301" s="72" t="str">
        <f>'RESUMEN TOTAL'!AH323</f>
        <v>APAGADO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 t="str">
        <f>'RESUMEN TOTAL'!AC325</f>
        <v>APAGADO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 t="str">
        <f>'RESUMEN TOTAL'!AC326</f>
        <v>APAGADO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 t="str">
        <f>'RESUMEN TOTAL'!AC327</f>
        <v>APAGADO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 t="str">
        <f>'RESUMEN TOTAL'!AC328</f>
        <v>APAGADO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 t="str">
        <f>'RESUMEN TOTAL'!AC329</f>
        <v>APAGADO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 t="str">
        <f>'RESUMEN TOTAL'!AC330</f>
        <v>APAGADO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 t="str">
        <f>'RESUMEN TOTAL'!AC331</f>
        <v>APAGADO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 t="str">
        <f>'RESUMEN TOTAL'!AC332</f>
        <v>APAGADO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 t="str">
        <f>'RESUMEN TOTAL'!AC333</f>
        <v>APAGADO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 t="str">
        <f>'RESUMEN TOTAL'!AC334</f>
        <v>APAGADO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 t="str">
        <f>'RESUMEN TOTAL'!AC335</f>
        <v>APAGADO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 t="str">
        <f>'RESUMEN TOTAL'!AC336</f>
        <v>APAGADO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 t="str">
        <f>'RESUMEN TOTAL'!AB340</f>
        <v>APAGADO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 t="str">
        <f>'RESUMEN TOTAL'!AB350</f>
        <v>APAGADO</v>
      </c>
      <c r="W325" s="72" t="str">
        <f>'RESUMEN TOTAL'!AC350</f>
        <v>APAGADO</v>
      </c>
      <c r="X325" s="72" t="str">
        <f>'RESUMEN TOTAL'!AD350</f>
        <v>APAGADO</v>
      </c>
      <c r="Y325" s="72" t="str">
        <f>'RESUMEN TOTAL'!AE350</f>
        <v>APAGADO</v>
      </c>
      <c r="Z325" s="72" t="str">
        <f>'RESUMEN TOTAL'!AF350</f>
        <v>APAGADO</v>
      </c>
      <c r="AA325" s="72" t="str">
        <f>'RESUMEN TOTAL'!AG350</f>
        <v>APAGADO</v>
      </c>
      <c r="AB325" s="72" t="str">
        <f>'RESUMEN TOTAL'!AH350</f>
        <v>APAGADO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 t="str">
        <f>'RESUMEN TOTAL'!AB355</f>
        <v>APAGADO</v>
      </c>
      <c r="W328" s="72" t="str">
        <f>'RESUMEN TOTAL'!AC355</f>
        <v>APAGADO</v>
      </c>
      <c r="X328" s="72" t="str">
        <f>'RESUMEN TOTAL'!AD355</f>
        <v>APAGADO</v>
      </c>
      <c r="Y328" s="72" t="str">
        <f>'RESUMEN TOTAL'!AE355</f>
        <v>APAGADO</v>
      </c>
      <c r="Z328" s="72" t="str">
        <f>'RESUMEN TOTAL'!AF355</f>
        <v>APAGADO</v>
      </c>
      <c r="AA328" s="72" t="str">
        <f>'RESUMEN TOTAL'!AG355</f>
        <v>APAGADO</v>
      </c>
      <c r="AB328" s="72" t="str">
        <f>'RESUMEN TOTAL'!AH355</f>
        <v>APAGADO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 t="str">
        <f>'RESUMEN TOTAL'!AB358</f>
        <v>APAGADO</v>
      </c>
      <c r="W331" s="72" t="str">
        <f>'RESUMEN TOTAL'!AC358</f>
        <v>APAGADO</v>
      </c>
      <c r="X331" s="72" t="str">
        <f>'RESUMEN TOTAL'!AD358</f>
        <v>APAGADO</v>
      </c>
      <c r="Y331" s="72" t="str">
        <f>'RESUMEN TOTAL'!AE358</f>
        <v>APAGADO</v>
      </c>
      <c r="Z331" s="72" t="str">
        <f>'RESUMEN TOTAL'!AF358</f>
        <v>APAGADO</v>
      </c>
      <c r="AA331" s="72" t="str">
        <f>'RESUMEN TOTAL'!AG358</f>
        <v>APAGADO</v>
      </c>
      <c r="AB331" s="72" t="str">
        <f>'RESUMEN TOTAL'!AH358</f>
        <v>APAGADO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 t="str">
        <f>'RESUMEN TOTAL'!AB359</f>
        <v>APAGADO</v>
      </c>
      <c r="W332" s="72" t="str">
        <f>'RESUMEN TOTAL'!AC359</f>
        <v>APAGADO</v>
      </c>
      <c r="X332" s="72" t="str">
        <f>'RESUMEN TOTAL'!AD359</f>
        <v>APAGADO</v>
      </c>
      <c r="Y332" s="72" t="str">
        <f>'RESUMEN TOTAL'!AE359</f>
        <v>APAGADO</v>
      </c>
      <c r="Z332" s="72" t="str">
        <f>'RESUMEN TOTAL'!AF359</f>
        <v>APAGADO</v>
      </c>
      <c r="AA332" s="72" t="str">
        <f>'RESUMEN TOTAL'!AG359</f>
        <v>APAGADO</v>
      </c>
      <c r="AB332" s="72" t="str">
        <f>'RESUMEN TOTAL'!AH359</f>
        <v>APAGADO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 t="str">
        <f>'RESUMEN TOTAL'!AG371</f>
        <v>APAGADO</v>
      </c>
      <c r="AB344" s="72" t="str">
        <f>'RESUMEN TOTAL'!AH371</f>
        <v>APAGADO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 t="str">
        <f>'RESUMEN TOTAL'!AG372</f>
        <v>APAGADO</v>
      </c>
      <c r="AB345" s="72" t="str">
        <f>'RESUMEN TOTAL'!AH372</f>
        <v>APAGADO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 t="str">
        <f>'RESUMEN TOTAL'!AG373</f>
        <v>APAGADO</v>
      </c>
      <c r="AB346" s="72" t="str">
        <f>'RESUMEN TOTAL'!AH373</f>
        <v>APAGADO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 t="str">
        <f>'RESUMEN TOTAL'!AB376</f>
        <v>APAGADO</v>
      </c>
      <c r="W349" s="72" t="str">
        <f>'RESUMEN TOTAL'!AC376</f>
        <v>APAGADO</v>
      </c>
      <c r="X349" s="72" t="str">
        <f>'RESUMEN TOTAL'!AD376</f>
        <v>APAGADO</v>
      </c>
      <c r="Y349" s="72" t="str">
        <f>'RESUMEN TOTAL'!AE376</f>
        <v>APAGADO</v>
      </c>
      <c r="Z349" s="72" t="str">
        <f>'RESUMEN TOTAL'!AF376</f>
        <v>APAGADO</v>
      </c>
      <c r="AA349" s="72" t="str">
        <f>'RESUMEN TOTAL'!AG376</f>
        <v>APAGADO</v>
      </c>
      <c r="AB349" s="72" t="str">
        <f>'RESUMEN TOTAL'!AH376</f>
        <v>APAGADO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 t="str">
        <f>'RESUMEN TOTAL'!AD379</f>
        <v>APAGADO</v>
      </c>
      <c r="Y352" s="72" t="str">
        <f>'RESUMEN TOTAL'!AE379</f>
        <v>APAGADO</v>
      </c>
      <c r="Z352" s="72" t="str">
        <f>'RESUMEN TOTAL'!AF379</f>
        <v>APAGADO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 t="str">
        <f>'RESUMEN TOTAL'!AB385</f>
        <v>APAGADO</v>
      </c>
      <c r="W358" s="72" t="str">
        <f>'RESUMEN TOTAL'!AC385</f>
        <v>APAGADO</v>
      </c>
      <c r="X358" s="72">
        <f>'RESUMEN TOTAL'!AD385</f>
        <v>0</v>
      </c>
      <c r="Y358" s="72" t="str">
        <f>'RESUMEN TOTAL'!AE385</f>
        <v>APAGADO</v>
      </c>
      <c r="Z358" s="72" t="str">
        <f>'RESUMEN TOTAL'!AF385</f>
        <v>APAGADO</v>
      </c>
      <c r="AA358" s="72" t="str">
        <f>'RESUMEN TOTAL'!AG385</f>
        <v>APAGADO</v>
      </c>
      <c r="AB358" s="72" t="str">
        <f>'RESUMEN TOTAL'!AH385</f>
        <v>APAGADO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 t="str">
        <f>'RESUMEN TOTAL'!AG386</f>
        <v>APAGADO</v>
      </c>
      <c r="AB359" s="72" t="str">
        <f>'RESUMEN TOTAL'!AH386</f>
        <v>APAGADO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 t="str">
        <f>'RESUMEN TOTAL'!AC389</f>
        <v>APAGADO</v>
      </c>
      <c r="X362" s="72" t="str">
        <f>'RESUMEN TOTAL'!AD389</f>
        <v>APAGADO</v>
      </c>
      <c r="Y362" s="72" t="str">
        <f>'RESUMEN TOTAL'!AE389</f>
        <v>APAGADO</v>
      </c>
      <c r="Z362" s="72" t="str">
        <f>'RESUMEN TOTAL'!AF389</f>
        <v>APAGADO</v>
      </c>
      <c r="AA362" s="72" t="str">
        <f>'RESUMEN TOTAL'!AG389</f>
        <v>APAGADO</v>
      </c>
      <c r="AB362" s="72" t="str">
        <f>'RESUMEN TOTAL'!AH389</f>
        <v>APAGADO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 t="str">
        <f>'RESUMEN TOTAL'!AH391</f>
        <v>APAGADO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 t="str">
        <f>'RESUMEN TOTAL'!AH394</f>
        <v>APAGADO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 t="str">
        <f>'RESUMEN TOTAL'!AH397</f>
        <v>APAGADO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 t="str">
        <f>'RESUMEN TOTAL'!AH398</f>
        <v>APAGADO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 t="str">
        <f>'RESUMEN TOTAL'!AB399</f>
        <v>APAGADO</v>
      </c>
      <c r="W372" s="72" t="str">
        <f>'RESUMEN TOTAL'!AC399</f>
        <v>APAGADO</v>
      </c>
      <c r="X372" s="72" t="str">
        <f>'RESUMEN TOTAL'!AD399</f>
        <v>APAGADO</v>
      </c>
      <c r="Y372" s="72" t="str">
        <f>'RESUMEN TOTAL'!AE399</f>
        <v>APAGADO</v>
      </c>
      <c r="Z372" s="72" t="str">
        <f>'RESUMEN TOTAL'!AF399</f>
        <v>APAGADO</v>
      </c>
      <c r="AA372" s="72" t="str">
        <f>'RESUMEN TOTAL'!AG399</f>
        <v>APAGADO</v>
      </c>
      <c r="AB372" s="72" t="str">
        <f>'RESUMEN TOTAL'!AH399</f>
        <v>APAGADO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 t="str">
        <f>'RESUMEN TOTAL'!AB400</f>
        <v>APAGADO</v>
      </c>
      <c r="W373" s="72" t="str">
        <f>'RESUMEN TOTAL'!AC400</f>
        <v>APAGADO</v>
      </c>
      <c r="X373" s="72" t="str">
        <f>'RESUMEN TOTAL'!AD400</f>
        <v>APAGADO</v>
      </c>
      <c r="Y373" s="72" t="str">
        <f>'RESUMEN TOTAL'!AE400</f>
        <v>APAGADO</v>
      </c>
      <c r="Z373" s="72" t="str">
        <f>'RESUMEN TOTAL'!AF400</f>
        <v>APAGADO</v>
      </c>
      <c r="AA373" s="72" t="str">
        <f>'RESUMEN TOTAL'!AG400</f>
        <v>APAGADO</v>
      </c>
      <c r="AB373" s="72" t="str">
        <f>'RESUMEN TOTAL'!AH400</f>
        <v>APAGADO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 t="str">
        <f>'RESUMEN TOTAL'!AB407</f>
        <v>APAGADO</v>
      </c>
      <c r="W378" s="72" t="str">
        <f>'RESUMEN TOTAL'!AC407</f>
        <v>APAGADO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 t="str">
        <f>'RESUMEN TOTAL'!AB408</f>
        <v>APAGADO</v>
      </c>
      <c r="W379" s="72" t="str">
        <f>'RESUMEN TOTAL'!AC408</f>
        <v>APAGADO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 t="str">
        <f>'RESUMEN TOTAL'!AB409</f>
        <v>APAGADO</v>
      </c>
      <c r="W380" s="72" t="str">
        <f>'RESUMEN TOTAL'!AC409</f>
        <v>APAGADO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 t="str">
        <f>'RESUMEN TOTAL'!AB410</f>
        <v>APAGADO</v>
      </c>
      <c r="W381" s="72" t="str">
        <f>'RESUMEN TOTAL'!AC410</f>
        <v>APAGADO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 t="str">
        <f>'RESUMEN TOTAL'!AB411</f>
        <v>APAGADO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 t="str">
        <f>'RESUMEN TOTAL'!AD412</f>
        <v>APAGADO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 t="str">
        <f>'RESUMEN TOTAL'!AD413</f>
        <v>APAGADO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 t="str">
        <f>'RESUMEN TOTAL'!AH430</f>
        <v>APAGADO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 t="str">
        <f>'RESUMEN TOTAL'!AC446</f>
        <v>APAGADO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 t="str">
        <f>'RESUMEN TOTAL'!AC447</f>
        <v>APAGADO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 t="str">
        <f>'RESUMEN TOTAL'!AC450</f>
        <v>APAGADO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 t="str">
        <f>'RESUMEN TOTAL'!AC451</f>
        <v>APAGADO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 t="str">
        <f>'RESUMEN TOTAL'!AB452</f>
        <v>APAGADO</v>
      </c>
      <c r="W423" s="72" t="str">
        <f>'RESUMEN TOTAL'!AC452</f>
        <v>APAGADO</v>
      </c>
      <c r="X423" s="72" t="str">
        <f>'RESUMEN TOTAL'!AD452</f>
        <v>APAGADO</v>
      </c>
      <c r="Y423" s="72" t="str">
        <f>'RESUMEN TOTAL'!AE452</f>
        <v>APAGADO</v>
      </c>
      <c r="Z423" s="72" t="str">
        <f>'RESUMEN TOTAL'!AF452</f>
        <v>APAGADO</v>
      </c>
      <c r="AA423" s="72" t="str">
        <f>'RESUMEN TOTAL'!AG452</f>
        <v>APAGADO</v>
      </c>
      <c r="AB423" s="72" t="str">
        <f>'RESUMEN TOTAL'!AH452</f>
        <v>APAGADO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 t="str">
        <f>'RESUMEN TOTAL'!AB453</f>
        <v>APAGADO</v>
      </c>
      <c r="W424" s="72" t="str">
        <f>'RESUMEN TOTAL'!AC453</f>
        <v>APAGADO</v>
      </c>
      <c r="X424" s="72" t="str">
        <f>'RESUMEN TOTAL'!AD453</f>
        <v>APAGADO</v>
      </c>
      <c r="Y424" s="72" t="str">
        <f>'RESUMEN TOTAL'!AE453</f>
        <v>APAGADO</v>
      </c>
      <c r="Z424" s="72" t="str">
        <f>'RESUMEN TOTAL'!AF453</f>
        <v>APAGADO</v>
      </c>
      <c r="AA424" s="72" t="str">
        <f>'RESUMEN TOTAL'!AG453</f>
        <v>APAGADO</v>
      </c>
      <c r="AB424" s="72" t="str">
        <f>'RESUMEN TOTAL'!AH453</f>
        <v>APAGADO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 t="str">
        <f>'RESUMEN TOTAL'!AB465</f>
        <v>APAGADO</v>
      </c>
      <c r="W435" s="72" t="str">
        <f>'RESUMEN TOTAL'!AC465</f>
        <v>APAGADO</v>
      </c>
      <c r="X435" s="72" t="str">
        <f>'RESUMEN TOTAL'!AD465</f>
        <v>APAGADO</v>
      </c>
      <c r="Y435" s="72" t="str">
        <f>'RESUMEN TOTAL'!AE465</f>
        <v>APAGADO</v>
      </c>
      <c r="Z435" s="72" t="str">
        <f>'RESUMEN TOTAL'!AF465</f>
        <v>APAGADO</v>
      </c>
      <c r="AA435" s="72" t="str">
        <f>'RESUMEN TOTAL'!AG465</f>
        <v>APAGADO</v>
      </c>
      <c r="AB435" s="72" t="str">
        <f>'RESUMEN TOTAL'!AH465</f>
        <v>APAGADO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 t="str">
        <f>'RESUMEN TOTAL'!AB467</f>
        <v>APAGADO</v>
      </c>
      <c r="W437" s="72" t="str">
        <f>'RESUMEN TOTAL'!AC467</f>
        <v>APAGADO</v>
      </c>
      <c r="X437" s="72" t="str">
        <f>'RESUMEN TOTAL'!AD467</f>
        <v>APAGADO</v>
      </c>
      <c r="Y437" s="72" t="str">
        <f>'RESUMEN TOTAL'!AE467</f>
        <v>APAGADO</v>
      </c>
      <c r="Z437" s="72" t="str">
        <f>'RESUMEN TOTAL'!AF467</f>
        <v>APAGADO</v>
      </c>
      <c r="AA437" s="72" t="str">
        <f>'RESUMEN TOTAL'!AG467</f>
        <v>APAGADO</v>
      </c>
      <c r="AB437" s="72" t="str">
        <f>'RESUMEN TOTAL'!AH467</f>
        <v>APAGADO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2025-06-23T19:59:47Z</dcterms:modified>
</cp:coreProperties>
</file>