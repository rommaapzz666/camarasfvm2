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8_{4A05F744-0DD8-4DA4-BB9A-ADEAC026F30C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3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0" i="2" l="1"/>
  <c r="I460" i="2"/>
  <c r="J191" i="24"/>
  <c r="J192" i="24" s="1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J193" i="24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G5" i="25"/>
  <c r="F5" i="25"/>
  <c r="D10" i="24" s="1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64" i="24"/>
  <c r="S5" i="25"/>
  <c r="R5" i="25"/>
  <c r="Q5" i="25"/>
  <c r="D131" i="24" s="1"/>
  <c r="P5" i="25"/>
  <c r="D120" i="24" s="1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I197" i="24"/>
  <c r="C344" i="24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D73" i="24" l="1"/>
  <c r="L162" i="2"/>
  <c r="L258" i="2"/>
  <c r="L374" i="2"/>
  <c r="L540" i="2"/>
  <c r="B1" i="2"/>
  <c r="I189" i="24" s="1"/>
  <c r="V3" i="2"/>
  <c r="U3" i="2"/>
  <c r="Q3" i="2"/>
  <c r="C47" i="24" s="1"/>
  <c r="P3" i="2"/>
  <c r="C36" i="24" s="1"/>
  <c r="O3" i="2"/>
  <c r="C25" i="24" s="1"/>
  <c r="T3" i="2"/>
  <c r="K190" i="24" l="1"/>
  <c r="K192" i="24"/>
  <c r="K191" i="24"/>
  <c r="K194" i="24"/>
  <c r="K193" i="24"/>
  <c r="AQ2" i="2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AI2" i="26" s="1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E207" i="24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5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<sst xmlns="http://schemas.openxmlformats.org/spreadsheetml/2006/main" count="7872" uniqueCount="2289">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</sst>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28</c:v>
                </c:pt>
                <c:pt idx="24">
                  <c:v>39</c:v>
                </c:pt>
                <c:pt idx="25">
                  <c:v>0</c:v>
                </c:pt>
                <c:pt idx="26">
                  <c:v>36</c:v>
                </c:pt>
                <c:pt idx="27">
                  <c:v>33</c:v>
                </c:pt>
                <c:pt idx="28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52</c:v>
                </c:pt>
                <c:pt idx="21">
                  <c:v>53</c:v>
                </c:pt>
                <c:pt idx="22">
                  <c:v>52</c:v>
                </c:pt>
                <c:pt idx="23">
                  <c:v>62</c:v>
                </c:pt>
                <c:pt idx="24">
                  <c:v>68</c:v>
                </c:pt>
                <c:pt idx="25">
                  <c:v>56</c:v>
                </c:pt>
                <c:pt idx="26">
                  <c:v>68</c:v>
                </c:pt>
                <c:pt idx="27">
                  <c:v>0</c:v>
                </c:pt>
                <c:pt idx="28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9.5709570957095716E-2</c:v>
                      </c:pt>
                      <c:pt idx="2">
                        <c:v>0.12211221122112212</c:v>
                      </c:pt>
                      <c:pt idx="3">
                        <c:v>0.15841584158415842</c:v>
                      </c:pt>
                      <c:pt idx="4">
                        <c:v>0.14000000000000001</c:v>
                      </c:pt>
                      <c:pt idx="5">
                        <c:v>7.2607260726072612E-2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6.6006600660066E-2</c:v>
                      </c:pt>
                      <c:pt idx="9">
                        <c:v>6.6006600660066E-2</c:v>
                      </c:pt>
                      <c:pt idx="10">
                        <c:v>7.2607260726072612E-2</c:v>
                      </c:pt>
                      <c:pt idx="11">
                        <c:v>7.2607260726072612E-2</c:v>
                      </c:pt>
                      <c:pt idx="12">
                        <c:v>7.590759075907591E-2</c:v>
                      </c:pt>
                      <c:pt idx="13">
                        <c:v>7.590759075907591E-2</c:v>
                      </c:pt>
                      <c:pt idx="14">
                        <c:v>8.5808580858085806E-2</c:v>
                      </c:pt>
                      <c:pt idx="15">
                        <c:v>8.9108910891089105E-2</c:v>
                      </c:pt>
                      <c:pt idx="16">
                        <c:v>0.15181518151815182</c:v>
                      </c:pt>
                      <c:pt idx="17">
                        <c:v>7.9207920792079209E-2</c:v>
                      </c:pt>
                      <c:pt idx="18">
                        <c:v>8.5808580858085806E-2</c:v>
                      </c:pt>
                      <c:pt idx="19">
                        <c:v>7.590759075907591E-2</c:v>
                      </c:pt>
                      <c:pt idx="20">
                        <c:v>6.9306930693069313E-2</c:v>
                      </c:pt>
                      <c:pt idx="21">
                        <c:v>6.9306930693069313E-2</c:v>
                      </c:pt>
                      <c:pt idx="22">
                        <c:v>6.9306930693069313E-2</c:v>
                      </c:pt>
                      <c:pt idx="23">
                        <c:v>0</c:v>
                      </c:pt>
                      <c:pt idx="24">
                        <c:v>0.12871287128712872</c:v>
                      </c:pt>
                      <c:pt idx="25">
                        <c:v>0</c:v>
                      </c:pt>
                      <c:pt idx="26">
                        <c:v>0.11881188118811881</c:v>
                      </c:pt>
                      <c:pt idx="27">
                        <c:v>0.10891089108910891</c:v>
                      </c:pt>
                      <c:pt idx="28">
                        <c:v>0.12211221122112212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0.19259259259259259</c:v>
                      </c:pt>
                      <c:pt idx="21">
                        <c:v>0.1962962962962963</c:v>
                      </c:pt>
                      <c:pt idx="22">
                        <c:v>0.19259259259259259</c:v>
                      </c:pt>
                      <c:pt idx="23">
                        <c:v>0</c:v>
                      </c:pt>
                      <c:pt idx="24">
                        <c:v>0.25185185185185183</c:v>
                      </c:pt>
                      <c:pt idx="25">
                        <c:v>0.2074074074074074</c:v>
                      </c:pt>
                      <c:pt idx="26">
                        <c:v>0.25185185185185183</c:v>
                      </c:pt>
                      <c:pt idx="27">
                        <c:v>0</c:v>
                      </c:pt>
                      <c:pt idx="28">
                        <c:v>0.22222222222222221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9.5709570957095716E-2</c:v>
                </c:pt>
                <c:pt idx="2">
                  <c:v>0.12211221122112212</c:v>
                </c:pt>
                <c:pt idx="3">
                  <c:v>0.15841584158415842</c:v>
                </c:pt>
                <c:pt idx="4">
                  <c:v>0.14000000000000001</c:v>
                </c:pt>
                <c:pt idx="5">
                  <c:v>7.2607260726072612E-2</c:v>
                </c:pt>
                <c:pt idx="6">
                  <c:v>0</c:v>
                </c:pt>
                <c:pt idx="7">
                  <c:v>0</c:v>
                </c:pt>
                <c:pt idx="8">
                  <c:v>6.6006600660066E-2</c:v>
                </c:pt>
                <c:pt idx="9">
                  <c:v>6.6006600660066E-2</c:v>
                </c:pt>
                <c:pt idx="10">
                  <c:v>7.2607260726072612E-2</c:v>
                </c:pt>
                <c:pt idx="11">
                  <c:v>7.2607260726072612E-2</c:v>
                </c:pt>
                <c:pt idx="12">
                  <c:v>7.590759075907591E-2</c:v>
                </c:pt>
                <c:pt idx="13">
                  <c:v>7.590759075907591E-2</c:v>
                </c:pt>
                <c:pt idx="14">
                  <c:v>8.5808580858085806E-2</c:v>
                </c:pt>
                <c:pt idx="15">
                  <c:v>8.9108910891089105E-2</c:v>
                </c:pt>
                <c:pt idx="16">
                  <c:v>0.15181518151815182</c:v>
                </c:pt>
                <c:pt idx="17">
                  <c:v>7.9207920792079209E-2</c:v>
                </c:pt>
                <c:pt idx="18">
                  <c:v>8.5808580858085806E-2</c:v>
                </c:pt>
                <c:pt idx="19">
                  <c:v>7.590759075907591E-2</c:v>
                </c:pt>
                <c:pt idx="20">
                  <c:v>6.9306930693069313E-2</c:v>
                </c:pt>
                <c:pt idx="21">
                  <c:v>6.9306930693069313E-2</c:v>
                </c:pt>
                <c:pt idx="22">
                  <c:v>6.9306930693069313E-2</c:v>
                </c:pt>
                <c:pt idx="23">
                  <c:v>0</c:v>
                </c:pt>
                <c:pt idx="24">
                  <c:v>0.12871287128712872</c:v>
                </c:pt>
                <c:pt idx="25">
                  <c:v>0</c:v>
                </c:pt>
                <c:pt idx="26">
                  <c:v>0.11881188118811881</c:v>
                </c:pt>
                <c:pt idx="27">
                  <c:v>0.10891089108910891</c:v>
                </c:pt>
                <c:pt idx="28">
                  <c:v>0.12211221122112212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0.19259259259259259</c:v>
                </c:pt>
                <c:pt idx="21">
                  <c:v>0.1962962962962963</c:v>
                </c:pt>
                <c:pt idx="22">
                  <c:v>0.19259259259259259</c:v>
                </c:pt>
                <c:pt idx="23">
                  <c:v>0</c:v>
                </c:pt>
                <c:pt idx="24">
                  <c:v>0.25185185185185183</c:v>
                </c:pt>
                <c:pt idx="25">
                  <c:v>0.2074074074074074</c:v>
                </c:pt>
                <c:pt idx="26">
                  <c:v>0.25185185185185183</c:v>
                </c:pt>
                <c:pt idx="27">
                  <c:v>0</c:v>
                </c:pt>
                <c:pt idx="28">
                  <c:v>0.22222222222222221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28</c:v>
                      </c:pt>
                      <c:pt idx="24">
                        <c:v>39</c:v>
                      </c:pt>
                      <c:pt idx="25">
                        <c:v>0</c:v>
                      </c:pt>
                      <c:pt idx="26">
                        <c:v>36</c:v>
                      </c:pt>
                      <c:pt idx="27">
                        <c:v>33</c:v>
                      </c:pt>
                      <c:pt idx="28">
                        <c:v>37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53</c:v>
                      </c:pt>
                      <c:pt idx="22">
                        <c:v>52</c:v>
                      </c:pt>
                      <c:pt idx="23">
                        <c:v>62</c:v>
                      </c:pt>
                      <c:pt idx="24">
                        <c:v>68</c:v>
                      </c:pt>
                      <c:pt idx="25">
                        <c:v>56</c:v>
                      </c:pt>
                      <c:pt idx="26">
                        <c:v>68</c:v>
                      </c:pt>
                      <c:pt idx="27">
                        <c:v>0</c:v>
                      </c:pt>
                      <c:pt idx="28">
                        <c:v>60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28</c:v>
                </c:pt>
                <c:pt idx="24">
                  <c:v>39</c:v>
                </c:pt>
                <c:pt idx="25">
                  <c:v>0</c:v>
                </c:pt>
                <c:pt idx="26">
                  <c:v>36</c:v>
                </c:pt>
                <c:pt idx="27">
                  <c:v>33</c:v>
                </c:pt>
                <c:pt idx="2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52</c:v>
                </c:pt>
                <c:pt idx="21">
                  <c:v>53</c:v>
                </c:pt>
                <c:pt idx="22">
                  <c:v>52</c:v>
                </c:pt>
                <c:pt idx="23">
                  <c:v>62</c:v>
                </c:pt>
                <c:pt idx="24">
                  <c:v>68</c:v>
                </c:pt>
                <c:pt idx="25">
                  <c:v>56</c:v>
                </c:pt>
                <c:pt idx="26">
                  <c:v>68</c:v>
                </c:pt>
                <c:pt idx="27">
                  <c:v>0</c:v>
                </c:pt>
                <c:pt idx="28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9.5709570957095716E-2</c:v>
                      </c:pt>
                      <c:pt idx="2">
                        <c:v>0.12211221122112212</c:v>
                      </c:pt>
                      <c:pt idx="3">
                        <c:v>0.15841584158415842</c:v>
                      </c:pt>
                      <c:pt idx="4">
                        <c:v>0.14000000000000001</c:v>
                      </c:pt>
                      <c:pt idx="5">
                        <c:v>7.2607260726072612E-2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6.6006600660066E-2</c:v>
                      </c:pt>
                      <c:pt idx="9">
                        <c:v>6.6006600660066E-2</c:v>
                      </c:pt>
                      <c:pt idx="10">
                        <c:v>7.2607260726072612E-2</c:v>
                      </c:pt>
                      <c:pt idx="11">
                        <c:v>7.2607260726072612E-2</c:v>
                      </c:pt>
                      <c:pt idx="12">
                        <c:v>7.590759075907591E-2</c:v>
                      </c:pt>
                      <c:pt idx="13">
                        <c:v>7.590759075907591E-2</c:v>
                      </c:pt>
                      <c:pt idx="14">
                        <c:v>8.5808580858085806E-2</c:v>
                      </c:pt>
                      <c:pt idx="15">
                        <c:v>8.9108910891089105E-2</c:v>
                      </c:pt>
                      <c:pt idx="16">
                        <c:v>0.15181518151815182</c:v>
                      </c:pt>
                      <c:pt idx="17">
                        <c:v>7.9207920792079209E-2</c:v>
                      </c:pt>
                      <c:pt idx="18">
                        <c:v>8.5808580858085806E-2</c:v>
                      </c:pt>
                      <c:pt idx="19">
                        <c:v>7.590759075907591E-2</c:v>
                      </c:pt>
                      <c:pt idx="20">
                        <c:v>6.9306930693069313E-2</c:v>
                      </c:pt>
                      <c:pt idx="21">
                        <c:v>6.9306930693069313E-2</c:v>
                      </c:pt>
                      <c:pt idx="22">
                        <c:v>6.9306930693069313E-2</c:v>
                      </c:pt>
                      <c:pt idx="23">
                        <c:v>0</c:v>
                      </c:pt>
                      <c:pt idx="24">
                        <c:v>0.12871287128712872</c:v>
                      </c:pt>
                      <c:pt idx="25">
                        <c:v>0</c:v>
                      </c:pt>
                      <c:pt idx="26">
                        <c:v>0.11881188118811881</c:v>
                      </c:pt>
                      <c:pt idx="27">
                        <c:v>0.10891089108910891</c:v>
                      </c:pt>
                      <c:pt idx="28">
                        <c:v>0.12211221122112212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0.19259259259259259</c:v>
                      </c:pt>
                      <c:pt idx="21">
                        <c:v>0.1962962962962963</c:v>
                      </c:pt>
                      <c:pt idx="22">
                        <c:v>0.19259259259259259</c:v>
                      </c:pt>
                      <c:pt idx="23">
                        <c:v>0</c:v>
                      </c:pt>
                      <c:pt idx="24">
                        <c:v>0.25185185185185183</c:v>
                      </c:pt>
                      <c:pt idx="25">
                        <c:v>0.2074074074074074</c:v>
                      </c:pt>
                      <c:pt idx="26">
                        <c:v>0.25185185185185183</c:v>
                      </c:pt>
                      <c:pt idx="27">
                        <c:v>0</c:v>
                      </c:pt>
                      <c:pt idx="28">
                        <c:v>0.22222222222222221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9.5709570957095716E-2</c:v>
                </c:pt>
                <c:pt idx="2">
                  <c:v>0.12211221122112212</c:v>
                </c:pt>
                <c:pt idx="3">
                  <c:v>0.15841584158415842</c:v>
                </c:pt>
                <c:pt idx="4">
                  <c:v>0.14000000000000001</c:v>
                </c:pt>
                <c:pt idx="5">
                  <c:v>7.2607260726072612E-2</c:v>
                </c:pt>
                <c:pt idx="6">
                  <c:v>0</c:v>
                </c:pt>
                <c:pt idx="7">
                  <c:v>0</c:v>
                </c:pt>
                <c:pt idx="8">
                  <c:v>6.6006600660066E-2</c:v>
                </c:pt>
                <c:pt idx="9">
                  <c:v>6.6006600660066E-2</c:v>
                </c:pt>
                <c:pt idx="10">
                  <c:v>7.2607260726072612E-2</c:v>
                </c:pt>
                <c:pt idx="11">
                  <c:v>7.2607260726072612E-2</c:v>
                </c:pt>
                <c:pt idx="12">
                  <c:v>7.590759075907591E-2</c:v>
                </c:pt>
                <c:pt idx="13">
                  <c:v>7.590759075907591E-2</c:v>
                </c:pt>
                <c:pt idx="14">
                  <c:v>8.5808580858085806E-2</c:v>
                </c:pt>
                <c:pt idx="15">
                  <c:v>8.9108910891089105E-2</c:v>
                </c:pt>
                <c:pt idx="16">
                  <c:v>0.15181518151815182</c:v>
                </c:pt>
                <c:pt idx="17">
                  <c:v>7.9207920792079209E-2</c:v>
                </c:pt>
                <c:pt idx="18">
                  <c:v>8.5808580858085806E-2</c:v>
                </c:pt>
                <c:pt idx="19">
                  <c:v>7.590759075907591E-2</c:v>
                </c:pt>
                <c:pt idx="20">
                  <c:v>6.9306930693069313E-2</c:v>
                </c:pt>
                <c:pt idx="21">
                  <c:v>6.9306930693069313E-2</c:v>
                </c:pt>
                <c:pt idx="22">
                  <c:v>6.9306930693069313E-2</c:v>
                </c:pt>
                <c:pt idx="23">
                  <c:v>0</c:v>
                </c:pt>
                <c:pt idx="24">
                  <c:v>0.12871287128712872</c:v>
                </c:pt>
                <c:pt idx="25">
                  <c:v>0</c:v>
                </c:pt>
                <c:pt idx="26">
                  <c:v>0.11881188118811881</c:v>
                </c:pt>
                <c:pt idx="27">
                  <c:v>0.10891089108910891</c:v>
                </c:pt>
                <c:pt idx="28">
                  <c:v>0.12211221122112212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0.19259259259259259</c:v>
                </c:pt>
                <c:pt idx="21">
                  <c:v>0.1962962962962963</c:v>
                </c:pt>
                <c:pt idx="22">
                  <c:v>0.19259259259259259</c:v>
                </c:pt>
                <c:pt idx="23">
                  <c:v>0</c:v>
                </c:pt>
                <c:pt idx="24">
                  <c:v>0.25185185185185183</c:v>
                </c:pt>
                <c:pt idx="25">
                  <c:v>0.2074074074074074</c:v>
                </c:pt>
                <c:pt idx="26">
                  <c:v>0.25185185185185183</c:v>
                </c:pt>
                <c:pt idx="27">
                  <c:v>0</c:v>
                </c:pt>
                <c:pt idx="28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28</c:v>
                      </c:pt>
                      <c:pt idx="24">
                        <c:v>39</c:v>
                      </c:pt>
                      <c:pt idx="25">
                        <c:v>0</c:v>
                      </c:pt>
                      <c:pt idx="26">
                        <c:v>36</c:v>
                      </c:pt>
                      <c:pt idx="27">
                        <c:v>33</c:v>
                      </c:pt>
                      <c:pt idx="28">
                        <c:v>37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53</c:v>
                      </c:pt>
                      <c:pt idx="22">
                        <c:v>52</c:v>
                      </c:pt>
                      <c:pt idx="23">
                        <c:v>62</c:v>
                      </c:pt>
                      <c:pt idx="24">
                        <c:v>68</c:v>
                      </c:pt>
                      <c:pt idx="25">
                        <c:v>56</c:v>
                      </c:pt>
                      <c:pt idx="26">
                        <c:v>68</c:v>
                      </c:pt>
                      <c:pt idx="27">
                        <c:v>0</c:v>
                      </c:pt>
                      <c:pt idx="28">
                        <c:v>60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tabSelected="1" zoomScale="57" zoomScaleNormal="57" workbookViewId="0">
      <pane xSplit="12" ySplit="7" topLeftCell="AP289" activePane="bottomRight" state="frozen"/>
      <selection pane="topRight" activeCell="M1" sqref="M1"/>
      <selection pane="bottomLeft" activeCell="A5" sqref="A5"/>
      <selection pane="bottomRight" activeCell="AQ317" sqref="AQ317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0.12898330804248861</v>
      </c>
      <c r="N1" s="3">
        <f t="shared" si="0"/>
        <v>0.10869565217391304</v>
      </c>
      <c r="O1" s="3">
        <f t="shared" si="0"/>
        <v>0.12232415902140673</v>
      </c>
      <c r="P1" s="3">
        <f t="shared" si="0"/>
        <v>0.17410071942446043</v>
      </c>
      <c r="Q1" s="3">
        <f t="shared" si="0"/>
        <v>0.16204379562043797</v>
      </c>
      <c r="R1" s="3">
        <f t="shared" si="0"/>
        <v>0.13423831070889894</v>
      </c>
      <c r="S1" s="3">
        <f t="shared" si="0"/>
        <v>0.1368421052631579</v>
      </c>
      <c r="T1" s="3">
        <f t="shared" si="0"/>
        <v>0.14200298953662183</v>
      </c>
      <c r="U1" s="3">
        <f t="shared" si="0"/>
        <v>0.13161875945537066</v>
      </c>
      <c r="V1" s="3">
        <f t="shared" si="0"/>
        <v>0.1196319018404908</v>
      </c>
      <c r="W1" s="3">
        <f t="shared" si="0"/>
        <v>0.13423831070889894</v>
      </c>
      <c r="X1" s="3">
        <f t="shared" si="0"/>
        <v>0.1368421052631579</v>
      </c>
      <c r="Y1" s="3">
        <f t="shared" si="0"/>
        <v>0.12633181126331811</v>
      </c>
      <c r="Z1" s="3"/>
      <c r="AA1" s="3">
        <f t="shared" ref="AA1:AP1" si="1">(AA3)/(AA2+AA3)</f>
        <v>0.13813813813813813</v>
      </c>
      <c r="AB1" s="3">
        <f t="shared" si="1"/>
        <v>0.12366412213740458</v>
      </c>
      <c r="AC1" s="3">
        <f t="shared" si="1"/>
        <v>0.14710252600297177</v>
      </c>
      <c r="AD1" s="3">
        <f t="shared" si="1"/>
        <v>0.16448326055312956</v>
      </c>
      <c r="AE1" s="3">
        <f t="shared" si="1"/>
        <v>0.12633181126331811</v>
      </c>
      <c r="AF1" s="3">
        <f t="shared" si="1"/>
        <v>0.11145510835913312</v>
      </c>
      <c r="AG1" s="3">
        <f t="shared" si="1"/>
        <v>0.11282843894899536</v>
      </c>
      <c r="AH1" s="3">
        <f t="shared" si="1"/>
        <v>0.11419753086419752</v>
      </c>
      <c r="AI1" s="3">
        <f t="shared" si="1"/>
        <v>0.11282843894899536</v>
      </c>
      <c r="AJ1" s="3">
        <f t="shared" si="1"/>
        <v>0.13554216867469879</v>
      </c>
      <c r="AK1" s="3">
        <f t="shared" si="1"/>
        <v>0.15712187958883994</v>
      </c>
      <c r="AL1" s="3">
        <f t="shared" si="1"/>
        <v>0.14200298953662183</v>
      </c>
      <c r="AM1" s="3">
        <f t="shared" si="1"/>
        <v>0.15339233038348082</v>
      </c>
      <c r="AN1" s="3">
        <f t="shared" si="1"/>
        <v>0.14836795252225518</v>
      </c>
      <c r="AO1" s="3">
        <f t="shared" si="1"/>
        <v>0.14456035767511177</v>
      </c>
      <c r="AP1" s="3">
        <f t="shared" si="1"/>
        <v>0.14836795252225518</v>
      </c>
      <c r="AQ1" s="3">
        <f t="shared" ref="AQ1" si="2">(AQ3)/(AQ2+AQ3)</f>
        <v>0.18233618233618235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111</v>
      </c>
      <c r="R3" s="126">
        <f t="shared" si="4"/>
        <v>89</v>
      </c>
      <c r="S3" s="126">
        <f t="shared" si="4"/>
        <v>91</v>
      </c>
      <c r="T3" s="126">
        <f t="shared" si="4"/>
        <v>95</v>
      </c>
      <c r="U3" s="126">
        <f t="shared" si="4"/>
        <v>87</v>
      </c>
      <c r="V3" s="126">
        <f t="shared" si="4"/>
        <v>78</v>
      </c>
      <c r="W3" s="126">
        <f t="shared" si="4"/>
        <v>89</v>
      </c>
      <c r="X3" s="126">
        <f t="shared" si="4"/>
        <v>91</v>
      </c>
      <c r="Y3" s="126">
        <f t="shared" si="4"/>
        <v>83</v>
      </c>
      <c r="Z3" s="126">
        <f t="shared" si="4"/>
        <v>80</v>
      </c>
      <c r="AA3" s="126">
        <f t="shared" si="4"/>
        <v>92</v>
      </c>
      <c r="AB3" s="126">
        <f t="shared" si="4"/>
        <v>81</v>
      </c>
      <c r="AC3" s="126">
        <f t="shared" si="4"/>
        <v>99</v>
      </c>
      <c r="AD3" s="126">
        <f t="shared" si="4"/>
        <v>113</v>
      </c>
      <c r="AE3" s="126">
        <f t="shared" si="4"/>
        <v>83</v>
      </c>
      <c r="AF3" s="126">
        <f t="shared" si="4"/>
        <v>72</v>
      </c>
      <c r="AG3" s="126">
        <f t="shared" si="4"/>
        <v>73</v>
      </c>
      <c r="AH3" s="126">
        <f t="shared" si="4"/>
        <v>74</v>
      </c>
      <c r="AI3" s="126">
        <f t="shared" si="4"/>
        <v>73</v>
      </c>
      <c r="AJ3" s="126">
        <f t="shared" si="4"/>
        <v>90</v>
      </c>
      <c r="AK3" s="126">
        <f t="shared" si="4"/>
        <v>107</v>
      </c>
      <c r="AL3" s="126">
        <f t="shared" si="4"/>
        <v>95</v>
      </c>
      <c r="AM3" s="126">
        <f t="shared" si="4"/>
        <v>104</v>
      </c>
      <c r="AN3" s="126">
        <f t="shared" si="4"/>
        <v>100</v>
      </c>
      <c r="AO3" s="126">
        <f t="shared" si="4"/>
        <v>97</v>
      </c>
      <c r="AP3" s="126">
        <f t="shared" si="4"/>
        <v>100</v>
      </c>
      <c r="AQ3" s="126">
        <f t="shared" si="4"/>
        <v>128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36</v>
      </c>
      <c r="N4" s="10">
        <f>COUNTIFS(N8:N689, "=APAGADO",F8:F689,"=Fibra Optica")</f>
        <v>31</v>
      </c>
      <c r="O4" s="10">
        <f>COUNTIFS(O8:O689, "=APAGADO",F8:F689,"=Fibra Optica")</f>
        <v>41</v>
      </c>
      <c r="P4" s="10">
        <f>COUNTIFS(P8:P689, "=APAGADO",F8:F689,"=Fibra Optica")</f>
        <v>57</v>
      </c>
      <c r="Q4" s="10">
        <f>COUNTIFS(Q8:Q689, "=APAGADO",F8:F689,"=Fibra Optica")</f>
        <v>48</v>
      </c>
      <c r="R4" s="10">
        <f>COUNTIFS(R8:R689, "=APAGADO",F8:F689,"=Fibra Optica")</f>
        <v>30</v>
      </c>
      <c r="S4" s="10">
        <f>COUNTIFS(S8:S689, "=APAGADO",F8:F689,"=Fibra Optica")</f>
        <v>30</v>
      </c>
      <c r="T4" s="10">
        <f>COUNTIFS(T8:T689, "=APAGADO",F8:F689,"=Fibra Optica")</f>
        <v>33</v>
      </c>
      <c r="U4" s="10">
        <f>COUNTIFS(U8:U689, "=APAGADO",F8:F689,"=Fibra Optica")</f>
        <v>27</v>
      </c>
      <c r="V4" s="10">
        <f>COUNTIFS(V8:V689, "=APAGADO",F8:F689,"=Fibra Optica")</f>
        <v>26</v>
      </c>
      <c r="W4" s="10">
        <f>COUNTIFS(W8:W689, "=APAGADO",F8:F689,"=Fibra Optica")</f>
        <v>35</v>
      </c>
      <c r="X4" s="10">
        <f>COUNTIFS(X8:X689, "=APAGADO",F8:F689,"=Fibra Optica")</f>
        <v>37</v>
      </c>
      <c r="Y4" s="10">
        <f>COUNTIFS(Y8:Y689, "=APAGADO",F8:F689,"=Fibra Optica")</f>
        <v>33</v>
      </c>
      <c r="Z4" s="10">
        <f>COUNTIFS(Z8:Z689, "=APAGADO",F8:F689,"=Fibra Optica")</f>
        <v>29</v>
      </c>
      <c r="AA4" s="10">
        <f>COUNTIFS(AA8:AA689, "=APAGADO",F8:F689,"=Fibra Optica")</f>
        <v>32</v>
      </c>
      <c r="AB4" s="10">
        <f>COUNTIFS(AB8:AB689, "=APAGADO",F8:F689,"=Fibra Optica")</f>
        <v>42</v>
      </c>
      <c r="AC4" s="10">
        <f>COUNTIFS(AC8:AC689, "=APAGADO",F8:F689,"=Fibra Optica")</f>
        <v>61</v>
      </c>
      <c r="AD4" s="10">
        <f>COUNTIFS(AD8:AD689, "=APAGADO",F8:F689,"=Fibra Optica")</f>
        <v>72</v>
      </c>
      <c r="AE4" s="10">
        <f>COUNTIFS(AE8:AE689, "=APAGADO",F8:F689,"=Fibra Optica")</f>
        <v>44</v>
      </c>
      <c r="AF4" s="10">
        <f>COUNTIFS(AF8:AF689, "=APAGADO",F8:F689,"=Fibra Optica")</f>
        <v>36</v>
      </c>
      <c r="AG4" s="10">
        <f>COUNTIFS(AG8:AG689, "=APAGADO",F8:F689,"=Fibra Optica")</f>
        <v>37</v>
      </c>
      <c r="AH4" s="10">
        <f>COUNTIFS(AH8:AH689, "=APAGADO",F8:F689,"=Fibra Optica")</f>
        <v>37</v>
      </c>
      <c r="AI4" s="10">
        <f>COUNTIFS(AI8:AI689, "=APAGADO",F8:F689,"=Fibra Optica")</f>
        <v>35</v>
      </c>
      <c r="AJ4" s="10">
        <f>COUNTIFS(AJ8:AJ689, "=APAGADO",F8:F689,"=Fibra Optica")</f>
        <v>38</v>
      </c>
      <c r="AK4" s="10">
        <f>COUNTIFS(AK8:AK689, "=APAGADO",F8:F689,"=Fibra Optica")</f>
        <v>57</v>
      </c>
      <c r="AL4" s="10">
        <f>COUNTIFS(AL8:AL689, "=APAGADO",F8:F689,"=Fibra Optica")</f>
        <v>46</v>
      </c>
      <c r="AM4" s="10">
        <f>COUNTIFS(AM8:AM689, "=APAGADO",F8:F689,"=Fibra Optica")</f>
        <v>61</v>
      </c>
      <c r="AN4" s="10">
        <f>COUNTIFS(AN8:AN689, "=APAGADO",F8:F689,"=Fibra Optica")</f>
        <v>55</v>
      </c>
      <c r="AO4" s="10">
        <f>COUNTIFS(AO8:AO689, "=APAGADO",F8:F689,"=Fibra Optica")</f>
        <v>50</v>
      </c>
      <c r="AP4" s="10">
        <f>COUNTIFS(AP8:AP689, "=APAGADO",F8:F689,"=Fibra Optica")</f>
        <v>46</v>
      </c>
      <c r="AQ4" s="10">
        <f>COUNTIFS(AQ8:AQ689, "=APAGADO",G8:G689,"=Fibra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9</v>
      </c>
      <c r="N5" s="130">
        <f>COUNTIFS(N8:N689, "=APAGADO",F8:F689,"=RADIO")</f>
        <v>9</v>
      </c>
      <c r="O5" s="130">
        <f>COUNTIFS(O8:O689, "=APAGADO",F8:F689,"=RADIO")</f>
        <v>9</v>
      </c>
      <c r="P5" s="130">
        <f>COUNTIFS(P8:P689, "=APAGADO",F8:F689,"=RADIO")</f>
        <v>16</v>
      </c>
      <c r="Q5" s="130">
        <f>COUNTIFS(Q8:Q689, "=APAGADO",F8:F689,"=RADIO")</f>
        <v>15</v>
      </c>
      <c r="R5" s="130">
        <f>COUNTIFS(R8:R689, "=APAGADO",F8:F689,"=RADIO")</f>
        <v>15</v>
      </c>
      <c r="S5" s="130">
        <f>COUNTIFS(S8:S689, "=APAGADO",F8:F689,"=RADIO")</f>
        <v>15</v>
      </c>
      <c r="T5" s="130">
        <f>COUNTIFS(T8:T689, "=APAGADO",F8:F689,"=RADIO")</f>
        <v>15</v>
      </c>
      <c r="U5" s="130">
        <f>COUNTIFS(U8:U689, "=APAGADO",F8:F689,"=RADIO")</f>
        <v>15</v>
      </c>
      <c r="V5" s="130">
        <f>COUNTIFS(V8:V689, "=APAGADO",F8:F689,"=RADIO")</f>
        <v>8</v>
      </c>
      <c r="W5" s="130">
        <f>COUNTIFS(W8:W689, "=APAGADO",F8:F689,"=RADIO")</f>
        <v>3</v>
      </c>
      <c r="X5" s="130">
        <f>COUNTIFS(X8:X689, "=APAGADO",F8:F689,"=RADIO")</f>
        <v>5</v>
      </c>
      <c r="Y5" s="130">
        <f>COUNTIFS(Y8:Y689, "=APAGADO",F8:F689,"=RADIO")</f>
        <v>2</v>
      </c>
      <c r="Z5" s="130">
        <f>COUNTIFS(Z8:Z689, "=APAGADO",F8:F689,"=RADIO")</f>
        <v>2</v>
      </c>
      <c r="AA5" s="130">
        <f>COUNTIFS(AA8:AA689, "=APAGADO",F8:F689,"=RADIO")</f>
        <v>11</v>
      </c>
      <c r="AB5" s="130">
        <f>COUNTIFS(AB8:AB689, "=APAGADO",F8:F689,"=RADIO")</f>
        <v>2</v>
      </c>
      <c r="AC5" s="130">
        <f>COUNTIFS(AC8:AC689, "=APAGADO",F8:F689,"=RADIO")</f>
        <v>4</v>
      </c>
      <c r="AD5" s="130">
        <f>COUNTIFS(AD8:AD689, "=APAGADO",F8:F689,"=RADIO")</f>
        <v>2</v>
      </c>
      <c r="AE5" s="130">
        <f>COUNTIFS(AE8:AE689, "=APAGADO",F8:F689,"=RADIO")</f>
        <v>5</v>
      </c>
      <c r="AF5" s="130">
        <f>COUNTIFS(AF8:AF689, "=APAGADO",F8:F689,"=RADIO")</f>
        <v>4</v>
      </c>
      <c r="AG5" s="130">
        <f>COUNTIFS(AG8:AG689, "=APAGADO",F8:F689,"=RADIO")</f>
        <v>5</v>
      </c>
      <c r="AH5" s="130">
        <f>COUNTIFS(AH8:AH689, "=APAGADO",F8:F689,"=RADIO")</f>
        <v>5</v>
      </c>
      <c r="AI5" s="130">
        <f>COUNTIFS(AI8:AI689, "=APAGADO",F8:F689,"=RADIO")</f>
        <v>5</v>
      </c>
      <c r="AJ5" s="130">
        <f>COUNTIFS(AJ8:AJ689, "=APAGADO",F8:F689,"=RADIO")</f>
        <v>5</v>
      </c>
      <c r="AK5" s="130">
        <f>COUNTIFS(AK8:AK689, "=APAGADO",F8:F689,"=RADIO")</f>
        <v>5</v>
      </c>
      <c r="AL5" s="130">
        <f>COUNTIFS(AL8:AL689, "=APAGADO",F8:F689,"=RADIO")</f>
        <v>5</v>
      </c>
      <c r="AM5" s="130">
        <f>COUNTIFS(AM8:AM689, "=APAGADO",F8:F689,"=RADIO")</f>
        <v>6</v>
      </c>
      <c r="AN5" s="130">
        <f>COUNTIFS(AN8:AN689, "=APAGADO",F8:F689,"=RADIO")</f>
        <v>5</v>
      </c>
      <c r="AO5" s="130">
        <f>COUNTIFS(AO8:AO689, "=APAGADO",F8:F689,"=RADIO")</f>
        <v>5</v>
      </c>
      <c r="AP5" s="130">
        <f>COUNTIFS(AP8:AP689, "=APAGADO",F8:F689,"=RADIO")</f>
        <v>5</v>
      </c>
      <c r="AQ5" s="130">
        <f>COUNTIFS(AQ8:AQ689, "=APAGADO",G8:G689,"=RADIO")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13</v>
      </c>
      <c r="N6" s="10">
        <f>COUNTIFS(N8:N689, "=APAGADO",F8:F689,"=PTO A FO")</f>
        <v>6</v>
      </c>
      <c r="O6" s="10">
        <f>COUNTIFS(O8:O689, "=APAGADO",F8:F689,"=PTO A FO")</f>
        <v>6</v>
      </c>
      <c r="P6" s="10">
        <f>COUNTIFS(P8:P689, "=APAGADO",F8:F689,"=PTO A FO")</f>
        <v>11</v>
      </c>
      <c r="Q6" s="10">
        <f>COUNTIFS(Q8:Q689, "=APAGADO",F8:F689,"=PTO A FO")</f>
        <v>8</v>
      </c>
      <c r="R6" s="10">
        <f>COUNTIFS(R8:R689, "=APAGADO",F8:F689,"=PTO A FO")</f>
        <v>5</v>
      </c>
      <c r="S6" s="10">
        <f>COUNTIFS(S8:S689, "=APAGADO",F8:F689,"=PTO A FO")</f>
        <v>5</v>
      </c>
      <c r="T6" s="10">
        <f>COUNTIFS(T8:T689, "=APAGADO",F8:F689,"=PTO A FO")</f>
        <v>7</v>
      </c>
      <c r="U6" s="10">
        <f>COUNTIFS(U8:U689, "=APAGADO",F8:F689,"=PTO A FO")</f>
        <v>5</v>
      </c>
      <c r="V6" s="10">
        <f>COUNTIFS(V8:V689, "=APAGADO",F8:F689,"=PTO A FO")</f>
        <v>5</v>
      </c>
      <c r="W6" s="10">
        <f>COUNTIFS(W8:W689, "=APAGADO",F8:F689,"=PTO A FO")</f>
        <v>8</v>
      </c>
      <c r="X6" s="10">
        <f>COUNTIFS(X8:X689, "=APAGADO",F8:F689,"=PTO A FO")</f>
        <v>8</v>
      </c>
      <c r="Y6" s="10">
        <f>COUNTIFS(Y8:Y689, "=APAGADO",F8:F689,"=PTO A FO")</f>
        <v>6</v>
      </c>
      <c r="Z6" s="10">
        <f>COUNTIFS(Z8:Z689, "=APAGADO",F8:F689,"=PTO A FO")</f>
        <v>6</v>
      </c>
      <c r="AA6" s="10">
        <f>COUNTIFS(AA8:AA689, "=APAGADO",F8:F689,"=PTO A FO")</f>
        <v>6</v>
      </c>
      <c r="AB6" s="10">
        <f>COUNTIFS(AB8:AB689, "=APAGADO",F8:F689,"=PTO A FO")</f>
        <v>6</v>
      </c>
      <c r="AC6" s="10">
        <f>COUNTIFS(AC8:AC689, "=APAGADO",F8:F689,"=PTO A FO")</f>
        <v>8</v>
      </c>
      <c r="AD6" s="10">
        <f>COUNTIFS(AD8:AD689, "=APAGADO",F8:F689,"=PTO A FO")</f>
        <v>11</v>
      </c>
      <c r="AE6" s="10">
        <f>COUNTIFS(AE8:AE689, "=APAGADO",F8:F689,"=PTO A FO")</f>
        <v>3</v>
      </c>
      <c r="AF6" s="10">
        <f>COUNTIFS(AF8:AF689, "=APAGADO",F8:F689,"=PTO A FO")</f>
        <v>4</v>
      </c>
      <c r="AG6" s="10">
        <f>COUNTIFS(AG8:AG689, "=APAGADO",F8:F689,"=PTO A FO")</f>
        <v>3</v>
      </c>
      <c r="AH6" s="10">
        <f>COUNTIFS(AH8:AH689, "=APAGADO",F8:F689,"=PTO A FO")</f>
        <v>4</v>
      </c>
      <c r="AI6" s="10">
        <f>COUNTIFS(AI8:AI689, "=APAGADO",F8:F689,"=PTO A FO")</f>
        <v>6</v>
      </c>
      <c r="AJ6" s="10">
        <f>COUNTIFS(AJ8:AJ689, "=APAGADO",F8:F689,"=PTO A FO")</f>
        <v>14</v>
      </c>
      <c r="AK6" s="10">
        <f>COUNTIFS(AK8:AK689, "=APAGADO",F8:F689,"=PTO A FO")</f>
        <v>12</v>
      </c>
      <c r="AL6" s="10">
        <f>COUNTIFS(AL8:AL689, "=APAGADO",F8:F689,"=PTO A FO")</f>
        <v>12</v>
      </c>
      <c r="AM6" s="10">
        <f>COUNTIFS(AM8:AM689, "=APAGADO",F8:F689,"=PTO A FO")</f>
        <v>11</v>
      </c>
      <c r="AN6" s="10">
        <f>COUNTIFS(AN8:AN689, "=APAGADO",F8:F689,"=PTO A FO")</f>
        <v>10</v>
      </c>
      <c r="AO6" s="10">
        <f>COUNTIFS(AO8:AO689, "=APAGADO",F8:F689,"=PTO A FO")</f>
        <v>10</v>
      </c>
      <c r="AP6" s="10">
        <f>COUNTIFS(AP8:AP689, "=APAGADO",F8:F689,"=PTO A FO")</f>
        <v>17</v>
      </c>
      <c r="AQ6" s="10">
        <f>COUNTIFS(AQ8:AQ689, "=APAGADO",G8:G689,"=PTO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15</v>
      </c>
      <c r="J8" s="147" t="s">
        <v>1667</v>
      </c>
      <c r="K8" s="31">
        <f t="shared" ref="K8:K85" si="6">COUNTIF(M8:AN8,"APAGADO")</f>
        <v>13</v>
      </c>
      <c r="L8" s="32">
        <f t="shared" ref="L8:L85" si="7">(I8)/(K8+I8)</f>
        <v>0.5357142857142857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 t="s">
        <v>2213</v>
      </c>
      <c r="AD8" s="70" t="s">
        <v>2213</v>
      </c>
      <c r="AE8" s="70"/>
      <c r="AF8" s="70"/>
      <c r="AG8" s="70"/>
      <c r="AH8" s="70"/>
      <c r="AI8" s="70" t="s">
        <v>2213</v>
      </c>
      <c r="AJ8" s="70" t="s">
        <v>2213</v>
      </c>
      <c r="AK8" s="70" t="s">
        <v>2213</v>
      </c>
      <c r="AL8" s="70" t="s">
        <v>2213</v>
      </c>
      <c r="AM8" s="70" t="s">
        <v>2213</v>
      </c>
      <c r="AN8" s="70" t="s">
        <v>2213</v>
      </c>
      <c r="AO8" s="70" t="s">
        <v>2213</v>
      </c>
      <c r="AP8" s="70" t="s">
        <v>2213</v>
      </c>
      <c r="AQ8" s="70" t="s">
        <v>2213</v>
      </c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15</v>
      </c>
      <c r="J9" s="147" t="s">
        <v>1668</v>
      </c>
      <c r="K9" s="31">
        <f t="shared" si="6"/>
        <v>13</v>
      </c>
      <c r="L9" s="32">
        <f t="shared" si="7"/>
        <v>0.5357142857142857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 t="s">
        <v>2213</v>
      </c>
      <c r="AD9" s="70" t="s">
        <v>2213</v>
      </c>
      <c r="AE9" s="70"/>
      <c r="AF9" s="70"/>
      <c r="AG9" s="70"/>
      <c r="AH9" s="70"/>
      <c r="AI9" s="70" t="s">
        <v>2213</v>
      </c>
      <c r="AJ9" s="70" t="s">
        <v>2213</v>
      </c>
      <c r="AK9" s="70" t="s">
        <v>2213</v>
      </c>
      <c r="AL9" s="70" t="s">
        <v>2213</v>
      </c>
      <c r="AM9" s="70" t="s">
        <v>2213</v>
      </c>
      <c r="AN9" s="70" t="s">
        <v>2213</v>
      </c>
      <c r="AO9" s="70" t="s">
        <v>2213</v>
      </c>
      <c r="AP9" s="70" t="s">
        <v>2213</v>
      </c>
      <c r="AQ9" s="70" t="s">
        <v>2213</v>
      </c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16</v>
      </c>
      <c r="J14" s="147" t="s">
        <v>1673</v>
      </c>
      <c r="K14" s="31">
        <f t="shared" si="6"/>
        <v>12</v>
      </c>
      <c r="L14" s="32">
        <f t="shared" si="7"/>
        <v>0.5714285714285714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 t="s">
        <v>2213</v>
      </c>
      <c r="AD14" s="70" t="s">
        <v>2213</v>
      </c>
      <c r="AE14" s="70"/>
      <c r="AF14" s="70"/>
      <c r="AG14" s="70"/>
      <c r="AH14" s="70"/>
      <c r="AI14" s="70" t="s">
        <v>2213</v>
      </c>
      <c r="AJ14" s="70" t="s">
        <v>2213</v>
      </c>
      <c r="AK14" s="70" t="s">
        <v>2213</v>
      </c>
      <c r="AL14" s="70" t="s">
        <v>2213</v>
      </c>
      <c r="AM14" s="70" t="s">
        <v>2213</v>
      </c>
      <c r="AN14" s="70"/>
      <c r="AO14" s="70" t="s">
        <v>2213</v>
      </c>
      <c r="AP14" s="70" t="s">
        <v>2213</v>
      </c>
      <c r="AQ14" s="70" t="s">
        <v>2213</v>
      </c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1</v>
      </c>
      <c r="J17" s="150" t="s">
        <v>1676</v>
      </c>
      <c r="K17" s="142">
        <f t="shared" si="6"/>
        <v>27</v>
      </c>
      <c r="L17" s="143">
        <f t="shared" si="7"/>
        <v>3.5714285714285712E-2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 t="s">
        <v>2213</v>
      </c>
      <c r="V17" s="70" t="s">
        <v>2213</v>
      </c>
      <c r="W17" s="70" t="s">
        <v>2213</v>
      </c>
      <c r="X17" s="70" t="s">
        <v>2213</v>
      </c>
      <c r="Y17" s="70" t="s">
        <v>2213</v>
      </c>
      <c r="Z17" s="70" t="s">
        <v>2213</v>
      </c>
      <c r="AA17" s="70" t="s">
        <v>2213</v>
      </c>
      <c r="AB17" s="70" t="s">
        <v>2213</v>
      </c>
      <c r="AC17" s="70" t="s">
        <v>2213</v>
      </c>
      <c r="AD17" s="70" t="s">
        <v>2213</v>
      </c>
      <c r="AE17" s="70" t="s">
        <v>2213</v>
      </c>
      <c r="AF17" s="70" t="s">
        <v>2213</v>
      </c>
      <c r="AG17" s="70" t="s">
        <v>2213</v>
      </c>
      <c r="AH17" s="70" t="s">
        <v>2213</v>
      </c>
      <c r="AI17" s="70" t="s">
        <v>2213</v>
      </c>
      <c r="AJ17" s="70" t="s">
        <v>2213</v>
      </c>
      <c r="AK17" s="70" t="s">
        <v>2213</v>
      </c>
      <c r="AL17" s="70" t="s">
        <v>2213</v>
      </c>
      <c r="AM17" s="70"/>
      <c r="AN17" s="70" t="s">
        <v>2213</v>
      </c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1</v>
      </c>
      <c r="J19" s="147" t="s">
        <v>1677</v>
      </c>
      <c r="K19" s="31">
        <f t="shared" si="6"/>
        <v>27</v>
      </c>
      <c r="L19" s="32">
        <f t="shared" si="7"/>
        <v>3.5714285714285712E-2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 t="s">
        <v>2213</v>
      </c>
      <c r="V19" s="70" t="s">
        <v>2213</v>
      </c>
      <c r="W19" s="70" t="s">
        <v>2213</v>
      </c>
      <c r="X19" s="70" t="s">
        <v>2213</v>
      </c>
      <c r="Y19" s="70" t="s">
        <v>2213</v>
      </c>
      <c r="Z19" s="71" t="s">
        <v>2213</v>
      </c>
      <c r="AA19" s="70" t="s">
        <v>2213</v>
      </c>
      <c r="AB19" s="70" t="s">
        <v>2213</v>
      </c>
      <c r="AC19" s="70" t="s">
        <v>2213</v>
      </c>
      <c r="AD19" s="70" t="s">
        <v>2213</v>
      </c>
      <c r="AE19" s="70" t="s">
        <v>2213</v>
      </c>
      <c r="AF19" s="70" t="s">
        <v>2213</v>
      </c>
      <c r="AG19" s="70" t="s">
        <v>2213</v>
      </c>
      <c r="AH19" s="70" t="s">
        <v>2213</v>
      </c>
      <c r="AI19" s="70"/>
      <c r="AJ19" s="70" t="s">
        <v>2213</v>
      </c>
      <c r="AK19" s="70" t="s">
        <v>2213</v>
      </c>
      <c r="AL19" s="70" t="s">
        <v>2213</v>
      </c>
      <c r="AM19" s="70" t="s">
        <v>2213</v>
      </c>
      <c r="AN19" s="70" t="s">
        <v>2213</v>
      </c>
      <c r="AO19" s="70" t="s">
        <v>2213</v>
      </c>
      <c r="AP19" s="70" t="s">
        <v>2213</v>
      </c>
      <c r="AQ19" s="70" t="s">
        <v>2213</v>
      </c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1</v>
      </c>
      <c r="J20" s="147" t="s">
        <v>1678</v>
      </c>
      <c r="K20" s="31">
        <f t="shared" si="6"/>
        <v>27</v>
      </c>
      <c r="L20" s="32">
        <f t="shared" si="7"/>
        <v>3.5714285714285712E-2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 t="s">
        <v>2213</v>
      </c>
      <c r="V20" s="70" t="s">
        <v>2213</v>
      </c>
      <c r="W20" s="70" t="s">
        <v>2213</v>
      </c>
      <c r="X20" s="70" t="s">
        <v>2213</v>
      </c>
      <c r="Y20" s="70" t="s">
        <v>2213</v>
      </c>
      <c r="Z20" s="71" t="s">
        <v>2213</v>
      </c>
      <c r="AA20" s="70" t="s">
        <v>2213</v>
      </c>
      <c r="AB20" s="70" t="s">
        <v>2213</v>
      </c>
      <c r="AC20" s="70" t="s">
        <v>2213</v>
      </c>
      <c r="AD20" s="70" t="s">
        <v>2213</v>
      </c>
      <c r="AE20" s="70" t="s">
        <v>2213</v>
      </c>
      <c r="AF20" s="70" t="s">
        <v>2213</v>
      </c>
      <c r="AG20" s="70" t="s">
        <v>2213</v>
      </c>
      <c r="AH20" s="70" t="s">
        <v>2213</v>
      </c>
      <c r="AI20" s="70"/>
      <c r="AJ20" s="70" t="s">
        <v>2213</v>
      </c>
      <c r="AK20" s="70" t="s">
        <v>2213</v>
      </c>
      <c r="AL20" s="70" t="s">
        <v>2213</v>
      </c>
      <c r="AM20" s="70" t="s">
        <v>2213</v>
      </c>
      <c r="AN20" s="70" t="s">
        <v>2213</v>
      </c>
      <c r="AO20" s="70" t="s">
        <v>2213</v>
      </c>
      <c r="AP20" s="89" t="s">
        <v>2213</v>
      </c>
      <c r="AQ20" s="89" t="s">
        <v>2213</v>
      </c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27</v>
      </c>
      <c r="J21" s="147" t="s">
        <v>1679</v>
      </c>
      <c r="K21" s="31">
        <f t="shared" si="6"/>
        <v>1</v>
      </c>
      <c r="L21" s="32">
        <f t="shared" si="7"/>
        <v>0.9642857142857143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 t="s">
        <v>2213</v>
      </c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27</v>
      </c>
      <c r="J24" s="147" t="s">
        <v>1682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 t="s">
        <v>2213</v>
      </c>
      <c r="AK24" s="70"/>
      <c r="AL24" s="70"/>
      <c r="AM24" s="70"/>
      <c r="AN24" s="70"/>
      <c r="AO24" s="70"/>
      <c r="AP24" s="70" t="s">
        <v>2213</v>
      </c>
      <c r="AQ24" s="70" t="s">
        <v>2213</v>
      </c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27</v>
      </c>
      <c r="J25" s="147" t="s">
        <v>1683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 t="s">
        <v>2213</v>
      </c>
      <c r="AK25" s="70"/>
      <c r="AL25" s="70"/>
      <c r="AM25" s="70"/>
      <c r="AN25" s="70"/>
      <c r="AO25" s="70"/>
      <c r="AP25" s="70" t="s">
        <v>2213</v>
      </c>
      <c r="AQ25" s="70" t="s">
        <v>2213</v>
      </c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27</v>
      </c>
      <c r="J26" s="147" t="s">
        <v>1684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 t="s">
        <v>2213</v>
      </c>
      <c r="AK26" s="70"/>
      <c r="AL26" s="70"/>
      <c r="AM26" s="70"/>
      <c r="AN26" s="70"/>
      <c r="AO26" s="70"/>
      <c r="AP26" s="70" t="s">
        <v>2213</v>
      </c>
      <c r="AQ26" s="70" t="s">
        <v>2213</v>
      </c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27</v>
      </c>
      <c r="J27" s="147" t="s">
        <v>1685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 t="s">
        <v>2213</v>
      </c>
      <c r="AK27" s="70"/>
      <c r="AL27" s="70"/>
      <c r="AM27" s="70"/>
      <c r="AN27" s="70"/>
      <c r="AO27" s="70"/>
      <c r="AP27" s="70" t="s">
        <v>2213</v>
      </c>
      <c r="AQ27" s="70" t="s">
        <v>2213</v>
      </c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 t="s">
        <v>2213</v>
      </c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0</v>
      </c>
      <c r="J34" s="147" t="s">
        <v>1689</v>
      </c>
      <c r="K34" s="134">
        <f t="shared" si="6"/>
        <v>28</v>
      </c>
      <c r="L34" s="135">
        <f t="shared" si="7"/>
        <v>0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 t="s">
        <v>2213</v>
      </c>
      <c r="W34" s="136" t="s">
        <v>2213</v>
      </c>
      <c r="X34" s="136" t="s">
        <v>2213</v>
      </c>
      <c r="Y34" s="136" t="s">
        <v>2213</v>
      </c>
      <c r="Z34" s="136" t="s">
        <v>2213</v>
      </c>
      <c r="AA34" s="136" t="s">
        <v>2213</v>
      </c>
      <c r="AB34" s="136" t="s">
        <v>2213</v>
      </c>
      <c r="AC34" s="136" t="s">
        <v>2213</v>
      </c>
      <c r="AD34" s="136" t="s">
        <v>2213</v>
      </c>
      <c r="AE34" s="136" t="s">
        <v>2213</v>
      </c>
      <c r="AF34" s="136" t="s">
        <v>2213</v>
      </c>
      <c r="AG34" s="70" t="s">
        <v>2213</v>
      </c>
      <c r="AH34" s="136" t="s">
        <v>2213</v>
      </c>
      <c r="AI34" s="136" t="s">
        <v>2213</v>
      </c>
      <c r="AJ34" s="136" t="s">
        <v>2213</v>
      </c>
      <c r="AK34" s="136" t="s">
        <v>2213</v>
      </c>
      <c r="AL34" s="136" t="s">
        <v>2213</v>
      </c>
      <c r="AM34" s="136" t="s">
        <v>2213</v>
      </c>
      <c r="AN34" s="136" t="s">
        <v>2213</v>
      </c>
      <c r="AO34" s="136" t="s">
        <v>2213</v>
      </c>
      <c r="AP34" s="136" t="s">
        <v>2213</v>
      </c>
      <c r="AQ34" s="136" t="s">
        <v>2213</v>
      </c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16</v>
      </c>
      <c r="J35" s="87" t="s">
        <v>2163</v>
      </c>
      <c r="K35" s="142">
        <f t="shared" si="6"/>
        <v>12</v>
      </c>
      <c r="L35" s="143">
        <f t="shared" si="7"/>
        <v>0.5714285714285714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 t="s">
        <v>2213</v>
      </c>
      <c r="V35" s="70" t="s">
        <v>2213</v>
      </c>
      <c r="W35" s="70" t="s">
        <v>2213</v>
      </c>
      <c r="X35" s="70" t="s">
        <v>2213</v>
      </c>
      <c r="Y35" s="70" t="s">
        <v>2213</v>
      </c>
      <c r="Z35" s="70" t="s">
        <v>2213</v>
      </c>
      <c r="AA35" s="70" t="s">
        <v>2213</v>
      </c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0</v>
      </c>
      <c r="J36" s="87" t="s">
        <v>2157</v>
      </c>
      <c r="K36" s="142">
        <f t="shared" si="6"/>
        <v>28</v>
      </c>
      <c r="L36" s="143">
        <f t="shared" si="7"/>
        <v>0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 t="s">
        <v>2213</v>
      </c>
      <c r="V36" s="70" t="s">
        <v>2213</v>
      </c>
      <c r="W36" s="70" t="s">
        <v>2213</v>
      </c>
      <c r="X36" s="70" t="s">
        <v>2213</v>
      </c>
      <c r="Y36" s="70" t="s">
        <v>2213</v>
      </c>
      <c r="Z36" s="70" t="s">
        <v>2213</v>
      </c>
      <c r="AA36" s="70" t="s">
        <v>2213</v>
      </c>
      <c r="AB36" s="70" t="s">
        <v>2213</v>
      </c>
      <c r="AC36" s="70" t="s">
        <v>2213</v>
      </c>
      <c r="AD36" s="70" t="s">
        <v>2213</v>
      </c>
      <c r="AE36" s="70" t="s">
        <v>2213</v>
      </c>
      <c r="AF36" s="70" t="s">
        <v>2213</v>
      </c>
      <c r="AG36" s="70" t="s">
        <v>2213</v>
      </c>
      <c r="AH36" s="70" t="s">
        <v>2213</v>
      </c>
      <c r="AI36" s="70" t="s">
        <v>2213</v>
      </c>
      <c r="AJ36" s="70" t="s">
        <v>2213</v>
      </c>
      <c r="AK36" s="70" t="s">
        <v>2213</v>
      </c>
      <c r="AL36" s="70" t="s">
        <v>2213</v>
      </c>
      <c r="AM36" s="70" t="s">
        <v>2213</v>
      </c>
      <c r="AN36" s="70" t="s">
        <v>2213</v>
      </c>
      <c r="AO36" s="70" t="s">
        <v>2213</v>
      </c>
      <c r="AP36" s="89" t="s">
        <v>2213</v>
      </c>
      <c r="AQ36" s="89" t="s">
        <v>2213</v>
      </c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19</v>
      </c>
      <c r="J38" s="147" t="s">
        <v>1690</v>
      </c>
      <c r="K38" s="31">
        <f t="shared" si="6"/>
        <v>9</v>
      </c>
      <c r="L38" s="32">
        <f t="shared" si="7"/>
        <v>0.6785714285714286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 t="s">
        <v>2213</v>
      </c>
      <c r="AC38" s="70" t="s">
        <v>2213</v>
      </c>
      <c r="AD38" s="70" t="s">
        <v>2213</v>
      </c>
      <c r="AE38" s="70" t="s">
        <v>2213</v>
      </c>
      <c r="AF38" s="70"/>
      <c r="AG38" s="70" t="s">
        <v>2213</v>
      </c>
      <c r="AH38" s="70" t="s">
        <v>2213</v>
      </c>
      <c r="AI38" s="70"/>
      <c r="AJ38" s="70"/>
      <c r="AK38" s="70" t="s">
        <v>2213</v>
      </c>
      <c r="AL38" s="70"/>
      <c r="AM38" s="70" t="s">
        <v>2213</v>
      </c>
      <c r="AN38" s="70" t="s">
        <v>2213</v>
      </c>
      <c r="AO38" s="70" t="s">
        <v>2213</v>
      </c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19</v>
      </c>
      <c r="J39" s="147" t="s">
        <v>1691</v>
      </c>
      <c r="K39" s="31">
        <f t="shared" si="6"/>
        <v>9</v>
      </c>
      <c r="L39" s="32">
        <f t="shared" si="7"/>
        <v>0.6785714285714286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 t="s">
        <v>2213</v>
      </c>
      <c r="AC39" s="70" t="s">
        <v>2213</v>
      </c>
      <c r="AD39" s="70" t="s">
        <v>2213</v>
      </c>
      <c r="AE39" s="70" t="s">
        <v>2213</v>
      </c>
      <c r="AF39" s="70"/>
      <c r="AG39" s="70" t="s">
        <v>2213</v>
      </c>
      <c r="AH39" s="70" t="s">
        <v>2213</v>
      </c>
      <c r="AI39" s="70"/>
      <c r="AJ39" s="70"/>
      <c r="AK39" s="70" t="s">
        <v>2213</v>
      </c>
      <c r="AL39" s="70"/>
      <c r="AM39" s="70" t="s">
        <v>2213</v>
      </c>
      <c r="AN39" s="70" t="s">
        <v>2213</v>
      </c>
      <c r="AO39" s="70" t="s">
        <v>2213</v>
      </c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27</v>
      </c>
      <c r="J42" s="87" t="s">
        <v>2191</v>
      </c>
      <c r="K42" s="31">
        <f t="shared" si="6"/>
        <v>1</v>
      </c>
      <c r="L42" s="32">
        <f t="shared" si="7"/>
        <v>0.9642857142857143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 t="s">
        <v>2213</v>
      </c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17</v>
      </c>
      <c r="J43" s="87" t="s">
        <v>2192</v>
      </c>
      <c r="K43" s="31">
        <f t="shared" si="6"/>
        <v>11</v>
      </c>
      <c r="L43" s="32">
        <f t="shared" si="7"/>
        <v>0.6071428571428571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 t="s">
        <v>2213</v>
      </c>
      <c r="AC43" s="70" t="s">
        <v>2213</v>
      </c>
      <c r="AD43" s="70"/>
      <c r="AE43" s="70" t="s">
        <v>2213</v>
      </c>
      <c r="AF43" s="70" t="s">
        <v>2213</v>
      </c>
      <c r="AG43" s="70" t="s">
        <v>2213</v>
      </c>
      <c r="AH43" s="70" t="s">
        <v>2213</v>
      </c>
      <c r="AI43" s="70" t="s">
        <v>2213</v>
      </c>
      <c r="AJ43" s="70"/>
      <c r="AK43" s="70" t="s">
        <v>2213</v>
      </c>
      <c r="AL43" s="70"/>
      <c r="AM43" s="70" t="s">
        <v>2213</v>
      </c>
      <c r="AN43" s="70" t="s">
        <v>2213</v>
      </c>
      <c r="AO43" s="70" t="s">
        <v>2213</v>
      </c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26</v>
      </c>
      <c r="J44" s="153" t="s">
        <v>2248</v>
      </c>
      <c r="K44" s="31">
        <f t="shared" si="6"/>
        <v>2</v>
      </c>
      <c r="L44" s="32">
        <f t="shared" si="7"/>
        <v>0.9285714285714286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 t="s">
        <v>2213</v>
      </c>
      <c r="AN44" s="70" t="s">
        <v>2213</v>
      </c>
      <c r="AO44" s="70" t="s">
        <v>2213</v>
      </c>
      <c r="AP44" s="70" t="s">
        <v>2213</v>
      </c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26</v>
      </c>
      <c r="J45" s="153" t="s">
        <v>2253</v>
      </c>
      <c r="K45" s="31">
        <f t="shared" si="6"/>
        <v>2</v>
      </c>
      <c r="L45" s="32">
        <f t="shared" si="7"/>
        <v>0.9285714285714286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 t="s">
        <v>2213</v>
      </c>
      <c r="AN45" s="70" t="s">
        <v>2213</v>
      </c>
      <c r="AO45" s="70" t="s">
        <v>2213</v>
      </c>
      <c r="AP45" s="70" t="s">
        <v>2213</v>
      </c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25</v>
      </c>
      <c r="J58" s="147" t="s">
        <v>1703</v>
      </c>
      <c r="K58" s="142">
        <f t="shared" si="6"/>
        <v>3</v>
      </c>
      <c r="L58" s="143">
        <f t="shared" si="7"/>
        <v>0.8928571428571429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 t="s">
        <v>2213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27</v>
      </c>
      <c r="J74" s="147" t="s">
        <v>1718</v>
      </c>
      <c r="K74" s="31">
        <f t="shared" si="6"/>
        <v>1</v>
      </c>
      <c r="L74" s="32">
        <f t="shared" si="7"/>
        <v>0.9642857142857143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 t="s">
        <v>2213</v>
      </c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22</v>
      </c>
      <c r="J81" s="147" t="s">
        <v>1725</v>
      </c>
      <c r="K81" s="31">
        <f t="shared" si="6"/>
        <v>6</v>
      </c>
      <c r="L81" s="32">
        <f t="shared" si="7"/>
        <v>0.7857142857142857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 t="s">
        <v>2213</v>
      </c>
      <c r="Y81" s="70" t="s">
        <v>2213</v>
      </c>
      <c r="Z81" s="70" t="s">
        <v>2213</v>
      </c>
      <c r="AA81" s="70" t="s">
        <v>2213</v>
      </c>
      <c r="AB81" s="70" t="s">
        <v>2213</v>
      </c>
      <c r="AC81" s="70" t="s">
        <v>2213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25</v>
      </c>
      <c r="J88" s="147" t="s">
        <v>1732</v>
      </c>
      <c r="K88" s="31">
        <f t="shared" si="9"/>
        <v>3</v>
      </c>
      <c r="L88" s="32">
        <f t="shared" si="10"/>
        <v>0.8928571428571429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 t="s">
        <v>2213</v>
      </c>
      <c r="AB88" s="70"/>
      <c r="AC88" s="70"/>
      <c r="AD88" s="70"/>
      <c r="AE88" s="70"/>
      <c r="AF88" s="70"/>
      <c r="AG88" s="70"/>
      <c r="AH88" s="70"/>
      <c r="AI88" s="70"/>
      <c r="AJ88" s="70"/>
      <c r="AK88" s="70" t="s">
        <v>2213</v>
      </c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2</v>
      </c>
      <c r="J89" s="147" t="s">
        <v>1733</v>
      </c>
      <c r="K89" s="31">
        <f t="shared" si="9"/>
        <v>26</v>
      </c>
      <c r="L89" s="32">
        <f t="shared" si="10"/>
        <v>7.1428571428571425E-2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 t="s">
        <v>2213</v>
      </c>
      <c r="V89" s="70" t="s">
        <v>2213</v>
      </c>
      <c r="W89" s="70" t="s">
        <v>2213</v>
      </c>
      <c r="X89" s="70" t="s">
        <v>2213</v>
      </c>
      <c r="Y89" s="70" t="s">
        <v>2213</v>
      </c>
      <c r="Z89" s="70" t="s">
        <v>2213</v>
      </c>
      <c r="AA89" s="70" t="s">
        <v>2213</v>
      </c>
      <c r="AB89" s="70" t="s">
        <v>2213</v>
      </c>
      <c r="AC89" s="70" t="s">
        <v>2213</v>
      </c>
      <c r="AD89" s="70" t="s">
        <v>2213</v>
      </c>
      <c r="AE89" s="70" t="s">
        <v>2213</v>
      </c>
      <c r="AF89" s="70" t="s">
        <v>2213</v>
      </c>
      <c r="AG89" s="70" t="s">
        <v>2213</v>
      </c>
      <c r="AH89" s="70" t="s">
        <v>2213</v>
      </c>
      <c r="AI89" s="70" t="s">
        <v>2213</v>
      </c>
      <c r="AJ89" s="70" t="s">
        <v>2213</v>
      </c>
      <c r="AK89" s="70" t="s">
        <v>2213</v>
      </c>
      <c r="AL89" s="70" t="s">
        <v>2213</v>
      </c>
      <c r="AM89" s="70"/>
      <c r="AN89" s="70" t="s">
        <v>2213</v>
      </c>
      <c r="AO89" s="70" t="s">
        <v>2213</v>
      </c>
      <c r="AP89" s="70" t="s">
        <v>2213</v>
      </c>
      <c r="AQ89" s="70" t="s">
        <v>2213</v>
      </c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25</v>
      </c>
      <c r="J92" s="147" t="s">
        <v>1736</v>
      </c>
      <c r="K92" s="31">
        <f t="shared" si="9"/>
        <v>3</v>
      </c>
      <c r="L92" s="32">
        <f t="shared" si="10"/>
        <v>0.8928571428571429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2213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24</v>
      </c>
      <c r="J95" s="147" t="s">
        <v>1739</v>
      </c>
      <c r="K95" s="142">
        <f t="shared" si="9"/>
        <v>4</v>
      </c>
      <c r="L95" s="143">
        <f t="shared" si="10"/>
        <v>0.8571428571428571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 t="s">
        <v>2213</v>
      </c>
      <c r="AK95" s="70" t="s">
        <v>2213</v>
      </c>
      <c r="AL95" s="70" t="s">
        <v>2213</v>
      </c>
      <c r="AM95" s="70"/>
      <c r="AN95" s="70" t="s">
        <v>2213</v>
      </c>
      <c r="AO95" s="70" t="s">
        <v>2213</v>
      </c>
      <c r="AP95" s="89" t="s">
        <v>2213</v>
      </c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 t="s">
        <v>2213</v>
      </c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1</v>
      </c>
      <c r="J99" s="147" t="s">
        <v>1743</v>
      </c>
      <c r="K99" s="142">
        <f t="shared" si="9"/>
        <v>27</v>
      </c>
      <c r="L99" s="143">
        <f t="shared" si="10"/>
        <v>3.5714285714285712E-2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 t="s">
        <v>2213</v>
      </c>
      <c r="V99" s="70" t="s">
        <v>2213</v>
      </c>
      <c r="W99" s="70" t="s">
        <v>2213</v>
      </c>
      <c r="X99" s="70" t="s">
        <v>2213</v>
      </c>
      <c r="Y99" s="70" t="s">
        <v>2213</v>
      </c>
      <c r="Z99" s="70" t="s">
        <v>2213</v>
      </c>
      <c r="AA99" s="70" t="s">
        <v>2213</v>
      </c>
      <c r="AB99" s="70" t="s">
        <v>2213</v>
      </c>
      <c r="AC99" s="70" t="s">
        <v>2213</v>
      </c>
      <c r="AD99" s="70" t="s">
        <v>2213</v>
      </c>
      <c r="AE99" s="70" t="s">
        <v>2213</v>
      </c>
      <c r="AF99" s="70" t="s">
        <v>2213</v>
      </c>
      <c r="AG99" s="70" t="s">
        <v>2213</v>
      </c>
      <c r="AH99" s="70" t="s">
        <v>2213</v>
      </c>
      <c r="AI99" s="70" t="s">
        <v>2213</v>
      </c>
      <c r="AJ99" s="70" t="s">
        <v>2213</v>
      </c>
      <c r="AK99" s="70" t="s">
        <v>2213</v>
      </c>
      <c r="AL99" s="70" t="s">
        <v>2213</v>
      </c>
      <c r="AM99" s="70"/>
      <c r="AN99" s="70" t="s">
        <v>2213</v>
      </c>
      <c r="AO99" s="70" t="s">
        <v>2213</v>
      </c>
      <c r="AP99" s="89" t="s">
        <v>2213</v>
      </c>
      <c r="AQ99" s="89" t="s">
        <v>2213</v>
      </c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23</v>
      </c>
      <c r="J112" s="147" t="s">
        <v>1756</v>
      </c>
      <c r="K112" s="142">
        <f t="shared" si="9"/>
        <v>5</v>
      </c>
      <c r="L112" s="143">
        <f t="shared" si="10"/>
        <v>0.8214285714285714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 t="s">
        <v>2213</v>
      </c>
      <c r="AK112" s="70" t="s">
        <v>2213</v>
      </c>
      <c r="AL112" s="70" t="s">
        <v>2213</v>
      </c>
      <c r="AM112" s="70" t="s">
        <v>2213</v>
      </c>
      <c r="AN112" s="70" t="s">
        <v>2213</v>
      </c>
      <c r="AO112" s="70" t="s">
        <v>2213</v>
      </c>
      <c r="AP112" s="89" t="s">
        <v>2213</v>
      </c>
      <c r="AQ112" s="89" t="s">
        <v>2213</v>
      </c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23</v>
      </c>
      <c r="J113" s="147" t="s">
        <v>1755</v>
      </c>
      <c r="K113" s="142">
        <f t="shared" si="9"/>
        <v>5</v>
      </c>
      <c r="L113" s="143">
        <f t="shared" si="10"/>
        <v>0.8214285714285714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 t="s">
        <v>2213</v>
      </c>
      <c r="AK113" s="70" t="s">
        <v>2213</v>
      </c>
      <c r="AL113" s="70" t="s">
        <v>2213</v>
      </c>
      <c r="AM113" s="70" t="s">
        <v>2213</v>
      </c>
      <c r="AN113" s="70" t="s">
        <v>2213</v>
      </c>
      <c r="AO113" s="70" t="s">
        <v>2213</v>
      </c>
      <c r="AP113" s="89" t="s">
        <v>2213</v>
      </c>
      <c r="AQ113" s="89" t="s">
        <v>2213</v>
      </c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 t="s">
        <v>2213</v>
      </c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26</v>
      </c>
      <c r="J120" s="147" t="s">
        <v>1763</v>
      </c>
      <c r="K120" s="142">
        <f t="shared" si="9"/>
        <v>2</v>
      </c>
      <c r="L120" s="143">
        <f t="shared" si="10"/>
        <v>0.9285714285714286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 t="s">
        <v>2213</v>
      </c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 t="s">
        <v>2213</v>
      </c>
      <c r="AP120" s="89" t="s">
        <v>2213</v>
      </c>
      <c r="AQ120" s="89" t="s">
        <v>2213</v>
      </c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25</v>
      </c>
      <c r="J127" s="148" t="s">
        <v>1770</v>
      </c>
      <c r="K127" s="142">
        <f t="shared" si="9"/>
        <v>3</v>
      </c>
      <c r="L127" s="143">
        <f t="shared" si="10"/>
        <v>0.8928571428571429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 t="s">
        <v>2213</v>
      </c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23</v>
      </c>
      <c r="J128" s="147" t="s">
        <v>1771</v>
      </c>
      <c r="K128" s="142">
        <f t="shared" si="9"/>
        <v>5</v>
      </c>
      <c r="L128" s="143">
        <f t="shared" si="10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16</v>
      </c>
      <c r="J130" s="147" t="s">
        <v>1773</v>
      </c>
      <c r="K130" s="31">
        <f t="shared" si="9"/>
        <v>12</v>
      </c>
      <c r="L130" s="32">
        <f t="shared" si="10"/>
        <v>0.5714285714285714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 t="s">
        <v>2213</v>
      </c>
      <c r="Y130" s="70" t="s">
        <v>2213</v>
      </c>
      <c r="Z130" s="70" t="s">
        <v>2213</v>
      </c>
      <c r="AA130" s="70" t="s">
        <v>2213</v>
      </c>
      <c r="AB130" s="70" t="s">
        <v>2213</v>
      </c>
      <c r="AC130" s="70"/>
      <c r="AD130" s="70"/>
      <c r="AE130" s="70" t="s">
        <v>2213</v>
      </c>
      <c r="AF130" s="70" t="s">
        <v>2213</v>
      </c>
      <c r="AG130" s="70"/>
      <c r="AH130" s="70"/>
      <c r="AI130" s="70"/>
      <c r="AJ130" s="70"/>
      <c r="AK130" s="70"/>
      <c r="AL130" s="70" t="s">
        <v>2213</v>
      </c>
      <c r="AM130" s="70"/>
      <c r="AN130" s="70"/>
      <c r="AO130" s="70"/>
      <c r="AP130" s="70" t="s">
        <v>2213</v>
      </c>
      <c r="AQ130" s="70" t="s">
        <v>2213</v>
      </c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 t="s">
        <v>2213</v>
      </c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25</v>
      </c>
      <c r="J132" s="147" t="s">
        <v>1775</v>
      </c>
      <c r="K132" s="142">
        <f t="shared" si="9"/>
        <v>3</v>
      </c>
      <c r="L132" s="143">
        <f t="shared" si="10"/>
        <v>0.8928571428571429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 t="s">
        <v>2213</v>
      </c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8"/>
        <v>28</v>
      </c>
      <c r="J144" s="147" t="s">
        <v>2264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 t="s">
        <v>2213</v>
      </c>
      <c r="AQ145" s="70" t="s">
        <v>2213</v>
      </c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16</v>
      </c>
      <c r="J151" s="87"/>
      <c r="K151" s="31">
        <f t="shared" si="9"/>
        <v>12</v>
      </c>
      <c r="L151" s="32">
        <f t="shared" si="10"/>
        <v>0.5714285714285714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 t="s">
        <v>2213</v>
      </c>
      <c r="V151" s="70" t="s">
        <v>2213</v>
      </c>
      <c r="W151" s="70" t="s">
        <v>2213</v>
      </c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 t="s">
        <v>2213</v>
      </c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 t="s">
        <v>2213</v>
      </c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 t="s">
        <v>2213</v>
      </c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27</v>
      </c>
      <c r="J162" s="147" t="s">
        <v>1795</v>
      </c>
      <c r="K162" s="142">
        <f t="shared" si="9"/>
        <v>1</v>
      </c>
      <c r="L162" s="143">
        <f t="shared" si="10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 t="s">
        <v>2213</v>
      </c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 t="s">
        <v>2213</v>
      </c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0</v>
      </c>
      <c r="J168" s="147" t="s">
        <v>1801</v>
      </c>
      <c r="K168" s="31">
        <f t="shared" si="12"/>
        <v>28</v>
      </c>
      <c r="L168" s="32">
        <f t="shared" si="13"/>
        <v>0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 t="s">
        <v>2213</v>
      </c>
      <c r="V168" s="70" t="s">
        <v>2213</v>
      </c>
      <c r="W168" s="70" t="s">
        <v>2213</v>
      </c>
      <c r="X168" s="70" t="s">
        <v>2213</v>
      </c>
      <c r="Y168" s="70" t="s">
        <v>2213</v>
      </c>
      <c r="Z168" s="70" t="s">
        <v>2213</v>
      </c>
      <c r="AA168" s="70" t="s">
        <v>2213</v>
      </c>
      <c r="AB168" s="70" t="s">
        <v>2213</v>
      </c>
      <c r="AC168" s="70" t="s">
        <v>2213</v>
      </c>
      <c r="AD168" s="70" t="s">
        <v>2213</v>
      </c>
      <c r="AE168" s="70" t="s">
        <v>2213</v>
      </c>
      <c r="AF168" s="70" t="s">
        <v>2213</v>
      </c>
      <c r="AG168" s="70" t="s">
        <v>2213</v>
      </c>
      <c r="AH168" s="70" t="s">
        <v>2213</v>
      </c>
      <c r="AI168" s="70" t="s">
        <v>2213</v>
      </c>
      <c r="AJ168" s="70" t="s">
        <v>2213</v>
      </c>
      <c r="AK168" s="70" t="s">
        <v>2213</v>
      </c>
      <c r="AL168" s="70" t="s">
        <v>2213</v>
      </c>
      <c r="AM168" s="70" t="s">
        <v>2213</v>
      </c>
      <c r="AN168" s="70" t="s">
        <v>2213</v>
      </c>
      <c r="AO168" s="70" t="s">
        <v>2213</v>
      </c>
      <c r="AP168" s="70" t="s">
        <v>2213</v>
      </c>
      <c r="AQ168" s="70" t="s">
        <v>2213</v>
      </c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17</v>
      </c>
      <c r="J169" s="147" t="s">
        <v>1802</v>
      </c>
      <c r="K169" s="31">
        <f t="shared" si="12"/>
        <v>11</v>
      </c>
      <c r="L169" s="32">
        <f t="shared" si="13"/>
        <v>0.6071428571428571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 t="s">
        <v>2213</v>
      </c>
      <c r="AE169" s="70" t="s">
        <v>2213</v>
      </c>
      <c r="AF169" s="70" t="s">
        <v>2213</v>
      </c>
      <c r="AG169" s="70" t="s">
        <v>2213</v>
      </c>
      <c r="AH169" s="70" t="s">
        <v>2213</v>
      </c>
      <c r="AI169" s="70" t="s">
        <v>2213</v>
      </c>
      <c r="AJ169" s="70" t="s">
        <v>2213</v>
      </c>
      <c r="AK169" s="70" t="s">
        <v>2213</v>
      </c>
      <c r="AL169" s="70" t="s">
        <v>2213</v>
      </c>
      <c r="AM169" s="70" t="s">
        <v>2213</v>
      </c>
      <c r="AN169" s="70" t="s">
        <v>2213</v>
      </c>
      <c r="AO169" s="70" t="s">
        <v>2213</v>
      </c>
      <c r="AP169" s="70" t="s">
        <v>2213</v>
      </c>
      <c r="AQ169" s="70" t="s">
        <v>2213</v>
      </c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16</v>
      </c>
      <c r="J180" s="147" t="s">
        <v>1812</v>
      </c>
      <c r="K180" s="31">
        <f t="shared" si="12"/>
        <v>12</v>
      </c>
      <c r="L180" s="32">
        <f t="shared" si="13"/>
        <v>0.5714285714285714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 t="s">
        <v>2213</v>
      </c>
      <c r="AD180" s="70" t="s">
        <v>2213</v>
      </c>
      <c r="AE180" s="70" t="s">
        <v>2213</v>
      </c>
      <c r="AF180" s="70" t="s">
        <v>2213</v>
      </c>
      <c r="AG180" s="70" t="s">
        <v>2213</v>
      </c>
      <c r="AH180" s="70" t="s">
        <v>2213</v>
      </c>
      <c r="AI180" s="70" t="s">
        <v>2213</v>
      </c>
      <c r="AJ180" s="70" t="s">
        <v>2213</v>
      </c>
      <c r="AK180" s="70" t="s">
        <v>2213</v>
      </c>
      <c r="AL180" s="70" t="s">
        <v>2213</v>
      </c>
      <c r="AM180" s="70" t="s">
        <v>2213</v>
      </c>
      <c r="AN180" s="70" t="s">
        <v>2213</v>
      </c>
      <c r="AO180" s="70" t="s">
        <v>2213</v>
      </c>
      <c r="AP180" s="70" t="s">
        <v>2213</v>
      </c>
      <c r="AQ180" s="70" t="s">
        <v>2213</v>
      </c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16</v>
      </c>
      <c r="J181" s="147" t="s">
        <v>1813</v>
      </c>
      <c r="K181" s="31">
        <f t="shared" si="12"/>
        <v>12</v>
      </c>
      <c r="L181" s="32">
        <f t="shared" si="13"/>
        <v>0.5714285714285714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 t="s">
        <v>2213</v>
      </c>
      <c r="AD181" s="70" t="s">
        <v>2213</v>
      </c>
      <c r="AE181" s="70" t="s">
        <v>2213</v>
      </c>
      <c r="AF181" s="70" t="s">
        <v>2213</v>
      </c>
      <c r="AG181" s="70" t="s">
        <v>2213</v>
      </c>
      <c r="AH181" s="70" t="s">
        <v>2213</v>
      </c>
      <c r="AI181" s="70" t="s">
        <v>2213</v>
      </c>
      <c r="AJ181" s="70" t="s">
        <v>2213</v>
      </c>
      <c r="AK181" s="70" t="s">
        <v>2213</v>
      </c>
      <c r="AL181" s="70" t="s">
        <v>2213</v>
      </c>
      <c r="AM181" s="70" t="s">
        <v>2213</v>
      </c>
      <c r="AN181" s="70" t="s">
        <v>2213</v>
      </c>
      <c r="AO181" s="70" t="s">
        <v>2213</v>
      </c>
      <c r="AP181" s="70" t="s">
        <v>2213</v>
      </c>
      <c r="AQ181" s="70" t="s">
        <v>2213</v>
      </c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16</v>
      </c>
      <c r="J182" s="147" t="s">
        <v>1814</v>
      </c>
      <c r="K182" s="31">
        <f t="shared" si="12"/>
        <v>12</v>
      </c>
      <c r="L182" s="32">
        <f t="shared" si="13"/>
        <v>0.5714285714285714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 t="s">
        <v>2213</v>
      </c>
      <c r="AD182" s="70" t="s">
        <v>2213</v>
      </c>
      <c r="AE182" s="70" t="s">
        <v>2213</v>
      </c>
      <c r="AF182" s="70" t="s">
        <v>2213</v>
      </c>
      <c r="AG182" s="70" t="s">
        <v>2213</v>
      </c>
      <c r="AH182" s="70" t="s">
        <v>2213</v>
      </c>
      <c r="AI182" s="70" t="s">
        <v>2213</v>
      </c>
      <c r="AJ182" s="70" t="s">
        <v>2213</v>
      </c>
      <c r="AK182" s="70" t="s">
        <v>2213</v>
      </c>
      <c r="AL182" s="70" t="s">
        <v>2213</v>
      </c>
      <c r="AM182" s="70" t="s">
        <v>2213</v>
      </c>
      <c r="AN182" s="70" t="s">
        <v>2213</v>
      </c>
      <c r="AO182" s="70" t="s">
        <v>2213</v>
      </c>
      <c r="AP182" s="70" t="s">
        <v>2213</v>
      </c>
      <c r="AQ182" s="70" t="s">
        <v>2213</v>
      </c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14</v>
      </c>
      <c r="J183" s="147" t="s">
        <v>1815</v>
      </c>
      <c r="K183" s="31">
        <f t="shared" si="12"/>
        <v>14</v>
      </c>
      <c r="L183" s="32">
        <f t="shared" si="13"/>
        <v>0.5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 t="s">
        <v>2213</v>
      </c>
      <c r="AD183" s="70" t="s">
        <v>2213</v>
      </c>
      <c r="AE183" s="70" t="s">
        <v>2213</v>
      </c>
      <c r="AF183" s="70" t="s">
        <v>2213</v>
      </c>
      <c r="AG183" s="70" t="s">
        <v>2213</v>
      </c>
      <c r="AH183" s="70" t="s">
        <v>2213</v>
      </c>
      <c r="AI183" s="70" t="s">
        <v>2213</v>
      </c>
      <c r="AJ183" s="70" t="s">
        <v>2213</v>
      </c>
      <c r="AK183" s="70" t="s">
        <v>2213</v>
      </c>
      <c r="AL183" s="70" t="s">
        <v>2213</v>
      </c>
      <c r="AM183" s="70" t="s">
        <v>2213</v>
      </c>
      <c r="AN183" s="70" t="s">
        <v>2213</v>
      </c>
      <c r="AO183" s="70" t="s">
        <v>2213</v>
      </c>
      <c r="AP183" s="70" t="s">
        <v>2213</v>
      </c>
      <c r="AQ183" s="70" t="s">
        <v>2213</v>
      </c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 t="s">
        <v>2213</v>
      </c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26</v>
      </c>
      <c r="J191" s="147" t="s">
        <v>1820</v>
      </c>
      <c r="K191" s="31">
        <f t="shared" si="12"/>
        <v>2</v>
      </c>
      <c r="L191" s="32">
        <f t="shared" si="13"/>
        <v>0.9285714285714286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 t="s">
        <v>2213</v>
      </c>
      <c r="AN191" s="70" t="s">
        <v>2213</v>
      </c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26</v>
      </c>
      <c r="J192" s="147" t="s">
        <v>1821</v>
      </c>
      <c r="K192" s="31">
        <f t="shared" si="12"/>
        <v>2</v>
      </c>
      <c r="L192" s="32">
        <f t="shared" si="13"/>
        <v>0.9285714285714286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 t="s">
        <v>2213</v>
      </c>
      <c r="AN192" s="70" t="s">
        <v>2213</v>
      </c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</v>
      </c>
      <c r="J193" s="87"/>
      <c r="K193" s="138">
        <f t="shared" si="12"/>
        <v>27</v>
      </c>
      <c r="L193" s="139">
        <f t="shared" si="13"/>
        <v>3.5714285714285712E-2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 t="s">
        <v>2213</v>
      </c>
      <c r="W193" s="140" t="s">
        <v>2213</v>
      </c>
      <c r="X193" s="140" t="s">
        <v>2213</v>
      </c>
      <c r="Y193" s="140" t="s">
        <v>2213</v>
      </c>
      <c r="Z193" s="140" t="s">
        <v>2213</v>
      </c>
      <c r="AA193" s="140" t="s">
        <v>2213</v>
      </c>
      <c r="AB193" s="140" t="s">
        <v>2213</v>
      </c>
      <c r="AC193" s="140"/>
      <c r="AD193" s="140" t="s">
        <v>2213</v>
      </c>
      <c r="AE193" s="140" t="s">
        <v>2213</v>
      </c>
      <c r="AF193" s="140" t="s">
        <v>2213</v>
      </c>
      <c r="AG193" s="70" t="s">
        <v>2213</v>
      </c>
      <c r="AH193" s="140" t="s">
        <v>2213</v>
      </c>
      <c r="AI193" s="140" t="s">
        <v>2213</v>
      </c>
      <c r="AJ193" s="140" t="s">
        <v>2213</v>
      </c>
      <c r="AK193" s="140" t="s">
        <v>2213</v>
      </c>
      <c r="AL193" s="140" t="s">
        <v>2213</v>
      </c>
      <c r="AM193" s="140" t="s">
        <v>2213</v>
      </c>
      <c r="AN193" s="140" t="s">
        <v>2213</v>
      </c>
      <c r="AO193" s="140" t="s">
        <v>2213</v>
      </c>
      <c r="AP193" s="140" t="s">
        <v>2213</v>
      </c>
      <c r="AQ193" s="140" t="s">
        <v>2213</v>
      </c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12</v>
      </c>
      <c r="J194" s="147" t="s">
        <v>1822</v>
      </c>
      <c r="K194" s="142">
        <f t="shared" si="12"/>
        <v>16</v>
      </c>
      <c r="L194" s="143">
        <f t="shared" si="13"/>
        <v>0.42857142857142855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 t="s">
        <v>2213</v>
      </c>
      <c r="X194" s="70" t="s">
        <v>2213</v>
      </c>
      <c r="Y194" s="70" t="s">
        <v>2213</v>
      </c>
      <c r="Z194" s="70" t="s">
        <v>2213</v>
      </c>
      <c r="AA194" s="70" t="s">
        <v>2213</v>
      </c>
      <c r="AB194" s="70" t="s">
        <v>2213</v>
      </c>
      <c r="AC194" s="70"/>
      <c r="AD194" s="70" t="s">
        <v>2213</v>
      </c>
      <c r="AE194" s="70" t="s">
        <v>2213</v>
      </c>
      <c r="AF194" s="70" t="s">
        <v>2213</v>
      </c>
      <c r="AG194" s="70" t="s">
        <v>2213</v>
      </c>
      <c r="AH194" s="70" t="s">
        <v>2213</v>
      </c>
      <c r="AI194" s="70" t="s">
        <v>2213</v>
      </c>
      <c r="AJ194" s="70" t="s">
        <v>2213</v>
      </c>
      <c r="AK194" s="70" t="s">
        <v>2213</v>
      </c>
      <c r="AL194" s="70" t="s">
        <v>2213</v>
      </c>
      <c r="AM194" s="70" t="s">
        <v>2213</v>
      </c>
      <c r="AN194" s="70"/>
      <c r="AO194" s="70" t="s">
        <v>2213</v>
      </c>
      <c r="AP194" s="89" t="s">
        <v>2213</v>
      </c>
      <c r="AQ194" s="89" t="s">
        <v>2213</v>
      </c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9</v>
      </c>
      <c r="J195" s="147" t="s">
        <v>1823</v>
      </c>
      <c r="K195" s="142">
        <f t="shared" si="12"/>
        <v>19</v>
      </c>
      <c r="L195" s="143">
        <f t="shared" si="13"/>
        <v>0.32142857142857145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 t="s">
        <v>2213</v>
      </c>
      <c r="W195" s="70" t="s">
        <v>2213</v>
      </c>
      <c r="X195" s="70"/>
      <c r="Y195" s="70"/>
      <c r="Z195" s="70" t="s">
        <v>2213</v>
      </c>
      <c r="AA195" s="70" t="s">
        <v>2213</v>
      </c>
      <c r="AB195" s="70" t="s">
        <v>2213</v>
      </c>
      <c r="AC195" s="70"/>
      <c r="AD195" s="70" t="s">
        <v>2213</v>
      </c>
      <c r="AE195" s="70" t="s">
        <v>2213</v>
      </c>
      <c r="AF195" s="70" t="s">
        <v>2213</v>
      </c>
      <c r="AG195" s="70" t="s">
        <v>2213</v>
      </c>
      <c r="AH195" s="70"/>
      <c r="AI195" s="70" t="s">
        <v>2213</v>
      </c>
      <c r="AJ195" s="70" t="s">
        <v>2213</v>
      </c>
      <c r="AK195" s="70" t="s">
        <v>2213</v>
      </c>
      <c r="AL195" s="70" t="s">
        <v>2213</v>
      </c>
      <c r="AM195" s="70" t="s">
        <v>2213</v>
      </c>
      <c r="AN195" s="70"/>
      <c r="AO195" s="70" t="s">
        <v>2213</v>
      </c>
      <c r="AP195" s="89" t="s">
        <v>2213</v>
      </c>
      <c r="AQ195" s="89" t="s">
        <v>2213</v>
      </c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27</v>
      </c>
      <c r="J198" s="147" t="s">
        <v>1826</v>
      </c>
      <c r="K198" s="31">
        <f t="shared" si="12"/>
        <v>1</v>
      </c>
      <c r="L198" s="32">
        <f t="shared" si="13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19</v>
      </c>
      <c r="J200" s="147" t="s">
        <v>1827</v>
      </c>
      <c r="K200" s="142">
        <f t="shared" si="12"/>
        <v>9</v>
      </c>
      <c r="L200" s="143">
        <f t="shared" si="13"/>
        <v>0.6785714285714286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 t="s">
        <v>2213</v>
      </c>
      <c r="V200" s="70"/>
      <c r="W200" s="70" t="s">
        <v>2213</v>
      </c>
      <c r="X200" s="70"/>
      <c r="Y200" s="70" t="s">
        <v>2213</v>
      </c>
      <c r="Z200" s="70" t="s">
        <v>2213</v>
      </c>
      <c r="AA200" s="70" t="s">
        <v>2213</v>
      </c>
      <c r="AB200" s="70" t="s">
        <v>2213</v>
      </c>
      <c r="AC200" s="70"/>
      <c r="AD200" s="70"/>
      <c r="AE200" s="70"/>
      <c r="AF200" s="70"/>
      <c r="AG200" s="70"/>
      <c r="AH200" s="70"/>
      <c r="AI200" s="70"/>
      <c r="AJ200" s="70" t="s">
        <v>2213</v>
      </c>
      <c r="AK200" s="70"/>
      <c r="AL200" s="70" t="s">
        <v>2213</v>
      </c>
      <c r="AM200" s="70"/>
      <c r="AN200" s="70"/>
      <c r="AO200" s="70" t="s">
        <v>2213</v>
      </c>
      <c r="AP200" s="89"/>
      <c r="AQ200" s="89" t="s">
        <v>2213</v>
      </c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0</v>
      </c>
      <c r="J201" s="147" t="s">
        <v>1828</v>
      </c>
      <c r="K201" s="31">
        <f t="shared" si="12"/>
        <v>28</v>
      </c>
      <c r="L201" s="32">
        <f t="shared" si="13"/>
        <v>0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 t="s">
        <v>2213</v>
      </c>
      <c r="W201" s="70" t="s">
        <v>2213</v>
      </c>
      <c r="X201" s="70" t="s">
        <v>2213</v>
      </c>
      <c r="Y201" s="70" t="s">
        <v>2213</v>
      </c>
      <c r="Z201" s="70" t="s">
        <v>2213</v>
      </c>
      <c r="AA201" s="70" t="s">
        <v>2213</v>
      </c>
      <c r="AB201" s="70" t="s">
        <v>2213</v>
      </c>
      <c r="AC201" s="70" t="s">
        <v>2213</v>
      </c>
      <c r="AD201" s="70" t="s">
        <v>2213</v>
      </c>
      <c r="AE201" s="70" t="s">
        <v>2213</v>
      </c>
      <c r="AF201" s="70" t="s">
        <v>2213</v>
      </c>
      <c r="AG201" s="70" t="s">
        <v>2213</v>
      </c>
      <c r="AH201" s="70" t="s">
        <v>2213</v>
      </c>
      <c r="AI201" s="70" t="s">
        <v>2213</v>
      </c>
      <c r="AJ201" s="70" t="s">
        <v>2213</v>
      </c>
      <c r="AK201" s="70" t="s">
        <v>2213</v>
      </c>
      <c r="AL201" s="70" t="s">
        <v>2213</v>
      </c>
      <c r="AM201" s="70" t="s">
        <v>2213</v>
      </c>
      <c r="AN201" s="70" t="s">
        <v>2213</v>
      </c>
      <c r="AO201" s="70" t="s">
        <v>2213</v>
      </c>
      <c r="AP201" s="70" t="s">
        <v>2213</v>
      </c>
      <c r="AQ201" s="70" t="s">
        <v>2213</v>
      </c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 t="s">
        <v>2213</v>
      </c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26</v>
      </c>
      <c r="J205" s="147" t="s">
        <v>1832</v>
      </c>
      <c r="K205" s="31">
        <f t="shared" si="12"/>
        <v>2</v>
      </c>
      <c r="L205" s="32">
        <f t="shared" si="13"/>
        <v>0.9285714285714286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 t="s">
        <v>2213</v>
      </c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26</v>
      </c>
      <c r="J206" s="147" t="s">
        <v>1833</v>
      </c>
      <c r="K206" s="31">
        <f t="shared" si="12"/>
        <v>2</v>
      </c>
      <c r="L206" s="32">
        <f t="shared" si="13"/>
        <v>0.9285714285714286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 t="s">
        <v>2213</v>
      </c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10</v>
      </c>
      <c r="J211" s="147" t="s">
        <v>1837</v>
      </c>
      <c r="K211" s="142">
        <f t="shared" si="12"/>
        <v>18</v>
      </c>
      <c r="L211" s="143">
        <f t="shared" si="13"/>
        <v>0.35714285714285715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 t="s">
        <v>2213</v>
      </c>
      <c r="X211" s="70" t="s">
        <v>2213</v>
      </c>
      <c r="Y211" s="70" t="s">
        <v>2213</v>
      </c>
      <c r="Z211" s="70" t="s">
        <v>2213</v>
      </c>
      <c r="AA211" s="70" t="s">
        <v>2213</v>
      </c>
      <c r="AB211" s="70" t="s">
        <v>2213</v>
      </c>
      <c r="AC211" s="70" t="s">
        <v>2213</v>
      </c>
      <c r="AD211" s="70" t="s">
        <v>2213</v>
      </c>
      <c r="AE211" s="70" t="s">
        <v>2213</v>
      </c>
      <c r="AF211" s="70" t="s">
        <v>2213</v>
      </c>
      <c r="AG211" s="70" t="s">
        <v>2213</v>
      </c>
      <c r="AH211" s="70" t="s">
        <v>2213</v>
      </c>
      <c r="AI211" s="70" t="s">
        <v>2213</v>
      </c>
      <c r="AJ211" s="70" t="s">
        <v>2213</v>
      </c>
      <c r="AK211" s="70" t="s">
        <v>2213</v>
      </c>
      <c r="AL211" s="70" t="s">
        <v>2213</v>
      </c>
      <c r="AM211" s="70" t="s">
        <v>2213</v>
      </c>
      <c r="AN211" s="70" t="s">
        <v>2213</v>
      </c>
      <c r="AO211" s="70" t="s">
        <v>2213</v>
      </c>
      <c r="AP211" s="89" t="s">
        <v>2213</v>
      </c>
      <c r="AQ211" s="89" t="s">
        <v>2213</v>
      </c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6</v>
      </c>
      <c r="J217" s="147" t="s">
        <v>1842</v>
      </c>
      <c r="K217" s="142">
        <f t="shared" si="12"/>
        <v>22</v>
      </c>
      <c r="L217" s="143">
        <f t="shared" si="13"/>
        <v>0.21428571428571427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 t="s">
        <v>2213</v>
      </c>
      <c r="V217" s="70" t="s">
        <v>2213</v>
      </c>
      <c r="W217" s="70" t="s">
        <v>2213</v>
      </c>
      <c r="X217" s="70" t="s">
        <v>2213</v>
      </c>
      <c r="Y217" s="70" t="s">
        <v>2213</v>
      </c>
      <c r="Z217" s="70" t="s">
        <v>2213</v>
      </c>
      <c r="AA217" s="70" t="s">
        <v>2213</v>
      </c>
      <c r="AB217" s="70" t="s">
        <v>2213</v>
      </c>
      <c r="AC217" s="70"/>
      <c r="AD217" s="70" t="s">
        <v>2213</v>
      </c>
      <c r="AE217" s="70" t="s">
        <v>2213</v>
      </c>
      <c r="AF217" s="70" t="s">
        <v>2213</v>
      </c>
      <c r="AG217" s="70" t="s">
        <v>2213</v>
      </c>
      <c r="AH217" s="70" t="s">
        <v>2213</v>
      </c>
      <c r="AI217" s="70" t="s">
        <v>2213</v>
      </c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1"/>
        <v>28</v>
      </c>
      <c r="J218" s="151" t="s">
        <v>2277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 t="s">
        <v>2213</v>
      </c>
      <c r="AQ218" s="70" t="s">
        <v>2213</v>
      </c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8</v>
      </c>
      <c r="J219" s="87"/>
      <c r="K219" s="31">
        <f t="shared" si="12"/>
        <v>20</v>
      </c>
      <c r="L219" s="32">
        <f t="shared" si="13"/>
        <v>0.2857142857142857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 t="s">
        <v>2213</v>
      </c>
      <c r="V219" s="70"/>
      <c r="W219" s="70"/>
      <c r="X219" s="70" t="s">
        <v>2213</v>
      </c>
      <c r="Y219" s="70"/>
      <c r="Z219" s="70"/>
      <c r="AA219" s="70"/>
      <c r="AB219" s="70"/>
      <c r="AC219" s="70"/>
      <c r="AD219" s="70"/>
      <c r="AE219" s="70" t="s">
        <v>2213</v>
      </c>
      <c r="AF219" s="70" t="s">
        <v>2213</v>
      </c>
      <c r="AG219" s="70" t="s">
        <v>2213</v>
      </c>
      <c r="AH219" s="70" t="s">
        <v>2213</v>
      </c>
      <c r="AI219" s="70" t="s">
        <v>2213</v>
      </c>
      <c r="AJ219" s="70" t="s">
        <v>2213</v>
      </c>
      <c r="AK219" s="70" t="s">
        <v>2213</v>
      </c>
      <c r="AL219" s="70" t="s">
        <v>2213</v>
      </c>
      <c r="AM219" s="70" t="s">
        <v>2213</v>
      </c>
      <c r="AN219" s="70" t="s">
        <v>2213</v>
      </c>
      <c r="AO219" s="70" t="s">
        <v>2213</v>
      </c>
      <c r="AP219" s="70" t="s">
        <v>2213</v>
      </c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8</v>
      </c>
      <c r="J220" s="87"/>
      <c r="K220" s="31">
        <f t="shared" si="12"/>
        <v>20</v>
      </c>
      <c r="L220" s="32">
        <f t="shared" si="13"/>
        <v>0.2857142857142857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 t="s">
        <v>2213</v>
      </c>
      <c r="V220" s="70"/>
      <c r="W220" s="70"/>
      <c r="X220" s="70" t="s">
        <v>2213</v>
      </c>
      <c r="Y220" s="70"/>
      <c r="Z220" s="70"/>
      <c r="AA220" s="70"/>
      <c r="AB220" s="70"/>
      <c r="AC220" s="70"/>
      <c r="AD220" s="70"/>
      <c r="AE220" s="70" t="s">
        <v>2213</v>
      </c>
      <c r="AF220" s="70" t="s">
        <v>2213</v>
      </c>
      <c r="AG220" s="70" t="s">
        <v>2213</v>
      </c>
      <c r="AH220" s="70" t="s">
        <v>2213</v>
      </c>
      <c r="AI220" s="70" t="s">
        <v>2213</v>
      </c>
      <c r="AJ220" s="70" t="s">
        <v>2213</v>
      </c>
      <c r="AK220" s="70" t="s">
        <v>2213</v>
      </c>
      <c r="AL220" s="70" t="s">
        <v>2213</v>
      </c>
      <c r="AM220" s="70" t="s">
        <v>2213</v>
      </c>
      <c r="AN220" s="70" t="s">
        <v>2213</v>
      </c>
      <c r="AO220" s="70" t="s">
        <v>2213</v>
      </c>
      <c r="AP220" s="70" t="s">
        <v>2213</v>
      </c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2284</v>
      </c>
      <c r="C231" s="73" t="s">
        <v>1063</v>
      </c>
      <c r="D231" s="73" t="s">
        <v>2285</v>
      </c>
      <c r="E231" s="85" t="s">
        <v>15</v>
      </c>
      <c r="F231" s="85" t="s">
        <v>1301</v>
      </c>
      <c r="G231" s="85"/>
      <c r="H231" s="85" t="s">
        <v>2286</v>
      </c>
      <c r="I231" s="142">
        <f t="shared" si="11"/>
        <v>28</v>
      </c>
      <c r="J231" s="147" t="s">
        <v>2287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15</v>
      </c>
      <c r="J232" s="147" t="s">
        <v>1852</v>
      </c>
      <c r="K232" s="31">
        <f t="shared" si="12"/>
        <v>13</v>
      </c>
      <c r="L232" s="32">
        <f t="shared" si="13"/>
        <v>0.5357142857142857</v>
      </c>
      <c r="M232" s="70" t="s">
        <v>2213</v>
      </c>
      <c r="N232" s="70" t="s">
        <v>2213</v>
      </c>
      <c r="O232" s="70" t="s">
        <v>2213</v>
      </c>
      <c r="P232" s="70" t="s">
        <v>2213</v>
      </c>
      <c r="Q232" s="70" t="s">
        <v>2213</v>
      </c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 t="s">
        <v>2213</v>
      </c>
      <c r="AD232" s="70" t="s">
        <v>2213</v>
      </c>
      <c r="AE232" s="70"/>
      <c r="AF232" s="70"/>
      <c r="AG232" s="70"/>
      <c r="AH232" s="70"/>
      <c r="AI232" s="70" t="s">
        <v>2213</v>
      </c>
      <c r="AJ232" s="70" t="s">
        <v>2213</v>
      </c>
      <c r="AK232" s="70" t="s">
        <v>2213</v>
      </c>
      <c r="AL232" s="70" t="s">
        <v>2213</v>
      </c>
      <c r="AM232" s="70" t="s">
        <v>2213</v>
      </c>
      <c r="AN232" s="70" t="s">
        <v>2213</v>
      </c>
      <c r="AO232" s="70" t="s">
        <v>2213</v>
      </c>
      <c r="AP232" s="70" t="s">
        <v>2213</v>
      </c>
      <c r="AQ232" s="70" t="s">
        <v>2213</v>
      </c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25</v>
      </c>
      <c r="J233" s="147" t="s">
        <v>1853</v>
      </c>
      <c r="K233" s="31">
        <f t="shared" si="12"/>
        <v>3</v>
      </c>
      <c r="L233" s="32">
        <f t="shared" si="13"/>
        <v>0.8928571428571429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 t="s">
        <v>2213</v>
      </c>
      <c r="AD233" s="70" t="s">
        <v>2213</v>
      </c>
      <c r="AE233" s="70"/>
      <c r="AF233" s="70"/>
      <c r="AG233" s="70"/>
      <c r="AH233" s="70"/>
      <c r="AI233" s="70"/>
      <c r="AJ233" s="70"/>
      <c r="AK233" s="70"/>
      <c r="AL233" s="70"/>
      <c r="AM233" s="70" t="s">
        <v>2213</v>
      </c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1</v>
      </c>
      <c r="J234" s="147" t="s">
        <v>1854</v>
      </c>
      <c r="K234" s="31">
        <f t="shared" si="12"/>
        <v>27</v>
      </c>
      <c r="L234" s="32">
        <f t="shared" si="13"/>
        <v>3.5714285714285712E-2</v>
      </c>
      <c r="M234" s="70" t="s">
        <v>2213</v>
      </c>
      <c r="N234" s="70" t="s">
        <v>2213</v>
      </c>
      <c r="O234" s="70" t="s">
        <v>2213</v>
      </c>
      <c r="P234" s="70" t="s">
        <v>2213</v>
      </c>
      <c r="Q234" s="70" t="s">
        <v>2213</v>
      </c>
      <c r="R234" s="70" t="s">
        <v>2213</v>
      </c>
      <c r="S234" s="70" t="s">
        <v>2213</v>
      </c>
      <c r="T234" s="70" t="s">
        <v>2213</v>
      </c>
      <c r="U234" s="70" t="s">
        <v>2213</v>
      </c>
      <c r="V234" s="70" t="s">
        <v>2213</v>
      </c>
      <c r="W234" s="70" t="s">
        <v>2213</v>
      </c>
      <c r="X234" s="70" t="s">
        <v>2213</v>
      </c>
      <c r="Y234" s="70" t="s">
        <v>2213</v>
      </c>
      <c r="Z234" s="70" t="s">
        <v>2213</v>
      </c>
      <c r="AA234" s="70" t="s">
        <v>2213</v>
      </c>
      <c r="AB234" s="70" t="s">
        <v>2213</v>
      </c>
      <c r="AC234" s="70" t="s">
        <v>2213</v>
      </c>
      <c r="AD234" s="70" t="s">
        <v>2213</v>
      </c>
      <c r="AE234" s="70"/>
      <c r="AF234" s="70" t="s">
        <v>2213</v>
      </c>
      <c r="AG234" s="70" t="s">
        <v>2213</v>
      </c>
      <c r="AH234" s="70" t="s">
        <v>2213</v>
      </c>
      <c r="AI234" s="70" t="s">
        <v>2213</v>
      </c>
      <c r="AJ234" s="70" t="s">
        <v>2213</v>
      </c>
      <c r="AK234" s="70" t="s">
        <v>2213</v>
      </c>
      <c r="AL234" s="70" t="s">
        <v>2213</v>
      </c>
      <c r="AM234" s="70" t="s">
        <v>2213</v>
      </c>
      <c r="AN234" s="70" t="s">
        <v>2213</v>
      </c>
      <c r="AO234" s="70" t="s">
        <v>2213</v>
      </c>
      <c r="AP234" s="70" t="s">
        <v>2213</v>
      </c>
      <c r="AQ234" s="70" t="s">
        <v>2213</v>
      </c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26</v>
      </c>
      <c r="J235" s="147" t="s">
        <v>1855</v>
      </c>
      <c r="K235" s="31">
        <f t="shared" si="12"/>
        <v>2</v>
      </c>
      <c r="L235" s="32">
        <f t="shared" si="13"/>
        <v>0.9285714285714286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 t="s">
        <v>2213</v>
      </c>
      <c r="AD235" s="70" t="s">
        <v>2213</v>
      </c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26</v>
      </c>
      <c r="J236" s="147" t="s">
        <v>1856</v>
      </c>
      <c r="K236" s="31">
        <f t="shared" si="12"/>
        <v>2</v>
      </c>
      <c r="L236" s="32">
        <f t="shared" si="13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 t="s">
        <v>2213</v>
      </c>
      <c r="AD236" s="70" t="s">
        <v>2213</v>
      </c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26</v>
      </c>
      <c r="J237" s="147" t="s">
        <v>1857</v>
      </c>
      <c r="K237" s="31">
        <f t="shared" si="12"/>
        <v>2</v>
      </c>
      <c r="L237" s="32">
        <f t="shared" si="13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2213</v>
      </c>
      <c r="AD237" s="70" t="s">
        <v>2213</v>
      </c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26</v>
      </c>
      <c r="J239" s="147" t="s">
        <v>1859</v>
      </c>
      <c r="K239" s="31">
        <f t="shared" si="12"/>
        <v>2</v>
      </c>
      <c r="L239" s="32">
        <f t="shared" si="13"/>
        <v>0.9285714285714286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2213</v>
      </c>
      <c r="AD239" s="70" t="s">
        <v>2213</v>
      </c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26</v>
      </c>
      <c r="J240" s="147" t="s">
        <v>1860</v>
      </c>
      <c r="K240" s="31">
        <f t="shared" ref="K240:K309" si="15">COUNTIF(M240:AN240,"APAGADO")</f>
        <v>2</v>
      </c>
      <c r="L240" s="32">
        <f t="shared" ref="L240:L309" si="16">(I240)/(K240+I240)</f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2213</v>
      </c>
      <c r="AD240" s="70" t="s">
        <v>2213</v>
      </c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26</v>
      </c>
      <c r="J241" s="147" t="s">
        <v>1861</v>
      </c>
      <c r="K241" s="31">
        <f t="shared" si="15"/>
        <v>2</v>
      </c>
      <c r="L241" s="32">
        <f t="shared" si="16"/>
        <v>0.9285714285714286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 t="s">
        <v>2213</v>
      </c>
      <c r="AD241" s="70" t="s">
        <v>2213</v>
      </c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25</v>
      </c>
      <c r="J242" s="147" t="s">
        <v>1862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 t="s">
        <v>2213</v>
      </c>
      <c r="AD242" s="70" t="s">
        <v>2213</v>
      </c>
      <c r="AE242" s="70"/>
      <c r="AF242" s="70"/>
      <c r="AG242" s="70"/>
      <c r="AH242" s="70"/>
      <c r="AI242" s="70"/>
      <c r="AJ242" s="70"/>
      <c r="AK242" s="70"/>
      <c r="AL242" s="70"/>
      <c r="AM242" s="70" t="s">
        <v>2213</v>
      </c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25</v>
      </c>
      <c r="J243" s="147" t="s">
        <v>1863</v>
      </c>
      <c r="K243" s="31">
        <f t="shared" si="15"/>
        <v>3</v>
      </c>
      <c r="L243" s="32">
        <f t="shared" si="16"/>
        <v>0.8928571428571429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 t="s">
        <v>2213</v>
      </c>
      <c r="AD243" s="70" t="s">
        <v>2213</v>
      </c>
      <c r="AE243" s="70"/>
      <c r="AF243" s="70"/>
      <c r="AG243" s="70"/>
      <c r="AH243" s="70"/>
      <c r="AI243" s="70"/>
      <c r="AJ243" s="70"/>
      <c r="AK243" s="70"/>
      <c r="AL243" s="70"/>
      <c r="AM243" s="70" t="s">
        <v>2213</v>
      </c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24</v>
      </c>
      <c r="J244" s="147" t="s">
        <v>1864</v>
      </c>
      <c r="K244" s="31">
        <f t="shared" si="15"/>
        <v>4</v>
      </c>
      <c r="L244" s="32">
        <f t="shared" si="16"/>
        <v>0.8571428571428571</v>
      </c>
      <c r="M244" s="70" t="s">
        <v>2213</v>
      </c>
      <c r="N244" s="70" t="s">
        <v>2213</v>
      </c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2213</v>
      </c>
      <c r="AD244" s="70" t="s">
        <v>2213</v>
      </c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26</v>
      </c>
      <c r="J245" s="147" t="s">
        <v>1865</v>
      </c>
      <c r="K245" s="31">
        <f t="shared" si="15"/>
        <v>2</v>
      </c>
      <c r="L245" s="32">
        <f t="shared" si="16"/>
        <v>0.9285714285714286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 t="s">
        <v>2213</v>
      </c>
      <c r="AD245" s="70" t="s">
        <v>2213</v>
      </c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22</v>
      </c>
      <c r="J246" s="147" t="s">
        <v>1866</v>
      </c>
      <c r="K246" s="31">
        <f t="shared" si="15"/>
        <v>6</v>
      </c>
      <c r="L246" s="32">
        <f t="shared" si="16"/>
        <v>0.7857142857142857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 t="s">
        <v>2213</v>
      </c>
      <c r="AD246" s="70" t="s">
        <v>2213</v>
      </c>
      <c r="AE246" s="70"/>
      <c r="AF246" s="70"/>
      <c r="AG246" s="70"/>
      <c r="AH246" s="70"/>
      <c r="AI246" s="70"/>
      <c r="AJ246" s="70"/>
      <c r="AK246" s="70" t="s">
        <v>2213</v>
      </c>
      <c r="AL246" s="70" t="s">
        <v>2213</v>
      </c>
      <c r="AM246" s="70" t="s">
        <v>2213</v>
      </c>
      <c r="AN246" s="70" t="s">
        <v>2213</v>
      </c>
      <c r="AO246" s="70" t="s">
        <v>2213</v>
      </c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2260</v>
      </c>
      <c r="I247" s="31">
        <f t="shared" si="14"/>
        <v>23</v>
      </c>
      <c r="J247" s="87"/>
      <c r="K247" s="31">
        <f t="shared" si="15"/>
        <v>5</v>
      </c>
      <c r="L247" s="32">
        <f t="shared" si="16"/>
        <v>0.8214285714285714</v>
      </c>
      <c r="M247" s="70" t="s">
        <v>2213</v>
      </c>
      <c r="N247" s="70" t="s">
        <v>2213</v>
      </c>
      <c r="O247" s="70" t="s">
        <v>2213</v>
      </c>
      <c r="P247" s="70" t="s">
        <v>2213</v>
      </c>
      <c r="Q247" s="70" t="s">
        <v>2213</v>
      </c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27</v>
      </c>
      <c r="J248" s="147" t="s">
        <v>1822</v>
      </c>
      <c r="K248" s="31">
        <f t="shared" si="15"/>
        <v>1</v>
      </c>
      <c r="L248" s="32">
        <f t="shared" si="16"/>
        <v>0.9642857142857143</v>
      </c>
      <c r="M248" s="70" t="s">
        <v>2213</v>
      </c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 t="s">
        <v>2213</v>
      </c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 t="s">
        <v>2213</v>
      </c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 t="s">
        <v>2213</v>
      </c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26</v>
      </c>
      <c r="J257" s="147" t="s">
        <v>1873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 t="s">
        <v>2213</v>
      </c>
      <c r="S257" s="70" t="s">
        <v>2213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15</v>
      </c>
      <c r="J258" s="147" t="s">
        <v>1874</v>
      </c>
      <c r="K258" s="31">
        <f t="shared" si="15"/>
        <v>13</v>
      </c>
      <c r="L258" s="32">
        <f t="shared" si="16"/>
        <v>0.5357142857142857</v>
      </c>
      <c r="M258" s="70"/>
      <c r="N258" s="70"/>
      <c r="O258" s="70"/>
      <c r="P258" s="70" t="s">
        <v>2213</v>
      </c>
      <c r="Q258" s="70" t="s">
        <v>2213</v>
      </c>
      <c r="R258" s="70" t="s">
        <v>2213</v>
      </c>
      <c r="S258" s="70" t="s">
        <v>2213</v>
      </c>
      <c r="T258" s="70" t="s">
        <v>2213</v>
      </c>
      <c r="U258" s="70" t="s">
        <v>2213</v>
      </c>
      <c r="V258" s="70" t="s">
        <v>2213</v>
      </c>
      <c r="W258" s="70" t="s">
        <v>2213</v>
      </c>
      <c r="X258" s="70" t="s">
        <v>2213</v>
      </c>
      <c r="Y258" s="70" t="s">
        <v>2213</v>
      </c>
      <c r="Z258" s="70" t="s">
        <v>2213</v>
      </c>
      <c r="AA258" s="70" t="s">
        <v>2213</v>
      </c>
      <c r="AB258" s="70" t="s">
        <v>2213</v>
      </c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24</v>
      </c>
      <c r="J260" s="147" t="s">
        <v>1876</v>
      </c>
      <c r="K260" s="31">
        <f t="shared" si="15"/>
        <v>4</v>
      </c>
      <c r="L260" s="32">
        <f t="shared" si="16"/>
        <v>0.8571428571428571</v>
      </c>
      <c r="M260" s="70" t="s">
        <v>2213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2213</v>
      </c>
      <c r="AD260" s="70" t="s">
        <v>2213</v>
      </c>
      <c r="AE260" s="70"/>
      <c r="AF260" s="70"/>
      <c r="AG260" s="70"/>
      <c r="AH260" s="70"/>
      <c r="AI260" s="70"/>
      <c r="AJ260" s="70"/>
      <c r="AK260" s="70"/>
      <c r="AL260" s="70"/>
      <c r="AM260" s="70" t="s">
        <v>2213</v>
      </c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24</v>
      </c>
      <c r="J262" s="147" t="s">
        <v>1864</v>
      </c>
      <c r="K262" s="31">
        <f t="shared" si="15"/>
        <v>4</v>
      </c>
      <c r="L262" s="32">
        <f t="shared" si="16"/>
        <v>0.8571428571428571</v>
      </c>
      <c r="M262" s="70" t="s">
        <v>2213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 t="s">
        <v>2213</v>
      </c>
      <c r="AD262" s="70" t="s">
        <v>2213</v>
      </c>
      <c r="AE262" s="70"/>
      <c r="AF262" s="70"/>
      <c r="AG262" s="70"/>
      <c r="AH262" s="70"/>
      <c r="AI262" s="70"/>
      <c r="AJ262" s="70"/>
      <c r="AK262" s="70"/>
      <c r="AL262" s="70"/>
      <c r="AM262" s="70" t="s">
        <v>2213</v>
      </c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28</v>
      </c>
      <c r="J263" s="147" t="s">
        <v>1878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27</v>
      </c>
      <c r="J264" s="147" t="s">
        <v>1879</v>
      </c>
      <c r="K264" s="31">
        <f t="shared" si="15"/>
        <v>1</v>
      </c>
      <c r="L264" s="32">
        <f t="shared" si="16"/>
        <v>0.9642857142857143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 t="s">
        <v>2213</v>
      </c>
      <c r="AO264" s="70" t="s">
        <v>2213</v>
      </c>
      <c r="AP264" s="70" t="s">
        <v>2213</v>
      </c>
      <c r="AQ264" s="70" t="s">
        <v>2213</v>
      </c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26</v>
      </c>
      <c r="J266" s="147" t="s">
        <v>1881</v>
      </c>
      <c r="K266" s="31">
        <f t="shared" si="15"/>
        <v>2</v>
      </c>
      <c r="L266" s="32">
        <f t="shared" si="16"/>
        <v>0.9285714285714286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 t="s">
        <v>2213</v>
      </c>
      <c r="AD266" s="70" t="s">
        <v>2213</v>
      </c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2215</v>
      </c>
      <c r="C273" t="s">
        <v>1063</v>
      </c>
      <c r="D273" t="s">
        <v>2216</v>
      </c>
      <c r="E273" s="30" t="s">
        <v>19</v>
      </c>
      <c r="F273" s="85" t="s">
        <v>1301</v>
      </c>
      <c r="G273" s="30"/>
      <c r="H273" s="30" t="s">
        <v>2217</v>
      </c>
      <c r="I273" s="142">
        <f t="shared" si="14"/>
        <v>28</v>
      </c>
      <c r="J273" s="147" t="s">
        <v>2218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2214</v>
      </c>
      <c r="B274" t="s">
        <v>2219</v>
      </c>
      <c r="C274" t="s">
        <v>1063</v>
      </c>
      <c r="D274" t="s">
        <v>2221</v>
      </c>
      <c r="E274" s="30" t="s">
        <v>19</v>
      </c>
      <c r="F274" s="85" t="s">
        <v>1301</v>
      </c>
      <c r="G274" s="30"/>
      <c r="H274" s="30" t="s">
        <v>2220</v>
      </c>
      <c r="I274" s="142">
        <f t="shared" si="14"/>
        <v>28</v>
      </c>
      <c r="J274" s="147" t="s">
        <v>2222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1</v>
      </c>
      <c r="J281" s="147" t="s">
        <v>1893</v>
      </c>
      <c r="K281" s="31">
        <f t="shared" si="15"/>
        <v>27</v>
      </c>
      <c r="L281" s="32">
        <f t="shared" si="16"/>
        <v>3.5714285714285712E-2</v>
      </c>
      <c r="M281" s="70" t="s">
        <v>2213</v>
      </c>
      <c r="N281" s="70" t="s">
        <v>2213</v>
      </c>
      <c r="O281" s="70" t="s">
        <v>2213</v>
      </c>
      <c r="P281" s="70" t="s">
        <v>2213</v>
      </c>
      <c r="Q281" s="70" t="s">
        <v>2213</v>
      </c>
      <c r="R281" s="70" t="s">
        <v>2213</v>
      </c>
      <c r="S281" s="70" t="s">
        <v>2213</v>
      </c>
      <c r="T281" s="70" t="s">
        <v>2213</v>
      </c>
      <c r="U281" s="70" t="s">
        <v>2213</v>
      </c>
      <c r="V281" s="70" t="s">
        <v>2213</v>
      </c>
      <c r="W281" s="70" t="s">
        <v>2213</v>
      </c>
      <c r="X281" s="70" t="s">
        <v>2213</v>
      </c>
      <c r="Y281" s="70" t="s">
        <v>2213</v>
      </c>
      <c r="Z281" s="70"/>
      <c r="AA281" s="70" t="s">
        <v>2213</v>
      </c>
      <c r="AB281" s="70" t="s">
        <v>2213</v>
      </c>
      <c r="AC281" s="70" t="s">
        <v>2213</v>
      </c>
      <c r="AD281" s="70" t="s">
        <v>2213</v>
      </c>
      <c r="AE281" s="70" t="s">
        <v>2213</v>
      </c>
      <c r="AF281" s="70" t="s">
        <v>2213</v>
      </c>
      <c r="AG281" s="70" t="s">
        <v>2213</v>
      </c>
      <c r="AH281" s="70" t="s">
        <v>2213</v>
      </c>
      <c r="AI281" s="70" t="s">
        <v>2213</v>
      </c>
      <c r="AJ281" s="70" t="s">
        <v>2213</v>
      </c>
      <c r="AK281" s="70" t="s">
        <v>2213</v>
      </c>
      <c r="AL281" s="70" t="s">
        <v>2213</v>
      </c>
      <c r="AM281" s="70" t="s">
        <v>2213</v>
      </c>
      <c r="AN281" s="70" t="s">
        <v>2213</v>
      </c>
      <c r="AO281" s="70" t="s">
        <v>2213</v>
      </c>
      <c r="AP281" s="70" t="s">
        <v>2213</v>
      </c>
      <c r="AQ281" s="70" t="s">
        <v>2213</v>
      </c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27</v>
      </c>
      <c r="J283" s="147" t="s">
        <v>1895</v>
      </c>
      <c r="K283" s="142">
        <f t="shared" si="15"/>
        <v>1</v>
      </c>
      <c r="L283" s="143">
        <f t="shared" si="16"/>
        <v>0.9642857142857143</v>
      </c>
      <c r="M283" s="70"/>
      <c r="N283" s="70" t="s">
        <v>2213</v>
      </c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28</v>
      </c>
      <c r="J284" s="147" t="s">
        <v>1896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12</v>
      </c>
      <c r="J290" s="147" t="s">
        <v>1901</v>
      </c>
      <c r="K290" s="31">
        <f t="shared" si="15"/>
        <v>16</v>
      </c>
      <c r="L290" s="32">
        <f t="shared" si="16"/>
        <v>0.42857142857142855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 t="s">
        <v>2213</v>
      </c>
      <c r="X290" s="70" t="s">
        <v>2213</v>
      </c>
      <c r="Y290" s="70" t="s">
        <v>2213</v>
      </c>
      <c r="Z290" s="70" t="s">
        <v>2213</v>
      </c>
      <c r="AA290" s="70" t="s">
        <v>2213</v>
      </c>
      <c r="AB290" s="70" t="s">
        <v>2213</v>
      </c>
      <c r="AC290" s="70" t="s">
        <v>2213</v>
      </c>
      <c r="AD290" s="70" t="s">
        <v>2213</v>
      </c>
      <c r="AE290" s="70" t="s">
        <v>2213</v>
      </c>
      <c r="AF290" s="70" t="s">
        <v>2213</v>
      </c>
      <c r="AG290" s="70" t="s">
        <v>2213</v>
      </c>
      <c r="AH290" s="70" t="s">
        <v>2213</v>
      </c>
      <c r="AI290" s="70" t="s">
        <v>2213</v>
      </c>
      <c r="AJ290" s="70" t="s">
        <v>2213</v>
      </c>
      <c r="AK290" s="70" t="s">
        <v>2213</v>
      </c>
      <c r="AL290" s="70" t="s">
        <v>2213</v>
      </c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12</v>
      </c>
      <c r="J291" s="147" t="s">
        <v>1902</v>
      </c>
      <c r="K291" s="31">
        <f t="shared" si="15"/>
        <v>16</v>
      </c>
      <c r="L291" s="32">
        <f t="shared" si="16"/>
        <v>0.42857142857142855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 t="s">
        <v>2213</v>
      </c>
      <c r="X291" s="70" t="s">
        <v>2213</v>
      </c>
      <c r="Y291" s="70" t="s">
        <v>2213</v>
      </c>
      <c r="Z291" s="70" t="s">
        <v>2213</v>
      </c>
      <c r="AA291" s="70" t="s">
        <v>2213</v>
      </c>
      <c r="AB291" s="70" t="s">
        <v>2213</v>
      </c>
      <c r="AC291" s="70" t="s">
        <v>2213</v>
      </c>
      <c r="AD291" s="70" t="s">
        <v>2213</v>
      </c>
      <c r="AE291" s="70" t="s">
        <v>2213</v>
      </c>
      <c r="AF291" s="70" t="s">
        <v>2213</v>
      </c>
      <c r="AG291" s="70" t="s">
        <v>2213</v>
      </c>
      <c r="AH291" s="70" t="s">
        <v>2213</v>
      </c>
      <c r="AI291" s="70" t="s">
        <v>2213</v>
      </c>
      <c r="AJ291" s="70" t="s">
        <v>2213</v>
      </c>
      <c r="AK291" s="70" t="s">
        <v>2213</v>
      </c>
      <c r="AL291" s="70" t="s">
        <v>2213</v>
      </c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0</v>
      </c>
      <c r="J296" s="147" t="s">
        <v>1907</v>
      </c>
      <c r="K296" s="31">
        <f t="shared" si="15"/>
        <v>28</v>
      </c>
      <c r="L296" s="32">
        <f t="shared" si="16"/>
        <v>0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 t="s">
        <v>2213</v>
      </c>
      <c r="V296" s="70" t="s">
        <v>2213</v>
      </c>
      <c r="W296" s="70" t="s">
        <v>2213</v>
      </c>
      <c r="X296" s="70" t="s">
        <v>2213</v>
      </c>
      <c r="Y296" s="70" t="s">
        <v>2213</v>
      </c>
      <c r="Z296" s="70" t="s">
        <v>2213</v>
      </c>
      <c r="AA296" s="70" t="s">
        <v>2213</v>
      </c>
      <c r="AB296" s="70" t="s">
        <v>2213</v>
      </c>
      <c r="AC296" s="70" t="s">
        <v>2213</v>
      </c>
      <c r="AD296" s="70" t="s">
        <v>2213</v>
      </c>
      <c r="AE296" s="70" t="s">
        <v>2213</v>
      </c>
      <c r="AF296" s="70" t="s">
        <v>2213</v>
      </c>
      <c r="AG296" s="70" t="s">
        <v>2213</v>
      </c>
      <c r="AH296" s="70" t="s">
        <v>2213</v>
      </c>
      <c r="AI296" s="70" t="s">
        <v>2213</v>
      </c>
      <c r="AJ296" s="70" t="s">
        <v>2213</v>
      </c>
      <c r="AK296" s="70" t="s">
        <v>2213</v>
      </c>
      <c r="AL296" s="70" t="s">
        <v>2213</v>
      </c>
      <c r="AM296" s="70" t="s">
        <v>2213</v>
      </c>
      <c r="AN296" s="70" t="s">
        <v>2213</v>
      </c>
      <c r="AO296" s="70" t="s">
        <v>2213</v>
      </c>
      <c r="AP296" s="70" t="s">
        <v>2213</v>
      </c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19</v>
      </c>
      <c r="J297" s="147" t="s">
        <v>1908</v>
      </c>
      <c r="K297" s="31">
        <f t="shared" si="15"/>
        <v>9</v>
      </c>
      <c r="L297" s="32">
        <f t="shared" si="16"/>
        <v>0.6785714285714286</v>
      </c>
      <c r="M297" s="70" t="s">
        <v>2213</v>
      </c>
      <c r="N297" s="70" t="s">
        <v>2213</v>
      </c>
      <c r="O297" s="70" t="s">
        <v>2213</v>
      </c>
      <c r="P297" s="70" t="s">
        <v>2213</v>
      </c>
      <c r="Q297" s="70" t="s">
        <v>2213</v>
      </c>
      <c r="R297" s="70" t="s">
        <v>2213</v>
      </c>
      <c r="S297" s="70" t="s">
        <v>2213</v>
      </c>
      <c r="T297" s="70" t="s">
        <v>2213</v>
      </c>
      <c r="U297" s="70" t="s">
        <v>2213</v>
      </c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 t="s">
        <v>2213</v>
      </c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28</v>
      </c>
      <c r="J299" s="147" t="s">
        <v>1910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0</v>
      </c>
      <c r="J308" s="147" t="s">
        <v>1918</v>
      </c>
      <c r="K308" s="142">
        <f t="shared" si="15"/>
        <v>28</v>
      </c>
      <c r="L308" s="143">
        <f t="shared" si="16"/>
        <v>0</v>
      </c>
      <c r="M308" s="70" t="s">
        <v>2213</v>
      </c>
      <c r="N308" s="70" t="s">
        <v>2213</v>
      </c>
      <c r="O308" s="70" t="s">
        <v>2213</v>
      </c>
      <c r="P308" s="70" t="s">
        <v>2213</v>
      </c>
      <c r="Q308" s="70" t="s">
        <v>2213</v>
      </c>
      <c r="R308" s="70" t="s">
        <v>2213</v>
      </c>
      <c r="S308" s="70" t="s">
        <v>2213</v>
      </c>
      <c r="T308" s="70" t="s">
        <v>2213</v>
      </c>
      <c r="U308" s="70" t="s">
        <v>2213</v>
      </c>
      <c r="V308" s="70" t="s">
        <v>2213</v>
      </c>
      <c r="W308" s="70" t="s">
        <v>2213</v>
      </c>
      <c r="X308" s="70" t="s">
        <v>2213</v>
      </c>
      <c r="Y308" s="70" t="s">
        <v>2213</v>
      </c>
      <c r="Z308" s="70" t="s">
        <v>2213</v>
      </c>
      <c r="AA308" s="70" t="s">
        <v>2213</v>
      </c>
      <c r="AB308" s="70" t="s">
        <v>2213</v>
      </c>
      <c r="AC308" s="70" t="s">
        <v>2213</v>
      </c>
      <c r="AD308" s="70" t="s">
        <v>2213</v>
      </c>
      <c r="AE308" s="70" t="s">
        <v>2213</v>
      </c>
      <c r="AF308" s="70" t="s">
        <v>2213</v>
      </c>
      <c r="AG308" s="70" t="s">
        <v>2213</v>
      </c>
      <c r="AH308" s="70" t="s">
        <v>2213</v>
      </c>
      <c r="AI308" s="70" t="s">
        <v>2213</v>
      </c>
      <c r="AJ308" s="70" t="s">
        <v>2213</v>
      </c>
      <c r="AK308" s="70" t="s">
        <v>2213</v>
      </c>
      <c r="AL308" s="70" t="s">
        <v>2213</v>
      </c>
      <c r="AM308" s="70" t="s">
        <v>2213</v>
      </c>
      <c r="AN308" s="70" t="s">
        <v>2213</v>
      </c>
      <c r="AO308" s="70" t="s">
        <v>2213</v>
      </c>
      <c r="AP308" s="89" t="s">
        <v>2213</v>
      </c>
      <c r="AQ308" s="89" t="s">
        <v>2213</v>
      </c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0</v>
      </c>
      <c r="J310" s="147" t="s">
        <v>1919</v>
      </c>
      <c r="K310" s="31">
        <f t="shared" ref="K310:K380" si="18">COUNTIF(M310:AN310,"APAGADO")</f>
        <v>28</v>
      </c>
      <c r="L310" s="32">
        <f t="shared" ref="L310:L380" si="19">(I310)/(K310+I310)</f>
        <v>0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 t="s">
        <v>2213</v>
      </c>
      <c r="V310" s="70" t="s">
        <v>2213</v>
      </c>
      <c r="W310" s="70" t="s">
        <v>2213</v>
      </c>
      <c r="X310" s="70" t="s">
        <v>2213</v>
      </c>
      <c r="Y310" s="70" t="s">
        <v>2213</v>
      </c>
      <c r="Z310" s="70" t="s">
        <v>2213</v>
      </c>
      <c r="AA310" s="70" t="s">
        <v>2213</v>
      </c>
      <c r="AB310" s="70" t="s">
        <v>2213</v>
      </c>
      <c r="AC310" s="70" t="s">
        <v>2213</v>
      </c>
      <c r="AD310" s="70" t="s">
        <v>2213</v>
      </c>
      <c r="AE310" s="70" t="s">
        <v>2213</v>
      </c>
      <c r="AF310" s="70" t="s">
        <v>2213</v>
      </c>
      <c r="AG310" s="70" t="s">
        <v>2213</v>
      </c>
      <c r="AH310" s="70" t="s">
        <v>2213</v>
      </c>
      <c r="AI310" s="70" t="s">
        <v>2213</v>
      </c>
      <c r="AJ310" s="70" t="s">
        <v>2213</v>
      </c>
      <c r="AK310" s="70" t="s">
        <v>2213</v>
      </c>
      <c r="AL310" s="70" t="s">
        <v>2213</v>
      </c>
      <c r="AM310" s="70" t="s">
        <v>2213</v>
      </c>
      <c r="AN310" s="70" t="s">
        <v>2213</v>
      </c>
      <c r="AO310" s="70" t="s">
        <v>2213</v>
      </c>
      <c r="AP310" s="89" t="s">
        <v>2213</v>
      </c>
      <c r="AQ310" s="89" t="s">
        <v>2213</v>
      </c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0</v>
      </c>
      <c r="J311" s="147" t="s">
        <v>1920</v>
      </c>
      <c r="K311" s="142">
        <f t="shared" si="18"/>
        <v>28</v>
      </c>
      <c r="L311" s="143">
        <f t="shared" si="19"/>
        <v>0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 t="s">
        <v>2213</v>
      </c>
      <c r="V311" s="70" t="s">
        <v>2213</v>
      </c>
      <c r="W311" s="70" t="s">
        <v>2213</v>
      </c>
      <c r="X311" s="70" t="s">
        <v>2213</v>
      </c>
      <c r="Y311" s="70" t="s">
        <v>2213</v>
      </c>
      <c r="Z311" s="70" t="s">
        <v>2213</v>
      </c>
      <c r="AA311" s="70" t="s">
        <v>2213</v>
      </c>
      <c r="AB311" s="70" t="s">
        <v>2213</v>
      </c>
      <c r="AC311" s="70" t="s">
        <v>2213</v>
      </c>
      <c r="AD311" s="70" t="s">
        <v>2213</v>
      </c>
      <c r="AE311" s="70" t="s">
        <v>2213</v>
      </c>
      <c r="AF311" s="70" t="s">
        <v>2213</v>
      </c>
      <c r="AG311" s="70" t="s">
        <v>2213</v>
      </c>
      <c r="AH311" s="70" t="s">
        <v>2213</v>
      </c>
      <c r="AI311" s="70" t="s">
        <v>2213</v>
      </c>
      <c r="AJ311" s="70" t="s">
        <v>2213</v>
      </c>
      <c r="AK311" s="70" t="s">
        <v>2213</v>
      </c>
      <c r="AL311" s="70" t="s">
        <v>2213</v>
      </c>
      <c r="AM311" s="70" t="s">
        <v>2213</v>
      </c>
      <c r="AN311" s="70" t="s">
        <v>2213</v>
      </c>
      <c r="AO311" s="70" t="s">
        <v>2213</v>
      </c>
      <c r="AP311" s="89" t="s">
        <v>2213</v>
      </c>
      <c r="AQ311" s="89" t="s">
        <v>2213</v>
      </c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0</v>
      </c>
      <c r="J312" s="87" t="s">
        <v>2197</v>
      </c>
      <c r="K312" s="142">
        <f t="shared" si="18"/>
        <v>28</v>
      </c>
      <c r="L312" s="143">
        <f t="shared" si="19"/>
        <v>0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 t="s">
        <v>2213</v>
      </c>
      <c r="W312" s="70" t="s">
        <v>2213</v>
      </c>
      <c r="X312" s="70" t="s">
        <v>2213</v>
      </c>
      <c r="Y312" s="70" t="s">
        <v>2213</v>
      </c>
      <c r="Z312" s="70" t="s">
        <v>2213</v>
      </c>
      <c r="AA312" s="70" t="s">
        <v>2213</v>
      </c>
      <c r="AB312" s="70" t="s">
        <v>2213</v>
      </c>
      <c r="AC312" s="70" t="s">
        <v>2213</v>
      </c>
      <c r="AD312" s="70" t="s">
        <v>2213</v>
      </c>
      <c r="AE312" s="70" t="s">
        <v>2213</v>
      </c>
      <c r="AF312" s="70" t="s">
        <v>2213</v>
      </c>
      <c r="AG312" s="70" t="s">
        <v>2213</v>
      </c>
      <c r="AH312" s="70" t="s">
        <v>2213</v>
      </c>
      <c r="AI312" s="70" t="s">
        <v>2213</v>
      </c>
      <c r="AJ312" s="70" t="s">
        <v>2213</v>
      </c>
      <c r="AK312" s="70" t="s">
        <v>2213</v>
      </c>
      <c r="AL312" s="70" t="s">
        <v>2213</v>
      </c>
      <c r="AM312" s="70" t="s">
        <v>2213</v>
      </c>
      <c r="AN312" s="70" t="s">
        <v>2213</v>
      </c>
      <c r="AO312" s="70" t="s">
        <v>2213</v>
      </c>
      <c r="AP312" s="89" t="s">
        <v>2213</v>
      </c>
      <c r="AQ312" s="89" t="s">
        <v>2213</v>
      </c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0</v>
      </c>
      <c r="J313" s="147" t="s">
        <v>1921</v>
      </c>
      <c r="K313" s="142">
        <f t="shared" si="18"/>
        <v>28</v>
      </c>
      <c r="L313" s="143">
        <f t="shared" si="19"/>
        <v>0</v>
      </c>
      <c r="M313" s="70" t="s">
        <v>2213</v>
      </c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 t="s">
        <v>2213</v>
      </c>
      <c r="V313" s="70" t="s">
        <v>2213</v>
      </c>
      <c r="W313" s="70" t="s">
        <v>2213</v>
      </c>
      <c r="X313" s="70" t="s">
        <v>2213</v>
      </c>
      <c r="Y313" s="70" t="s">
        <v>2213</v>
      </c>
      <c r="Z313" s="70" t="s">
        <v>2213</v>
      </c>
      <c r="AA313" s="70" t="s">
        <v>2213</v>
      </c>
      <c r="AB313" s="70" t="s">
        <v>2213</v>
      </c>
      <c r="AC313" s="70" t="s">
        <v>2213</v>
      </c>
      <c r="AD313" s="70" t="s">
        <v>2213</v>
      </c>
      <c r="AE313" s="70" t="s">
        <v>2213</v>
      </c>
      <c r="AF313" s="70" t="s">
        <v>2213</v>
      </c>
      <c r="AG313" s="70" t="s">
        <v>2213</v>
      </c>
      <c r="AH313" s="70" t="s">
        <v>2213</v>
      </c>
      <c r="AI313" s="70" t="s">
        <v>2213</v>
      </c>
      <c r="AJ313" s="70" t="s">
        <v>2213</v>
      </c>
      <c r="AK313" s="70" t="s">
        <v>2213</v>
      </c>
      <c r="AL313" s="70" t="s">
        <v>2213</v>
      </c>
      <c r="AM313" s="70" t="s">
        <v>2213</v>
      </c>
      <c r="AN313" s="70" t="s">
        <v>2213</v>
      </c>
      <c r="AO313" s="70" t="s">
        <v>2213</v>
      </c>
      <c r="AP313" s="89" t="s">
        <v>2213</v>
      </c>
      <c r="AQ313" s="89" t="s">
        <v>2213</v>
      </c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2</v>
      </c>
      <c r="J314" s="147" t="s">
        <v>1922</v>
      </c>
      <c r="K314" s="31">
        <f t="shared" si="18"/>
        <v>26</v>
      </c>
      <c r="L314" s="32">
        <f t="shared" si="19"/>
        <v>7.1428571428571425E-2</v>
      </c>
      <c r="M314" s="70"/>
      <c r="N314" s="70" t="s">
        <v>2213</v>
      </c>
      <c r="O314" s="70" t="s">
        <v>2213</v>
      </c>
      <c r="P314" s="70" t="s">
        <v>2213</v>
      </c>
      <c r="Q314" s="70" t="s">
        <v>2213</v>
      </c>
      <c r="R314" s="70" t="s">
        <v>2213</v>
      </c>
      <c r="S314" s="70" t="s">
        <v>2213</v>
      </c>
      <c r="T314" s="70" t="s">
        <v>2213</v>
      </c>
      <c r="U314" s="70" t="s">
        <v>2213</v>
      </c>
      <c r="V314" s="70" t="s">
        <v>2213</v>
      </c>
      <c r="W314" s="70" t="s">
        <v>2213</v>
      </c>
      <c r="X314" s="70" t="s">
        <v>2213</v>
      </c>
      <c r="Y314" s="70" t="s">
        <v>2213</v>
      </c>
      <c r="Z314" s="70" t="s">
        <v>2213</v>
      </c>
      <c r="AA314" s="70" t="s">
        <v>2213</v>
      </c>
      <c r="AB314" s="70" t="s">
        <v>2213</v>
      </c>
      <c r="AC314" s="70"/>
      <c r="AD314" s="70" t="s">
        <v>2213</v>
      </c>
      <c r="AE314" s="70" t="s">
        <v>2213</v>
      </c>
      <c r="AF314" s="70" t="s">
        <v>2213</v>
      </c>
      <c r="AG314" s="70" t="s">
        <v>2213</v>
      </c>
      <c r="AH314" s="70" t="s">
        <v>2213</v>
      </c>
      <c r="AI314" s="70" t="s">
        <v>2213</v>
      </c>
      <c r="AJ314" s="70" t="s">
        <v>2213</v>
      </c>
      <c r="AK314" s="70" t="s">
        <v>2213</v>
      </c>
      <c r="AL314" s="70" t="s">
        <v>2213</v>
      </c>
      <c r="AM314" s="70" t="s">
        <v>2213</v>
      </c>
      <c r="AN314" s="70" t="s">
        <v>2213</v>
      </c>
      <c r="AO314" s="70" t="s">
        <v>2213</v>
      </c>
      <c r="AP314" s="70" t="s">
        <v>2213</v>
      </c>
      <c r="AQ314" s="70" t="s">
        <v>2213</v>
      </c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13</v>
      </c>
      <c r="J315" s="147" t="s">
        <v>1923</v>
      </c>
      <c r="K315" s="31">
        <f t="shared" si="18"/>
        <v>15</v>
      </c>
      <c r="L315" s="32">
        <f t="shared" si="19"/>
        <v>0.4642857142857143</v>
      </c>
      <c r="M315" s="70"/>
      <c r="N315" s="70"/>
      <c r="O315" s="70"/>
      <c r="P315" s="70" t="s">
        <v>2213</v>
      </c>
      <c r="Q315" s="70"/>
      <c r="R315" s="70" t="s">
        <v>2213</v>
      </c>
      <c r="S315" s="70" t="s">
        <v>2213</v>
      </c>
      <c r="T315" s="70" t="s">
        <v>2213</v>
      </c>
      <c r="U315" s="70"/>
      <c r="V315" s="70"/>
      <c r="W315" s="70" t="s">
        <v>2213</v>
      </c>
      <c r="X315" s="70" t="s">
        <v>2213</v>
      </c>
      <c r="Y315" s="70" t="s">
        <v>2213</v>
      </c>
      <c r="Z315" s="70"/>
      <c r="AA315" s="70"/>
      <c r="AB315" s="70" t="s">
        <v>2213</v>
      </c>
      <c r="AC315" s="70" t="s">
        <v>2213</v>
      </c>
      <c r="AD315" s="70" t="s">
        <v>2213</v>
      </c>
      <c r="AE315" s="70"/>
      <c r="AF315" s="70"/>
      <c r="AG315" s="70"/>
      <c r="AH315" s="70"/>
      <c r="AI315" s="70"/>
      <c r="AJ315" s="70" t="s">
        <v>2213</v>
      </c>
      <c r="AK315" s="70" t="s">
        <v>2213</v>
      </c>
      <c r="AL315" s="70" t="s">
        <v>2213</v>
      </c>
      <c r="AM315" s="70" t="s">
        <v>2213</v>
      </c>
      <c r="AN315" s="70" t="s">
        <v>2213</v>
      </c>
      <c r="AO315" s="70" t="s">
        <v>2213</v>
      </c>
      <c r="AP315" s="70" t="s">
        <v>2213</v>
      </c>
      <c r="AQ315" s="70" t="s">
        <v>2213</v>
      </c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20</v>
      </c>
      <c r="J316" s="147" t="s">
        <v>1924</v>
      </c>
      <c r="K316" s="31">
        <f t="shared" si="18"/>
        <v>8</v>
      </c>
      <c r="L316" s="32">
        <f t="shared" si="19"/>
        <v>0.7142857142857143</v>
      </c>
      <c r="M316" s="70"/>
      <c r="N316" s="70"/>
      <c r="O316" s="70"/>
      <c r="P316" s="70" t="s">
        <v>2213</v>
      </c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 t="s">
        <v>2213</v>
      </c>
      <c r="AC316" s="70"/>
      <c r="AD316" s="70" t="s">
        <v>2213</v>
      </c>
      <c r="AE316" s="70"/>
      <c r="AF316" s="70"/>
      <c r="AG316" s="70"/>
      <c r="AH316" s="70"/>
      <c r="AI316" s="70"/>
      <c r="AJ316" s="70" t="s">
        <v>2213</v>
      </c>
      <c r="AK316" s="70" t="s">
        <v>2213</v>
      </c>
      <c r="AL316" s="70" t="s">
        <v>2213</v>
      </c>
      <c r="AM316" s="70" t="s">
        <v>2213</v>
      </c>
      <c r="AN316" s="70" t="s">
        <v>2213</v>
      </c>
      <c r="AO316" s="70" t="s">
        <v>2213</v>
      </c>
      <c r="AP316" s="70" t="s">
        <v>2213</v>
      </c>
      <c r="AQ316" s="70" t="s">
        <v>2213</v>
      </c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27</v>
      </c>
      <c r="J317" s="147" t="s">
        <v>1925</v>
      </c>
      <c r="K317" s="31">
        <f t="shared" si="18"/>
        <v>1</v>
      </c>
      <c r="L317" s="32">
        <f t="shared" si="19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27</v>
      </c>
      <c r="J318" s="147" t="s">
        <v>1926</v>
      </c>
      <c r="K318" s="31">
        <f t="shared" si="18"/>
        <v>1</v>
      </c>
      <c r="L318" s="32">
        <f t="shared" si="19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27</v>
      </c>
      <c r="J319" s="147" t="s">
        <v>1927</v>
      </c>
      <c r="K319" s="31">
        <f t="shared" si="18"/>
        <v>1</v>
      </c>
      <c r="L319" s="32">
        <f t="shared" si="19"/>
        <v>0.9642857142857143</v>
      </c>
      <c r="M319" s="70" t="s">
        <v>2213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 t="s">
        <v>2213</v>
      </c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 t="s">
        <v>2213</v>
      </c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 t="s">
        <v>2213</v>
      </c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 t="s">
        <v>2213</v>
      </c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 t="s">
        <v>2213</v>
      </c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 t="s">
        <v>2213</v>
      </c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18</v>
      </c>
      <c r="J326" s="147" t="s">
        <v>1934</v>
      </c>
      <c r="K326" s="31">
        <f t="shared" si="18"/>
        <v>10</v>
      </c>
      <c r="L326" s="32">
        <f t="shared" si="19"/>
        <v>0.6428571428571429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 t="s">
        <v>2213</v>
      </c>
      <c r="AC326" s="70" t="s">
        <v>2213</v>
      </c>
      <c r="AD326" s="70" t="s">
        <v>2213</v>
      </c>
      <c r="AE326" s="70" t="s">
        <v>2213</v>
      </c>
      <c r="AF326" s="70" t="s">
        <v>2213</v>
      </c>
      <c r="AG326" s="70" t="s">
        <v>2213</v>
      </c>
      <c r="AH326" s="70" t="s">
        <v>2213</v>
      </c>
      <c r="AI326" s="70"/>
      <c r="AJ326" s="70"/>
      <c r="AK326" s="70" t="s">
        <v>2213</v>
      </c>
      <c r="AL326" s="70"/>
      <c r="AM326" s="70" t="s">
        <v>2213</v>
      </c>
      <c r="AN326" s="70" t="s">
        <v>2213</v>
      </c>
      <c r="AO326" s="70" t="s">
        <v>2213</v>
      </c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17</v>
      </c>
      <c r="J327" s="147" t="s">
        <v>1935</v>
      </c>
      <c r="K327" s="31">
        <f t="shared" si="18"/>
        <v>11</v>
      </c>
      <c r="L327" s="32">
        <f t="shared" si="19"/>
        <v>0.6071428571428571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 t="s">
        <v>2213</v>
      </c>
      <c r="AC327" s="70" t="s">
        <v>2213</v>
      </c>
      <c r="AD327" s="70" t="s">
        <v>2213</v>
      </c>
      <c r="AE327" s="70" t="s">
        <v>2213</v>
      </c>
      <c r="AF327" s="70" t="s">
        <v>2213</v>
      </c>
      <c r="AG327" s="70" t="s">
        <v>2213</v>
      </c>
      <c r="AH327" s="70" t="s">
        <v>2213</v>
      </c>
      <c r="AI327" s="70" t="s">
        <v>2213</v>
      </c>
      <c r="AJ327" s="70"/>
      <c r="AK327" s="70" t="s">
        <v>2213</v>
      </c>
      <c r="AL327" s="70"/>
      <c r="AM327" s="70" t="s">
        <v>2213</v>
      </c>
      <c r="AN327" s="70" t="s">
        <v>2213</v>
      </c>
      <c r="AO327" s="70" t="s">
        <v>2213</v>
      </c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17</v>
      </c>
      <c r="J328" s="147" t="s">
        <v>1936</v>
      </c>
      <c r="K328" s="31">
        <f t="shared" si="18"/>
        <v>11</v>
      </c>
      <c r="L328" s="32">
        <f t="shared" si="19"/>
        <v>0.6071428571428571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 t="s">
        <v>2213</v>
      </c>
      <c r="AC328" s="70" t="s">
        <v>2213</v>
      </c>
      <c r="AD328" s="70" t="s">
        <v>2213</v>
      </c>
      <c r="AE328" s="70" t="s">
        <v>2213</v>
      </c>
      <c r="AF328" s="70" t="s">
        <v>2213</v>
      </c>
      <c r="AG328" s="70" t="s">
        <v>2213</v>
      </c>
      <c r="AH328" s="70" t="s">
        <v>2213</v>
      </c>
      <c r="AI328" s="70" t="s">
        <v>2213</v>
      </c>
      <c r="AJ328" s="70"/>
      <c r="AK328" s="70" t="s">
        <v>2213</v>
      </c>
      <c r="AL328" s="70"/>
      <c r="AM328" s="70" t="s">
        <v>2213</v>
      </c>
      <c r="AN328" s="70" t="s">
        <v>2213</v>
      </c>
      <c r="AO328" s="70" t="s">
        <v>2213</v>
      </c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17</v>
      </c>
      <c r="J329" s="147" t="s">
        <v>1937</v>
      </c>
      <c r="K329" s="31">
        <f t="shared" si="18"/>
        <v>11</v>
      </c>
      <c r="L329" s="32">
        <f t="shared" si="19"/>
        <v>0.6071428571428571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 t="s">
        <v>2213</v>
      </c>
      <c r="AC329" s="70" t="s">
        <v>2213</v>
      </c>
      <c r="AD329" s="70" t="s">
        <v>2213</v>
      </c>
      <c r="AE329" s="70" t="s">
        <v>2213</v>
      </c>
      <c r="AF329" s="70" t="s">
        <v>2213</v>
      </c>
      <c r="AG329" s="70" t="s">
        <v>2213</v>
      </c>
      <c r="AH329" s="70" t="s">
        <v>2213</v>
      </c>
      <c r="AI329" s="70" t="s">
        <v>2213</v>
      </c>
      <c r="AJ329" s="70"/>
      <c r="AK329" s="70" t="s">
        <v>2213</v>
      </c>
      <c r="AL329" s="70"/>
      <c r="AM329" s="70" t="s">
        <v>2213</v>
      </c>
      <c r="AN329" s="70" t="s">
        <v>2213</v>
      </c>
      <c r="AO329" s="70" t="s">
        <v>2213</v>
      </c>
      <c r="AP329" s="70"/>
      <c r="AQ329" s="70"/>
    </row>
    <row r="330" spans="1:43" ht="15.75" thickBot="1" x14ac:dyDescent="0.3">
      <c r="A330" t="s">
        <v>365</v>
      </c>
      <c r="B330" t="s">
        <v>2258</v>
      </c>
      <c r="C330" t="s">
        <v>1063</v>
      </c>
      <c r="D330" s="68" t="s">
        <v>2240</v>
      </c>
      <c r="E330" s="85" t="s">
        <v>15</v>
      </c>
      <c r="F330" s="30" t="s">
        <v>28</v>
      </c>
      <c r="G330" s="30"/>
      <c r="H330" s="30" t="s">
        <v>2259</v>
      </c>
      <c r="I330" s="31">
        <f t="shared" si="17"/>
        <v>17</v>
      </c>
      <c r="J330" s="153" t="s">
        <v>2241</v>
      </c>
      <c r="K330" s="31">
        <f t="shared" si="18"/>
        <v>11</v>
      </c>
      <c r="L330" s="32">
        <f t="shared" si="19"/>
        <v>0.6071428571428571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 t="s">
        <v>2213</v>
      </c>
      <c r="AC330" s="70" t="s">
        <v>2213</v>
      </c>
      <c r="AD330" s="70" t="s">
        <v>2213</v>
      </c>
      <c r="AE330" s="70" t="s">
        <v>2213</v>
      </c>
      <c r="AF330" s="70" t="s">
        <v>2213</v>
      </c>
      <c r="AG330" s="70" t="s">
        <v>2213</v>
      </c>
      <c r="AH330" s="70" t="s">
        <v>2213</v>
      </c>
      <c r="AI330" s="70" t="s">
        <v>2213</v>
      </c>
      <c r="AJ330" s="70"/>
      <c r="AK330" s="70" t="s">
        <v>2213</v>
      </c>
      <c r="AL330" s="70"/>
      <c r="AM330" s="70" t="s">
        <v>2213</v>
      </c>
      <c r="AN330" s="70" t="s">
        <v>2213</v>
      </c>
      <c r="AO330" s="70" t="s">
        <v>2213</v>
      </c>
      <c r="AP330" s="70"/>
      <c r="AQ330" s="70"/>
    </row>
    <row r="331" spans="1:43" ht="15.75" thickBot="1" x14ac:dyDescent="0.3">
      <c r="A331" t="s">
        <v>365</v>
      </c>
      <c r="B331" t="s">
        <v>2242</v>
      </c>
      <c r="C331" t="s">
        <v>1063</v>
      </c>
      <c r="D331" s="68" t="s">
        <v>2243</v>
      </c>
      <c r="E331" s="85" t="s">
        <v>15</v>
      </c>
      <c r="F331" s="30" t="s">
        <v>28</v>
      </c>
      <c r="G331" s="30"/>
      <c r="H331" s="30" t="s">
        <v>2244</v>
      </c>
      <c r="I331" s="31">
        <f t="shared" si="17"/>
        <v>17</v>
      </c>
      <c r="J331" s="147" t="s">
        <v>2245</v>
      </c>
      <c r="K331" s="31">
        <f t="shared" si="18"/>
        <v>11</v>
      </c>
      <c r="L331" s="32">
        <f t="shared" si="19"/>
        <v>0.6071428571428571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 t="s">
        <v>2213</v>
      </c>
      <c r="AC331" s="70" t="s">
        <v>2213</v>
      </c>
      <c r="AD331" s="70" t="s">
        <v>2213</v>
      </c>
      <c r="AE331" s="70" t="s">
        <v>2213</v>
      </c>
      <c r="AF331" s="70" t="s">
        <v>2213</v>
      </c>
      <c r="AG331" s="70" t="s">
        <v>2213</v>
      </c>
      <c r="AH331" s="70" t="s">
        <v>2213</v>
      </c>
      <c r="AI331" s="70" t="s">
        <v>2213</v>
      </c>
      <c r="AJ331" s="70"/>
      <c r="AK331" s="70" t="s">
        <v>2213</v>
      </c>
      <c r="AL331" s="70"/>
      <c r="AM331" s="70" t="s">
        <v>2213</v>
      </c>
      <c r="AN331" s="70" t="s">
        <v>2213</v>
      </c>
      <c r="AO331" s="70" t="s">
        <v>2213</v>
      </c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 t="s">
        <v>2213</v>
      </c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1939</v>
      </c>
      <c r="K333" s="31">
        <f t="shared" si="18"/>
        <v>1</v>
      </c>
      <c r="L333" s="32">
        <f t="shared" si="19"/>
        <v>0.9642857142857143</v>
      </c>
      <c r="M333" s="70" t="s">
        <v>2213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 t="s">
        <v>2213</v>
      </c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 t="s">
        <v>2213</v>
      </c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 t="s">
        <v>2213</v>
      </c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 t="s">
        <v>2213</v>
      </c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27</v>
      </c>
      <c r="J337" s="147" t="s">
        <v>1943</v>
      </c>
      <c r="K337" s="31">
        <f t="shared" si="18"/>
        <v>1</v>
      </c>
      <c r="L337" s="32">
        <f t="shared" si="19"/>
        <v>0.9642857142857143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 t="s">
        <v>2213</v>
      </c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 t="s">
        <v>2213</v>
      </c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 t="s">
        <v>2213</v>
      </c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 t="s">
        <v>2213</v>
      </c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 t="s">
        <v>2213</v>
      </c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16</v>
      </c>
      <c r="J348" s="87"/>
      <c r="K348" s="142">
        <f t="shared" si="18"/>
        <v>12</v>
      </c>
      <c r="L348" s="143">
        <f t="shared" si="19"/>
        <v>0.5714285714285714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 t="s">
        <v>2213</v>
      </c>
      <c r="W348" s="70" t="s">
        <v>2213</v>
      </c>
      <c r="X348" s="70" t="s">
        <v>2213</v>
      </c>
      <c r="Y348" s="70" t="s">
        <v>2213</v>
      </c>
      <c r="Z348" s="70" t="s">
        <v>2213</v>
      </c>
      <c r="AA348" s="70" t="s">
        <v>2213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16</v>
      </c>
      <c r="J349" s="87"/>
      <c r="K349" s="142">
        <f t="shared" si="18"/>
        <v>12</v>
      </c>
      <c r="L349" s="143">
        <f t="shared" si="19"/>
        <v>0.5714285714285714</v>
      </c>
      <c r="M349" s="70"/>
      <c r="N349" s="70"/>
      <c r="O349" s="70"/>
      <c r="P349" s="70" t="s">
        <v>2213</v>
      </c>
      <c r="Q349" s="70" t="s">
        <v>2213</v>
      </c>
      <c r="R349" s="70" t="s">
        <v>2213</v>
      </c>
      <c r="S349" s="70" t="s">
        <v>2213</v>
      </c>
      <c r="T349" s="70" t="s">
        <v>2213</v>
      </c>
      <c r="U349" s="70" t="s">
        <v>2213</v>
      </c>
      <c r="V349" s="70" t="s">
        <v>2213</v>
      </c>
      <c r="W349" s="70" t="s">
        <v>2213</v>
      </c>
      <c r="X349" s="70" t="s">
        <v>2213</v>
      </c>
      <c r="Y349" s="70" t="s">
        <v>2213</v>
      </c>
      <c r="Z349" s="70" t="s">
        <v>2213</v>
      </c>
      <c r="AA349" s="70" t="s">
        <v>2213</v>
      </c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25</v>
      </c>
      <c r="J350" s="147" t="s">
        <v>1952</v>
      </c>
      <c r="K350" s="31">
        <f t="shared" si="18"/>
        <v>3</v>
      </c>
      <c r="L350" s="32">
        <f t="shared" si="19"/>
        <v>0.8928571428571429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 t="s">
        <v>2213</v>
      </c>
      <c r="AD350" s="70" t="s">
        <v>2213</v>
      </c>
      <c r="AE350" s="70"/>
      <c r="AF350" s="70"/>
      <c r="AG350" s="70"/>
      <c r="AH350" s="70"/>
      <c r="AI350" s="70"/>
      <c r="AJ350" s="70"/>
      <c r="AK350" s="70"/>
      <c r="AL350" s="70"/>
      <c r="AM350" s="70" t="s">
        <v>2213</v>
      </c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</v>
      </c>
      <c r="J351" s="147" t="s">
        <v>1953</v>
      </c>
      <c r="K351" s="142">
        <f t="shared" si="18"/>
        <v>26</v>
      </c>
      <c r="L351" s="143">
        <f t="shared" si="19"/>
        <v>7.1428571428571425E-2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 t="s">
        <v>2213</v>
      </c>
      <c r="V351" s="70" t="s">
        <v>2213</v>
      </c>
      <c r="W351" s="70" t="s">
        <v>2213</v>
      </c>
      <c r="X351" s="70" t="s">
        <v>2213</v>
      </c>
      <c r="Y351" s="70" t="s">
        <v>2213</v>
      </c>
      <c r="Z351" s="70" t="s">
        <v>2213</v>
      </c>
      <c r="AA351" s="70" t="s">
        <v>2213</v>
      </c>
      <c r="AB351" s="70" t="s">
        <v>2213</v>
      </c>
      <c r="AC351" s="70" t="s">
        <v>2213</v>
      </c>
      <c r="AD351" s="70" t="s">
        <v>2213</v>
      </c>
      <c r="AE351" s="70" t="s">
        <v>2213</v>
      </c>
      <c r="AF351" s="70" t="s">
        <v>2213</v>
      </c>
      <c r="AG351" s="70" t="s">
        <v>2213</v>
      </c>
      <c r="AH351" s="70" t="s">
        <v>2213</v>
      </c>
      <c r="AI351" s="70" t="s">
        <v>2213</v>
      </c>
      <c r="AJ351" s="70" t="s">
        <v>2213</v>
      </c>
      <c r="AK351" s="70" t="s">
        <v>2213</v>
      </c>
      <c r="AL351" s="70" t="s">
        <v>2213</v>
      </c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</v>
      </c>
      <c r="J352" s="147" t="s">
        <v>1954</v>
      </c>
      <c r="K352" s="142">
        <f t="shared" si="18"/>
        <v>26</v>
      </c>
      <c r="L352" s="143">
        <f t="shared" si="19"/>
        <v>7.1428571428571425E-2</v>
      </c>
      <c r="M352" s="70" t="s">
        <v>2213</v>
      </c>
      <c r="N352" s="70" t="s">
        <v>2213</v>
      </c>
      <c r="O352" s="70" t="s">
        <v>2213</v>
      </c>
      <c r="P352" s="70" t="s">
        <v>2213</v>
      </c>
      <c r="Q352" s="70" t="s">
        <v>2213</v>
      </c>
      <c r="R352" s="70" t="s">
        <v>2213</v>
      </c>
      <c r="S352" s="70" t="s">
        <v>2213</v>
      </c>
      <c r="T352" s="70" t="s">
        <v>2213</v>
      </c>
      <c r="U352" s="70" t="s">
        <v>2213</v>
      </c>
      <c r="V352" s="70" t="s">
        <v>2213</v>
      </c>
      <c r="W352" s="70" t="s">
        <v>2213</v>
      </c>
      <c r="X352" s="70" t="s">
        <v>2213</v>
      </c>
      <c r="Y352" s="70" t="s">
        <v>2213</v>
      </c>
      <c r="Z352" s="70" t="s">
        <v>2213</v>
      </c>
      <c r="AA352" s="70" t="s">
        <v>2213</v>
      </c>
      <c r="AB352" s="70" t="s">
        <v>2213</v>
      </c>
      <c r="AC352" s="70" t="s">
        <v>2213</v>
      </c>
      <c r="AD352" s="70" t="s">
        <v>2213</v>
      </c>
      <c r="AE352" s="70" t="s">
        <v>2213</v>
      </c>
      <c r="AF352" s="70" t="s">
        <v>2213</v>
      </c>
      <c r="AG352" s="70" t="s">
        <v>2213</v>
      </c>
      <c r="AH352" s="70" t="s">
        <v>2213</v>
      </c>
      <c r="AI352" s="70" t="s">
        <v>2213</v>
      </c>
      <c r="AJ352" s="70" t="s">
        <v>2213</v>
      </c>
      <c r="AK352" s="70" t="s">
        <v>2213</v>
      </c>
      <c r="AL352" s="70" t="s">
        <v>2213</v>
      </c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2235</v>
      </c>
      <c r="I353" s="31">
        <f t="shared" si="17"/>
        <v>26</v>
      </c>
      <c r="J353" s="147" t="s">
        <v>1955</v>
      </c>
      <c r="K353" s="31">
        <f t="shared" si="18"/>
        <v>2</v>
      </c>
      <c r="L353" s="32">
        <f t="shared" si="19"/>
        <v>0.9285714285714286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2213</v>
      </c>
      <c r="AD353" s="70" t="s">
        <v>2213</v>
      </c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2236</v>
      </c>
      <c r="I354" s="31">
        <f t="shared" si="17"/>
        <v>26</v>
      </c>
      <c r="J354" s="147" t="s">
        <v>1956</v>
      </c>
      <c r="K354" s="31">
        <f t="shared" si="18"/>
        <v>2</v>
      </c>
      <c r="L354" s="32">
        <f t="shared" si="19"/>
        <v>0.9285714285714286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2213</v>
      </c>
      <c r="AD354" s="70" t="s">
        <v>2213</v>
      </c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26</v>
      </c>
      <c r="J355" s="147" t="s">
        <v>1957</v>
      </c>
      <c r="K355" s="31">
        <f t="shared" si="18"/>
        <v>2</v>
      </c>
      <c r="L355" s="32">
        <f t="shared" si="19"/>
        <v>0.9285714285714286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2213</v>
      </c>
      <c r="AD355" s="70" t="s">
        <v>2213</v>
      </c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26</v>
      </c>
      <c r="J356" s="147" t="s">
        <v>1958</v>
      </c>
      <c r="K356" s="31">
        <f t="shared" si="18"/>
        <v>2</v>
      </c>
      <c r="L356" s="32">
        <f t="shared" si="19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2213</v>
      </c>
      <c r="AD356" s="70" t="s">
        <v>2213</v>
      </c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26</v>
      </c>
      <c r="J357" s="147" t="s">
        <v>1959</v>
      </c>
      <c r="K357" s="31">
        <f t="shared" si="18"/>
        <v>2</v>
      </c>
      <c r="L357" s="32">
        <f t="shared" si="19"/>
        <v>0.9285714285714286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2213</v>
      </c>
      <c r="AD357" s="70" t="s">
        <v>2213</v>
      </c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26</v>
      </c>
      <c r="J358" s="147" t="s">
        <v>1960</v>
      </c>
      <c r="K358" s="31">
        <f t="shared" si="18"/>
        <v>2</v>
      </c>
      <c r="L358" s="32">
        <f t="shared" si="19"/>
        <v>0.9285714285714286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2213</v>
      </c>
      <c r="AD358" s="70" t="s">
        <v>2213</v>
      </c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27</v>
      </c>
      <c r="J364" s="147" t="s">
        <v>2147</v>
      </c>
      <c r="K364" s="31">
        <f t="shared" si="18"/>
        <v>1</v>
      </c>
      <c r="L364" s="32">
        <f t="shared" si="19"/>
        <v>0.9642857142857143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 t="s">
        <v>2213</v>
      </c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27</v>
      </c>
      <c r="J367" s="87"/>
      <c r="K367" s="142">
        <f t="shared" si="18"/>
        <v>1</v>
      </c>
      <c r="L367" s="143">
        <f t="shared" si="19"/>
        <v>0.9642857142857143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 t="s">
        <v>2213</v>
      </c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27</v>
      </c>
      <c r="J368" s="153" t="s">
        <v>2180</v>
      </c>
      <c r="K368" s="142">
        <f t="shared" si="18"/>
        <v>1</v>
      </c>
      <c r="L368" s="143">
        <f t="shared" si="19"/>
        <v>0.9642857142857143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 t="s">
        <v>2213</v>
      </c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27</v>
      </c>
      <c r="J369" s="147" t="s">
        <v>1968</v>
      </c>
      <c r="K369" s="31">
        <f t="shared" si="18"/>
        <v>1</v>
      </c>
      <c r="L369" s="32">
        <f t="shared" si="19"/>
        <v>0.9642857142857143</v>
      </c>
      <c r="M369" s="70" t="s">
        <v>2213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25</v>
      </c>
      <c r="J371" s="147" t="s">
        <v>1969</v>
      </c>
      <c r="K371" s="31">
        <f t="shared" si="18"/>
        <v>3</v>
      </c>
      <c r="L371" s="32">
        <f t="shared" si="19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25</v>
      </c>
      <c r="J372" s="147" t="s">
        <v>1970</v>
      </c>
      <c r="K372" s="31">
        <f t="shared" si="18"/>
        <v>3</v>
      </c>
      <c r="L372" s="32">
        <f t="shared" si="19"/>
        <v>0.8928571428571429</v>
      </c>
      <c r="M372" s="70"/>
      <c r="N372" s="70"/>
      <c r="O372" s="70" t="s">
        <v>2213</v>
      </c>
      <c r="P372" s="70" t="s">
        <v>2213</v>
      </c>
      <c r="Q372" s="70" t="s">
        <v>2213</v>
      </c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27</v>
      </c>
      <c r="J373" s="147" t="s">
        <v>1971</v>
      </c>
      <c r="K373" s="31">
        <f t="shared" si="18"/>
        <v>1</v>
      </c>
      <c r="L373" s="32">
        <f t="shared" si="19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27</v>
      </c>
      <c r="J374" s="147" t="s">
        <v>1972</v>
      </c>
      <c r="K374" s="31">
        <f t="shared" si="18"/>
        <v>1</v>
      </c>
      <c r="L374" s="32">
        <f t="shared" si="19"/>
        <v>0.9642857142857143</v>
      </c>
      <c r="M374" s="70" t="s">
        <v>2213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1</v>
      </c>
      <c r="J375" s="73"/>
      <c r="K375" s="31">
        <f t="shared" si="18"/>
        <v>27</v>
      </c>
      <c r="L375" s="32">
        <f t="shared" si="19"/>
        <v>3.5714285714285712E-2</v>
      </c>
      <c r="M375" s="70"/>
      <c r="N375" s="70" t="s">
        <v>2213</v>
      </c>
      <c r="O375" s="70" t="s">
        <v>2213</v>
      </c>
      <c r="P375" s="70" t="s">
        <v>2213</v>
      </c>
      <c r="Q375" s="70" t="s">
        <v>2213</v>
      </c>
      <c r="R375" s="70" t="s">
        <v>2213</v>
      </c>
      <c r="S375" s="70" t="s">
        <v>2213</v>
      </c>
      <c r="T375" s="70" t="s">
        <v>2213</v>
      </c>
      <c r="U375" s="70" t="s">
        <v>2213</v>
      </c>
      <c r="V375" s="70" t="s">
        <v>2213</v>
      </c>
      <c r="W375" s="70" t="s">
        <v>2213</v>
      </c>
      <c r="X375" s="70" t="s">
        <v>2213</v>
      </c>
      <c r="Y375" s="70" t="s">
        <v>2213</v>
      </c>
      <c r="Z375" s="70" t="s">
        <v>2213</v>
      </c>
      <c r="AA375" s="70" t="s">
        <v>2213</v>
      </c>
      <c r="AB375" s="70" t="s">
        <v>2213</v>
      </c>
      <c r="AC375" s="70" t="s">
        <v>2213</v>
      </c>
      <c r="AD375" s="70" t="s">
        <v>2213</v>
      </c>
      <c r="AE375" s="93" t="s">
        <v>2213</v>
      </c>
      <c r="AF375" s="93" t="s">
        <v>2213</v>
      </c>
      <c r="AG375" s="70" t="s">
        <v>2213</v>
      </c>
      <c r="AH375" s="93" t="s">
        <v>2213</v>
      </c>
      <c r="AI375" s="93" t="s">
        <v>2213</v>
      </c>
      <c r="AJ375" s="93" t="s">
        <v>2213</v>
      </c>
      <c r="AK375" s="93" t="s">
        <v>2213</v>
      </c>
      <c r="AL375" s="93" t="s">
        <v>2213</v>
      </c>
      <c r="AM375" s="93" t="s">
        <v>2213</v>
      </c>
      <c r="AN375" s="93" t="s">
        <v>2213</v>
      </c>
      <c r="AO375" s="93" t="s">
        <v>2213</v>
      </c>
      <c r="AP375" s="93" t="s">
        <v>2213</v>
      </c>
      <c r="AQ375" s="93" t="s">
        <v>2213</v>
      </c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27</v>
      </c>
      <c r="J376" s="147" t="s">
        <v>1973</v>
      </c>
      <c r="K376" s="142">
        <f t="shared" si="18"/>
        <v>1</v>
      </c>
      <c r="L376" s="143">
        <f t="shared" si="19"/>
        <v>0.9642857142857143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 t="s">
        <v>2213</v>
      </c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19</v>
      </c>
      <c r="J378" s="147" t="s">
        <v>1975</v>
      </c>
      <c r="K378" s="31">
        <f t="shared" si="18"/>
        <v>9</v>
      </c>
      <c r="L378" s="32">
        <f t="shared" si="19"/>
        <v>0.6785714285714286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 t="s">
        <v>2213</v>
      </c>
      <c r="AE378" s="70" t="s">
        <v>2213</v>
      </c>
      <c r="AF378" s="70"/>
      <c r="AG378" s="70"/>
      <c r="AH378" s="70"/>
      <c r="AI378" s="70"/>
      <c r="AJ378" s="70"/>
      <c r="AK378" s="70" t="s">
        <v>2213</v>
      </c>
      <c r="AL378" s="70" t="s">
        <v>2213</v>
      </c>
      <c r="AM378" s="70" t="s">
        <v>2213</v>
      </c>
      <c r="AN378" s="70" t="s">
        <v>2213</v>
      </c>
      <c r="AO378" s="70" t="s">
        <v>2213</v>
      </c>
      <c r="AP378" s="70" t="s">
        <v>2213</v>
      </c>
      <c r="AQ378" s="70" t="s">
        <v>2213</v>
      </c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19</v>
      </c>
      <c r="J379" s="147" t="s">
        <v>1976</v>
      </c>
      <c r="K379" s="31">
        <f t="shared" si="18"/>
        <v>9</v>
      </c>
      <c r="L379" s="32">
        <f t="shared" si="19"/>
        <v>0.6785714285714286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 t="s">
        <v>2213</v>
      </c>
      <c r="AE379" s="70" t="s">
        <v>2213</v>
      </c>
      <c r="AF379" s="70"/>
      <c r="AG379" s="70"/>
      <c r="AH379" s="70"/>
      <c r="AI379" s="70"/>
      <c r="AJ379" s="70"/>
      <c r="AK379" s="70" t="s">
        <v>2213</v>
      </c>
      <c r="AL379" s="70" t="s">
        <v>2213</v>
      </c>
      <c r="AM379" s="70" t="s">
        <v>2213</v>
      </c>
      <c r="AN379" s="70" t="s">
        <v>2213</v>
      </c>
      <c r="AO379" s="70" t="s">
        <v>2213</v>
      </c>
      <c r="AP379" s="70" t="s">
        <v>2213</v>
      </c>
      <c r="AQ379" s="70" t="s">
        <v>2213</v>
      </c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19</v>
      </c>
      <c r="J380" s="147" t="s">
        <v>1977</v>
      </c>
      <c r="K380" s="31">
        <f t="shared" si="18"/>
        <v>9</v>
      </c>
      <c r="L380" s="32">
        <f t="shared" si="19"/>
        <v>0.6785714285714286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 t="s">
        <v>2213</v>
      </c>
      <c r="AE380" s="70" t="s">
        <v>2213</v>
      </c>
      <c r="AF380" s="70"/>
      <c r="AG380" s="70"/>
      <c r="AH380" s="70"/>
      <c r="AI380" s="70"/>
      <c r="AJ380" s="70"/>
      <c r="AK380" s="70" t="s">
        <v>2213</v>
      </c>
      <c r="AL380" s="70" t="s">
        <v>2213</v>
      </c>
      <c r="AM380" s="70" t="s">
        <v>2213</v>
      </c>
      <c r="AN380" s="70" t="s">
        <v>2213</v>
      </c>
      <c r="AO380" s="70" t="s">
        <v>2213</v>
      </c>
      <c r="AP380" s="70" t="s">
        <v>2213</v>
      </c>
      <c r="AQ380" s="70" t="s">
        <v>2213</v>
      </c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25</v>
      </c>
      <c r="J381" s="147" t="s">
        <v>1978</v>
      </c>
      <c r="K381" s="31">
        <f t="shared" ref="K381:K462" si="21">COUNTIF(M381:AN381,"APAGADO")</f>
        <v>3</v>
      </c>
      <c r="L381" s="32">
        <f t="shared" ref="L381:L462" si="22">(I381)/(K381+I381)</f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 t="s">
        <v>2213</v>
      </c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25</v>
      </c>
      <c r="J382" s="147" t="s">
        <v>1979</v>
      </c>
      <c r="K382" s="31">
        <f t="shared" si="21"/>
        <v>3</v>
      </c>
      <c r="L382" s="32">
        <f t="shared" si="22"/>
        <v>0.8928571428571429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 t="s">
        <v>2213</v>
      </c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20</v>
      </c>
      <c r="J383" s="147" t="s">
        <v>1980</v>
      </c>
      <c r="K383" s="31">
        <f t="shared" si="21"/>
        <v>8</v>
      </c>
      <c r="L383" s="32">
        <f t="shared" si="22"/>
        <v>0.7142857142857143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 t="s">
        <v>2213</v>
      </c>
      <c r="AL383" s="70" t="s">
        <v>2213</v>
      </c>
      <c r="AM383" s="70" t="s">
        <v>2213</v>
      </c>
      <c r="AN383" s="70" t="s">
        <v>2213</v>
      </c>
      <c r="AO383" s="70"/>
      <c r="AP383" s="70" t="s">
        <v>2213</v>
      </c>
      <c r="AQ383" s="70" t="s">
        <v>2213</v>
      </c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20</v>
      </c>
      <c r="J384" s="147" t="s">
        <v>1981</v>
      </c>
      <c r="K384" s="31">
        <f t="shared" si="21"/>
        <v>8</v>
      </c>
      <c r="L384" s="32">
        <f t="shared" si="22"/>
        <v>0.7142857142857143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 t="s">
        <v>2213</v>
      </c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 t="s">
        <v>2213</v>
      </c>
      <c r="AL384" s="70" t="s">
        <v>2213</v>
      </c>
      <c r="AM384" s="70" t="s">
        <v>2213</v>
      </c>
      <c r="AN384" s="70" t="s">
        <v>2213</v>
      </c>
      <c r="AO384" s="70" t="s">
        <v>2213</v>
      </c>
      <c r="AP384" s="70" t="s">
        <v>2213</v>
      </c>
      <c r="AQ384" s="70" t="s">
        <v>2213</v>
      </c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21</v>
      </c>
      <c r="J385" s="147" t="s">
        <v>1982</v>
      </c>
      <c r="K385" s="31">
        <f t="shared" si="21"/>
        <v>7</v>
      </c>
      <c r="L385" s="32">
        <f t="shared" si="22"/>
        <v>0.75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 t="s">
        <v>2213</v>
      </c>
      <c r="AL385" s="70" t="s">
        <v>2213</v>
      </c>
      <c r="AM385" s="70" t="s">
        <v>2213</v>
      </c>
      <c r="AN385" s="70" t="s">
        <v>2213</v>
      </c>
      <c r="AO385" s="70" t="s">
        <v>2213</v>
      </c>
      <c r="AP385" s="70" t="s">
        <v>2213</v>
      </c>
      <c r="AQ385" s="70" t="s">
        <v>2213</v>
      </c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21</v>
      </c>
      <c r="J386" s="147" t="s">
        <v>1983</v>
      </c>
      <c r="K386" s="31">
        <f t="shared" si="21"/>
        <v>7</v>
      </c>
      <c r="L386" s="32">
        <f t="shared" si="22"/>
        <v>0.75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 t="s">
        <v>2213</v>
      </c>
      <c r="AL386" s="70" t="s">
        <v>2213</v>
      </c>
      <c r="AM386" s="70" t="s">
        <v>2213</v>
      </c>
      <c r="AN386" s="70" t="s">
        <v>2213</v>
      </c>
      <c r="AO386" s="70" t="s">
        <v>2213</v>
      </c>
      <c r="AP386" s="70" t="s">
        <v>2213</v>
      </c>
      <c r="AQ386" s="70" t="s">
        <v>2213</v>
      </c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25</v>
      </c>
      <c r="J387" s="147" t="s">
        <v>1984</v>
      </c>
      <c r="K387" s="31">
        <f t="shared" si="21"/>
        <v>3</v>
      </c>
      <c r="L387" s="32">
        <f t="shared" si="22"/>
        <v>0.8928571428571429</v>
      </c>
      <c r="M387" s="70"/>
      <c r="N387" s="70"/>
      <c r="O387" s="70" t="s">
        <v>2213</v>
      </c>
      <c r="P387" s="70" t="s">
        <v>2213</v>
      </c>
      <c r="Q387" s="70" t="s">
        <v>2213</v>
      </c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 t="s">
        <v>2213</v>
      </c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0</v>
      </c>
      <c r="J388" s="147" t="s">
        <v>1985</v>
      </c>
      <c r="K388" s="31">
        <f t="shared" si="21"/>
        <v>28</v>
      </c>
      <c r="L388" s="32">
        <f t="shared" si="22"/>
        <v>0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 t="s">
        <v>2213</v>
      </c>
      <c r="V388" s="70" t="s">
        <v>2213</v>
      </c>
      <c r="W388" s="70" t="s">
        <v>2213</v>
      </c>
      <c r="X388" s="70" t="s">
        <v>2213</v>
      </c>
      <c r="Y388" s="70" t="s">
        <v>2213</v>
      </c>
      <c r="Z388" s="70" t="s">
        <v>2213</v>
      </c>
      <c r="AA388" s="70" t="s">
        <v>2213</v>
      </c>
      <c r="AB388" s="70" t="s">
        <v>2213</v>
      </c>
      <c r="AC388" s="70" t="s">
        <v>2213</v>
      </c>
      <c r="AD388" s="70" t="s">
        <v>2213</v>
      </c>
      <c r="AE388" s="70" t="s">
        <v>2213</v>
      </c>
      <c r="AF388" s="70" t="s">
        <v>2213</v>
      </c>
      <c r="AG388" s="70" t="s">
        <v>2213</v>
      </c>
      <c r="AH388" s="70" t="s">
        <v>2213</v>
      </c>
      <c r="AI388" s="70" t="s">
        <v>2213</v>
      </c>
      <c r="AJ388" s="70" t="s">
        <v>2213</v>
      </c>
      <c r="AK388" s="70" t="s">
        <v>2213</v>
      </c>
      <c r="AL388" s="70" t="s">
        <v>2213</v>
      </c>
      <c r="AM388" s="70" t="s">
        <v>2213</v>
      </c>
      <c r="AN388" s="70" t="s">
        <v>2213</v>
      </c>
      <c r="AO388" s="70" t="s">
        <v>2213</v>
      </c>
      <c r="AP388" s="70" t="s">
        <v>2213</v>
      </c>
      <c r="AQ388" s="70" t="s">
        <v>2213</v>
      </c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0</v>
      </c>
      <c r="J389" s="147" t="s">
        <v>1986</v>
      </c>
      <c r="K389" s="31">
        <f t="shared" si="21"/>
        <v>28</v>
      </c>
      <c r="L389" s="32">
        <f t="shared" si="22"/>
        <v>0</v>
      </c>
      <c r="M389" s="70" t="s">
        <v>2213</v>
      </c>
      <c r="N389" s="70" t="s">
        <v>2213</v>
      </c>
      <c r="O389" s="70" t="s">
        <v>2213</v>
      </c>
      <c r="P389" s="70" t="s">
        <v>2213</v>
      </c>
      <c r="Q389" s="70" t="s">
        <v>2213</v>
      </c>
      <c r="R389" s="70" t="s">
        <v>2213</v>
      </c>
      <c r="S389" s="70" t="s">
        <v>2213</v>
      </c>
      <c r="T389" s="70" t="s">
        <v>2213</v>
      </c>
      <c r="U389" s="70" t="s">
        <v>2213</v>
      </c>
      <c r="V389" s="70" t="s">
        <v>2213</v>
      </c>
      <c r="W389" s="70" t="s">
        <v>2213</v>
      </c>
      <c r="X389" s="70" t="s">
        <v>2213</v>
      </c>
      <c r="Y389" s="70" t="s">
        <v>2213</v>
      </c>
      <c r="Z389" s="70" t="s">
        <v>2213</v>
      </c>
      <c r="AA389" s="70" t="s">
        <v>2213</v>
      </c>
      <c r="AB389" s="70" t="s">
        <v>2213</v>
      </c>
      <c r="AC389" s="70" t="s">
        <v>2213</v>
      </c>
      <c r="AD389" s="70" t="s">
        <v>2213</v>
      </c>
      <c r="AE389" s="70" t="s">
        <v>2213</v>
      </c>
      <c r="AF389" s="70" t="s">
        <v>2213</v>
      </c>
      <c r="AG389" s="70" t="s">
        <v>2213</v>
      </c>
      <c r="AH389" s="70" t="s">
        <v>2213</v>
      </c>
      <c r="AI389" s="70" t="s">
        <v>2213</v>
      </c>
      <c r="AJ389" s="70" t="s">
        <v>2213</v>
      </c>
      <c r="AK389" s="70" t="s">
        <v>2213</v>
      </c>
      <c r="AL389" s="70" t="s">
        <v>2213</v>
      </c>
      <c r="AM389" s="70" t="s">
        <v>2213</v>
      </c>
      <c r="AN389" s="70" t="s">
        <v>2213</v>
      </c>
      <c r="AO389" s="70" t="s">
        <v>2213</v>
      </c>
      <c r="AP389" s="70" t="s">
        <v>2213</v>
      </c>
      <c r="AQ389" s="70" t="s">
        <v>2213</v>
      </c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0</v>
      </c>
      <c r="J393" s="87"/>
      <c r="K393" s="31">
        <f t="shared" si="21"/>
        <v>28</v>
      </c>
      <c r="L393" s="32">
        <f t="shared" si="22"/>
        <v>0</v>
      </c>
      <c r="M393" s="70" t="s">
        <v>2213</v>
      </c>
      <c r="N393" s="70" t="s">
        <v>2213</v>
      </c>
      <c r="O393" s="70" t="s">
        <v>2213</v>
      </c>
      <c r="P393" s="84" t="s">
        <v>2213</v>
      </c>
      <c r="Q393" s="84" t="s">
        <v>2213</v>
      </c>
      <c r="R393" s="84" t="s">
        <v>2213</v>
      </c>
      <c r="S393" s="84" t="s">
        <v>2213</v>
      </c>
      <c r="T393" s="84" t="s">
        <v>2213</v>
      </c>
      <c r="U393" s="84" t="s">
        <v>2213</v>
      </c>
      <c r="V393" s="84" t="s">
        <v>2213</v>
      </c>
      <c r="W393" s="84" t="s">
        <v>2213</v>
      </c>
      <c r="X393" s="84" t="s">
        <v>2213</v>
      </c>
      <c r="Y393" s="84" t="s">
        <v>2213</v>
      </c>
      <c r="Z393" s="84" t="s">
        <v>2213</v>
      </c>
      <c r="AA393" s="84" t="s">
        <v>2213</v>
      </c>
      <c r="AB393" s="84" t="s">
        <v>2213</v>
      </c>
      <c r="AC393" s="84" t="s">
        <v>2213</v>
      </c>
      <c r="AD393" s="84" t="s">
        <v>2213</v>
      </c>
      <c r="AE393" s="84" t="s">
        <v>2213</v>
      </c>
      <c r="AF393" s="84" t="s">
        <v>2213</v>
      </c>
      <c r="AG393" s="84" t="s">
        <v>2213</v>
      </c>
      <c r="AH393" s="84" t="s">
        <v>2213</v>
      </c>
      <c r="AI393" s="84" t="s">
        <v>2213</v>
      </c>
      <c r="AJ393" s="84" t="s">
        <v>2213</v>
      </c>
      <c r="AK393" s="84" t="s">
        <v>2213</v>
      </c>
      <c r="AL393" s="84" t="s">
        <v>2213</v>
      </c>
      <c r="AM393" s="84" t="s">
        <v>2213</v>
      </c>
      <c r="AN393" s="84" t="s">
        <v>2213</v>
      </c>
      <c r="AO393" s="84" t="s">
        <v>2213</v>
      </c>
      <c r="AP393" s="90" t="s">
        <v>2213</v>
      </c>
      <c r="AQ393" s="90" t="s">
        <v>2213</v>
      </c>
    </row>
    <row r="394" spans="1:43" ht="15.75" thickBot="1" x14ac:dyDescent="0.3">
      <c r="A394" t="s">
        <v>402</v>
      </c>
      <c r="B394" t="s">
        <v>2281</v>
      </c>
      <c r="C394" t="s">
        <v>1062</v>
      </c>
      <c r="D394" t="s">
        <v>2282</v>
      </c>
      <c r="E394" s="30" t="s">
        <v>19</v>
      </c>
      <c r="F394" s="85" t="s">
        <v>1301</v>
      </c>
      <c r="G394" s="30"/>
      <c r="H394" s="85" t="s">
        <v>2283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10</v>
      </c>
      <c r="J395" s="87"/>
      <c r="K395" s="31">
        <f t="shared" si="21"/>
        <v>18</v>
      </c>
      <c r="L395" s="32">
        <f t="shared" si="22"/>
        <v>0.35714285714285715</v>
      </c>
      <c r="M395" s="70" t="s">
        <v>2213</v>
      </c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 t="s">
        <v>2213</v>
      </c>
      <c r="V395" s="70"/>
      <c r="W395" s="70"/>
      <c r="X395" s="70" t="s">
        <v>2213</v>
      </c>
      <c r="Y395" s="70"/>
      <c r="Z395" s="70"/>
      <c r="AA395" s="70"/>
      <c r="AB395" s="70"/>
      <c r="AC395" s="70" t="s">
        <v>2213</v>
      </c>
      <c r="AD395" s="70"/>
      <c r="AE395" s="70" t="s">
        <v>2213</v>
      </c>
      <c r="AF395" s="70"/>
      <c r="AG395" s="70" t="s">
        <v>2213</v>
      </c>
      <c r="AH395" s="70" t="s">
        <v>2213</v>
      </c>
      <c r="AI395" s="70" t="s">
        <v>2213</v>
      </c>
      <c r="AJ395" s="70" t="s">
        <v>2213</v>
      </c>
      <c r="AK395" s="70" t="s">
        <v>2213</v>
      </c>
      <c r="AL395" s="70" t="s">
        <v>2213</v>
      </c>
      <c r="AM395" s="70" t="s">
        <v>2213</v>
      </c>
      <c r="AN395" s="70" t="s">
        <v>2213</v>
      </c>
      <c r="AO395" s="70" t="s">
        <v>2213</v>
      </c>
      <c r="AP395" s="70" t="s">
        <v>2213</v>
      </c>
      <c r="AQ395" s="70" t="s">
        <v>2213</v>
      </c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20</v>
      </c>
      <c r="J397" s="87"/>
      <c r="K397" s="31">
        <f t="shared" si="21"/>
        <v>8</v>
      </c>
      <c r="L397" s="32">
        <f t="shared" si="22"/>
        <v>0.7142857142857143</v>
      </c>
      <c r="M397" s="70"/>
      <c r="N397" s="70"/>
      <c r="O397" s="70"/>
      <c r="P397" s="70" t="s">
        <v>2213</v>
      </c>
      <c r="Q397" s="70" t="s">
        <v>2213</v>
      </c>
      <c r="R397" s="70" t="s">
        <v>2213</v>
      </c>
      <c r="S397" s="70" t="s">
        <v>2213</v>
      </c>
      <c r="T397" s="70" t="s">
        <v>2213</v>
      </c>
      <c r="U397" s="70" t="s">
        <v>2213</v>
      </c>
      <c r="V397" s="70" t="s">
        <v>2213</v>
      </c>
      <c r="W397" s="70"/>
      <c r="X397" s="70"/>
      <c r="Y397" s="70"/>
      <c r="Z397" s="70"/>
      <c r="AA397" s="70" t="s">
        <v>2213</v>
      </c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21</v>
      </c>
      <c r="J398" s="87"/>
      <c r="K398" s="31">
        <f t="shared" si="21"/>
        <v>7</v>
      </c>
      <c r="L398" s="32">
        <f t="shared" si="22"/>
        <v>0.75</v>
      </c>
      <c r="M398" s="70"/>
      <c r="N398" s="70"/>
      <c r="O398" s="70"/>
      <c r="P398" s="70"/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 t="s">
        <v>2213</v>
      </c>
      <c r="W398" s="70"/>
      <c r="X398" s="70"/>
      <c r="Y398" s="70"/>
      <c r="Z398" s="70"/>
      <c r="AA398" s="70" t="s">
        <v>2213</v>
      </c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0</v>
      </c>
      <c r="J399" s="147" t="s">
        <v>1991</v>
      </c>
      <c r="K399" s="87">
        <f t="shared" si="21"/>
        <v>28</v>
      </c>
      <c r="L399" s="88">
        <f t="shared" si="22"/>
        <v>0</v>
      </c>
      <c r="M399" s="89" t="s">
        <v>2213</v>
      </c>
      <c r="N399" s="89" t="s">
        <v>2213</v>
      </c>
      <c r="O399" s="89" t="s">
        <v>2213</v>
      </c>
      <c r="P399" s="89" t="s">
        <v>2213</v>
      </c>
      <c r="Q399" s="89" t="s">
        <v>2213</v>
      </c>
      <c r="R399" s="89" t="s">
        <v>2213</v>
      </c>
      <c r="S399" s="89" t="s">
        <v>2213</v>
      </c>
      <c r="T399" s="89" t="s">
        <v>2213</v>
      </c>
      <c r="U399" s="89" t="s">
        <v>2213</v>
      </c>
      <c r="V399" s="89" t="s">
        <v>2213</v>
      </c>
      <c r="W399" s="89" t="s">
        <v>2213</v>
      </c>
      <c r="X399" s="89" t="s">
        <v>2213</v>
      </c>
      <c r="Y399" s="89" t="s">
        <v>2213</v>
      </c>
      <c r="Z399" s="89" t="s">
        <v>2213</v>
      </c>
      <c r="AA399" s="89" t="s">
        <v>2213</v>
      </c>
      <c r="AB399" s="89" t="s">
        <v>2213</v>
      </c>
      <c r="AC399" s="89" t="s">
        <v>2213</v>
      </c>
      <c r="AD399" s="89" t="s">
        <v>2213</v>
      </c>
      <c r="AE399" s="89" t="s">
        <v>2213</v>
      </c>
      <c r="AF399" s="89" t="s">
        <v>2213</v>
      </c>
      <c r="AG399" s="89" t="s">
        <v>2213</v>
      </c>
      <c r="AH399" s="89" t="s">
        <v>2213</v>
      </c>
      <c r="AI399" s="89" t="s">
        <v>2213</v>
      </c>
      <c r="AJ399" s="89" t="s">
        <v>2213</v>
      </c>
      <c r="AK399" s="89" t="s">
        <v>2213</v>
      </c>
      <c r="AL399" s="89" t="s">
        <v>2213</v>
      </c>
      <c r="AM399" s="89" t="s">
        <v>2213</v>
      </c>
      <c r="AN399" s="89" t="s">
        <v>2213</v>
      </c>
      <c r="AO399" s="89" t="s">
        <v>2213</v>
      </c>
      <c r="AP399" s="89" t="s">
        <v>2213</v>
      </c>
      <c r="AQ399" s="89" t="s">
        <v>2213</v>
      </c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17</v>
      </c>
      <c r="J400" s="87"/>
      <c r="K400" s="31">
        <f t="shared" si="21"/>
        <v>11</v>
      </c>
      <c r="L400" s="32">
        <f t="shared" si="22"/>
        <v>0.6071428571428571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 t="s">
        <v>2213</v>
      </c>
      <c r="V400" s="70"/>
      <c r="W400" s="70"/>
      <c r="X400" s="70"/>
      <c r="Y400" s="70"/>
      <c r="Z400" s="70"/>
      <c r="AA400" s="70" t="s">
        <v>2213</v>
      </c>
      <c r="AB400" s="70"/>
      <c r="AC400" s="70" t="s">
        <v>2213</v>
      </c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0</v>
      </c>
      <c r="J401" s="147" t="s">
        <v>1992</v>
      </c>
      <c r="K401" s="31">
        <f t="shared" si="21"/>
        <v>28</v>
      </c>
      <c r="L401" s="32">
        <f t="shared" si="22"/>
        <v>0</v>
      </c>
      <c r="M401" s="70" t="s">
        <v>2213</v>
      </c>
      <c r="N401" s="70" t="s">
        <v>2213</v>
      </c>
      <c r="O401" s="70" t="s">
        <v>2213</v>
      </c>
      <c r="P401" s="70" t="s">
        <v>2213</v>
      </c>
      <c r="Q401" s="70" t="s">
        <v>2213</v>
      </c>
      <c r="R401" s="70" t="s">
        <v>2213</v>
      </c>
      <c r="S401" s="70" t="s">
        <v>2213</v>
      </c>
      <c r="T401" s="70" t="s">
        <v>2213</v>
      </c>
      <c r="U401" s="70" t="s">
        <v>2213</v>
      </c>
      <c r="V401" s="70" t="s">
        <v>2213</v>
      </c>
      <c r="W401" s="70" t="s">
        <v>2213</v>
      </c>
      <c r="X401" s="70" t="s">
        <v>2213</v>
      </c>
      <c r="Y401" s="70" t="s">
        <v>2213</v>
      </c>
      <c r="Z401" s="70" t="s">
        <v>2213</v>
      </c>
      <c r="AA401" s="70" t="s">
        <v>2213</v>
      </c>
      <c r="AB401" s="70" t="s">
        <v>2213</v>
      </c>
      <c r="AC401" s="70" t="s">
        <v>2213</v>
      </c>
      <c r="AD401" s="70" t="s">
        <v>2213</v>
      </c>
      <c r="AE401" s="70" t="s">
        <v>2213</v>
      </c>
      <c r="AF401" s="70" t="s">
        <v>2213</v>
      </c>
      <c r="AG401" s="70" t="s">
        <v>2213</v>
      </c>
      <c r="AH401" s="70" t="s">
        <v>2213</v>
      </c>
      <c r="AI401" s="70" t="s">
        <v>2213</v>
      </c>
      <c r="AJ401" s="70" t="s">
        <v>2213</v>
      </c>
      <c r="AK401" s="70" t="s">
        <v>2213</v>
      </c>
      <c r="AL401" s="70" t="s">
        <v>2213</v>
      </c>
      <c r="AM401" s="70" t="s">
        <v>2213</v>
      </c>
      <c r="AN401" s="70" t="s">
        <v>2213</v>
      </c>
      <c r="AO401" s="70" t="s">
        <v>2213</v>
      </c>
      <c r="AP401" s="70" t="s">
        <v>2213</v>
      </c>
      <c r="AQ401" s="70" t="s">
        <v>2213</v>
      </c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0</v>
      </c>
      <c r="J402" s="147" t="s">
        <v>1993</v>
      </c>
      <c r="K402" s="31">
        <f t="shared" si="21"/>
        <v>28</v>
      </c>
      <c r="L402" s="32">
        <f t="shared" si="22"/>
        <v>0</v>
      </c>
      <c r="M402" s="70" t="s">
        <v>2213</v>
      </c>
      <c r="N402" s="70" t="s">
        <v>2213</v>
      </c>
      <c r="O402" s="70" t="s">
        <v>2213</v>
      </c>
      <c r="P402" s="70" t="s">
        <v>2213</v>
      </c>
      <c r="Q402" s="70" t="s">
        <v>2213</v>
      </c>
      <c r="R402" s="70" t="s">
        <v>2213</v>
      </c>
      <c r="S402" s="70" t="s">
        <v>2213</v>
      </c>
      <c r="T402" s="70" t="s">
        <v>2213</v>
      </c>
      <c r="U402" s="70" t="s">
        <v>2213</v>
      </c>
      <c r="V402" s="70" t="s">
        <v>2213</v>
      </c>
      <c r="W402" s="70" t="s">
        <v>2213</v>
      </c>
      <c r="X402" s="70" t="s">
        <v>2213</v>
      </c>
      <c r="Y402" s="70" t="s">
        <v>2213</v>
      </c>
      <c r="Z402" s="70" t="s">
        <v>2213</v>
      </c>
      <c r="AA402" s="70" t="s">
        <v>2213</v>
      </c>
      <c r="AB402" s="70" t="s">
        <v>2213</v>
      </c>
      <c r="AC402" s="70" t="s">
        <v>2213</v>
      </c>
      <c r="AD402" s="70" t="s">
        <v>2213</v>
      </c>
      <c r="AE402" s="70" t="s">
        <v>2213</v>
      </c>
      <c r="AF402" s="70" t="s">
        <v>2213</v>
      </c>
      <c r="AG402" s="70" t="s">
        <v>2213</v>
      </c>
      <c r="AH402" s="70" t="s">
        <v>2213</v>
      </c>
      <c r="AI402" s="70" t="s">
        <v>2213</v>
      </c>
      <c r="AJ402" s="70" t="s">
        <v>2213</v>
      </c>
      <c r="AK402" s="70" t="s">
        <v>2213</v>
      </c>
      <c r="AL402" s="70" t="s">
        <v>2213</v>
      </c>
      <c r="AM402" s="70" t="s">
        <v>2213</v>
      </c>
      <c r="AN402" s="70" t="s">
        <v>2213</v>
      </c>
      <c r="AO402" s="70" t="s">
        <v>2213</v>
      </c>
      <c r="AP402" s="70" t="s">
        <v>2213</v>
      </c>
      <c r="AQ402" s="70" t="s">
        <v>2213</v>
      </c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28</v>
      </c>
      <c r="J405" s="87"/>
      <c r="K405" s="142">
        <f t="shared" si="21"/>
        <v>0</v>
      </c>
      <c r="L405" s="143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 t="s">
        <v>2213</v>
      </c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28</v>
      </c>
      <c r="J406" s="87"/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 t="s">
        <v>2213</v>
      </c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7</v>
      </c>
      <c r="J407" s="87" t="s">
        <v>2152</v>
      </c>
      <c r="K407" s="142">
        <f t="shared" si="21"/>
        <v>21</v>
      </c>
      <c r="L407" s="143">
        <f t="shared" si="22"/>
        <v>0.25</v>
      </c>
      <c r="M407" s="70"/>
      <c r="N407" s="70"/>
      <c r="O407" s="70"/>
      <c r="P407" s="70"/>
      <c r="Q407" s="70"/>
      <c r="R407" s="70"/>
      <c r="S407" s="70"/>
      <c r="T407" s="70" t="s">
        <v>2213</v>
      </c>
      <c r="U407" s="70" t="s">
        <v>2213</v>
      </c>
      <c r="V407" s="70" t="s">
        <v>2213</v>
      </c>
      <c r="W407" s="70" t="s">
        <v>2213</v>
      </c>
      <c r="X407" s="70" t="s">
        <v>2213</v>
      </c>
      <c r="Y407" s="70" t="s">
        <v>2213</v>
      </c>
      <c r="Z407" s="70" t="s">
        <v>2213</v>
      </c>
      <c r="AA407" s="70" t="s">
        <v>2213</v>
      </c>
      <c r="AB407" s="70" t="s">
        <v>2213</v>
      </c>
      <c r="AC407" s="70" t="s">
        <v>2213</v>
      </c>
      <c r="AD407" s="70" t="s">
        <v>2213</v>
      </c>
      <c r="AE407" s="70" t="s">
        <v>2213</v>
      </c>
      <c r="AF407" s="70" t="s">
        <v>2213</v>
      </c>
      <c r="AG407" s="70" t="s">
        <v>2213</v>
      </c>
      <c r="AH407" s="70" t="s">
        <v>2213</v>
      </c>
      <c r="AI407" s="70" t="s">
        <v>2213</v>
      </c>
      <c r="AJ407" s="70" t="s">
        <v>2213</v>
      </c>
      <c r="AK407" s="70" t="s">
        <v>2213</v>
      </c>
      <c r="AL407" s="70" t="s">
        <v>2213</v>
      </c>
      <c r="AM407" s="70" t="s">
        <v>2213</v>
      </c>
      <c r="AN407" s="70" t="s">
        <v>2213</v>
      </c>
      <c r="AO407" s="70" t="s">
        <v>2213</v>
      </c>
      <c r="AP407" s="89" t="s">
        <v>2213</v>
      </c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2273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2273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2273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2273</v>
      </c>
      <c r="B412" s="73" t="s">
        <v>2269</v>
      </c>
      <c r="C412" s="73" t="s">
        <v>1063</v>
      </c>
      <c r="D412" s="73" t="s">
        <v>2270</v>
      </c>
      <c r="E412" s="92" t="s">
        <v>19</v>
      </c>
      <c r="F412" s="85" t="s">
        <v>1301</v>
      </c>
      <c r="G412" s="85"/>
      <c r="H412" s="85" t="s">
        <v>2271</v>
      </c>
      <c r="I412" s="142">
        <f t="shared" si="20"/>
        <v>28</v>
      </c>
      <c r="J412" s="147" t="s">
        <v>2272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3</v>
      </c>
      <c r="J413" s="147" t="s">
        <v>1998</v>
      </c>
      <c r="K413" s="142">
        <f t="shared" si="21"/>
        <v>25</v>
      </c>
      <c r="L413" s="143">
        <f t="shared" si="22"/>
        <v>0.10714285714285714</v>
      </c>
      <c r="M413" s="70"/>
      <c r="N413" s="70"/>
      <c r="O413" s="70"/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 t="s">
        <v>2213</v>
      </c>
      <c r="V413" s="70" t="s">
        <v>2213</v>
      </c>
      <c r="W413" s="70" t="s">
        <v>2213</v>
      </c>
      <c r="X413" s="70" t="s">
        <v>2213</v>
      </c>
      <c r="Y413" s="70" t="s">
        <v>2213</v>
      </c>
      <c r="Z413" s="70" t="s">
        <v>2213</v>
      </c>
      <c r="AA413" s="70" t="s">
        <v>2213</v>
      </c>
      <c r="AB413" s="70" t="s">
        <v>2213</v>
      </c>
      <c r="AC413" s="70" t="s">
        <v>2213</v>
      </c>
      <c r="AD413" s="70" t="s">
        <v>2213</v>
      </c>
      <c r="AE413" s="70" t="s">
        <v>2213</v>
      </c>
      <c r="AF413" s="70" t="s">
        <v>2213</v>
      </c>
      <c r="AG413" s="70" t="s">
        <v>2213</v>
      </c>
      <c r="AH413" s="70" t="s">
        <v>2213</v>
      </c>
      <c r="AI413" s="70" t="s">
        <v>2213</v>
      </c>
      <c r="AJ413" s="70" t="s">
        <v>2213</v>
      </c>
      <c r="AK413" s="70" t="s">
        <v>2213</v>
      </c>
      <c r="AL413" s="70" t="s">
        <v>2213</v>
      </c>
      <c r="AM413" s="70" t="s">
        <v>2213</v>
      </c>
      <c r="AN413" s="70" t="s">
        <v>2213</v>
      </c>
      <c r="AO413" s="70" t="s">
        <v>2213</v>
      </c>
      <c r="AP413" s="89" t="s">
        <v>2213</v>
      </c>
      <c r="AQ413" s="89" t="s">
        <v>2213</v>
      </c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16</v>
      </c>
      <c r="J414" s="147" t="s">
        <v>1999</v>
      </c>
      <c r="K414" s="142">
        <f t="shared" si="21"/>
        <v>12</v>
      </c>
      <c r="L414" s="143">
        <f t="shared" si="22"/>
        <v>0.5714285714285714</v>
      </c>
      <c r="M414" s="70"/>
      <c r="N414" s="70"/>
      <c r="O414" s="70"/>
      <c r="P414" s="70" t="s">
        <v>2213</v>
      </c>
      <c r="Q414" s="70" t="s">
        <v>2213</v>
      </c>
      <c r="R414" s="70" t="s">
        <v>2213</v>
      </c>
      <c r="S414" s="70" t="s">
        <v>2213</v>
      </c>
      <c r="T414" s="70" t="s">
        <v>2213</v>
      </c>
      <c r="U414" s="70" t="s">
        <v>2213</v>
      </c>
      <c r="V414" s="70" t="s">
        <v>2213</v>
      </c>
      <c r="W414" s="70" t="s">
        <v>2213</v>
      </c>
      <c r="X414" s="70" t="s">
        <v>2213</v>
      </c>
      <c r="Y414" s="70" t="s">
        <v>2213</v>
      </c>
      <c r="Z414" s="70" t="s">
        <v>2213</v>
      </c>
      <c r="AA414" s="70" t="s">
        <v>2213</v>
      </c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0</v>
      </c>
      <c r="J415" s="87"/>
      <c r="K415" s="31">
        <f t="shared" si="21"/>
        <v>28</v>
      </c>
      <c r="L415" s="32">
        <f t="shared" si="22"/>
        <v>0</v>
      </c>
      <c r="M415" s="70" t="s">
        <v>2213</v>
      </c>
      <c r="N415" s="70" t="s">
        <v>2213</v>
      </c>
      <c r="O415" s="70" t="s">
        <v>2213</v>
      </c>
      <c r="P415" s="70" t="s">
        <v>2213</v>
      </c>
      <c r="Q415" s="70" t="s">
        <v>2213</v>
      </c>
      <c r="R415" s="70" t="s">
        <v>2213</v>
      </c>
      <c r="S415" s="70" t="s">
        <v>2213</v>
      </c>
      <c r="T415" s="70" t="s">
        <v>2213</v>
      </c>
      <c r="U415" s="70" t="s">
        <v>2213</v>
      </c>
      <c r="V415" s="70" t="s">
        <v>2213</v>
      </c>
      <c r="W415" s="70" t="s">
        <v>2213</v>
      </c>
      <c r="X415" s="70" t="s">
        <v>2213</v>
      </c>
      <c r="Y415" s="70" t="s">
        <v>2213</v>
      </c>
      <c r="Z415" s="70" t="s">
        <v>2213</v>
      </c>
      <c r="AA415" s="70" t="s">
        <v>2213</v>
      </c>
      <c r="AB415" s="70" t="s">
        <v>2213</v>
      </c>
      <c r="AC415" s="70" t="s">
        <v>2213</v>
      </c>
      <c r="AD415" s="70" t="s">
        <v>2213</v>
      </c>
      <c r="AE415" s="93" t="s">
        <v>2213</v>
      </c>
      <c r="AF415" s="93" t="s">
        <v>2213</v>
      </c>
      <c r="AG415" s="70" t="s">
        <v>2213</v>
      </c>
      <c r="AH415" s="93" t="s">
        <v>2213</v>
      </c>
      <c r="AI415" s="93" t="s">
        <v>2213</v>
      </c>
      <c r="AJ415" s="93" t="s">
        <v>2213</v>
      </c>
      <c r="AK415" s="93" t="s">
        <v>2213</v>
      </c>
      <c r="AL415" s="93" t="s">
        <v>2213</v>
      </c>
      <c r="AM415" s="93" t="s">
        <v>2213</v>
      </c>
      <c r="AN415" s="93" t="s">
        <v>2213</v>
      </c>
      <c r="AO415" s="93" t="s">
        <v>2213</v>
      </c>
      <c r="AP415" s="93" t="s">
        <v>2213</v>
      </c>
      <c r="AQ415" s="93" t="s">
        <v>2213</v>
      </c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5</v>
      </c>
      <c r="J416" s="147" t="s">
        <v>2000</v>
      </c>
      <c r="K416" s="142">
        <f t="shared" si="21"/>
        <v>23</v>
      </c>
      <c r="L416" s="143">
        <f t="shared" si="22"/>
        <v>0.17857142857142858</v>
      </c>
      <c r="M416" s="70"/>
      <c r="N416" s="70"/>
      <c r="O416" s="70"/>
      <c r="P416" s="70"/>
      <c r="Q416" s="70" t="s">
        <v>2213</v>
      </c>
      <c r="R416" s="70" t="s">
        <v>2213</v>
      </c>
      <c r="S416" s="70" t="s">
        <v>2213</v>
      </c>
      <c r="T416" s="70" t="s">
        <v>2213</v>
      </c>
      <c r="U416" s="70" t="s">
        <v>2213</v>
      </c>
      <c r="V416" s="70"/>
      <c r="W416" s="70" t="s">
        <v>2213</v>
      </c>
      <c r="X416" s="70" t="s">
        <v>2213</v>
      </c>
      <c r="Y416" s="70" t="s">
        <v>2213</v>
      </c>
      <c r="Z416" s="70" t="s">
        <v>2213</v>
      </c>
      <c r="AA416" s="70" t="s">
        <v>2213</v>
      </c>
      <c r="AB416" s="70" t="s">
        <v>2213</v>
      </c>
      <c r="AC416" s="70" t="s">
        <v>2213</v>
      </c>
      <c r="AD416" s="70" t="s">
        <v>2213</v>
      </c>
      <c r="AE416" s="70" t="s">
        <v>2213</v>
      </c>
      <c r="AF416" s="70" t="s">
        <v>2213</v>
      </c>
      <c r="AG416" s="70" t="s">
        <v>2213</v>
      </c>
      <c r="AH416" s="70" t="s">
        <v>2213</v>
      </c>
      <c r="AI416" s="70" t="s">
        <v>2213</v>
      </c>
      <c r="AJ416" s="70" t="s">
        <v>2213</v>
      </c>
      <c r="AK416" s="70" t="s">
        <v>2213</v>
      </c>
      <c r="AL416" s="70" t="s">
        <v>2213</v>
      </c>
      <c r="AM416" s="70" t="s">
        <v>2213</v>
      </c>
      <c r="AN416" s="70" t="s">
        <v>2213</v>
      </c>
      <c r="AO416" s="70" t="s">
        <v>2213</v>
      </c>
      <c r="AP416" s="89" t="s">
        <v>2213</v>
      </c>
      <c r="AQ416" s="89" t="s">
        <v>2213</v>
      </c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27</v>
      </c>
      <c r="J417" s="147" t="s">
        <v>2001</v>
      </c>
      <c r="K417" s="31">
        <f t="shared" si="21"/>
        <v>1</v>
      </c>
      <c r="L417" s="32">
        <f t="shared" si="22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 t="s">
        <v>2213</v>
      </c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16</v>
      </c>
      <c r="J418" s="87"/>
      <c r="K418" s="31">
        <f t="shared" si="21"/>
        <v>12</v>
      </c>
      <c r="L418" s="32">
        <f t="shared" si="22"/>
        <v>0.5714285714285714</v>
      </c>
      <c r="M418" s="70"/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 t="s">
        <v>2213</v>
      </c>
      <c r="V418" s="70" t="s">
        <v>2213</v>
      </c>
      <c r="W418" s="70" t="s">
        <v>2213</v>
      </c>
      <c r="X418" s="70" t="s">
        <v>2213</v>
      </c>
      <c r="Y418" s="70" t="s">
        <v>2213</v>
      </c>
      <c r="Z418" s="70" t="s">
        <v>2213</v>
      </c>
      <c r="AA418" s="70" t="s">
        <v>2213</v>
      </c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16</v>
      </c>
      <c r="J419" s="73" t="s">
        <v>2002</v>
      </c>
      <c r="K419" s="142">
        <f t="shared" si="21"/>
        <v>12</v>
      </c>
      <c r="L419" s="143">
        <f t="shared" si="22"/>
        <v>0.5714285714285714</v>
      </c>
      <c r="M419" s="70"/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 t="s">
        <v>2213</v>
      </c>
      <c r="V419" s="70" t="s">
        <v>2213</v>
      </c>
      <c r="W419" s="70" t="s">
        <v>2213</v>
      </c>
      <c r="X419" s="70" t="s">
        <v>2213</v>
      </c>
      <c r="Y419" s="70" t="s">
        <v>2213</v>
      </c>
      <c r="Z419" s="70" t="s">
        <v>2213</v>
      </c>
      <c r="AA419" s="70" t="s">
        <v>2213</v>
      </c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2</v>
      </c>
      <c r="J420" s="147" t="s">
        <v>2003</v>
      </c>
      <c r="K420" s="31">
        <f t="shared" si="21"/>
        <v>26</v>
      </c>
      <c r="L420" s="32">
        <f t="shared" si="22"/>
        <v>7.1428571428571425E-2</v>
      </c>
      <c r="M420" s="70" t="s">
        <v>2213</v>
      </c>
      <c r="N420" s="70"/>
      <c r="O420" s="70"/>
      <c r="P420" s="70" t="s">
        <v>2213</v>
      </c>
      <c r="Q420" s="70" t="s">
        <v>2213</v>
      </c>
      <c r="R420" s="70" t="s">
        <v>2213</v>
      </c>
      <c r="S420" s="70" t="s">
        <v>2213</v>
      </c>
      <c r="T420" s="70" t="s">
        <v>2213</v>
      </c>
      <c r="U420" s="70" t="s">
        <v>2213</v>
      </c>
      <c r="V420" s="70" t="s">
        <v>2213</v>
      </c>
      <c r="W420" s="70" t="s">
        <v>2213</v>
      </c>
      <c r="X420" s="70" t="s">
        <v>2213</v>
      </c>
      <c r="Y420" s="70" t="s">
        <v>2213</v>
      </c>
      <c r="Z420" s="70" t="s">
        <v>2213</v>
      </c>
      <c r="AA420" s="70" t="s">
        <v>2213</v>
      </c>
      <c r="AB420" s="70" t="s">
        <v>2213</v>
      </c>
      <c r="AC420" s="70" t="s">
        <v>2213</v>
      </c>
      <c r="AD420" s="70" t="s">
        <v>2213</v>
      </c>
      <c r="AE420" s="70" t="s">
        <v>2213</v>
      </c>
      <c r="AF420" s="70" t="s">
        <v>2213</v>
      </c>
      <c r="AG420" s="70" t="s">
        <v>2213</v>
      </c>
      <c r="AH420" s="70" t="s">
        <v>2213</v>
      </c>
      <c r="AI420" s="70" t="s">
        <v>2213</v>
      </c>
      <c r="AJ420" s="70" t="s">
        <v>2213</v>
      </c>
      <c r="AK420" s="70" t="s">
        <v>2213</v>
      </c>
      <c r="AL420" s="70" t="s">
        <v>2213</v>
      </c>
      <c r="AM420" s="70" t="s">
        <v>2213</v>
      </c>
      <c r="AN420" s="70" t="s">
        <v>2213</v>
      </c>
      <c r="AO420" s="70" t="s">
        <v>2213</v>
      </c>
      <c r="AP420" s="70" t="s">
        <v>2213</v>
      </c>
      <c r="AQ420" s="70" t="s">
        <v>2213</v>
      </c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2</v>
      </c>
      <c r="J421" s="147" t="s">
        <v>2004</v>
      </c>
      <c r="K421" s="31">
        <f t="shared" si="21"/>
        <v>26</v>
      </c>
      <c r="L421" s="32">
        <f t="shared" si="22"/>
        <v>7.1428571428571425E-2</v>
      </c>
      <c r="M421" s="70" t="s">
        <v>2213</v>
      </c>
      <c r="N421" s="70"/>
      <c r="O421" s="70"/>
      <c r="P421" s="70" t="s">
        <v>2213</v>
      </c>
      <c r="Q421" s="70" t="s">
        <v>2213</v>
      </c>
      <c r="R421" s="70" t="s">
        <v>2213</v>
      </c>
      <c r="S421" s="70" t="s">
        <v>2213</v>
      </c>
      <c r="T421" s="70" t="s">
        <v>2213</v>
      </c>
      <c r="U421" s="70" t="s">
        <v>2213</v>
      </c>
      <c r="V421" s="70" t="s">
        <v>2213</v>
      </c>
      <c r="W421" s="70" t="s">
        <v>2213</v>
      </c>
      <c r="X421" s="70" t="s">
        <v>2213</v>
      </c>
      <c r="Y421" s="70" t="s">
        <v>2213</v>
      </c>
      <c r="Z421" s="70" t="s">
        <v>2213</v>
      </c>
      <c r="AA421" s="70" t="s">
        <v>2213</v>
      </c>
      <c r="AB421" s="70" t="s">
        <v>2213</v>
      </c>
      <c r="AC421" s="70" t="s">
        <v>2213</v>
      </c>
      <c r="AD421" s="70" t="s">
        <v>2213</v>
      </c>
      <c r="AE421" s="70" t="s">
        <v>2213</v>
      </c>
      <c r="AF421" s="70" t="s">
        <v>2213</v>
      </c>
      <c r="AG421" s="70" t="s">
        <v>2213</v>
      </c>
      <c r="AH421" s="70" t="s">
        <v>2213</v>
      </c>
      <c r="AI421" s="70" t="s">
        <v>2213</v>
      </c>
      <c r="AJ421" s="70" t="s">
        <v>2213</v>
      </c>
      <c r="AK421" s="70" t="s">
        <v>2213</v>
      </c>
      <c r="AL421" s="70" t="s">
        <v>2213</v>
      </c>
      <c r="AM421" s="70" t="s">
        <v>2213</v>
      </c>
      <c r="AN421" s="70" t="s">
        <v>2213</v>
      </c>
      <c r="AO421" s="70" t="s">
        <v>2213</v>
      </c>
      <c r="AP421" s="70" t="s">
        <v>2213</v>
      </c>
      <c r="AQ421" s="70" t="s">
        <v>2213</v>
      </c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17</v>
      </c>
      <c r="J422" s="147" t="s">
        <v>2005</v>
      </c>
      <c r="K422" s="31">
        <f t="shared" si="21"/>
        <v>11</v>
      </c>
      <c r="L422" s="32">
        <f t="shared" si="22"/>
        <v>0.6071428571428571</v>
      </c>
      <c r="M422" s="70"/>
      <c r="N422" s="70"/>
      <c r="O422" s="70"/>
      <c r="P422" s="70"/>
      <c r="Q422" s="70" t="s">
        <v>2213</v>
      </c>
      <c r="R422" s="70" t="s">
        <v>2213</v>
      </c>
      <c r="S422" s="70" t="s">
        <v>2213</v>
      </c>
      <c r="T422" s="70" t="s">
        <v>2213</v>
      </c>
      <c r="U422" s="70" t="s">
        <v>2213</v>
      </c>
      <c r="V422" s="70" t="s">
        <v>2213</v>
      </c>
      <c r="W422" s="70" t="s">
        <v>2213</v>
      </c>
      <c r="X422" s="70" t="s">
        <v>2213</v>
      </c>
      <c r="Y422" s="70" t="s">
        <v>2213</v>
      </c>
      <c r="Z422" s="70" t="s">
        <v>2213</v>
      </c>
      <c r="AA422" s="70" t="s">
        <v>2213</v>
      </c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17</v>
      </c>
      <c r="J423" s="147" t="s">
        <v>2006</v>
      </c>
      <c r="K423" s="31">
        <f t="shared" si="21"/>
        <v>11</v>
      </c>
      <c r="L423" s="32">
        <f t="shared" si="22"/>
        <v>0.6071428571428571</v>
      </c>
      <c r="M423" s="70"/>
      <c r="N423" s="70"/>
      <c r="O423" s="70"/>
      <c r="P423" s="70"/>
      <c r="Q423" s="70" t="s">
        <v>2213</v>
      </c>
      <c r="R423" s="70" t="s">
        <v>2213</v>
      </c>
      <c r="S423" s="70" t="s">
        <v>2213</v>
      </c>
      <c r="T423" s="70" t="s">
        <v>2213</v>
      </c>
      <c r="U423" s="70" t="s">
        <v>2213</v>
      </c>
      <c r="V423" s="70" t="s">
        <v>2213</v>
      </c>
      <c r="W423" s="70" t="s">
        <v>2213</v>
      </c>
      <c r="X423" s="70" t="s">
        <v>2213</v>
      </c>
      <c r="Y423" s="70" t="s">
        <v>2213</v>
      </c>
      <c r="Z423" s="70" t="s">
        <v>2213</v>
      </c>
      <c r="AA423" s="70" t="s">
        <v>2213</v>
      </c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2254</v>
      </c>
      <c r="C424" s="73" t="s">
        <v>1063</v>
      </c>
      <c r="D424" s="73" t="s">
        <v>2255</v>
      </c>
      <c r="E424" s="85" t="s">
        <v>1114</v>
      </c>
      <c r="F424" s="85"/>
      <c r="G424" s="85"/>
      <c r="H424" s="85" t="s">
        <v>2256</v>
      </c>
      <c r="I424" s="31">
        <f t="shared" si="20"/>
        <v>16</v>
      </c>
      <c r="J424" s="147"/>
      <c r="K424" s="31">
        <f t="shared" si="21"/>
        <v>12</v>
      </c>
      <c r="L424" s="32">
        <f t="shared" si="22"/>
        <v>0.5714285714285714</v>
      </c>
      <c r="M424" s="70"/>
      <c r="N424" s="70"/>
      <c r="O424" s="70"/>
      <c r="P424" s="70" t="s">
        <v>2213</v>
      </c>
      <c r="Q424" s="70" t="s">
        <v>2213</v>
      </c>
      <c r="R424" s="70" t="s">
        <v>2213</v>
      </c>
      <c r="S424" s="70" t="s">
        <v>2213</v>
      </c>
      <c r="T424" s="70" t="s">
        <v>2213</v>
      </c>
      <c r="U424" s="70" t="s">
        <v>2213</v>
      </c>
      <c r="V424" s="70" t="s">
        <v>2213</v>
      </c>
      <c r="W424" s="70" t="s">
        <v>2213</v>
      </c>
      <c r="X424" s="70" t="s">
        <v>2213</v>
      </c>
      <c r="Y424" s="70" t="s">
        <v>2213</v>
      </c>
      <c r="Z424" s="70" t="s">
        <v>2213</v>
      </c>
      <c r="AA424" s="70" t="s">
        <v>2213</v>
      </c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27</v>
      </c>
      <c r="J427" s="147" t="s">
        <v>2009</v>
      </c>
      <c r="K427" s="31">
        <f t="shared" si="21"/>
        <v>1</v>
      </c>
      <c r="L427" s="32">
        <f t="shared" si="22"/>
        <v>0.9642857142857143</v>
      </c>
      <c r="M427" s="70"/>
      <c r="N427" s="70"/>
      <c r="O427" s="70"/>
      <c r="P427" s="70" t="s">
        <v>2213</v>
      </c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27</v>
      </c>
      <c r="J428" s="147" t="s">
        <v>2010</v>
      </c>
      <c r="K428" s="31">
        <f t="shared" si="21"/>
        <v>1</v>
      </c>
      <c r="L428" s="32">
        <f t="shared" si="22"/>
        <v>0.9642857142857143</v>
      </c>
      <c r="M428" s="70"/>
      <c r="N428" s="70"/>
      <c r="O428" s="70"/>
      <c r="P428" s="70" t="s">
        <v>2213</v>
      </c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14</v>
      </c>
      <c r="J429" s="147" t="s">
        <v>2011</v>
      </c>
      <c r="K429" s="31">
        <f t="shared" si="21"/>
        <v>14</v>
      </c>
      <c r="L429" s="32">
        <f t="shared" si="22"/>
        <v>0.5</v>
      </c>
      <c r="M429" s="70"/>
      <c r="N429" s="70"/>
      <c r="O429" s="70"/>
      <c r="P429" s="70" t="s">
        <v>2213</v>
      </c>
      <c r="Q429" s="70"/>
      <c r="R429" s="70"/>
      <c r="S429" s="70"/>
      <c r="T429" s="70" t="s">
        <v>2213</v>
      </c>
      <c r="U429" s="70"/>
      <c r="V429" s="70"/>
      <c r="W429" s="70" t="s">
        <v>2213</v>
      </c>
      <c r="X429" s="70" t="s">
        <v>2213</v>
      </c>
      <c r="Y429" s="70" t="s">
        <v>2213</v>
      </c>
      <c r="Z429" s="70" t="s">
        <v>2213</v>
      </c>
      <c r="AA429" s="70" t="s">
        <v>2213</v>
      </c>
      <c r="AB429" s="70" t="s">
        <v>2213</v>
      </c>
      <c r="AC429" s="70"/>
      <c r="AD429" s="70" t="s">
        <v>2213</v>
      </c>
      <c r="AE429" s="70"/>
      <c r="AF429" s="70"/>
      <c r="AG429" s="70"/>
      <c r="AH429" s="70"/>
      <c r="AI429" s="70"/>
      <c r="AJ429" s="70" t="s">
        <v>2213</v>
      </c>
      <c r="AK429" s="70" t="s">
        <v>2213</v>
      </c>
      <c r="AL429" s="70" t="s">
        <v>2213</v>
      </c>
      <c r="AM429" s="70" t="s">
        <v>2213</v>
      </c>
      <c r="AN429" s="70" t="s">
        <v>2213</v>
      </c>
      <c r="AO429" s="70" t="s">
        <v>2213</v>
      </c>
      <c r="AP429" s="70" t="s">
        <v>2213</v>
      </c>
      <c r="AQ429" s="70" t="s">
        <v>2213</v>
      </c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9</v>
      </c>
      <c r="J430" s="147" t="s">
        <v>2012</v>
      </c>
      <c r="K430" s="31">
        <f t="shared" si="21"/>
        <v>19</v>
      </c>
      <c r="L430" s="32">
        <f t="shared" si="22"/>
        <v>0.32142857142857145</v>
      </c>
      <c r="M430" s="70"/>
      <c r="N430" s="70"/>
      <c r="O430" s="70"/>
      <c r="P430" s="70" t="s">
        <v>2213</v>
      </c>
      <c r="Q430" s="70" t="s">
        <v>2213</v>
      </c>
      <c r="R430" s="70"/>
      <c r="S430" s="70"/>
      <c r="T430" s="70" t="s">
        <v>2213</v>
      </c>
      <c r="U430" s="70" t="s">
        <v>2213</v>
      </c>
      <c r="V430" s="70" t="s">
        <v>2213</v>
      </c>
      <c r="W430" s="70" t="s">
        <v>2213</v>
      </c>
      <c r="X430" s="70" t="s">
        <v>2213</v>
      </c>
      <c r="Y430" s="70" t="s">
        <v>2213</v>
      </c>
      <c r="Z430" s="70" t="s">
        <v>2213</v>
      </c>
      <c r="AA430" s="70" t="s">
        <v>2213</v>
      </c>
      <c r="AB430" s="70" t="s">
        <v>2213</v>
      </c>
      <c r="AC430" s="70"/>
      <c r="AD430" s="70" t="s">
        <v>2213</v>
      </c>
      <c r="AE430" s="70"/>
      <c r="AF430" s="70"/>
      <c r="AG430" s="70"/>
      <c r="AH430" s="70" t="s">
        <v>2213</v>
      </c>
      <c r="AI430" s="70" t="s">
        <v>2213</v>
      </c>
      <c r="AJ430" s="70" t="s">
        <v>2213</v>
      </c>
      <c r="AK430" s="70" t="s">
        <v>2213</v>
      </c>
      <c r="AL430" s="70" t="s">
        <v>2213</v>
      </c>
      <c r="AM430" s="70" t="s">
        <v>2213</v>
      </c>
      <c r="AN430" s="70" t="s">
        <v>2213</v>
      </c>
      <c r="AO430" s="70" t="s">
        <v>2213</v>
      </c>
      <c r="AP430" s="70" t="s">
        <v>2213</v>
      </c>
      <c r="AQ430" s="70" t="s">
        <v>2213</v>
      </c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11</v>
      </c>
      <c r="J434" s="147" t="s">
        <v>2015</v>
      </c>
      <c r="K434" s="31">
        <f t="shared" si="21"/>
        <v>17</v>
      </c>
      <c r="L434" s="32">
        <f t="shared" si="22"/>
        <v>0.39285714285714285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 t="s">
        <v>2213</v>
      </c>
      <c r="V434" s="70" t="s">
        <v>2213</v>
      </c>
      <c r="W434" s="70" t="s">
        <v>2213</v>
      </c>
      <c r="X434" s="70" t="s">
        <v>2213</v>
      </c>
      <c r="Y434" s="70" t="s">
        <v>2213</v>
      </c>
      <c r="Z434" s="70" t="s">
        <v>2213</v>
      </c>
      <c r="AA434" s="70" t="s">
        <v>2213</v>
      </c>
      <c r="AB434" s="70" t="s">
        <v>2213</v>
      </c>
      <c r="AC434" s="70" t="s">
        <v>2213</v>
      </c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 t="s">
        <v>2213</v>
      </c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2</v>
      </c>
      <c r="J436" s="147" t="s">
        <v>2017</v>
      </c>
      <c r="K436" s="31">
        <f t="shared" si="21"/>
        <v>26</v>
      </c>
      <c r="L436" s="32">
        <f t="shared" si="22"/>
        <v>7.1428571428571425E-2</v>
      </c>
      <c r="M436" s="70" t="s">
        <v>2213</v>
      </c>
      <c r="N436" s="70" t="s">
        <v>2213</v>
      </c>
      <c r="O436" s="70" t="s">
        <v>2213</v>
      </c>
      <c r="P436" s="70" t="s">
        <v>2213</v>
      </c>
      <c r="Q436" s="70" t="s">
        <v>2213</v>
      </c>
      <c r="R436" s="70" t="s">
        <v>2213</v>
      </c>
      <c r="S436" s="70" t="s">
        <v>2213</v>
      </c>
      <c r="T436" s="70" t="s">
        <v>2213</v>
      </c>
      <c r="U436" s="70" t="s">
        <v>2213</v>
      </c>
      <c r="V436" s="70" t="s">
        <v>2213</v>
      </c>
      <c r="W436" s="70" t="s">
        <v>2213</v>
      </c>
      <c r="X436" s="70" t="s">
        <v>2213</v>
      </c>
      <c r="Y436" s="70" t="s">
        <v>2213</v>
      </c>
      <c r="Z436" s="70" t="s">
        <v>2213</v>
      </c>
      <c r="AA436" s="70"/>
      <c r="AB436" s="70" t="s">
        <v>2213</v>
      </c>
      <c r="AC436" s="70"/>
      <c r="AD436" s="70" t="s">
        <v>2213</v>
      </c>
      <c r="AE436" s="70" t="s">
        <v>2213</v>
      </c>
      <c r="AF436" s="70" t="s">
        <v>2213</v>
      </c>
      <c r="AG436" s="70" t="s">
        <v>2213</v>
      </c>
      <c r="AH436" s="70" t="s">
        <v>2213</v>
      </c>
      <c r="AI436" s="70" t="s">
        <v>2213</v>
      </c>
      <c r="AJ436" s="70" t="s">
        <v>2213</v>
      </c>
      <c r="AK436" s="70" t="s">
        <v>2213</v>
      </c>
      <c r="AL436" s="70" t="s">
        <v>2213</v>
      </c>
      <c r="AM436" s="70" t="s">
        <v>2213</v>
      </c>
      <c r="AN436" s="70" t="s">
        <v>2213</v>
      </c>
      <c r="AO436" s="70" t="s">
        <v>2213</v>
      </c>
      <c r="AP436" s="70" t="s">
        <v>2213</v>
      </c>
      <c r="AQ436" s="70" t="s">
        <v>2213</v>
      </c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24</v>
      </c>
      <c r="J437" s="87"/>
      <c r="K437" s="31">
        <f t="shared" si="21"/>
        <v>4</v>
      </c>
      <c r="L437" s="32">
        <f t="shared" si="22"/>
        <v>0.8571428571428571</v>
      </c>
      <c r="M437" s="70" t="s">
        <v>2213</v>
      </c>
      <c r="N437" s="70" t="s">
        <v>2213</v>
      </c>
      <c r="O437" s="70" t="s">
        <v>2213</v>
      </c>
      <c r="P437" s="70" t="s">
        <v>2213</v>
      </c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26</v>
      </c>
      <c r="J438" s="87"/>
      <c r="K438" s="31">
        <f t="shared" si="21"/>
        <v>2</v>
      </c>
      <c r="L438" s="32">
        <f t="shared" si="22"/>
        <v>0.9285714285714286</v>
      </c>
      <c r="M438" s="70"/>
      <c r="N438" s="70"/>
      <c r="O438" s="70"/>
      <c r="P438" s="70" t="s">
        <v>2213</v>
      </c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 t="s">
        <v>2213</v>
      </c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18</v>
      </c>
      <c r="J440" s="87"/>
      <c r="K440" s="31">
        <f t="shared" si="21"/>
        <v>10</v>
      </c>
      <c r="L440" s="32">
        <f t="shared" si="22"/>
        <v>0.6428571428571429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 t="s">
        <v>2213</v>
      </c>
      <c r="V440" s="70" t="s">
        <v>2213</v>
      </c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10</v>
      </c>
      <c r="J441" s="147" t="s">
        <v>2018</v>
      </c>
      <c r="K441" s="31">
        <f t="shared" si="21"/>
        <v>18</v>
      </c>
      <c r="L441" s="32">
        <f t="shared" si="22"/>
        <v>0.35714285714285715</v>
      </c>
      <c r="M441" s="70"/>
      <c r="N441" s="70"/>
      <c r="O441" s="70"/>
      <c r="P441" s="70" t="s">
        <v>2213</v>
      </c>
      <c r="Q441" s="70" t="s">
        <v>2213</v>
      </c>
      <c r="R441" s="70" t="s">
        <v>2213</v>
      </c>
      <c r="S441" s="70" t="s">
        <v>2213</v>
      </c>
      <c r="T441" s="70" t="s">
        <v>2213</v>
      </c>
      <c r="U441" s="70"/>
      <c r="V441" s="70"/>
      <c r="W441" s="70" t="s">
        <v>2213</v>
      </c>
      <c r="X441" s="70" t="s">
        <v>2213</v>
      </c>
      <c r="Y441" s="70" t="s">
        <v>2213</v>
      </c>
      <c r="Z441" s="70" t="s">
        <v>2213</v>
      </c>
      <c r="AA441" s="70" t="s">
        <v>2213</v>
      </c>
      <c r="AB441" s="70" t="s">
        <v>2213</v>
      </c>
      <c r="AC441" s="70" t="s">
        <v>2213</v>
      </c>
      <c r="AD441" s="70" t="s">
        <v>2213</v>
      </c>
      <c r="AE441" s="70"/>
      <c r="AF441" s="70"/>
      <c r="AG441" s="70"/>
      <c r="AH441" s="70"/>
      <c r="AI441" s="70"/>
      <c r="AJ441" s="70" t="s">
        <v>2213</v>
      </c>
      <c r="AK441" s="70" t="s">
        <v>2213</v>
      </c>
      <c r="AL441" s="70" t="s">
        <v>2213</v>
      </c>
      <c r="AM441" s="70" t="s">
        <v>2213</v>
      </c>
      <c r="AN441" s="70" t="s">
        <v>2213</v>
      </c>
      <c r="AO441" s="70" t="s">
        <v>2213</v>
      </c>
      <c r="AP441" s="70" t="s">
        <v>2213</v>
      </c>
      <c r="AQ441" s="70" t="s">
        <v>2213</v>
      </c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0</v>
      </c>
      <c r="J442" s="147" t="s">
        <v>2019</v>
      </c>
      <c r="K442" s="31">
        <f t="shared" si="21"/>
        <v>28</v>
      </c>
      <c r="L442" s="32">
        <f t="shared" si="22"/>
        <v>0</v>
      </c>
      <c r="M442" s="70" t="s">
        <v>2213</v>
      </c>
      <c r="N442" s="70" t="s">
        <v>2213</v>
      </c>
      <c r="O442" s="70" t="s">
        <v>2213</v>
      </c>
      <c r="P442" s="70" t="s">
        <v>2213</v>
      </c>
      <c r="Q442" s="70" t="s">
        <v>2213</v>
      </c>
      <c r="R442" s="70" t="s">
        <v>2213</v>
      </c>
      <c r="S442" s="70" t="s">
        <v>2213</v>
      </c>
      <c r="T442" s="70" t="s">
        <v>2213</v>
      </c>
      <c r="U442" s="70" t="s">
        <v>2213</v>
      </c>
      <c r="V442" s="70" t="s">
        <v>2213</v>
      </c>
      <c r="W442" s="70" t="s">
        <v>2213</v>
      </c>
      <c r="X442" s="70" t="s">
        <v>2213</v>
      </c>
      <c r="Y442" s="70" t="s">
        <v>2213</v>
      </c>
      <c r="Z442" s="70" t="s">
        <v>2213</v>
      </c>
      <c r="AA442" s="70" t="s">
        <v>2213</v>
      </c>
      <c r="AB442" s="70" t="s">
        <v>2213</v>
      </c>
      <c r="AC442" s="70" t="s">
        <v>2213</v>
      </c>
      <c r="AD442" s="70" t="s">
        <v>2213</v>
      </c>
      <c r="AE442" s="70" t="s">
        <v>2213</v>
      </c>
      <c r="AF442" s="70" t="s">
        <v>2213</v>
      </c>
      <c r="AG442" s="70" t="s">
        <v>2213</v>
      </c>
      <c r="AH442" s="70" t="s">
        <v>2213</v>
      </c>
      <c r="AI442" s="70" t="s">
        <v>2213</v>
      </c>
      <c r="AJ442" s="70" t="s">
        <v>2213</v>
      </c>
      <c r="AK442" s="70" t="s">
        <v>2213</v>
      </c>
      <c r="AL442" s="70" t="s">
        <v>2213</v>
      </c>
      <c r="AM442" s="70" t="s">
        <v>2213</v>
      </c>
      <c r="AN442" s="70" t="s">
        <v>2213</v>
      </c>
      <c r="AO442" s="70" t="s">
        <v>2213</v>
      </c>
      <c r="AP442" s="70" t="s">
        <v>2213</v>
      </c>
      <c r="AQ442" s="70" t="s">
        <v>2213</v>
      </c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28</v>
      </c>
      <c r="J443" s="147" t="s">
        <v>2020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 t="s">
        <v>2213</v>
      </c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27</v>
      </c>
      <c r="J444" s="147" t="s">
        <v>2021</v>
      </c>
      <c r="K444" s="142">
        <f t="shared" si="21"/>
        <v>1</v>
      </c>
      <c r="L444" s="143">
        <f t="shared" si="22"/>
        <v>0.9642857142857143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 t="s">
        <v>2213</v>
      </c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27</v>
      </c>
      <c r="J445" s="147" t="s">
        <v>2022</v>
      </c>
      <c r="K445" s="142">
        <f t="shared" si="21"/>
        <v>1</v>
      </c>
      <c r="L445" s="143">
        <f t="shared" si="22"/>
        <v>0.9642857142857143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 t="s">
        <v>2213</v>
      </c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14</v>
      </c>
      <c r="J446" s="147" t="s">
        <v>2023</v>
      </c>
      <c r="K446" s="31">
        <f t="shared" si="21"/>
        <v>14</v>
      </c>
      <c r="L446" s="32">
        <f t="shared" si="22"/>
        <v>0.5</v>
      </c>
      <c r="M446" s="70"/>
      <c r="N446" s="70"/>
      <c r="O446" s="70"/>
      <c r="P446" s="70" t="s">
        <v>2213</v>
      </c>
      <c r="Q446" s="70"/>
      <c r="R446" s="70"/>
      <c r="S446" s="70"/>
      <c r="T446" s="70" t="s">
        <v>2213</v>
      </c>
      <c r="U446" s="70"/>
      <c r="V446" s="70"/>
      <c r="W446" s="70" t="s">
        <v>2213</v>
      </c>
      <c r="X446" s="70" t="s">
        <v>2213</v>
      </c>
      <c r="Y446" s="70" t="s">
        <v>2213</v>
      </c>
      <c r="Z446" s="70"/>
      <c r="AA446" s="70"/>
      <c r="AB446" s="70" t="s">
        <v>2213</v>
      </c>
      <c r="AC446" s="70" t="s">
        <v>2213</v>
      </c>
      <c r="AD446" s="70" t="s">
        <v>2213</v>
      </c>
      <c r="AE446" s="70" t="s">
        <v>2213</v>
      </c>
      <c r="AF446" s="70"/>
      <c r="AG446" s="70"/>
      <c r="AH446" s="70"/>
      <c r="AI446" s="70"/>
      <c r="AJ446" s="70" t="s">
        <v>2213</v>
      </c>
      <c r="AK446" s="70" t="s">
        <v>2213</v>
      </c>
      <c r="AL446" s="70" t="s">
        <v>2213</v>
      </c>
      <c r="AM446" s="70" t="s">
        <v>2213</v>
      </c>
      <c r="AN446" s="70" t="s">
        <v>2213</v>
      </c>
      <c r="AO446" s="70" t="s">
        <v>2213</v>
      </c>
      <c r="AP446" s="70" t="s">
        <v>2213</v>
      </c>
      <c r="AQ446" s="70" t="s">
        <v>2213</v>
      </c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13</v>
      </c>
      <c r="J447" s="147" t="s">
        <v>2024</v>
      </c>
      <c r="K447" s="31">
        <f t="shared" si="21"/>
        <v>15</v>
      </c>
      <c r="L447" s="32">
        <f t="shared" si="22"/>
        <v>0.4642857142857143</v>
      </c>
      <c r="M447" s="70"/>
      <c r="N447" s="70"/>
      <c r="O447" s="70"/>
      <c r="P447" s="70" t="s">
        <v>2213</v>
      </c>
      <c r="Q447" s="70"/>
      <c r="R447" s="70"/>
      <c r="S447" s="70"/>
      <c r="T447" s="70" t="s">
        <v>2213</v>
      </c>
      <c r="U447" s="70"/>
      <c r="V447" s="70"/>
      <c r="W447" s="70" t="s">
        <v>2213</v>
      </c>
      <c r="X447" s="70" t="s">
        <v>2213</v>
      </c>
      <c r="Y447" s="70" t="s">
        <v>2213</v>
      </c>
      <c r="Z447" s="70"/>
      <c r="AA447" s="70" t="s">
        <v>2213</v>
      </c>
      <c r="AB447" s="70" t="s">
        <v>2213</v>
      </c>
      <c r="AC447" s="70" t="s">
        <v>2213</v>
      </c>
      <c r="AD447" s="70" t="s">
        <v>2213</v>
      </c>
      <c r="AE447" s="70" t="s">
        <v>2213</v>
      </c>
      <c r="AF447" s="70"/>
      <c r="AG447" s="70"/>
      <c r="AH447" s="70"/>
      <c r="AI447" s="70"/>
      <c r="AJ447" s="70" t="s">
        <v>2213</v>
      </c>
      <c r="AK447" s="70" t="s">
        <v>2213</v>
      </c>
      <c r="AL447" s="70" t="s">
        <v>2213</v>
      </c>
      <c r="AM447" s="70" t="s">
        <v>2213</v>
      </c>
      <c r="AN447" s="70" t="s">
        <v>2213</v>
      </c>
      <c r="AO447" s="70" t="s">
        <v>2213</v>
      </c>
      <c r="AP447" s="70" t="s">
        <v>2213</v>
      </c>
      <c r="AQ447" s="70" t="s">
        <v>2213</v>
      </c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11</v>
      </c>
      <c r="J448" s="147" t="s">
        <v>2025</v>
      </c>
      <c r="K448" s="31">
        <f t="shared" si="21"/>
        <v>17</v>
      </c>
      <c r="L448" s="32">
        <f t="shared" si="22"/>
        <v>0.39285714285714285</v>
      </c>
      <c r="M448" s="70" t="s">
        <v>2213</v>
      </c>
      <c r="N448" s="70" t="s">
        <v>2213</v>
      </c>
      <c r="O448" s="70" t="s">
        <v>2213</v>
      </c>
      <c r="P448" s="70" t="s">
        <v>2213</v>
      </c>
      <c r="Q448" s="70" t="s">
        <v>2213</v>
      </c>
      <c r="R448" s="70" t="s">
        <v>2213</v>
      </c>
      <c r="S448" s="70" t="s">
        <v>2213</v>
      </c>
      <c r="T448" s="70" t="s">
        <v>2213</v>
      </c>
      <c r="U448" s="70" t="s">
        <v>2213</v>
      </c>
      <c r="V448" s="70" t="s">
        <v>2213</v>
      </c>
      <c r="W448" s="70" t="s">
        <v>2213</v>
      </c>
      <c r="X448" s="70" t="s">
        <v>2213</v>
      </c>
      <c r="Y448" s="70" t="s">
        <v>2213</v>
      </c>
      <c r="Z448" s="70" t="s">
        <v>2213</v>
      </c>
      <c r="AA448" s="70" t="s">
        <v>2213</v>
      </c>
      <c r="AB448" s="70" t="s">
        <v>2213</v>
      </c>
      <c r="AC448" s="70" t="s">
        <v>2213</v>
      </c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 t="s">
        <v>2213</v>
      </c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12</v>
      </c>
      <c r="J449" s="147" t="s">
        <v>2026</v>
      </c>
      <c r="K449" s="31">
        <f t="shared" si="21"/>
        <v>16</v>
      </c>
      <c r="L449" s="32">
        <f t="shared" si="22"/>
        <v>0.42857142857142855</v>
      </c>
      <c r="M449" s="70" t="s">
        <v>2213</v>
      </c>
      <c r="N449" s="70" t="s">
        <v>2213</v>
      </c>
      <c r="O449" s="70" t="s">
        <v>2213</v>
      </c>
      <c r="P449" s="70" t="s">
        <v>2213</v>
      </c>
      <c r="Q449" s="70" t="s">
        <v>2213</v>
      </c>
      <c r="R449" s="70" t="s">
        <v>2213</v>
      </c>
      <c r="S449" s="70" t="s">
        <v>2213</v>
      </c>
      <c r="T449" s="70" t="s">
        <v>2213</v>
      </c>
      <c r="U449" s="70" t="s">
        <v>2213</v>
      </c>
      <c r="V449" s="70" t="s">
        <v>2213</v>
      </c>
      <c r="W449" s="70" t="s">
        <v>2213</v>
      </c>
      <c r="X449" s="70" t="s">
        <v>2213</v>
      </c>
      <c r="Y449" s="70" t="s">
        <v>2213</v>
      </c>
      <c r="Z449" s="70" t="s">
        <v>2213</v>
      </c>
      <c r="AA449" s="70" t="s">
        <v>2213</v>
      </c>
      <c r="AB449" s="70" t="s">
        <v>2213</v>
      </c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23</v>
      </c>
      <c r="J451" s="87"/>
      <c r="K451" s="31">
        <f t="shared" si="21"/>
        <v>5</v>
      </c>
      <c r="L451" s="32">
        <f t="shared" si="22"/>
        <v>0.8214285714285714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 t="s">
        <v>2213</v>
      </c>
      <c r="AF451" s="70" t="s">
        <v>2213</v>
      </c>
      <c r="AG451" s="70" t="s">
        <v>2213</v>
      </c>
      <c r="AH451" s="70" t="s">
        <v>2213</v>
      </c>
      <c r="AI451" s="70" t="s">
        <v>2213</v>
      </c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23</v>
      </c>
      <c r="J452" s="87"/>
      <c r="K452" s="31">
        <f t="shared" si="21"/>
        <v>5</v>
      </c>
      <c r="L452" s="32">
        <f t="shared" si="22"/>
        <v>0.8214285714285714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 t="s">
        <v>2213</v>
      </c>
      <c r="AF452" s="70" t="s">
        <v>2213</v>
      </c>
      <c r="AG452" s="70" t="s">
        <v>2213</v>
      </c>
      <c r="AH452" s="70" t="s">
        <v>2213</v>
      </c>
      <c r="AI452" s="70" t="s">
        <v>2213</v>
      </c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0</v>
      </c>
      <c r="J456" s="147" t="s">
        <v>2027</v>
      </c>
      <c r="K456" s="142">
        <f t="shared" si="21"/>
        <v>28</v>
      </c>
      <c r="L456" s="143">
        <f t="shared" si="22"/>
        <v>0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 t="s">
        <v>2213</v>
      </c>
      <c r="V456" s="70" t="s">
        <v>2213</v>
      </c>
      <c r="W456" s="70" t="s">
        <v>2213</v>
      </c>
      <c r="X456" s="70" t="s">
        <v>2213</v>
      </c>
      <c r="Y456" s="70" t="s">
        <v>2213</v>
      </c>
      <c r="Z456" s="70" t="s">
        <v>2213</v>
      </c>
      <c r="AA456" s="70" t="s">
        <v>2213</v>
      </c>
      <c r="AB456" s="70" t="s">
        <v>2213</v>
      </c>
      <c r="AC456" s="70" t="s">
        <v>2213</v>
      </c>
      <c r="AD456" s="70" t="s">
        <v>2213</v>
      </c>
      <c r="AE456" s="70" t="s">
        <v>2213</v>
      </c>
      <c r="AF456" s="70" t="s">
        <v>2213</v>
      </c>
      <c r="AG456" s="70" t="s">
        <v>2213</v>
      </c>
      <c r="AH456" s="70" t="s">
        <v>2213</v>
      </c>
      <c r="AI456" s="70" t="s">
        <v>2213</v>
      </c>
      <c r="AJ456" s="70" t="s">
        <v>2213</v>
      </c>
      <c r="AK456" s="70" t="s">
        <v>2213</v>
      </c>
      <c r="AL456" s="70" t="s">
        <v>2213</v>
      </c>
      <c r="AM456" s="70" t="s">
        <v>2213</v>
      </c>
      <c r="AN456" s="70" t="s">
        <v>2213</v>
      </c>
      <c r="AO456" s="70" t="s">
        <v>2213</v>
      </c>
      <c r="AP456" s="89" t="s">
        <v>2213</v>
      </c>
      <c r="AQ456" s="89" t="s">
        <v>2213</v>
      </c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0</v>
      </c>
      <c r="J457" s="147" t="s">
        <v>2028</v>
      </c>
      <c r="K457" s="142">
        <f t="shared" si="21"/>
        <v>28</v>
      </c>
      <c r="L457" s="143">
        <f t="shared" si="22"/>
        <v>0</v>
      </c>
      <c r="M457" s="70" t="s">
        <v>2213</v>
      </c>
      <c r="N457" s="70" t="s">
        <v>2213</v>
      </c>
      <c r="O457" s="70" t="s">
        <v>2213</v>
      </c>
      <c r="P457" s="70" t="s">
        <v>2213</v>
      </c>
      <c r="Q457" s="70" t="s">
        <v>2213</v>
      </c>
      <c r="R457" s="70" t="s">
        <v>2213</v>
      </c>
      <c r="S457" s="70" t="s">
        <v>2213</v>
      </c>
      <c r="T457" s="70" t="s">
        <v>2213</v>
      </c>
      <c r="U457" s="70" t="s">
        <v>2213</v>
      </c>
      <c r="V457" s="70" t="s">
        <v>2213</v>
      </c>
      <c r="W457" s="70" t="s">
        <v>2213</v>
      </c>
      <c r="X457" s="70" t="s">
        <v>2213</v>
      </c>
      <c r="Y457" s="70" t="s">
        <v>2213</v>
      </c>
      <c r="Z457" s="70" t="s">
        <v>2213</v>
      </c>
      <c r="AA457" s="70" t="s">
        <v>2213</v>
      </c>
      <c r="AB457" s="70" t="s">
        <v>2213</v>
      </c>
      <c r="AC457" s="70" t="s">
        <v>2213</v>
      </c>
      <c r="AD457" s="70" t="s">
        <v>2213</v>
      </c>
      <c r="AE457" s="70" t="s">
        <v>2213</v>
      </c>
      <c r="AF457" s="70" t="s">
        <v>2213</v>
      </c>
      <c r="AG457" s="70" t="s">
        <v>2213</v>
      </c>
      <c r="AH457" s="70" t="s">
        <v>2213</v>
      </c>
      <c r="AI457" s="70" t="s">
        <v>2213</v>
      </c>
      <c r="AJ457" s="70" t="s">
        <v>2213</v>
      </c>
      <c r="AK457" s="70" t="s">
        <v>2213</v>
      </c>
      <c r="AL457" s="70" t="s">
        <v>2213</v>
      </c>
      <c r="AM457" s="70" t="s">
        <v>2213</v>
      </c>
      <c r="AN457" s="70" t="s">
        <v>2213</v>
      </c>
      <c r="AO457" s="70" t="s">
        <v>2213</v>
      </c>
      <c r="AP457" s="89" t="s">
        <v>2213</v>
      </c>
      <c r="AQ457" s="89" t="s">
        <v>2213</v>
      </c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1</v>
      </c>
      <c r="J458" s="87"/>
      <c r="K458" s="142">
        <f t="shared" si="21"/>
        <v>27</v>
      </c>
      <c r="L458" s="143">
        <f t="shared" si="22"/>
        <v>3.5714285714285712E-2</v>
      </c>
      <c r="M458" s="70" t="s">
        <v>2213</v>
      </c>
      <c r="N458" s="70" t="s">
        <v>2213</v>
      </c>
      <c r="O458" s="70" t="s">
        <v>2213</v>
      </c>
      <c r="P458" s="70" t="s">
        <v>2213</v>
      </c>
      <c r="Q458" s="70" t="s">
        <v>2213</v>
      </c>
      <c r="R458" s="70" t="s">
        <v>2213</v>
      </c>
      <c r="S458" s="70" t="s">
        <v>2213</v>
      </c>
      <c r="T458" s="70" t="s">
        <v>2213</v>
      </c>
      <c r="U458" s="70" t="s">
        <v>2213</v>
      </c>
      <c r="V458" s="70" t="s">
        <v>2213</v>
      </c>
      <c r="W458" s="70" t="s">
        <v>2213</v>
      </c>
      <c r="X458" s="70" t="s">
        <v>2213</v>
      </c>
      <c r="Y458" s="70" t="s">
        <v>2213</v>
      </c>
      <c r="Z458" s="70" t="s">
        <v>2213</v>
      </c>
      <c r="AA458" s="70" t="s">
        <v>2213</v>
      </c>
      <c r="AB458" s="70" t="s">
        <v>2213</v>
      </c>
      <c r="AC458" s="70" t="s">
        <v>2213</v>
      </c>
      <c r="AD458" s="70" t="s">
        <v>2213</v>
      </c>
      <c r="AE458" s="70" t="s">
        <v>2213</v>
      </c>
      <c r="AF458" s="70" t="s">
        <v>2213</v>
      </c>
      <c r="AG458" s="70" t="s">
        <v>2213</v>
      </c>
      <c r="AH458" s="70" t="s">
        <v>2213</v>
      </c>
      <c r="AI458" s="70" t="s">
        <v>2213</v>
      </c>
      <c r="AJ458" s="70" t="s">
        <v>2213</v>
      </c>
      <c r="AK458" s="70" t="s">
        <v>2213</v>
      </c>
      <c r="AL458" s="70" t="s">
        <v>2213</v>
      </c>
      <c r="AM458" s="70" t="s">
        <v>2213</v>
      </c>
      <c r="AN458" s="70"/>
      <c r="AO458" s="70" t="s">
        <v>2213</v>
      </c>
      <c r="AP458" s="89" t="s">
        <v>2213</v>
      </c>
      <c r="AQ458" s="89" t="s">
        <v>2213</v>
      </c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28</v>
      </c>
      <c r="J459" s="153" t="s">
        <v>2146</v>
      </c>
      <c r="K459" s="142">
        <f t="shared" si="21"/>
        <v>0</v>
      </c>
      <c r="L459" s="143">
        <f t="shared" si="22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.75" thickBot="1" x14ac:dyDescent="0.3">
      <c r="B460" s="85" t="s">
        <v>2288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21</v>
      </c>
      <c r="J460" s="153"/>
      <c r="K460" s="142">
        <f t="shared" si="21"/>
        <v>7</v>
      </c>
      <c r="L460" s="143">
        <f t="shared" si="22"/>
        <v>0.75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 t="s">
        <v>2213</v>
      </c>
      <c r="AI460" s="70" t="s">
        <v>2213</v>
      </c>
      <c r="AJ460" s="70" t="s">
        <v>2213</v>
      </c>
      <c r="AK460" s="70" t="s">
        <v>2213</v>
      </c>
      <c r="AL460" s="70" t="s">
        <v>2213</v>
      </c>
      <c r="AM460" s="70" t="s">
        <v>2213</v>
      </c>
      <c r="AN460" s="70" t="s">
        <v>2213</v>
      </c>
      <c r="AO460" s="70" t="s">
        <v>2213</v>
      </c>
      <c r="AP460" s="89" t="s">
        <v>2213</v>
      </c>
      <c r="AQ460" s="89" t="s">
        <v>2213</v>
      </c>
    </row>
    <row r="461" spans="1:43" ht="15.75" thickBot="1" x14ac:dyDescent="0.3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24</v>
      </c>
      <c r="J461" s="147" t="s">
        <v>2029</v>
      </c>
      <c r="K461" s="31">
        <f t="shared" si="21"/>
        <v>4</v>
      </c>
      <c r="L461" s="32">
        <f t="shared" si="22"/>
        <v>0.8571428571428571</v>
      </c>
      <c r="M461" s="70" t="s">
        <v>2213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 t="s">
        <v>2213</v>
      </c>
      <c r="AD461" s="70" t="s">
        <v>2213</v>
      </c>
      <c r="AE461" s="70"/>
      <c r="AF461" s="70" t="s">
        <v>2213</v>
      </c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26</v>
      </c>
      <c r="J462" s="147" t="s">
        <v>2030</v>
      </c>
      <c r="K462" s="31">
        <f t="shared" si="21"/>
        <v>2</v>
      </c>
      <c r="L462" s="32">
        <f t="shared" si="22"/>
        <v>0.9285714285714286</v>
      </c>
      <c r="M462" s="70" t="s">
        <v>2213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 t="s">
        <v>2213</v>
      </c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 t="s">
        <v>2213</v>
      </c>
      <c r="AQ466" s="70"/>
    </row>
    <row r="467" spans="1:43" s="73" customFormat="1" ht="15.75" thickBot="1" x14ac:dyDescent="0.3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 t="s">
        <v>2213</v>
      </c>
      <c r="AQ467" s="89"/>
    </row>
    <row r="468" spans="1:43" s="73" customFormat="1" ht="15.75" thickBot="1" x14ac:dyDescent="0.3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.75" thickBot="1" x14ac:dyDescent="0.3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 t="s">
        <v>2213</v>
      </c>
      <c r="AQ469" s="70"/>
    </row>
    <row r="470" spans="1:43" s="73" customFormat="1" ht="15.75" thickBot="1" x14ac:dyDescent="0.3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.75" thickBot="1" x14ac:dyDescent="0.3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.75" thickBot="1" x14ac:dyDescent="0.3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.75" thickBot="1" x14ac:dyDescent="0.3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.75" thickBot="1" x14ac:dyDescent="0.3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17</v>
      </c>
      <c r="J481" s="87"/>
      <c r="K481" s="31">
        <f t="shared" si="24"/>
        <v>11</v>
      </c>
      <c r="L481" s="32">
        <f t="shared" si="25"/>
        <v>0.6071428571428571</v>
      </c>
      <c r="M481" s="70" t="s">
        <v>2213</v>
      </c>
      <c r="N481" s="70" t="s">
        <v>2213</v>
      </c>
      <c r="O481" s="70" t="s">
        <v>2213</v>
      </c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 t="s">
        <v>2213</v>
      </c>
      <c r="V481" s="70" t="s">
        <v>2213</v>
      </c>
      <c r="W481" s="70"/>
      <c r="X481" s="70"/>
      <c r="Y481" s="70"/>
      <c r="Z481" s="70"/>
      <c r="AA481" s="70" t="s">
        <v>2213</v>
      </c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21</v>
      </c>
      <c r="J482" s="87"/>
      <c r="K482" s="31">
        <f t="shared" si="24"/>
        <v>7</v>
      </c>
      <c r="L482" s="32">
        <f t="shared" si="25"/>
        <v>0.75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 t="s">
        <v>2213</v>
      </c>
      <c r="V482" s="70"/>
      <c r="W482" s="70"/>
      <c r="X482" s="70"/>
      <c r="Y482" s="70"/>
      <c r="Z482" s="70"/>
      <c r="AA482" s="70" t="s">
        <v>2213</v>
      </c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21</v>
      </c>
      <c r="J483" s="87"/>
      <c r="K483" s="31">
        <f t="shared" si="24"/>
        <v>7</v>
      </c>
      <c r="L483" s="32">
        <f t="shared" si="25"/>
        <v>0.75</v>
      </c>
      <c r="M483" s="70"/>
      <c r="N483" s="70"/>
      <c r="O483" s="70"/>
      <c r="P483" s="70" t="s">
        <v>2213</v>
      </c>
      <c r="Q483" s="70" t="s">
        <v>2213</v>
      </c>
      <c r="R483" s="70" t="s">
        <v>2213</v>
      </c>
      <c r="S483" s="70" t="s">
        <v>2213</v>
      </c>
      <c r="T483" s="70" t="s">
        <v>2213</v>
      </c>
      <c r="U483" s="70" t="s">
        <v>2213</v>
      </c>
      <c r="V483" s="70"/>
      <c r="W483" s="70"/>
      <c r="X483" s="70"/>
      <c r="Y483" s="70"/>
      <c r="Z483" s="70"/>
      <c r="AA483" s="70" t="s">
        <v>2213</v>
      </c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21</v>
      </c>
      <c r="J484" s="87"/>
      <c r="K484" s="31">
        <f t="shared" si="24"/>
        <v>7</v>
      </c>
      <c r="L484" s="32">
        <f t="shared" si="25"/>
        <v>0.75</v>
      </c>
      <c r="M484" s="70"/>
      <c r="N484" s="70"/>
      <c r="O484" s="70"/>
      <c r="P484" s="70" t="s">
        <v>2213</v>
      </c>
      <c r="Q484" s="70" t="s">
        <v>2213</v>
      </c>
      <c r="R484" s="70" t="s">
        <v>2213</v>
      </c>
      <c r="S484" s="70" t="s">
        <v>2213</v>
      </c>
      <c r="T484" s="70" t="s">
        <v>2213</v>
      </c>
      <c r="U484" s="70" t="s">
        <v>2213</v>
      </c>
      <c r="V484" s="70"/>
      <c r="W484" s="70"/>
      <c r="X484" s="70"/>
      <c r="Y484" s="70"/>
      <c r="Z484" s="70"/>
      <c r="AA484" s="70" t="s">
        <v>2213</v>
      </c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21</v>
      </c>
      <c r="J485" s="87"/>
      <c r="K485" s="31">
        <f t="shared" si="24"/>
        <v>7</v>
      </c>
      <c r="L485" s="32">
        <f t="shared" si="25"/>
        <v>0.75</v>
      </c>
      <c r="M485" s="70"/>
      <c r="N485" s="70"/>
      <c r="O485" s="70"/>
      <c r="P485" s="70" t="s">
        <v>2213</v>
      </c>
      <c r="Q485" s="70" t="s">
        <v>2213</v>
      </c>
      <c r="R485" s="70" t="s">
        <v>2213</v>
      </c>
      <c r="S485" s="70" t="s">
        <v>2213</v>
      </c>
      <c r="T485" s="70" t="s">
        <v>2213</v>
      </c>
      <c r="U485" s="70" t="s">
        <v>2213</v>
      </c>
      <c r="V485" s="70"/>
      <c r="W485" s="70"/>
      <c r="X485" s="70"/>
      <c r="Y485" s="70"/>
      <c r="Z485" s="70"/>
      <c r="AA485" s="70" t="s">
        <v>2213</v>
      </c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27</v>
      </c>
      <c r="J486" s="147" t="s">
        <v>2045</v>
      </c>
      <c r="K486" s="31">
        <f t="shared" si="24"/>
        <v>1</v>
      </c>
      <c r="L486" s="32">
        <f t="shared" si="25"/>
        <v>0.9642857142857143</v>
      </c>
      <c r="M486" s="70" t="s">
        <v>2213</v>
      </c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26</v>
      </c>
      <c r="J491" s="147" t="s">
        <v>2050</v>
      </c>
      <c r="K491" s="31">
        <f t="shared" si="24"/>
        <v>2</v>
      </c>
      <c r="L491" s="32">
        <f t="shared" si="25"/>
        <v>0.9285714285714286</v>
      </c>
      <c r="M491" s="70" t="s">
        <v>2213</v>
      </c>
      <c r="N491" s="70" t="s">
        <v>2213</v>
      </c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27</v>
      </c>
      <c r="J493" s="147" t="s">
        <v>2052</v>
      </c>
      <c r="K493" s="31">
        <f t="shared" si="24"/>
        <v>1</v>
      </c>
      <c r="L493" s="32">
        <f t="shared" si="25"/>
        <v>0.9642857142857143</v>
      </c>
      <c r="M493" s="70" t="s">
        <v>2213</v>
      </c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526</v>
      </c>
      <c r="C494" t="s">
        <v>1063</v>
      </c>
      <c r="D494" t="s">
        <v>2257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27</v>
      </c>
      <c r="J494" s="147" t="s">
        <v>2053</v>
      </c>
      <c r="K494" s="31">
        <f t="shared" si="24"/>
        <v>1</v>
      </c>
      <c r="L494" s="32">
        <f t="shared" si="25"/>
        <v>0.9642857142857143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 t="s">
        <v>2213</v>
      </c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21</v>
      </c>
      <c r="J496" s="147" t="s">
        <v>2055</v>
      </c>
      <c r="K496" s="31">
        <f t="shared" si="24"/>
        <v>7</v>
      </c>
      <c r="L496" s="32">
        <f t="shared" si="25"/>
        <v>0.75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 t="s">
        <v>2213</v>
      </c>
      <c r="X496" s="70" t="s">
        <v>2213</v>
      </c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 t="s">
        <v>2213</v>
      </c>
      <c r="AK496" s="70" t="s">
        <v>2213</v>
      </c>
      <c r="AL496" s="70" t="s">
        <v>2213</v>
      </c>
      <c r="AM496" s="70" t="s">
        <v>2213</v>
      </c>
      <c r="AN496" s="70" t="s">
        <v>2213</v>
      </c>
      <c r="AO496" s="70"/>
      <c r="AP496" s="70" t="s">
        <v>2213</v>
      </c>
      <c r="AQ496" s="70" t="s">
        <v>2213</v>
      </c>
    </row>
    <row r="497" spans="1:43" ht="15.75" thickBot="1" x14ac:dyDescent="0.3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.75" thickBot="1" x14ac:dyDescent="0.3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.75" thickBot="1" x14ac:dyDescent="0.3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27</v>
      </c>
      <c r="J502" s="147" t="s">
        <v>2061</v>
      </c>
      <c r="K502" s="31">
        <f t="shared" si="24"/>
        <v>1</v>
      </c>
      <c r="L502" s="32">
        <f t="shared" si="25"/>
        <v>0.9642857142857143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 t="s">
        <v>2213</v>
      </c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21</v>
      </c>
      <c r="J503" s="147" t="s">
        <v>2062</v>
      </c>
      <c r="K503" s="31">
        <f t="shared" si="24"/>
        <v>7</v>
      </c>
      <c r="L503" s="32">
        <f t="shared" si="25"/>
        <v>0.75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 t="s">
        <v>2213</v>
      </c>
      <c r="X503" s="70" t="s">
        <v>2213</v>
      </c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 t="s">
        <v>2213</v>
      </c>
      <c r="AK503" s="70" t="s">
        <v>2213</v>
      </c>
      <c r="AL503" s="70" t="s">
        <v>2213</v>
      </c>
      <c r="AM503" s="70" t="s">
        <v>2213</v>
      </c>
      <c r="AN503" s="70" t="s">
        <v>2213</v>
      </c>
      <c r="AO503" s="70"/>
      <c r="AP503" s="70" t="s">
        <v>2213</v>
      </c>
      <c r="AQ503" s="70" t="s">
        <v>2213</v>
      </c>
    </row>
    <row r="504" spans="1:43" ht="15.75" thickBot="1" x14ac:dyDescent="0.3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17</v>
      </c>
      <c r="J505" s="147" t="s">
        <v>2064</v>
      </c>
      <c r="K505" s="31">
        <f t="shared" si="24"/>
        <v>11</v>
      </c>
      <c r="L505" s="32">
        <f t="shared" si="25"/>
        <v>0.6071428571428571</v>
      </c>
      <c r="M505" s="70" t="s">
        <v>2213</v>
      </c>
      <c r="N505" s="70" t="s">
        <v>2213</v>
      </c>
      <c r="O505" s="70" t="s">
        <v>2213</v>
      </c>
      <c r="P505" s="70" t="s">
        <v>2213</v>
      </c>
      <c r="Q505" s="70" t="s">
        <v>2213</v>
      </c>
      <c r="R505" s="70" t="s">
        <v>2213</v>
      </c>
      <c r="S505" s="70" t="s">
        <v>2213</v>
      </c>
      <c r="T505" s="70" t="s">
        <v>2213</v>
      </c>
      <c r="U505" s="70" t="s">
        <v>2213</v>
      </c>
      <c r="V505" s="70" t="s">
        <v>2213</v>
      </c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 t="s">
        <v>2213</v>
      </c>
      <c r="AN505" s="70"/>
      <c r="AO505" s="70" t="s">
        <v>2213</v>
      </c>
      <c r="AP505" s="70"/>
      <c r="AQ505" s="70"/>
    </row>
    <row r="506" spans="1:43" ht="15.75" thickBot="1" x14ac:dyDescent="0.3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26</v>
      </c>
      <c r="J506" s="147" t="s">
        <v>2065</v>
      </c>
      <c r="K506" s="31">
        <f t="shared" si="24"/>
        <v>2</v>
      </c>
      <c r="L506" s="32">
        <f t="shared" si="25"/>
        <v>0.9285714285714286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 t="s">
        <v>2213</v>
      </c>
      <c r="AE506" s="70" t="s">
        <v>2213</v>
      </c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21</v>
      </c>
      <c r="J508" s="147" t="s">
        <v>2067</v>
      </c>
      <c r="K508" s="31">
        <f t="shared" si="24"/>
        <v>7</v>
      </c>
      <c r="L508" s="32">
        <f t="shared" si="25"/>
        <v>0.75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 t="s">
        <v>2213</v>
      </c>
      <c r="X508" s="70" t="s">
        <v>2213</v>
      </c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 t="s">
        <v>2213</v>
      </c>
      <c r="AK508" s="70" t="s">
        <v>2213</v>
      </c>
      <c r="AL508" s="70" t="s">
        <v>2213</v>
      </c>
      <c r="AM508" s="70" t="s">
        <v>2213</v>
      </c>
      <c r="AN508" s="70" t="s">
        <v>2213</v>
      </c>
      <c r="AO508" s="70"/>
      <c r="AP508" s="70" t="s">
        <v>2213</v>
      </c>
      <c r="AQ508" s="70" t="s">
        <v>2213</v>
      </c>
    </row>
    <row r="509" spans="1:43" ht="15.75" thickBot="1" x14ac:dyDescent="0.3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27</v>
      </c>
      <c r="J509" s="147" t="s">
        <v>2068</v>
      </c>
      <c r="K509" s="31">
        <f t="shared" si="24"/>
        <v>1</v>
      </c>
      <c r="L509" s="32">
        <f t="shared" si="25"/>
        <v>0.9642857142857143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 t="s">
        <v>2213</v>
      </c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0</v>
      </c>
      <c r="J510" s="147" t="s">
        <v>2069</v>
      </c>
      <c r="K510" s="31">
        <f t="shared" si="24"/>
        <v>28</v>
      </c>
      <c r="L510" s="32">
        <f t="shared" si="25"/>
        <v>0</v>
      </c>
      <c r="M510" s="70" t="s">
        <v>2213</v>
      </c>
      <c r="N510" s="70" t="s">
        <v>2213</v>
      </c>
      <c r="O510" s="70" t="s">
        <v>2213</v>
      </c>
      <c r="P510" s="70" t="s">
        <v>2213</v>
      </c>
      <c r="Q510" s="70" t="s">
        <v>2213</v>
      </c>
      <c r="R510" s="70" t="s">
        <v>2213</v>
      </c>
      <c r="S510" s="70" t="s">
        <v>2213</v>
      </c>
      <c r="T510" s="70" t="s">
        <v>2213</v>
      </c>
      <c r="U510" s="70" t="s">
        <v>2213</v>
      </c>
      <c r="V510" s="70" t="s">
        <v>2213</v>
      </c>
      <c r="W510" s="70" t="s">
        <v>2213</v>
      </c>
      <c r="X510" s="70" t="s">
        <v>2213</v>
      </c>
      <c r="Y510" s="70" t="s">
        <v>2213</v>
      </c>
      <c r="Z510" s="70" t="s">
        <v>2213</v>
      </c>
      <c r="AA510" s="70" t="s">
        <v>2213</v>
      </c>
      <c r="AB510" s="70" t="s">
        <v>2213</v>
      </c>
      <c r="AC510" s="70" t="s">
        <v>2213</v>
      </c>
      <c r="AD510" s="70" t="s">
        <v>2213</v>
      </c>
      <c r="AE510" s="70" t="s">
        <v>2213</v>
      </c>
      <c r="AF510" s="70" t="s">
        <v>2213</v>
      </c>
      <c r="AG510" s="70" t="s">
        <v>2213</v>
      </c>
      <c r="AH510" s="70" t="s">
        <v>2213</v>
      </c>
      <c r="AI510" s="70" t="s">
        <v>2213</v>
      </c>
      <c r="AJ510" s="70" t="s">
        <v>2213</v>
      </c>
      <c r="AK510" s="70" t="s">
        <v>2213</v>
      </c>
      <c r="AL510" s="70" t="s">
        <v>2213</v>
      </c>
      <c r="AM510" s="70" t="s">
        <v>2213</v>
      </c>
      <c r="AN510" s="70" t="s">
        <v>2213</v>
      </c>
      <c r="AO510" s="70" t="s">
        <v>2213</v>
      </c>
      <c r="AP510" s="70" t="s">
        <v>2213</v>
      </c>
      <c r="AQ510" s="70" t="s">
        <v>2213</v>
      </c>
    </row>
    <row r="511" spans="1:43" ht="15.75" thickBot="1" x14ac:dyDescent="0.3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21</v>
      </c>
      <c r="J511" s="147" t="s">
        <v>2070</v>
      </c>
      <c r="K511" s="31">
        <f t="shared" si="24"/>
        <v>7</v>
      </c>
      <c r="L511" s="32">
        <f t="shared" si="25"/>
        <v>0.75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 t="s">
        <v>2213</v>
      </c>
      <c r="X511" s="70" t="s">
        <v>2213</v>
      </c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 t="s">
        <v>2213</v>
      </c>
      <c r="AK511" s="70" t="s">
        <v>2213</v>
      </c>
      <c r="AL511" s="70" t="s">
        <v>2213</v>
      </c>
      <c r="AM511" s="70" t="s">
        <v>2213</v>
      </c>
      <c r="AN511" s="70" t="s">
        <v>2213</v>
      </c>
      <c r="AO511" s="70"/>
      <c r="AP511" s="70" t="s">
        <v>2213</v>
      </c>
      <c r="AQ511" s="70" t="s">
        <v>2213</v>
      </c>
    </row>
    <row r="512" spans="1:43" ht="15.75" thickBot="1" x14ac:dyDescent="0.3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21</v>
      </c>
      <c r="J514" s="147" t="s">
        <v>2072</v>
      </c>
      <c r="K514" s="31">
        <f t="shared" si="24"/>
        <v>7</v>
      </c>
      <c r="L514" s="32">
        <f t="shared" si="25"/>
        <v>0.75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 t="s">
        <v>2213</v>
      </c>
      <c r="X514" s="70" t="s">
        <v>2213</v>
      </c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 t="s">
        <v>2213</v>
      </c>
      <c r="AK514" s="70" t="s">
        <v>2213</v>
      </c>
      <c r="AL514" s="70" t="s">
        <v>2213</v>
      </c>
      <c r="AM514" s="70" t="s">
        <v>2213</v>
      </c>
      <c r="AN514" s="70" t="s">
        <v>2213</v>
      </c>
      <c r="AO514" s="70"/>
      <c r="AP514" s="70" t="s">
        <v>2213</v>
      </c>
      <c r="AQ514" s="70" t="s">
        <v>2213</v>
      </c>
    </row>
    <row r="515" spans="1:43" ht="15.75" thickBot="1" x14ac:dyDescent="0.3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21</v>
      </c>
      <c r="J515" s="147" t="s">
        <v>2073</v>
      </c>
      <c r="K515" s="31">
        <f t="shared" si="24"/>
        <v>7</v>
      </c>
      <c r="L515" s="32">
        <f t="shared" si="25"/>
        <v>0.75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 t="s">
        <v>2213</v>
      </c>
      <c r="X515" s="70" t="s">
        <v>2213</v>
      </c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 t="s">
        <v>2213</v>
      </c>
      <c r="AK515" s="70" t="s">
        <v>2213</v>
      </c>
      <c r="AL515" s="70" t="s">
        <v>2213</v>
      </c>
      <c r="AM515" s="70" t="s">
        <v>2213</v>
      </c>
      <c r="AN515" s="70" t="s">
        <v>2213</v>
      </c>
      <c r="AO515" s="70"/>
      <c r="AP515" s="70" t="s">
        <v>2213</v>
      </c>
      <c r="AQ515" s="70" t="s">
        <v>2213</v>
      </c>
    </row>
    <row r="516" spans="1:43" ht="15.75" thickBot="1" x14ac:dyDescent="0.3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27</v>
      </c>
      <c r="J518" s="147" t="s">
        <v>2076</v>
      </c>
      <c r="K518" s="31">
        <f t="shared" si="24"/>
        <v>1</v>
      </c>
      <c r="L518" s="32">
        <f t="shared" si="25"/>
        <v>0.9642857142857143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 t="s">
        <v>2213</v>
      </c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27</v>
      </c>
      <c r="J519" s="147" t="s">
        <v>2077</v>
      </c>
      <c r="K519" s="31">
        <f t="shared" si="24"/>
        <v>1</v>
      </c>
      <c r="L519" s="32">
        <f t="shared" si="25"/>
        <v>0.9642857142857143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 t="s">
        <v>2213</v>
      </c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.75" thickBot="1" x14ac:dyDescent="0.3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3</v>
      </c>
      <c r="J520" s="147" t="s">
        <v>2078</v>
      </c>
      <c r="K520" s="142">
        <f t="shared" si="24"/>
        <v>25</v>
      </c>
      <c r="L520" s="143">
        <f t="shared" si="25"/>
        <v>0.10714285714285714</v>
      </c>
      <c r="M520" s="70" t="s">
        <v>2213</v>
      </c>
      <c r="N520" s="70" t="s">
        <v>2213</v>
      </c>
      <c r="O520" s="70" t="s">
        <v>2213</v>
      </c>
      <c r="P520" s="70" t="s">
        <v>2213</v>
      </c>
      <c r="Q520" s="70" t="s">
        <v>2213</v>
      </c>
      <c r="R520" s="70" t="s">
        <v>2213</v>
      </c>
      <c r="S520" s="70" t="s">
        <v>2213</v>
      </c>
      <c r="T520" s="70" t="s">
        <v>2213</v>
      </c>
      <c r="U520" s="70" t="s">
        <v>2213</v>
      </c>
      <c r="V520" s="70" t="s">
        <v>2213</v>
      </c>
      <c r="W520" s="70" t="s">
        <v>2213</v>
      </c>
      <c r="X520" s="70" t="s">
        <v>2213</v>
      </c>
      <c r="Y520" s="70" t="s">
        <v>2213</v>
      </c>
      <c r="Z520" s="70" t="s">
        <v>2213</v>
      </c>
      <c r="AA520" s="70" t="s">
        <v>2213</v>
      </c>
      <c r="AB520" s="70" t="s">
        <v>2213</v>
      </c>
      <c r="AC520" s="70" t="s">
        <v>2213</v>
      </c>
      <c r="AD520" s="70" t="s">
        <v>2213</v>
      </c>
      <c r="AE520" s="70" t="s">
        <v>2213</v>
      </c>
      <c r="AF520" s="70"/>
      <c r="AG520" s="70"/>
      <c r="AH520" s="70"/>
      <c r="AI520" s="70" t="s">
        <v>2213</v>
      </c>
      <c r="AJ520" s="70" t="s">
        <v>2213</v>
      </c>
      <c r="AK520" s="70" t="s">
        <v>2213</v>
      </c>
      <c r="AL520" s="70" t="s">
        <v>2213</v>
      </c>
      <c r="AM520" s="70" t="s">
        <v>2213</v>
      </c>
      <c r="AN520" s="70" t="s">
        <v>2213</v>
      </c>
      <c r="AO520" s="70" t="s">
        <v>2213</v>
      </c>
      <c r="AP520" s="89" t="s">
        <v>2213</v>
      </c>
      <c r="AQ520" s="89" t="s">
        <v>2213</v>
      </c>
    </row>
    <row r="521" spans="1:43" ht="15.75" thickBot="1" x14ac:dyDescent="0.3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27</v>
      </c>
      <c r="J521" s="147" t="s">
        <v>2079</v>
      </c>
      <c r="K521" s="142">
        <f t="shared" si="24"/>
        <v>1</v>
      </c>
      <c r="L521" s="143">
        <f t="shared" si="25"/>
        <v>0.9642857142857143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 t="s">
        <v>2213</v>
      </c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26</v>
      </c>
      <c r="J523" s="147" t="s">
        <v>2081</v>
      </c>
      <c r="K523" s="142">
        <f t="shared" si="24"/>
        <v>2</v>
      </c>
      <c r="L523" s="143">
        <f t="shared" si="25"/>
        <v>0.9285714285714286</v>
      </c>
      <c r="M523" s="70"/>
      <c r="N523" s="70"/>
      <c r="O523" s="70"/>
      <c r="P523" s="70" t="s">
        <v>2213</v>
      </c>
      <c r="Q523" s="70" t="s">
        <v>2213</v>
      </c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 t="s">
        <v>2213</v>
      </c>
    </row>
    <row r="524" spans="1:43" s="73" customFormat="1" ht="15.75" thickBot="1" x14ac:dyDescent="0.3">
      <c r="A524" s="73" t="s">
        <v>518</v>
      </c>
      <c r="B524" s="85" t="s">
        <v>2227</v>
      </c>
      <c r="C524" s="85" t="s">
        <v>1063</v>
      </c>
      <c r="D524" s="73" t="s">
        <v>2228</v>
      </c>
      <c r="E524" s="30" t="s">
        <v>73</v>
      </c>
      <c r="F524" s="85" t="s">
        <v>1301</v>
      </c>
      <c r="G524" s="85"/>
      <c r="H524" s="85" t="s">
        <v>2229</v>
      </c>
      <c r="I524" s="142">
        <f t="shared" si="23"/>
        <v>28</v>
      </c>
      <c r="J524" s="147" t="s">
        <v>2230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.75" thickBot="1" x14ac:dyDescent="0.3">
      <c r="A525" s="73" t="s">
        <v>518</v>
      </c>
      <c r="B525" s="85" t="s">
        <v>2231</v>
      </c>
      <c r="C525" s="85" t="s">
        <v>1063</v>
      </c>
      <c r="D525" s="73" t="s">
        <v>2232</v>
      </c>
      <c r="E525" s="85" t="s">
        <v>15</v>
      </c>
      <c r="F525" s="85" t="s">
        <v>1301</v>
      </c>
      <c r="G525" s="85"/>
      <c r="H525" s="85" t="s">
        <v>2233</v>
      </c>
      <c r="I525" s="142">
        <f t="shared" si="23"/>
        <v>11</v>
      </c>
      <c r="J525" s="147" t="s">
        <v>2234</v>
      </c>
      <c r="K525" s="142">
        <f t="shared" si="24"/>
        <v>17</v>
      </c>
      <c r="L525" s="143">
        <f t="shared" si="25"/>
        <v>0.39285714285714285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 t="s">
        <v>2213</v>
      </c>
      <c r="X525" s="70" t="s">
        <v>2213</v>
      </c>
      <c r="Y525" s="70" t="s">
        <v>2213</v>
      </c>
      <c r="Z525" s="70" t="s">
        <v>2213</v>
      </c>
      <c r="AA525" s="70" t="s">
        <v>2213</v>
      </c>
      <c r="AB525" s="70" t="s">
        <v>2213</v>
      </c>
      <c r="AC525" s="70" t="s">
        <v>2213</v>
      </c>
      <c r="AD525" s="70" t="s">
        <v>2213</v>
      </c>
      <c r="AE525" s="70" t="s">
        <v>2213</v>
      </c>
      <c r="AF525" s="70" t="s">
        <v>2213</v>
      </c>
      <c r="AG525" s="70" t="s">
        <v>2213</v>
      </c>
      <c r="AH525" s="70" t="s">
        <v>2213</v>
      </c>
      <c r="AI525" s="70" t="s">
        <v>2213</v>
      </c>
      <c r="AJ525" s="70" t="s">
        <v>2213</v>
      </c>
      <c r="AK525" s="70" t="s">
        <v>2213</v>
      </c>
      <c r="AL525" s="70" t="s">
        <v>2213</v>
      </c>
      <c r="AM525" s="70"/>
      <c r="AN525" s="70" t="s">
        <v>2213</v>
      </c>
      <c r="AO525" s="70" t="s">
        <v>2213</v>
      </c>
      <c r="AP525" s="89" t="s">
        <v>2213</v>
      </c>
      <c r="AQ525" s="89"/>
    </row>
    <row r="526" spans="1:43" ht="15.75" thickBot="1" x14ac:dyDescent="0.3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25</v>
      </c>
      <c r="J526" s="147" t="s">
        <v>2082</v>
      </c>
      <c r="K526" s="31">
        <f t="shared" si="24"/>
        <v>3</v>
      </c>
      <c r="L526" s="32">
        <f t="shared" si="25"/>
        <v>0.8928571428571429</v>
      </c>
      <c r="M526" s="70"/>
      <c r="N526" s="70"/>
      <c r="O526" s="70" t="s">
        <v>2213</v>
      </c>
      <c r="P526" s="70" t="s">
        <v>2213</v>
      </c>
      <c r="Q526" s="70" t="s">
        <v>2213</v>
      </c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25</v>
      </c>
      <c r="J527" s="147" t="s">
        <v>2083</v>
      </c>
      <c r="K527" s="31">
        <f t="shared" si="24"/>
        <v>3</v>
      </c>
      <c r="L527" s="32">
        <f t="shared" si="25"/>
        <v>0.8928571428571429</v>
      </c>
      <c r="M527" s="70"/>
      <c r="N527" s="70"/>
      <c r="O527" s="70" t="s">
        <v>2213</v>
      </c>
      <c r="P527" s="70" t="s">
        <v>2213</v>
      </c>
      <c r="Q527" s="70" t="s">
        <v>2213</v>
      </c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24</v>
      </c>
      <c r="J530" s="147" t="s">
        <v>2086</v>
      </c>
      <c r="K530" s="31">
        <f t="shared" si="24"/>
        <v>4</v>
      </c>
      <c r="L530" s="32">
        <f t="shared" si="25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 t="s">
        <v>2213</v>
      </c>
    </row>
    <row r="531" spans="1:43" ht="15.75" thickBot="1" x14ac:dyDescent="0.3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24</v>
      </c>
      <c r="J531" s="147" t="s">
        <v>2087</v>
      </c>
      <c r="K531" s="31">
        <f t="shared" si="24"/>
        <v>4</v>
      </c>
      <c r="L531" s="32">
        <f t="shared" si="25"/>
        <v>0.8571428571428571</v>
      </c>
      <c r="M531" s="70"/>
      <c r="N531" s="70" t="s">
        <v>2213</v>
      </c>
      <c r="O531" s="70" t="s">
        <v>2213</v>
      </c>
      <c r="P531" s="70" t="s">
        <v>2213</v>
      </c>
      <c r="Q531" s="70" t="s">
        <v>2213</v>
      </c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 t="s">
        <v>2213</v>
      </c>
    </row>
    <row r="532" spans="1:43" s="91" customFormat="1" ht="15.75" thickBot="1" x14ac:dyDescent="0.3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25</v>
      </c>
      <c r="J532" s="73"/>
      <c r="K532" s="31">
        <f t="shared" si="24"/>
        <v>3</v>
      </c>
      <c r="L532" s="32">
        <f t="shared" si="25"/>
        <v>0.8928571428571429</v>
      </c>
      <c r="M532" s="70"/>
      <c r="N532" s="70"/>
      <c r="O532" s="70" t="s">
        <v>2213</v>
      </c>
      <c r="P532" s="70" t="s">
        <v>2213</v>
      </c>
      <c r="Q532" s="70" t="s">
        <v>2213</v>
      </c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 t="s">
        <v>2213</v>
      </c>
    </row>
    <row r="533" spans="1:43" s="91" customFormat="1" ht="15.75" thickBot="1" x14ac:dyDescent="0.3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24</v>
      </c>
      <c r="J533" s="147" t="s">
        <v>2088</v>
      </c>
      <c r="K533" s="31">
        <f t="shared" si="24"/>
        <v>4</v>
      </c>
      <c r="L533" s="32">
        <f t="shared" si="25"/>
        <v>0.8571428571428571</v>
      </c>
      <c r="M533" s="70"/>
      <c r="N533" s="70" t="s">
        <v>2213</v>
      </c>
      <c r="O533" s="70" t="s">
        <v>2213</v>
      </c>
      <c r="P533" s="70" t="s">
        <v>2213</v>
      </c>
      <c r="Q533" s="70" t="s">
        <v>2213</v>
      </c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 t="s">
        <v>2213</v>
      </c>
    </row>
    <row r="534" spans="1:43" s="73" customFormat="1" ht="15.75" thickBot="1" x14ac:dyDescent="0.3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2</v>
      </c>
      <c r="J539" s="147" t="s">
        <v>2094</v>
      </c>
      <c r="K539" s="142">
        <f t="shared" si="27"/>
        <v>26</v>
      </c>
      <c r="L539" s="143">
        <f t="shared" si="28"/>
        <v>7.1428571428571425E-2</v>
      </c>
      <c r="M539" s="70" t="s">
        <v>2213</v>
      </c>
      <c r="N539" s="70" t="s">
        <v>2213</v>
      </c>
      <c r="O539" s="70" t="s">
        <v>2213</v>
      </c>
      <c r="P539" s="70" t="s">
        <v>2213</v>
      </c>
      <c r="Q539" s="70" t="s">
        <v>2213</v>
      </c>
      <c r="R539" s="70" t="s">
        <v>2213</v>
      </c>
      <c r="S539" s="70" t="s">
        <v>2213</v>
      </c>
      <c r="T539" s="70" t="s">
        <v>2213</v>
      </c>
      <c r="U539" s="70" t="s">
        <v>2213</v>
      </c>
      <c r="V539" s="70" t="s">
        <v>2213</v>
      </c>
      <c r="W539" s="70" t="s">
        <v>2213</v>
      </c>
      <c r="X539" s="70" t="s">
        <v>2213</v>
      </c>
      <c r="Y539" s="70" t="s">
        <v>2213</v>
      </c>
      <c r="Z539" s="70" t="s">
        <v>2213</v>
      </c>
      <c r="AA539" s="70" t="s">
        <v>2213</v>
      </c>
      <c r="AB539" s="70" t="s">
        <v>2213</v>
      </c>
      <c r="AC539" s="70" t="s">
        <v>2213</v>
      </c>
      <c r="AD539" s="70" t="s">
        <v>2213</v>
      </c>
      <c r="AE539" s="70" t="s">
        <v>2213</v>
      </c>
      <c r="AF539" s="70" t="s">
        <v>2213</v>
      </c>
      <c r="AG539" s="70" t="s">
        <v>2213</v>
      </c>
      <c r="AH539" s="70" t="s">
        <v>2213</v>
      </c>
      <c r="AI539" s="70"/>
      <c r="AJ539" s="70" t="s">
        <v>2213</v>
      </c>
      <c r="AK539" s="70" t="s">
        <v>2213</v>
      </c>
      <c r="AL539" s="70" t="s">
        <v>2213</v>
      </c>
      <c r="AM539" s="70"/>
      <c r="AN539" s="70" t="s">
        <v>2213</v>
      </c>
      <c r="AO539" s="70" t="s">
        <v>2213</v>
      </c>
      <c r="AP539" s="89" t="s">
        <v>2213</v>
      </c>
      <c r="AQ539" s="89"/>
    </row>
    <row r="540" spans="1:43" ht="15.75" thickBot="1" x14ac:dyDescent="0.3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28</v>
      </c>
      <c r="J540" s="147" t="s">
        <v>2200</v>
      </c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16</v>
      </c>
      <c r="J542" s="147" t="s">
        <v>2095</v>
      </c>
      <c r="K542" s="142">
        <f t="shared" si="27"/>
        <v>12</v>
      </c>
      <c r="L542" s="143">
        <f t="shared" si="28"/>
        <v>0.5714285714285714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 t="s">
        <v>2213</v>
      </c>
      <c r="V542" s="70" t="s">
        <v>2213</v>
      </c>
      <c r="W542" s="70" t="s">
        <v>2213</v>
      </c>
      <c r="X542" s="70" t="s">
        <v>2213</v>
      </c>
      <c r="Y542" s="70" t="s">
        <v>2213</v>
      </c>
      <c r="Z542" s="70" t="s">
        <v>2213</v>
      </c>
      <c r="AA542" s="70" t="s">
        <v>2213</v>
      </c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16</v>
      </c>
      <c r="J543" s="147" t="s">
        <v>2096</v>
      </c>
      <c r="K543" s="142">
        <f t="shared" si="27"/>
        <v>12</v>
      </c>
      <c r="L543" s="143">
        <f t="shared" si="28"/>
        <v>0.5714285714285714</v>
      </c>
      <c r="M543" s="70"/>
      <c r="N543" s="70"/>
      <c r="O543" s="70"/>
      <c r="P543" s="70" t="s">
        <v>2213</v>
      </c>
      <c r="Q543" s="70" t="s">
        <v>2213</v>
      </c>
      <c r="R543" s="70" t="s">
        <v>2213</v>
      </c>
      <c r="S543" s="70" t="s">
        <v>2213</v>
      </c>
      <c r="T543" s="70" t="s">
        <v>2213</v>
      </c>
      <c r="U543" s="70" t="s">
        <v>2213</v>
      </c>
      <c r="V543" s="70" t="s">
        <v>2213</v>
      </c>
      <c r="W543" s="70" t="s">
        <v>2213</v>
      </c>
      <c r="X543" s="70" t="s">
        <v>2213</v>
      </c>
      <c r="Y543" s="70" t="s">
        <v>2213</v>
      </c>
      <c r="Z543" s="70" t="s">
        <v>2213</v>
      </c>
      <c r="AA543" s="70" t="s">
        <v>2213</v>
      </c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 t="s">
        <v>2213</v>
      </c>
    </row>
    <row r="544" spans="1:43" s="73" customFormat="1" ht="15.75" thickBot="1" x14ac:dyDescent="0.3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12</v>
      </c>
      <c r="J544" s="147" t="s">
        <v>2097</v>
      </c>
      <c r="K544" s="142">
        <f t="shared" si="27"/>
        <v>16</v>
      </c>
      <c r="L544" s="143">
        <f t="shared" si="28"/>
        <v>0.42857142857142855</v>
      </c>
      <c r="M544" s="70"/>
      <c r="N544" s="70"/>
      <c r="O544" s="70"/>
      <c r="P544" s="70" t="s">
        <v>2213</v>
      </c>
      <c r="Q544" s="70" t="s">
        <v>2213</v>
      </c>
      <c r="R544" s="70" t="s">
        <v>2213</v>
      </c>
      <c r="S544" s="70" t="s">
        <v>2213</v>
      </c>
      <c r="T544" s="70" t="s">
        <v>2213</v>
      </c>
      <c r="U544" s="70" t="s">
        <v>2213</v>
      </c>
      <c r="V544" s="70" t="s">
        <v>2213</v>
      </c>
      <c r="W544" s="70" t="s">
        <v>2213</v>
      </c>
      <c r="X544" s="70" t="s">
        <v>2213</v>
      </c>
      <c r="Y544" s="70" t="s">
        <v>2213</v>
      </c>
      <c r="Z544" s="70" t="s">
        <v>2213</v>
      </c>
      <c r="AA544" s="70" t="s">
        <v>2213</v>
      </c>
      <c r="AB544" s="70" t="s">
        <v>2213</v>
      </c>
      <c r="AC544" s="70" t="s">
        <v>2213</v>
      </c>
      <c r="AD544" s="70" t="s">
        <v>2213</v>
      </c>
      <c r="AE544" s="70" t="s">
        <v>2213</v>
      </c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16</v>
      </c>
      <c r="J545" s="147" t="s">
        <v>2098</v>
      </c>
      <c r="K545" s="142">
        <f t="shared" si="27"/>
        <v>12</v>
      </c>
      <c r="L545" s="143">
        <f t="shared" si="28"/>
        <v>0.5714285714285714</v>
      </c>
      <c r="M545" s="70"/>
      <c r="N545" s="70"/>
      <c r="O545" s="70"/>
      <c r="P545" s="70" t="s">
        <v>2213</v>
      </c>
      <c r="Q545" s="70" t="s">
        <v>2213</v>
      </c>
      <c r="R545" s="70" t="s">
        <v>2213</v>
      </c>
      <c r="S545" s="70" t="s">
        <v>2213</v>
      </c>
      <c r="T545" s="70" t="s">
        <v>2213</v>
      </c>
      <c r="U545" s="70" t="s">
        <v>2213</v>
      </c>
      <c r="V545" s="70" t="s">
        <v>2213</v>
      </c>
      <c r="W545" s="70" t="s">
        <v>2213</v>
      </c>
      <c r="X545" s="70" t="s">
        <v>2213</v>
      </c>
      <c r="Y545" s="70" t="s">
        <v>2213</v>
      </c>
      <c r="Z545" s="70" t="s">
        <v>2213</v>
      </c>
      <c r="AA545" s="70" t="s">
        <v>2213</v>
      </c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28</v>
      </c>
      <c r="J546" s="87" t="s">
        <v>2188</v>
      </c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23</v>
      </c>
      <c r="J547" s="87"/>
      <c r="K547" s="142">
        <f t="shared" si="27"/>
        <v>5</v>
      </c>
      <c r="L547" s="143">
        <f t="shared" si="28"/>
        <v>0.8214285714285714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 t="s">
        <v>2213</v>
      </c>
      <c r="AK547" s="70" t="s">
        <v>2213</v>
      </c>
      <c r="AL547" s="70" t="s">
        <v>2213</v>
      </c>
      <c r="AM547" s="70" t="s">
        <v>2213</v>
      </c>
      <c r="AN547" s="70" t="s">
        <v>2213</v>
      </c>
      <c r="AO547" s="70" t="s">
        <v>2213</v>
      </c>
      <c r="AP547" s="89" t="s">
        <v>2213</v>
      </c>
      <c r="AQ547" s="89" t="s">
        <v>2213</v>
      </c>
    </row>
    <row r="548" spans="1:43" s="73" customFormat="1" ht="15.75" thickBot="1" x14ac:dyDescent="0.3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0</v>
      </c>
      <c r="J548" s="87" t="s">
        <v>2189</v>
      </c>
      <c r="K548" s="142">
        <f t="shared" si="27"/>
        <v>28</v>
      </c>
      <c r="L548" s="143">
        <f t="shared" si="28"/>
        <v>0</v>
      </c>
      <c r="M548" s="70" t="s">
        <v>2213</v>
      </c>
      <c r="N548" s="70" t="s">
        <v>2213</v>
      </c>
      <c r="O548" s="70" t="s">
        <v>2213</v>
      </c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 t="s">
        <v>2213</v>
      </c>
      <c r="V548" s="70" t="s">
        <v>2213</v>
      </c>
      <c r="W548" s="70" t="s">
        <v>2213</v>
      </c>
      <c r="X548" s="70" t="s">
        <v>2213</v>
      </c>
      <c r="Y548" s="70" t="s">
        <v>2213</v>
      </c>
      <c r="Z548" s="70" t="s">
        <v>2213</v>
      </c>
      <c r="AA548" s="70" t="s">
        <v>2213</v>
      </c>
      <c r="AB548" s="70" t="s">
        <v>2213</v>
      </c>
      <c r="AC548" s="70" t="s">
        <v>2213</v>
      </c>
      <c r="AD548" s="70" t="s">
        <v>2213</v>
      </c>
      <c r="AE548" s="70" t="s">
        <v>2213</v>
      </c>
      <c r="AF548" s="70" t="s">
        <v>2213</v>
      </c>
      <c r="AG548" s="70" t="s">
        <v>2213</v>
      </c>
      <c r="AH548" s="70" t="s">
        <v>2213</v>
      </c>
      <c r="AI548" s="70" t="s">
        <v>2213</v>
      </c>
      <c r="AJ548" s="70" t="s">
        <v>2213</v>
      </c>
      <c r="AK548" s="70" t="s">
        <v>2213</v>
      </c>
      <c r="AL548" s="70" t="s">
        <v>2213</v>
      </c>
      <c r="AM548" s="70" t="s">
        <v>2213</v>
      </c>
      <c r="AN548" s="70" t="s">
        <v>2213</v>
      </c>
      <c r="AO548" s="70" t="s">
        <v>2213</v>
      </c>
      <c r="AP548" s="89" t="s">
        <v>2213</v>
      </c>
      <c r="AQ548" s="89" t="s">
        <v>2213</v>
      </c>
    </row>
    <row r="549" spans="1:43" ht="15.75" thickBot="1" x14ac:dyDescent="0.3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16</v>
      </c>
      <c r="J549" s="87" t="s">
        <v>2185</v>
      </c>
      <c r="K549" s="31">
        <f t="shared" si="27"/>
        <v>12</v>
      </c>
      <c r="L549" s="32">
        <f t="shared" si="28"/>
        <v>0.5714285714285714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 t="s">
        <v>2213</v>
      </c>
      <c r="V549" s="70" t="s">
        <v>2213</v>
      </c>
      <c r="W549" s="70" t="s">
        <v>2213</v>
      </c>
      <c r="X549" s="70" t="s">
        <v>2213</v>
      </c>
      <c r="Y549" s="70" t="s">
        <v>2213</v>
      </c>
      <c r="Z549" s="70" t="s">
        <v>2213</v>
      </c>
      <c r="AA549" s="70" t="s">
        <v>2213</v>
      </c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4</v>
      </c>
      <c r="J550" s="147" t="s">
        <v>2099</v>
      </c>
      <c r="K550" s="31">
        <f t="shared" si="27"/>
        <v>24</v>
      </c>
      <c r="L550" s="32">
        <f t="shared" si="28"/>
        <v>0.14285714285714285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 t="s">
        <v>2213</v>
      </c>
      <c r="V550" s="70" t="s">
        <v>2213</v>
      </c>
      <c r="W550" s="70" t="s">
        <v>2213</v>
      </c>
      <c r="X550" s="70" t="s">
        <v>2213</v>
      </c>
      <c r="Y550" s="70" t="s">
        <v>2213</v>
      </c>
      <c r="Z550" s="70" t="s">
        <v>2213</v>
      </c>
      <c r="AA550" s="70" t="s">
        <v>2213</v>
      </c>
      <c r="AB550" s="70" t="s">
        <v>2213</v>
      </c>
      <c r="AC550" s="70" t="s">
        <v>2213</v>
      </c>
      <c r="AD550" s="70" t="s">
        <v>2213</v>
      </c>
      <c r="AE550" s="70" t="s">
        <v>2213</v>
      </c>
      <c r="AF550" s="70" t="s">
        <v>2213</v>
      </c>
      <c r="AG550" s="70" t="s">
        <v>2213</v>
      </c>
      <c r="AH550" s="70" t="s">
        <v>2213</v>
      </c>
      <c r="AI550" s="70" t="s">
        <v>2213</v>
      </c>
      <c r="AJ550" s="70" t="s">
        <v>2213</v>
      </c>
      <c r="AK550" s="70" t="s">
        <v>2213</v>
      </c>
      <c r="AL550" s="70" t="s">
        <v>2213</v>
      </c>
      <c r="AM550" s="70" t="s">
        <v>2213</v>
      </c>
      <c r="AN550" s="70"/>
      <c r="AO550" s="70" t="s">
        <v>2213</v>
      </c>
      <c r="AP550" s="70" t="s">
        <v>2213</v>
      </c>
      <c r="AQ550" s="70" t="s">
        <v>2213</v>
      </c>
    </row>
    <row r="551" spans="1:43" ht="15.75" thickBot="1" x14ac:dyDescent="0.3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16</v>
      </c>
      <c r="J551" s="87" t="s">
        <v>2186</v>
      </c>
      <c r="K551" s="31">
        <f t="shared" si="27"/>
        <v>12</v>
      </c>
      <c r="L551" s="32">
        <f t="shared" si="28"/>
        <v>0.5714285714285714</v>
      </c>
      <c r="M551" s="70"/>
      <c r="N551" s="70"/>
      <c r="O551" s="70"/>
      <c r="P551" s="70" t="s">
        <v>2213</v>
      </c>
      <c r="Q551" s="70" t="s">
        <v>2213</v>
      </c>
      <c r="R551" s="70" t="s">
        <v>2213</v>
      </c>
      <c r="S551" s="70" t="s">
        <v>2213</v>
      </c>
      <c r="T551" s="70" t="s">
        <v>2213</v>
      </c>
      <c r="U551" s="70" t="s">
        <v>2213</v>
      </c>
      <c r="V551" s="70" t="s">
        <v>2213</v>
      </c>
      <c r="W551" s="70" t="s">
        <v>2213</v>
      </c>
      <c r="X551" s="70" t="s">
        <v>2213</v>
      </c>
      <c r="Y551" s="70" t="s">
        <v>2213</v>
      </c>
      <c r="Z551" s="70" t="s">
        <v>2213</v>
      </c>
      <c r="AA551" s="70" t="s">
        <v>2213</v>
      </c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3</v>
      </c>
      <c r="J552" s="147" t="s">
        <v>2100</v>
      </c>
      <c r="K552" s="31">
        <f t="shared" si="27"/>
        <v>25</v>
      </c>
      <c r="L552" s="32">
        <f t="shared" si="28"/>
        <v>0.10714285714285714</v>
      </c>
      <c r="M552" s="70"/>
      <c r="N552" s="70"/>
      <c r="O552" s="70"/>
      <c r="P552" s="70" t="s">
        <v>2213</v>
      </c>
      <c r="Q552" s="70" t="s">
        <v>2213</v>
      </c>
      <c r="R552" s="70" t="s">
        <v>2213</v>
      </c>
      <c r="S552" s="70" t="s">
        <v>2213</v>
      </c>
      <c r="T552" s="70" t="s">
        <v>2213</v>
      </c>
      <c r="U552" s="70" t="s">
        <v>2213</v>
      </c>
      <c r="V552" s="70" t="s">
        <v>2213</v>
      </c>
      <c r="W552" s="70" t="s">
        <v>2213</v>
      </c>
      <c r="X552" s="70" t="s">
        <v>2213</v>
      </c>
      <c r="Y552" s="70" t="s">
        <v>2213</v>
      </c>
      <c r="Z552" s="70" t="s">
        <v>2213</v>
      </c>
      <c r="AA552" s="70" t="s">
        <v>2213</v>
      </c>
      <c r="AB552" s="70" t="s">
        <v>2213</v>
      </c>
      <c r="AC552" s="70" t="s">
        <v>2213</v>
      </c>
      <c r="AD552" s="70" t="s">
        <v>2213</v>
      </c>
      <c r="AE552" s="70" t="s">
        <v>2213</v>
      </c>
      <c r="AF552" s="70" t="s">
        <v>2213</v>
      </c>
      <c r="AG552" s="70" t="s">
        <v>2213</v>
      </c>
      <c r="AH552" s="70" t="s">
        <v>2213</v>
      </c>
      <c r="AI552" s="70" t="s">
        <v>2213</v>
      </c>
      <c r="AJ552" s="70" t="s">
        <v>2213</v>
      </c>
      <c r="AK552" s="70" t="s">
        <v>2213</v>
      </c>
      <c r="AL552" s="70" t="s">
        <v>2213</v>
      </c>
      <c r="AM552" s="70" t="s">
        <v>2213</v>
      </c>
      <c r="AN552" s="70" t="s">
        <v>2213</v>
      </c>
      <c r="AO552" s="70" t="s">
        <v>2213</v>
      </c>
      <c r="AP552" s="70" t="s">
        <v>2213</v>
      </c>
      <c r="AQ552" s="70" t="s">
        <v>2213</v>
      </c>
    </row>
    <row r="553" spans="1:43" s="73" customFormat="1" ht="15.75" thickBot="1" x14ac:dyDescent="0.3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4</v>
      </c>
      <c r="J553" s="147" t="s">
        <v>2101</v>
      </c>
      <c r="K553" s="142">
        <f t="shared" si="27"/>
        <v>24</v>
      </c>
      <c r="L553" s="143">
        <f t="shared" si="28"/>
        <v>0.14285714285714285</v>
      </c>
      <c r="M553" s="70"/>
      <c r="N553" s="70"/>
      <c r="O553" s="70"/>
      <c r="P553" s="70" t="s">
        <v>2213</v>
      </c>
      <c r="Q553" s="70" t="s">
        <v>2213</v>
      </c>
      <c r="R553" s="70" t="s">
        <v>2213</v>
      </c>
      <c r="S553" s="70" t="s">
        <v>2213</v>
      </c>
      <c r="T553" s="70" t="s">
        <v>2213</v>
      </c>
      <c r="U553" s="70" t="s">
        <v>2213</v>
      </c>
      <c r="V553" s="70" t="s">
        <v>2213</v>
      </c>
      <c r="W553" s="70" t="s">
        <v>2213</v>
      </c>
      <c r="X553" s="70" t="s">
        <v>2213</v>
      </c>
      <c r="Y553" s="70" t="s">
        <v>2213</v>
      </c>
      <c r="Z553" s="70" t="s">
        <v>2213</v>
      </c>
      <c r="AA553" s="70" t="s">
        <v>2213</v>
      </c>
      <c r="AB553" s="70" t="s">
        <v>2213</v>
      </c>
      <c r="AC553" s="70" t="s">
        <v>2213</v>
      </c>
      <c r="AD553" s="70" t="s">
        <v>2213</v>
      </c>
      <c r="AE553" s="70" t="s">
        <v>2213</v>
      </c>
      <c r="AF553" s="70" t="s">
        <v>2213</v>
      </c>
      <c r="AG553" s="70" t="s">
        <v>2213</v>
      </c>
      <c r="AH553" s="70" t="s">
        <v>2213</v>
      </c>
      <c r="AI553" s="70" t="s">
        <v>2213</v>
      </c>
      <c r="AJ553" s="70" t="s">
        <v>2213</v>
      </c>
      <c r="AK553" s="70" t="s">
        <v>2213</v>
      </c>
      <c r="AL553" s="70"/>
      <c r="AM553" s="70" t="s">
        <v>2213</v>
      </c>
      <c r="AN553" s="70" t="s">
        <v>2213</v>
      </c>
      <c r="AO553" s="70" t="s">
        <v>2213</v>
      </c>
      <c r="AP553" s="89" t="s">
        <v>2213</v>
      </c>
      <c r="AQ553" s="89"/>
    </row>
    <row r="554" spans="1:43" s="73" customFormat="1" ht="15.75" thickBot="1" x14ac:dyDescent="0.3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.75" thickBot="1" x14ac:dyDescent="0.3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27</v>
      </c>
      <c r="J555" s="87" t="s">
        <v>2187</v>
      </c>
      <c r="K555" s="31">
        <f t="shared" si="27"/>
        <v>1</v>
      </c>
      <c r="L555" s="32">
        <f t="shared" si="28"/>
        <v>0.9642857142857143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 t="s">
        <v>2213</v>
      </c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0</v>
      </c>
      <c r="J559" s="147" t="s">
        <v>2105</v>
      </c>
      <c r="K559" s="31">
        <f t="shared" si="27"/>
        <v>28</v>
      </c>
      <c r="L559" s="32">
        <f t="shared" si="28"/>
        <v>0</v>
      </c>
      <c r="M559" s="70" t="s">
        <v>2213</v>
      </c>
      <c r="N559" s="70" t="s">
        <v>2213</v>
      </c>
      <c r="O559" s="70" t="s">
        <v>2213</v>
      </c>
      <c r="P559" s="70" t="s">
        <v>2213</v>
      </c>
      <c r="Q559" s="70" t="s">
        <v>2213</v>
      </c>
      <c r="R559" s="70" t="s">
        <v>2213</v>
      </c>
      <c r="S559" s="70" t="s">
        <v>2213</v>
      </c>
      <c r="T559" s="70" t="s">
        <v>2213</v>
      </c>
      <c r="U559" s="70" t="s">
        <v>2213</v>
      </c>
      <c r="V559" s="70" t="s">
        <v>2213</v>
      </c>
      <c r="W559" s="70" t="s">
        <v>2213</v>
      </c>
      <c r="X559" s="70" t="s">
        <v>2213</v>
      </c>
      <c r="Y559" s="70" t="s">
        <v>2213</v>
      </c>
      <c r="Z559" s="70" t="s">
        <v>2213</v>
      </c>
      <c r="AA559" s="70" t="s">
        <v>2213</v>
      </c>
      <c r="AB559" s="70" t="s">
        <v>2213</v>
      </c>
      <c r="AC559" s="70" t="s">
        <v>2213</v>
      </c>
      <c r="AD559" s="70" t="s">
        <v>2213</v>
      </c>
      <c r="AE559" s="70" t="s">
        <v>2213</v>
      </c>
      <c r="AF559" s="70" t="s">
        <v>2213</v>
      </c>
      <c r="AG559" s="70" t="s">
        <v>2213</v>
      </c>
      <c r="AH559" s="70" t="s">
        <v>2213</v>
      </c>
      <c r="AI559" s="70" t="s">
        <v>2213</v>
      </c>
      <c r="AJ559" s="70" t="s">
        <v>2213</v>
      </c>
      <c r="AK559" s="70" t="s">
        <v>2213</v>
      </c>
      <c r="AL559" s="70" t="s">
        <v>2213</v>
      </c>
      <c r="AM559" s="70" t="s">
        <v>2213</v>
      </c>
      <c r="AN559" s="70" t="s">
        <v>2213</v>
      </c>
      <c r="AO559" s="70" t="s">
        <v>2213</v>
      </c>
      <c r="AP559" s="70" t="s">
        <v>2213</v>
      </c>
      <c r="AQ559" s="70" t="s">
        <v>2213</v>
      </c>
    </row>
    <row r="560" spans="1:43" ht="15.75" thickBot="1" x14ac:dyDescent="0.3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28</v>
      </c>
      <c r="J560" s="147" t="s">
        <v>2106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28</v>
      </c>
      <c r="J561" s="147" t="s">
        <v>2107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27</v>
      </c>
      <c r="J562" s="147" t="s">
        <v>2108</v>
      </c>
      <c r="K562" s="31">
        <f t="shared" si="27"/>
        <v>1</v>
      </c>
      <c r="L562" s="32">
        <f t="shared" si="28"/>
        <v>0.9642857142857143</v>
      </c>
      <c r="M562" s="70"/>
      <c r="N562" s="70" t="s">
        <v>2213</v>
      </c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27</v>
      </c>
      <c r="J563" s="147" t="s">
        <v>2109</v>
      </c>
      <c r="K563" s="31">
        <f t="shared" si="27"/>
        <v>1</v>
      </c>
      <c r="L563" s="32">
        <f t="shared" si="28"/>
        <v>0.9642857142857143</v>
      </c>
      <c r="M563" s="70"/>
      <c r="N563" s="70" t="s">
        <v>2213</v>
      </c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15</v>
      </c>
      <c r="J564" s="87" t="s">
        <v>2203</v>
      </c>
      <c r="K564" s="142">
        <f t="shared" si="27"/>
        <v>13</v>
      </c>
      <c r="L564" s="143">
        <f t="shared" si="28"/>
        <v>0.5357142857142857</v>
      </c>
      <c r="M564" s="70" t="s">
        <v>2213</v>
      </c>
      <c r="N564" s="70"/>
      <c r="O564" s="70"/>
      <c r="P564" s="70" t="s">
        <v>2213</v>
      </c>
      <c r="Q564" s="70" t="s">
        <v>2213</v>
      </c>
      <c r="R564" s="70" t="s">
        <v>2213</v>
      </c>
      <c r="S564" s="70" t="s">
        <v>2213</v>
      </c>
      <c r="T564" s="70" t="s">
        <v>2213</v>
      </c>
      <c r="U564" s="70" t="s">
        <v>2213</v>
      </c>
      <c r="V564" s="70" t="s">
        <v>2213</v>
      </c>
      <c r="W564" s="70" t="s">
        <v>2213</v>
      </c>
      <c r="X564" s="70" t="s">
        <v>2213</v>
      </c>
      <c r="Y564" s="70" t="s">
        <v>2213</v>
      </c>
      <c r="Z564" s="70" t="s">
        <v>2213</v>
      </c>
      <c r="AA564" s="70" t="s">
        <v>2213</v>
      </c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2265</v>
      </c>
      <c r="C565" s="73" t="s">
        <v>1063</v>
      </c>
      <c r="D565" s="73" t="s">
        <v>2266</v>
      </c>
      <c r="E565" s="85" t="s">
        <v>15</v>
      </c>
      <c r="F565" s="85" t="s">
        <v>1301</v>
      </c>
      <c r="G565" s="85"/>
      <c r="H565" s="85" t="s">
        <v>2267</v>
      </c>
      <c r="I565" s="142">
        <f t="shared" si="26"/>
        <v>28</v>
      </c>
      <c r="J565" s="87" t="s">
        <v>2268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.75" thickBot="1" x14ac:dyDescent="0.3">
      <c r="A566" s="73" t="s">
        <v>591</v>
      </c>
      <c r="B566" s="73" t="s">
        <v>2278</v>
      </c>
      <c r="C566" s="73" t="s">
        <v>1063</v>
      </c>
      <c r="D566" s="73" t="s">
        <v>2279</v>
      </c>
      <c r="E566" s="85" t="s">
        <v>15</v>
      </c>
      <c r="F566" s="85"/>
      <c r="G566" s="85"/>
      <c r="H566" s="85" t="s">
        <v>2280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1</v>
      </c>
      <c r="J577" s="147" t="s">
        <v>2116</v>
      </c>
      <c r="K577" s="142">
        <f t="shared" si="27"/>
        <v>27</v>
      </c>
      <c r="L577" s="143">
        <f t="shared" si="28"/>
        <v>3.5714285714285712E-2</v>
      </c>
      <c r="M577" s="70" t="s">
        <v>2213</v>
      </c>
      <c r="N577" s="70" t="s">
        <v>2213</v>
      </c>
      <c r="O577" s="70" t="s">
        <v>2213</v>
      </c>
      <c r="P577" s="70" t="s">
        <v>2213</v>
      </c>
      <c r="Q577" s="70" t="s">
        <v>2213</v>
      </c>
      <c r="R577" s="70" t="s">
        <v>2213</v>
      </c>
      <c r="S577" s="70" t="s">
        <v>2213</v>
      </c>
      <c r="T577" s="70" t="s">
        <v>2213</v>
      </c>
      <c r="U577" s="70" t="s">
        <v>2213</v>
      </c>
      <c r="V577" s="70" t="s">
        <v>2213</v>
      </c>
      <c r="W577" s="70" t="s">
        <v>2213</v>
      </c>
      <c r="X577" s="70" t="s">
        <v>2213</v>
      </c>
      <c r="Y577" s="70" t="s">
        <v>2213</v>
      </c>
      <c r="Z577" s="70" t="s">
        <v>2213</v>
      </c>
      <c r="AA577" s="70" t="s">
        <v>2213</v>
      </c>
      <c r="AB577" s="70" t="s">
        <v>2213</v>
      </c>
      <c r="AC577" s="70" t="s">
        <v>2213</v>
      </c>
      <c r="AD577" s="70" t="s">
        <v>2213</v>
      </c>
      <c r="AE577" s="70" t="s">
        <v>2213</v>
      </c>
      <c r="AF577" s="70" t="s">
        <v>2213</v>
      </c>
      <c r="AG577" s="70" t="s">
        <v>2213</v>
      </c>
      <c r="AH577" s="70" t="s">
        <v>2213</v>
      </c>
      <c r="AI577" s="70"/>
      <c r="AJ577" s="70" t="s">
        <v>2213</v>
      </c>
      <c r="AK577" s="70" t="s">
        <v>2213</v>
      </c>
      <c r="AL577" s="70" t="s">
        <v>2213</v>
      </c>
      <c r="AM577" s="70" t="s">
        <v>2213</v>
      </c>
      <c r="AN577" s="70" t="s">
        <v>2213</v>
      </c>
      <c r="AO577" s="70" t="s">
        <v>2213</v>
      </c>
      <c r="AP577" s="89" t="s">
        <v>2213</v>
      </c>
      <c r="AQ577" s="89" t="s">
        <v>2213</v>
      </c>
    </row>
    <row r="578" spans="1:43" s="73" customFormat="1" ht="15.75" thickBot="1" x14ac:dyDescent="0.3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.75" thickBot="1" x14ac:dyDescent="0.3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E830" s="30"/>
      <c r="F830" s="30"/>
      <c r="G830" s="30"/>
      <c r="H830" s="30"/>
      <c r="L830" s="13"/>
      <c r="O830" s="70"/>
    </row>
    <row r="831" spans="5:41" x14ac:dyDescent="0.25">
      <c r="L831" s="13"/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opLeftCell="A317" zoomScaleNormal="100" workbookViewId="0">
      <selection activeCell="B324" sqref="B32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574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0.1480836236933798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303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574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0.12195121951219512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0.11846689895470383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0.1132404181184669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9.7560975609756101E-2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303</v>
      </c>
      <c r="D20" s="115">
        <f>Hoja1!G3</f>
        <v>29</v>
      </c>
      <c r="E20" s="105">
        <f>D20/C20</f>
        <v>9.5709570957095716E-2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41</v>
      </c>
      <c r="E21" s="114">
        <f>D21/C21</f>
        <v>0.15185185185185185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574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0.13937282229965156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0.13937282229965156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0.13414634146341464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0.11846689895470383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0.11846689895470383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303</v>
      </c>
      <c r="D31" s="115">
        <f>Hoja1!H3</f>
        <v>37</v>
      </c>
      <c r="E31" s="105">
        <f>D31/C31</f>
        <v>0.12211221122112212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f>Hoja1!H5</f>
        <v>37</v>
      </c>
      <c r="E32" s="114">
        <f>D32/C32</f>
        <v>0.13703703703703704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574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0.21080139372822299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0.19686411149825783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0.19163763066202091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0.16376306620209058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303</v>
      </c>
      <c r="D42" s="115">
        <v>48</v>
      </c>
      <c r="E42" s="105">
        <f>D42/C42</f>
        <v>0.15841584158415842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574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0.19337979094076654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0.18989547038327526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0.18466898954703834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0.15853658536585366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303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574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0.15505226480836237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7.6655052264808357E-2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7.1428571428571425E-2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6.097560975609756E-2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303</v>
      </c>
      <c r="D64" s="115">
        <f>Hoja1!K3</f>
        <v>22</v>
      </c>
      <c r="E64" s="105">
        <f>D64/C64</f>
        <v>7.2607260726072612E-2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67</v>
      </c>
      <c r="E65" s="114">
        <f>D65/C65</f>
        <v>0.24814814814814815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574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0.15853658536585366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0.156794425087108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0.15156794425087108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0.12543554006968641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0.12543554006968641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303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67</v>
      </c>
      <c r="E76" s="114">
        <f>D76/C76</f>
        <v>0.24814814814814815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574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303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574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>
        <v>87</v>
      </c>
      <c r="D91" s="54"/>
      <c r="E91" s="55">
        <f>C91/C90</f>
        <v>0.15156794425087108</v>
      </c>
      <c r="F91" s="155"/>
    </row>
    <row r="92" spans="1:6" x14ac:dyDescent="0.25">
      <c r="B92" s="53" t="s">
        <v>1243</v>
      </c>
      <c r="C92" s="67">
        <v>1</v>
      </c>
      <c r="D92" s="103">
        <v>86</v>
      </c>
      <c r="E92" s="55">
        <f>D92/C90</f>
        <v>0.14982578397212543</v>
      </c>
      <c r="F92" s="155"/>
    </row>
    <row r="93" spans="1:6" x14ac:dyDescent="0.25">
      <c r="B93" s="53" t="s">
        <v>1244</v>
      </c>
      <c r="C93" s="67">
        <v>3</v>
      </c>
      <c r="D93" s="103">
        <v>83</v>
      </c>
      <c r="E93" s="55">
        <f>D93/C90</f>
        <v>0.14459930313588851</v>
      </c>
      <c r="F93" s="155"/>
    </row>
    <row r="94" spans="1:6" x14ac:dyDescent="0.25">
      <c r="A94" t="s">
        <v>1474</v>
      </c>
      <c r="B94" s="53" t="s">
        <v>16</v>
      </c>
      <c r="C94" s="94">
        <v>15</v>
      </c>
      <c r="D94" s="103">
        <v>68</v>
      </c>
      <c r="E94" s="55">
        <f>D94/C90</f>
        <v>0.11846689895470383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303</v>
      </c>
      <c r="D97" s="115">
        <f>Hoja1!N3</f>
        <v>20</v>
      </c>
      <c r="E97" s="105">
        <f>D97/C97</f>
        <v>6.6006600660066E-2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67</v>
      </c>
      <c r="E98" s="114">
        <v>0.25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574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78</v>
      </c>
      <c r="D102" s="54"/>
      <c r="E102" s="55">
        <f>C102/C101</f>
        <v>0.13588850174216027</v>
      </c>
      <c r="F102" s="155"/>
    </row>
    <row r="103" spans="1:6" x14ac:dyDescent="0.25">
      <c r="B103" s="53" t="s">
        <v>1243</v>
      </c>
      <c r="C103" s="67">
        <v>4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25">
      <c r="B104" s="53" t="s">
        <v>1244</v>
      </c>
      <c r="C104" s="67">
        <v>3</v>
      </c>
      <c r="D104" s="103">
        <f>D103-C104</f>
        <v>71</v>
      </c>
      <c r="E104" s="55">
        <f>D104/C101</f>
        <v>0.12369337979094076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8</v>
      </c>
      <c r="D105" s="103">
        <f>D104-C105</f>
        <v>63</v>
      </c>
      <c r="E105" s="55">
        <f>D105/C101</f>
        <v>0.10975609756097561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303</v>
      </c>
      <c r="D108" s="115">
        <f>Hoja1!O3</f>
        <v>20</v>
      </c>
      <c r="E108" s="105">
        <f>D108/C108</f>
        <v>6.6006600660066E-2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f>Hoja1!O5</f>
        <v>58</v>
      </c>
      <c r="E109" s="114">
        <f>D109/C109</f>
        <v>0.21481481481481482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574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89</v>
      </c>
      <c r="D113" s="54"/>
      <c r="E113" s="55">
        <f>C113/C112</f>
        <v>0.15505226480836237</v>
      </c>
      <c r="F113" s="155"/>
    </row>
    <row r="114" spans="2:6" x14ac:dyDescent="0.25">
      <c r="B114" s="53" t="s">
        <v>1243</v>
      </c>
      <c r="C114" s="67">
        <v>3</v>
      </c>
      <c r="D114" s="103">
        <f>C113-C114</f>
        <v>86</v>
      </c>
      <c r="E114" s="55">
        <f>D114/C112</f>
        <v>0.14982578397212543</v>
      </c>
      <c r="F114" s="155"/>
    </row>
    <row r="115" spans="2:6" x14ac:dyDescent="0.25">
      <c r="B115" s="53" t="s">
        <v>1244</v>
      </c>
      <c r="C115" s="67">
        <v>3</v>
      </c>
      <c r="D115" s="103">
        <v>83</v>
      </c>
      <c r="E115" s="55">
        <f>D115/C112</f>
        <v>0.14459930313588851</v>
      </c>
      <c r="F115" s="155"/>
    </row>
    <row r="116" spans="2:6" x14ac:dyDescent="0.25">
      <c r="B116" s="53" t="s">
        <v>16</v>
      </c>
      <c r="C116" s="94">
        <f>'RESUMEN TOTAL'!W5</f>
        <v>3</v>
      </c>
      <c r="D116" s="103">
        <v>80</v>
      </c>
      <c r="E116" s="55">
        <f>D116/C112</f>
        <v>0.13937282229965156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303</v>
      </c>
      <c r="D119" s="115">
        <f>Hoja1!P3</f>
        <v>22</v>
      </c>
      <c r="E119" s="105">
        <f>D119/C119</f>
        <v>7.2607260726072612E-2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67</v>
      </c>
      <c r="E120" s="114">
        <v>0.25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574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91</v>
      </c>
      <c r="D124" s="54"/>
      <c r="E124" s="55">
        <f>C124/C123</f>
        <v>0.15853658536585366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86</v>
      </c>
      <c r="E125" s="55">
        <f>D125/C123</f>
        <v>0.14982578397212543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83</v>
      </c>
      <c r="E126" s="55">
        <f>D126/C123</f>
        <v>0.14459930313588851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77</v>
      </c>
      <c r="E127" s="55">
        <f>D127/C123</f>
        <v>0.13414634146341464</v>
      </c>
      <c r="F127" s="155"/>
    </row>
    <row r="128" spans="2:6" ht="15.75" thickBot="1" x14ac:dyDescent="0.3">
      <c r="B128" s="56"/>
      <c r="C128" s="131">
        <v>0</v>
      </c>
      <c r="D128" s="104">
        <f>D127-C128</f>
        <v>77</v>
      </c>
      <c r="E128" s="74">
        <f>D128/C123</f>
        <v>0.13414634146341464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303</v>
      </c>
      <c r="D130" s="115">
        <f>Hoja1!Q3</f>
        <v>22</v>
      </c>
      <c r="E130" s="105">
        <f>D130/C130</f>
        <v>7.2607260726072612E-2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69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574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83</v>
      </c>
      <c r="D135" s="54"/>
      <c r="E135" s="55">
        <f>C135/C134</f>
        <v>0.14459930313588851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78</v>
      </c>
      <c r="E136" s="55">
        <f>D136/C134</f>
        <v>0.13588850174216027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75</v>
      </c>
      <c r="E137" s="55">
        <f>D137/C134</f>
        <v>0.13066202090592335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62</v>
      </c>
      <c r="E138" s="55">
        <f>D138/C134</f>
        <v>0.10801393728222997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303</v>
      </c>
      <c r="D141" s="115">
        <v>23</v>
      </c>
      <c r="E141" s="105">
        <f>D141/C141</f>
        <v>7.590759075907591E-2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59</v>
      </c>
      <c r="E142" s="114">
        <f>D142/C142</f>
        <v>0.21851851851851853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574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80</v>
      </c>
      <c r="D146" s="54"/>
      <c r="E146" s="55">
        <f>C146/C145</f>
        <v>0.13937282229965156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73</v>
      </c>
      <c r="E147" s="55">
        <f>D147/C145</f>
        <v>0.12717770034843207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70</v>
      </c>
      <c r="E148" s="55">
        <f>D148/C145</f>
        <v>0.12195121951219512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55</v>
      </c>
      <c r="E149" s="55">
        <f>D149/C145</f>
        <v>9.5818815331010457E-2</v>
      </c>
      <c r="F149" s="155"/>
    </row>
    <row r="150" spans="2:6" ht="15.75" thickBot="1" x14ac:dyDescent="0.3">
      <c r="B150" s="56"/>
      <c r="C150" s="131">
        <v>0</v>
      </c>
      <c r="D150" s="104">
        <f>D149-C150</f>
        <v>55</v>
      </c>
      <c r="E150" s="74">
        <f>D150/C145</f>
        <v>9.5818815331010457E-2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303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574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92</v>
      </c>
      <c r="D157" s="54"/>
      <c r="E157" s="55">
        <f>C157/C156</f>
        <v>0.16027874564459929</v>
      </c>
      <c r="F157" s="155"/>
    </row>
    <row r="158" spans="2:6" x14ac:dyDescent="0.25">
      <c r="B158" s="53" t="s">
        <v>1243</v>
      </c>
      <c r="C158" s="67"/>
      <c r="D158" s="103">
        <f>C157-C158</f>
        <v>92</v>
      </c>
      <c r="E158" s="55">
        <f>D158/C156</f>
        <v>0.16027874564459929</v>
      </c>
      <c r="F158" s="155"/>
    </row>
    <row r="159" spans="2:6" x14ac:dyDescent="0.25">
      <c r="B159" s="53" t="s">
        <v>1244</v>
      </c>
      <c r="C159" s="67"/>
      <c r="D159" s="103">
        <f>D158-C159</f>
        <v>92</v>
      </c>
      <c r="E159" s="55">
        <f>D159/C156</f>
        <v>0.16027874564459929</v>
      </c>
      <c r="F159" s="155"/>
    </row>
    <row r="160" spans="2:6" x14ac:dyDescent="0.25">
      <c r="B160" s="53" t="s">
        <v>16</v>
      </c>
      <c r="C160" s="94">
        <f>'RESUMEN TOTAL'!AA5</f>
        <v>11</v>
      </c>
      <c r="D160" s="103">
        <f>D159-C160</f>
        <v>81</v>
      </c>
      <c r="E160" s="55">
        <f>D160/C156</f>
        <v>0.14111498257839722</v>
      </c>
      <c r="F160" s="155"/>
    </row>
    <row r="161" spans="2:6" ht="15.75" thickBot="1" x14ac:dyDescent="0.3">
      <c r="B161" s="56"/>
      <c r="C161" s="131">
        <v>0</v>
      </c>
      <c r="D161" s="104">
        <f>D160-C161</f>
        <v>81</v>
      </c>
      <c r="E161" s="74">
        <f>D161/C156</f>
        <v>0.14111498257839722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303</v>
      </c>
      <c r="D163" s="115">
        <f>Hoja1!T3</f>
        <v>26</v>
      </c>
      <c r="E163" s="105">
        <f>D163/C163</f>
        <v>8.5808580858085806E-2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f>Hoja1!T5</f>
        <v>66</v>
      </c>
      <c r="E164" s="114">
        <f>D164/C164</f>
        <v>0.24444444444444444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574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81</v>
      </c>
      <c r="D168" s="54"/>
      <c r="E168" s="55">
        <f>C168/C167</f>
        <v>0.14111498257839722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81</v>
      </c>
      <c r="E169" s="55">
        <f>D169/C167</f>
        <v>0.14111498257839722</v>
      </c>
      <c r="F169" s="155"/>
    </row>
    <row r="170" spans="2:6" x14ac:dyDescent="0.25">
      <c r="B170" s="53" t="s">
        <v>1244</v>
      </c>
      <c r="C170" s="67">
        <v>3</v>
      </c>
      <c r="D170" s="103">
        <f>D169-C170</f>
        <v>78</v>
      </c>
      <c r="E170" s="55">
        <f>D170/C167</f>
        <v>0.13588850174216027</v>
      </c>
      <c r="F170" s="155"/>
    </row>
    <row r="171" spans="2:6" x14ac:dyDescent="0.25">
      <c r="B171" s="53" t="s">
        <v>16</v>
      </c>
      <c r="C171" s="94">
        <v>2</v>
      </c>
      <c r="D171" s="103">
        <f>D170-C171</f>
        <v>76</v>
      </c>
      <c r="E171" s="55">
        <f>D171/C167</f>
        <v>0.13240418118466898</v>
      </c>
      <c r="F171" s="155"/>
    </row>
    <row r="172" spans="2:6" ht="15.75" thickBot="1" x14ac:dyDescent="0.3">
      <c r="B172" s="56"/>
      <c r="C172" s="131"/>
      <c r="D172" s="104">
        <f>D171-C172</f>
        <v>76</v>
      </c>
      <c r="E172" s="74">
        <f>D172/C167</f>
        <v>0.13240418118466898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303</v>
      </c>
      <c r="D174" s="115">
        <v>27</v>
      </c>
      <c r="E174" s="105">
        <f>D174/C174</f>
        <v>8.9108910891089105E-2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54</v>
      </c>
      <c r="E175" s="114">
        <f>D175/C175</f>
        <v>0.2</v>
      </c>
      <c r="F175" s="156"/>
    </row>
    <row r="176" spans="2:6" ht="16.5" thickTop="1" thickBot="1" x14ac:dyDescent="0.3"/>
    <row r="177" spans="2:12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12" ht="15.75" thickTop="1" x14ac:dyDescent="0.25">
      <c r="B178" s="52" t="s">
        <v>1242</v>
      </c>
      <c r="C178" s="100">
        <f>CANTIDAD_DE_CAMARAS</f>
        <v>574</v>
      </c>
      <c r="D178" s="101"/>
      <c r="E178" s="106"/>
      <c r="F178" s="154">
        <v>46008</v>
      </c>
    </row>
    <row r="179" spans="2:12" x14ac:dyDescent="0.25">
      <c r="B179" s="53" t="s">
        <v>6</v>
      </c>
      <c r="C179" s="66">
        <f>'RESUMEN TOTAL'!AC3</f>
        <v>99</v>
      </c>
      <c r="D179" s="54"/>
      <c r="E179" s="55">
        <f>C179/C178</f>
        <v>0.17247386759581881</v>
      </c>
      <c r="F179" s="155"/>
    </row>
    <row r="180" spans="2:12" x14ac:dyDescent="0.25">
      <c r="B180" s="53" t="s">
        <v>1243</v>
      </c>
      <c r="C180" s="67">
        <v>0</v>
      </c>
      <c r="D180" s="103">
        <f>C179-C180</f>
        <v>99</v>
      </c>
      <c r="E180" s="55">
        <f>D180/C178</f>
        <v>0.17247386759581881</v>
      </c>
      <c r="F180" s="155"/>
    </row>
    <row r="181" spans="2:12" x14ac:dyDescent="0.25">
      <c r="B181" s="53" t="s">
        <v>1244</v>
      </c>
      <c r="C181" s="67">
        <v>3</v>
      </c>
      <c r="D181" s="103">
        <f>D180-C181</f>
        <v>96</v>
      </c>
      <c r="E181" s="55">
        <f>D181/C178</f>
        <v>0.1672473867595819</v>
      </c>
      <c r="F181" s="155"/>
    </row>
    <row r="182" spans="2:12" x14ac:dyDescent="0.25">
      <c r="B182" s="53" t="s">
        <v>16</v>
      </c>
      <c r="C182" s="94">
        <v>4</v>
      </c>
      <c r="D182" s="103">
        <f>D181-C182</f>
        <v>92</v>
      </c>
      <c r="E182" s="55">
        <f>D182/C178</f>
        <v>0.16027874564459929</v>
      </c>
      <c r="F182" s="155"/>
    </row>
    <row r="183" spans="2:12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6.5" thickTop="1" thickBot="1" x14ac:dyDescent="0.3">
      <c r="B185" s="98" t="s">
        <v>1062</v>
      </c>
      <c r="C185" s="99">
        <f>BONOMOcam</f>
        <v>303</v>
      </c>
      <c r="D185" s="115">
        <f>Hoja1!V3</f>
        <v>46</v>
      </c>
      <c r="E185" s="105">
        <v>0.15</v>
      </c>
      <c r="F185" s="155"/>
    </row>
    <row r="186" spans="2:12" ht="15.75" thickBot="1" x14ac:dyDescent="0.3">
      <c r="B186" s="112" t="s">
        <v>1063</v>
      </c>
      <c r="C186" s="113">
        <f>COSEIDIcam</f>
        <v>270</v>
      </c>
      <c r="D186" s="113">
        <f>Hoja1!V5</f>
        <v>53</v>
      </c>
      <c r="E186" s="114">
        <v>0.2</v>
      </c>
      <c r="F186" s="156"/>
    </row>
    <row r="187" spans="2:12" ht="16.5" thickTop="1" thickBot="1" x14ac:dyDescent="0.3"/>
    <row r="188" spans="2:12" ht="16.5" thickTop="1" thickBot="1" x14ac:dyDescent="0.3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.75" thickTop="1" x14ac:dyDescent="0.25">
      <c r="B189" s="52" t="s">
        <v>1242</v>
      </c>
      <c r="C189" s="100">
        <f>CANTIDAD_DE_CAMARAS</f>
        <v>574</v>
      </c>
      <c r="D189" s="101"/>
      <c r="E189" s="106"/>
      <c r="F189" s="154">
        <v>46009</v>
      </c>
      <c r="H189" s="52" t="s">
        <v>1242</v>
      </c>
      <c r="I189" s="100">
        <f>CANTIDAD_DE_CAMARAS</f>
        <v>574</v>
      </c>
      <c r="J189" s="101"/>
      <c r="K189" s="106"/>
      <c r="L189" s="154">
        <v>46009</v>
      </c>
    </row>
    <row r="190" spans="2:12" x14ac:dyDescent="0.25">
      <c r="B190" s="53" t="s">
        <v>6</v>
      </c>
      <c r="C190" s="66">
        <v>113</v>
      </c>
      <c r="D190" s="54"/>
      <c r="E190" s="55">
        <f>C190/C189</f>
        <v>0.19686411149825783</v>
      </c>
      <c r="F190" s="155"/>
      <c r="H190" s="53" t="s">
        <v>6</v>
      </c>
      <c r="I190" s="66">
        <v>85</v>
      </c>
      <c r="J190" s="54"/>
      <c r="K190" s="55">
        <f>I190/I189</f>
        <v>0.1480836236933798</v>
      </c>
      <c r="L190" s="155"/>
    </row>
    <row r="191" spans="2:12" x14ac:dyDescent="0.25">
      <c r="B191" s="53" t="s">
        <v>1243</v>
      </c>
      <c r="C191" s="67">
        <v>1</v>
      </c>
      <c r="D191" s="103">
        <f>C190-C191</f>
        <v>112</v>
      </c>
      <c r="E191" s="55">
        <f>D191/C189</f>
        <v>0.1951219512195122</v>
      </c>
      <c r="F191" s="155"/>
      <c r="H191" s="53" t="s">
        <v>1243</v>
      </c>
      <c r="I191" s="67">
        <v>1</v>
      </c>
      <c r="J191" s="103">
        <f>I190-I191</f>
        <v>84</v>
      </c>
      <c r="K191" s="55">
        <f>J191/I189</f>
        <v>0.14634146341463414</v>
      </c>
      <c r="L191" s="155"/>
    </row>
    <row r="192" spans="2:12" x14ac:dyDescent="0.25">
      <c r="B192" s="53" t="s">
        <v>1244</v>
      </c>
      <c r="C192" s="67">
        <v>3</v>
      </c>
      <c r="D192" s="103">
        <f>D191-C192</f>
        <v>109</v>
      </c>
      <c r="E192" s="55">
        <f>D192/C189</f>
        <v>0.18989547038327526</v>
      </c>
      <c r="F192" s="155"/>
      <c r="H192" s="53" t="s">
        <v>1244</v>
      </c>
      <c r="I192" s="67">
        <v>3</v>
      </c>
      <c r="J192" s="103">
        <f>J191-I192</f>
        <v>81</v>
      </c>
      <c r="K192" s="55">
        <f>J192/I189</f>
        <v>0.14111498257839722</v>
      </c>
      <c r="L192" s="155"/>
    </row>
    <row r="193" spans="2:12" x14ac:dyDescent="0.25">
      <c r="B193" s="53" t="s">
        <v>16</v>
      </c>
      <c r="C193" s="94">
        <v>2</v>
      </c>
      <c r="D193" s="103">
        <f>D192-C193</f>
        <v>107</v>
      </c>
      <c r="E193" s="55">
        <f>D193/C189</f>
        <v>0.18641114982578397</v>
      </c>
      <c r="F193" s="155"/>
      <c r="H193" s="53" t="s">
        <v>16</v>
      </c>
      <c r="I193" s="94">
        <v>2</v>
      </c>
      <c r="J193" s="103">
        <f>J192-I193</f>
        <v>79</v>
      </c>
      <c r="K193" s="55">
        <f>J193/I189</f>
        <v>0.13763066202090593</v>
      </c>
      <c r="L193" s="155"/>
    </row>
    <row r="194" spans="2:12" ht="15.75" thickBot="1" x14ac:dyDescent="0.3">
      <c r="B194" s="56"/>
      <c r="C194" s="131">
        <v>0</v>
      </c>
      <c r="D194" s="104"/>
      <c r="E194" s="74">
        <f>D194/C189</f>
        <v>0</v>
      </c>
      <c r="F194" s="155"/>
      <c r="H194" s="56"/>
      <c r="I194" s="131">
        <v>0</v>
      </c>
      <c r="J194" s="104"/>
      <c r="K194" s="74">
        <f>J194/I189</f>
        <v>0</v>
      </c>
      <c r="L194" s="155"/>
    </row>
    <row r="195" spans="2:12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 t="s">
        <v>912</v>
      </c>
      <c r="J195" s="96" t="s">
        <v>1464</v>
      </c>
      <c r="K195" s="102" t="s">
        <v>913</v>
      </c>
      <c r="L195" s="155"/>
    </row>
    <row r="196" spans="2:12" ht="16.5" thickTop="1" thickBot="1" x14ac:dyDescent="0.3">
      <c r="B196" s="98" t="s">
        <v>1062</v>
      </c>
      <c r="C196" s="99">
        <f>BONOMOcam</f>
        <v>303</v>
      </c>
      <c r="D196" s="115">
        <v>52</v>
      </c>
      <c r="E196" s="105">
        <v>0.17</v>
      </c>
      <c r="F196" s="155"/>
      <c r="H196" s="98" t="s">
        <v>1062</v>
      </c>
      <c r="I196" s="99">
        <v>303</v>
      </c>
      <c r="J196" s="115">
        <v>24</v>
      </c>
      <c r="K196" s="105">
        <v>0.08</v>
      </c>
      <c r="L196" s="155"/>
    </row>
    <row r="197" spans="2:12" ht="15.75" thickBot="1" x14ac:dyDescent="0.3">
      <c r="B197" s="112" t="s">
        <v>1063</v>
      </c>
      <c r="C197" s="113">
        <f>COSEIDIcam</f>
        <v>270</v>
      </c>
      <c r="D197" s="113">
        <v>61</v>
      </c>
      <c r="E197" s="114">
        <v>0.23</v>
      </c>
      <c r="F197" s="156"/>
      <c r="H197" s="112" t="s">
        <v>1063</v>
      </c>
      <c r="I197" s="113">
        <f>COSEIDIcam</f>
        <v>270</v>
      </c>
      <c r="J197" s="113">
        <v>61</v>
      </c>
      <c r="K197" s="114">
        <v>0.23</v>
      </c>
      <c r="L197" s="156"/>
    </row>
    <row r="198" spans="2:12" ht="16.5" thickTop="1" thickBot="1" x14ac:dyDescent="0.3"/>
    <row r="199" spans="2:12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12" ht="15.75" thickTop="1" x14ac:dyDescent="0.25">
      <c r="B200" s="52" t="s">
        <v>1242</v>
      </c>
      <c r="C200" s="100">
        <f>CANTIDAD_DE_CAMARAS</f>
        <v>574</v>
      </c>
      <c r="D200" s="101"/>
      <c r="E200" s="106"/>
      <c r="F200" s="154">
        <v>46010</v>
      </c>
    </row>
    <row r="201" spans="2:12" x14ac:dyDescent="0.25">
      <c r="B201" s="53" t="s">
        <v>6</v>
      </c>
      <c r="C201" s="66">
        <f>'RESUMEN TOTAL'!AE3</f>
        <v>83</v>
      </c>
      <c r="D201" s="54"/>
      <c r="E201" s="55">
        <f>C201/C200</f>
        <v>0.14459930313588851</v>
      </c>
      <c r="F201" s="155"/>
    </row>
    <row r="202" spans="2:12" x14ac:dyDescent="0.25">
      <c r="B202" s="53" t="s">
        <v>1243</v>
      </c>
      <c r="C202" s="67">
        <v>8</v>
      </c>
      <c r="D202" s="103">
        <f>C201-C202</f>
        <v>75</v>
      </c>
      <c r="E202" s="55">
        <f>D202/C200</f>
        <v>0.13066202090592335</v>
      </c>
      <c r="F202" s="155"/>
    </row>
    <row r="203" spans="2:12" x14ac:dyDescent="0.25">
      <c r="B203" s="53" t="s">
        <v>1244</v>
      </c>
      <c r="C203" s="67">
        <v>3</v>
      </c>
      <c r="D203" s="103">
        <f>D202-C203</f>
        <v>72</v>
      </c>
      <c r="E203" s="55">
        <f>D203/C200</f>
        <v>0.12543554006968641</v>
      </c>
      <c r="F203" s="155"/>
    </row>
    <row r="204" spans="2:12" x14ac:dyDescent="0.25">
      <c r="B204" s="53" t="s">
        <v>16</v>
      </c>
      <c r="C204" s="94">
        <v>5</v>
      </c>
      <c r="D204" s="103">
        <f>D203-C204</f>
        <v>67</v>
      </c>
      <c r="E204" s="55">
        <f>D204/C200</f>
        <v>0.11672473867595819</v>
      </c>
      <c r="F204" s="155"/>
    </row>
    <row r="205" spans="2:12" ht="15.75" thickBot="1" x14ac:dyDescent="0.3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6.5" thickTop="1" thickBot="1" x14ac:dyDescent="0.3">
      <c r="B207" s="98" t="s">
        <v>1062</v>
      </c>
      <c r="C207" s="99">
        <v>303</v>
      </c>
      <c r="D207" s="115">
        <v>26</v>
      </c>
      <c r="E207" s="105">
        <f>D207/C207</f>
        <v>8.5808580858085806E-2</v>
      </c>
      <c r="F207" s="155"/>
    </row>
    <row r="208" spans="2:12" ht="15.75" thickBot="1" x14ac:dyDescent="0.3">
      <c r="B208" s="112" t="s">
        <v>1063</v>
      </c>
      <c r="C208" s="113">
        <f>COSEIDIcam</f>
        <v>270</v>
      </c>
      <c r="D208" s="113">
        <v>57</v>
      </c>
      <c r="E208" s="114">
        <f>D208/C208</f>
        <v>0.21111111111111111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574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9.5818815331010457E-2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8.3623693379790948E-2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7.8397212543554001E-2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6.7944250871080136E-2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6.7944250871080136E-2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303</v>
      </c>
      <c r="D218" s="115">
        <v>17</v>
      </c>
      <c r="E218" s="105">
        <f>D218/C218</f>
        <v>5.6105610561056105E-2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38</v>
      </c>
      <c r="E219" s="114">
        <f>D219/C219</f>
        <v>0.14074074074074075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574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73</v>
      </c>
      <c r="D224" s="54">
        <v>0</v>
      </c>
      <c r="E224" s="55">
        <f>C224/C223</f>
        <v>0.12717770034843207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73</v>
      </c>
      <c r="E225" s="55">
        <f>D225/C223</f>
        <v>0.12717770034843207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5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303</v>
      </c>
      <c r="D230" s="115">
        <f>Hoja1!Z3</f>
        <v>21</v>
      </c>
      <c r="E230" s="105">
        <f>D230/C230</f>
        <v>6.9306930693069313E-2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52</v>
      </c>
      <c r="E231" s="114">
        <f>D231/C231</f>
        <v>0.19259259259259259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574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74</v>
      </c>
      <c r="D236" s="54"/>
      <c r="E236" s="55">
        <f>C236/C235</f>
        <v>0.1289198606271777</v>
      </c>
      <c r="F236" s="155"/>
    </row>
    <row r="237" spans="2:6" x14ac:dyDescent="0.25">
      <c r="B237" s="53" t="s">
        <v>1243</v>
      </c>
      <c r="C237" s="67">
        <v>2</v>
      </c>
      <c r="D237" s="103">
        <v>72</v>
      </c>
      <c r="E237" s="55">
        <f>D237/C235</f>
        <v>0.12543554006968641</v>
      </c>
      <c r="F237" s="155"/>
    </row>
    <row r="238" spans="2:6" x14ac:dyDescent="0.25">
      <c r="B238" s="53" t="s">
        <v>1244</v>
      </c>
      <c r="C238" s="67">
        <v>3</v>
      </c>
      <c r="D238" s="103">
        <v>69</v>
      </c>
      <c r="E238" s="55">
        <f>D238/C235</f>
        <v>0.12020905923344948</v>
      </c>
      <c r="F238" s="155"/>
    </row>
    <row r="239" spans="2:6" x14ac:dyDescent="0.25">
      <c r="B239" s="53" t="s">
        <v>16</v>
      </c>
      <c r="C239" s="94">
        <v>5</v>
      </c>
      <c r="D239" s="103">
        <v>64</v>
      </c>
      <c r="E239" s="55">
        <f>D239/C235</f>
        <v>0.11149825783972125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303</v>
      </c>
      <c r="D242" s="115">
        <v>21</v>
      </c>
      <c r="E242" s="105">
        <f>D242/C242</f>
        <v>6.9306930693069313E-2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53</v>
      </c>
      <c r="E243" s="114">
        <v>0.2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574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72</v>
      </c>
      <c r="D248" s="54"/>
      <c r="E248" s="55">
        <f>C248/C247</f>
        <v>0.12543554006968641</v>
      </c>
      <c r="F248" s="155"/>
    </row>
    <row r="249" spans="2:6" x14ac:dyDescent="0.25">
      <c r="B249" s="53" t="s">
        <v>1243</v>
      </c>
      <c r="C249" s="67">
        <v>3</v>
      </c>
      <c r="D249" s="103">
        <v>69</v>
      </c>
      <c r="E249" s="55">
        <f>D249/C247</f>
        <v>0.12020905923344948</v>
      </c>
      <c r="F249" s="155"/>
    </row>
    <row r="250" spans="2:6" x14ac:dyDescent="0.25">
      <c r="B250" s="53" t="s">
        <v>1244</v>
      </c>
      <c r="C250" s="67">
        <v>3</v>
      </c>
      <c r="D250" s="103">
        <v>66</v>
      </c>
      <c r="E250" s="55">
        <f>D250/C247</f>
        <v>0.11498257839721254</v>
      </c>
      <c r="F250" s="155"/>
    </row>
    <row r="251" spans="2:6" x14ac:dyDescent="0.25">
      <c r="B251" s="53" t="s">
        <v>16</v>
      </c>
      <c r="C251" s="94">
        <v>5</v>
      </c>
      <c r="D251" s="103">
        <v>61</v>
      </c>
      <c r="E251" s="55">
        <f>D251/C247</f>
        <v>0.10627177700348432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303</v>
      </c>
      <c r="D254" s="115">
        <v>21</v>
      </c>
      <c r="E254" s="105">
        <f>D254/C254</f>
        <v>6.9306930693069313E-2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52</v>
      </c>
      <c r="E255" s="114">
        <f>D255/C255</f>
        <v>0.19259259259259259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574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303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574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303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574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303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574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303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574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303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574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97</v>
      </c>
      <c r="D315" s="54"/>
      <c r="E315" s="55">
        <f>C315/C314</f>
        <v>0.16898954703832753</v>
      </c>
      <c r="F315" s="155"/>
    </row>
    <row r="316" spans="2:6" x14ac:dyDescent="0.25">
      <c r="B316" s="53" t="s">
        <v>1243</v>
      </c>
      <c r="C316" s="67">
        <v>4</v>
      </c>
      <c r="D316" s="103">
        <v>93</v>
      </c>
      <c r="E316" s="55">
        <f>D316/C314</f>
        <v>0.16202090592334495</v>
      </c>
      <c r="F316" s="155"/>
    </row>
    <row r="317" spans="2:6" x14ac:dyDescent="0.25">
      <c r="B317" s="53" t="s">
        <v>1244</v>
      </c>
      <c r="C317" s="67">
        <v>3</v>
      </c>
      <c r="D317" s="103">
        <v>90</v>
      </c>
      <c r="E317" s="55">
        <f>D317/C314</f>
        <v>0.156794425087108</v>
      </c>
      <c r="F317" s="155"/>
    </row>
    <row r="318" spans="2:6" x14ac:dyDescent="0.25">
      <c r="B318" s="53" t="s">
        <v>16</v>
      </c>
      <c r="C318" s="94">
        <v>5</v>
      </c>
      <c r="D318" s="103">
        <v>85</v>
      </c>
      <c r="E318" s="55">
        <f>D318/C314</f>
        <v>0.1480836236933798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303</v>
      </c>
      <c r="D321" s="115">
        <v>37</v>
      </c>
      <c r="E321" s="105">
        <v>0.12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60</v>
      </c>
      <c r="E322" s="114">
        <v>0.22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574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100</v>
      </c>
      <c r="D326" s="54"/>
      <c r="E326" s="55">
        <f>C326/C325</f>
        <v>0.17421602787456447</v>
      </c>
      <c r="F326" s="155"/>
    </row>
    <row r="327" spans="2:6" x14ac:dyDescent="0.25">
      <c r="B327" s="53" t="s">
        <v>1243</v>
      </c>
      <c r="C327" s="67">
        <v>4</v>
      </c>
      <c r="D327" s="103">
        <v>96</v>
      </c>
      <c r="E327" s="55">
        <f>D327/C325</f>
        <v>0.1672473867595819</v>
      </c>
      <c r="F327" s="155"/>
    </row>
    <row r="328" spans="2:6" x14ac:dyDescent="0.25">
      <c r="B328" s="53" t="s">
        <v>1244</v>
      </c>
      <c r="C328" s="67">
        <v>3</v>
      </c>
      <c r="D328" s="103">
        <v>93</v>
      </c>
      <c r="E328" s="55">
        <f>D328/C325</f>
        <v>0.16202090592334495</v>
      </c>
      <c r="F328" s="155"/>
    </row>
    <row r="329" spans="2:6" x14ac:dyDescent="0.25">
      <c r="B329" s="53" t="s">
        <v>16</v>
      </c>
      <c r="C329" s="94">
        <v>5</v>
      </c>
      <c r="D329" s="103">
        <v>88</v>
      </c>
      <c r="E329" s="55">
        <f>D329/C325</f>
        <v>0.15331010452961671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303</v>
      </c>
      <c r="D332" s="115">
        <v>39</v>
      </c>
      <c r="E332" s="105">
        <v>0.13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61</v>
      </c>
      <c r="E333" s="114">
        <v>0.23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574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303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2"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 t="str">
        <f>'RESUMEN TOTAL'!AC8</f>
        <v>APAGADO</v>
      </c>
      <c r="W5" s="70" t="str">
        <f>'RESUMEN TOTAL'!AD8</f>
        <v>APAGADO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 t="str">
        <f>'RESUMEN TOTAL'!AI8</f>
        <v>APAGADO</v>
      </c>
      <c r="AC5" s="70" t="str">
        <f>'RESUMEN TOTAL'!AJ8</f>
        <v>APAGADO</v>
      </c>
      <c r="AD5" s="70" t="str">
        <f>'RESUMEN TOTAL'!AK8</f>
        <v>APAGADO</v>
      </c>
      <c r="AE5" s="70" t="str">
        <f>'RESUMEN TOTAL'!AL8</f>
        <v>APAGADO</v>
      </c>
      <c r="AF5" s="70" t="str">
        <f>'RESUMEN TOTAL'!AM8</f>
        <v>APAGADO</v>
      </c>
      <c r="AG5" s="70" t="str">
        <f>'RESUMEN TOTAL'!AN8</f>
        <v>APAGADO</v>
      </c>
      <c r="AH5" s="70" t="str">
        <f>'RESUMEN TOTAL'!AO8</f>
        <v>APAGADO</v>
      </c>
      <c r="AI5" s="70" t="str">
        <f>'RESUMEN TOTAL'!AP8</f>
        <v>APAGADO</v>
      </c>
      <c r="AJ5" s="70" t="str">
        <f>'RESUMEN TOTAL'!AQ8</f>
        <v>APAGADO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 t="str">
        <f>'RESUMEN TOTAL'!AC9</f>
        <v>APAGADO</v>
      </c>
      <c r="W6" s="70" t="str">
        <f>'RESUMEN TOTAL'!AD9</f>
        <v>APAGADO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 t="str">
        <f>'RESUMEN TOTAL'!AI9</f>
        <v>APAGADO</v>
      </c>
      <c r="AC6" s="70" t="str">
        <f>'RESUMEN TOTAL'!AJ9</f>
        <v>APAGADO</v>
      </c>
      <c r="AD6" s="70" t="str">
        <f>'RESUMEN TOTAL'!AK9</f>
        <v>APAGADO</v>
      </c>
      <c r="AE6" s="70" t="str">
        <f>'RESUMEN TOTAL'!AL9</f>
        <v>APAGADO</v>
      </c>
      <c r="AF6" s="70" t="str">
        <f>'RESUMEN TOTAL'!AM9</f>
        <v>APAGADO</v>
      </c>
      <c r="AG6" s="70" t="str">
        <f>'RESUMEN TOTAL'!AN9</f>
        <v>APAGADO</v>
      </c>
      <c r="AH6" s="70" t="str">
        <f>'RESUMEN TOTAL'!AO9</f>
        <v>APAGADO</v>
      </c>
      <c r="AI6" s="70" t="str">
        <f>'RESUMEN TOTAL'!AP9</f>
        <v>APAGADO</v>
      </c>
      <c r="AJ6" s="70" t="str">
        <f>'RESUMEN TOTAL'!AQ9</f>
        <v>APAGADO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 t="str">
        <f>'RESUMEN TOTAL'!AC14</f>
        <v>APAGADO</v>
      </c>
      <c r="W11" s="70" t="str">
        <f>'RESUMEN TOTAL'!AD14</f>
        <v>APAGADO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 t="str">
        <f>'RESUMEN TOTAL'!AI14</f>
        <v>APAGADO</v>
      </c>
      <c r="AC11" s="70" t="str">
        <f>'RESUMEN TOTAL'!AJ14</f>
        <v>APAGADO</v>
      </c>
      <c r="AD11" s="70" t="str">
        <f>'RESUMEN TOTAL'!AK14</f>
        <v>APAGADO</v>
      </c>
      <c r="AE11" s="70" t="str">
        <f>'RESUMEN TOTAL'!AL14</f>
        <v>APAGADO</v>
      </c>
      <c r="AF11" s="70" t="str">
        <f>'RESUMEN TOTAL'!AM14</f>
        <v>APAGADO</v>
      </c>
      <c r="AG11" s="70">
        <f>'RESUMEN TOTAL'!AN14</f>
        <v>0</v>
      </c>
      <c r="AH11" s="70" t="str">
        <f>'RESUMEN TOTAL'!AO14</f>
        <v>APAGADO</v>
      </c>
      <c r="AI11" s="70" t="str">
        <f>'RESUMEN TOTAL'!AP14</f>
        <v>APAGADO</v>
      </c>
      <c r="AJ11" s="70" t="str">
        <f>'RESUMEN TOTAL'!AQ14</f>
        <v>APAGADO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 t="str">
        <f>'RESUMEN TOTAL'!U17</f>
        <v>APAGADO</v>
      </c>
      <c r="O14" s="70" t="str">
        <f>'RESUMEN TOTAL'!V17</f>
        <v>APAGADO</v>
      </c>
      <c r="P14" s="70" t="str">
        <f>'RESUMEN TOTAL'!W17</f>
        <v>APAGADO</v>
      </c>
      <c r="Q14" s="70" t="str">
        <f>'RESUMEN TOTAL'!X17</f>
        <v>APAGADO</v>
      </c>
      <c r="R14" s="70" t="str">
        <f>'RESUMEN TOTAL'!Y17</f>
        <v>APAGADO</v>
      </c>
      <c r="S14" s="70" t="str">
        <f>'RESUMEN TOTAL'!Z17</f>
        <v>APAGADO</v>
      </c>
      <c r="T14" s="70" t="str">
        <f>'RESUMEN TOTAL'!AA17</f>
        <v>APAGADO</v>
      </c>
      <c r="U14" s="70" t="str">
        <f>'RESUMEN TOTAL'!AB17</f>
        <v>APAGADO</v>
      </c>
      <c r="V14" s="70" t="str">
        <f>'RESUMEN TOTAL'!AC17</f>
        <v>APAGADO</v>
      </c>
      <c r="W14" s="70" t="str">
        <f>'RESUMEN TOTAL'!AD17</f>
        <v>APAGADO</v>
      </c>
      <c r="X14" s="70" t="str">
        <f>'RESUMEN TOTAL'!AE17</f>
        <v>APAGADO</v>
      </c>
      <c r="Y14" s="70" t="str">
        <f>'RESUMEN TOTAL'!AF17</f>
        <v>APAGADO</v>
      </c>
      <c r="Z14" s="70" t="str">
        <f>'RESUMEN TOTAL'!AG17</f>
        <v>APAGADO</v>
      </c>
      <c r="AA14" s="70" t="str">
        <f>'RESUMEN TOTAL'!AH17</f>
        <v>APAGADO</v>
      </c>
      <c r="AB14" s="70" t="str">
        <f>'RESUMEN TOTAL'!AI17</f>
        <v>APAGADO</v>
      </c>
      <c r="AC14" s="70" t="str">
        <f>'RESUMEN TOTAL'!AJ17</f>
        <v>APAGADO</v>
      </c>
      <c r="AD14" s="70" t="str">
        <f>'RESUMEN TOTAL'!AK17</f>
        <v>APAGADO</v>
      </c>
      <c r="AE14" s="70" t="str">
        <f>'RESUMEN TOTAL'!AL17</f>
        <v>APAGADO</v>
      </c>
      <c r="AF14" s="70">
        <f>'RESUMEN TOTAL'!AM17</f>
        <v>0</v>
      </c>
      <c r="AG14" s="70" t="str">
        <f>'RESUMEN TOTAL'!AN17</f>
        <v>APAGADO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 t="str">
        <f>'RESUMEN TOTAL'!AG19</f>
        <v>APAGADO</v>
      </c>
      <c r="AA16" s="70" t="str">
        <f>'RESUMEN TOTAL'!AH19</f>
        <v>APAGADO</v>
      </c>
      <c r="AB16" s="70">
        <f>'RESUMEN TOTAL'!AI19</f>
        <v>0</v>
      </c>
      <c r="AC16" s="70" t="str">
        <f>'RESUMEN TOTAL'!AJ19</f>
        <v>APAGADO</v>
      </c>
      <c r="AD16" s="70" t="str">
        <f>'RESUMEN TOTAL'!AK19</f>
        <v>APAGADO</v>
      </c>
      <c r="AE16" s="70" t="str">
        <f>'RESUMEN TOTAL'!AL19</f>
        <v>APAGADO</v>
      </c>
      <c r="AF16" s="70" t="str">
        <f>'RESUMEN TOTAL'!AM19</f>
        <v>APAGADO</v>
      </c>
      <c r="AG16" s="70" t="str">
        <f>'RESUMEN TOTAL'!AN19</f>
        <v>APAGADO</v>
      </c>
      <c r="AH16" s="70" t="str">
        <f>'RESUMEN TOTAL'!AO19</f>
        <v>APAGADO</v>
      </c>
      <c r="AI16" s="70" t="str">
        <f>'RESUMEN TOTAL'!AP19</f>
        <v>APAGADO</v>
      </c>
      <c r="AJ16" s="70" t="str">
        <f>'RESUMEN TOTAL'!AQ19</f>
        <v>APAGADO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 t="str">
        <f>'RESUMEN TOTAL'!AJ24</f>
        <v>APAGADO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 t="str">
        <f>'RESUMEN TOTAL'!AP24</f>
        <v>APAGADO</v>
      </c>
      <c r="AJ19" s="70" t="str">
        <f>'RESUMEN TOTAL'!AQ24</f>
        <v>APAGADO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 t="str">
        <f>'RESUMEN TOTAL'!AJ25</f>
        <v>APAGADO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 t="str">
        <f>'RESUMEN TOTAL'!AP25</f>
        <v>APAGADO</v>
      </c>
      <c r="AJ20" s="70" t="str">
        <f>'RESUMEN TOTAL'!AQ25</f>
        <v>APAGADO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 t="str">
        <f>'RESUMEN TOTAL'!AJ26</f>
        <v>APAGADO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 t="str">
        <f>'RESUMEN TOTAL'!AP26</f>
        <v>APAGADO</v>
      </c>
      <c r="AJ21" s="70" t="str">
        <f>'RESUMEN TOTAL'!AQ26</f>
        <v>APAGADO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 t="str">
        <f>'RESUMEN TOTAL'!AJ27</f>
        <v>APAGADO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 t="str">
        <f>'RESUMEN TOTAL'!AP27</f>
        <v>APAGADO</v>
      </c>
      <c r="AJ22" s="70" t="str">
        <f>'RESUMEN TOTAL'!AQ27</f>
        <v>APAGADO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 t="str">
        <f>'RESUMEN TOTAL'!AQ29</f>
        <v>APAGADO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 t="str">
        <f>'RESUMEN TOTAL'!U58</f>
        <v>APAGADO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 t="str">
        <f>'RESUMEN TOTAL'!AK74</f>
        <v>APAGADO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 t="str">
        <f>'RESUMEN TOTAL'!X81</f>
        <v>APAGADO</v>
      </c>
      <c r="R60" s="70" t="str">
        <f>'RESUMEN TOTAL'!Y81</f>
        <v>APAGADO</v>
      </c>
      <c r="S60" s="70" t="str">
        <f>'RESUMEN TOTAL'!Z81</f>
        <v>APAGADO</v>
      </c>
      <c r="T60" s="70" t="str">
        <f>'RESUMEN TOTAL'!AA81</f>
        <v>APAGADO</v>
      </c>
      <c r="U60" s="70" t="str">
        <f>'RESUMEN TOTAL'!AB81</f>
        <v>APAGADO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 t="str">
        <f>'RESUMEN TOTAL'!AA88</f>
        <v>APAGADO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 t="str">
        <f>'RESUMEN TOTAL'!AK88</f>
        <v>APAGADO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 t="str">
        <f>'RESUMEN TOTAL'!U89</f>
        <v>APAGADO</v>
      </c>
      <c r="O68" s="70" t="str">
        <f>'RESUMEN TOTAL'!V89</f>
        <v>APAGADO</v>
      </c>
      <c r="P68" s="70" t="str">
        <f>'RESUMEN TOTAL'!W89</f>
        <v>APAGADO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 t="str">
        <f>'RESUMEN TOTAL'!AE89</f>
        <v>APAGADO</v>
      </c>
      <c r="Y68" s="70" t="str">
        <f>'RESUMEN TOTAL'!AF89</f>
        <v>APAGADO</v>
      </c>
      <c r="Z68" s="70" t="str">
        <f>'RESUMEN TOTAL'!AG89</f>
        <v>APAGADO</v>
      </c>
      <c r="AA68" s="70" t="str">
        <f>'RESUMEN TOTAL'!AH89</f>
        <v>APAGADO</v>
      </c>
      <c r="AB68" s="70" t="str">
        <f>'RESUMEN TOTAL'!AI89</f>
        <v>APAGADO</v>
      </c>
      <c r="AC68" s="70" t="str">
        <f>'RESUMEN TOTAL'!AJ89</f>
        <v>APAGADO</v>
      </c>
      <c r="AD68" s="70" t="str">
        <f>'RESUMEN TOTAL'!AK89</f>
        <v>APAGADO</v>
      </c>
      <c r="AE68" s="70" t="str">
        <f>'RESUMEN TOTAL'!AL89</f>
        <v>APAGADO</v>
      </c>
      <c r="AF68" s="70">
        <f>'RESUMEN TOTAL'!AM89</f>
        <v>0</v>
      </c>
      <c r="AG68" s="70" t="str">
        <f>'RESUMEN TOTAL'!AN89</f>
        <v>APAGADO</v>
      </c>
      <c r="AH68" s="70" t="str">
        <f>'RESUMEN TOTAL'!AO89</f>
        <v>APAGADO</v>
      </c>
      <c r="AI68" s="70" t="str">
        <f>'RESUMEN TOTAL'!AP89</f>
        <v>APAGADO</v>
      </c>
      <c r="AJ68" s="70" t="str">
        <f>'RESUMEN TOTAL'!AQ89</f>
        <v>APAGADO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 t="str">
        <f>'RESUMEN TOTAL'!AJ95</f>
        <v>APAGADO</v>
      </c>
      <c r="AD74" s="70" t="str">
        <f>'RESUMEN TOTAL'!AK95</f>
        <v>APAGADO</v>
      </c>
      <c r="AE74" s="70" t="str">
        <f>'RESUMEN TOTAL'!AL95</f>
        <v>APAGADO</v>
      </c>
      <c r="AF74" s="70">
        <f>'RESUMEN TOTAL'!AM95</f>
        <v>0</v>
      </c>
      <c r="AG74" s="70" t="str">
        <f>'RESUMEN TOTAL'!AN95</f>
        <v>APAGADO</v>
      </c>
      <c r="AH74" s="70" t="str">
        <f>'RESUMEN TOTAL'!AO95</f>
        <v>APAGADO</v>
      </c>
      <c r="AI74" s="70" t="str">
        <f>'RESUMEN TOTAL'!AP95</f>
        <v>APAGADO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 t="str">
        <f>'RESUMEN TOTAL'!AO96</f>
        <v>APAGADO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 t="str">
        <f>'RESUMEN TOTAL'!U99</f>
        <v>APAGADO</v>
      </c>
      <c r="O78" s="70" t="str">
        <f>'RESUMEN TOTAL'!V99</f>
        <v>APAGADO</v>
      </c>
      <c r="P78" s="70" t="str">
        <f>'RESUMEN TOTAL'!W99</f>
        <v>APAGADO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 t="str">
        <f>'RESUMEN TOTAL'!AE99</f>
        <v>APAGADO</v>
      </c>
      <c r="Y78" s="70" t="str">
        <f>'RESUMEN TOTAL'!AF99</f>
        <v>APAGADO</v>
      </c>
      <c r="Z78" s="70" t="str">
        <f>'RESUMEN TOTAL'!AG99</f>
        <v>APAGADO</v>
      </c>
      <c r="AA78" s="70" t="str">
        <f>'RESUMEN TOTAL'!AH99</f>
        <v>APAGADO</v>
      </c>
      <c r="AB78" s="70" t="str">
        <f>'RESUMEN TOTAL'!AI99</f>
        <v>APAGADO</v>
      </c>
      <c r="AC78" s="70" t="str">
        <f>'RESUMEN TOTAL'!AJ99</f>
        <v>APAGADO</v>
      </c>
      <c r="AD78" s="70" t="str">
        <f>'RESUMEN TOTAL'!AK99</f>
        <v>APAGADO</v>
      </c>
      <c r="AE78" s="70" t="str">
        <f>'RESUMEN TOTAL'!AL99</f>
        <v>APAGADO</v>
      </c>
      <c r="AF78" s="70">
        <f>'RESUMEN TOTAL'!AM99</f>
        <v>0</v>
      </c>
      <c r="AG78" s="70" t="str">
        <f>'RESUMEN TOTAL'!AN99</f>
        <v>APAGADO</v>
      </c>
      <c r="AH78" s="70" t="str">
        <f>'RESUMEN TOTAL'!AO99</f>
        <v>APAGADO</v>
      </c>
      <c r="AI78" s="70" t="str">
        <f>'RESUMEN TOTAL'!AP99</f>
        <v>APAGADO</v>
      </c>
      <c r="AJ78" s="70" t="str">
        <f>'RESUMEN TOTAL'!AQ99</f>
        <v>APAGADO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 t="str">
        <f>'RESUMEN TOTAL'!AJ112</f>
        <v>APAGADO</v>
      </c>
      <c r="AD91" s="70" t="str">
        <f>'RESUMEN TOTAL'!AK112</f>
        <v>APAGADO</v>
      </c>
      <c r="AE91" s="70" t="str">
        <f>'RESUMEN TOTAL'!AL112</f>
        <v>APAGADO</v>
      </c>
      <c r="AF91" s="70" t="str">
        <f>'RESUMEN TOTAL'!AM112</f>
        <v>APAGADO</v>
      </c>
      <c r="AG91" s="70" t="str">
        <f>'RESUMEN TOTAL'!AN112</f>
        <v>APAGADO</v>
      </c>
      <c r="AH91" s="70" t="str">
        <f>'RESUMEN TOTAL'!AO112</f>
        <v>APAGADO</v>
      </c>
      <c r="AI91" s="70" t="str">
        <f>'RESUMEN TOTAL'!AP112</f>
        <v>APAGADO</v>
      </c>
      <c r="AJ91" s="70" t="str">
        <f>'RESUMEN TOTAL'!AQ112</f>
        <v>APAGADO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 t="str">
        <f>'RESUMEN TOTAL'!AJ113</f>
        <v>APAGADO</v>
      </c>
      <c r="AD92" s="70" t="str">
        <f>'RESUMEN TOTAL'!AK113</f>
        <v>APAGADO</v>
      </c>
      <c r="AE92" s="70" t="str">
        <f>'RESUMEN TOTAL'!AL113</f>
        <v>APAGADO</v>
      </c>
      <c r="AF92" s="70" t="str">
        <f>'RESUMEN TOTAL'!AM113</f>
        <v>APAGADO</v>
      </c>
      <c r="AG92" s="70" t="str">
        <f>'RESUMEN TOTAL'!AN113</f>
        <v>APAGADO</v>
      </c>
      <c r="AH92" s="70" t="str">
        <f>'RESUMEN TOTAL'!AO113</f>
        <v>APAGADO</v>
      </c>
      <c r="AI92" s="70" t="str">
        <f>'RESUMEN TOTAL'!AP113</f>
        <v>APAGADO</v>
      </c>
      <c r="AJ92" s="70" t="str">
        <f>'RESUMEN TOTAL'!AQ113</f>
        <v>APAGADO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 t="str">
        <f>'RESUMEN TOTAL'!AQ118</f>
        <v>APAGADO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 t="str">
        <f>'RESUMEN TOTAL'!AB120</f>
        <v>APAGADO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 t="str">
        <f>'RESUMEN TOTAL'!AO120</f>
        <v>APAGADO</v>
      </c>
      <c r="AI99" s="70" t="str">
        <f>'RESUMEN TOTAL'!AP120</f>
        <v>APAGADO</v>
      </c>
      <c r="AJ99" s="70" t="str">
        <f>'RESUMEN TOTAL'!AQ120</f>
        <v>APAGADO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 t="str">
        <f>'RESUMEN TOTAL'!AB127</f>
        <v>APAGADO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 t="str">
        <f>'RESUMEN TOTAL'!X130</f>
        <v>APAGADO</v>
      </c>
      <c r="R109" s="70" t="str">
        <f>'RESUMEN TOTAL'!Y130</f>
        <v>APAGADO</v>
      </c>
      <c r="S109" s="70" t="str">
        <f>'RESUMEN TOTAL'!Z130</f>
        <v>APAGADO</v>
      </c>
      <c r="T109" s="70" t="str">
        <f>'RESUMEN TOTAL'!AA130</f>
        <v>APAGADO</v>
      </c>
      <c r="U109" s="70" t="str">
        <f>'RESUMEN TOTAL'!AB130</f>
        <v>APAGADO</v>
      </c>
      <c r="V109" s="70">
        <f>'RESUMEN TOTAL'!AC130</f>
        <v>0</v>
      </c>
      <c r="W109" s="70">
        <f>'RESUMEN TOTAL'!AD130</f>
        <v>0</v>
      </c>
      <c r="X109" s="70" t="str">
        <f>'RESUMEN TOTAL'!AE130</f>
        <v>APAGADO</v>
      </c>
      <c r="Y109" s="70" t="str">
        <f>'RESUMEN TOTAL'!AF130</f>
        <v>APAGADO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 t="str">
        <f>'RESUMEN TOTAL'!AL130</f>
        <v>APAGADO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 t="str">
        <f>'RESUMEN TOTAL'!AP130</f>
        <v>APAGADO</v>
      </c>
      <c r="AJ109" s="70" t="str">
        <f>'RESUMEN TOTAL'!AQ130</f>
        <v>APAGADO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 t="str">
        <f>'RESUMEN TOTAL'!AQ131</f>
        <v>APAGADO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 t="str">
        <f>'RESUMEN TOTAL'!AP145</f>
        <v>APAGADO</v>
      </c>
      <c r="AJ111" s="70" t="str">
        <f>'RESUMEN TOTAL'!AQ145</f>
        <v>APAGADO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 t="str">
        <f>'RESUMEN TOTAL'!U151</f>
        <v>APAGADO</v>
      </c>
      <c r="O117" s="70" t="str">
        <f>'RESUMEN TOTAL'!V151</f>
        <v>APAGADO</v>
      </c>
      <c r="P117" s="70" t="str">
        <f>'RESUMEN TOTAL'!W151</f>
        <v>APAGADO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 t="str">
        <f>'RESUMEN TOTAL'!AM151</f>
        <v>APAGADO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 t="str">
        <f>'RESUMEN TOTAL'!AQ156</f>
        <v>APAGADO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 t="str">
        <f>'RESUMEN TOTAL'!AQ157</f>
        <v>APAGADO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 t="str">
        <f>'RESUMEN TOTAL'!AQ164</f>
        <v>APAGADO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 t="str">
        <f>'RESUMEN TOTAL'!AQ167</f>
        <v>APAGADO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 t="str">
        <f>'RESUMEN TOTAL'!AC180</f>
        <v>APAGADO</v>
      </c>
      <c r="W140" s="70" t="str">
        <f>'RESUMEN TOTAL'!AD180</f>
        <v>APAGADO</v>
      </c>
      <c r="X140" s="70" t="str">
        <f>'RESUMEN TOTAL'!AE180</f>
        <v>APAGADO</v>
      </c>
      <c r="Y140" s="70" t="str">
        <f>'RESUMEN TOTAL'!AF180</f>
        <v>APAGADO</v>
      </c>
      <c r="Z140" s="70" t="str">
        <f>'RESUMEN TOTAL'!AG180</f>
        <v>APAGADO</v>
      </c>
      <c r="AA140" s="70" t="str">
        <f>'RESUMEN TOTAL'!AH180</f>
        <v>APAGADO</v>
      </c>
      <c r="AB140" s="70" t="str">
        <f>'RESUMEN TOTAL'!AI180</f>
        <v>APAGADO</v>
      </c>
      <c r="AC140" s="70" t="str">
        <f>'RESUMEN TOTAL'!AJ180</f>
        <v>APAGADO</v>
      </c>
      <c r="AD140" s="70" t="str">
        <f>'RESUMEN TOTAL'!AK180</f>
        <v>APAGADO</v>
      </c>
      <c r="AE140" s="70" t="str">
        <f>'RESUMEN TOTAL'!AL180</f>
        <v>APAGADO</v>
      </c>
      <c r="AF140" s="70" t="str">
        <f>'RESUMEN TOTAL'!AM180</f>
        <v>APAGADO</v>
      </c>
      <c r="AG140" s="70" t="str">
        <f>'RESUMEN TOTAL'!AN180</f>
        <v>APAGADO</v>
      </c>
      <c r="AH140" s="70" t="str">
        <f>'RESUMEN TOTAL'!AO180</f>
        <v>APAGADO</v>
      </c>
      <c r="AI140" s="70" t="str">
        <f>'RESUMEN TOTAL'!AP180</f>
        <v>APAGADO</v>
      </c>
      <c r="AJ140" s="70" t="str">
        <f>'RESUMEN TOTAL'!AQ180</f>
        <v>APAGADO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 t="str">
        <f>'RESUMEN TOTAL'!AC181</f>
        <v>APAGADO</v>
      </c>
      <c r="W141" s="70" t="str">
        <f>'RESUMEN TOTAL'!AD181</f>
        <v>APAGADO</v>
      </c>
      <c r="X141" s="70" t="str">
        <f>'RESUMEN TOTAL'!AE181</f>
        <v>APAGADO</v>
      </c>
      <c r="Y141" s="70" t="str">
        <f>'RESUMEN TOTAL'!AF181</f>
        <v>APAGADO</v>
      </c>
      <c r="Z141" s="70" t="str">
        <f>'RESUMEN TOTAL'!AG181</f>
        <v>APAGADO</v>
      </c>
      <c r="AA141" s="70" t="str">
        <f>'RESUMEN TOTAL'!AH181</f>
        <v>APAGADO</v>
      </c>
      <c r="AB141" s="70" t="str">
        <f>'RESUMEN TOTAL'!AI181</f>
        <v>APAGADO</v>
      </c>
      <c r="AC141" s="70" t="str">
        <f>'RESUMEN TOTAL'!AJ181</f>
        <v>APAGADO</v>
      </c>
      <c r="AD141" s="70" t="str">
        <f>'RESUMEN TOTAL'!AK181</f>
        <v>APAGADO</v>
      </c>
      <c r="AE141" s="70" t="str">
        <f>'RESUMEN TOTAL'!AL181</f>
        <v>APAGADO</v>
      </c>
      <c r="AF141" s="70" t="str">
        <f>'RESUMEN TOTAL'!AM181</f>
        <v>APAGADO</v>
      </c>
      <c r="AG141" s="70" t="str">
        <f>'RESUMEN TOTAL'!AN181</f>
        <v>APAGADO</v>
      </c>
      <c r="AH141" s="70" t="str">
        <f>'RESUMEN TOTAL'!AO181</f>
        <v>APAGADO</v>
      </c>
      <c r="AI141" s="70" t="str">
        <f>'RESUMEN TOTAL'!AP181</f>
        <v>APAGADO</v>
      </c>
      <c r="AJ141" s="70" t="str">
        <f>'RESUMEN TOTAL'!AQ181</f>
        <v>APAGADO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 t="str">
        <f>'RESUMEN TOTAL'!AC182</f>
        <v>APAGADO</v>
      </c>
      <c r="W142" s="70" t="str">
        <f>'RESUMEN TOTAL'!AD182</f>
        <v>APAGADO</v>
      </c>
      <c r="X142" s="70" t="str">
        <f>'RESUMEN TOTAL'!AE182</f>
        <v>APAGADO</v>
      </c>
      <c r="Y142" s="70" t="str">
        <f>'RESUMEN TOTAL'!AF182</f>
        <v>APAGADO</v>
      </c>
      <c r="Z142" s="70" t="str">
        <f>'RESUMEN TOTAL'!AG182</f>
        <v>APAGADO</v>
      </c>
      <c r="AA142" s="70" t="str">
        <f>'RESUMEN TOTAL'!AH182</f>
        <v>APAGADO</v>
      </c>
      <c r="AB142" s="70" t="str">
        <f>'RESUMEN TOTAL'!AI182</f>
        <v>APAGADO</v>
      </c>
      <c r="AC142" s="70" t="str">
        <f>'RESUMEN TOTAL'!AJ182</f>
        <v>APAGADO</v>
      </c>
      <c r="AD142" s="70" t="str">
        <f>'RESUMEN TOTAL'!AK182</f>
        <v>APAGADO</v>
      </c>
      <c r="AE142" s="70" t="str">
        <f>'RESUMEN TOTAL'!AL182</f>
        <v>APAGADO</v>
      </c>
      <c r="AF142" s="70" t="str">
        <f>'RESUMEN TOTAL'!AM182</f>
        <v>APAGADO</v>
      </c>
      <c r="AG142" s="70" t="str">
        <f>'RESUMEN TOTAL'!AN182</f>
        <v>APAGADO</v>
      </c>
      <c r="AH142" s="70" t="str">
        <f>'RESUMEN TOTAL'!AO182</f>
        <v>APAGADO</v>
      </c>
      <c r="AI142" s="70" t="str">
        <f>'RESUMEN TOTAL'!AP182</f>
        <v>APAGADO</v>
      </c>
      <c r="AJ142" s="70" t="str">
        <f>'RESUMEN TOTAL'!AQ182</f>
        <v>APAGADO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 t="str">
        <f>'RESUMEN TOTAL'!AC183</f>
        <v>APAGADO</v>
      </c>
      <c r="W143" s="70" t="str">
        <f>'RESUMEN TOTAL'!AD183</f>
        <v>APAGADO</v>
      </c>
      <c r="X143" s="70" t="str">
        <f>'RESUMEN TOTAL'!AE183</f>
        <v>APAGADO</v>
      </c>
      <c r="Y143" s="70" t="str">
        <f>'RESUMEN TOTAL'!AF183</f>
        <v>APAGADO</v>
      </c>
      <c r="Z143" s="70" t="str">
        <f>'RESUMEN TOTAL'!AG183</f>
        <v>APAGADO</v>
      </c>
      <c r="AA143" s="70" t="str">
        <f>'RESUMEN TOTAL'!AH183</f>
        <v>APAGADO</v>
      </c>
      <c r="AB143" s="70" t="str">
        <f>'RESUMEN TOTAL'!AI183</f>
        <v>APAGADO</v>
      </c>
      <c r="AC143" s="70" t="str">
        <f>'RESUMEN TOTAL'!AJ183</f>
        <v>APAGADO</v>
      </c>
      <c r="AD143" s="70" t="str">
        <f>'RESUMEN TOTAL'!AK183</f>
        <v>APAGADO</v>
      </c>
      <c r="AE143" s="70" t="str">
        <f>'RESUMEN TOTAL'!AL183</f>
        <v>APAGADO</v>
      </c>
      <c r="AF143" s="70" t="str">
        <f>'RESUMEN TOTAL'!AM183</f>
        <v>APAGADO</v>
      </c>
      <c r="AG143" s="70" t="str">
        <f>'RESUMEN TOTAL'!AN183</f>
        <v>APAGADO</v>
      </c>
      <c r="AH143" s="70" t="str">
        <f>'RESUMEN TOTAL'!AO183</f>
        <v>APAGADO</v>
      </c>
      <c r="AI143" s="70" t="str">
        <f>'RESUMEN TOTAL'!AP183</f>
        <v>APAGADO</v>
      </c>
      <c r="AJ143" s="70" t="str">
        <f>'RESUMEN TOTAL'!AQ183</f>
        <v>APAGADO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 t="str">
        <f>'RESUMEN TOTAL'!AM191</f>
        <v>APAGADO</v>
      </c>
      <c r="AG146" s="70" t="str">
        <f>'RESUMEN TOTAL'!AN191</f>
        <v>APAGADO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 t="str">
        <f>'RESUMEN TOTAL'!AM192</f>
        <v>APAGADO</v>
      </c>
      <c r="AG147" s="70" t="str">
        <f>'RESUMEN TOTAL'!AN192</f>
        <v>APAGADO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>
        <f>'RESUMEN TOTAL'!AC193</f>
        <v>0</v>
      </c>
      <c r="W148" s="70" t="str">
        <f>'RESUMEN TOTAL'!AD193</f>
        <v>APAGADO</v>
      </c>
      <c r="X148" s="70" t="str">
        <f>'RESUMEN TOTAL'!AE193</f>
        <v>APAGADO</v>
      </c>
      <c r="Y148" s="70" t="str">
        <f>'RESUMEN TOTAL'!AF193</f>
        <v>APAGADO</v>
      </c>
      <c r="Z148" s="70" t="str">
        <f>'RESUMEN TOTAL'!AG193</f>
        <v>APAGADO</v>
      </c>
      <c r="AA148" s="70" t="str">
        <f>'RESUMEN TOTAL'!AH193</f>
        <v>APAGADO</v>
      </c>
      <c r="AB148" s="70" t="str">
        <f>'RESUMEN TOTAL'!AI193</f>
        <v>APAGADO</v>
      </c>
      <c r="AC148" s="70" t="str">
        <f>'RESUMEN TOTAL'!AJ193</f>
        <v>APAGADO</v>
      </c>
      <c r="AD148" s="70" t="str">
        <f>'RESUMEN TOTAL'!AK193</f>
        <v>APAGADO</v>
      </c>
      <c r="AE148" s="70" t="str">
        <f>'RESUMEN TOTAL'!AL193</f>
        <v>APAGADO</v>
      </c>
      <c r="AF148" s="70" t="str">
        <f>'RESUMEN TOTAL'!AM193</f>
        <v>APAGADO</v>
      </c>
      <c r="AG148" s="70" t="str">
        <f>'RESUMEN TOTAL'!AN193</f>
        <v>APAGADO</v>
      </c>
      <c r="AH148" s="70" t="str">
        <f>'RESUMEN TOTAL'!AO193</f>
        <v>APAGADO</v>
      </c>
      <c r="AI148" s="70" t="str">
        <f>'RESUMEN TOTAL'!AP193</f>
        <v>APAGADO</v>
      </c>
      <c r="AJ148" s="70" t="str">
        <f>'RESUMEN TOTAL'!AQ193</f>
        <v>APAGADO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 t="str">
        <f>'RESUMEN TOTAL'!W194</f>
        <v>APAGADO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>
        <f>'RESUMEN TOTAL'!AC194</f>
        <v>0</v>
      </c>
      <c r="W149" s="70" t="str">
        <f>'RESUMEN TOTAL'!AD194</f>
        <v>APAGADO</v>
      </c>
      <c r="X149" s="70" t="str">
        <f>'RESUMEN TOTAL'!AE194</f>
        <v>APAGADO</v>
      </c>
      <c r="Y149" s="70" t="str">
        <f>'RESUMEN TOTAL'!AF194</f>
        <v>APAGADO</v>
      </c>
      <c r="Z149" s="70" t="str">
        <f>'RESUMEN TOTAL'!AG194</f>
        <v>APAGADO</v>
      </c>
      <c r="AA149" s="70" t="str">
        <f>'RESUMEN TOTAL'!AH194</f>
        <v>APAGADO</v>
      </c>
      <c r="AB149" s="70" t="str">
        <f>'RESUMEN TOTAL'!AI194</f>
        <v>APAGADO</v>
      </c>
      <c r="AC149" s="70" t="str">
        <f>'RESUMEN TOTAL'!AJ194</f>
        <v>APAGADO</v>
      </c>
      <c r="AD149" s="70" t="str">
        <f>'RESUMEN TOTAL'!AK194</f>
        <v>APAGADO</v>
      </c>
      <c r="AE149" s="70" t="str">
        <f>'RESUMEN TOTAL'!AL194</f>
        <v>APAGADO</v>
      </c>
      <c r="AF149" s="70" t="str">
        <f>'RESUMEN TOTAL'!AM194</f>
        <v>APAGADO</v>
      </c>
      <c r="AG149" s="70">
        <f>'RESUMEN TOTAL'!AN194</f>
        <v>0</v>
      </c>
      <c r="AH149" s="70" t="str">
        <f>'RESUMEN TOTAL'!AO194</f>
        <v>APAGADO</v>
      </c>
      <c r="AI149" s="70" t="str">
        <f>'RESUMEN TOTAL'!AP194</f>
        <v>APAGADO</v>
      </c>
      <c r="AJ149" s="70" t="str">
        <f>'RESUMEN TOTAL'!AQ194</f>
        <v>APAGADO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>
        <f>'RESUMEN TOTAL'!AC195</f>
        <v>0</v>
      </c>
      <c r="W150" s="70" t="str">
        <f>'RESUMEN TOTAL'!AD195</f>
        <v>APAGADO</v>
      </c>
      <c r="X150" s="70" t="str">
        <f>'RESUMEN TOTAL'!AE195</f>
        <v>APAGADO</v>
      </c>
      <c r="Y150" s="70" t="str">
        <f>'RESUMEN TOTAL'!AF195</f>
        <v>APAGADO</v>
      </c>
      <c r="Z150" s="70" t="str">
        <f>'RESUMEN TOTAL'!AG195</f>
        <v>APAGADO</v>
      </c>
      <c r="AA150" s="70">
        <f>'RESUMEN TOTAL'!AH195</f>
        <v>0</v>
      </c>
      <c r="AB150" s="70" t="str">
        <f>'RESUMEN TOTAL'!AI195</f>
        <v>APAGADO</v>
      </c>
      <c r="AC150" s="70" t="str">
        <f>'RESUMEN TOTAL'!AJ195</f>
        <v>APAGADO</v>
      </c>
      <c r="AD150" s="70" t="str">
        <f>'RESUMEN TOTAL'!AK195</f>
        <v>APAGADO</v>
      </c>
      <c r="AE150" s="70" t="str">
        <f>'RESUMEN TOTAL'!AL195</f>
        <v>APAGADO</v>
      </c>
      <c r="AF150" s="70" t="str">
        <f>'RESUMEN TOTAL'!AM195</f>
        <v>APAGADO</v>
      </c>
      <c r="AG150" s="70">
        <f>'RESUMEN TOTAL'!AN195</f>
        <v>0</v>
      </c>
      <c r="AH150" s="70" t="str">
        <f>'RESUMEN TOTAL'!AO195</f>
        <v>APAGADO</v>
      </c>
      <c r="AI150" s="70" t="str">
        <f>'RESUMEN TOTAL'!AP195</f>
        <v>APAGADO</v>
      </c>
      <c r="AJ150" s="70" t="str">
        <f>'RESUMEN TOTAL'!AQ195</f>
        <v>APAGADO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 t="str">
        <f>'RESUMEN TOTAL'!U200</f>
        <v>APAGADO</v>
      </c>
      <c r="O155" s="70">
        <f>'RESUMEN TOTAL'!V200</f>
        <v>0</v>
      </c>
      <c r="P155" s="70" t="str">
        <f>'RESUMEN TOTAL'!W200</f>
        <v>APAGADO</v>
      </c>
      <c r="Q155" s="70">
        <f>'RESUMEN TOTAL'!X200</f>
        <v>0</v>
      </c>
      <c r="R155" s="70" t="str">
        <f>'RESUMEN TOTAL'!Y200</f>
        <v>APAGADO</v>
      </c>
      <c r="S155" s="70" t="str">
        <f>'RESUMEN TOTAL'!Z200</f>
        <v>APAGADO</v>
      </c>
      <c r="T155" s="70" t="str">
        <f>'RESUMEN TOTAL'!AA200</f>
        <v>APAGADO</v>
      </c>
      <c r="U155" s="70" t="str">
        <f>'RESUMEN TOTAL'!AB200</f>
        <v>APAGADO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 t="str">
        <f>'RESUMEN TOTAL'!AJ200</f>
        <v>APAGADO</v>
      </c>
      <c r="AD155" s="70">
        <f>'RESUMEN TOTAL'!AK200</f>
        <v>0</v>
      </c>
      <c r="AE155" s="70" t="str">
        <f>'RESUMEN TOTAL'!AL200</f>
        <v>APAGADO</v>
      </c>
      <c r="AF155" s="70">
        <f>'RESUMEN TOTAL'!AM200</f>
        <v>0</v>
      </c>
      <c r="AG155" s="70">
        <f>'RESUMEN TOTAL'!AN200</f>
        <v>0</v>
      </c>
      <c r="AH155" s="70" t="str">
        <f>'RESUMEN TOTAL'!AO200</f>
        <v>APAGADO</v>
      </c>
      <c r="AI155" s="70">
        <f>'RESUMEN TOTAL'!AP200</f>
        <v>0</v>
      </c>
      <c r="AJ155" s="70" t="str">
        <f>'RESUMEN TOTAL'!AQ200</f>
        <v>APAGADO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 t="str">
        <f>'RESUMEN TOTAL'!X201</f>
        <v>APAGADO</v>
      </c>
      <c r="R156" s="70" t="str">
        <f>'RESUMEN TOTAL'!Y201</f>
        <v>APAGADO</v>
      </c>
      <c r="S156" s="70" t="str">
        <f>'RESUMEN TOTAL'!Z201</f>
        <v>APAGADO</v>
      </c>
      <c r="T156" s="70" t="str">
        <f>'RESUMEN TOTAL'!AA201</f>
        <v>APAGADO</v>
      </c>
      <c r="U156" s="70" t="str">
        <f>'RESUMEN TOTAL'!AB201</f>
        <v>APAGADO</v>
      </c>
      <c r="V156" s="70" t="str">
        <f>'RESUMEN TOTAL'!AC201</f>
        <v>APAGADO</v>
      </c>
      <c r="W156" s="70" t="str">
        <f>'RESUMEN TOTAL'!AD201</f>
        <v>APAGADO</v>
      </c>
      <c r="X156" s="70" t="str">
        <f>'RESUMEN TOTAL'!AE201</f>
        <v>APAGADO</v>
      </c>
      <c r="Y156" s="70" t="str">
        <f>'RESUMEN TOTAL'!AF201</f>
        <v>APAGADO</v>
      </c>
      <c r="Z156" s="70" t="str">
        <f>'RESUMEN TOTAL'!AG201</f>
        <v>APAGADO</v>
      </c>
      <c r="AA156" s="70" t="str">
        <f>'RESUMEN TOTAL'!AH201</f>
        <v>APAGADO</v>
      </c>
      <c r="AB156" s="70" t="str">
        <f>'RESUMEN TOTAL'!AI201</f>
        <v>APAGADO</v>
      </c>
      <c r="AC156" s="70" t="str">
        <f>'RESUMEN TOTAL'!AJ201</f>
        <v>APAGADO</v>
      </c>
      <c r="AD156" s="70" t="str">
        <f>'RESUMEN TOTAL'!AK201</f>
        <v>APAGADO</v>
      </c>
      <c r="AE156" s="70" t="str">
        <f>'RESUMEN TOTAL'!AL201</f>
        <v>APAGADO</v>
      </c>
      <c r="AF156" s="70" t="str">
        <f>'RESUMEN TOTAL'!AM201</f>
        <v>APAGADO</v>
      </c>
      <c r="AG156" s="70" t="str">
        <f>'RESUMEN TOTAL'!AN201</f>
        <v>APAGADO</v>
      </c>
      <c r="AH156" s="70" t="str">
        <f>'RESUMEN TOTAL'!AO201</f>
        <v>APAGADO</v>
      </c>
      <c r="AI156" s="70" t="str">
        <f>'RESUMEN TOTAL'!AP201</f>
        <v>APAGADO</v>
      </c>
      <c r="AJ156" s="70" t="str">
        <f>'RESUMEN TOTAL'!AQ201</f>
        <v>APAGADO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 t="str">
        <f>'RESUMEN TOTAL'!AO204</f>
        <v>APAGADO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 t="str">
        <f>'RESUMEN TOTAL'!AL205</f>
        <v>APAGADO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 t="str">
        <f>'RESUMEN TOTAL'!AL206</f>
        <v>APAGADO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 t="str">
        <f>'RESUMEN TOTAL'!W211</f>
        <v>APAGADO</v>
      </c>
      <c r="Q166" s="70" t="str">
        <f>'RESUMEN TOTAL'!X211</f>
        <v>APAGADO</v>
      </c>
      <c r="R166" s="70" t="str">
        <f>'RESUMEN TOTAL'!Y211</f>
        <v>APAGADO</v>
      </c>
      <c r="S166" s="70" t="str">
        <f>'RESUMEN TOTAL'!Z211</f>
        <v>APAGADO</v>
      </c>
      <c r="T166" s="70" t="str">
        <f>'RESUMEN TOTAL'!AA211</f>
        <v>APAGADO</v>
      </c>
      <c r="U166" s="70" t="str">
        <f>'RESUMEN TOTAL'!AB211</f>
        <v>APAGADO</v>
      </c>
      <c r="V166" s="70" t="str">
        <f>'RESUMEN TOTAL'!AC211</f>
        <v>APAGADO</v>
      </c>
      <c r="W166" s="70" t="str">
        <f>'RESUMEN TOTAL'!AD211</f>
        <v>APAGADO</v>
      </c>
      <c r="X166" s="70" t="str">
        <f>'RESUMEN TOTAL'!AE211</f>
        <v>APAGADO</v>
      </c>
      <c r="Y166" s="70" t="str">
        <f>'RESUMEN TOTAL'!AF211</f>
        <v>APAGADO</v>
      </c>
      <c r="Z166" s="70" t="str">
        <f>'RESUMEN TOTAL'!AG211</f>
        <v>APAGADO</v>
      </c>
      <c r="AA166" s="70" t="str">
        <f>'RESUMEN TOTAL'!AH211</f>
        <v>APAGADO</v>
      </c>
      <c r="AB166" s="70" t="str">
        <f>'RESUMEN TOTAL'!AI211</f>
        <v>APAGADO</v>
      </c>
      <c r="AC166" s="70" t="str">
        <f>'RESUMEN TOTAL'!AJ211</f>
        <v>APAGADO</v>
      </c>
      <c r="AD166" s="70" t="str">
        <f>'RESUMEN TOTAL'!AK211</f>
        <v>APAGADO</v>
      </c>
      <c r="AE166" s="70" t="str">
        <f>'RESUMEN TOTAL'!AL211</f>
        <v>APAGADO</v>
      </c>
      <c r="AF166" s="70" t="str">
        <f>'RESUMEN TOTAL'!AM211</f>
        <v>APAGADO</v>
      </c>
      <c r="AG166" s="70" t="str">
        <f>'RESUMEN TOTAL'!AN211</f>
        <v>APAGADO</v>
      </c>
      <c r="AH166" s="70" t="str">
        <f>'RESUMEN TOTAL'!AO211</f>
        <v>APAGADO</v>
      </c>
      <c r="AI166" s="70" t="str">
        <f>'RESUMEN TOTAL'!AP211</f>
        <v>APAGADO</v>
      </c>
      <c r="AJ166" s="70" t="str">
        <f>'RESUMEN TOTAL'!AQ211</f>
        <v>APAGADO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 t="str">
        <f>'RESUMEN TOTAL'!X219</f>
        <v>APAGADO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 t="str">
        <f>'RESUMEN TOTAL'!AE219</f>
        <v>APAGADO</v>
      </c>
      <c r="Y170" s="70" t="str">
        <f>'RESUMEN TOTAL'!AF219</f>
        <v>APAGADO</v>
      </c>
      <c r="Z170" s="70" t="str">
        <f>'RESUMEN TOTAL'!AG219</f>
        <v>APAGADO</v>
      </c>
      <c r="AA170" s="70" t="str">
        <f>'RESUMEN TOTAL'!AH219</f>
        <v>APAGADO</v>
      </c>
      <c r="AB170" s="70" t="str">
        <f>'RESUMEN TOTAL'!AI219</f>
        <v>APAGADO</v>
      </c>
      <c r="AC170" s="70" t="str">
        <f>'RESUMEN TOTAL'!AJ219</f>
        <v>APAGADO</v>
      </c>
      <c r="AD170" s="70" t="str">
        <f>'RESUMEN TOTAL'!AK219</f>
        <v>APAGADO</v>
      </c>
      <c r="AE170" s="70" t="str">
        <f>'RESUMEN TOTAL'!AL219</f>
        <v>APAGADO</v>
      </c>
      <c r="AF170" s="70" t="str">
        <f>'RESUMEN TOTAL'!AM219</f>
        <v>APAGADO</v>
      </c>
      <c r="AG170" s="70" t="str">
        <f>'RESUMEN TOTAL'!AN219</f>
        <v>APAGADO</v>
      </c>
      <c r="AH170" s="70" t="str">
        <f>'RESUMEN TOTAL'!AO219</f>
        <v>APAGADO</v>
      </c>
      <c r="AI170" s="70" t="str">
        <f>'RESUMEN TOTAL'!AP219</f>
        <v>APAGADO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 t="str">
        <f>'RESUMEN TOTAL'!X220</f>
        <v>APAGADO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 t="str">
        <f>'RESUMEN TOTAL'!AE220</f>
        <v>APAGADO</v>
      </c>
      <c r="Y171" s="70" t="str">
        <f>'RESUMEN TOTAL'!AF220</f>
        <v>APAGADO</v>
      </c>
      <c r="Z171" s="70" t="str">
        <f>'RESUMEN TOTAL'!AG220</f>
        <v>APAGADO</v>
      </c>
      <c r="AA171" s="70" t="str">
        <f>'RESUMEN TOTAL'!AH220</f>
        <v>APAGADO</v>
      </c>
      <c r="AB171" s="70" t="str">
        <f>'RESUMEN TOTAL'!AI220</f>
        <v>APAGADO</v>
      </c>
      <c r="AC171" s="70" t="str">
        <f>'RESUMEN TOTAL'!AJ220</f>
        <v>APAGADO</v>
      </c>
      <c r="AD171" s="70" t="str">
        <f>'RESUMEN TOTAL'!AK220</f>
        <v>APAGADO</v>
      </c>
      <c r="AE171" s="70" t="str">
        <f>'RESUMEN TOTAL'!AL220</f>
        <v>APAGADO</v>
      </c>
      <c r="AF171" s="70" t="str">
        <f>'RESUMEN TOTAL'!AM220</f>
        <v>APAGADO</v>
      </c>
      <c r="AG171" s="70" t="str">
        <f>'RESUMEN TOTAL'!AN220</f>
        <v>APAGADO</v>
      </c>
      <c r="AH171" s="70" t="str">
        <f>'RESUMEN TOTAL'!AO220</f>
        <v>APAGADO</v>
      </c>
      <c r="AI171" s="70" t="str">
        <f>'RESUMEN TOTAL'!AP220</f>
        <v>APAGADO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>
        <f>'RESUMEN TOTAL'!R232</f>
        <v>0</v>
      </c>
      <c r="L179" s="70">
        <f>'RESUMEN TOTAL'!S232</f>
        <v>0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 t="str">
        <f>'RESUMEN TOTAL'!AC232</f>
        <v>APAGADO</v>
      </c>
      <c r="W179" s="70" t="str">
        <f>'RESUMEN TOTAL'!AD232</f>
        <v>APAGADO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 t="str">
        <f>'RESUMEN TOTAL'!AI232</f>
        <v>APAGADO</v>
      </c>
      <c r="AC179" s="70" t="str">
        <f>'RESUMEN TOTAL'!AJ232</f>
        <v>APAGADO</v>
      </c>
      <c r="AD179" s="70" t="str">
        <f>'RESUMEN TOTAL'!AK232</f>
        <v>APAGADO</v>
      </c>
      <c r="AE179" s="70" t="str">
        <f>'RESUMEN TOTAL'!AL232</f>
        <v>APAGADO</v>
      </c>
      <c r="AF179" s="70" t="str">
        <f>'RESUMEN TOTAL'!AM232</f>
        <v>APAGADO</v>
      </c>
      <c r="AG179" s="70" t="str">
        <f>'RESUMEN TOTAL'!AN232</f>
        <v>APAGADO</v>
      </c>
      <c r="AH179" s="70" t="str">
        <f>'RESUMEN TOTAL'!AO232</f>
        <v>APAGADO</v>
      </c>
      <c r="AI179" s="70" t="str">
        <f>'RESUMEN TOTAL'!AP232</f>
        <v>APAGADO</v>
      </c>
      <c r="AJ179" s="70" t="str">
        <f>'RESUMEN TOTAL'!AQ232</f>
        <v>APAGADO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>
        <f>'RESUMEN TOTAL'!R233</f>
        <v>0</v>
      </c>
      <c r="L180" s="70">
        <f>'RESUMEN TOTAL'!S233</f>
        <v>0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 t="str">
        <f>'RESUMEN TOTAL'!AD233</f>
        <v>APAGADO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 t="str">
        <f>'RESUMEN TOTAL'!AM233</f>
        <v>APAGADO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 t="str">
        <f>'RESUMEN TOTAL'!U234</f>
        <v>APAGADO</v>
      </c>
      <c r="O181" s="70" t="str">
        <f>'RESUMEN TOTAL'!V234</f>
        <v>APAGADO</v>
      </c>
      <c r="P181" s="70" t="str">
        <f>'RESUMEN TOTAL'!W234</f>
        <v>APAGADO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 t="str">
        <f>'RESUMEN TOTAL'!AD234</f>
        <v>APAGADO</v>
      </c>
      <c r="X181" s="70">
        <f>'RESUMEN TOTAL'!AE234</f>
        <v>0</v>
      </c>
      <c r="Y181" s="70" t="str">
        <f>'RESUMEN TOTAL'!AF234</f>
        <v>APAGADO</v>
      </c>
      <c r="Z181" s="70" t="str">
        <f>'RESUMEN TOTAL'!AG234</f>
        <v>APAGADO</v>
      </c>
      <c r="AA181" s="70" t="str">
        <f>'RESUMEN TOTAL'!AH234</f>
        <v>APAGADO</v>
      </c>
      <c r="AB181" s="70" t="str">
        <f>'RESUMEN TOTAL'!AI234</f>
        <v>APAGADO</v>
      </c>
      <c r="AC181" s="70" t="str">
        <f>'RESUMEN TOTAL'!AJ234</f>
        <v>APAGADO</v>
      </c>
      <c r="AD181" s="70" t="str">
        <f>'RESUMEN TOTAL'!AK234</f>
        <v>APAGADO</v>
      </c>
      <c r="AE181" s="70" t="str">
        <f>'RESUMEN TOTAL'!AL234</f>
        <v>APAGADO</v>
      </c>
      <c r="AF181" s="70" t="str">
        <f>'RESUMEN TOTAL'!AM234</f>
        <v>APAGADO</v>
      </c>
      <c r="AG181" s="70" t="str">
        <f>'RESUMEN TOTAL'!AN234</f>
        <v>APAGADO</v>
      </c>
      <c r="AH181" s="70" t="str">
        <f>'RESUMEN TOTAL'!AO234</f>
        <v>APAGADO</v>
      </c>
      <c r="AI181" s="70" t="str">
        <f>'RESUMEN TOTAL'!AP234</f>
        <v>APAGADO</v>
      </c>
      <c r="AJ181" s="70" t="str">
        <f>'RESUMEN TOTAL'!AQ234</f>
        <v>APAGADO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>
        <f>'RESUMEN TOTAL'!R235</f>
        <v>0</v>
      </c>
      <c r="L182" s="70">
        <f>'RESUMEN TOTAL'!S235</f>
        <v>0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 t="str">
        <f>'RESUMEN TOTAL'!AD235</f>
        <v>APAGADO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>
        <f>'RESUMEN TOTAL'!R236</f>
        <v>0</v>
      </c>
      <c r="L183" s="70">
        <f>'RESUMEN TOTAL'!S236</f>
        <v>0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 t="str">
        <f>'RESUMEN TOTAL'!AD236</f>
        <v>APAGADO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 t="str">
        <f>'RESUMEN TOTAL'!AD237</f>
        <v>APAGADO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 t="str">
        <f>'RESUMEN TOTAL'!AD239</f>
        <v>APAGADO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 t="str">
        <f>'RESUMEN TOTAL'!AD240</f>
        <v>APAGADO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>
        <f>'RESUMEN TOTAL'!N241</f>
        <v>0</v>
      </c>
      <c r="H188" s="70">
        <f>'RESUMEN TOTAL'!O241</f>
        <v>0</v>
      </c>
      <c r="I188" s="70">
        <f>'RESUMEN TOTAL'!P241</f>
        <v>0</v>
      </c>
      <c r="J188" s="70">
        <f>'RESUMEN TOTAL'!Q241</f>
        <v>0</v>
      </c>
      <c r="K188" s="70">
        <f>'RESUMEN TOTAL'!R241</f>
        <v>0</v>
      </c>
      <c r="L188" s="70">
        <f>'RESUMEN TOTAL'!S241</f>
        <v>0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 t="str">
        <f>'RESUMEN TOTAL'!AC241</f>
        <v>APAGADO</v>
      </c>
      <c r="W188" s="70" t="str">
        <f>'RESUMEN TOTAL'!AD241</f>
        <v>APAGADO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>
        <f>'RESUMEN TOTAL'!R242</f>
        <v>0</v>
      </c>
      <c r="L189" s="70">
        <f>'RESUMEN TOTAL'!S242</f>
        <v>0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 t="str">
        <f>'RESUMEN TOTAL'!AD242</f>
        <v>APAGADO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 t="str">
        <f>'RESUMEN TOTAL'!AM242</f>
        <v>APAGADO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>
        <f>'RESUMEN TOTAL'!R243</f>
        <v>0</v>
      </c>
      <c r="L190" s="70">
        <f>'RESUMEN TOTAL'!S243</f>
        <v>0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 t="str">
        <f>'RESUMEN TOTAL'!AD243</f>
        <v>APAGADO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 t="str">
        <f>'RESUMEN TOTAL'!AM243</f>
        <v>APAGADO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 t="str">
        <f>'RESUMEN TOTAL'!M244</f>
        <v>APAGADO</v>
      </c>
      <c r="G191" s="70" t="str">
        <f>'RESUMEN TOTAL'!N244</f>
        <v>APAGADO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>
        <f>'RESUMEN TOTAL'!S244</f>
        <v>0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 t="str">
        <f>'RESUMEN TOTAL'!AD244</f>
        <v>APAGADO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>
        <f>'RESUMEN TOTAL'!R245</f>
        <v>0</v>
      </c>
      <c r="L192" s="70">
        <f>'RESUMEN TOTAL'!S245</f>
        <v>0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 t="str">
        <f>'RESUMEN TOTAL'!AD245</f>
        <v>APAGADO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>
        <f>'RESUMEN TOTAL'!O246</f>
        <v>0</v>
      </c>
      <c r="I193" s="70">
        <f>'RESUMEN TOTAL'!P246</f>
        <v>0</v>
      </c>
      <c r="J193" s="70">
        <f>'RESUMEN TOTAL'!Q246</f>
        <v>0</v>
      </c>
      <c r="K193" s="70">
        <f>'RESUMEN TOTAL'!R246</f>
        <v>0</v>
      </c>
      <c r="L193" s="70">
        <f>'RESUMEN TOTAL'!S246</f>
        <v>0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 t="str">
        <f>'RESUMEN TOTAL'!AC246</f>
        <v>APAGADO</v>
      </c>
      <c r="W193" s="70" t="str">
        <f>'RESUMEN TOTAL'!AD246</f>
        <v>APAGADO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 t="str">
        <f>'RESUMEN TOTAL'!AK246</f>
        <v>APAGADO</v>
      </c>
      <c r="AE193" s="70" t="str">
        <f>'RESUMEN TOTAL'!AL246</f>
        <v>APAGADO</v>
      </c>
      <c r="AF193" s="70" t="str">
        <f>'RESUMEN TOTAL'!AM246</f>
        <v>APAGADO</v>
      </c>
      <c r="AG193" s="70" t="str">
        <f>'RESUMEN TOTAL'!AN246</f>
        <v>APAGADO</v>
      </c>
      <c r="AH193" s="70" t="str">
        <f>'RESUMEN TOTAL'!AO246</f>
        <v>APAGADO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 t="str">
        <f>'RESUMEN TOTAL'!M247</f>
        <v>APAGADO</v>
      </c>
      <c r="G194" s="70" t="str">
        <f>'RESUMEN TOTAL'!N247</f>
        <v>APAGADO</v>
      </c>
      <c r="H194" s="70" t="str">
        <f>'RESUMEN TOTAL'!O247</f>
        <v>APAGADO</v>
      </c>
      <c r="I194" s="70" t="str">
        <f>'RESUMEN TOTAL'!P247</f>
        <v>APAGADO</v>
      </c>
      <c r="J194" s="70" t="str">
        <f>'RESUMEN TOTAL'!Q247</f>
        <v>APAGADO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 t="str">
        <f>'RESUMEN TOTAL'!M248</f>
        <v>APAGADO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 t="str">
        <f>'RESUMEN TOTAL'!AQ250</f>
        <v>APAGADO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 t="str">
        <f>'RESUMEN TOTAL'!AQ251</f>
        <v>APAGADO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 t="str">
        <f>'RESUMEN TOTAL'!AQ252</f>
        <v>APAGADO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 t="str">
        <f>'RESUMEN TOTAL'!R257</f>
        <v>APAGADO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 t="str">
        <f>'RESUMEN TOTAL'!P258</f>
        <v>APAGADO</v>
      </c>
      <c r="J205" s="70" t="str">
        <f>'RESUMEN TOTAL'!Q258</f>
        <v>APAGADO</v>
      </c>
      <c r="K205" s="70" t="str">
        <f>'RESUMEN TOTAL'!R258</f>
        <v>APAGADO</v>
      </c>
      <c r="L205" s="70" t="str">
        <f>'RESUMEN TOTAL'!S258</f>
        <v>APAGADO</v>
      </c>
      <c r="M205" s="70" t="str">
        <f>'RESUMEN TOTAL'!T258</f>
        <v>APAGADO</v>
      </c>
      <c r="N205" s="70" t="str">
        <f>'RESUMEN TOTAL'!U258</f>
        <v>APAGADO</v>
      </c>
      <c r="O205" s="70" t="str">
        <f>'RESUMEN TOTAL'!V258</f>
        <v>APAGADO</v>
      </c>
      <c r="P205" s="70" t="str">
        <f>'RESUMEN TOTAL'!W258</f>
        <v>APAGADO</v>
      </c>
      <c r="Q205" s="70" t="str">
        <f>'RESUMEN TOTAL'!X258</f>
        <v>APAGADO</v>
      </c>
      <c r="R205" s="70" t="str">
        <f>'RESUMEN TOTAL'!Y258</f>
        <v>APAGADO</v>
      </c>
      <c r="S205" s="70" t="str">
        <f>'RESUMEN TOTAL'!Z258</f>
        <v>APAGADO</v>
      </c>
      <c r="T205" s="70" t="str">
        <f>'RESUMEN TOTAL'!AA258</f>
        <v>APAGADO</v>
      </c>
      <c r="U205" s="70" t="str">
        <f>'RESUMEN TOTAL'!AB258</f>
        <v>APAGADO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 t="str">
        <f>'RESUMEN TOTAL'!M260</f>
        <v>APAGADO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>
        <f>'RESUMEN TOTAL'!R260</f>
        <v>0</v>
      </c>
      <c r="L207" s="70">
        <f>'RESUMEN TOTAL'!S260</f>
        <v>0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 t="str">
        <f>'RESUMEN TOTAL'!AD260</f>
        <v>APAGADO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 t="str">
        <f>'RESUMEN TOTAL'!AM260</f>
        <v>APAGADO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 t="str">
        <f>'RESUMEN TOTAL'!M262</f>
        <v>APAGADO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>
        <f>'RESUMEN TOTAL'!R262</f>
        <v>0</v>
      </c>
      <c r="L209" s="70">
        <f>'RESUMEN TOTAL'!S262</f>
        <v>0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 t="str">
        <f>'RESUMEN TOTAL'!AD262</f>
        <v>APAGADO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 t="str">
        <f>'RESUMEN TOTAL'!AM262</f>
        <v>APAGADO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>
        <f>'RESUMEN TOTAL'!N263</f>
        <v>0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>
        <f>'RESUMEN TOTAL'!M264</f>
        <v>0</v>
      </c>
      <c r="G211" s="70">
        <f>'RESUMEN TOTAL'!N264</f>
        <v>0</v>
      </c>
      <c r="H211" s="70">
        <f>'RESUMEN TOTAL'!O264</f>
        <v>0</v>
      </c>
      <c r="I211" s="70">
        <f>'RESUMEN TOTAL'!P264</f>
        <v>0</v>
      </c>
      <c r="J211" s="70">
        <f>'RESUMEN TOTAL'!Q264</f>
        <v>0</v>
      </c>
      <c r="K211" s="70">
        <f>'RESUMEN TOTAL'!R264</f>
        <v>0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 t="str">
        <f>'RESUMEN TOTAL'!AN264</f>
        <v>APAGADO</v>
      </c>
      <c r="AH211" s="70" t="str">
        <f>'RESUMEN TOTAL'!AO264</f>
        <v>APAGADO</v>
      </c>
      <c r="AI211" s="70" t="str">
        <f>'RESUMEN TOTAL'!AP264</f>
        <v>APAGADO</v>
      </c>
      <c r="AJ211" s="70" t="str">
        <f>'RESUMEN TOTAL'!AQ264</f>
        <v>APAGADO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>
        <f>'RESUMEN TOTAL'!R266</f>
        <v>0</v>
      </c>
      <c r="L213" s="70">
        <f>'RESUMEN TOTAL'!S266</f>
        <v>0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 t="str">
        <f>'RESUMEN TOTAL'!AD266</f>
        <v>APAGADO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 t="str">
        <f>'RESUMEN TOTAL'!W281</f>
        <v>APAGADO</v>
      </c>
      <c r="Q224" s="70" t="str">
        <f>'RESUMEN TOTAL'!X281</f>
        <v>APAGADO</v>
      </c>
      <c r="R224" s="70" t="str">
        <f>'RESUMEN TOTAL'!Y281</f>
        <v>APAGADO</v>
      </c>
      <c r="S224" s="70">
        <f>'RESUMEN TOTAL'!Z281</f>
        <v>0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 t="str">
        <f>'RESUMEN TOTAL'!AD281</f>
        <v>APAGADO</v>
      </c>
      <c r="X224" s="70" t="str">
        <f>'RESUMEN TOTAL'!AE281</f>
        <v>APAGADO</v>
      </c>
      <c r="Y224" s="70" t="str">
        <f>'RESUMEN TOTAL'!AF281</f>
        <v>APAGADO</v>
      </c>
      <c r="Z224" s="70" t="str">
        <f>'RESUMEN TOTAL'!AG281</f>
        <v>APAGADO</v>
      </c>
      <c r="AA224" s="70" t="str">
        <f>'RESUMEN TOTAL'!AH281</f>
        <v>APAGADO</v>
      </c>
      <c r="AB224" s="70" t="str">
        <f>'RESUMEN TOTAL'!AI281</f>
        <v>APAGADO</v>
      </c>
      <c r="AC224" s="70" t="str">
        <f>'RESUMEN TOTAL'!AJ281</f>
        <v>APAGADO</v>
      </c>
      <c r="AD224" s="70" t="str">
        <f>'RESUMEN TOTAL'!AK281</f>
        <v>APAGADO</v>
      </c>
      <c r="AE224" s="70" t="str">
        <f>'RESUMEN TOTAL'!AL281</f>
        <v>APAGADO</v>
      </c>
      <c r="AF224" s="70" t="str">
        <f>'RESUMEN TOTAL'!AM281</f>
        <v>APAGADO</v>
      </c>
      <c r="AG224" s="70" t="str">
        <f>'RESUMEN TOTAL'!AN281</f>
        <v>APAGADO</v>
      </c>
      <c r="AH224" s="70" t="str">
        <f>'RESUMEN TOTAL'!AO281</f>
        <v>APAGADO</v>
      </c>
      <c r="AI224" s="70" t="str">
        <f>'RESUMEN TOTAL'!AP281</f>
        <v>APAGADO</v>
      </c>
      <c r="AJ224" s="70" t="str">
        <f>'RESUMEN TOTAL'!AQ281</f>
        <v>APAGADO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 t="str">
        <f>'RESUMEN TOTAL'!N283</f>
        <v>APAGADO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 t="str">
        <f>'RESUMEN TOTAL'!W290</f>
        <v>APAGADO</v>
      </c>
      <c r="Q230" s="70" t="str">
        <f>'RESUMEN TOTAL'!X290</f>
        <v>APAGADO</v>
      </c>
      <c r="R230" s="70" t="str">
        <f>'RESUMEN TOTAL'!Y290</f>
        <v>APAGADO</v>
      </c>
      <c r="S230" s="70" t="str">
        <f>'RESUMEN TOTAL'!Z290</f>
        <v>APAGADO</v>
      </c>
      <c r="T230" s="70" t="str">
        <f>'RESUMEN TOTAL'!AA290</f>
        <v>APAGADO</v>
      </c>
      <c r="U230" s="70" t="str">
        <f>'RESUMEN TOTAL'!AB290</f>
        <v>APAGADO</v>
      </c>
      <c r="V230" s="70" t="str">
        <f>'RESUMEN TOTAL'!AC290</f>
        <v>APAGADO</v>
      </c>
      <c r="W230" s="70" t="str">
        <f>'RESUMEN TOTAL'!AD290</f>
        <v>APAGADO</v>
      </c>
      <c r="X230" s="70" t="str">
        <f>'RESUMEN TOTAL'!AE290</f>
        <v>APAGADO</v>
      </c>
      <c r="Y230" s="70" t="str">
        <f>'RESUMEN TOTAL'!AF290</f>
        <v>APAGADO</v>
      </c>
      <c r="Z230" s="70" t="str">
        <f>'RESUMEN TOTAL'!AG290</f>
        <v>APAGADO</v>
      </c>
      <c r="AA230" s="70" t="str">
        <f>'RESUMEN TOTAL'!AH290</f>
        <v>APAGADO</v>
      </c>
      <c r="AB230" s="70" t="str">
        <f>'RESUMEN TOTAL'!AI290</f>
        <v>APAGADO</v>
      </c>
      <c r="AC230" s="70" t="str">
        <f>'RESUMEN TOTAL'!AJ290</f>
        <v>APAGADO</v>
      </c>
      <c r="AD230" s="70" t="str">
        <f>'RESUMEN TOTAL'!AK290</f>
        <v>APAGADO</v>
      </c>
      <c r="AE230" s="70" t="str">
        <f>'RESUMEN TOTAL'!AL290</f>
        <v>APAGADO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 t="str">
        <f>'RESUMEN TOTAL'!W291</f>
        <v>APAGADO</v>
      </c>
      <c r="Q231" s="70" t="str">
        <f>'RESUMEN TOTAL'!X291</f>
        <v>APAGADO</v>
      </c>
      <c r="R231" s="70" t="str">
        <f>'RESUMEN TOTAL'!Y291</f>
        <v>APAGADO</v>
      </c>
      <c r="S231" s="70" t="str">
        <f>'RESUMEN TOTAL'!Z291</f>
        <v>APAGADO</v>
      </c>
      <c r="T231" s="70" t="str">
        <f>'RESUMEN TOTAL'!AA291</f>
        <v>APAGADO</v>
      </c>
      <c r="U231" s="70" t="str">
        <f>'RESUMEN TOTAL'!AB291</f>
        <v>APAGADO</v>
      </c>
      <c r="V231" s="70" t="str">
        <f>'RESUMEN TOTAL'!AC291</f>
        <v>APAGADO</v>
      </c>
      <c r="W231" s="70" t="str">
        <f>'RESUMEN TOTAL'!AD291</f>
        <v>APAGADO</v>
      </c>
      <c r="X231" s="70" t="str">
        <f>'RESUMEN TOTAL'!AE291</f>
        <v>APAGADO</v>
      </c>
      <c r="Y231" s="70" t="str">
        <f>'RESUMEN TOTAL'!AF291</f>
        <v>APAGADO</v>
      </c>
      <c r="Z231" s="70" t="str">
        <f>'RESUMEN TOTAL'!AG291</f>
        <v>APAGADO</v>
      </c>
      <c r="AA231" s="70" t="str">
        <f>'RESUMEN TOTAL'!AH291</f>
        <v>APAGADO</v>
      </c>
      <c r="AB231" s="70" t="str">
        <f>'RESUMEN TOTAL'!AI291</f>
        <v>APAGADO</v>
      </c>
      <c r="AC231" s="70" t="str">
        <f>'RESUMEN TOTAL'!AJ291</f>
        <v>APAGADO</v>
      </c>
      <c r="AD231" s="70" t="str">
        <f>'RESUMEN TOTAL'!AK291</f>
        <v>APAGADO</v>
      </c>
      <c r="AE231" s="70" t="str">
        <f>'RESUMEN TOTAL'!AL291</f>
        <v>APAGADO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 t="str">
        <f>'RESUMEN TOTAL'!W296</f>
        <v>APAGADO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 t="str">
        <f>'RESUMEN TOTAL'!AD296</f>
        <v>APAGADO</v>
      </c>
      <c r="X236" s="70" t="str">
        <f>'RESUMEN TOTAL'!AE296</f>
        <v>APAGADO</v>
      </c>
      <c r="Y236" s="70" t="str">
        <f>'RESUMEN TOTAL'!AF296</f>
        <v>APAGADO</v>
      </c>
      <c r="Z236" s="70" t="str">
        <f>'RESUMEN TOTAL'!AG296</f>
        <v>APAGADO</v>
      </c>
      <c r="AA236" s="70" t="str">
        <f>'RESUMEN TOTAL'!AH296</f>
        <v>APAGADO</v>
      </c>
      <c r="AB236" s="70" t="str">
        <f>'RESUMEN TOTAL'!AI296</f>
        <v>APAGADO</v>
      </c>
      <c r="AC236" s="70" t="str">
        <f>'RESUMEN TOTAL'!AJ296</f>
        <v>APAGADO</v>
      </c>
      <c r="AD236" s="70" t="str">
        <f>'RESUMEN TOTAL'!AK296</f>
        <v>APAGADO</v>
      </c>
      <c r="AE236" s="70" t="str">
        <f>'RESUMEN TOTAL'!AL296</f>
        <v>APAGADO</v>
      </c>
      <c r="AF236" s="70" t="str">
        <f>'RESUMEN TOTAL'!AM296</f>
        <v>APAGADO</v>
      </c>
      <c r="AG236" s="70" t="str">
        <f>'RESUMEN TOTAL'!AN296</f>
        <v>APAGADO</v>
      </c>
      <c r="AH236" s="70" t="str">
        <f>'RESUMEN TOTAL'!AO296</f>
        <v>APAGADO</v>
      </c>
      <c r="AI236" s="70" t="str">
        <f>'RESUMEN TOTAL'!AP296</f>
        <v>APAGADO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 t="str">
        <f>'RESUMEN TOTAL'!M297</f>
        <v>APAGADO</v>
      </c>
      <c r="G237" s="70" t="str">
        <f>'RESUMEN TOTAL'!N297</f>
        <v>APAGADO</v>
      </c>
      <c r="H237" s="70" t="str">
        <f>'RESUMEN TOTAL'!O297</f>
        <v>APAGADO</v>
      </c>
      <c r="I237" s="70" t="str">
        <f>'RESUMEN TOTAL'!P297</f>
        <v>APAGADO</v>
      </c>
      <c r="J237" s="70" t="str">
        <f>'RESUMEN TOTAL'!Q297</f>
        <v>APAGADO</v>
      </c>
      <c r="K237" s="70" t="str">
        <f>'RESUMEN TOTAL'!R297</f>
        <v>APAGADO</v>
      </c>
      <c r="L237" s="70" t="str">
        <f>'RESUMEN TOTAL'!S297</f>
        <v>APAGADO</v>
      </c>
      <c r="M237" s="70" t="str">
        <f>'RESUMEN TOTAL'!T297</f>
        <v>APAGADO</v>
      </c>
      <c r="N237" s="70" t="str">
        <f>'RESUMEN TOTAL'!U297</f>
        <v>APAGADO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 t="str">
        <f>'RESUMEN TOTAL'!Q298</f>
        <v>APAGADO</v>
      </c>
      <c r="K238" s="70">
        <f>'RESUMEN TOTAL'!R298</f>
        <v>0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>
        <f>'RESUMEN TOTAL'!R299</f>
        <v>0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 t="str">
        <f>'RESUMEN TOTAL'!W308</f>
        <v>APAGADO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 t="str">
        <f>'RESUMEN TOTAL'!AD308</f>
        <v>APAGADO</v>
      </c>
      <c r="X248" s="70" t="str">
        <f>'RESUMEN TOTAL'!AE308</f>
        <v>APAGADO</v>
      </c>
      <c r="Y248" s="70" t="str">
        <f>'RESUMEN TOTAL'!AF308</f>
        <v>APAGADO</v>
      </c>
      <c r="Z248" s="70" t="str">
        <f>'RESUMEN TOTAL'!AG308</f>
        <v>APAGADO</v>
      </c>
      <c r="AA248" s="70" t="str">
        <f>'RESUMEN TOTAL'!AH308</f>
        <v>APAGADO</v>
      </c>
      <c r="AB248" s="70" t="str">
        <f>'RESUMEN TOTAL'!AI308</f>
        <v>APAGADO</v>
      </c>
      <c r="AC248" s="70" t="str">
        <f>'RESUMEN TOTAL'!AJ308</f>
        <v>APAGADO</v>
      </c>
      <c r="AD248" s="70" t="str">
        <f>'RESUMEN TOTAL'!AK308</f>
        <v>APAGADO</v>
      </c>
      <c r="AE248" s="70" t="str">
        <f>'RESUMEN TOTAL'!AL308</f>
        <v>APAGADO</v>
      </c>
      <c r="AF248" s="70" t="str">
        <f>'RESUMEN TOTAL'!AM308</f>
        <v>APAGADO</v>
      </c>
      <c r="AG248" s="70" t="str">
        <f>'RESUMEN TOTAL'!AN308</f>
        <v>APAGADO</v>
      </c>
      <c r="AH248" s="70" t="str">
        <f>'RESUMEN TOTAL'!AO308</f>
        <v>APAGADO</v>
      </c>
      <c r="AI248" s="70" t="str">
        <f>'RESUMEN TOTAL'!AP308</f>
        <v>APAGADO</v>
      </c>
      <c r="AJ248" s="70" t="str">
        <f>'RESUMEN TOTAL'!AQ308</f>
        <v>APAGADO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 t="str">
        <f>'RESUMEN TOTAL'!W310</f>
        <v>APAGADO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 t="str">
        <f>'RESUMEN TOTAL'!AD310</f>
        <v>APAGADO</v>
      </c>
      <c r="X250" s="70" t="str">
        <f>'RESUMEN TOTAL'!AE310</f>
        <v>APAGADO</v>
      </c>
      <c r="Y250" s="70" t="str">
        <f>'RESUMEN TOTAL'!AF310</f>
        <v>APAGADO</v>
      </c>
      <c r="Z250" s="70" t="str">
        <f>'RESUMEN TOTAL'!AG310</f>
        <v>APAGADO</v>
      </c>
      <c r="AA250" s="70" t="str">
        <f>'RESUMEN TOTAL'!AH310</f>
        <v>APAGADO</v>
      </c>
      <c r="AB250" s="70" t="str">
        <f>'RESUMEN TOTAL'!AI310</f>
        <v>APAGADO</v>
      </c>
      <c r="AC250" s="70" t="str">
        <f>'RESUMEN TOTAL'!AJ310</f>
        <v>APAGADO</v>
      </c>
      <c r="AD250" s="70" t="str">
        <f>'RESUMEN TOTAL'!AK310</f>
        <v>APAGADO</v>
      </c>
      <c r="AE250" s="70" t="str">
        <f>'RESUMEN TOTAL'!AL310</f>
        <v>APAGADO</v>
      </c>
      <c r="AF250" s="70" t="str">
        <f>'RESUMEN TOTAL'!AM310</f>
        <v>APAGADO</v>
      </c>
      <c r="AG250" s="70" t="str">
        <f>'RESUMEN TOTAL'!AN310</f>
        <v>APAGADO</v>
      </c>
      <c r="AH250" s="70" t="str">
        <f>'RESUMEN TOTAL'!AO310</f>
        <v>APAGADO</v>
      </c>
      <c r="AI250" s="70" t="str">
        <f>'RESUMEN TOTAL'!AP310</f>
        <v>APAGADO</v>
      </c>
      <c r="AJ250" s="70" t="str">
        <f>'RESUMEN TOTAL'!AQ310</f>
        <v>APAGADO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 t="str">
        <f>'RESUMEN TOTAL'!M311</f>
        <v>APAGADO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 t="str">
        <f>'RESUMEN TOTAL'!T311</f>
        <v>APAGADO</v>
      </c>
      <c r="N251" s="70" t="str">
        <f>'RESUMEN TOTAL'!U311</f>
        <v>APAGADO</v>
      </c>
      <c r="O251" s="70" t="str">
        <f>'RESUMEN TOTAL'!V311</f>
        <v>APAGADO</v>
      </c>
      <c r="P251" s="70" t="str">
        <f>'RESUMEN TOTAL'!W311</f>
        <v>APAGADO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 t="str">
        <f>'RESUMEN TOTAL'!AD311</f>
        <v>APAGADO</v>
      </c>
      <c r="X251" s="70" t="str">
        <f>'RESUMEN TOTAL'!AE311</f>
        <v>APAGADO</v>
      </c>
      <c r="Y251" s="70" t="str">
        <f>'RESUMEN TOTAL'!AF311</f>
        <v>APAGADO</v>
      </c>
      <c r="Z251" s="70" t="str">
        <f>'RESUMEN TOTAL'!AG311</f>
        <v>APAGADO</v>
      </c>
      <c r="AA251" s="70" t="str">
        <f>'RESUMEN TOTAL'!AH311</f>
        <v>APAGADO</v>
      </c>
      <c r="AB251" s="70" t="str">
        <f>'RESUMEN TOTAL'!AI311</f>
        <v>APAGADO</v>
      </c>
      <c r="AC251" s="70" t="str">
        <f>'RESUMEN TOTAL'!AJ311</f>
        <v>APAGADO</v>
      </c>
      <c r="AD251" s="70" t="str">
        <f>'RESUMEN TOTAL'!AK311</f>
        <v>APAGADO</v>
      </c>
      <c r="AE251" s="70" t="str">
        <f>'RESUMEN TOTAL'!AL311</f>
        <v>APAGADO</v>
      </c>
      <c r="AF251" s="70" t="str">
        <f>'RESUMEN TOTAL'!AM311</f>
        <v>APAGADO</v>
      </c>
      <c r="AG251" s="70" t="str">
        <f>'RESUMEN TOTAL'!AN311</f>
        <v>APAGADO</v>
      </c>
      <c r="AH251" s="70" t="str">
        <f>'RESUMEN TOTAL'!AO311</f>
        <v>APAGADO</v>
      </c>
      <c r="AI251" s="70" t="str">
        <f>'RESUMEN TOTAL'!AP311</f>
        <v>APAGADO</v>
      </c>
      <c r="AJ251" s="70" t="str">
        <f>'RESUMEN TOTAL'!AQ311</f>
        <v>APAGADO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 t="str">
        <f>'RESUMEN TOTAL'!M312</f>
        <v>APAGADO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 t="str">
        <f>'RESUMEN TOTAL'!T312</f>
        <v>APAGADO</v>
      </c>
      <c r="N252" s="70" t="str">
        <f>'RESUMEN TOTAL'!U312</f>
        <v>APAGADO</v>
      </c>
      <c r="O252" s="70" t="str">
        <f>'RESUMEN TOTAL'!V312</f>
        <v>APAGADO</v>
      </c>
      <c r="P252" s="70" t="str">
        <f>'RESUMEN TOTAL'!W312</f>
        <v>APAGADO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 t="str">
        <f>'RESUMEN TOTAL'!AD312</f>
        <v>APAGADO</v>
      </c>
      <c r="X252" s="70" t="str">
        <f>'RESUMEN TOTAL'!AE312</f>
        <v>APAGADO</v>
      </c>
      <c r="Y252" s="70" t="str">
        <f>'RESUMEN TOTAL'!AF312</f>
        <v>APAGADO</v>
      </c>
      <c r="Z252" s="70" t="str">
        <f>'RESUMEN TOTAL'!AG312</f>
        <v>APAGADO</v>
      </c>
      <c r="AA252" s="70" t="str">
        <f>'RESUMEN TOTAL'!AH312</f>
        <v>APAGADO</v>
      </c>
      <c r="AB252" s="70" t="str">
        <f>'RESUMEN TOTAL'!AI312</f>
        <v>APAGADO</v>
      </c>
      <c r="AC252" s="70" t="str">
        <f>'RESUMEN TOTAL'!AJ312</f>
        <v>APAGADO</v>
      </c>
      <c r="AD252" s="70" t="str">
        <f>'RESUMEN TOTAL'!AK312</f>
        <v>APAGADO</v>
      </c>
      <c r="AE252" s="70" t="str">
        <f>'RESUMEN TOTAL'!AL312</f>
        <v>APAGADO</v>
      </c>
      <c r="AF252" s="70" t="str">
        <f>'RESUMEN TOTAL'!AM312</f>
        <v>APAGADO</v>
      </c>
      <c r="AG252" s="70" t="str">
        <f>'RESUMEN TOTAL'!AN312</f>
        <v>APAGADO</v>
      </c>
      <c r="AH252" s="70" t="str">
        <f>'RESUMEN TOTAL'!AO312</f>
        <v>APAGADO</v>
      </c>
      <c r="AI252" s="70" t="str">
        <f>'RESUMEN TOTAL'!AP312</f>
        <v>APAGADO</v>
      </c>
      <c r="AJ252" s="70" t="str">
        <f>'RESUMEN TOTAL'!AQ312</f>
        <v>APAGADO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 t="str">
        <f>'RESUMEN TOTAL'!M313</f>
        <v>APAGADO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 t="str">
        <f>'RESUMEN TOTAL'!T313</f>
        <v>APAGADO</v>
      </c>
      <c r="N253" s="70" t="str">
        <f>'RESUMEN TOTAL'!U313</f>
        <v>APAGADO</v>
      </c>
      <c r="O253" s="70" t="str">
        <f>'RESUMEN TOTAL'!V313</f>
        <v>APAGADO</v>
      </c>
      <c r="P253" s="70" t="str">
        <f>'RESUMEN TOTAL'!W313</f>
        <v>APAGADO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 t="str">
        <f>'RESUMEN TOTAL'!AD313</f>
        <v>APAGADO</v>
      </c>
      <c r="X253" s="70" t="str">
        <f>'RESUMEN TOTAL'!AE313</f>
        <v>APAGADO</v>
      </c>
      <c r="Y253" s="70" t="str">
        <f>'RESUMEN TOTAL'!AF313</f>
        <v>APAGADO</v>
      </c>
      <c r="Z253" s="70" t="str">
        <f>'RESUMEN TOTAL'!AG313</f>
        <v>APAGADO</v>
      </c>
      <c r="AA253" s="70" t="str">
        <f>'RESUMEN TOTAL'!AH313</f>
        <v>APAGADO</v>
      </c>
      <c r="AB253" s="70" t="str">
        <f>'RESUMEN TOTAL'!AI313</f>
        <v>APAGADO</v>
      </c>
      <c r="AC253" s="70" t="str">
        <f>'RESUMEN TOTAL'!AJ313</f>
        <v>APAGADO</v>
      </c>
      <c r="AD253" s="70" t="str">
        <f>'RESUMEN TOTAL'!AK313</f>
        <v>APAGADO</v>
      </c>
      <c r="AE253" s="70" t="str">
        <f>'RESUMEN TOTAL'!AL313</f>
        <v>APAGADO</v>
      </c>
      <c r="AF253" s="70" t="str">
        <f>'RESUMEN TOTAL'!AM313</f>
        <v>APAGADO</v>
      </c>
      <c r="AG253" s="70" t="str">
        <f>'RESUMEN TOTAL'!AN313</f>
        <v>APAGADO</v>
      </c>
      <c r="AH253" s="70" t="str">
        <f>'RESUMEN TOTAL'!AO313</f>
        <v>APAGADO</v>
      </c>
      <c r="AI253" s="70" t="str">
        <f>'RESUMEN TOTAL'!AP313</f>
        <v>APAGADO</v>
      </c>
      <c r="AJ253" s="70" t="str">
        <f>'RESUMEN TOTAL'!AQ313</f>
        <v>APAGADO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>
        <f>'RESUMEN TOTAL'!M314</f>
        <v>0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str">
        <f>'RESUMEN TOTAL'!V314</f>
        <v>APAGADO</v>
      </c>
      <c r="P254" s="70" t="str">
        <f>'RESUMEN TOTAL'!W314</f>
        <v>APAGADO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>
        <f>'RESUMEN TOTAL'!AC314</f>
        <v>0</v>
      </c>
      <c r="W254" s="70" t="str">
        <f>'RESUMEN TOTAL'!AD314</f>
        <v>APAGADO</v>
      </c>
      <c r="X254" s="70" t="str">
        <f>'RESUMEN TOTAL'!AE314</f>
        <v>APAGADO</v>
      </c>
      <c r="Y254" s="70" t="str">
        <f>'RESUMEN TOTAL'!AF314</f>
        <v>APAGADO</v>
      </c>
      <c r="Z254" s="70" t="str">
        <f>'RESUMEN TOTAL'!AG314</f>
        <v>APAGADO</v>
      </c>
      <c r="AA254" s="70" t="str">
        <f>'RESUMEN TOTAL'!AH314</f>
        <v>APAGADO</v>
      </c>
      <c r="AB254" s="70" t="str">
        <f>'RESUMEN TOTAL'!AI314</f>
        <v>APAGADO</v>
      </c>
      <c r="AC254" s="70" t="str">
        <f>'RESUMEN TOTAL'!AJ314</f>
        <v>APAGADO</v>
      </c>
      <c r="AD254" s="70" t="str">
        <f>'RESUMEN TOTAL'!AK314</f>
        <v>APAGADO</v>
      </c>
      <c r="AE254" s="70" t="str">
        <f>'RESUMEN TOTAL'!AL314</f>
        <v>APAGADO</v>
      </c>
      <c r="AF254" s="70" t="str">
        <f>'RESUMEN TOTAL'!AM314</f>
        <v>APAGADO</v>
      </c>
      <c r="AG254" s="70" t="str">
        <f>'RESUMEN TOTAL'!AN314</f>
        <v>APAGADO</v>
      </c>
      <c r="AH254" s="70" t="str">
        <f>'RESUMEN TOTAL'!AO314</f>
        <v>APAGADO</v>
      </c>
      <c r="AI254" s="70" t="str">
        <f>'RESUMEN TOTAL'!AP314</f>
        <v>APAGADO</v>
      </c>
      <c r="AJ254" s="70" t="str">
        <f>'RESUMEN TOTAL'!AQ314</f>
        <v>APAGADO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>
        <f>'RESUMEN TOTAL'!M315</f>
        <v>0</v>
      </c>
      <c r="G255" s="70">
        <f>'RESUMEN TOTAL'!N315</f>
        <v>0</v>
      </c>
      <c r="H255" s="70">
        <f>'RESUMEN TOTAL'!O315</f>
        <v>0</v>
      </c>
      <c r="I255" s="70" t="str">
        <f>'RESUMEN TOTAL'!P315</f>
        <v>APAGADO</v>
      </c>
      <c r="J255" s="70">
        <f>'RESUMEN TOTAL'!Q315</f>
        <v>0</v>
      </c>
      <c r="K255" s="70" t="str">
        <f>'RESUMEN TOTAL'!R315</f>
        <v>APAGADO</v>
      </c>
      <c r="L255" s="70" t="str">
        <f>'RESUMEN TOTAL'!S315</f>
        <v>APAGADO</v>
      </c>
      <c r="M255" s="70" t="str">
        <f>'RESUMEN TOTAL'!T315</f>
        <v>APAGADO</v>
      </c>
      <c r="N255" s="70">
        <f>'RESUMEN TOTAL'!U315</f>
        <v>0</v>
      </c>
      <c r="O255" s="70">
        <f>'RESUMEN TOTAL'!V315</f>
        <v>0</v>
      </c>
      <c r="P255" s="70" t="str">
        <f>'RESUMEN TOTAL'!W315</f>
        <v>APAGADO</v>
      </c>
      <c r="Q255" s="70" t="str">
        <f>'RESUMEN TOTAL'!X315</f>
        <v>APAGADO</v>
      </c>
      <c r="R255" s="70" t="str">
        <f>'RESUMEN TOTAL'!Y315</f>
        <v>APAGADO</v>
      </c>
      <c r="S255" s="70">
        <f>'RESUMEN TOTAL'!Z315</f>
        <v>0</v>
      </c>
      <c r="T255" s="70">
        <f>'RESUMEN TOTAL'!AA315</f>
        <v>0</v>
      </c>
      <c r="U255" s="70" t="str">
        <f>'RESUMEN TOTAL'!AB315</f>
        <v>APAGADO</v>
      </c>
      <c r="V255" s="70" t="str">
        <f>'RESUMEN TOTAL'!AC315</f>
        <v>APAGADO</v>
      </c>
      <c r="W255" s="70" t="str">
        <f>'RESUMEN TOTAL'!AD315</f>
        <v>APAGADO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 t="str">
        <f>'RESUMEN TOTAL'!AJ315</f>
        <v>APAGADO</v>
      </c>
      <c r="AD255" s="70" t="str">
        <f>'RESUMEN TOTAL'!AK315</f>
        <v>APAGADO</v>
      </c>
      <c r="AE255" s="70" t="str">
        <f>'RESUMEN TOTAL'!AL315</f>
        <v>APAGADO</v>
      </c>
      <c r="AF255" s="70" t="str">
        <f>'RESUMEN TOTAL'!AM315</f>
        <v>APAGADO</v>
      </c>
      <c r="AG255" s="70" t="str">
        <f>'RESUMEN TOTAL'!AN315</f>
        <v>APAGADO</v>
      </c>
      <c r="AH255" s="70" t="str">
        <f>'RESUMEN TOTAL'!AO315</f>
        <v>APAGADO</v>
      </c>
      <c r="AI255" s="70" t="str">
        <f>'RESUMEN TOTAL'!AP315</f>
        <v>APAGADO</v>
      </c>
      <c r="AJ255" s="70" t="str">
        <f>'RESUMEN TOTAL'!AQ315</f>
        <v>APAGADO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>
        <f>'RESUMEN TOTAL'!M316</f>
        <v>0</v>
      </c>
      <c r="G256" s="70">
        <f>'RESUMEN TOTAL'!N316</f>
        <v>0</v>
      </c>
      <c r="H256" s="70">
        <f>'RESUMEN TOTAL'!O316</f>
        <v>0</v>
      </c>
      <c r="I256" s="70" t="str">
        <f>'RESUMEN TOTAL'!P316</f>
        <v>APAGADO</v>
      </c>
      <c r="J256" s="70">
        <f>'RESUMEN TOTAL'!Q316</f>
        <v>0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 t="str">
        <f>'RESUMEN TOTAL'!AB316</f>
        <v>APAGADO</v>
      </c>
      <c r="V256" s="70">
        <f>'RESUMEN TOTAL'!AC316</f>
        <v>0</v>
      </c>
      <c r="W256" s="70" t="str">
        <f>'RESUMEN TOTAL'!AD316</f>
        <v>APAGADO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 t="str">
        <f>'RESUMEN TOTAL'!AJ316</f>
        <v>APAGADO</v>
      </c>
      <c r="AD256" s="70" t="str">
        <f>'RESUMEN TOTAL'!AK316</f>
        <v>APAGADO</v>
      </c>
      <c r="AE256" s="70" t="str">
        <f>'RESUMEN TOTAL'!AL316</f>
        <v>APAGADO</v>
      </c>
      <c r="AF256" s="70" t="str">
        <f>'RESUMEN TOTAL'!AM316</f>
        <v>APAGADO</v>
      </c>
      <c r="AG256" s="70" t="str">
        <f>'RESUMEN TOTAL'!AN316</f>
        <v>APAGADO</v>
      </c>
      <c r="AH256" s="70" t="str">
        <f>'RESUMEN TOTAL'!AO316</f>
        <v>APAGADO</v>
      </c>
      <c r="AI256" s="70" t="str">
        <f>'RESUMEN TOTAL'!AP316</f>
        <v>APAGADO</v>
      </c>
      <c r="AJ256" s="70" t="str">
        <f>'RESUMEN TOTAL'!AQ316</f>
        <v>APAGADO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 t="str">
        <f>'RESUMEN TOTAL'!M317</f>
        <v>APAGADO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 t="str">
        <f>'RESUMEN TOTAL'!M318</f>
        <v>APAGADO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 t="str">
        <f>'RESUMEN TOTAL'!M319</f>
        <v>APAGADO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 t="str">
        <f>'RESUMEN TOTAL'!AQ320</f>
        <v>APAGADO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 t="str">
        <f>'RESUMEN TOTAL'!AQ321</f>
        <v>APAGADO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 t="str">
        <f>'RESUMEN TOTAL'!AQ322</f>
        <v>APAGADO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 t="str">
        <f>'RESUMEN TOTAL'!AQ323</f>
        <v>APAGADO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 t="str">
        <f>'RESUMEN TOTAL'!AQ324</f>
        <v>APAGADO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 t="str">
        <f>'RESUMEN TOTAL'!AQ325</f>
        <v>APAGADO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 t="str">
        <f>'RESUMEN TOTAL'!AQ332</f>
        <v>APAGADO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 t="str">
        <f>'RESUMEN TOTAL'!M333</f>
        <v>APAGADO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 t="str">
        <f>'RESUMEN TOTAL'!AQ333</f>
        <v>APAGADO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 t="str">
        <f>'RESUMEN TOTAL'!AQ334</f>
        <v>APAGADO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 t="str">
        <f>'RESUMEN TOTAL'!AQ335</f>
        <v>APAGADO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 t="str">
        <f>'RESUMEN TOTAL'!AQ336</f>
        <v>APAGADO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 t="str">
        <f>'RESUMEN TOTAL'!AJ337</f>
        <v>APAGADO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 t="str">
        <f>'RESUMEN TOTAL'!AQ344</f>
        <v>APAGADO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 t="str">
        <f>'RESUMEN TOTAL'!P348</f>
        <v>APAGADO</v>
      </c>
      <c r="J279" s="70" t="str">
        <f>'RESUMEN TOTAL'!Q348</f>
        <v>APAGADO</v>
      </c>
      <c r="K279" s="70" t="str">
        <f>'RESUMEN TOTAL'!R348</f>
        <v>APAGADO</v>
      </c>
      <c r="L279" s="70" t="str">
        <f>'RESUMEN TOTAL'!S348</f>
        <v>APAGADO</v>
      </c>
      <c r="M279" s="70" t="str">
        <f>'RESUMEN TOTAL'!T348</f>
        <v>APAGADO</v>
      </c>
      <c r="N279" s="70" t="str">
        <f>'RESUMEN TOTAL'!U348</f>
        <v>APAGADO</v>
      </c>
      <c r="O279" s="70" t="str">
        <f>'RESUMEN TOTAL'!V348</f>
        <v>APAGADO</v>
      </c>
      <c r="P279" s="70" t="str">
        <f>'RESUMEN TOTAL'!W348</f>
        <v>APAGADO</v>
      </c>
      <c r="Q279" s="70" t="str">
        <f>'RESUMEN TOTAL'!X348</f>
        <v>APAGADO</v>
      </c>
      <c r="R279" s="70" t="str">
        <f>'RESUMEN TOTAL'!Y348</f>
        <v>APAGADO</v>
      </c>
      <c r="S279" s="70" t="str">
        <f>'RESUMEN TOTAL'!Z348</f>
        <v>APAGADO</v>
      </c>
      <c r="T279" s="70" t="str">
        <f>'RESUMEN TOTAL'!AA348</f>
        <v>APAGADO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 t="str">
        <f>'RESUMEN TOTAL'!P349</f>
        <v>APAGADO</v>
      </c>
      <c r="J280" s="70" t="str">
        <f>'RESUMEN TOTAL'!Q349</f>
        <v>APAGADO</v>
      </c>
      <c r="K280" s="70" t="str">
        <f>'RESUMEN TOTAL'!R349</f>
        <v>APAGADO</v>
      </c>
      <c r="L280" s="70" t="str">
        <f>'RESUMEN TOTAL'!S349</f>
        <v>APAGADO</v>
      </c>
      <c r="M280" s="70" t="str">
        <f>'RESUMEN TOTAL'!T349</f>
        <v>APAGADO</v>
      </c>
      <c r="N280" s="70" t="str">
        <f>'RESUMEN TOTAL'!U349</f>
        <v>APAGADO</v>
      </c>
      <c r="O280" s="70" t="str">
        <f>'RESUMEN TOTAL'!V349</f>
        <v>APAGADO</v>
      </c>
      <c r="P280" s="70" t="str">
        <f>'RESUMEN TOTAL'!W349</f>
        <v>APAGADO</v>
      </c>
      <c r="Q280" s="70" t="str">
        <f>'RESUMEN TOTAL'!X349</f>
        <v>APAGADO</v>
      </c>
      <c r="R280" s="70" t="str">
        <f>'RESUMEN TOTAL'!Y349</f>
        <v>APAGADO</v>
      </c>
      <c r="S280" s="70" t="str">
        <f>'RESUMEN TOTAL'!Z349</f>
        <v>APAGADO</v>
      </c>
      <c r="T280" s="70" t="str">
        <f>'RESUMEN TOTAL'!AA349</f>
        <v>APAGADO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>
        <f>'RESUMEN TOTAL'!R350</f>
        <v>0</v>
      </c>
      <c r="L281" s="70">
        <f>'RESUMEN TOTAL'!S350</f>
        <v>0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 t="str">
        <f>'RESUMEN TOTAL'!AD350</f>
        <v>APAGADO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 t="str">
        <f>'RESUMEN TOTAL'!AM350</f>
        <v>APAGADO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 t="str">
        <f>'RESUMEN TOTAL'!M351</f>
        <v>APAGADO</v>
      </c>
      <c r="G282" s="70" t="str">
        <f>'RESUMEN TOTAL'!N351</f>
        <v>APAGADO</v>
      </c>
      <c r="H282" s="70" t="str">
        <f>'RESUMEN TOTAL'!O351</f>
        <v>APAGADO</v>
      </c>
      <c r="I282" s="70" t="str">
        <f>'RESUMEN TOTAL'!P351</f>
        <v>APAGADO</v>
      </c>
      <c r="J282" s="70" t="str">
        <f>'RESUMEN TOTAL'!Q351</f>
        <v>APAGADO</v>
      </c>
      <c r="K282" s="70" t="str">
        <f>'RESUMEN TOTAL'!R351</f>
        <v>APAGADO</v>
      </c>
      <c r="L282" s="70" t="str">
        <f>'RESUMEN TOTAL'!S351</f>
        <v>APAGADO</v>
      </c>
      <c r="M282" s="70" t="str">
        <f>'RESUMEN TOTAL'!T351</f>
        <v>APAGADO</v>
      </c>
      <c r="N282" s="70" t="str">
        <f>'RESUMEN TOTAL'!U351</f>
        <v>APAGADO</v>
      </c>
      <c r="O282" s="70" t="str">
        <f>'RESUMEN TOTAL'!V351</f>
        <v>APAGADO</v>
      </c>
      <c r="P282" s="70" t="str">
        <f>'RESUMEN TOTAL'!W351</f>
        <v>APAGADO</v>
      </c>
      <c r="Q282" s="70" t="str">
        <f>'RESUMEN TOTAL'!X351</f>
        <v>APAGADO</v>
      </c>
      <c r="R282" s="70" t="str">
        <f>'RESUMEN TOTAL'!Y351</f>
        <v>APAGADO</v>
      </c>
      <c r="S282" s="70" t="str">
        <f>'RESUMEN TOTAL'!Z351</f>
        <v>APAGADO</v>
      </c>
      <c r="T282" s="70" t="str">
        <f>'RESUMEN TOTAL'!AA351</f>
        <v>APAGADO</v>
      </c>
      <c r="U282" s="70" t="str">
        <f>'RESUMEN TOTAL'!AB351</f>
        <v>APAGADO</v>
      </c>
      <c r="V282" s="70" t="str">
        <f>'RESUMEN TOTAL'!AC351</f>
        <v>APAGADO</v>
      </c>
      <c r="W282" s="70" t="str">
        <f>'RESUMEN TOTAL'!AD351</f>
        <v>APAGADO</v>
      </c>
      <c r="X282" s="70" t="str">
        <f>'RESUMEN TOTAL'!AE351</f>
        <v>APAGADO</v>
      </c>
      <c r="Y282" s="70" t="str">
        <f>'RESUMEN TOTAL'!AF351</f>
        <v>APAGADO</v>
      </c>
      <c r="Z282" s="70" t="str">
        <f>'RESUMEN TOTAL'!AG351</f>
        <v>APAGADO</v>
      </c>
      <c r="AA282" s="70" t="str">
        <f>'RESUMEN TOTAL'!AH351</f>
        <v>APAGADO</v>
      </c>
      <c r="AB282" s="70" t="str">
        <f>'RESUMEN TOTAL'!AI351</f>
        <v>APAGADO</v>
      </c>
      <c r="AC282" s="70" t="str">
        <f>'RESUMEN TOTAL'!AJ351</f>
        <v>APAGADO</v>
      </c>
      <c r="AD282" s="70" t="str">
        <f>'RESUMEN TOTAL'!AK351</f>
        <v>APAGADO</v>
      </c>
      <c r="AE282" s="70" t="str">
        <f>'RESUMEN TOTAL'!AL351</f>
        <v>APAGADO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 t="str">
        <f>'RESUMEN TOTAL'!M352</f>
        <v>APAGADO</v>
      </c>
      <c r="G283" s="70" t="str">
        <f>'RESUMEN TOTAL'!N352</f>
        <v>APAGADO</v>
      </c>
      <c r="H283" s="70" t="str">
        <f>'RESUMEN TOTAL'!O352</f>
        <v>APAGADO</v>
      </c>
      <c r="I283" s="70" t="str">
        <f>'RESUMEN TOTAL'!P352</f>
        <v>APAGADO</v>
      </c>
      <c r="J283" s="70" t="str">
        <f>'RESUMEN TOTAL'!Q352</f>
        <v>APAGADO</v>
      </c>
      <c r="K283" s="70" t="str">
        <f>'RESUMEN TOTAL'!R352</f>
        <v>APAGADO</v>
      </c>
      <c r="L283" s="70" t="str">
        <f>'RESUMEN TOTAL'!S352</f>
        <v>APAGADO</v>
      </c>
      <c r="M283" s="70" t="str">
        <f>'RESUMEN TOTAL'!T352</f>
        <v>APAGADO</v>
      </c>
      <c r="N283" s="70" t="str">
        <f>'RESUMEN TOTAL'!U352</f>
        <v>APAGADO</v>
      </c>
      <c r="O283" s="70" t="str">
        <f>'RESUMEN TOTAL'!V352</f>
        <v>APAGADO</v>
      </c>
      <c r="P283" s="70" t="str">
        <f>'RESUMEN TOTAL'!W352</f>
        <v>APAGADO</v>
      </c>
      <c r="Q283" s="70" t="str">
        <f>'RESUMEN TOTAL'!X352</f>
        <v>APAGADO</v>
      </c>
      <c r="R283" s="70" t="str">
        <f>'RESUMEN TOTAL'!Y352</f>
        <v>APAGADO</v>
      </c>
      <c r="S283" s="70" t="str">
        <f>'RESUMEN TOTAL'!Z352</f>
        <v>APAGADO</v>
      </c>
      <c r="T283" s="70" t="str">
        <f>'RESUMEN TOTAL'!AA352</f>
        <v>APAGADO</v>
      </c>
      <c r="U283" s="70" t="str">
        <f>'RESUMEN TOTAL'!AB352</f>
        <v>APAGADO</v>
      </c>
      <c r="V283" s="70" t="str">
        <f>'RESUMEN TOTAL'!AC352</f>
        <v>APAGADO</v>
      </c>
      <c r="W283" s="70" t="str">
        <f>'RESUMEN TOTAL'!AD352</f>
        <v>APAGADO</v>
      </c>
      <c r="X283" s="70" t="str">
        <f>'RESUMEN TOTAL'!AE352</f>
        <v>APAGADO</v>
      </c>
      <c r="Y283" s="70" t="str">
        <f>'RESUMEN TOTAL'!AF352</f>
        <v>APAGADO</v>
      </c>
      <c r="Z283" s="70" t="str">
        <f>'RESUMEN TOTAL'!AG352</f>
        <v>APAGADO</v>
      </c>
      <c r="AA283" s="70" t="str">
        <f>'RESUMEN TOTAL'!AH352</f>
        <v>APAGADO</v>
      </c>
      <c r="AB283" s="70" t="str">
        <f>'RESUMEN TOTAL'!AI352</f>
        <v>APAGADO</v>
      </c>
      <c r="AC283" s="70" t="str">
        <f>'RESUMEN TOTAL'!AJ352</f>
        <v>APAGADO</v>
      </c>
      <c r="AD283" s="70" t="str">
        <f>'RESUMEN TOTAL'!AK352</f>
        <v>APAGADO</v>
      </c>
      <c r="AE283" s="70" t="str">
        <f>'RESUMEN TOTAL'!AL352</f>
        <v>APAGADO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 t="str">
        <f>'RESUMEN TOTAL'!AD353</f>
        <v>APAGADO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 t="str">
        <f>'RESUMEN TOTAL'!AD354</f>
        <v>APAGADO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 t="str">
        <f>'RESUMEN TOTAL'!AD355</f>
        <v>APAGADO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 t="str">
        <f>'RESUMEN TOTAL'!AD356</f>
        <v>APAGADO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 t="str">
        <f>'RESUMEN TOTAL'!AD357</f>
        <v>APAGADO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 t="str">
        <f>'RESUMEN TOTAL'!AD358</f>
        <v>APAGADO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 t="str">
        <f>'RESUMEN TOTAL'!AE367</f>
        <v>APAGADO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 t="str">
        <f>'RESUMEN TOTAL'!M369</f>
        <v>APAGADO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 t="str">
        <f>'RESUMEN TOTAL'!O371</f>
        <v>APAGADO</v>
      </c>
      <c r="I297" s="70" t="str">
        <f>'RESUMEN TOTAL'!P371</f>
        <v>APAGADO</v>
      </c>
      <c r="J297" s="70" t="str">
        <f>'RESUMEN TOTAL'!Q371</f>
        <v>APAGADO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 t="str">
        <f>'RESUMEN TOTAL'!O372</f>
        <v>APAGADO</v>
      </c>
      <c r="I298" s="70" t="str">
        <f>'RESUMEN TOTAL'!P372</f>
        <v>APAGADO</v>
      </c>
      <c r="J298" s="70" t="str">
        <f>'RESUMEN TOTAL'!Q372</f>
        <v>APAGADO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 t="str">
        <f>'RESUMEN TOTAL'!M373</f>
        <v>APAGADO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 t="str">
        <f>'RESUMEN TOTAL'!M374</f>
        <v>APAGADO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>
        <f>'RESUMEN TOTAL'!M375</f>
        <v>0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 t="str">
        <f>'RESUMEN TOTAL'!W375</f>
        <v>APAGADO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 t="str">
        <f>'RESUMEN TOTAL'!AD375</f>
        <v>APAGADO</v>
      </c>
      <c r="X301" s="70" t="str">
        <f>'RESUMEN TOTAL'!AE375</f>
        <v>APAGADO</v>
      </c>
      <c r="Y301" s="70" t="str">
        <f>'RESUMEN TOTAL'!AF375</f>
        <v>APAGADO</v>
      </c>
      <c r="Z301" s="70" t="str">
        <f>'RESUMEN TOTAL'!AG375</f>
        <v>APAGADO</v>
      </c>
      <c r="AA301" s="70" t="str">
        <f>'RESUMEN TOTAL'!AH375</f>
        <v>APAGADO</v>
      </c>
      <c r="AB301" s="70" t="str">
        <f>'RESUMEN TOTAL'!AI375</f>
        <v>APAGADO</v>
      </c>
      <c r="AC301" s="70" t="str">
        <f>'RESUMEN TOTAL'!AJ375</f>
        <v>APAGADO</v>
      </c>
      <c r="AD301" s="70" t="str">
        <f>'RESUMEN TOTAL'!AK375</f>
        <v>APAGADO</v>
      </c>
      <c r="AE301" s="70" t="str">
        <f>'RESUMEN TOTAL'!AL375</f>
        <v>APAGADO</v>
      </c>
      <c r="AF301" s="70" t="str">
        <f>'RESUMEN TOTAL'!AM375</f>
        <v>APAGADO</v>
      </c>
      <c r="AG301" s="70" t="str">
        <f>'RESUMEN TOTAL'!AN375</f>
        <v>APAGADO</v>
      </c>
      <c r="AH301" s="70" t="str">
        <f>'RESUMEN TOTAL'!AO375</f>
        <v>APAGADO</v>
      </c>
      <c r="AI301" s="70" t="str">
        <f>'RESUMEN TOTAL'!AP375</f>
        <v>APAGADO</v>
      </c>
      <c r="AJ301" s="70" t="str">
        <f>'RESUMEN TOTAL'!AQ375</f>
        <v>APAGADO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 t="str">
        <f>'RESUMEN TOTAL'!V376</f>
        <v>APAGADO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>
        <f>'RESUMEN TOTAL'!M378</f>
        <v>0</v>
      </c>
      <c r="G304" s="70">
        <f>'RESUMEN TOTAL'!N378</f>
        <v>0</v>
      </c>
      <c r="H304" s="70" t="str">
        <f>'RESUMEN TOTAL'!O378</f>
        <v>APAGADO</v>
      </c>
      <c r="I304" s="70" t="str">
        <f>'RESUMEN TOTAL'!P378</f>
        <v>APAGADO</v>
      </c>
      <c r="J304" s="70" t="str">
        <f>'RESUMEN TOTAL'!Q378</f>
        <v>APAGADO</v>
      </c>
      <c r="K304" s="70">
        <f>'RESUMEN TOTAL'!R378</f>
        <v>0</v>
      </c>
      <c r="L304" s="70">
        <f>'RESUMEN TOTAL'!S378</f>
        <v>0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 t="str">
        <f>'RESUMEN TOTAL'!AD378</f>
        <v>APAGADO</v>
      </c>
      <c r="X304" s="70" t="str">
        <f>'RESUMEN TOTAL'!AE378</f>
        <v>APAGADO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 t="str">
        <f>'RESUMEN TOTAL'!AK378</f>
        <v>APAGADO</v>
      </c>
      <c r="AE304" s="70" t="str">
        <f>'RESUMEN TOTAL'!AL378</f>
        <v>APAGADO</v>
      </c>
      <c r="AF304" s="70" t="str">
        <f>'RESUMEN TOTAL'!AM378</f>
        <v>APAGADO</v>
      </c>
      <c r="AG304" s="70" t="str">
        <f>'RESUMEN TOTAL'!AN378</f>
        <v>APAGADO</v>
      </c>
      <c r="AH304" s="70" t="str">
        <f>'RESUMEN TOTAL'!AO378</f>
        <v>APAGADO</v>
      </c>
      <c r="AI304" s="70" t="str">
        <f>'RESUMEN TOTAL'!AP378</f>
        <v>APAGADO</v>
      </c>
      <c r="AJ304" s="70" t="str">
        <f>'RESUMEN TOTAL'!AQ378</f>
        <v>APAGADO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>
        <f>'RESUMEN TOTAL'!M379</f>
        <v>0</v>
      </c>
      <c r="G305" s="70">
        <f>'RESUMEN TOTAL'!N379</f>
        <v>0</v>
      </c>
      <c r="H305" s="70" t="str">
        <f>'RESUMEN TOTAL'!O379</f>
        <v>APAGADO</v>
      </c>
      <c r="I305" s="70" t="str">
        <f>'RESUMEN TOTAL'!P379</f>
        <v>APAGADO</v>
      </c>
      <c r="J305" s="70" t="str">
        <f>'RESUMEN TOTAL'!Q379</f>
        <v>APAGADO</v>
      </c>
      <c r="K305" s="70">
        <f>'RESUMEN TOTAL'!R379</f>
        <v>0</v>
      </c>
      <c r="L305" s="70">
        <f>'RESUMEN TOTAL'!S379</f>
        <v>0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 t="str">
        <f>'RESUMEN TOTAL'!AD379</f>
        <v>APAGADO</v>
      </c>
      <c r="X305" s="70" t="str">
        <f>'RESUMEN TOTAL'!AE379</f>
        <v>APAGADO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 t="str">
        <f>'RESUMEN TOTAL'!AK379</f>
        <v>APAGADO</v>
      </c>
      <c r="AE305" s="70" t="str">
        <f>'RESUMEN TOTAL'!AL379</f>
        <v>APAGADO</v>
      </c>
      <c r="AF305" s="70" t="str">
        <f>'RESUMEN TOTAL'!AM379</f>
        <v>APAGADO</v>
      </c>
      <c r="AG305" s="70" t="str">
        <f>'RESUMEN TOTAL'!AN379</f>
        <v>APAGADO</v>
      </c>
      <c r="AH305" s="70" t="str">
        <f>'RESUMEN TOTAL'!AO379</f>
        <v>APAGADO</v>
      </c>
      <c r="AI305" s="70" t="str">
        <f>'RESUMEN TOTAL'!AP379</f>
        <v>APAGADO</v>
      </c>
      <c r="AJ305" s="70" t="str">
        <f>'RESUMEN TOTAL'!AQ379</f>
        <v>APAGADO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>
        <f>'RESUMEN TOTAL'!M380</f>
        <v>0</v>
      </c>
      <c r="G306" s="70">
        <f>'RESUMEN TOTAL'!N380</f>
        <v>0</v>
      </c>
      <c r="H306" s="70" t="str">
        <f>'RESUMEN TOTAL'!O380</f>
        <v>APAGADO</v>
      </c>
      <c r="I306" s="70" t="str">
        <f>'RESUMEN TOTAL'!P380</f>
        <v>APAGADO</v>
      </c>
      <c r="J306" s="70" t="str">
        <f>'RESUMEN TOTAL'!Q380</f>
        <v>APAGADO</v>
      </c>
      <c r="K306" s="70">
        <f>'RESUMEN TOTAL'!R380</f>
        <v>0</v>
      </c>
      <c r="L306" s="70">
        <f>'RESUMEN TOTAL'!S380</f>
        <v>0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 t="str">
        <f>'RESUMEN TOTAL'!AD380</f>
        <v>APAGADO</v>
      </c>
      <c r="X306" s="70" t="str">
        <f>'RESUMEN TOTAL'!AE380</f>
        <v>APAGADO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 t="str">
        <f>'RESUMEN TOTAL'!AK380</f>
        <v>APAGADO</v>
      </c>
      <c r="AE306" s="70" t="str">
        <f>'RESUMEN TOTAL'!AL380</f>
        <v>APAGADO</v>
      </c>
      <c r="AF306" s="70" t="str">
        <f>'RESUMEN TOTAL'!AM380</f>
        <v>APAGADO</v>
      </c>
      <c r="AG306" s="70" t="str">
        <f>'RESUMEN TOTAL'!AN380</f>
        <v>APAGADO</v>
      </c>
      <c r="AH306" s="70" t="str">
        <f>'RESUMEN TOTAL'!AO380</f>
        <v>APAGADO</v>
      </c>
      <c r="AI306" s="70" t="str">
        <f>'RESUMEN TOTAL'!AP380</f>
        <v>APAGADO</v>
      </c>
      <c r="AJ306" s="70" t="str">
        <f>'RESUMEN TOTAL'!AQ380</f>
        <v>APAGADO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>
        <f>'RESUMEN TOTAL'!M381</f>
        <v>0</v>
      </c>
      <c r="G307" s="70">
        <f>'RESUMEN TOTAL'!N381</f>
        <v>0</v>
      </c>
      <c r="H307" s="70" t="str">
        <f>'RESUMEN TOTAL'!O381</f>
        <v>APAGADO</v>
      </c>
      <c r="I307" s="70" t="str">
        <f>'RESUMEN TOTAL'!P381</f>
        <v>APAGADO</v>
      </c>
      <c r="J307" s="70" t="str">
        <f>'RESUMEN TOTAL'!Q381</f>
        <v>APAGADO</v>
      </c>
      <c r="K307" s="70">
        <f>'RESUMEN TOTAL'!R381</f>
        <v>0</v>
      </c>
      <c r="L307" s="70">
        <f>'RESUMEN TOTAL'!S381</f>
        <v>0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 t="str">
        <f>'RESUMEN TOTAL'!AQ381</f>
        <v>APAGADO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>
        <f>'RESUMEN TOTAL'!M382</f>
        <v>0</v>
      </c>
      <c r="G308" s="70">
        <f>'RESUMEN TOTAL'!N382</f>
        <v>0</v>
      </c>
      <c r="H308" s="70" t="str">
        <f>'RESUMEN TOTAL'!O382</f>
        <v>APAGADO</v>
      </c>
      <c r="I308" s="70" t="str">
        <f>'RESUMEN TOTAL'!P382</f>
        <v>APAGADO</v>
      </c>
      <c r="J308" s="70" t="str">
        <f>'RESUMEN TOTAL'!Q382</f>
        <v>APAGADO</v>
      </c>
      <c r="K308" s="70">
        <f>'RESUMEN TOTAL'!R382</f>
        <v>0</v>
      </c>
      <c r="L308" s="70">
        <f>'RESUMEN TOTAL'!S382</f>
        <v>0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 t="str">
        <f>'RESUMEN TOTAL'!AQ382</f>
        <v>APAGADO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>
        <f>'RESUMEN TOTAL'!M383</f>
        <v>0</v>
      </c>
      <c r="G309" s="70">
        <f>'RESUMEN TOTAL'!N383</f>
        <v>0</v>
      </c>
      <c r="H309" s="70" t="str">
        <f>'RESUMEN TOTAL'!O383</f>
        <v>APAGADO</v>
      </c>
      <c r="I309" s="70" t="str">
        <f>'RESUMEN TOTAL'!P383</f>
        <v>APAGADO</v>
      </c>
      <c r="J309" s="70" t="str">
        <f>'RESUMEN TOTAL'!Q383</f>
        <v>APAGADO</v>
      </c>
      <c r="K309" s="70">
        <f>'RESUMEN TOTAL'!R383</f>
        <v>0</v>
      </c>
      <c r="L309" s="70">
        <f>'RESUMEN TOTAL'!S383</f>
        <v>0</v>
      </c>
      <c r="M309" s="70" t="str">
        <f>'RESUMEN TOTAL'!T383</f>
        <v>APAGADO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 t="str">
        <f>'RESUMEN TOTAL'!AK383</f>
        <v>APAGADO</v>
      </c>
      <c r="AE309" s="70" t="str">
        <f>'RESUMEN TOTAL'!AL383</f>
        <v>APAGADO</v>
      </c>
      <c r="AF309" s="70" t="str">
        <f>'RESUMEN TOTAL'!AM383</f>
        <v>APAGADO</v>
      </c>
      <c r="AG309" s="70" t="str">
        <f>'RESUMEN TOTAL'!AN383</f>
        <v>APAGADO</v>
      </c>
      <c r="AH309" s="70">
        <f>'RESUMEN TOTAL'!AO383</f>
        <v>0</v>
      </c>
      <c r="AI309" s="70" t="str">
        <f>'RESUMEN TOTAL'!AP383</f>
        <v>APAGADO</v>
      </c>
      <c r="AJ309" s="70" t="str">
        <f>'RESUMEN TOTAL'!AQ383</f>
        <v>APAGADO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>
        <f>'RESUMEN TOTAL'!M384</f>
        <v>0</v>
      </c>
      <c r="G310" s="70">
        <f>'RESUMEN TOTAL'!N384</f>
        <v>0</v>
      </c>
      <c r="H310" s="70" t="str">
        <f>'RESUMEN TOTAL'!O384</f>
        <v>APAGADO</v>
      </c>
      <c r="I310" s="70" t="str">
        <f>'RESUMEN TOTAL'!P384</f>
        <v>APAGADO</v>
      </c>
      <c r="J310" s="70" t="str">
        <f>'RESUMEN TOTAL'!Q384</f>
        <v>APAGADO</v>
      </c>
      <c r="K310" s="70">
        <f>'RESUMEN TOTAL'!R384</f>
        <v>0</v>
      </c>
      <c r="L310" s="70">
        <f>'RESUMEN TOTAL'!S384</f>
        <v>0</v>
      </c>
      <c r="M310" s="70" t="str">
        <f>'RESUMEN TOTAL'!T384</f>
        <v>APAGADO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 t="str">
        <f>'RESUMEN TOTAL'!AK384</f>
        <v>APAGADO</v>
      </c>
      <c r="AE310" s="70" t="str">
        <f>'RESUMEN TOTAL'!AL384</f>
        <v>APAGADO</v>
      </c>
      <c r="AF310" s="70" t="str">
        <f>'RESUMEN TOTAL'!AM384</f>
        <v>APAGADO</v>
      </c>
      <c r="AG310" s="70" t="str">
        <f>'RESUMEN TOTAL'!AN384</f>
        <v>APAGADO</v>
      </c>
      <c r="AH310" s="70" t="str">
        <f>'RESUMEN TOTAL'!AO384</f>
        <v>APAGADO</v>
      </c>
      <c r="AI310" s="70" t="str">
        <f>'RESUMEN TOTAL'!AP384</f>
        <v>APAGADO</v>
      </c>
      <c r="AJ310" s="70" t="str">
        <f>'RESUMEN TOTAL'!AQ384</f>
        <v>APAGADO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>
        <f>'RESUMEN TOTAL'!M385</f>
        <v>0</v>
      </c>
      <c r="G311" s="70">
        <f>'RESUMEN TOTAL'!N385</f>
        <v>0</v>
      </c>
      <c r="H311" s="70" t="str">
        <f>'RESUMEN TOTAL'!O385</f>
        <v>APAGADO</v>
      </c>
      <c r="I311" s="70" t="str">
        <f>'RESUMEN TOTAL'!P385</f>
        <v>APAGADO</v>
      </c>
      <c r="J311" s="70" t="str">
        <f>'RESUMEN TOTAL'!Q385</f>
        <v>APAGADO</v>
      </c>
      <c r="K311" s="70">
        <f>'RESUMEN TOTAL'!R385</f>
        <v>0</v>
      </c>
      <c r="L311" s="70">
        <f>'RESUMEN TOTAL'!S385</f>
        <v>0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 t="str">
        <f>'RESUMEN TOTAL'!AK385</f>
        <v>APAGADO</v>
      </c>
      <c r="AE311" s="70" t="str">
        <f>'RESUMEN TOTAL'!AL385</f>
        <v>APAGADO</v>
      </c>
      <c r="AF311" s="70" t="str">
        <f>'RESUMEN TOTAL'!AM385</f>
        <v>APAGADO</v>
      </c>
      <c r="AG311" s="70" t="str">
        <f>'RESUMEN TOTAL'!AN385</f>
        <v>APAGADO</v>
      </c>
      <c r="AH311" s="70" t="str">
        <f>'RESUMEN TOTAL'!AO385</f>
        <v>APAGADO</v>
      </c>
      <c r="AI311" s="70" t="str">
        <f>'RESUMEN TOTAL'!AP385</f>
        <v>APAGADO</v>
      </c>
      <c r="AJ311" s="70" t="str">
        <f>'RESUMEN TOTAL'!AQ385</f>
        <v>APAGADO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>
        <f>'RESUMEN TOTAL'!M386</f>
        <v>0</v>
      </c>
      <c r="G312" s="70">
        <f>'RESUMEN TOTAL'!N386</f>
        <v>0</v>
      </c>
      <c r="H312" s="70" t="str">
        <f>'RESUMEN TOTAL'!O386</f>
        <v>APAGADO</v>
      </c>
      <c r="I312" s="70" t="str">
        <f>'RESUMEN TOTAL'!P386</f>
        <v>APAGADO</v>
      </c>
      <c r="J312" s="70" t="str">
        <f>'RESUMEN TOTAL'!Q386</f>
        <v>APAGADO</v>
      </c>
      <c r="K312" s="70">
        <f>'RESUMEN TOTAL'!R386</f>
        <v>0</v>
      </c>
      <c r="L312" s="70">
        <f>'RESUMEN TOTAL'!S386</f>
        <v>0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 t="str">
        <f>'RESUMEN TOTAL'!AK386</f>
        <v>APAGADO</v>
      </c>
      <c r="AE312" s="70" t="str">
        <f>'RESUMEN TOTAL'!AL386</f>
        <v>APAGADO</v>
      </c>
      <c r="AF312" s="70" t="str">
        <f>'RESUMEN TOTAL'!AM386</f>
        <v>APAGADO</v>
      </c>
      <c r="AG312" s="70" t="str">
        <f>'RESUMEN TOTAL'!AN386</f>
        <v>APAGADO</v>
      </c>
      <c r="AH312" s="70" t="str">
        <f>'RESUMEN TOTAL'!AO386</f>
        <v>APAGADO</v>
      </c>
      <c r="AI312" s="70" t="str">
        <f>'RESUMEN TOTAL'!AP386</f>
        <v>APAGADO</v>
      </c>
      <c r="AJ312" s="70" t="str">
        <f>'RESUMEN TOTAL'!AQ386</f>
        <v>APAGADO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>
        <f>'RESUMEN TOTAL'!M387</f>
        <v>0</v>
      </c>
      <c r="G313" s="70">
        <f>'RESUMEN TOTAL'!N387</f>
        <v>0</v>
      </c>
      <c r="H313" s="70" t="str">
        <f>'RESUMEN TOTAL'!O387</f>
        <v>APAGADO</v>
      </c>
      <c r="I313" s="70" t="str">
        <f>'RESUMEN TOTAL'!P387</f>
        <v>APAGADO</v>
      </c>
      <c r="J313" s="70" t="str">
        <f>'RESUMEN TOTAL'!Q387</f>
        <v>APAGADO</v>
      </c>
      <c r="K313" s="70">
        <f>'RESUMEN TOTAL'!R387</f>
        <v>0</v>
      </c>
      <c r="L313" s="70">
        <f>'RESUMEN TOTAL'!S387</f>
        <v>0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 t="str">
        <f>'RESUMEN TOTAL'!AQ387</f>
        <v>APAGADO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 t="str">
        <f>'RESUMEN TOTAL'!W388</f>
        <v>APAGADO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 t="str">
        <f>'RESUMEN TOTAL'!AD388</f>
        <v>APAGADO</v>
      </c>
      <c r="X314" s="70" t="str">
        <f>'RESUMEN TOTAL'!AE388</f>
        <v>APAGADO</v>
      </c>
      <c r="Y314" s="70" t="str">
        <f>'RESUMEN TOTAL'!AF388</f>
        <v>APAGADO</v>
      </c>
      <c r="Z314" s="70" t="str">
        <f>'RESUMEN TOTAL'!AG388</f>
        <v>APAGADO</v>
      </c>
      <c r="AA314" s="70" t="str">
        <f>'RESUMEN TOTAL'!AH388</f>
        <v>APAGADO</v>
      </c>
      <c r="AB314" s="70" t="str">
        <f>'RESUMEN TOTAL'!AI388</f>
        <v>APAGADO</v>
      </c>
      <c r="AC314" s="70" t="str">
        <f>'RESUMEN TOTAL'!AJ388</f>
        <v>APAGADO</v>
      </c>
      <c r="AD314" s="70" t="str">
        <f>'RESUMEN TOTAL'!AK388</f>
        <v>APAGADO</v>
      </c>
      <c r="AE314" s="70" t="str">
        <f>'RESUMEN TOTAL'!AL388</f>
        <v>APAGADO</v>
      </c>
      <c r="AF314" s="70" t="str">
        <f>'RESUMEN TOTAL'!AM388</f>
        <v>APAGADO</v>
      </c>
      <c r="AG314" s="70" t="str">
        <f>'RESUMEN TOTAL'!AN388</f>
        <v>APAGADO</v>
      </c>
      <c r="AH314" s="70" t="str">
        <f>'RESUMEN TOTAL'!AO388</f>
        <v>APAGADO</v>
      </c>
      <c r="AI314" s="70" t="str">
        <f>'RESUMEN TOTAL'!AP388</f>
        <v>APAGADO</v>
      </c>
      <c r="AJ314" s="70" t="str">
        <f>'RESUMEN TOTAL'!AQ388</f>
        <v>APAGADO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 t="str">
        <f>'RESUMEN TOTAL'!W389</f>
        <v>APAGADO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 t="str">
        <f>'RESUMEN TOTAL'!AD389</f>
        <v>APAGADO</v>
      </c>
      <c r="X315" s="70" t="str">
        <f>'RESUMEN TOTAL'!AE389</f>
        <v>APAGADO</v>
      </c>
      <c r="Y315" s="70" t="str">
        <f>'RESUMEN TOTAL'!AF389</f>
        <v>APAGADO</v>
      </c>
      <c r="Z315" s="70" t="str">
        <f>'RESUMEN TOTAL'!AG389</f>
        <v>APAGADO</v>
      </c>
      <c r="AA315" s="70" t="str">
        <f>'RESUMEN TOTAL'!AH389</f>
        <v>APAGADO</v>
      </c>
      <c r="AB315" s="70" t="str">
        <f>'RESUMEN TOTAL'!AI389</f>
        <v>APAGADO</v>
      </c>
      <c r="AC315" s="70" t="str">
        <f>'RESUMEN TOTAL'!AJ389</f>
        <v>APAGADO</v>
      </c>
      <c r="AD315" s="70" t="str">
        <f>'RESUMEN TOTAL'!AK389</f>
        <v>APAGADO</v>
      </c>
      <c r="AE315" s="70" t="str">
        <f>'RESUMEN TOTAL'!AL389</f>
        <v>APAGADO</v>
      </c>
      <c r="AF315" s="70" t="str">
        <f>'RESUMEN TOTAL'!AM389</f>
        <v>APAGADO</v>
      </c>
      <c r="AG315" s="70" t="str">
        <f>'RESUMEN TOTAL'!AN389</f>
        <v>APAGADO</v>
      </c>
      <c r="AH315" s="70" t="str">
        <f>'RESUMEN TOTAL'!AO389</f>
        <v>APAGADO</v>
      </c>
      <c r="AI315" s="70" t="str">
        <f>'RESUMEN TOTAL'!AP389</f>
        <v>APAGADO</v>
      </c>
      <c r="AJ315" s="70" t="str">
        <f>'RESUMEN TOTAL'!AQ389</f>
        <v>APAGADO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>
        <f>'RESUMEN TOTAL'!N395</f>
        <v>0</v>
      </c>
      <c r="H316" s="70">
        <f>'RESUMEN TOTAL'!O395</f>
        <v>0</v>
      </c>
      <c r="I316" s="70" t="str">
        <f>'RESUMEN TOTAL'!P395</f>
        <v>APAGADO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>
        <f>'RESUMEN TOTAL'!V395</f>
        <v>0</v>
      </c>
      <c r="P316" s="70">
        <f>'RESUMEN TOTAL'!W395</f>
        <v>0</v>
      </c>
      <c r="Q316" s="70" t="str">
        <f>'RESUMEN TOTAL'!X395</f>
        <v>APAGADO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 t="str">
        <f>'RESUMEN TOTAL'!AC395</f>
        <v>APAGADO</v>
      </c>
      <c r="W316" s="70">
        <f>'RESUMEN TOTAL'!AD395</f>
        <v>0</v>
      </c>
      <c r="X316" s="70" t="str">
        <f>'RESUMEN TOTAL'!AE395</f>
        <v>APAGADO</v>
      </c>
      <c r="Y316" s="70">
        <f>'RESUMEN TOTAL'!AF395</f>
        <v>0</v>
      </c>
      <c r="Z316" s="70" t="str">
        <f>'RESUMEN TOTAL'!AG395</f>
        <v>APAGADO</v>
      </c>
      <c r="AA316" s="70" t="str">
        <f>'RESUMEN TOTAL'!AH395</f>
        <v>APAGADO</v>
      </c>
      <c r="AB316" s="70" t="str">
        <f>'RESUMEN TOTAL'!AI395</f>
        <v>APAGADO</v>
      </c>
      <c r="AC316" s="70" t="str">
        <f>'RESUMEN TOTAL'!AJ395</f>
        <v>APAGADO</v>
      </c>
      <c r="AD316" s="70" t="str">
        <f>'RESUMEN TOTAL'!AK395</f>
        <v>APAGADO</v>
      </c>
      <c r="AE316" s="70" t="str">
        <f>'RESUMEN TOTAL'!AL395</f>
        <v>APAGADO</v>
      </c>
      <c r="AF316" s="70" t="str">
        <f>'RESUMEN TOTAL'!AM395</f>
        <v>APAGADO</v>
      </c>
      <c r="AG316" s="70" t="str">
        <f>'RESUMEN TOTAL'!AN395</f>
        <v>APAGADO</v>
      </c>
      <c r="AH316" s="70" t="str">
        <f>'RESUMEN TOTAL'!AO395</f>
        <v>APAGADO</v>
      </c>
      <c r="AI316" s="70" t="str">
        <f>'RESUMEN TOTAL'!AP395</f>
        <v>APAGADO</v>
      </c>
      <c r="AJ316" s="70" t="str">
        <f>'RESUMEN TOTAL'!AQ395</f>
        <v>APAGADO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 t="str">
        <f>'RESUMEN TOTAL'!P397</f>
        <v>APAGADO</v>
      </c>
      <c r="J318" s="70" t="str">
        <f>'RESUMEN TOTAL'!Q397</f>
        <v>APAGADO</v>
      </c>
      <c r="K318" s="70" t="str">
        <f>'RESUMEN TOTAL'!R397</f>
        <v>APAGADO</v>
      </c>
      <c r="L318" s="70" t="str">
        <f>'RESUMEN TOTAL'!S397</f>
        <v>APAGADO</v>
      </c>
      <c r="M318" s="70" t="str">
        <f>'RESUMEN TOTAL'!T397</f>
        <v>APAGADO</v>
      </c>
      <c r="N318" s="70" t="str">
        <f>'RESUMEN TOTAL'!U397</f>
        <v>APAGADO</v>
      </c>
      <c r="O318" s="70" t="str">
        <f>'RESUMEN TOTAL'!V397</f>
        <v>APAGADO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 t="str">
        <f>'RESUMEN TOTAL'!AA397</f>
        <v>APAGADO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 t="str">
        <f>'RESUMEN TOTAL'!Q398</f>
        <v>APAGADO</v>
      </c>
      <c r="K319" s="70" t="str">
        <f>'RESUMEN TOTAL'!R398</f>
        <v>APAGADO</v>
      </c>
      <c r="L319" s="70" t="str">
        <f>'RESUMEN TOTAL'!S398</f>
        <v>APAGADO</v>
      </c>
      <c r="M319" s="70" t="str">
        <f>'RESUMEN TOTAL'!T398</f>
        <v>APAGADO</v>
      </c>
      <c r="N319" s="70" t="str">
        <f>'RESUMEN TOTAL'!U398</f>
        <v>APAGADO</v>
      </c>
      <c r="O319" s="70" t="str">
        <f>'RESUMEN TOTAL'!V398</f>
        <v>APAGADO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 t="str">
        <f>'RESUMEN TOTAL'!AA398</f>
        <v>APAGADO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 t="str">
        <f>'RESUMEN TOTAL'!W399</f>
        <v>APAGADO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 t="str">
        <f>'RESUMEN TOTAL'!AD399</f>
        <v>APAGADO</v>
      </c>
      <c r="X320" s="70" t="str">
        <f>'RESUMEN TOTAL'!AE399</f>
        <v>APAGADO</v>
      </c>
      <c r="Y320" s="70" t="str">
        <f>'RESUMEN TOTAL'!AF399</f>
        <v>APAGADO</v>
      </c>
      <c r="Z320" s="70" t="str">
        <f>'RESUMEN TOTAL'!AG399</f>
        <v>APAGADO</v>
      </c>
      <c r="AA320" s="70" t="str">
        <f>'RESUMEN TOTAL'!AH399</f>
        <v>APAGADO</v>
      </c>
      <c r="AB320" s="70" t="str">
        <f>'RESUMEN TOTAL'!AI399</f>
        <v>APAGADO</v>
      </c>
      <c r="AC320" s="70" t="str">
        <f>'RESUMEN TOTAL'!AJ399</f>
        <v>APAGADO</v>
      </c>
      <c r="AD320" s="70" t="str">
        <f>'RESUMEN TOTAL'!AK399</f>
        <v>APAGADO</v>
      </c>
      <c r="AE320" s="70" t="str">
        <f>'RESUMEN TOTAL'!AL399</f>
        <v>APAGADO</v>
      </c>
      <c r="AF320" s="70" t="str">
        <f>'RESUMEN TOTAL'!AM399</f>
        <v>APAGADO</v>
      </c>
      <c r="AG320" s="70" t="str">
        <f>'RESUMEN TOTAL'!AN399</f>
        <v>APAGADO</v>
      </c>
      <c r="AH320" s="70" t="str">
        <f>'RESUMEN TOTAL'!AO399</f>
        <v>APAGADO</v>
      </c>
      <c r="AI320" s="70" t="str">
        <f>'RESUMEN TOTAL'!AP399</f>
        <v>APAGADO</v>
      </c>
      <c r="AJ320" s="70" t="str">
        <f>'RESUMEN TOTAL'!AQ399</f>
        <v>APAGADO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 t="str">
        <f>'RESUMEN TOTAL'!M400</f>
        <v>APAGADO</v>
      </c>
      <c r="G321" s="70" t="str">
        <f>'RESUMEN TOTAL'!N400</f>
        <v>APAGADO</v>
      </c>
      <c r="H321" s="70" t="str">
        <f>'RESUMEN TOTAL'!P400</f>
        <v>APAGADO</v>
      </c>
      <c r="I321" s="70">
        <v>0</v>
      </c>
      <c r="J321" s="70" t="str">
        <f>'RESUMEN TOTAL'!Q400</f>
        <v>APAGADO</v>
      </c>
      <c r="K321" s="70" t="str">
        <f>'RESUMEN TOTAL'!R400</f>
        <v>APAGADO</v>
      </c>
      <c r="L321" s="70" t="str">
        <f>'RESUMEN TOTAL'!S400</f>
        <v>APAGADO</v>
      </c>
      <c r="M321" s="70" t="str">
        <f>'RESUMEN TOTAL'!T400</f>
        <v>APAGADO</v>
      </c>
      <c r="N321" s="70" t="str">
        <f>'RESUMEN TOTAL'!U400</f>
        <v>APAGADO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 t="str">
        <f>'RESUMEN TOTAL'!AA400</f>
        <v>APAGADO</v>
      </c>
      <c r="U321" s="70">
        <f>'RESUMEN TOTAL'!AB400</f>
        <v>0</v>
      </c>
      <c r="V321" s="70" t="str">
        <f>'RESUMEN TOTAL'!AC400</f>
        <v>APAGADO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 t="str">
        <f>'RESUMEN TOTAL'!W401</f>
        <v>APAGADO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 t="str">
        <f>'RESUMEN TOTAL'!AD401</f>
        <v>APAGADO</v>
      </c>
      <c r="X322" s="70" t="str">
        <f>'RESUMEN TOTAL'!AE401</f>
        <v>APAGADO</v>
      </c>
      <c r="Y322" s="70" t="str">
        <f>'RESUMEN TOTAL'!AF401</f>
        <v>APAGADO</v>
      </c>
      <c r="Z322" s="70" t="str">
        <f>'RESUMEN TOTAL'!AG401</f>
        <v>APAGADO</v>
      </c>
      <c r="AA322" s="70" t="str">
        <f>'RESUMEN TOTAL'!AH401</f>
        <v>APAGADO</v>
      </c>
      <c r="AB322" s="70" t="str">
        <f>'RESUMEN TOTAL'!AI401</f>
        <v>APAGADO</v>
      </c>
      <c r="AC322" s="70" t="str">
        <f>'RESUMEN TOTAL'!AJ401</f>
        <v>APAGADO</v>
      </c>
      <c r="AD322" s="70" t="str">
        <f>'RESUMEN TOTAL'!AK401</f>
        <v>APAGADO</v>
      </c>
      <c r="AE322" s="70" t="str">
        <f>'RESUMEN TOTAL'!AL401</f>
        <v>APAGADO</v>
      </c>
      <c r="AF322" s="70" t="str">
        <f>'RESUMEN TOTAL'!AM401</f>
        <v>APAGADO</v>
      </c>
      <c r="AG322" s="70" t="str">
        <f>'RESUMEN TOTAL'!AN401</f>
        <v>APAGADO</v>
      </c>
      <c r="AH322" s="70" t="str">
        <f>'RESUMEN TOTAL'!AO401</f>
        <v>APAGADO</v>
      </c>
      <c r="AI322" s="70" t="str">
        <f>'RESUMEN TOTAL'!AP401</f>
        <v>APAGADO</v>
      </c>
      <c r="AJ322" s="70" t="str">
        <f>'RESUMEN TOTAL'!AQ401</f>
        <v>APAGADO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 t="str">
        <f>'RESUMEN TOTAL'!W402</f>
        <v>APAGADO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 t="str">
        <f>'RESUMEN TOTAL'!AD402</f>
        <v>APAGADO</v>
      </c>
      <c r="X323" s="70" t="str">
        <f>'RESUMEN TOTAL'!AE402</f>
        <v>APAGADO</v>
      </c>
      <c r="Y323" s="70" t="str">
        <f>'RESUMEN TOTAL'!AF402</f>
        <v>APAGADO</v>
      </c>
      <c r="Z323" s="70" t="str">
        <f>'RESUMEN TOTAL'!AG402</f>
        <v>APAGADO</v>
      </c>
      <c r="AA323" s="70" t="str">
        <f>'RESUMEN TOTAL'!AH402</f>
        <v>APAGADO</v>
      </c>
      <c r="AB323" s="70" t="str">
        <f>'RESUMEN TOTAL'!AI402</f>
        <v>APAGADO</v>
      </c>
      <c r="AC323" s="70" t="str">
        <f>'RESUMEN TOTAL'!AJ402</f>
        <v>APAGADO</v>
      </c>
      <c r="AD323" s="70" t="str">
        <f>'RESUMEN TOTAL'!AK402</f>
        <v>APAGADO</v>
      </c>
      <c r="AE323" s="70" t="str">
        <f>'RESUMEN TOTAL'!AL402</f>
        <v>APAGADO</v>
      </c>
      <c r="AF323" s="70" t="str">
        <f>'RESUMEN TOTAL'!AM402</f>
        <v>APAGADO</v>
      </c>
      <c r="AG323" s="70" t="str">
        <f>'RESUMEN TOTAL'!AN402</f>
        <v>APAGADO</v>
      </c>
      <c r="AH323" s="70" t="str">
        <f>'RESUMEN TOTAL'!AO402</f>
        <v>APAGADO</v>
      </c>
      <c r="AI323" s="70" t="str">
        <f>'RESUMEN TOTAL'!AP402</f>
        <v>APAGADO</v>
      </c>
      <c r="AJ323" s="70" t="str">
        <f>'RESUMEN TOTAL'!AQ402</f>
        <v>APAGADO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>
        <f>'RESUMEN TOTAL'!M413</f>
        <v>0</v>
      </c>
      <c r="G327" s="70">
        <f>'RESUMEN TOTAL'!N413</f>
        <v>0</v>
      </c>
      <c r="H327" s="70">
        <f>'RESUMEN TOTAL'!O413</f>
        <v>0</v>
      </c>
      <c r="I327" s="70" t="str">
        <f>'RESUMEN TOTAL'!P413</f>
        <v>APAGADO</v>
      </c>
      <c r="J327" s="70" t="str">
        <f>'RESUMEN TOTAL'!Q413</f>
        <v>APAGADO</v>
      </c>
      <c r="K327" s="70" t="str">
        <f>'RESUMEN TOTAL'!R413</f>
        <v>APAGADO</v>
      </c>
      <c r="L327" s="70" t="str">
        <f>'RESUMEN TOTAL'!S413</f>
        <v>APAGADO</v>
      </c>
      <c r="M327" s="70" t="str">
        <f>'RESUMEN TOTAL'!T413</f>
        <v>APAGADO</v>
      </c>
      <c r="N327" s="70" t="str">
        <f>'RESUMEN TOTAL'!U413</f>
        <v>APAGADO</v>
      </c>
      <c r="O327" s="70" t="str">
        <f>'RESUMEN TOTAL'!V413</f>
        <v>APAGADO</v>
      </c>
      <c r="P327" s="70" t="str">
        <f>'RESUMEN TOTAL'!W413</f>
        <v>APAGADO</v>
      </c>
      <c r="Q327" s="70" t="str">
        <f>'RESUMEN TOTAL'!X413</f>
        <v>APAGADO</v>
      </c>
      <c r="R327" s="70" t="str">
        <f>'RESUMEN TOTAL'!Y413</f>
        <v>APAGADO</v>
      </c>
      <c r="S327" s="70" t="str">
        <f>'RESUMEN TOTAL'!Z413</f>
        <v>APAGADO</v>
      </c>
      <c r="T327" s="70" t="str">
        <f>'RESUMEN TOTAL'!AA413</f>
        <v>APAGADO</v>
      </c>
      <c r="U327" s="70" t="str">
        <f>'RESUMEN TOTAL'!AB413</f>
        <v>APAGADO</v>
      </c>
      <c r="V327" s="70" t="str">
        <f>'RESUMEN TOTAL'!AC413</f>
        <v>APAGADO</v>
      </c>
      <c r="W327" s="70" t="str">
        <f>'RESUMEN TOTAL'!AD413</f>
        <v>APAGADO</v>
      </c>
      <c r="X327" s="70" t="str">
        <f>'RESUMEN TOTAL'!AE413</f>
        <v>APAGADO</v>
      </c>
      <c r="Y327" s="70" t="str">
        <f>'RESUMEN TOTAL'!AF413</f>
        <v>APAGADO</v>
      </c>
      <c r="Z327" s="70" t="str">
        <f>'RESUMEN TOTAL'!AG413</f>
        <v>APAGADO</v>
      </c>
      <c r="AA327" s="70" t="str">
        <f>'RESUMEN TOTAL'!AH413</f>
        <v>APAGADO</v>
      </c>
      <c r="AB327" s="70" t="str">
        <f>'RESUMEN TOTAL'!AI413</f>
        <v>APAGADO</v>
      </c>
      <c r="AC327" s="70" t="str">
        <f>'RESUMEN TOTAL'!AJ413</f>
        <v>APAGADO</v>
      </c>
      <c r="AD327" s="70" t="str">
        <f>'RESUMEN TOTAL'!AK413</f>
        <v>APAGADO</v>
      </c>
      <c r="AE327" s="70" t="str">
        <f>'RESUMEN TOTAL'!AL413</f>
        <v>APAGADO</v>
      </c>
      <c r="AF327" s="70" t="str">
        <f>'RESUMEN TOTAL'!AM413</f>
        <v>APAGADO</v>
      </c>
      <c r="AG327" s="70" t="str">
        <f>'RESUMEN TOTAL'!AN413</f>
        <v>APAGADO</v>
      </c>
      <c r="AH327" s="70" t="str">
        <f>'RESUMEN TOTAL'!AO413</f>
        <v>APAGADO</v>
      </c>
      <c r="AI327" s="70" t="str">
        <f>'RESUMEN TOTAL'!AP413</f>
        <v>APAGADO</v>
      </c>
      <c r="AJ327" s="70" t="str">
        <f>'RESUMEN TOTAL'!AQ413</f>
        <v>APAGADO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 t="str">
        <f>'RESUMEN TOTAL'!P414</f>
        <v>APAGADO</v>
      </c>
      <c r="J328" s="70" t="str">
        <f>'RESUMEN TOTAL'!Q414</f>
        <v>APAGADO</v>
      </c>
      <c r="K328" s="70" t="str">
        <f>'RESUMEN TOTAL'!R414</f>
        <v>APAGADO</v>
      </c>
      <c r="L328" s="70" t="str">
        <f>'RESUMEN TOTAL'!S414</f>
        <v>APAGADO</v>
      </c>
      <c r="M328" s="70" t="str">
        <f>'RESUMEN TOTAL'!T414</f>
        <v>APAGADO</v>
      </c>
      <c r="N328" s="70" t="str">
        <f>'RESUMEN TOTAL'!U414</f>
        <v>APAGADO</v>
      </c>
      <c r="O328" s="70" t="str">
        <f>'RESUMEN TOTAL'!V414</f>
        <v>APAGADO</v>
      </c>
      <c r="P328" s="70" t="str">
        <f>'RESUMEN TOTAL'!W414</f>
        <v>APAGADO</v>
      </c>
      <c r="Q328" s="70" t="str">
        <f>'RESUMEN TOTAL'!X414</f>
        <v>APAGADO</v>
      </c>
      <c r="R328" s="70" t="str">
        <f>'RESUMEN TOTAL'!Y414</f>
        <v>APAGADO</v>
      </c>
      <c r="S328" s="70" t="str">
        <f>'RESUMEN TOTAL'!Z414</f>
        <v>APAGADO</v>
      </c>
      <c r="T328" s="70" t="str">
        <f>'RESUMEN TOTAL'!AA414</f>
        <v>APAGADO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 t="str">
        <f>'RESUMEN TOTAL'!W415</f>
        <v>APAGADO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 t="str">
        <f>'RESUMEN TOTAL'!AD415</f>
        <v>APAGADO</v>
      </c>
      <c r="X329" s="70" t="str">
        <f>'RESUMEN TOTAL'!AE415</f>
        <v>APAGADO</v>
      </c>
      <c r="Y329" s="70" t="str">
        <f>'RESUMEN TOTAL'!AF415</f>
        <v>APAGADO</v>
      </c>
      <c r="Z329" s="70" t="str">
        <f>'RESUMEN TOTAL'!AG415</f>
        <v>APAGADO</v>
      </c>
      <c r="AA329" s="70" t="str">
        <f>'RESUMEN TOTAL'!AH415</f>
        <v>APAGADO</v>
      </c>
      <c r="AB329" s="70" t="str">
        <f>'RESUMEN TOTAL'!AI415</f>
        <v>APAGADO</v>
      </c>
      <c r="AC329" s="70" t="str">
        <f>'RESUMEN TOTAL'!AJ415</f>
        <v>APAGADO</v>
      </c>
      <c r="AD329" s="70" t="str">
        <f>'RESUMEN TOTAL'!AK415</f>
        <v>APAGADO</v>
      </c>
      <c r="AE329" s="70" t="str">
        <f>'RESUMEN TOTAL'!AL415</f>
        <v>APAGADO</v>
      </c>
      <c r="AF329" s="70" t="str">
        <f>'RESUMEN TOTAL'!AM415</f>
        <v>APAGADO</v>
      </c>
      <c r="AG329" s="70" t="str">
        <f>'RESUMEN TOTAL'!AN415</f>
        <v>APAGADO</v>
      </c>
      <c r="AH329" s="70" t="str">
        <f>'RESUMEN TOTAL'!AO415</f>
        <v>APAGADO</v>
      </c>
      <c r="AI329" s="70" t="str">
        <f>'RESUMEN TOTAL'!AP415</f>
        <v>APAGADO</v>
      </c>
      <c r="AJ329" s="70" t="str">
        <f>'RESUMEN TOTAL'!AQ415</f>
        <v>APAGADO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>
        <f>'RESUMEN TOTAL'!M416</f>
        <v>0</v>
      </c>
      <c r="G330" s="70">
        <f>'RESUMEN TOTAL'!N416</f>
        <v>0</v>
      </c>
      <c r="H330" s="70">
        <f>'RESUMEN TOTAL'!O416</f>
        <v>0</v>
      </c>
      <c r="I330" s="70">
        <f>'RESUMEN TOTAL'!P416</f>
        <v>0</v>
      </c>
      <c r="J330" s="70" t="str">
        <f>'RESUMEN TOTAL'!Q416</f>
        <v>APAGADO</v>
      </c>
      <c r="K330" s="70" t="str">
        <f>'RESUMEN TOTAL'!R416</f>
        <v>APAGADO</v>
      </c>
      <c r="L330" s="70" t="str">
        <f>'RESUMEN TOTAL'!S416</f>
        <v>APAGADO</v>
      </c>
      <c r="M330" s="70" t="str">
        <f>'RESUMEN TOTAL'!T416</f>
        <v>APAGADO</v>
      </c>
      <c r="N330" s="70" t="str">
        <f>'RESUMEN TOTAL'!U416</f>
        <v>APAGADO</v>
      </c>
      <c r="O330" s="70">
        <f>'RESUMEN TOTAL'!V416</f>
        <v>0</v>
      </c>
      <c r="P330" s="70" t="str">
        <f>'RESUMEN TOTAL'!W416</f>
        <v>APAGADO</v>
      </c>
      <c r="Q330" s="70" t="str">
        <f>'RESUMEN TOTAL'!X416</f>
        <v>APAGADO</v>
      </c>
      <c r="R330" s="70" t="str">
        <f>'RESUMEN TOTAL'!Y416</f>
        <v>APAGADO</v>
      </c>
      <c r="S330" s="70" t="str">
        <f>'RESUMEN TOTAL'!Z416</f>
        <v>APAGADO</v>
      </c>
      <c r="T330" s="70" t="str">
        <f>'RESUMEN TOTAL'!AA416</f>
        <v>APAGADO</v>
      </c>
      <c r="U330" s="70" t="str">
        <f>'RESUMEN TOTAL'!AB416</f>
        <v>APAGADO</v>
      </c>
      <c r="V330" s="70" t="str">
        <f>'RESUMEN TOTAL'!AC416</f>
        <v>APAGADO</v>
      </c>
      <c r="W330" s="70" t="str">
        <f>'RESUMEN TOTAL'!AD416</f>
        <v>APAGADO</v>
      </c>
      <c r="X330" s="70" t="str">
        <f>'RESUMEN TOTAL'!AE416</f>
        <v>APAGADO</v>
      </c>
      <c r="Y330" s="70" t="str">
        <f>'RESUMEN TOTAL'!AF416</f>
        <v>APAGADO</v>
      </c>
      <c r="Z330" s="70" t="str">
        <f>'RESUMEN TOTAL'!AG416</f>
        <v>APAGADO</v>
      </c>
      <c r="AA330" s="70" t="str">
        <f>'RESUMEN TOTAL'!AH416</f>
        <v>APAGADO</v>
      </c>
      <c r="AB330" s="70" t="str">
        <f>'RESUMEN TOTAL'!AI416</f>
        <v>APAGADO</v>
      </c>
      <c r="AC330" s="70" t="str">
        <f>'RESUMEN TOTAL'!AJ416</f>
        <v>APAGADO</v>
      </c>
      <c r="AD330" s="70" t="str">
        <f>'RESUMEN TOTAL'!AK416</f>
        <v>APAGADO</v>
      </c>
      <c r="AE330" s="70" t="str">
        <f>'RESUMEN TOTAL'!AL416</f>
        <v>APAGADO</v>
      </c>
      <c r="AF330" s="70" t="str">
        <f>'RESUMEN TOTAL'!AM416</f>
        <v>APAGADO</v>
      </c>
      <c r="AG330" s="70" t="str">
        <f>'RESUMEN TOTAL'!AN416</f>
        <v>APAGADO</v>
      </c>
      <c r="AH330" s="70" t="str">
        <f>'RESUMEN TOTAL'!AO416</f>
        <v>APAGADO</v>
      </c>
      <c r="AI330" s="70" t="str">
        <f>'RESUMEN TOTAL'!AP416</f>
        <v>APAGADO</v>
      </c>
      <c r="AJ330" s="70" t="str">
        <f>'RESUMEN TOTAL'!AQ416</f>
        <v>APAGADO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 t="str">
        <f>'RESUMEN TOTAL'!AK417</f>
        <v>APAGADO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 t="str">
        <f>'RESUMEN TOTAL'!P418</f>
        <v>APAGADO</v>
      </c>
      <c r="J332" s="70" t="str">
        <f>'RESUMEN TOTAL'!Q418</f>
        <v>APAGADO</v>
      </c>
      <c r="K332" s="70" t="str">
        <f>'RESUMEN TOTAL'!R418</f>
        <v>APAGADO</v>
      </c>
      <c r="L332" s="70" t="str">
        <f>'RESUMEN TOTAL'!S418</f>
        <v>APAGADO</v>
      </c>
      <c r="M332" s="70" t="str">
        <f>'RESUMEN TOTAL'!T418</f>
        <v>APAGADO</v>
      </c>
      <c r="N332" s="70" t="str">
        <f>'RESUMEN TOTAL'!U418</f>
        <v>APAGADO</v>
      </c>
      <c r="O332" s="70" t="str">
        <f>'RESUMEN TOTAL'!V418</f>
        <v>APAGADO</v>
      </c>
      <c r="P332" s="70" t="str">
        <f>'RESUMEN TOTAL'!W418</f>
        <v>APAGADO</v>
      </c>
      <c r="Q332" s="70" t="str">
        <f>'RESUMEN TOTAL'!X418</f>
        <v>APAGADO</v>
      </c>
      <c r="R332" s="70" t="str">
        <f>'RESUMEN TOTAL'!Y418</f>
        <v>APAGADO</v>
      </c>
      <c r="S332" s="70" t="str">
        <f>'RESUMEN TOTAL'!Z418</f>
        <v>APAGADO</v>
      </c>
      <c r="T332" s="70" t="str">
        <f>'RESUMEN TOTAL'!AA418</f>
        <v>APAGADO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 t="str">
        <f>'RESUMEN TOTAL'!P419</f>
        <v>APAGADO</v>
      </c>
      <c r="J333" s="70" t="str">
        <f>'RESUMEN TOTAL'!Q419</f>
        <v>APAGADO</v>
      </c>
      <c r="K333" s="70" t="str">
        <f>'RESUMEN TOTAL'!R419</f>
        <v>APAGADO</v>
      </c>
      <c r="L333" s="70" t="str">
        <f>'RESUMEN TOTAL'!S419</f>
        <v>APAGADO</v>
      </c>
      <c r="M333" s="70" t="str">
        <f>'RESUMEN TOTAL'!T419</f>
        <v>APAGADO</v>
      </c>
      <c r="N333" s="70" t="str">
        <f>'RESUMEN TOTAL'!U419</f>
        <v>APAGADO</v>
      </c>
      <c r="O333" s="70" t="str">
        <f>'RESUMEN TOTAL'!V419</f>
        <v>APAGADO</v>
      </c>
      <c r="P333" s="70" t="str">
        <f>'RESUMEN TOTAL'!W419</f>
        <v>APAGADO</v>
      </c>
      <c r="Q333" s="70" t="str">
        <f>'RESUMEN TOTAL'!X419</f>
        <v>APAGADO</v>
      </c>
      <c r="R333" s="70" t="str">
        <f>'RESUMEN TOTAL'!Y419</f>
        <v>APAGADO</v>
      </c>
      <c r="S333" s="70" t="str">
        <f>'RESUMEN TOTAL'!Z419</f>
        <v>APAGADO</v>
      </c>
      <c r="T333" s="70" t="str">
        <f>'RESUMEN TOTAL'!AA419</f>
        <v>APAGADO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>
        <f>'RESUMEN TOTAL'!N420</f>
        <v>0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 t="str">
        <f>'RESUMEN TOTAL'!R420</f>
        <v>APAGADO</v>
      </c>
      <c r="L334" s="70" t="str">
        <f>'RESUMEN TOTAL'!S420</f>
        <v>APAGADO</v>
      </c>
      <c r="M334" s="70" t="str">
        <f>'RESUMEN TOTAL'!T420</f>
        <v>APAGADO</v>
      </c>
      <c r="N334" s="70" t="str">
        <f>'RESUMEN TOTAL'!U420</f>
        <v>APAGADO</v>
      </c>
      <c r="O334" s="70" t="str">
        <f>'RESUMEN TOTAL'!V420</f>
        <v>APAGADO</v>
      </c>
      <c r="P334" s="70" t="str">
        <f>'RESUMEN TOTAL'!W420</f>
        <v>APAGADO</v>
      </c>
      <c r="Q334" s="70" t="str">
        <f>'RESUMEN TOTAL'!X420</f>
        <v>APAGADO</v>
      </c>
      <c r="R334" s="70" t="str">
        <f>'RESUMEN TOTAL'!Y420</f>
        <v>APAGADO</v>
      </c>
      <c r="S334" s="70" t="str">
        <f>'RESUMEN TOTAL'!Z420</f>
        <v>APAGADO</v>
      </c>
      <c r="T334" s="70" t="str">
        <f>'RESUMEN TOTAL'!AA420</f>
        <v>APAGADO</v>
      </c>
      <c r="U334" s="70" t="str">
        <f>'RESUMEN TOTAL'!AB420</f>
        <v>APAGADO</v>
      </c>
      <c r="V334" s="70" t="str">
        <f>'RESUMEN TOTAL'!AC420</f>
        <v>APAGADO</v>
      </c>
      <c r="W334" s="70" t="str">
        <f>'RESUMEN TOTAL'!AD420</f>
        <v>APAGADO</v>
      </c>
      <c r="X334" s="70" t="str">
        <f>'RESUMEN TOTAL'!AE420</f>
        <v>APAGADO</v>
      </c>
      <c r="Y334" s="70" t="str">
        <f>'RESUMEN TOTAL'!AF420</f>
        <v>APAGADO</v>
      </c>
      <c r="Z334" s="70" t="str">
        <f>'RESUMEN TOTAL'!AG420</f>
        <v>APAGADO</v>
      </c>
      <c r="AA334" s="70" t="str">
        <f>'RESUMEN TOTAL'!AH420</f>
        <v>APAGADO</v>
      </c>
      <c r="AB334" s="70" t="str">
        <f>'RESUMEN TOTAL'!AI420</f>
        <v>APAGADO</v>
      </c>
      <c r="AC334" s="70" t="str">
        <f>'RESUMEN TOTAL'!AJ420</f>
        <v>APAGADO</v>
      </c>
      <c r="AD334" s="70" t="str">
        <f>'RESUMEN TOTAL'!AK420</f>
        <v>APAGADO</v>
      </c>
      <c r="AE334" s="70" t="str">
        <f>'RESUMEN TOTAL'!AL420</f>
        <v>APAGADO</v>
      </c>
      <c r="AF334" s="70" t="str">
        <f>'RESUMEN TOTAL'!AM420</f>
        <v>APAGADO</v>
      </c>
      <c r="AG334" s="70" t="str">
        <f>'RESUMEN TOTAL'!AN420</f>
        <v>APAGADO</v>
      </c>
      <c r="AH334" s="70" t="str">
        <f>'RESUMEN TOTAL'!AO420</f>
        <v>APAGADO</v>
      </c>
      <c r="AI334" s="70" t="str">
        <f>'RESUMEN TOTAL'!AP420</f>
        <v>APAGADO</v>
      </c>
      <c r="AJ334" s="70" t="str">
        <f>'RESUMEN TOTAL'!AQ420</f>
        <v>APAGADO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>
        <f>'RESUMEN TOTAL'!N421</f>
        <v>0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 t="str">
        <f>'RESUMEN TOTAL'!R421</f>
        <v>APAGADO</v>
      </c>
      <c r="L335" s="70" t="str">
        <f>'RESUMEN TOTAL'!S421</f>
        <v>APAGADO</v>
      </c>
      <c r="M335" s="70" t="str">
        <f>'RESUMEN TOTAL'!T421</f>
        <v>APAGADO</v>
      </c>
      <c r="N335" s="70" t="str">
        <f>'RESUMEN TOTAL'!U421</f>
        <v>APAGADO</v>
      </c>
      <c r="O335" s="70" t="str">
        <f>'RESUMEN TOTAL'!V421</f>
        <v>APAGADO</v>
      </c>
      <c r="P335" s="70" t="str">
        <f>'RESUMEN TOTAL'!W421</f>
        <v>APAGADO</v>
      </c>
      <c r="Q335" s="70" t="str">
        <f>'RESUMEN TOTAL'!X421</f>
        <v>APAGADO</v>
      </c>
      <c r="R335" s="70" t="str">
        <f>'RESUMEN TOTAL'!Y421</f>
        <v>APAGADO</v>
      </c>
      <c r="S335" s="70" t="str">
        <f>'RESUMEN TOTAL'!Z421</f>
        <v>APAGADO</v>
      </c>
      <c r="T335" s="70" t="str">
        <f>'RESUMEN TOTAL'!AA421</f>
        <v>APAGADO</v>
      </c>
      <c r="U335" s="70" t="str">
        <f>'RESUMEN TOTAL'!AB421</f>
        <v>APAGADO</v>
      </c>
      <c r="V335" s="70" t="str">
        <f>'RESUMEN TOTAL'!AC421</f>
        <v>APAGADO</v>
      </c>
      <c r="W335" s="70" t="str">
        <f>'RESUMEN TOTAL'!AD421</f>
        <v>APAGADO</v>
      </c>
      <c r="X335" s="70" t="str">
        <f>'RESUMEN TOTAL'!AE421</f>
        <v>APAGADO</v>
      </c>
      <c r="Y335" s="70" t="str">
        <f>'RESUMEN TOTAL'!AF421</f>
        <v>APAGADO</v>
      </c>
      <c r="Z335" s="70" t="str">
        <f>'RESUMEN TOTAL'!AG421</f>
        <v>APAGADO</v>
      </c>
      <c r="AA335" s="70" t="str">
        <f>'RESUMEN TOTAL'!AH421</f>
        <v>APAGADO</v>
      </c>
      <c r="AB335" s="70" t="str">
        <f>'RESUMEN TOTAL'!AI421</f>
        <v>APAGADO</v>
      </c>
      <c r="AC335" s="70" t="str">
        <f>'RESUMEN TOTAL'!AJ421</f>
        <v>APAGADO</v>
      </c>
      <c r="AD335" s="70" t="str">
        <f>'RESUMEN TOTAL'!AK421</f>
        <v>APAGADO</v>
      </c>
      <c r="AE335" s="70" t="str">
        <f>'RESUMEN TOTAL'!AL421</f>
        <v>APAGADO</v>
      </c>
      <c r="AF335" s="70" t="str">
        <f>'RESUMEN TOTAL'!AM421</f>
        <v>APAGADO</v>
      </c>
      <c r="AG335" s="70" t="str">
        <f>'RESUMEN TOTAL'!AN421</f>
        <v>APAGADO</v>
      </c>
      <c r="AH335" s="70" t="str">
        <f>'RESUMEN TOTAL'!AO421</f>
        <v>APAGADO</v>
      </c>
      <c r="AI335" s="70" t="str">
        <f>'RESUMEN TOTAL'!AP421</f>
        <v>APAGADO</v>
      </c>
      <c r="AJ335" s="70" t="str">
        <f>'RESUMEN TOTAL'!AQ421</f>
        <v>APAGADO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 t="str">
        <f>'RESUMEN TOTAL'!P427</f>
        <v>APAGADO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 t="str">
        <f>'RESUMEN TOTAL'!P428</f>
        <v>APAGADO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>
        <f>'RESUMEN TOTAL'!M429</f>
        <v>0</v>
      </c>
      <c r="G340" s="70">
        <f>'RESUMEN TOTAL'!N429</f>
        <v>0</v>
      </c>
      <c r="H340" s="70">
        <f>'RESUMEN TOTAL'!O429</f>
        <v>0</v>
      </c>
      <c r="I340" s="70" t="str">
        <f>'RESUMEN TOTAL'!P429</f>
        <v>APAGADO</v>
      </c>
      <c r="J340" s="70">
        <f>'RESUMEN TOTAL'!Q429</f>
        <v>0</v>
      </c>
      <c r="K340" s="70">
        <f>'RESUMEN TOTAL'!R429</f>
        <v>0</v>
      </c>
      <c r="L340" s="70">
        <f>'RESUMEN TOTAL'!S429</f>
        <v>0</v>
      </c>
      <c r="M340" s="70" t="str">
        <f>'RESUMEN TOTAL'!T429</f>
        <v>APAGADO</v>
      </c>
      <c r="N340" s="70">
        <f>'RESUMEN TOTAL'!U429</f>
        <v>0</v>
      </c>
      <c r="O340" s="70">
        <f>'RESUMEN TOTAL'!V429</f>
        <v>0</v>
      </c>
      <c r="P340" s="70" t="str">
        <f>'RESUMEN TOTAL'!W429</f>
        <v>APAGADO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 t="str">
        <f>'RESUMEN TOTAL'!AA429</f>
        <v>APAGADO</v>
      </c>
      <c r="U340" s="70" t="str">
        <f>'RESUMEN TOTAL'!AB429</f>
        <v>APAGADO</v>
      </c>
      <c r="V340" s="70">
        <f>'RESUMEN TOTAL'!AC429</f>
        <v>0</v>
      </c>
      <c r="W340" s="70" t="str">
        <f>'RESUMEN TOTAL'!AD429</f>
        <v>APAGADO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 t="str">
        <f>'RESUMEN TOTAL'!AJ429</f>
        <v>APAGADO</v>
      </c>
      <c r="AD340" s="70" t="str">
        <f>'RESUMEN TOTAL'!AK429</f>
        <v>APAGADO</v>
      </c>
      <c r="AE340" s="70" t="str">
        <f>'RESUMEN TOTAL'!AL429</f>
        <v>APAGADO</v>
      </c>
      <c r="AF340" s="70" t="str">
        <f>'RESUMEN TOTAL'!AM429</f>
        <v>APAGADO</v>
      </c>
      <c r="AG340" s="70" t="str">
        <f>'RESUMEN TOTAL'!AN429</f>
        <v>APAGADO</v>
      </c>
      <c r="AH340" s="70" t="str">
        <f>'RESUMEN TOTAL'!AO429</f>
        <v>APAGADO</v>
      </c>
      <c r="AI340" s="70" t="str">
        <f>'RESUMEN TOTAL'!AP429</f>
        <v>APAGADO</v>
      </c>
      <c r="AJ340" s="70" t="str">
        <f>'RESUMEN TOTAL'!AQ429</f>
        <v>APAGADO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>
        <f>'RESUMEN TOTAL'!M430</f>
        <v>0</v>
      </c>
      <c r="G341" s="70">
        <f>'RESUMEN TOTAL'!N430</f>
        <v>0</v>
      </c>
      <c r="H341" s="70">
        <f>'RESUMEN TOTAL'!O430</f>
        <v>0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 t="str">
        <f>'RESUMEN TOTAL'!T430</f>
        <v>APAGADO</v>
      </c>
      <c r="N341" s="70" t="str">
        <f>'RESUMEN TOTAL'!U430</f>
        <v>APAGADO</v>
      </c>
      <c r="O341" s="70" t="str">
        <f>'RESUMEN TOTAL'!V430</f>
        <v>APAGADO</v>
      </c>
      <c r="P341" s="70" t="str">
        <f>'RESUMEN TOTAL'!W430</f>
        <v>APAGADO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 t="str">
        <f>'RESUMEN TOTAL'!AA430</f>
        <v>APAGADO</v>
      </c>
      <c r="U341" s="70" t="str">
        <f>'RESUMEN TOTAL'!AB430</f>
        <v>APAGADO</v>
      </c>
      <c r="V341" s="70">
        <f>'RESUMEN TOTAL'!AC430</f>
        <v>0</v>
      </c>
      <c r="W341" s="70" t="str">
        <f>'RESUMEN TOTAL'!AD430</f>
        <v>APAGADO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 t="str">
        <f>'RESUMEN TOTAL'!AH430</f>
        <v>APAGADO</v>
      </c>
      <c r="AB341" s="70" t="str">
        <f>'RESUMEN TOTAL'!AI430</f>
        <v>APAGADO</v>
      </c>
      <c r="AC341" s="70" t="str">
        <f>'RESUMEN TOTAL'!AJ430</f>
        <v>APAGADO</v>
      </c>
      <c r="AD341" s="70" t="str">
        <f>'RESUMEN TOTAL'!AK430</f>
        <v>APAGADO</v>
      </c>
      <c r="AE341" s="70" t="str">
        <f>'RESUMEN TOTAL'!AL430</f>
        <v>APAGADO</v>
      </c>
      <c r="AF341" s="70" t="str">
        <f>'RESUMEN TOTAL'!AM430</f>
        <v>APAGADO</v>
      </c>
      <c r="AG341" s="70" t="str">
        <f>'RESUMEN TOTAL'!AN430</f>
        <v>APAGADO</v>
      </c>
      <c r="AH341" s="70" t="str">
        <f>'RESUMEN TOTAL'!AO430</f>
        <v>APAGADO</v>
      </c>
      <c r="AI341" s="70" t="str">
        <f>'RESUMEN TOTAL'!AP430</f>
        <v>APAGADO</v>
      </c>
      <c r="AJ341" s="70" t="str">
        <f>'RESUMEN TOTAL'!AQ430</f>
        <v>APAGADO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 t="str">
        <f>'RESUMEN TOTAL'!U434</f>
        <v>APAGADO</v>
      </c>
      <c r="O345" s="70" t="str">
        <f>'RESUMEN TOTAL'!V434</f>
        <v>APAGADO</v>
      </c>
      <c r="P345" s="70" t="str">
        <f>'RESUMEN TOTAL'!W434</f>
        <v>APAGADO</v>
      </c>
      <c r="Q345" s="70" t="str">
        <f>'RESUMEN TOTAL'!X434</f>
        <v>APAGADO</v>
      </c>
      <c r="R345" s="70" t="str">
        <f>'RESUMEN TOTAL'!Y434</f>
        <v>APAGADO</v>
      </c>
      <c r="S345" s="70" t="str">
        <f>'RESUMEN TOTAL'!Z434</f>
        <v>APAGADO</v>
      </c>
      <c r="T345" s="70" t="str">
        <f>'RESUMEN TOTAL'!AA434</f>
        <v>APAGADO</v>
      </c>
      <c r="U345" s="70" t="str">
        <f>'RESUMEN TOTAL'!AB434</f>
        <v>APAGADO</v>
      </c>
      <c r="V345" s="70" t="str">
        <f>'RESUMEN TOTAL'!AC434</f>
        <v>APAGADO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 t="str">
        <f>'RESUMEN TOTAL'!AQ434</f>
        <v>APAGADO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 t="str">
        <f>'RESUMEN TOTAL'!W436</f>
        <v>APAGADO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>
        <f>'RESUMEN TOTAL'!AA436</f>
        <v>0</v>
      </c>
      <c r="U347" s="70" t="str">
        <f>'RESUMEN TOTAL'!AB436</f>
        <v>APAGADO</v>
      </c>
      <c r="V347" s="70">
        <f>'RESUMEN TOTAL'!AC436</f>
        <v>0</v>
      </c>
      <c r="W347" s="70" t="str">
        <f>'RESUMEN TOTAL'!AD436</f>
        <v>APAGADO</v>
      </c>
      <c r="X347" s="70" t="str">
        <f>'RESUMEN TOTAL'!AE436</f>
        <v>APAGADO</v>
      </c>
      <c r="Y347" s="70" t="str">
        <f>'RESUMEN TOTAL'!AF436</f>
        <v>APAGADO</v>
      </c>
      <c r="Z347" s="70" t="str">
        <f>'RESUMEN TOTAL'!AG436</f>
        <v>APAGADO</v>
      </c>
      <c r="AA347" s="70" t="str">
        <f>'RESUMEN TOTAL'!AH436</f>
        <v>APAGADO</v>
      </c>
      <c r="AB347" s="70" t="str">
        <f>'RESUMEN TOTAL'!AI436</f>
        <v>APAGADO</v>
      </c>
      <c r="AC347" s="70" t="str">
        <f>'RESUMEN TOTAL'!AJ436</f>
        <v>APAGADO</v>
      </c>
      <c r="AD347" s="70" t="str">
        <f>'RESUMEN TOTAL'!AK436</f>
        <v>APAGADO</v>
      </c>
      <c r="AE347" s="70" t="str">
        <f>'RESUMEN TOTAL'!AL436</f>
        <v>APAGADO</v>
      </c>
      <c r="AF347" s="70" t="str">
        <f>'RESUMEN TOTAL'!AM436</f>
        <v>APAGADO</v>
      </c>
      <c r="AG347" s="70" t="str">
        <f>'RESUMEN TOTAL'!AN436</f>
        <v>APAGADO</v>
      </c>
      <c r="AH347" s="70" t="str">
        <f>'RESUMEN TOTAL'!AO436</f>
        <v>APAGADO</v>
      </c>
      <c r="AI347" s="70" t="str">
        <f>'RESUMEN TOTAL'!AP436</f>
        <v>APAGADO</v>
      </c>
      <c r="AJ347" s="70" t="str">
        <f>'RESUMEN TOTAL'!AQ436</f>
        <v>APAGADO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 t="str">
        <f>'RESUMEN TOTAL'!M437</f>
        <v>APAGADO</v>
      </c>
      <c r="G348" s="70" t="str">
        <f>'RESUMEN TOTAL'!N437</f>
        <v>APAGADO</v>
      </c>
      <c r="H348" s="70" t="str">
        <f>'RESUMEN TOTAL'!O437</f>
        <v>APAGADO</v>
      </c>
      <c r="I348" s="70" t="str">
        <f>'RESUMEN TOTAL'!P437</f>
        <v>APAGADO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 t="str">
        <f>'RESUMEN TOTAL'!P438</f>
        <v>APAGADO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 t="str">
        <f>'RESUMEN TOTAL'!AA438</f>
        <v>APAGADO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 t="str">
        <f>'RESUMEN TOTAL'!M440</f>
        <v>APAGADO</v>
      </c>
      <c r="G351" s="70" t="str">
        <f>'RESUMEN TOTAL'!N440</f>
        <v>APAGADO</v>
      </c>
      <c r="H351" s="70" t="str">
        <f>'RESUMEN TOTAL'!O440</f>
        <v>APAGADO</v>
      </c>
      <c r="I351" s="70" t="str">
        <f>'RESUMEN TOTAL'!P440</f>
        <v>APAGADO</v>
      </c>
      <c r="J351" s="70" t="str">
        <f>'RESUMEN TOTAL'!Q440</f>
        <v>APAGADO</v>
      </c>
      <c r="K351" s="70" t="str">
        <f>'RESUMEN TOTAL'!R440</f>
        <v>APAGADO</v>
      </c>
      <c r="L351" s="70" t="str">
        <f>'RESUMEN TOTAL'!S440</f>
        <v>APAGADO</v>
      </c>
      <c r="M351" s="70" t="str">
        <f>'RESUMEN TOTAL'!T440</f>
        <v>APAGADO</v>
      </c>
      <c r="N351" s="70" t="str">
        <f>'RESUMEN TOTAL'!U440</f>
        <v>APAGADO</v>
      </c>
      <c r="O351" s="70" t="str">
        <f>'RESUMEN TOTAL'!V440</f>
        <v>APAGADO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>
        <f>'RESUMEN TOTAL'!M441</f>
        <v>0</v>
      </c>
      <c r="G352" s="70">
        <f>'RESUMEN TOTAL'!N441</f>
        <v>0</v>
      </c>
      <c r="H352" s="70">
        <f>'RESUMEN TOTAL'!O441</f>
        <v>0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 t="str">
        <f>'RESUMEN TOTAL'!T441</f>
        <v>APAGADO</v>
      </c>
      <c r="N352" s="70">
        <f>'RESUMEN TOTAL'!U441</f>
        <v>0</v>
      </c>
      <c r="O352" s="70">
        <f>'RESUMEN TOTAL'!V441</f>
        <v>0</v>
      </c>
      <c r="P352" s="70" t="str">
        <f>'RESUMEN TOTAL'!W441</f>
        <v>APAGADO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 t="str">
        <f>'RESUMEN TOTAL'!AD441</f>
        <v>APAGADO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 t="str">
        <f>'RESUMEN TOTAL'!AJ441</f>
        <v>APAGADO</v>
      </c>
      <c r="AD352" s="70" t="str">
        <f>'RESUMEN TOTAL'!AK441</f>
        <v>APAGADO</v>
      </c>
      <c r="AE352" s="70" t="str">
        <f>'RESUMEN TOTAL'!AL441</f>
        <v>APAGADO</v>
      </c>
      <c r="AF352" s="70" t="str">
        <f>'RESUMEN TOTAL'!AM441</f>
        <v>APAGADO</v>
      </c>
      <c r="AG352" s="70" t="str">
        <f>'RESUMEN TOTAL'!AN441</f>
        <v>APAGADO</v>
      </c>
      <c r="AH352" s="70" t="str">
        <f>'RESUMEN TOTAL'!AO441</f>
        <v>APAGADO</v>
      </c>
      <c r="AI352" s="70" t="str">
        <f>'RESUMEN TOTAL'!AP441</f>
        <v>APAGADO</v>
      </c>
      <c r="AJ352" s="70" t="str">
        <f>'RESUMEN TOTAL'!AQ441</f>
        <v>APAGADO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 t="str">
        <f>'RESUMEN TOTAL'!W442</f>
        <v>APAGADO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 t="str">
        <f>'RESUMEN TOTAL'!AD442</f>
        <v>APAGADO</v>
      </c>
      <c r="X353" s="70" t="str">
        <f>'RESUMEN TOTAL'!AE442</f>
        <v>APAGADO</v>
      </c>
      <c r="Y353" s="70" t="str">
        <f>'RESUMEN TOTAL'!AF442</f>
        <v>APAGADO</v>
      </c>
      <c r="Z353" s="70" t="str">
        <f>'RESUMEN TOTAL'!AG442</f>
        <v>APAGADO</v>
      </c>
      <c r="AA353" s="70" t="str">
        <f>'RESUMEN TOTAL'!AH442</f>
        <v>APAGADO</v>
      </c>
      <c r="AB353" s="70" t="str">
        <f>'RESUMEN TOTAL'!AI442</f>
        <v>APAGADO</v>
      </c>
      <c r="AC353" s="70" t="str">
        <f>'RESUMEN TOTAL'!AJ442</f>
        <v>APAGADO</v>
      </c>
      <c r="AD353" s="70" t="str">
        <f>'RESUMEN TOTAL'!AK442</f>
        <v>APAGADO</v>
      </c>
      <c r="AE353" s="70" t="str">
        <f>'RESUMEN TOTAL'!AL442</f>
        <v>APAGADO</v>
      </c>
      <c r="AF353" s="70" t="str">
        <f>'RESUMEN TOTAL'!AM442</f>
        <v>APAGADO</v>
      </c>
      <c r="AG353" s="70" t="str">
        <f>'RESUMEN TOTAL'!AN442</f>
        <v>APAGADO</v>
      </c>
      <c r="AH353" s="70" t="str">
        <f>'RESUMEN TOTAL'!AO442</f>
        <v>APAGADO</v>
      </c>
      <c r="AI353" s="70" t="str">
        <f>'RESUMEN TOTAL'!AP442</f>
        <v>APAGADO</v>
      </c>
      <c r="AJ353" s="70" t="str">
        <f>'RESUMEN TOTAL'!AQ442</f>
        <v>APAGADO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>
        <f>'RESUMEN TOTAL'!M443</f>
        <v>0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 t="str">
        <f>'RESUMEN TOTAL'!AQ443</f>
        <v>APAGADO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 t="str">
        <f>'RESUMEN TOTAL'!AN444</f>
        <v>APAGADO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 t="str">
        <f>'RESUMEN TOTAL'!AN445</f>
        <v>APAGADO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>
        <f>'RESUMEN TOTAL'!M446</f>
        <v>0</v>
      </c>
      <c r="G357" s="70">
        <f>'RESUMEN TOTAL'!N446</f>
        <v>0</v>
      </c>
      <c r="H357" s="70">
        <f>'RESUMEN TOTAL'!O446</f>
        <v>0</v>
      </c>
      <c r="I357" s="70" t="str">
        <f>'RESUMEN TOTAL'!P446</f>
        <v>APAGADO</v>
      </c>
      <c r="J357" s="70">
        <f>'RESUMEN TOTAL'!Q446</f>
        <v>0</v>
      </c>
      <c r="K357" s="70">
        <f>'RESUMEN TOTAL'!R446</f>
        <v>0</v>
      </c>
      <c r="L357" s="70">
        <f>'RESUMEN TOTAL'!S446</f>
        <v>0</v>
      </c>
      <c r="M357" s="70" t="str">
        <f>'RESUMEN TOTAL'!T446</f>
        <v>APAGADO</v>
      </c>
      <c r="N357" s="70">
        <f>'RESUMEN TOTAL'!U446</f>
        <v>0</v>
      </c>
      <c r="O357" s="70">
        <f>'RESUMEN TOTAL'!V446</f>
        <v>0</v>
      </c>
      <c r="P357" s="70" t="str">
        <f>'RESUMEN TOTAL'!W446</f>
        <v>APAGADO</v>
      </c>
      <c r="Q357" s="70" t="str">
        <f>'RESUMEN TOTAL'!X446</f>
        <v>APAGADO</v>
      </c>
      <c r="R357" s="70" t="str">
        <f>'RESUMEN TOTAL'!Y446</f>
        <v>APAGADO</v>
      </c>
      <c r="S357" s="70">
        <f>'RESUMEN TOTAL'!Z446</f>
        <v>0</v>
      </c>
      <c r="T357" s="70">
        <f>'RESUMEN TOTAL'!AA446</f>
        <v>0</v>
      </c>
      <c r="U357" s="70" t="str">
        <f>'RESUMEN TOTAL'!AB446</f>
        <v>APAGADO</v>
      </c>
      <c r="V357" s="70" t="str">
        <f>'RESUMEN TOTAL'!AC446</f>
        <v>APAGADO</v>
      </c>
      <c r="W357" s="70" t="str">
        <f>'RESUMEN TOTAL'!AD446</f>
        <v>APAGADO</v>
      </c>
      <c r="X357" s="70" t="str">
        <f>'RESUMEN TOTAL'!AE446</f>
        <v>APAGADO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 t="str">
        <f>'RESUMEN TOTAL'!AJ446</f>
        <v>APAGADO</v>
      </c>
      <c r="AD357" s="70" t="str">
        <f>'RESUMEN TOTAL'!AK446</f>
        <v>APAGADO</v>
      </c>
      <c r="AE357" s="70" t="str">
        <f>'RESUMEN TOTAL'!AL446</f>
        <v>APAGADO</v>
      </c>
      <c r="AF357" s="70" t="str">
        <f>'RESUMEN TOTAL'!AM446</f>
        <v>APAGADO</v>
      </c>
      <c r="AG357" s="70" t="str">
        <f>'RESUMEN TOTAL'!AN446</f>
        <v>APAGADO</v>
      </c>
      <c r="AH357" s="70" t="str">
        <f>'RESUMEN TOTAL'!AO446</f>
        <v>APAGADO</v>
      </c>
      <c r="AI357" s="70" t="str">
        <f>'RESUMEN TOTAL'!AP446</f>
        <v>APAGADO</v>
      </c>
      <c r="AJ357" s="70" t="str">
        <f>'RESUMEN TOTAL'!AQ446</f>
        <v>APAGADO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>
        <f>'RESUMEN TOTAL'!M447</f>
        <v>0</v>
      </c>
      <c r="G358" s="70">
        <f>'RESUMEN TOTAL'!N447</f>
        <v>0</v>
      </c>
      <c r="H358" s="70">
        <f>'RESUMEN TOTAL'!O447</f>
        <v>0</v>
      </c>
      <c r="I358" s="70" t="str">
        <f>'RESUMEN TOTAL'!P447</f>
        <v>APAGADO</v>
      </c>
      <c r="J358" s="70">
        <f>'RESUMEN TOTAL'!Q447</f>
        <v>0</v>
      </c>
      <c r="K358" s="70">
        <f>'RESUMEN TOTAL'!R447</f>
        <v>0</v>
      </c>
      <c r="L358" s="70">
        <f>'RESUMEN TOTAL'!S447</f>
        <v>0</v>
      </c>
      <c r="M358" s="70" t="str">
        <f>'RESUMEN TOTAL'!T447</f>
        <v>APAGADO</v>
      </c>
      <c r="N358" s="70">
        <f>'RESUMEN TOTAL'!U447</f>
        <v>0</v>
      </c>
      <c r="O358" s="70">
        <f>'RESUMEN TOTAL'!V447</f>
        <v>0</v>
      </c>
      <c r="P358" s="70" t="str">
        <f>'RESUMEN TOTAL'!W447</f>
        <v>APAGADO</v>
      </c>
      <c r="Q358" s="70" t="str">
        <f>'RESUMEN TOTAL'!X447</f>
        <v>APAGADO</v>
      </c>
      <c r="R358" s="70" t="str">
        <f>'RESUMEN TOTAL'!Y447</f>
        <v>APAGADO</v>
      </c>
      <c r="S358" s="70">
        <f>'RESUMEN TOTAL'!Z447</f>
        <v>0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 t="str">
        <f>'RESUMEN TOTAL'!AD447</f>
        <v>APAGADO</v>
      </c>
      <c r="X358" s="70" t="str">
        <f>'RESUMEN TOTAL'!AE447</f>
        <v>APAGADO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 t="str">
        <f>'RESUMEN TOTAL'!AJ447</f>
        <v>APAGADO</v>
      </c>
      <c r="AD358" s="70" t="str">
        <f>'RESUMEN TOTAL'!AK447</f>
        <v>APAGADO</v>
      </c>
      <c r="AE358" s="70" t="str">
        <f>'RESUMEN TOTAL'!AL447</f>
        <v>APAGADO</v>
      </c>
      <c r="AF358" s="70" t="str">
        <f>'RESUMEN TOTAL'!AM447</f>
        <v>APAGADO</v>
      </c>
      <c r="AG358" s="70" t="str">
        <f>'RESUMEN TOTAL'!AN447</f>
        <v>APAGADO</v>
      </c>
      <c r="AH358" s="70" t="str">
        <f>'RESUMEN TOTAL'!AO447</f>
        <v>APAGADO</v>
      </c>
      <c r="AI358" s="70" t="str">
        <f>'RESUMEN TOTAL'!AP447</f>
        <v>APAGADO</v>
      </c>
      <c r="AJ358" s="70" t="str">
        <f>'RESUMEN TOTAL'!AQ447</f>
        <v>APAGADO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 t="str">
        <f>'RESUMEN TOTAL'!U448</f>
        <v>APAGADO</v>
      </c>
      <c r="O359" s="70" t="str">
        <f>'RESUMEN TOTAL'!V448</f>
        <v>APAGADO</v>
      </c>
      <c r="P359" s="70" t="str">
        <f>'RESUMEN TOTAL'!W448</f>
        <v>APAGADO</v>
      </c>
      <c r="Q359" s="70" t="str">
        <f>'RESUMEN TOTAL'!X448</f>
        <v>APAGADO</v>
      </c>
      <c r="R359" s="70" t="str">
        <f>'RESUMEN TOTAL'!Y448</f>
        <v>APAGADO</v>
      </c>
      <c r="S359" s="70" t="str">
        <f>'RESUMEN TOTAL'!Z448</f>
        <v>APAGADO</v>
      </c>
      <c r="T359" s="70" t="str">
        <f>'RESUMEN TOTAL'!AA448</f>
        <v>APAGADO</v>
      </c>
      <c r="U359" s="70" t="str">
        <f>'RESUMEN TOTAL'!AB448</f>
        <v>APAGADO</v>
      </c>
      <c r="V359" s="70" t="str">
        <f>'RESUMEN TOTAL'!AC448</f>
        <v>APAGADO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 t="str">
        <f>'RESUMEN TOTAL'!AQ448</f>
        <v>APAGADO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 t="str">
        <f>'RESUMEN TOTAL'!M449</f>
        <v>APAGADO</v>
      </c>
      <c r="G360" s="70" t="str">
        <f>'RESUMEN TOTAL'!N449</f>
        <v>APAGADO</v>
      </c>
      <c r="H360" s="70" t="str">
        <f>'RESUMEN TOTAL'!O449</f>
        <v>APAGADO</v>
      </c>
      <c r="I360" s="70" t="str">
        <f>'RESUMEN TOTAL'!P449</f>
        <v>APAGADO</v>
      </c>
      <c r="J360" s="70" t="str">
        <f>'RESUMEN TOTAL'!Q449</f>
        <v>APAGADO</v>
      </c>
      <c r="K360" s="70" t="str">
        <f>'RESUMEN TOTAL'!R449</f>
        <v>APAGADO</v>
      </c>
      <c r="L360" s="70" t="str">
        <f>'RESUMEN TOTAL'!S449</f>
        <v>APAGADO</v>
      </c>
      <c r="M360" s="70" t="str">
        <f>'RESUMEN TOTAL'!T449</f>
        <v>APAGADO</v>
      </c>
      <c r="N360" s="70" t="str">
        <f>'RESUMEN TOTAL'!U449</f>
        <v>APAGADO</v>
      </c>
      <c r="O360" s="70" t="str">
        <f>'RESUMEN TOTAL'!V449</f>
        <v>APAGADO</v>
      </c>
      <c r="P360" s="70" t="str">
        <f>'RESUMEN TOTAL'!W449</f>
        <v>APAGADO</v>
      </c>
      <c r="Q360" s="70" t="str">
        <f>'RESUMEN TOTAL'!X449</f>
        <v>APAGADO</v>
      </c>
      <c r="R360" s="70" t="str">
        <f>'RESUMEN TOTAL'!Y449</f>
        <v>APAGADO</v>
      </c>
      <c r="S360" s="70" t="str">
        <f>'RESUMEN TOTAL'!Z449</f>
        <v>APAGADO</v>
      </c>
      <c r="T360" s="70" t="str">
        <f>'RESUMEN TOTAL'!AA449</f>
        <v>APAGADO</v>
      </c>
      <c r="U360" s="70" t="str">
        <f>'RESUMEN TOTAL'!AB449</f>
        <v>APAGADO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 t="str">
        <f>'RESUMEN TOTAL'!W456</f>
        <v>APAGADO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 t="str">
        <f>'RESUMEN TOTAL'!AD456</f>
        <v>APAGADO</v>
      </c>
      <c r="X361" s="70" t="str">
        <f>'RESUMEN TOTAL'!AE456</f>
        <v>APAGADO</v>
      </c>
      <c r="Y361" s="70" t="str">
        <f>'RESUMEN TOTAL'!AF456</f>
        <v>APAGADO</v>
      </c>
      <c r="Z361" s="70" t="str">
        <f>'RESUMEN TOTAL'!AG456</f>
        <v>APAGADO</v>
      </c>
      <c r="AA361" s="70" t="str">
        <f>'RESUMEN TOTAL'!AH456</f>
        <v>APAGADO</v>
      </c>
      <c r="AB361" s="70" t="str">
        <f>'RESUMEN TOTAL'!AI456</f>
        <v>APAGADO</v>
      </c>
      <c r="AC361" s="70" t="str">
        <f>'RESUMEN TOTAL'!AJ456</f>
        <v>APAGADO</v>
      </c>
      <c r="AD361" s="70" t="str">
        <f>'RESUMEN TOTAL'!AK456</f>
        <v>APAGADO</v>
      </c>
      <c r="AE361" s="70" t="str">
        <f>'RESUMEN TOTAL'!AL456</f>
        <v>APAGADO</v>
      </c>
      <c r="AF361" s="70" t="str">
        <f>'RESUMEN TOTAL'!AM456</f>
        <v>APAGADO</v>
      </c>
      <c r="AG361" s="70" t="str">
        <f>'RESUMEN TOTAL'!AN456</f>
        <v>APAGADO</v>
      </c>
      <c r="AH361" s="70" t="str">
        <f>'RESUMEN TOTAL'!AO456</f>
        <v>APAGADO</v>
      </c>
      <c r="AI361" s="70" t="str">
        <f>'RESUMEN TOTAL'!AP456</f>
        <v>APAGADO</v>
      </c>
      <c r="AJ361" s="70" t="str">
        <f>'RESUMEN TOTAL'!AQ456</f>
        <v>APAGADO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 t="str">
        <f>'RESUMEN TOTAL'!W457</f>
        <v>APAGADO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 t="str">
        <f>'RESUMEN TOTAL'!AD457</f>
        <v>APAGADO</v>
      </c>
      <c r="X362" s="70" t="str">
        <f>'RESUMEN TOTAL'!AE457</f>
        <v>APAGADO</v>
      </c>
      <c r="Y362" s="70" t="str">
        <f>'RESUMEN TOTAL'!AF457</f>
        <v>APAGADO</v>
      </c>
      <c r="Z362" s="70" t="str">
        <f>'RESUMEN TOTAL'!AG457</f>
        <v>APAGADO</v>
      </c>
      <c r="AA362" s="70" t="str">
        <f>'RESUMEN TOTAL'!AH457</f>
        <v>APAGADO</v>
      </c>
      <c r="AB362" s="70" t="str">
        <f>'RESUMEN TOTAL'!AI457</f>
        <v>APAGADO</v>
      </c>
      <c r="AC362" s="70" t="str">
        <f>'RESUMEN TOTAL'!AJ457</f>
        <v>APAGADO</v>
      </c>
      <c r="AD362" s="70" t="str">
        <f>'RESUMEN TOTAL'!AK457</f>
        <v>APAGADO</v>
      </c>
      <c r="AE362" s="70" t="str">
        <f>'RESUMEN TOTAL'!AL457</f>
        <v>APAGADO</v>
      </c>
      <c r="AF362" s="70" t="str">
        <f>'RESUMEN TOTAL'!AM457</f>
        <v>APAGADO</v>
      </c>
      <c r="AG362" s="70" t="str">
        <f>'RESUMEN TOTAL'!AN457</f>
        <v>APAGADO</v>
      </c>
      <c r="AH362" s="70" t="str">
        <f>'RESUMEN TOTAL'!AO457</f>
        <v>APAGADO</v>
      </c>
      <c r="AI362" s="70" t="str">
        <f>'RESUMEN TOTAL'!AP457</f>
        <v>APAGADO</v>
      </c>
      <c r="AJ362" s="70" t="str">
        <f>'RESUMEN TOTAL'!AQ457</f>
        <v>APAGADO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 t="str">
        <f>'RESUMEN TOTAL'!W458</f>
        <v>APAGADO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 t="str">
        <f>'RESUMEN TOTAL'!AD458</f>
        <v>APAGADO</v>
      </c>
      <c r="X363" s="70" t="str">
        <f>'RESUMEN TOTAL'!AE458</f>
        <v>APAGADO</v>
      </c>
      <c r="Y363" s="70" t="str">
        <f>'RESUMEN TOTAL'!AF458</f>
        <v>APAGADO</v>
      </c>
      <c r="Z363" s="70" t="str">
        <f>'RESUMEN TOTAL'!AG458</f>
        <v>APAGADO</v>
      </c>
      <c r="AA363" s="70" t="str">
        <f>'RESUMEN TOTAL'!AH458</f>
        <v>APAGADO</v>
      </c>
      <c r="AB363" s="70" t="str">
        <f>'RESUMEN TOTAL'!AI458</f>
        <v>APAGADO</v>
      </c>
      <c r="AC363" s="70" t="str">
        <f>'RESUMEN TOTAL'!AJ458</f>
        <v>APAGADO</v>
      </c>
      <c r="AD363" s="70" t="str">
        <f>'RESUMEN TOTAL'!AK458</f>
        <v>APAGADO</v>
      </c>
      <c r="AE363" s="70" t="str">
        <f>'RESUMEN TOTAL'!AL458</f>
        <v>APAGADO</v>
      </c>
      <c r="AF363" s="70" t="str">
        <f>'RESUMEN TOTAL'!AM458</f>
        <v>APAGADO</v>
      </c>
      <c r="AG363" s="70">
        <f>'RESUMEN TOTAL'!AN458</f>
        <v>0</v>
      </c>
      <c r="AH363" s="70" t="str">
        <f>'RESUMEN TOTAL'!AO458</f>
        <v>APAGADO</v>
      </c>
      <c r="AI363" s="70" t="str">
        <f>'RESUMEN TOTAL'!AP458</f>
        <v>APAGADO</v>
      </c>
      <c r="AJ363" s="70" t="str">
        <f>'RESUMEN TOTAL'!AQ458</f>
        <v>APAGADO</v>
      </c>
    </row>
    <row r="364" spans="1:36" x14ac:dyDescent="0.25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 t="str">
        <f>'RESUMEN TOTAL'!M461</f>
        <v>APAGADO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>
        <f>'RESUMEN TOTAL'!R461</f>
        <v>0</v>
      </c>
      <c r="L364" s="70">
        <f>'RESUMEN TOTAL'!S461</f>
        <v>0</v>
      </c>
      <c r="M364" s="70">
        <f>'RESUMEN TOTAL'!T461</f>
        <v>0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 t="str">
        <f>'RESUMEN TOTAL'!AC461</f>
        <v>APAGADO</v>
      </c>
      <c r="W364" s="70" t="str">
        <f>'RESUMEN TOTAL'!AD461</f>
        <v>APAGADO</v>
      </c>
      <c r="X364" s="70">
        <f>'RESUMEN TOTAL'!AE461</f>
        <v>0</v>
      </c>
      <c r="Y364" s="70" t="str">
        <f>'RESUMEN TOTAL'!AF461</f>
        <v>APAGADO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25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 t="str">
        <f>'RESUMEN TOTAL'!M462</f>
        <v>APAGADO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>
        <f>'RESUMEN TOTAL'!R462</f>
        <v>0</v>
      </c>
      <c r="L365" s="70">
        <f>'RESUMEN TOTAL'!S462</f>
        <v>0</v>
      </c>
      <c r="M365" s="70">
        <f>'RESUMEN TOTAL'!T462</f>
        <v>0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 t="str">
        <f>'RESUMEN TOTAL'!AD462</f>
        <v>APAGADO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25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25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25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25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 t="str">
        <f>'RESUMEN TOTAL'!AP466</f>
        <v>APAGADO</v>
      </c>
      <c r="AJ369" s="70">
        <f>'RESUMEN TOTAL'!AQ466</f>
        <v>0</v>
      </c>
    </row>
    <row r="370" spans="1:36" x14ac:dyDescent="0.25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 t="str">
        <f>'RESUMEN TOTAL'!AP467</f>
        <v>APAGADO</v>
      </c>
      <c r="AJ370" s="70">
        <f>'RESUMEN TOTAL'!AQ467</f>
        <v>0</v>
      </c>
    </row>
    <row r="371" spans="1:36" x14ac:dyDescent="0.25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25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 t="str">
        <f>'RESUMEN TOTAL'!AP469</f>
        <v>APAGADO</v>
      </c>
      <c r="AJ372" s="70">
        <f>'RESUMEN TOTAL'!AQ469</f>
        <v>0</v>
      </c>
    </row>
    <row r="373" spans="1:36" x14ac:dyDescent="0.25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25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25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25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25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25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 t="str">
        <f>'RESUMEN TOTAL'!M481</f>
        <v>APAGADO</v>
      </c>
      <c r="G378" s="70" t="str">
        <f>'RESUMEN TOTAL'!N481</f>
        <v>APAGADO</v>
      </c>
      <c r="H378" s="70" t="str">
        <f>'RESUMEN TOTAL'!O481</f>
        <v>APAGADO</v>
      </c>
      <c r="I378" s="70" t="str">
        <f>'RESUMEN TOTAL'!P481</f>
        <v>APAGADO</v>
      </c>
      <c r="J378" s="70" t="str">
        <f>'RESUMEN TOTAL'!Q481</f>
        <v>APAGADO</v>
      </c>
      <c r="K378" s="70" t="str">
        <f>'RESUMEN TOTAL'!R481</f>
        <v>APAGADO</v>
      </c>
      <c r="L378" s="70" t="str">
        <f>'RESUMEN TOTAL'!S481</f>
        <v>APAGADO</v>
      </c>
      <c r="M378" s="70" t="str">
        <f>'RESUMEN TOTAL'!T481</f>
        <v>APAGADO</v>
      </c>
      <c r="N378" s="70" t="str">
        <f>'RESUMEN TOTAL'!U481</f>
        <v>APAGADO</v>
      </c>
      <c r="O378" s="70" t="str">
        <f>'RESUMEN TOTAL'!V481</f>
        <v>APAGADO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 t="str">
        <f>'RESUMEN TOTAL'!AA481</f>
        <v>APAGADO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25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 t="str">
        <f>'RESUMEN TOTAL'!P482</f>
        <v>APAGADO</v>
      </c>
      <c r="J379" s="70" t="str">
        <f>'RESUMEN TOTAL'!Q482</f>
        <v>APAGADO</v>
      </c>
      <c r="K379" s="70" t="str">
        <f>'RESUMEN TOTAL'!R482</f>
        <v>APAGADO</v>
      </c>
      <c r="L379" s="70" t="str">
        <f>'RESUMEN TOTAL'!S482</f>
        <v>APAGADO</v>
      </c>
      <c r="M379" s="70" t="str">
        <f>'RESUMEN TOTAL'!T482</f>
        <v>APAGADO</v>
      </c>
      <c r="N379" s="70" t="str">
        <f>'RESUMEN TOTAL'!U482</f>
        <v>APAGADO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 t="str">
        <f>'RESUMEN TOTAL'!AA482</f>
        <v>APAGADO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25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 t="str">
        <f>'RESUMEN TOTAL'!P483</f>
        <v>APAGADO</v>
      </c>
      <c r="J380" s="70" t="str">
        <f>'RESUMEN TOTAL'!Q483</f>
        <v>APAGADO</v>
      </c>
      <c r="K380" s="70" t="str">
        <f>'RESUMEN TOTAL'!R483</f>
        <v>APAGADO</v>
      </c>
      <c r="L380" s="70" t="str">
        <f>'RESUMEN TOTAL'!S483</f>
        <v>APAGADO</v>
      </c>
      <c r="M380" s="70" t="str">
        <f>'RESUMEN TOTAL'!T483</f>
        <v>APAGADO</v>
      </c>
      <c r="N380" s="70" t="str">
        <f>'RESUMEN TOTAL'!U483</f>
        <v>APAGADO</v>
      </c>
      <c r="O380" s="70">
        <f>'RESUMEN TOTAL'!V483</f>
        <v>0</v>
      </c>
      <c r="P380" s="70">
        <f>'RESUMEN TOTAL'!W483</f>
        <v>0</v>
      </c>
      <c r="Q380" s="70">
        <f>'RESUMEN TOTAL'!X483</f>
        <v>0</v>
      </c>
      <c r="R380" s="70">
        <f>'RESUMEN TOTAL'!Y483</f>
        <v>0</v>
      </c>
      <c r="S380" s="70">
        <f>'RESUMEN TOTAL'!Z483</f>
        <v>0</v>
      </c>
      <c r="T380" s="70" t="str">
        <f>'RESUMEN TOTAL'!AA483</f>
        <v>APAGADO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25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 t="str">
        <f>'RESUMEN TOTAL'!P484</f>
        <v>APAGADO</v>
      </c>
      <c r="J381" s="70" t="str">
        <f>'RESUMEN TOTAL'!Q484</f>
        <v>APAGADO</v>
      </c>
      <c r="K381" s="70" t="str">
        <f>'RESUMEN TOTAL'!R484</f>
        <v>APAGADO</v>
      </c>
      <c r="L381" s="70" t="str">
        <f>'RESUMEN TOTAL'!S484</f>
        <v>APAGADO</v>
      </c>
      <c r="M381" s="70" t="str">
        <f>'RESUMEN TOTAL'!T484</f>
        <v>APAGADO</v>
      </c>
      <c r="N381" s="70" t="str">
        <f>'RESUMEN TOTAL'!U484</f>
        <v>APAGADO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 t="str">
        <f>'RESUMEN TOTAL'!AA484</f>
        <v>APAGADO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25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 t="str">
        <f>'RESUMEN TOTAL'!P485</f>
        <v>APAGADO</v>
      </c>
      <c r="J382" s="70" t="str">
        <f>'RESUMEN TOTAL'!Q485</f>
        <v>APAGADO</v>
      </c>
      <c r="K382" s="70" t="str">
        <f>'RESUMEN TOTAL'!R485</f>
        <v>APAGADO</v>
      </c>
      <c r="L382" s="70" t="str">
        <f>'RESUMEN TOTAL'!S485</f>
        <v>APAGADO</v>
      </c>
      <c r="M382" s="70" t="str">
        <f>'RESUMEN TOTAL'!T485</f>
        <v>APAGADO</v>
      </c>
      <c r="N382" s="70" t="str">
        <f>'RESUMEN TOTAL'!U485</f>
        <v>APAGADO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 t="str">
        <f>'RESUMEN TOTAL'!AA485</f>
        <v>APAGADO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25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 t="str">
        <f>'RESUMEN TOTAL'!M486</f>
        <v>APAGADO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25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25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25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25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25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 t="str">
        <f>'RESUMEN TOTAL'!M491</f>
        <v>APAGADO</v>
      </c>
      <c r="G388" s="70" t="str">
        <f>'RESUMEN TOTAL'!N491</f>
        <v>APAGADO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25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25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 t="str">
        <f>'RESUMEN TOTAL'!M493</f>
        <v>APAGADO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25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 t="str">
        <f>'RESUMEN TOTAL'!AD494</f>
        <v>APAGADO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25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25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>
        <f>'RESUMEN TOTAL'!M496</f>
        <v>0</v>
      </c>
      <c r="G393" s="70">
        <f>'RESUMEN TOTAL'!N496</f>
        <v>0</v>
      </c>
      <c r="H393" s="70">
        <f>'RESUMEN TOTAL'!O496</f>
        <v>0</v>
      </c>
      <c r="I393" s="70">
        <f>'RESUMEN TOTAL'!P496</f>
        <v>0</v>
      </c>
      <c r="J393" s="70">
        <f>'RESUMEN TOTAL'!Q496</f>
        <v>0</v>
      </c>
      <c r="K393" s="70">
        <f>'RESUMEN TOTAL'!R496</f>
        <v>0</v>
      </c>
      <c r="L393" s="70">
        <f>'RESUMEN TOTAL'!S496</f>
        <v>0</v>
      </c>
      <c r="M393" s="70">
        <f>'RESUMEN TOTAL'!T496</f>
        <v>0</v>
      </c>
      <c r="N393" s="70">
        <f>'RESUMEN TOTAL'!U496</f>
        <v>0</v>
      </c>
      <c r="O393" s="70">
        <f>'RESUMEN TOTAL'!V496</f>
        <v>0</v>
      </c>
      <c r="P393" s="70" t="str">
        <f>'RESUMEN TOTAL'!W496</f>
        <v>APAGADO</v>
      </c>
      <c r="Q393" s="70" t="str">
        <f>'RESUMEN TOTAL'!X496</f>
        <v>APAGADO</v>
      </c>
      <c r="R393" s="70">
        <f>'RESUMEN TOTAL'!Y496</f>
        <v>0</v>
      </c>
      <c r="S393" s="70">
        <f>'RESUMEN TOTAL'!Z496</f>
        <v>0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 t="str">
        <f>'RESUMEN TOTAL'!AJ496</f>
        <v>APAGADO</v>
      </c>
      <c r="AD393" s="70" t="str">
        <f>'RESUMEN TOTAL'!AK496</f>
        <v>APAGADO</v>
      </c>
      <c r="AE393" s="70" t="str">
        <f>'RESUMEN TOTAL'!AL496</f>
        <v>APAGADO</v>
      </c>
      <c r="AF393" s="70" t="str">
        <f>'RESUMEN TOTAL'!AM496</f>
        <v>APAGADO</v>
      </c>
      <c r="AG393" s="70" t="str">
        <f>'RESUMEN TOTAL'!AN496</f>
        <v>APAGADO</v>
      </c>
      <c r="AH393" s="70">
        <f>'RESUMEN TOTAL'!AO496</f>
        <v>0</v>
      </c>
      <c r="AI393" s="70" t="str">
        <f>'RESUMEN TOTAL'!AP496</f>
        <v>APAGADO</v>
      </c>
      <c r="AJ393" s="70" t="str">
        <f>'RESUMEN TOTAL'!AQ496</f>
        <v>APAGADO</v>
      </c>
    </row>
    <row r="394" spans="1:36" x14ac:dyDescent="0.25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25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25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25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25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25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 t="str">
        <f>'RESUMEN TOTAL'!AK502</f>
        <v>APAGADO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25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>
        <f>'RESUMEN TOTAL'!M503</f>
        <v>0</v>
      </c>
      <c r="G400" s="70">
        <f>'RESUMEN TOTAL'!N503</f>
        <v>0</v>
      </c>
      <c r="H400" s="70">
        <f>'RESUMEN TOTAL'!O503</f>
        <v>0</v>
      </c>
      <c r="I400" s="70">
        <f>'RESUMEN TOTAL'!P503</f>
        <v>0</v>
      </c>
      <c r="J400" s="70">
        <f>'RESUMEN TOTAL'!Q503</f>
        <v>0</v>
      </c>
      <c r="K400" s="70">
        <f>'RESUMEN TOTAL'!R503</f>
        <v>0</v>
      </c>
      <c r="L400" s="70">
        <f>'RESUMEN TOTAL'!S503</f>
        <v>0</v>
      </c>
      <c r="M400" s="70">
        <f>'RESUMEN TOTAL'!T503</f>
        <v>0</v>
      </c>
      <c r="N400" s="70">
        <f>'RESUMEN TOTAL'!U503</f>
        <v>0</v>
      </c>
      <c r="O400" s="70">
        <f>'RESUMEN TOTAL'!V503</f>
        <v>0</v>
      </c>
      <c r="P400" s="70" t="str">
        <f>'RESUMEN TOTAL'!W503</f>
        <v>APAGADO</v>
      </c>
      <c r="Q400" s="70" t="str">
        <f>'RESUMEN TOTAL'!X503</f>
        <v>APAGADO</v>
      </c>
      <c r="R400" s="70">
        <f>'RESUMEN TOTAL'!Y503</f>
        <v>0</v>
      </c>
      <c r="S400" s="70">
        <f>'RESUMEN TOTAL'!Z503</f>
        <v>0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 t="str">
        <f>'RESUMEN TOTAL'!AJ503</f>
        <v>APAGADO</v>
      </c>
      <c r="AD400" s="70" t="str">
        <f>'RESUMEN TOTAL'!AK503</f>
        <v>APAGADO</v>
      </c>
      <c r="AE400" s="70" t="str">
        <f>'RESUMEN TOTAL'!AL503</f>
        <v>APAGADO</v>
      </c>
      <c r="AF400" s="70" t="str">
        <f>'RESUMEN TOTAL'!AM503</f>
        <v>APAGADO</v>
      </c>
      <c r="AG400" s="70" t="str">
        <f>'RESUMEN TOTAL'!AN503</f>
        <v>APAGADO</v>
      </c>
      <c r="AH400" s="70">
        <f>'RESUMEN TOTAL'!AO503</f>
        <v>0</v>
      </c>
      <c r="AI400" s="70" t="str">
        <f>'RESUMEN TOTAL'!AP503</f>
        <v>APAGADO</v>
      </c>
      <c r="AJ400" s="70" t="str">
        <f>'RESUMEN TOTAL'!AQ503</f>
        <v>APAGADO</v>
      </c>
    </row>
    <row r="401" spans="1:36" x14ac:dyDescent="0.25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25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 t="str">
        <f>'RESUMEN TOTAL'!M505</f>
        <v>APAGADO</v>
      </c>
      <c r="G402" s="70" t="str">
        <f>'RESUMEN TOTAL'!N505</f>
        <v>APAGADO</v>
      </c>
      <c r="H402" s="70" t="str">
        <f>'RESUMEN TOTAL'!O505</f>
        <v>APAGADO</v>
      </c>
      <c r="I402" s="70" t="str">
        <f>'RESUMEN TOTAL'!P505</f>
        <v>APAGADO</v>
      </c>
      <c r="J402" s="70" t="str">
        <f>'RESUMEN TOTAL'!Q505</f>
        <v>APAGADO</v>
      </c>
      <c r="K402" s="70" t="str">
        <f>'RESUMEN TOTAL'!R505</f>
        <v>APAGADO</v>
      </c>
      <c r="L402" s="70" t="str">
        <f>'RESUMEN TOTAL'!S505</f>
        <v>APAGADO</v>
      </c>
      <c r="M402" s="70" t="str">
        <f>'RESUMEN TOTAL'!T505</f>
        <v>APAGADO</v>
      </c>
      <c r="N402" s="70" t="str">
        <f>'RESUMEN TOTAL'!U505</f>
        <v>APAGADO</v>
      </c>
      <c r="O402" s="70" t="str">
        <f>'RESUMEN TOTAL'!V505</f>
        <v>APAGADO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 t="str">
        <f>'RESUMEN TOTAL'!AM505</f>
        <v>APAGADO</v>
      </c>
      <c r="AG402" s="70">
        <f>'RESUMEN TOTAL'!AN505</f>
        <v>0</v>
      </c>
      <c r="AH402" s="70" t="str">
        <f>'RESUMEN TOTAL'!AO505</f>
        <v>APAGADO</v>
      </c>
      <c r="AI402" s="70">
        <f>'RESUMEN TOTAL'!AP505</f>
        <v>0</v>
      </c>
      <c r="AJ402" s="70">
        <f>'RESUMEN TOTAL'!AQ505</f>
        <v>0</v>
      </c>
    </row>
    <row r="403" spans="1:36" x14ac:dyDescent="0.25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 t="str">
        <f>'RESUMEN TOTAL'!AD506</f>
        <v>APAGADO</v>
      </c>
      <c r="X403" s="70" t="str">
        <f>'RESUMEN TOTAL'!AE506</f>
        <v>APAGADO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25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25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>
        <f>'RESUMEN TOTAL'!M508</f>
        <v>0</v>
      </c>
      <c r="G405" s="70">
        <f>'RESUMEN TOTAL'!N508</f>
        <v>0</v>
      </c>
      <c r="H405" s="70">
        <f>'RESUMEN TOTAL'!O508</f>
        <v>0</v>
      </c>
      <c r="I405" s="70">
        <f>'RESUMEN TOTAL'!P508</f>
        <v>0</v>
      </c>
      <c r="J405" s="70">
        <f>'RESUMEN TOTAL'!Q508</f>
        <v>0</v>
      </c>
      <c r="K405" s="70">
        <f>'RESUMEN TOTAL'!R508</f>
        <v>0</v>
      </c>
      <c r="L405" s="70">
        <f>'RESUMEN TOTAL'!S508</f>
        <v>0</v>
      </c>
      <c r="M405" s="70">
        <f>'RESUMEN TOTAL'!T508</f>
        <v>0</v>
      </c>
      <c r="N405" s="70">
        <f>'RESUMEN TOTAL'!U508</f>
        <v>0</v>
      </c>
      <c r="O405" s="70">
        <f>'RESUMEN TOTAL'!V508</f>
        <v>0</v>
      </c>
      <c r="P405" s="70" t="str">
        <f>'RESUMEN TOTAL'!W508</f>
        <v>APAGADO</v>
      </c>
      <c r="Q405" s="70" t="str">
        <f>'RESUMEN TOTAL'!X508</f>
        <v>APAGADO</v>
      </c>
      <c r="R405" s="70">
        <f>'RESUMEN TOTAL'!Y508</f>
        <v>0</v>
      </c>
      <c r="S405" s="70">
        <f>'RESUMEN TOTAL'!Z508</f>
        <v>0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 t="str">
        <f>'RESUMEN TOTAL'!AJ508</f>
        <v>APAGADO</v>
      </c>
      <c r="AD405" s="70" t="str">
        <f>'RESUMEN TOTAL'!AK508</f>
        <v>APAGADO</v>
      </c>
      <c r="AE405" s="70" t="str">
        <f>'RESUMEN TOTAL'!AL508</f>
        <v>APAGADO</v>
      </c>
      <c r="AF405" s="70" t="str">
        <f>'RESUMEN TOTAL'!AM508</f>
        <v>APAGADO</v>
      </c>
      <c r="AG405" s="70" t="str">
        <f>'RESUMEN TOTAL'!AN508</f>
        <v>APAGADO</v>
      </c>
      <c r="AH405" s="70">
        <f>'RESUMEN TOTAL'!AO508</f>
        <v>0</v>
      </c>
      <c r="AI405" s="70" t="str">
        <f>'RESUMEN TOTAL'!AP508</f>
        <v>APAGADO</v>
      </c>
      <c r="AJ405" s="70" t="str">
        <f>'RESUMEN TOTAL'!AQ508</f>
        <v>APAGADO</v>
      </c>
    </row>
    <row r="406" spans="1:36" x14ac:dyDescent="0.25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 t="str">
        <f>'RESUMEN TOTAL'!AK509</f>
        <v>APAGADO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25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 t="str">
        <f>'RESUMEN TOTAL'!W510</f>
        <v>APAGADO</v>
      </c>
      <c r="Q407" s="70" t="str">
        <f>'RESUMEN TOTAL'!X510</f>
        <v>APAGADO</v>
      </c>
      <c r="R407" s="70" t="str">
        <f>'RESUMEN TOTAL'!Y510</f>
        <v>APAGADO</v>
      </c>
      <c r="S407" s="70" t="str">
        <f>'RESUMEN TOTAL'!Z510</f>
        <v>APAGADO</v>
      </c>
      <c r="T407" s="70" t="str">
        <f>'RESUMEN TOTAL'!AA510</f>
        <v>APAGADO</v>
      </c>
      <c r="U407" s="70" t="str">
        <f>'RESUMEN TOTAL'!AB510</f>
        <v>APAGADO</v>
      </c>
      <c r="V407" s="70" t="str">
        <f>'RESUMEN TOTAL'!AC510</f>
        <v>APAGADO</v>
      </c>
      <c r="W407" s="70" t="str">
        <f>'RESUMEN TOTAL'!AD510</f>
        <v>APAGADO</v>
      </c>
      <c r="X407" s="70" t="str">
        <f>'RESUMEN TOTAL'!AE510</f>
        <v>APAGADO</v>
      </c>
      <c r="Y407" s="70" t="str">
        <f>'RESUMEN TOTAL'!AF510</f>
        <v>APAGADO</v>
      </c>
      <c r="Z407" s="70" t="str">
        <f>'RESUMEN TOTAL'!AG510</f>
        <v>APAGADO</v>
      </c>
      <c r="AA407" s="70" t="str">
        <f>'RESUMEN TOTAL'!AH510</f>
        <v>APAGADO</v>
      </c>
      <c r="AB407" s="70" t="str">
        <f>'RESUMEN TOTAL'!AI510</f>
        <v>APAGADO</v>
      </c>
      <c r="AC407" s="70" t="str">
        <f>'RESUMEN TOTAL'!AJ510</f>
        <v>APAGADO</v>
      </c>
      <c r="AD407" s="70" t="str">
        <f>'RESUMEN TOTAL'!AK510</f>
        <v>APAGADO</v>
      </c>
      <c r="AE407" s="70" t="str">
        <f>'RESUMEN TOTAL'!AL510</f>
        <v>APAGADO</v>
      </c>
      <c r="AF407" s="70" t="str">
        <f>'RESUMEN TOTAL'!AM510</f>
        <v>APAGADO</v>
      </c>
      <c r="AG407" s="70" t="str">
        <f>'RESUMEN TOTAL'!AN510</f>
        <v>APAGADO</v>
      </c>
      <c r="AH407" s="70" t="str">
        <f>'RESUMEN TOTAL'!AO510</f>
        <v>APAGADO</v>
      </c>
      <c r="AI407" s="70" t="str">
        <f>'RESUMEN TOTAL'!AP510</f>
        <v>APAGADO</v>
      </c>
      <c r="AJ407" s="70" t="str">
        <f>'RESUMEN TOTAL'!AQ510</f>
        <v>APAGADO</v>
      </c>
    </row>
    <row r="408" spans="1:36" x14ac:dyDescent="0.25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>
        <f>'RESUMEN TOTAL'!M511</f>
        <v>0</v>
      </c>
      <c r="G408" s="70">
        <f>'RESUMEN TOTAL'!N511</f>
        <v>0</v>
      </c>
      <c r="H408" s="70">
        <f>'RESUMEN TOTAL'!O511</f>
        <v>0</v>
      </c>
      <c r="I408" s="70">
        <f>'RESUMEN TOTAL'!P511</f>
        <v>0</v>
      </c>
      <c r="J408" s="70">
        <f>'RESUMEN TOTAL'!Q511</f>
        <v>0</v>
      </c>
      <c r="K408" s="70">
        <f>'RESUMEN TOTAL'!R511</f>
        <v>0</v>
      </c>
      <c r="L408" s="70">
        <f>'RESUMEN TOTAL'!S511</f>
        <v>0</v>
      </c>
      <c r="M408" s="70">
        <f>'RESUMEN TOTAL'!T511</f>
        <v>0</v>
      </c>
      <c r="N408" s="70">
        <f>'RESUMEN TOTAL'!U511</f>
        <v>0</v>
      </c>
      <c r="O408" s="70">
        <f>'RESUMEN TOTAL'!V511</f>
        <v>0</v>
      </c>
      <c r="P408" s="70" t="str">
        <f>'RESUMEN TOTAL'!W511</f>
        <v>APAGADO</v>
      </c>
      <c r="Q408" s="70" t="str">
        <f>'RESUMEN TOTAL'!X511</f>
        <v>APAGADO</v>
      </c>
      <c r="R408" s="70">
        <f>'RESUMEN TOTAL'!Y511</f>
        <v>0</v>
      </c>
      <c r="S408" s="70">
        <f>'RESUMEN TOTAL'!Z511</f>
        <v>0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 t="str">
        <f>'RESUMEN TOTAL'!AJ511</f>
        <v>APAGADO</v>
      </c>
      <c r="AD408" s="70" t="str">
        <f>'RESUMEN TOTAL'!AK511</f>
        <v>APAGADO</v>
      </c>
      <c r="AE408" s="70" t="str">
        <f>'RESUMEN TOTAL'!AL511</f>
        <v>APAGADO</v>
      </c>
      <c r="AF408" s="70" t="str">
        <f>'RESUMEN TOTAL'!AM511</f>
        <v>APAGADO</v>
      </c>
      <c r="AG408" s="70" t="str">
        <f>'RESUMEN TOTAL'!AN511</f>
        <v>APAGADO</v>
      </c>
      <c r="AH408" s="70">
        <f>'RESUMEN TOTAL'!AO511</f>
        <v>0</v>
      </c>
      <c r="AI408" s="70" t="str">
        <f>'RESUMEN TOTAL'!AP511</f>
        <v>APAGADO</v>
      </c>
      <c r="AJ408" s="70" t="str">
        <f>'RESUMEN TOTAL'!AQ511</f>
        <v>APAGADO</v>
      </c>
    </row>
    <row r="409" spans="1:36" x14ac:dyDescent="0.25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25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25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>
        <f>'RESUMEN TOTAL'!M514</f>
        <v>0</v>
      </c>
      <c r="G411" s="70">
        <f>'RESUMEN TOTAL'!N514</f>
        <v>0</v>
      </c>
      <c r="H411" s="70">
        <f>'RESUMEN TOTAL'!O514</f>
        <v>0</v>
      </c>
      <c r="I411" s="70">
        <f>'RESUMEN TOTAL'!P514</f>
        <v>0</v>
      </c>
      <c r="J411" s="70">
        <f>'RESUMEN TOTAL'!Q514</f>
        <v>0</v>
      </c>
      <c r="K411" s="70">
        <f>'RESUMEN TOTAL'!R514</f>
        <v>0</v>
      </c>
      <c r="L411" s="70">
        <f>'RESUMEN TOTAL'!S514</f>
        <v>0</v>
      </c>
      <c r="M411" s="70">
        <f>'RESUMEN TOTAL'!T514</f>
        <v>0</v>
      </c>
      <c r="N411" s="70">
        <f>'RESUMEN TOTAL'!U514</f>
        <v>0</v>
      </c>
      <c r="O411" s="70">
        <f>'RESUMEN TOTAL'!V514</f>
        <v>0</v>
      </c>
      <c r="P411" s="70" t="str">
        <f>'RESUMEN TOTAL'!W514</f>
        <v>APAGADO</v>
      </c>
      <c r="Q411" s="70" t="str">
        <f>'RESUMEN TOTAL'!X514</f>
        <v>APAGADO</v>
      </c>
      <c r="R411" s="70">
        <f>'RESUMEN TOTAL'!Y514</f>
        <v>0</v>
      </c>
      <c r="S411" s="70">
        <f>'RESUMEN TOTAL'!Z514</f>
        <v>0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 t="str">
        <f>'RESUMEN TOTAL'!AJ514</f>
        <v>APAGADO</v>
      </c>
      <c r="AD411" s="70" t="str">
        <f>'RESUMEN TOTAL'!AK514</f>
        <v>APAGADO</v>
      </c>
      <c r="AE411" s="70" t="str">
        <f>'RESUMEN TOTAL'!AL514</f>
        <v>APAGADO</v>
      </c>
      <c r="AF411" s="70" t="str">
        <f>'RESUMEN TOTAL'!AM514</f>
        <v>APAGADO</v>
      </c>
      <c r="AG411" s="70" t="str">
        <f>'RESUMEN TOTAL'!AN514</f>
        <v>APAGADO</v>
      </c>
      <c r="AH411" s="70">
        <f>'RESUMEN TOTAL'!AO514</f>
        <v>0</v>
      </c>
      <c r="AI411" s="70" t="str">
        <f>'RESUMEN TOTAL'!AP514</f>
        <v>APAGADO</v>
      </c>
      <c r="AJ411" s="70" t="str">
        <f>'RESUMEN TOTAL'!AQ514</f>
        <v>APAGADO</v>
      </c>
    </row>
    <row r="412" spans="1:36" x14ac:dyDescent="0.25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>
        <f>'RESUMEN TOTAL'!M515</f>
        <v>0</v>
      </c>
      <c r="G412" s="70">
        <f>'RESUMEN TOTAL'!N515</f>
        <v>0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>
        <f>'RESUMEN TOTAL'!R515</f>
        <v>0</v>
      </c>
      <c r="L412" s="70">
        <f>'RESUMEN TOTAL'!S515</f>
        <v>0</v>
      </c>
      <c r="M412" s="70">
        <f>'RESUMEN TOTAL'!T515</f>
        <v>0</v>
      </c>
      <c r="N412" s="70">
        <f>'RESUMEN TOTAL'!U515</f>
        <v>0</v>
      </c>
      <c r="O412" s="70">
        <f>'RESUMEN TOTAL'!V515</f>
        <v>0</v>
      </c>
      <c r="P412" s="70" t="str">
        <f>'RESUMEN TOTAL'!W515</f>
        <v>APAGADO</v>
      </c>
      <c r="Q412" s="70" t="str">
        <f>'RESUMEN TOTAL'!X515</f>
        <v>APAGADO</v>
      </c>
      <c r="R412" s="70">
        <f>'RESUMEN TOTAL'!Y515</f>
        <v>0</v>
      </c>
      <c r="S412" s="70">
        <f>'RESUMEN TOTAL'!Z515</f>
        <v>0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 t="str">
        <f>'RESUMEN TOTAL'!AJ515</f>
        <v>APAGADO</v>
      </c>
      <c r="AD412" s="70" t="str">
        <f>'RESUMEN TOTAL'!AK515</f>
        <v>APAGADO</v>
      </c>
      <c r="AE412" s="70" t="str">
        <f>'RESUMEN TOTAL'!AL515</f>
        <v>APAGADO</v>
      </c>
      <c r="AF412" s="70" t="str">
        <f>'RESUMEN TOTAL'!AM515</f>
        <v>APAGADO</v>
      </c>
      <c r="AG412" s="70" t="str">
        <f>'RESUMEN TOTAL'!AN515</f>
        <v>APAGADO</v>
      </c>
      <c r="AH412" s="70">
        <f>'RESUMEN TOTAL'!AO515</f>
        <v>0</v>
      </c>
      <c r="AI412" s="70" t="str">
        <f>'RESUMEN TOTAL'!AP515</f>
        <v>APAGADO</v>
      </c>
      <c r="AJ412" s="70" t="str">
        <f>'RESUMEN TOTAL'!AQ515</f>
        <v>APAGADO</v>
      </c>
    </row>
    <row r="413" spans="1:36" x14ac:dyDescent="0.25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25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25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 t="str">
        <f>'RESUMEN TOTAL'!AD518</f>
        <v>APAGADO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25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 t="str">
        <f>'RESUMEN TOTAL'!AD519</f>
        <v>APAGADO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25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 t="str">
        <f>'RESUMEN TOTAL'!W520</f>
        <v>APAGADO</v>
      </c>
      <c r="Q417" s="70" t="str">
        <f>'RESUMEN TOTAL'!X520</f>
        <v>APAGADO</v>
      </c>
      <c r="R417" s="70" t="str">
        <f>'RESUMEN TOTAL'!Y520</f>
        <v>APAGADO</v>
      </c>
      <c r="S417" s="70" t="str">
        <f>'RESUMEN TOTAL'!Z520</f>
        <v>APAGADO</v>
      </c>
      <c r="T417" s="70" t="str">
        <f>'RESUMEN TOTAL'!AA520</f>
        <v>APAGADO</v>
      </c>
      <c r="U417" s="70" t="str">
        <f>'RESUMEN TOTAL'!AB520</f>
        <v>APAGADO</v>
      </c>
      <c r="V417" s="70" t="str">
        <f>'RESUMEN TOTAL'!AC520</f>
        <v>APAGADO</v>
      </c>
      <c r="W417" s="70" t="str">
        <f>'RESUMEN TOTAL'!AD520</f>
        <v>APAGADO</v>
      </c>
      <c r="X417" s="70" t="str">
        <f>'RESUMEN TOTAL'!AE520</f>
        <v>APAGADO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 t="str">
        <f>'RESUMEN TOTAL'!AI520</f>
        <v>APAGADO</v>
      </c>
      <c r="AC417" s="70" t="str">
        <f>'RESUMEN TOTAL'!AJ520</f>
        <v>APAGADO</v>
      </c>
      <c r="AD417" s="70" t="str">
        <f>'RESUMEN TOTAL'!AK520</f>
        <v>APAGADO</v>
      </c>
      <c r="AE417" s="70" t="str">
        <f>'RESUMEN TOTAL'!AL520</f>
        <v>APAGADO</v>
      </c>
      <c r="AF417" s="70" t="str">
        <f>'RESUMEN TOTAL'!AM520</f>
        <v>APAGADO</v>
      </c>
      <c r="AG417" s="70" t="str">
        <f>'RESUMEN TOTAL'!AN520</f>
        <v>APAGADO</v>
      </c>
      <c r="AH417" s="70" t="str">
        <f>'RESUMEN TOTAL'!AO520</f>
        <v>APAGADO</v>
      </c>
      <c r="AI417" s="70" t="str">
        <f>'RESUMEN TOTAL'!AP520</f>
        <v>APAGADO</v>
      </c>
      <c r="AJ417" s="70" t="str">
        <f>'RESUMEN TOTAL'!AQ520</f>
        <v>APAGADO</v>
      </c>
    </row>
    <row r="418" spans="1:36" x14ac:dyDescent="0.25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 t="str">
        <f>'RESUMEN TOTAL'!O526</f>
        <v>APAGADO</v>
      </c>
      <c r="I418" s="70" t="str">
        <f>'RESUMEN TOTAL'!P526</f>
        <v>APAGADO</v>
      </c>
      <c r="J418" s="70" t="str">
        <f>'RESUMEN TOTAL'!Q526</f>
        <v>APAGADO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25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 t="str">
        <f>'RESUMEN TOTAL'!O527</f>
        <v>APAGADO</v>
      </c>
      <c r="I419" s="70" t="str">
        <f>'RESUMEN TOTAL'!P527</f>
        <v>APAGADO</v>
      </c>
      <c r="J419" s="70" t="str">
        <f>'RESUMEN TOTAL'!Q527</f>
        <v>APAGADO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25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25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25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>
        <f>'RESUMEN TOTAL'!M530</f>
        <v>0</v>
      </c>
      <c r="G422" s="70" t="str">
        <f>'RESUMEN TOTAL'!N530</f>
        <v>APAGADO</v>
      </c>
      <c r="H422" s="70" t="str">
        <f>'RESUMEN TOTAL'!O530</f>
        <v>APAGADO</v>
      </c>
      <c r="I422" s="70" t="str">
        <f>'RESUMEN TOTAL'!P530</f>
        <v>APAGADO</v>
      </c>
      <c r="J422" s="70" t="str">
        <f>'RESUMEN TOTAL'!Q530</f>
        <v>APAGADO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 t="str">
        <f>'RESUMEN TOTAL'!AQ530</f>
        <v>APAGADO</v>
      </c>
    </row>
    <row r="423" spans="1:36" x14ac:dyDescent="0.25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>
        <f>'RESUMEN TOTAL'!M531</f>
        <v>0</v>
      </c>
      <c r="G423" s="70" t="str">
        <f>'RESUMEN TOTAL'!N531</f>
        <v>APAGADO</v>
      </c>
      <c r="H423" s="70" t="str">
        <f>'RESUMEN TOTAL'!O531</f>
        <v>APAGADO</v>
      </c>
      <c r="I423" s="70" t="str">
        <f>'RESUMEN TOTAL'!P531</f>
        <v>APAGADO</v>
      </c>
      <c r="J423" s="70" t="str">
        <f>'RESUMEN TOTAL'!Q531</f>
        <v>APAGADO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 t="str">
        <f>'RESUMEN TOTAL'!AQ531</f>
        <v>APAGADO</v>
      </c>
    </row>
    <row r="424" spans="1:36" x14ac:dyDescent="0.25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>
        <f>'RESUMEN TOTAL'!M532</f>
        <v>0</v>
      </c>
      <c r="G424" s="70">
        <f>'RESUMEN TOTAL'!N532</f>
        <v>0</v>
      </c>
      <c r="H424" s="70" t="str">
        <f>'RESUMEN TOTAL'!O532</f>
        <v>APAGADO</v>
      </c>
      <c r="I424" s="70" t="str">
        <f>'RESUMEN TOTAL'!P532</f>
        <v>APAGADO</v>
      </c>
      <c r="J424" s="70" t="str">
        <f>'RESUMEN TOTAL'!Q532</f>
        <v>APAGADO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 t="str">
        <f>'RESUMEN TOTAL'!AQ532</f>
        <v>APAGADO</v>
      </c>
    </row>
    <row r="425" spans="1:36" x14ac:dyDescent="0.25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>
        <f>'RESUMEN TOTAL'!M533</f>
        <v>0</v>
      </c>
      <c r="G425" s="70" t="str">
        <f>'RESUMEN TOTAL'!N533</f>
        <v>APAGADO</v>
      </c>
      <c r="H425" s="70" t="str">
        <f>'RESUMEN TOTAL'!O533</f>
        <v>APAGADO</v>
      </c>
      <c r="I425" s="70" t="str">
        <f>'RESUMEN TOTAL'!P533</f>
        <v>APAGADO</v>
      </c>
      <c r="J425" s="70" t="str">
        <f>'RESUMEN TOTAL'!Q533</f>
        <v>APAGADO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 t="str">
        <f>'RESUMEN TOTAL'!AQ533</f>
        <v>APAGADO</v>
      </c>
    </row>
    <row r="426" spans="1:36" x14ac:dyDescent="0.25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25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25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25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25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 t="str">
        <f>'RESUMEN TOTAL'!M539</f>
        <v>APAGADO</v>
      </c>
      <c r="G430" s="70" t="str">
        <f>'RESUMEN TOTAL'!N539</f>
        <v>APAGADO</v>
      </c>
      <c r="H430" s="70" t="str">
        <f>'RESUMEN TOTAL'!O539</f>
        <v>APAGADO</v>
      </c>
      <c r="I430" s="70" t="str">
        <f>'RESUMEN TOTAL'!P539</f>
        <v>APAGADO</v>
      </c>
      <c r="J430" s="70" t="str">
        <f>'RESUMEN TOTAL'!Q539</f>
        <v>APAGADO</v>
      </c>
      <c r="K430" s="70" t="str">
        <f>'RESUMEN TOTAL'!R539</f>
        <v>APAGADO</v>
      </c>
      <c r="L430" s="70" t="str">
        <f>'RESUMEN TOTAL'!S539</f>
        <v>APAGADO</v>
      </c>
      <c r="M430" s="70" t="str">
        <f>'RESUMEN TOTAL'!T539</f>
        <v>APAGADO</v>
      </c>
      <c r="N430" s="70" t="str">
        <f>'RESUMEN TOTAL'!U539</f>
        <v>APAGADO</v>
      </c>
      <c r="O430" s="70" t="str">
        <f>'RESUMEN TOTAL'!V539</f>
        <v>APAGADO</v>
      </c>
      <c r="P430" s="70" t="str">
        <f>'RESUMEN TOTAL'!W539</f>
        <v>APAGADO</v>
      </c>
      <c r="Q430" s="70" t="str">
        <f>'RESUMEN TOTAL'!X539</f>
        <v>APAGADO</v>
      </c>
      <c r="R430" s="70" t="str">
        <f>'RESUMEN TOTAL'!Y539</f>
        <v>APAGADO</v>
      </c>
      <c r="S430" s="70" t="str">
        <f>'RESUMEN TOTAL'!Z539</f>
        <v>APAGADO</v>
      </c>
      <c r="T430" s="70" t="str">
        <f>'RESUMEN TOTAL'!AA539</f>
        <v>APAGADO</v>
      </c>
      <c r="U430" s="70" t="str">
        <f>'RESUMEN TOTAL'!AB539</f>
        <v>APAGADO</v>
      </c>
      <c r="V430" s="70" t="str">
        <f>'RESUMEN TOTAL'!AC539</f>
        <v>APAGADO</v>
      </c>
      <c r="W430" s="70" t="str">
        <f>'RESUMEN TOTAL'!AD539</f>
        <v>APAGADO</v>
      </c>
      <c r="X430" s="70" t="str">
        <f>'RESUMEN TOTAL'!AE539</f>
        <v>APAGADO</v>
      </c>
      <c r="Y430" s="70" t="str">
        <f>'RESUMEN TOTAL'!AF539</f>
        <v>APAGADO</v>
      </c>
      <c r="Z430" s="70" t="str">
        <f>'RESUMEN TOTAL'!AG539</f>
        <v>APAGADO</v>
      </c>
      <c r="AA430" s="70" t="str">
        <f>'RESUMEN TOTAL'!AH539</f>
        <v>APAGADO</v>
      </c>
      <c r="AB430" s="70">
        <f>'RESUMEN TOTAL'!AI539</f>
        <v>0</v>
      </c>
      <c r="AC430" s="70" t="str">
        <f>'RESUMEN TOTAL'!AJ539</f>
        <v>APAGADO</v>
      </c>
      <c r="AD430" s="70" t="str">
        <f>'RESUMEN TOTAL'!AK539</f>
        <v>APAGADO</v>
      </c>
      <c r="AE430" s="70" t="str">
        <f>'RESUMEN TOTAL'!AL539</f>
        <v>APAGADO</v>
      </c>
      <c r="AF430" s="70">
        <f>'RESUMEN TOTAL'!AM539</f>
        <v>0</v>
      </c>
      <c r="AG430" s="70" t="str">
        <f>'RESUMEN TOTAL'!AN539</f>
        <v>APAGADO</v>
      </c>
      <c r="AH430" s="70" t="str">
        <f>'RESUMEN TOTAL'!AO539</f>
        <v>APAGADO</v>
      </c>
      <c r="AI430" s="70" t="str">
        <f>'RESUMEN TOTAL'!AP539</f>
        <v>APAGADO</v>
      </c>
      <c r="AJ430" s="70">
        <f>'RESUMEN TOTAL'!AQ539</f>
        <v>0</v>
      </c>
    </row>
    <row r="431" spans="1:36" x14ac:dyDescent="0.25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>
        <f>'RESUMEN TOTAL'!M540</f>
        <v>0</v>
      </c>
      <c r="G431" s="70">
        <f>'RESUMEN TOTAL'!N540</f>
        <v>0</v>
      </c>
      <c r="H431" s="70">
        <f>'RESUMEN TOTAL'!O540</f>
        <v>0</v>
      </c>
      <c r="I431" s="70">
        <f>'RESUMEN TOTAL'!P540</f>
        <v>0</v>
      </c>
      <c r="J431" s="70">
        <f>'RESUMEN TOTAL'!Q540</f>
        <v>0</v>
      </c>
      <c r="K431" s="70">
        <f>'RESUMEN TOTAL'!R540</f>
        <v>0</v>
      </c>
      <c r="L431" s="70">
        <f>'RESUMEN TOTAL'!S540</f>
        <v>0</v>
      </c>
      <c r="M431" s="70">
        <f>'RESUMEN TOTAL'!T540</f>
        <v>0</v>
      </c>
      <c r="N431" s="70">
        <f>'RESUMEN TOTAL'!U540</f>
        <v>0</v>
      </c>
      <c r="O431" s="70">
        <f>'RESUMEN TOTAL'!V540</f>
        <v>0</v>
      </c>
      <c r="P431" s="70">
        <f>'RESUMEN TOTAL'!W540</f>
        <v>0</v>
      </c>
      <c r="Q431" s="70">
        <f>'RESUMEN TOTAL'!X540</f>
        <v>0</v>
      </c>
      <c r="R431" s="70">
        <f>'RESUMEN TOTAL'!Y540</f>
        <v>0</v>
      </c>
      <c r="S431" s="70">
        <f>'RESUMEN TOTAL'!Z540</f>
        <v>0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25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 t="str">
        <f>'RESUMEN TOTAL'!P542</f>
        <v>APAGADO</v>
      </c>
      <c r="J432" s="70" t="str">
        <f>'RESUMEN TOTAL'!Q542</f>
        <v>APAGADO</v>
      </c>
      <c r="K432" s="70" t="str">
        <f>'RESUMEN TOTAL'!R542</f>
        <v>APAGADO</v>
      </c>
      <c r="L432" s="70" t="str">
        <f>'RESUMEN TOTAL'!S542</f>
        <v>APAGADO</v>
      </c>
      <c r="M432" s="70" t="str">
        <f>'RESUMEN TOTAL'!T542</f>
        <v>APAGADO</v>
      </c>
      <c r="N432" s="70" t="str">
        <f>'RESUMEN TOTAL'!U542</f>
        <v>APAGADO</v>
      </c>
      <c r="O432" s="70" t="str">
        <f>'RESUMEN TOTAL'!V542</f>
        <v>APAGADO</v>
      </c>
      <c r="P432" s="70" t="str">
        <f>'RESUMEN TOTAL'!W542</f>
        <v>APAGADO</v>
      </c>
      <c r="Q432" s="70" t="str">
        <f>'RESUMEN TOTAL'!X542</f>
        <v>APAGADO</v>
      </c>
      <c r="R432" s="70" t="str">
        <f>'RESUMEN TOTAL'!Y542</f>
        <v>APAGADO</v>
      </c>
      <c r="S432" s="70" t="str">
        <f>'RESUMEN TOTAL'!Z542</f>
        <v>APAGADO</v>
      </c>
      <c r="T432" s="70" t="str">
        <f>'RESUMEN TOTAL'!AA542</f>
        <v>APAGADO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25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 t="str">
        <f>'RESUMEN TOTAL'!P543</f>
        <v>APAGADO</v>
      </c>
      <c r="J433" s="70" t="str">
        <f>'RESUMEN TOTAL'!Q543</f>
        <v>APAGADO</v>
      </c>
      <c r="K433" s="70" t="str">
        <f>'RESUMEN TOTAL'!R543</f>
        <v>APAGADO</v>
      </c>
      <c r="L433" s="70" t="str">
        <f>'RESUMEN TOTAL'!S543</f>
        <v>APAGADO</v>
      </c>
      <c r="M433" s="70" t="str">
        <f>'RESUMEN TOTAL'!T543</f>
        <v>APAGADO</v>
      </c>
      <c r="N433" s="70" t="str">
        <f>'RESUMEN TOTAL'!U543</f>
        <v>APAGADO</v>
      </c>
      <c r="O433" s="70" t="str">
        <f>'RESUMEN TOTAL'!V543</f>
        <v>APAGADO</v>
      </c>
      <c r="P433" s="70" t="str">
        <f>'RESUMEN TOTAL'!W543</f>
        <v>APAGADO</v>
      </c>
      <c r="Q433" s="70" t="str">
        <f>'RESUMEN TOTAL'!X543</f>
        <v>APAGADO</v>
      </c>
      <c r="R433" s="70" t="str">
        <f>'RESUMEN TOTAL'!Y543</f>
        <v>APAGADO</v>
      </c>
      <c r="S433" s="70" t="str">
        <f>'RESUMEN TOTAL'!Z543</f>
        <v>APAGADO</v>
      </c>
      <c r="T433" s="70" t="str">
        <f>'RESUMEN TOTAL'!AA543</f>
        <v>APAGADO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 t="str">
        <f>'RESUMEN TOTAL'!AQ543</f>
        <v>APAGADO</v>
      </c>
    </row>
    <row r="434" spans="1:36" x14ac:dyDescent="0.25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 t="str">
        <f>'RESUMEN TOTAL'!P544</f>
        <v>APAGADO</v>
      </c>
      <c r="J434" s="70" t="str">
        <f>'RESUMEN TOTAL'!Q544</f>
        <v>APAGADO</v>
      </c>
      <c r="K434" s="70" t="str">
        <f>'RESUMEN TOTAL'!R544</f>
        <v>APAGADO</v>
      </c>
      <c r="L434" s="70" t="str">
        <f>'RESUMEN TOTAL'!S544</f>
        <v>APAGADO</v>
      </c>
      <c r="M434" s="70" t="str">
        <f>'RESUMEN TOTAL'!T544</f>
        <v>APAGADO</v>
      </c>
      <c r="N434" s="70" t="str">
        <f>'RESUMEN TOTAL'!U544</f>
        <v>APAGADO</v>
      </c>
      <c r="O434" s="70" t="str">
        <f>'RESUMEN TOTAL'!V544</f>
        <v>APAGADO</v>
      </c>
      <c r="P434" s="70" t="str">
        <f>'RESUMEN TOTAL'!W544</f>
        <v>APAGADO</v>
      </c>
      <c r="Q434" s="70" t="str">
        <f>'RESUMEN TOTAL'!X544</f>
        <v>APAGADO</v>
      </c>
      <c r="R434" s="70" t="str">
        <f>'RESUMEN TOTAL'!Y544</f>
        <v>APAGADO</v>
      </c>
      <c r="S434" s="70" t="str">
        <f>'RESUMEN TOTAL'!Z544</f>
        <v>APAGADO</v>
      </c>
      <c r="T434" s="70" t="str">
        <f>'RESUMEN TOTAL'!AA544</f>
        <v>APAGADO</v>
      </c>
      <c r="U434" s="70" t="str">
        <f>'RESUMEN TOTAL'!AB544</f>
        <v>APAGADO</v>
      </c>
      <c r="V434" s="70" t="str">
        <f>'RESUMEN TOTAL'!AC544</f>
        <v>APAGADO</v>
      </c>
      <c r="W434" s="70" t="str">
        <f>'RESUMEN TOTAL'!AD544</f>
        <v>APAGADO</v>
      </c>
      <c r="X434" s="70" t="str">
        <f>'RESUMEN TOTAL'!AE544</f>
        <v>APAGADO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25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 t="str">
        <f>'RESUMEN TOTAL'!P545</f>
        <v>APAGADO</v>
      </c>
      <c r="J435" s="70" t="str">
        <f>'RESUMEN TOTAL'!Q545</f>
        <v>APAGADO</v>
      </c>
      <c r="K435" s="70" t="str">
        <f>'RESUMEN TOTAL'!R545</f>
        <v>APAGADO</v>
      </c>
      <c r="L435" s="70" t="str">
        <f>'RESUMEN TOTAL'!S545</f>
        <v>APAGADO</v>
      </c>
      <c r="M435" s="70" t="str">
        <f>'RESUMEN TOTAL'!T545</f>
        <v>APAGADO</v>
      </c>
      <c r="N435" s="70" t="str">
        <f>'RESUMEN TOTAL'!U545</f>
        <v>APAGADO</v>
      </c>
      <c r="O435" s="70" t="str">
        <f>'RESUMEN TOTAL'!V545</f>
        <v>APAGADO</v>
      </c>
      <c r="P435" s="70" t="str">
        <f>'RESUMEN TOTAL'!W545</f>
        <v>APAGADO</v>
      </c>
      <c r="Q435" s="70" t="str">
        <f>'RESUMEN TOTAL'!X545</f>
        <v>APAGADO</v>
      </c>
      <c r="R435" s="70" t="str">
        <f>'RESUMEN TOTAL'!Y545</f>
        <v>APAGADO</v>
      </c>
      <c r="S435" s="70" t="str">
        <f>'RESUMEN TOTAL'!Z545</f>
        <v>APAGADO</v>
      </c>
      <c r="T435" s="70" t="str">
        <f>'RESUMEN TOTAL'!AA545</f>
        <v>APAGADO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25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>
        <f>'RESUMEN TOTAL'!M549</f>
        <v>0</v>
      </c>
      <c r="G436" s="70">
        <f>'RESUMEN TOTAL'!N549</f>
        <v>0</v>
      </c>
      <c r="H436" s="70">
        <f>'RESUMEN TOTAL'!O549</f>
        <v>0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 t="str">
        <f>'RESUMEN TOTAL'!S549</f>
        <v>APAGADO</v>
      </c>
      <c r="M436" s="70" t="str">
        <f>'RESUMEN TOTAL'!T549</f>
        <v>APAGADO</v>
      </c>
      <c r="N436" s="70" t="str">
        <f>'RESUMEN TOTAL'!U549</f>
        <v>APAGADO</v>
      </c>
      <c r="O436" s="70" t="str">
        <f>'RESUMEN TOTAL'!V549</f>
        <v>APAGADO</v>
      </c>
      <c r="P436" s="70" t="str">
        <f>'RESUMEN TOTAL'!W549</f>
        <v>APAGADO</v>
      </c>
      <c r="Q436" s="70" t="str">
        <f>'RESUMEN TOTAL'!X549</f>
        <v>APAGADO</v>
      </c>
      <c r="R436" s="70" t="str">
        <f>'RESUMEN TOTAL'!Y549</f>
        <v>APAGADO</v>
      </c>
      <c r="S436" s="70" t="str">
        <f>'RESUMEN TOTAL'!Z549</f>
        <v>APAGADO</v>
      </c>
      <c r="T436" s="70" t="str">
        <f>'RESUMEN TOTAL'!AA549</f>
        <v>APAGADO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25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>
        <f>'RESUMEN TOTAL'!M550</f>
        <v>0</v>
      </c>
      <c r="G437" s="70">
        <f>'RESUMEN TOTAL'!N550</f>
        <v>0</v>
      </c>
      <c r="H437" s="70">
        <f>'RESUMEN TOTAL'!O550</f>
        <v>0</v>
      </c>
      <c r="I437" s="70" t="str">
        <f>'RESUMEN TOTAL'!P550</f>
        <v>APAGADO</v>
      </c>
      <c r="J437" s="70" t="str">
        <f>'RESUMEN TOTAL'!Q550</f>
        <v>APAGADO</v>
      </c>
      <c r="K437" s="70" t="str">
        <f>'RESUMEN TOTAL'!R550</f>
        <v>APAGADO</v>
      </c>
      <c r="L437" s="70" t="str">
        <f>'RESUMEN TOTAL'!S550</f>
        <v>APAGADO</v>
      </c>
      <c r="M437" s="70" t="str">
        <f>'RESUMEN TOTAL'!T550</f>
        <v>APAGADO</v>
      </c>
      <c r="N437" s="70" t="str">
        <f>'RESUMEN TOTAL'!U550</f>
        <v>APAGADO</v>
      </c>
      <c r="O437" s="70" t="str">
        <f>'RESUMEN TOTAL'!V550</f>
        <v>APAGADO</v>
      </c>
      <c r="P437" s="70" t="str">
        <f>'RESUMEN TOTAL'!W550</f>
        <v>APAGADO</v>
      </c>
      <c r="Q437" s="70" t="str">
        <f>'RESUMEN TOTAL'!X550</f>
        <v>APAGADO</v>
      </c>
      <c r="R437" s="70" t="str">
        <f>'RESUMEN TOTAL'!Y550</f>
        <v>APAGADO</v>
      </c>
      <c r="S437" s="70" t="str">
        <f>'RESUMEN TOTAL'!Z550</f>
        <v>APAGADO</v>
      </c>
      <c r="T437" s="70" t="str">
        <f>'RESUMEN TOTAL'!AA550</f>
        <v>APAGADO</v>
      </c>
      <c r="U437" s="70" t="str">
        <f>'RESUMEN TOTAL'!AB550</f>
        <v>APAGADO</v>
      </c>
      <c r="V437" s="70" t="str">
        <f>'RESUMEN TOTAL'!AC550</f>
        <v>APAGADO</v>
      </c>
      <c r="W437" s="70" t="str">
        <f>'RESUMEN TOTAL'!AD550</f>
        <v>APAGADO</v>
      </c>
      <c r="X437" s="70" t="str">
        <f>'RESUMEN TOTAL'!AE550</f>
        <v>APAGADO</v>
      </c>
      <c r="Y437" s="70" t="str">
        <f>'RESUMEN TOTAL'!AF550</f>
        <v>APAGADO</v>
      </c>
      <c r="Z437" s="70" t="str">
        <f>'RESUMEN TOTAL'!AG550</f>
        <v>APAGADO</v>
      </c>
      <c r="AA437" s="70" t="str">
        <f>'RESUMEN TOTAL'!AH550</f>
        <v>APAGADO</v>
      </c>
      <c r="AB437" s="70" t="str">
        <f>'RESUMEN TOTAL'!AI550</f>
        <v>APAGADO</v>
      </c>
      <c r="AC437" s="70" t="str">
        <f>'RESUMEN TOTAL'!AJ550</f>
        <v>APAGADO</v>
      </c>
      <c r="AD437" s="70" t="str">
        <f>'RESUMEN TOTAL'!AK550</f>
        <v>APAGADO</v>
      </c>
      <c r="AE437" s="70" t="str">
        <f>'RESUMEN TOTAL'!AL550</f>
        <v>APAGADO</v>
      </c>
      <c r="AF437" s="70" t="str">
        <f>'RESUMEN TOTAL'!AM550</f>
        <v>APAGADO</v>
      </c>
      <c r="AG437" s="70">
        <f>'RESUMEN TOTAL'!AN550</f>
        <v>0</v>
      </c>
      <c r="AH437" s="70" t="str">
        <f>'RESUMEN TOTAL'!AO550</f>
        <v>APAGADO</v>
      </c>
      <c r="AI437" s="70" t="str">
        <f>'RESUMEN TOTAL'!AP550</f>
        <v>APAGADO</v>
      </c>
      <c r="AJ437" s="70" t="str">
        <f>'RESUMEN TOTAL'!AQ550</f>
        <v>APAGADO</v>
      </c>
    </row>
    <row r="438" spans="1:36" x14ac:dyDescent="0.25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>
        <f>'RESUMEN TOTAL'!M551</f>
        <v>0</v>
      </c>
      <c r="G438" s="70">
        <f>'RESUMEN TOTAL'!N551</f>
        <v>0</v>
      </c>
      <c r="H438" s="70">
        <f>'RESUMEN TOTAL'!O551</f>
        <v>0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 t="str">
        <f>'RESUMEN TOTAL'!S551</f>
        <v>APAGADO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 t="str">
        <f>'RESUMEN TOTAL'!W551</f>
        <v>APAGADO</v>
      </c>
      <c r="Q438" s="70" t="str">
        <f>'RESUMEN TOTAL'!X551</f>
        <v>APAGADO</v>
      </c>
      <c r="R438" s="70" t="str">
        <f>'RESUMEN TOTAL'!Y551</f>
        <v>APAGADO</v>
      </c>
      <c r="S438" s="70" t="str">
        <f>'RESUMEN TOTAL'!Z551</f>
        <v>APAGADO</v>
      </c>
      <c r="T438" s="70" t="str">
        <f>'RESUMEN TOTAL'!AA551</f>
        <v>APAGADO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25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>
        <f>'RESUMEN TOTAL'!M552</f>
        <v>0</v>
      </c>
      <c r="G439" s="70">
        <f>'RESUMEN TOTAL'!N552</f>
        <v>0</v>
      </c>
      <c r="H439" s="70">
        <f>'RESUMEN TOTAL'!O552</f>
        <v>0</v>
      </c>
      <c r="I439" s="70" t="str">
        <f>'RESUMEN TOTAL'!P552</f>
        <v>APAGADO</v>
      </c>
      <c r="J439" s="70" t="str">
        <f>'RESUMEN TOTAL'!Q552</f>
        <v>APAGADO</v>
      </c>
      <c r="K439" s="70" t="str">
        <f>'RESUMEN TOTAL'!R552</f>
        <v>APAGADO</v>
      </c>
      <c r="L439" s="70" t="str">
        <f>'RESUMEN TOTAL'!S552</f>
        <v>APAGADO</v>
      </c>
      <c r="M439" s="70" t="str">
        <f>'RESUMEN TOTAL'!T552</f>
        <v>APAGADO</v>
      </c>
      <c r="N439" s="70" t="str">
        <f>'RESUMEN TOTAL'!U552</f>
        <v>APAGADO</v>
      </c>
      <c r="O439" s="70" t="str">
        <f>'RESUMEN TOTAL'!V552</f>
        <v>APAGADO</v>
      </c>
      <c r="P439" s="70" t="str">
        <f>'RESUMEN TOTAL'!W552</f>
        <v>APAGADO</v>
      </c>
      <c r="Q439" s="70" t="str">
        <f>'RESUMEN TOTAL'!X552</f>
        <v>APAGADO</v>
      </c>
      <c r="R439" s="70" t="str">
        <f>'RESUMEN TOTAL'!Y552</f>
        <v>APAGADO</v>
      </c>
      <c r="S439" s="70" t="str">
        <f>'RESUMEN TOTAL'!Z552</f>
        <v>APAGADO</v>
      </c>
      <c r="T439" s="70" t="str">
        <f>'RESUMEN TOTAL'!AA552</f>
        <v>APAGADO</v>
      </c>
      <c r="U439" s="70" t="str">
        <f>'RESUMEN TOTAL'!AB552</f>
        <v>APAGADO</v>
      </c>
      <c r="V439" s="70" t="str">
        <f>'RESUMEN TOTAL'!AC552</f>
        <v>APAGADO</v>
      </c>
      <c r="W439" s="70" t="str">
        <f>'RESUMEN TOTAL'!AD552</f>
        <v>APAGADO</v>
      </c>
      <c r="X439" s="70" t="str">
        <f>'RESUMEN TOTAL'!AE552</f>
        <v>APAGADO</v>
      </c>
      <c r="Y439" s="70" t="str">
        <f>'RESUMEN TOTAL'!AF552</f>
        <v>APAGADO</v>
      </c>
      <c r="Z439" s="70" t="str">
        <f>'RESUMEN TOTAL'!AG552</f>
        <v>APAGADO</v>
      </c>
      <c r="AA439" s="70" t="str">
        <f>'RESUMEN TOTAL'!AH552</f>
        <v>APAGADO</v>
      </c>
      <c r="AB439" s="70" t="str">
        <f>'RESUMEN TOTAL'!AI552</f>
        <v>APAGADO</v>
      </c>
      <c r="AC439" s="70" t="str">
        <f>'RESUMEN TOTAL'!AJ552</f>
        <v>APAGADO</v>
      </c>
      <c r="AD439" s="70" t="str">
        <f>'RESUMEN TOTAL'!AK552</f>
        <v>APAGADO</v>
      </c>
      <c r="AE439" s="70" t="str">
        <f>'RESUMEN TOTAL'!AL552</f>
        <v>APAGADO</v>
      </c>
      <c r="AF439" s="70" t="str">
        <f>'RESUMEN TOTAL'!AM552</f>
        <v>APAGADO</v>
      </c>
      <c r="AG439" s="70" t="str">
        <f>'RESUMEN TOTAL'!AN552</f>
        <v>APAGADO</v>
      </c>
      <c r="AH439" s="70" t="str">
        <f>'RESUMEN TOTAL'!AO552</f>
        <v>APAGADO</v>
      </c>
      <c r="AI439" s="70" t="str">
        <f>'RESUMEN TOTAL'!AP552</f>
        <v>APAGADO</v>
      </c>
      <c r="AJ439" s="70" t="str">
        <f>'RESUMEN TOTAL'!AQ552</f>
        <v>APAGADO</v>
      </c>
    </row>
    <row r="440" spans="1:36" x14ac:dyDescent="0.25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>
        <f>'RESUMEN TOTAL'!M553</f>
        <v>0</v>
      </c>
      <c r="G440" s="70">
        <f>'RESUMEN TOTAL'!N553</f>
        <v>0</v>
      </c>
      <c r="H440" s="70">
        <f>'RESUMEN TOTAL'!O553</f>
        <v>0</v>
      </c>
      <c r="I440" s="70" t="str">
        <f>'RESUMEN TOTAL'!P553</f>
        <v>APAGADO</v>
      </c>
      <c r="J440" s="70" t="str">
        <f>'RESUMEN TOTAL'!Q553</f>
        <v>APAGADO</v>
      </c>
      <c r="K440" s="70" t="str">
        <f>'RESUMEN TOTAL'!R553</f>
        <v>APAGADO</v>
      </c>
      <c r="L440" s="70" t="str">
        <f>'RESUMEN TOTAL'!S553</f>
        <v>APAGADO</v>
      </c>
      <c r="M440" s="70" t="str">
        <f>'RESUMEN TOTAL'!T553</f>
        <v>APAGADO</v>
      </c>
      <c r="N440" s="70" t="str">
        <f>'RESUMEN TOTAL'!U553</f>
        <v>APAGADO</v>
      </c>
      <c r="O440" s="70" t="str">
        <f>'RESUMEN TOTAL'!V553</f>
        <v>APAGADO</v>
      </c>
      <c r="P440" s="70" t="str">
        <f>'RESUMEN TOTAL'!W553</f>
        <v>APAGADO</v>
      </c>
      <c r="Q440" s="70" t="str">
        <f>'RESUMEN TOTAL'!X553</f>
        <v>APAGADO</v>
      </c>
      <c r="R440" s="70" t="str">
        <f>'RESUMEN TOTAL'!Y553</f>
        <v>APAGADO</v>
      </c>
      <c r="S440" s="70" t="str">
        <f>'RESUMEN TOTAL'!Z553</f>
        <v>APAGADO</v>
      </c>
      <c r="T440" s="70" t="str">
        <f>'RESUMEN TOTAL'!AA553</f>
        <v>APAGADO</v>
      </c>
      <c r="U440" s="70" t="str">
        <f>'RESUMEN TOTAL'!AB553</f>
        <v>APAGADO</v>
      </c>
      <c r="V440" s="70" t="str">
        <f>'RESUMEN TOTAL'!AC553</f>
        <v>APAGADO</v>
      </c>
      <c r="W440" s="70" t="str">
        <f>'RESUMEN TOTAL'!AD553</f>
        <v>APAGADO</v>
      </c>
      <c r="X440" s="70" t="str">
        <f>'RESUMEN TOTAL'!AE553</f>
        <v>APAGADO</v>
      </c>
      <c r="Y440" s="70" t="str">
        <f>'RESUMEN TOTAL'!AF553</f>
        <v>APAGADO</v>
      </c>
      <c r="Z440" s="70" t="str">
        <f>'RESUMEN TOTAL'!AG553</f>
        <v>APAGADO</v>
      </c>
      <c r="AA440" s="70" t="str">
        <f>'RESUMEN TOTAL'!AH553</f>
        <v>APAGADO</v>
      </c>
      <c r="AB440" s="70" t="str">
        <f>'RESUMEN TOTAL'!AI553</f>
        <v>APAGADO</v>
      </c>
      <c r="AC440" s="70" t="str">
        <f>'RESUMEN TOTAL'!AJ553</f>
        <v>APAGADO</v>
      </c>
      <c r="AD440" s="70" t="str">
        <f>'RESUMEN TOTAL'!AK553</f>
        <v>APAGADO</v>
      </c>
      <c r="AE440" s="70">
        <f>'RESUMEN TOTAL'!AL553</f>
        <v>0</v>
      </c>
      <c r="AF440" s="70" t="str">
        <f>'RESUMEN TOTAL'!AM553</f>
        <v>APAGADO</v>
      </c>
      <c r="AG440" s="70" t="str">
        <f>'RESUMEN TOTAL'!AN553</f>
        <v>APAGADO</v>
      </c>
      <c r="AH440" s="70" t="str">
        <f>'RESUMEN TOTAL'!AO553</f>
        <v>APAGADO</v>
      </c>
      <c r="AI440" s="70" t="str">
        <f>'RESUMEN TOTAL'!AP553</f>
        <v>APAGADO</v>
      </c>
      <c r="AJ440" s="70">
        <f>'RESUMEN TOTAL'!AQ553</f>
        <v>0</v>
      </c>
    </row>
    <row r="441" spans="1:36" x14ac:dyDescent="0.25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 t="str">
        <f>'RESUMEN TOTAL'!V555</f>
        <v>APAGADO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25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25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25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25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 t="str">
        <f>'RESUMEN TOTAL'!W559</f>
        <v>APAGADO</v>
      </c>
      <c r="Q445" s="70" t="str">
        <f>'RESUMEN TOTAL'!X559</f>
        <v>APAGADO</v>
      </c>
      <c r="R445" s="70" t="str">
        <f>'RESUMEN TOTAL'!Y559</f>
        <v>APAGADO</v>
      </c>
      <c r="S445" s="70" t="str">
        <f>'RESUMEN TOTAL'!Z559</f>
        <v>APAGADO</v>
      </c>
      <c r="T445" s="70" t="str">
        <f>'RESUMEN TOTAL'!AA559</f>
        <v>APAGADO</v>
      </c>
      <c r="U445" s="70" t="str">
        <f>'RESUMEN TOTAL'!AB559</f>
        <v>APAGADO</v>
      </c>
      <c r="V445" s="70" t="str">
        <f>'RESUMEN TOTAL'!AC559</f>
        <v>APAGADO</v>
      </c>
      <c r="W445" s="70" t="str">
        <f>'RESUMEN TOTAL'!AD559</f>
        <v>APAGADO</v>
      </c>
      <c r="X445" s="70" t="str">
        <f>'RESUMEN TOTAL'!AE559</f>
        <v>APAGADO</v>
      </c>
      <c r="Y445" s="70" t="str">
        <f>'RESUMEN TOTAL'!AF559</f>
        <v>APAGADO</v>
      </c>
      <c r="Z445" s="70" t="str">
        <f>'RESUMEN TOTAL'!AG559</f>
        <v>APAGADO</v>
      </c>
      <c r="AA445" s="70" t="str">
        <f>'RESUMEN TOTAL'!AH559</f>
        <v>APAGADO</v>
      </c>
      <c r="AB445" s="70" t="str">
        <f>'RESUMEN TOTAL'!AI559</f>
        <v>APAGADO</v>
      </c>
      <c r="AC445" s="70" t="str">
        <f>'RESUMEN TOTAL'!AJ559</f>
        <v>APAGADO</v>
      </c>
      <c r="AD445" s="70" t="str">
        <f>'RESUMEN TOTAL'!AK559</f>
        <v>APAGADO</v>
      </c>
      <c r="AE445" s="70" t="str">
        <f>'RESUMEN TOTAL'!AL559</f>
        <v>APAGADO</v>
      </c>
      <c r="AF445" s="70" t="str">
        <f>'RESUMEN TOTAL'!AM559</f>
        <v>APAGADO</v>
      </c>
      <c r="AG445" s="70" t="str">
        <f>'RESUMEN TOTAL'!AN559</f>
        <v>APAGADO</v>
      </c>
      <c r="AH445" s="70" t="str">
        <f>'RESUMEN TOTAL'!AO559</f>
        <v>APAGADO</v>
      </c>
      <c r="AI445" s="70" t="str">
        <f>'RESUMEN TOTAL'!AP559</f>
        <v>APAGADO</v>
      </c>
      <c r="AJ445" s="70" t="str">
        <f>'RESUMEN TOTAL'!AQ559</f>
        <v>APAGADO</v>
      </c>
    </row>
    <row r="446" spans="1:36" x14ac:dyDescent="0.25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>
        <f>'RESUMEN TOTAL'!V560</f>
        <v>0</v>
      </c>
      <c r="P446" s="70">
        <f>'RESUMEN TOTAL'!W560</f>
        <v>0</v>
      </c>
      <c r="Q446" s="70">
        <f>'RESUMEN TOTAL'!X560</f>
        <v>0</v>
      </c>
      <c r="R446" s="70">
        <f>'RESUMEN TOTAL'!Y560</f>
        <v>0</v>
      </c>
      <c r="S446" s="70">
        <f>'RESUMEN TOTAL'!Z560</f>
        <v>0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25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>
        <f>'RESUMEN TOTAL'!V561</f>
        <v>0</v>
      </c>
      <c r="P447" s="70">
        <f>'RESUMEN TOTAL'!W561</f>
        <v>0</v>
      </c>
      <c r="Q447" s="70">
        <f>'RESUMEN TOTAL'!X561</f>
        <v>0</v>
      </c>
      <c r="R447" s="70">
        <f>'RESUMEN TOTAL'!Y561</f>
        <v>0</v>
      </c>
      <c r="S447" s="70">
        <f>'RESUMEN TOTAL'!Z561</f>
        <v>0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25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 t="str">
        <f>'RESUMEN TOTAL'!N562</f>
        <v>APAGADO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>
        <f>'RESUMEN TOTAL'!V562</f>
        <v>0</v>
      </c>
      <c r="P448" s="70">
        <f>'RESUMEN TOTAL'!W562</f>
        <v>0</v>
      </c>
      <c r="Q448" s="70">
        <f>'RESUMEN TOTAL'!X562</f>
        <v>0</v>
      </c>
      <c r="R448" s="70">
        <f>'RESUMEN TOTAL'!Y562</f>
        <v>0</v>
      </c>
      <c r="S448" s="70">
        <f>'RESUMEN TOTAL'!Z562</f>
        <v>0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25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 t="str">
        <f>'RESUMEN TOTAL'!N563</f>
        <v>APAGADO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>
        <f>'RESUMEN TOTAL'!V563</f>
        <v>0</v>
      </c>
      <c r="P449" s="70">
        <f>'RESUMEN TOTAL'!W563</f>
        <v>0</v>
      </c>
      <c r="Q449" s="70">
        <f>'RESUMEN TOTAL'!X563</f>
        <v>0</v>
      </c>
      <c r="R449" s="70">
        <f>'RESUMEN TOTAL'!Y563</f>
        <v>0</v>
      </c>
      <c r="S449" s="70">
        <f>'RESUMEN TOTAL'!Z563</f>
        <v>0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25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 t="str">
        <f>'RESUMEN TOTAL'!M564</f>
        <v>APAGADO</v>
      </c>
      <c r="G450" s="70">
        <f>'RESUMEN TOTAL'!N564</f>
        <v>0</v>
      </c>
      <c r="H450" s="70">
        <f>'RESUMEN TOTAL'!O564</f>
        <v>0</v>
      </c>
      <c r="I450" s="70" t="str">
        <f>'RESUMEN TOTAL'!P564</f>
        <v>APAGADO</v>
      </c>
      <c r="J450" s="70" t="str">
        <f>'RESUMEN TOTAL'!Q564</f>
        <v>APAGADO</v>
      </c>
      <c r="K450" s="70" t="str">
        <f>'RESUMEN TOTAL'!R564</f>
        <v>APAGADO</v>
      </c>
      <c r="L450" s="70" t="str">
        <f>'RESUMEN TOTAL'!S564</f>
        <v>APAGADO</v>
      </c>
      <c r="M450" s="70" t="str">
        <f>'RESUMEN TOTAL'!T564</f>
        <v>APAGADO</v>
      </c>
      <c r="N450" s="70" t="str">
        <f>'RESUMEN TOTAL'!U564</f>
        <v>APAGADO</v>
      </c>
      <c r="O450" s="70" t="str">
        <f>'RESUMEN TOTAL'!V564</f>
        <v>APAGADO</v>
      </c>
      <c r="P450" s="70" t="str">
        <f>'RESUMEN TOTAL'!W564</f>
        <v>APAGADO</v>
      </c>
      <c r="Q450" s="70" t="str">
        <f>'RESUMEN TOTAL'!X564</f>
        <v>APAGADO</v>
      </c>
      <c r="R450" s="70" t="str">
        <f>'RESUMEN TOTAL'!Y564</f>
        <v>APAGADO</v>
      </c>
      <c r="S450" s="70" t="str">
        <f>'RESUMEN TOTAL'!Z564</f>
        <v>APAGADO</v>
      </c>
      <c r="T450" s="70" t="str">
        <f>'RESUMEN TOTAL'!AA564</f>
        <v>APAGADO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25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25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25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25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25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25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25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25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25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25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 t="str">
        <f>'RESUMEN TOTAL'!W577</f>
        <v>APAGADO</v>
      </c>
      <c r="Q460" s="70" t="str">
        <f>'RESUMEN TOTAL'!X577</f>
        <v>APAGADO</v>
      </c>
      <c r="R460" s="70" t="str">
        <f>'RESUMEN TOTAL'!Y577</f>
        <v>APAGADO</v>
      </c>
      <c r="S460" s="70" t="str">
        <f>'RESUMEN TOTAL'!Z577</f>
        <v>APAGADO</v>
      </c>
      <c r="T460" s="70" t="str">
        <f>'RESUMEN TOTAL'!AA577</f>
        <v>APAGADO</v>
      </c>
      <c r="U460" s="70" t="str">
        <f>'RESUMEN TOTAL'!AB577</f>
        <v>APAGADO</v>
      </c>
      <c r="V460" s="70" t="str">
        <f>'RESUMEN TOTAL'!AC577</f>
        <v>APAGADO</v>
      </c>
      <c r="W460" s="70" t="str">
        <f>'RESUMEN TOTAL'!AD577</f>
        <v>APAGADO</v>
      </c>
      <c r="X460" s="70" t="str">
        <f>'RESUMEN TOTAL'!AE577</f>
        <v>APAGADO</v>
      </c>
      <c r="Y460" s="70" t="str">
        <f>'RESUMEN TOTAL'!AF577</f>
        <v>APAGADO</v>
      </c>
      <c r="Z460" s="70" t="str">
        <f>'RESUMEN TOTAL'!AG577</f>
        <v>APAGADO</v>
      </c>
      <c r="AA460" s="70" t="str">
        <f>'RESUMEN TOTAL'!AH577</f>
        <v>APAGADO</v>
      </c>
      <c r="AB460" s="70">
        <f>'RESUMEN TOTAL'!AI577</f>
        <v>0</v>
      </c>
      <c r="AC460" s="70" t="str">
        <f>'RESUMEN TOTAL'!AJ577</f>
        <v>APAGADO</v>
      </c>
      <c r="AD460" s="70" t="str">
        <f>'RESUMEN TOTAL'!AK577</f>
        <v>APAGADO</v>
      </c>
      <c r="AE460" s="70" t="str">
        <f>'RESUMEN TOTAL'!AL577</f>
        <v>APAGADO</v>
      </c>
      <c r="AF460" s="70" t="str">
        <f>'RESUMEN TOTAL'!AM577</f>
        <v>APAGADO</v>
      </c>
      <c r="AG460" s="70" t="str">
        <f>'RESUMEN TOTAL'!AN577</f>
        <v>APAGADO</v>
      </c>
      <c r="AH460" s="70" t="str">
        <f>'RESUMEN TOTAL'!AO577</f>
        <v>APAGADO</v>
      </c>
      <c r="AI460" s="70" t="str">
        <f>'RESUMEN TOTAL'!AP577</f>
        <v>APAGADO</v>
      </c>
      <c r="AJ460" s="70" t="str">
        <f>'RESUMEN TOTAL'!AQ577</f>
        <v>APAGADO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25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25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25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25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25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25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25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25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25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25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25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25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25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25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25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25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25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25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25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25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25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25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25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25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25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25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25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25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25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25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25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25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25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25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25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25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25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25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25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25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25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25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25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25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25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25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25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25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25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25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25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25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25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25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25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25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25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25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25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25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25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25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25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25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25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25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25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25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25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25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25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25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25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25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25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25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25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25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25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25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25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25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25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25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25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25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25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25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25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25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25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25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AD1" zoomScale="90" zoomScaleNormal="90" workbookViewId="0">
      <selection activeCell="AE20" sqref="AE2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TOTAL'!C8:C580,"=BONOMO")</f>
        <v>303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TOTAL'!N8:N689,"=APAGADO",'RESUMEN TOTAL'!C8:C689,"=BONOMO")</f>
        <v>29</v>
      </c>
      <c r="H3" s="46">
        <v>37</v>
      </c>
      <c r="I3" s="46">
        <v>48</v>
      </c>
      <c r="J3" s="46">
        <f>COUNTIFS('RESUMEN TOTAL'!Q8:Q689,"=APAGADO",'RESUMEN TOTAL'!C8:C689,"=BONOMO")</f>
        <v>41</v>
      </c>
      <c r="K3" s="46">
        <f>COUNTIFS('RESUMEN TOTAL'!R8:R689,"=APAGADO",'RESUMEN TOTAL'!C8:C689,"=BONOMO")</f>
        <v>22</v>
      </c>
      <c r="L3" s="46">
        <v>0</v>
      </c>
      <c r="M3" s="46">
        <v>0</v>
      </c>
      <c r="N3" s="46">
        <f>COUNTIFS('RESUMEN TOTAL'!U8:U689,"=APAGADO",'RESUMEN TOTAL'!C8:C689,"=BONOMO")</f>
        <v>20</v>
      </c>
      <c r="O3" s="46">
        <f>COUNTIFS('RESUMEN TOTAL'!V8:V689,"=APAGADO",'RESUMEN TOTAL'!C8:C689,"=BONOMO")</f>
        <v>20</v>
      </c>
      <c r="P3" s="46">
        <f>COUNTIFS('RESUMEN TOTAL'!W8:W689,"=APAGADO",'RESUMEN TOTAL'!C8:C689,"=BONOMO")</f>
        <v>22</v>
      </c>
      <c r="Q3" s="46">
        <f>COUNTIFS('RESUMEN TOTAL'!X8:X689,"=APAGADO",'RESUMEN TOTAL'!C8:C689,"=BONOMO")</f>
        <v>22</v>
      </c>
      <c r="R3" s="46">
        <f>COUNTIFS('RESUMEN TOTAL'!Y8:Y689,"=APAGADO",'RESUMEN TOTAL'!C8:C689,"=BONOMO")</f>
        <v>23</v>
      </c>
      <c r="S3" s="46">
        <f>COUNTIFS('RESUMEN TOTAL'!Z8:Z689,"=APAGADO",'RESUMEN TOTAL'!C8:C689,"=BONOMO")</f>
        <v>23</v>
      </c>
      <c r="T3" s="46">
        <f>COUNTIFS('RESUMEN TOTAL'!AA8:AA689,"=APAGADO",'RESUMEN TOTAL'!C8:C689,"=BONOMO")</f>
        <v>26</v>
      </c>
      <c r="U3" s="46">
        <f>COUNTIFS('RESUMEN TOTAL'!AB8:AB689,"=APAGADO",'RESUMEN TOTAL'!C8:C689,"=BONOMO")</f>
        <v>27</v>
      </c>
      <c r="V3" s="46">
        <f>COUNTIFS('RESUMEN TOTAL'!AC8:AC689,"=APAGADO",'RESUMEN TOTAL'!C8:C689,"=BONOMO")</f>
        <v>46</v>
      </c>
      <c r="W3" s="46">
        <v>24</v>
      </c>
      <c r="X3" s="46">
        <f>COUNTIFS('RESUMEN TOTAL'!AE8:AE689,"=APAGADO",'RESUMEN TOTAL'!C8:C689,"=BONOMO")</f>
        <v>26</v>
      </c>
      <c r="Y3" s="46">
        <f>COUNTIFS('RESUMEN TOTAL'!AF8:AF689,"=APAGADO",'RESUMEN TOTAL'!C8:C689,"=BONOMO")</f>
        <v>23</v>
      </c>
      <c r="Z3" s="46">
        <f>COUNTIFS('RESUMEN TOTAL'!AG8:AG689,"=APAGADO",'RESUMEN TOTAL'!C8:C689,"=BONOMO")</f>
        <v>21</v>
      </c>
      <c r="AA3" s="46">
        <f>COUNTIFS('RESUMEN TOTAL'!AH8:AH689,"=APAGADO",'RESUMEN TOTAL'!C8:C689,"=BONOMO")</f>
        <v>21</v>
      </c>
      <c r="AB3" s="46">
        <f>COUNTIFS('RESUMEN TOTAL'!AI8:AI689,"=APAGADO",'RESUMEN TOTAL'!C8:C689,"=BONOMO")</f>
        <v>21</v>
      </c>
      <c r="AC3" s="46">
        <f>COUNTIFS('RESUMEN TOTAL'!AJ8:AJ689,"=APAGADO",'RESUMEN TOTAL'!C8:C689,"=BONOMO")</f>
        <v>28</v>
      </c>
      <c r="AD3" s="46">
        <f>COUNTIFS('RESUMEN TOTAL'!AK8:AK689,"=APAGADO",'RESUMEN TOTAL'!C8:C689,"=BONOMO")</f>
        <v>39</v>
      </c>
      <c r="AE3" s="46">
        <v>0</v>
      </c>
      <c r="AF3" s="46">
        <f>COUNTIFS('RESUMEN TOTAL'!AM8:AM689,"=APAGADO",'RESUMEN TOTAL'!C8:C689,"=BONOMO")</f>
        <v>36</v>
      </c>
      <c r="AG3" s="46">
        <f>COUNTIFS('RESUMEN TOTAL'!AN8:AN689,"=APAGADO",'RESUMEN TOTAL'!C8:C689,"=BONOMO")</f>
        <v>33</v>
      </c>
      <c r="AH3" s="46">
        <v>37</v>
      </c>
      <c r="AI3" s="46">
        <v>39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9.5709570957095716E-2</v>
      </c>
      <c r="H4" s="50">
        <f t="shared" si="0"/>
        <v>0.12211221122112212</v>
      </c>
      <c r="I4" s="50">
        <f t="shared" si="0"/>
        <v>0.15841584158415842</v>
      </c>
      <c r="J4" s="50">
        <v>0.14000000000000001</v>
      </c>
      <c r="K4" s="50">
        <f t="shared" si="0"/>
        <v>7.2607260726072612E-2</v>
      </c>
      <c r="L4" s="50">
        <f t="shared" si="0"/>
        <v>0</v>
      </c>
      <c r="M4" s="50">
        <v>0</v>
      </c>
      <c r="N4" s="50">
        <f t="shared" si="0"/>
        <v>6.6006600660066E-2</v>
      </c>
      <c r="O4" s="50">
        <f t="shared" si="0"/>
        <v>6.6006600660066E-2</v>
      </c>
      <c r="P4" s="50">
        <f t="shared" si="0"/>
        <v>7.2607260726072612E-2</v>
      </c>
      <c r="Q4" s="50">
        <f t="shared" si="0"/>
        <v>7.2607260726072612E-2</v>
      </c>
      <c r="R4" s="50">
        <f t="shared" si="0"/>
        <v>7.590759075907591E-2</v>
      </c>
      <c r="S4" s="50">
        <f t="shared" si="0"/>
        <v>7.590759075907591E-2</v>
      </c>
      <c r="T4" s="50">
        <f t="shared" si="0"/>
        <v>8.5808580858085806E-2</v>
      </c>
      <c r="U4" s="50">
        <f t="shared" si="0"/>
        <v>8.9108910891089105E-2</v>
      </c>
      <c r="V4" s="50">
        <f t="shared" si="0"/>
        <v>0.15181518151815182</v>
      </c>
      <c r="W4" s="50">
        <f t="shared" si="0"/>
        <v>7.9207920792079209E-2</v>
      </c>
      <c r="X4" s="50">
        <f t="shared" si="0"/>
        <v>8.5808580858085806E-2</v>
      </c>
      <c r="Y4" s="50">
        <f t="shared" si="0"/>
        <v>7.590759075907591E-2</v>
      </c>
      <c r="Z4" s="50">
        <f t="shared" si="0"/>
        <v>6.9306930693069313E-2</v>
      </c>
      <c r="AA4" s="50">
        <f t="shared" si="0"/>
        <v>6.9306930693069313E-2</v>
      </c>
      <c r="AB4" s="50">
        <f t="shared" si="0"/>
        <v>6.9306930693069313E-2</v>
      </c>
      <c r="AC4" s="50">
        <v>0</v>
      </c>
      <c r="AD4" s="50">
        <f t="shared" si="0"/>
        <v>0.12871287128712872</v>
      </c>
      <c r="AE4" s="50">
        <f t="shared" si="0"/>
        <v>0</v>
      </c>
      <c r="AF4" s="50">
        <f t="shared" si="0"/>
        <v>0.11881188118811881</v>
      </c>
      <c r="AG4" s="50">
        <f t="shared" si="0"/>
        <v>0.10891089108910891</v>
      </c>
      <c r="AH4" s="50">
        <f t="shared" si="0"/>
        <v>0.12211221122112212</v>
      </c>
      <c r="AI4" s="50">
        <v>0.13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TOTAL'!M8:M691,"=APAGADO",'RESUMEN TOTAL'!C8:C691,"=COSEIDI")</f>
        <v>51</v>
      </c>
      <c r="G5" s="46">
        <f>COUNTIFS('RESUMEN TOTAL'!N8:N689,"=APAGADO",'RESUMEN TOTAL'!C8:C689,"=COSEIDI")</f>
        <v>41</v>
      </c>
      <c r="H5" s="46">
        <v>37</v>
      </c>
      <c r="I5" s="46">
        <f>COUNTIFS('RESUMEN TOTAL'!P10:P691,"=APAGADO",'RESUMEN TOTAL'!C10:C691,"=COSEIDI")</f>
        <v>73</v>
      </c>
      <c r="J5" s="46">
        <f>COUNTIFS('RESUMEN TOTAL'!Q10:Q691,"=APAGADO",'RESUMEN TOTAL'!C10:C691,"=COSEIDI")</f>
        <v>70</v>
      </c>
      <c r="K5" s="46">
        <f>COUNTIFS('RESUMEN TOTAL'!R10:R691,"=APAGADO",'RESUMEN TOTAL'!C10:C691,"=COSEIDI")</f>
        <v>67</v>
      </c>
      <c r="L5" s="46">
        <f>COUNTIFS('RESUMEN TOTAL'!S10:S691,"=APAGADO",'RESUMEN TOTAL'!C10:C691,"=COSEIDI")</f>
        <v>67</v>
      </c>
      <c r="M5" s="46">
        <v>0</v>
      </c>
      <c r="N5" s="46">
        <f>COUNTIFS('RESUMEN TOTAL'!U10:U691,"=APAGADO",'RESUMEN TOTAL'!C10:C691,"=COSEIDI")</f>
        <v>67</v>
      </c>
      <c r="O5" s="46">
        <v>58</v>
      </c>
      <c r="P5" s="46">
        <f>COUNTIFS('RESUMEN TOTAL'!W10:W691,"=APAGADO",'RESUMEN TOTAL'!C10:C691,"=COSEIDI")</f>
        <v>67</v>
      </c>
      <c r="Q5" s="46">
        <f>COUNTIFS('RESUMEN TOTAL'!X10:X691,"=APAGADO",'RESUMEN TOTAL'!C10:C691,"=COSEIDI")</f>
        <v>69</v>
      </c>
      <c r="R5" s="46">
        <f>COUNTIFS('RESUMEN TOTAL'!Y10:Y691,"=APAGADO",'RESUMEN TOTAL'!C10:C691,"=COSEIDI")</f>
        <v>60</v>
      </c>
      <c r="S5" s="46">
        <f>COUNTIFS('RESUMEN TOTAL'!Z10:Z691,"=APAGADO",'RESUMEN TOTAL'!C10:C691,"=COSEIDI")</f>
        <v>57</v>
      </c>
      <c r="T5" s="46">
        <v>66</v>
      </c>
      <c r="U5" s="46">
        <v>54</v>
      </c>
      <c r="V5" s="46">
        <f>COUNTIFS('RESUMEN TOTAL'!AC10:AC691,"=APAGADO",'RESUMEN TOTAL'!C10:C691,"=COSEIDI")</f>
        <v>53</v>
      </c>
      <c r="W5" s="46">
        <f>COUNTIFS('RESUMEN TOTAL'!AD10:AD691,"=APAGADO",'RESUMEN TOTAL'!C10:C691,"=COSEIDI")</f>
        <v>61</v>
      </c>
      <c r="X5" s="46">
        <f>COUNTIFS('RESUMEN TOTAL'!AE10:AE691,"=APAGADO",'RESUMEN TOTAL'!C10:C691,"=COSEIDI")</f>
        <v>57</v>
      </c>
      <c r="Y5" s="46">
        <f>COUNTIFS('RESUMEN TOTAL'!AF10:AF691,"=APAGADO",'RESUMEN TOTAL'!C10:C691,"=COSEIDI")</f>
        <v>49</v>
      </c>
      <c r="Z5" s="46">
        <f>COUNTIFS('RESUMEN TOTAL'!AG10:AG691,"=APAGADO",'RESUMEN TOTAL'!C10:C691,"=COSEIDI")</f>
        <v>52</v>
      </c>
      <c r="AA5" s="46">
        <f>COUNTIFS('RESUMEN TOTAL'!AH10:AH691,"=APAGADO",'RESUMEN TOTAL'!C10:C691,"=COSEIDI")</f>
        <v>53</v>
      </c>
      <c r="AB5" s="46">
        <f>COUNTIFS('RESUMEN TOTAL'!AI10:AI691,"=APAGADO",'RESUMEN TOTAL'!C10:C691,"=COSEIDI")</f>
        <v>52</v>
      </c>
      <c r="AC5" s="46">
        <f>COUNTIFS('RESUMEN TOTAL'!AJ10:AJ691,"=APAGADO",'RESUMEN TOTAL'!C10:C691,"=COSEIDI")</f>
        <v>62</v>
      </c>
      <c r="AD5" s="46">
        <f>COUNTIFS('RESUMEN TOTAL'!AK10:AK691,"=APAGADO",'RESUMEN TOTAL'!C10:C691,"=COSEIDI")</f>
        <v>68</v>
      </c>
      <c r="AE5" s="46">
        <f>COUNTIFS('RESUMEN TOTAL'!AL10:AL691,"=APAGADO",'RESUMEN TOTAL'!C10:C691,"=COSEIDI")</f>
        <v>56</v>
      </c>
      <c r="AF5" s="46">
        <f>COUNTIFS('RESUMEN TOTAL'!AM10:AM691,"=APAGADO",'RESUMEN TOTAL'!C10:C691,"=COSEIDI")</f>
        <v>68</v>
      </c>
      <c r="AG5" s="46">
        <v>0</v>
      </c>
      <c r="AH5" s="46">
        <v>60</v>
      </c>
      <c r="AI5" s="46">
        <v>61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0.15185185185185185</v>
      </c>
      <c r="H6" s="50">
        <v>0.12</v>
      </c>
      <c r="I6" s="50">
        <v>0.24</v>
      </c>
      <c r="J6" s="50">
        <v>0.23</v>
      </c>
      <c r="K6" s="50">
        <f t="shared" ref="K6:AH6" si="1">K5/COSEIDIcam</f>
        <v>0.24814814814814815</v>
      </c>
      <c r="L6" s="50">
        <f t="shared" si="1"/>
        <v>0.24814814814814815</v>
      </c>
      <c r="M6" s="50">
        <v>0</v>
      </c>
      <c r="N6" s="50">
        <f t="shared" si="1"/>
        <v>0.24814814814814815</v>
      </c>
      <c r="O6" s="50">
        <f t="shared" si="1"/>
        <v>0.21481481481481482</v>
      </c>
      <c r="P6" s="50">
        <v>0.25</v>
      </c>
      <c r="Q6" s="50">
        <f t="shared" si="1"/>
        <v>0.25555555555555554</v>
      </c>
      <c r="R6" s="50">
        <f t="shared" si="1"/>
        <v>0.22222222222222221</v>
      </c>
      <c r="S6" s="50">
        <f t="shared" si="1"/>
        <v>0.21111111111111111</v>
      </c>
      <c r="T6" s="50">
        <f t="shared" si="1"/>
        <v>0.24444444444444444</v>
      </c>
      <c r="U6" s="50">
        <v>0.2</v>
      </c>
      <c r="V6" s="50">
        <v>0.2</v>
      </c>
      <c r="W6" s="50">
        <f t="shared" si="1"/>
        <v>0.22592592592592592</v>
      </c>
      <c r="X6" s="50">
        <f t="shared" si="1"/>
        <v>0.21111111111111111</v>
      </c>
      <c r="Y6" s="50">
        <f t="shared" si="1"/>
        <v>0.18148148148148149</v>
      </c>
      <c r="Z6" s="50">
        <f t="shared" si="1"/>
        <v>0.19259259259259259</v>
      </c>
      <c r="AA6" s="50">
        <f t="shared" si="1"/>
        <v>0.1962962962962963</v>
      </c>
      <c r="AB6" s="50">
        <f t="shared" si="1"/>
        <v>0.19259259259259259</v>
      </c>
      <c r="AC6" s="50">
        <v>0</v>
      </c>
      <c r="AD6" s="50">
        <f t="shared" si="1"/>
        <v>0.25185185185185183</v>
      </c>
      <c r="AE6" s="50">
        <f t="shared" si="1"/>
        <v>0.2074074074074074</v>
      </c>
      <c r="AF6" s="50">
        <f t="shared" si="1"/>
        <v>0.25185185185185183</v>
      </c>
      <c r="AG6" s="50">
        <v>0</v>
      </c>
      <c r="AH6" s="50">
        <f t="shared" si="1"/>
        <v>0.22222222222222221</v>
      </c>
      <c r="AI6" s="50">
        <v>0.23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2026-01-02T10:42:57Z</dcterms:modified>
</cp:coreProperties>
</file>