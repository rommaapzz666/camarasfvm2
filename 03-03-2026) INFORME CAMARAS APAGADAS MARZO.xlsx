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905010B4-CFAB-4363-932A-5E8298F6B9C1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25" l="1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AQ4" i="2"/>
  <c r="AQ5" i="2"/>
  <c r="AQ6" i="2"/>
  <c r="AP3" i="2"/>
  <c r="AP4" i="2"/>
  <c r="AP5" i="2"/>
  <c r="AP6" i="2"/>
  <c r="AO3" i="2"/>
  <c r="AO4" i="2"/>
  <c r="AO5" i="2"/>
  <c r="AO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AI4" i="25" s="1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AJ4" i="25" l="1"/>
  <c r="AH4" i="25"/>
  <c r="C345" i="24"/>
  <c r="C333" i="24"/>
  <c r="C322" i="24"/>
  <c r="O4" i="25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59" i="24" l="1"/>
  <c r="C314" i="24"/>
  <c r="AO2" i="2"/>
  <c r="AO1" i="2" s="1"/>
  <c r="C337" i="24"/>
  <c r="C325" i="24"/>
  <c r="AQ2" i="2"/>
  <c r="AQ1" i="2" s="1"/>
  <c r="AP2" i="2"/>
  <c r="AP1" i="2" s="1"/>
  <c r="C247" i="24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470" i="2" l="1"/>
  <c r="L581" i="2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<sst xmlns="http://schemas.openxmlformats.org/spreadsheetml/2006/main" count="5353" uniqueCount="2324">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</sst>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0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0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92"/>
  <sheetViews>
    <sheetView view="pageBreakPreview" zoomScale="56" zoomScaleNormal="80" zoomScaleSheetLayoutView="56" workbookViewId="0">
      <pane xSplit="12" ySplit="7" topLeftCell="O409" activePane="bottomRight" state="frozen"/>
      <selection pane="topRight" activeCell="M1" sqref="M1"/>
      <selection pane="bottomLeft" activeCell="A5" sqref="A5"/>
      <selection pane="bottomRight" activeCell="C464" sqref="C464"/>
    </sheetView>
  </sheetViews>
  <sheetFormatPr baseColWidth="10" defaultColWidth="11.5703125" defaultRowHeight="15" x14ac:dyDescent="0.25"/>
  <cols>
    <col min="1" max="1" width="12.28515625" hidden="1" customWidth="1"/>
    <col min="2" max="2" width="42.42578125" style="30" customWidth="1"/>
    <col min="3" max="3" width="15.85546875" style="30" customWidth="1"/>
    <col min="4" max="4" width="70.7109375" bestFit="1" customWidth="1"/>
    <col min="5" max="5" width="20.5703125" style="61" bestFit="1" customWidth="1"/>
    <col min="6" max="6" width="16.85546875" style="65" customWidth="1"/>
    <col min="7" max="7" width="12.140625" style="65" customWidth="1"/>
    <col min="8" max="8" width="15.85546875" style="65" bestFit="1" customWidth="1"/>
    <col min="9" max="9" width="28.140625" bestFit="1" customWidth="1"/>
    <col min="10" max="10" width="22.42578125" bestFit="1" customWidth="1"/>
    <col min="11" max="11" width="19.140625" bestFit="1" customWidth="1"/>
    <col min="12" max="12" width="20.28515625" style="4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1" width="14.140625" style="14" bestFit="1" customWidth="1"/>
    <col min="42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0.12048192771084337</v>
      </c>
      <c r="N1" s="3">
        <f t="shared" si="0"/>
        <v>0.12965722801788376</v>
      </c>
      <c r="O1" s="3">
        <f t="shared" si="0"/>
        <v>0.12443778110944528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ref="AO1:AP1" si="2">(AO3)/(AO2+AO3)</f>
        <v>0</v>
      </c>
      <c r="AP1" s="3">
        <f t="shared" si="2"/>
        <v>0</v>
      </c>
      <c r="AQ1" s="3">
        <f t="shared" ref="AQ1" si="3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4">CANTIDAD_DE_CAMARAS</f>
        <v>584</v>
      </c>
      <c r="N2" s="7">
        <f t="shared" si="4"/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5">COUNTIF(M7:M744, "apagado")</f>
        <v>80</v>
      </c>
      <c r="N3" s="125">
        <f t="shared" si="5"/>
        <v>87</v>
      </c>
      <c r="O3" s="125">
        <f t="shared" si="5"/>
        <v>83</v>
      </c>
      <c r="P3" s="125">
        <f t="shared" si="5"/>
        <v>0</v>
      </c>
      <c r="Q3" s="125">
        <f t="shared" si="5"/>
        <v>0</v>
      </c>
      <c r="R3" s="125">
        <f t="shared" si="5"/>
        <v>0</v>
      </c>
      <c r="S3" s="125">
        <f t="shared" si="5"/>
        <v>0</v>
      </c>
      <c r="T3" s="125">
        <f t="shared" si="5"/>
        <v>0</v>
      </c>
      <c r="U3" s="125">
        <f t="shared" si="5"/>
        <v>0</v>
      </c>
      <c r="V3" s="125">
        <f t="shared" si="5"/>
        <v>0</v>
      </c>
      <c r="W3" s="125">
        <f t="shared" si="5"/>
        <v>0</v>
      </c>
      <c r="X3" s="125">
        <f t="shared" si="5"/>
        <v>0</v>
      </c>
      <c r="Y3" s="125">
        <f t="shared" si="5"/>
        <v>0</v>
      </c>
      <c r="Z3" s="125">
        <f t="shared" si="5"/>
        <v>0</v>
      </c>
      <c r="AA3" s="125">
        <f t="shared" si="5"/>
        <v>0</v>
      </c>
      <c r="AB3" s="125">
        <f t="shared" si="5"/>
        <v>0</v>
      </c>
      <c r="AC3" s="125">
        <f t="shared" si="5"/>
        <v>0</v>
      </c>
      <c r="AD3" s="125">
        <f t="shared" si="5"/>
        <v>0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</row>
    <row r="4" spans="1:43" s="8" customFormat="1" ht="15.75" thickTop="1" x14ac:dyDescent="0.25">
      <c r="A4" s="115"/>
      <c r="B4" s="58"/>
      <c r="C4" s="58"/>
      <c r="D4" s="21" t="s">
        <v>1460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38</v>
      </c>
      <c r="N4" s="10">
        <f>COUNTIFS(N8:N698, "=APAGADO",F8:F698,"=Fibra Optica")</f>
        <v>40</v>
      </c>
      <c r="O4" s="10">
        <f>COUNTIFS(O8:O698, "=APAGADO",F8:F698,"=Fibra Optica")</f>
        <v>38</v>
      </c>
      <c r="P4" s="10">
        <f>COUNTIFS(P8:P698, "=APAGADO",F8:F698,"=Fibra Optica")</f>
        <v>0</v>
      </c>
      <c r="Q4" s="10">
        <f>COUNTIFS(Q8:Q698, "=APAGADO",F8:F698,"=Fibra Optica")</f>
        <v>0</v>
      </c>
      <c r="R4" s="10">
        <f>COUNTIFS(R8:R698, "=APAGADO",F8:F698,"=Fibra Optica")</f>
        <v>0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0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"=APAGADO",G8:G698,"=Fibra Optica")</f>
        <v>0</v>
      </c>
      <c r="AP4" s="10">
        <f>COUNTIFS(AP8:AP698, "=APAGADO",H8:H698,"=Fibra Optica")</f>
        <v>0</v>
      </c>
      <c r="AQ4" s="10">
        <f>COUNTIFS(AQ8:AQ698, "=APAGADO",I8:I698,"=Fibra Optica")</f>
        <v>0</v>
      </c>
    </row>
    <row r="5" spans="1:43" s="8" customFormat="1" x14ac:dyDescent="0.25">
      <c r="A5" s="115"/>
      <c r="B5" s="58"/>
      <c r="C5" s="58"/>
      <c r="D5" s="126" t="s">
        <v>1461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5</v>
      </c>
      <c r="O5" s="129">
        <f>COUNTIFS(O8:O698, "=APAGADO",F8:F698,"=RADIO")</f>
        <v>5</v>
      </c>
      <c r="P5" s="129">
        <f>COUNTIFS(P8:P698, "=APAGADO",F8:F698,"=RADIO")</f>
        <v>0</v>
      </c>
      <c r="Q5" s="129">
        <f>COUNTIFS(Q8:Q698, "=APAGADO",F8:F698,"=RADIO")</f>
        <v>0</v>
      </c>
      <c r="R5" s="129">
        <f>COUNTIFS(R8:R698, "=APAGADO",F8:F698,"=RADIO")</f>
        <v>0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0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"=APAGADO",G8:G698,"=RADIO")</f>
        <v>0</v>
      </c>
      <c r="AP5" s="129">
        <f>COUNTIFS(AP8:AP698, "=APAGADO",H8:H698,"=RADIO")</f>
        <v>0</v>
      </c>
      <c r="AQ5" s="129">
        <f>COUNTIFS(AQ8:AQ698, "=APAGADO",I8:I698,"=RADIO")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1462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9</v>
      </c>
      <c r="N6" s="10">
        <f>COUNTIFS(N8:N698, "=APAGADO",F8:F698,"=PTO A FO")</f>
        <v>10</v>
      </c>
      <c r="O6" s="10">
        <f>COUNTIFS(O8:O698, "=APAGADO",F8:F698,"=PTO A FO")</f>
        <v>7</v>
      </c>
      <c r="P6" s="10">
        <f>COUNTIFS(P8:P698, "=APAGADO",F8:F698,"=PTO A FO")</f>
        <v>0</v>
      </c>
      <c r="Q6" s="10">
        <f>COUNTIFS(Q8:Q698, "=APAGADO",F8:F698,"=PTO A FO")</f>
        <v>0</v>
      </c>
      <c r="R6" s="10">
        <f>COUNTIFS(R8:R698, "=APAGADO",F8:F698,"=PTO A FO")</f>
        <v>0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0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"=APAGADO",G8:G698,"=PTO A FO")</f>
        <v>0</v>
      </c>
      <c r="AP6" s="10">
        <f>COUNTIFS(AP8:AP698, "=APAGADO",H8:H698,"=PTO A FO")</f>
        <v>0</v>
      </c>
      <c r="AQ6" s="10">
        <f>COUNTIFS(AQ8:AQ698, "=APAGADO",I8:I698,"=PTO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8</v>
      </c>
      <c r="C7" s="35" t="s">
        <v>1058</v>
      </c>
      <c r="D7" s="35" t="s">
        <v>9</v>
      </c>
      <c r="E7" s="116" t="s">
        <v>10</v>
      </c>
      <c r="F7" s="116" t="s">
        <v>11</v>
      </c>
      <c r="G7" s="116" t="s">
        <v>1245</v>
      </c>
      <c r="H7" s="116"/>
      <c r="I7" s="19" t="s">
        <v>2</v>
      </c>
      <c r="J7" s="19" t="s">
        <v>1656</v>
      </c>
      <c r="K7" s="19" t="s">
        <v>3</v>
      </c>
      <c r="L7" s="117" t="s">
        <v>4</v>
      </c>
      <c r="M7" s="118">
        <v>46082</v>
      </c>
      <c r="N7" s="118">
        <v>46083</v>
      </c>
      <c r="O7" s="118">
        <v>46084</v>
      </c>
      <c r="P7" s="118">
        <v>46085</v>
      </c>
      <c r="Q7" s="118">
        <v>46086</v>
      </c>
      <c r="R7" s="118">
        <v>46087</v>
      </c>
      <c r="S7" s="118">
        <v>46088</v>
      </c>
      <c r="T7" s="118">
        <v>46089</v>
      </c>
      <c r="U7" s="118">
        <v>46090</v>
      </c>
      <c r="V7" s="118">
        <v>46091</v>
      </c>
      <c r="W7" s="118">
        <v>46092</v>
      </c>
      <c r="X7" s="118">
        <v>46093</v>
      </c>
      <c r="Y7" s="118">
        <v>46094</v>
      </c>
      <c r="Z7" s="118">
        <v>46095</v>
      </c>
      <c r="AA7" s="118">
        <v>46096</v>
      </c>
      <c r="AB7" s="118">
        <v>46097</v>
      </c>
      <c r="AC7" s="118">
        <v>46098</v>
      </c>
      <c r="AD7" s="118">
        <v>46099</v>
      </c>
      <c r="AE7" s="118">
        <v>46100</v>
      </c>
      <c r="AF7" s="118">
        <v>46101</v>
      </c>
      <c r="AG7" s="118">
        <v>46102</v>
      </c>
      <c r="AH7" s="118">
        <v>46103</v>
      </c>
      <c r="AI7" s="118">
        <v>46104</v>
      </c>
      <c r="AJ7" s="118">
        <v>46105</v>
      </c>
      <c r="AK7" s="118">
        <v>46106</v>
      </c>
      <c r="AL7" s="118">
        <v>46107</v>
      </c>
      <c r="AM7" s="118">
        <v>46108</v>
      </c>
      <c r="AN7" s="118">
        <v>46109</v>
      </c>
      <c r="AO7" s="118">
        <v>46110</v>
      </c>
      <c r="AP7" s="118">
        <v>46111</v>
      </c>
      <c r="AQ7" s="118">
        <v>46112</v>
      </c>
    </row>
    <row r="8" spans="1:43" ht="15.75" thickBot="1" x14ac:dyDescent="0.3">
      <c r="A8" t="s">
        <v>26</v>
      </c>
      <c r="B8" t="s">
        <v>29</v>
      </c>
      <c r="C8" t="s">
        <v>1059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6">COUNTIF(M8:AN8,"")</f>
        <v>28</v>
      </c>
      <c r="J8" s="146" t="s">
        <v>1657</v>
      </c>
      <c r="K8" s="31">
        <f t="shared" ref="K8:K86" si="7">COUNTIF(M8:AN8,"APAGADO")</f>
        <v>0</v>
      </c>
      <c r="L8" s="32">
        <f t="shared" ref="L8:L86" si="8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1059</v>
      </c>
      <c r="D9" t="s">
        <v>32</v>
      </c>
      <c r="E9" s="30" t="s">
        <v>19</v>
      </c>
      <c r="F9" s="30" t="s">
        <v>1053</v>
      </c>
      <c r="G9" s="30" t="s">
        <v>1248</v>
      </c>
      <c r="H9" s="30" t="s">
        <v>611</v>
      </c>
      <c r="I9" s="31">
        <f t="shared" si="6"/>
        <v>25</v>
      </c>
      <c r="J9" s="146" t="s">
        <v>1658</v>
      </c>
      <c r="K9" s="31">
        <f t="shared" si="7"/>
        <v>3</v>
      </c>
      <c r="L9" s="32">
        <f t="shared" si="8"/>
        <v>0.8928571428571429</v>
      </c>
      <c r="M9" s="70" t="s">
        <v>2278</v>
      </c>
      <c r="N9" s="70" t="s">
        <v>2278</v>
      </c>
      <c r="O9" s="70" t="s">
        <v>2278</v>
      </c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911</v>
      </c>
      <c r="C10" s="73" t="s">
        <v>1059</v>
      </c>
      <c r="D10" s="73" t="s">
        <v>33</v>
      </c>
      <c r="E10" s="85" t="s">
        <v>19</v>
      </c>
      <c r="F10" s="85" t="s">
        <v>1298</v>
      </c>
      <c r="G10" s="85"/>
      <c r="H10" s="85" t="s">
        <v>612</v>
      </c>
      <c r="I10" s="141">
        <f t="shared" si="6"/>
        <v>28</v>
      </c>
      <c r="J10" s="146" t="s">
        <v>1659</v>
      </c>
      <c r="K10" s="141">
        <f t="shared" si="7"/>
        <v>0</v>
      </c>
      <c r="L10" s="142">
        <f t="shared" si="8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thickBot="1" x14ac:dyDescent="0.3">
      <c r="A11" s="73" t="s">
        <v>26</v>
      </c>
      <c r="B11" s="73" t="s">
        <v>912</v>
      </c>
      <c r="C11" s="73" t="s">
        <v>1059</v>
      </c>
      <c r="D11" s="73" t="s">
        <v>34</v>
      </c>
      <c r="E11" s="85" t="s">
        <v>19</v>
      </c>
      <c r="F11" s="85" t="s">
        <v>1298</v>
      </c>
      <c r="G11" s="85"/>
      <c r="H11" s="85" t="s">
        <v>613</v>
      </c>
      <c r="I11" s="141">
        <f t="shared" si="6"/>
        <v>28</v>
      </c>
      <c r="J11" s="146" t="s">
        <v>1660</v>
      </c>
      <c r="K11" s="141">
        <f t="shared" si="7"/>
        <v>0</v>
      </c>
      <c r="L11" s="142">
        <f t="shared" si="8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thickBot="1" x14ac:dyDescent="0.3">
      <c r="A12" s="73" t="s">
        <v>26</v>
      </c>
      <c r="B12" s="73" t="s">
        <v>35</v>
      </c>
      <c r="C12" s="73" t="s">
        <v>1059</v>
      </c>
      <c r="D12" s="73" t="s">
        <v>36</v>
      </c>
      <c r="E12" s="85" t="s">
        <v>19</v>
      </c>
      <c r="F12" s="85" t="s">
        <v>1298</v>
      </c>
      <c r="G12" s="85" t="s">
        <v>1247</v>
      </c>
      <c r="H12" s="85" t="s">
        <v>614</v>
      </c>
      <c r="I12" s="141">
        <f t="shared" si="6"/>
        <v>28</v>
      </c>
      <c r="J12" s="148" t="s">
        <v>1661</v>
      </c>
      <c r="K12" s="141">
        <f t="shared" si="7"/>
        <v>0</v>
      </c>
      <c r="L12" s="142">
        <f t="shared" si="8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thickBot="1" x14ac:dyDescent="0.3">
      <c r="A13" s="73" t="s">
        <v>26</v>
      </c>
      <c r="B13" s="73" t="s">
        <v>913</v>
      </c>
      <c r="C13" s="73" t="s">
        <v>1059</v>
      </c>
      <c r="D13" s="73" t="s">
        <v>27</v>
      </c>
      <c r="E13" s="85" t="s">
        <v>19</v>
      </c>
      <c r="F13" s="85" t="s">
        <v>1298</v>
      </c>
      <c r="G13" s="85" t="s">
        <v>1247</v>
      </c>
      <c r="H13" s="85" t="s">
        <v>615</v>
      </c>
      <c r="I13" s="141">
        <f t="shared" si="6"/>
        <v>28</v>
      </c>
      <c r="J13" s="146" t="s">
        <v>1662</v>
      </c>
      <c r="K13" s="141">
        <f t="shared" si="7"/>
        <v>0</v>
      </c>
      <c r="L13" s="142">
        <f t="shared" si="8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thickBot="1" x14ac:dyDescent="0.3">
      <c r="A14" t="s">
        <v>26</v>
      </c>
      <c r="B14" t="s">
        <v>37</v>
      </c>
      <c r="C14" t="s">
        <v>1059</v>
      </c>
      <c r="D14" t="s">
        <v>38</v>
      </c>
      <c r="E14" s="30" t="s">
        <v>15</v>
      </c>
      <c r="F14" s="30" t="s">
        <v>1053</v>
      </c>
      <c r="G14" s="30" t="s">
        <v>1248</v>
      </c>
      <c r="H14" s="30" t="s">
        <v>617</v>
      </c>
      <c r="I14" s="31">
        <f t="shared" si="6"/>
        <v>28</v>
      </c>
      <c r="J14" s="146" t="s">
        <v>1663</v>
      </c>
      <c r="K14" s="31">
        <f t="shared" si="7"/>
        <v>0</v>
      </c>
      <c r="L14" s="32">
        <f t="shared" si="8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914</v>
      </c>
      <c r="C15" t="s">
        <v>1059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6"/>
        <v>28</v>
      </c>
      <c r="J15" s="146" t="s">
        <v>1664</v>
      </c>
      <c r="K15" s="31">
        <f t="shared" si="7"/>
        <v>0</v>
      </c>
      <c r="L15" s="32">
        <f t="shared" si="8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915</v>
      </c>
      <c r="C16" t="s">
        <v>1059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6"/>
        <v>28</v>
      </c>
      <c r="J16" s="146" t="s">
        <v>1665</v>
      </c>
      <c r="K16" s="31">
        <f t="shared" si="7"/>
        <v>0</v>
      </c>
      <c r="L16" s="32">
        <f t="shared" si="8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916</v>
      </c>
      <c r="C17" s="73" t="s">
        <v>1059</v>
      </c>
      <c r="D17" s="73" t="s">
        <v>917</v>
      </c>
      <c r="E17" s="85" t="s">
        <v>19</v>
      </c>
      <c r="F17" s="85" t="s">
        <v>1298</v>
      </c>
      <c r="G17" s="85"/>
      <c r="H17" s="85" t="s">
        <v>1210</v>
      </c>
      <c r="I17" s="141">
        <f t="shared" si="6"/>
        <v>28</v>
      </c>
      <c r="J17" s="149" t="s">
        <v>1666</v>
      </c>
      <c r="K17" s="141">
        <f t="shared" si="7"/>
        <v>0</v>
      </c>
      <c r="L17" s="142">
        <f t="shared" si="8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thickBot="1" x14ac:dyDescent="0.3">
      <c r="A18" t="s">
        <v>26</v>
      </c>
      <c r="B18" t="s">
        <v>1523</v>
      </c>
      <c r="C18" t="s">
        <v>1059</v>
      </c>
      <c r="D18" s="68" t="s">
        <v>1524</v>
      </c>
      <c r="E18" s="30" t="s">
        <v>73</v>
      </c>
      <c r="F18" s="85" t="s">
        <v>1298</v>
      </c>
      <c r="G18" s="30"/>
      <c r="H18" s="30" t="s">
        <v>1525</v>
      </c>
      <c r="I18" s="31">
        <f t="shared" si="6"/>
        <v>28</v>
      </c>
      <c r="J18" s="87" t="s">
        <v>2149</v>
      </c>
      <c r="K18" s="31">
        <f t="shared" si="7"/>
        <v>0</v>
      </c>
      <c r="L18" s="32">
        <f t="shared" si="8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918</v>
      </c>
      <c r="C19" t="s">
        <v>1059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6"/>
        <v>25</v>
      </c>
      <c r="J19" s="146" t="s">
        <v>1667</v>
      </c>
      <c r="K19" s="31">
        <f t="shared" si="7"/>
        <v>3</v>
      </c>
      <c r="L19" s="32">
        <f t="shared" si="8"/>
        <v>0.8928571428571429</v>
      </c>
      <c r="M19" s="70" t="s">
        <v>2278</v>
      </c>
      <c r="N19" s="70" t="s">
        <v>2278</v>
      </c>
      <c r="O19" s="70" t="s">
        <v>2278</v>
      </c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1537</v>
      </c>
      <c r="C20" s="73" t="s">
        <v>1059</v>
      </c>
      <c r="D20" s="73" t="s">
        <v>1538</v>
      </c>
      <c r="E20" s="85" t="s">
        <v>73</v>
      </c>
      <c r="F20" s="85" t="s">
        <v>1298</v>
      </c>
      <c r="G20" s="85"/>
      <c r="H20" s="85" t="s">
        <v>1539</v>
      </c>
      <c r="I20" s="31">
        <f t="shared" si="6"/>
        <v>25</v>
      </c>
      <c r="J20" s="146" t="s">
        <v>1668</v>
      </c>
      <c r="K20" s="31">
        <f t="shared" si="7"/>
        <v>3</v>
      </c>
      <c r="L20" s="32">
        <f t="shared" si="8"/>
        <v>0.8928571428571429</v>
      </c>
      <c r="M20" s="70" t="s">
        <v>2278</v>
      </c>
      <c r="N20" s="70" t="s">
        <v>2278</v>
      </c>
      <c r="O20" s="70" t="s">
        <v>2278</v>
      </c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thickBot="1" x14ac:dyDescent="0.3">
      <c r="A21" s="73" t="s">
        <v>41</v>
      </c>
      <c r="B21" s="73" t="s">
        <v>1566</v>
      </c>
      <c r="C21" s="73" t="s">
        <v>1059</v>
      </c>
      <c r="D21" s="73" t="s">
        <v>1567</v>
      </c>
      <c r="E21" s="85" t="s">
        <v>73</v>
      </c>
      <c r="F21" s="85" t="s">
        <v>1298</v>
      </c>
      <c r="G21" s="85"/>
      <c r="H21" s="85" t="s">
        <v>1568</v>
      </c>
      <c r="I21" s="31">
        <f t="shared" si="6"/>
        <v>28</v>
      </c>
      <c r="J21" s="146" t="s">
        <v>1669</v>
      </c>
      <c r="K21" s="31">
        <f t="shared" si="7"/>
        <v>0</v>
      </c>
      <c r="L21" s="32">
        <f t="shared" si="8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thickBot="1" x14ac:dyDescent="0.3">
      <c r="A22" t="s">
        <v>43</v>
      </c>
      <c r="B22" t="s">
        <v>919</v>
      </c>
      <c r="C22" t="s">
        <v>1059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6"/>
        <v>28</v>
      </c>
      <c r="J22" s="146" t="s">
        <v>1670</v>
      </c>
      <c r="K22" s="31">
        <f t="shared" si="7"/>
        <v>0</v>
      </c>
      <c r="L22" s="32">
        <f t="shared" si="8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1265</v>
      </c>
      <c r="C23" t="s">
        <v>1059</v>
      </c>
      <c r="D23" t="s">
        <v>1266</v>
      </c>
      <c r="E23" s="30" t="s">
        <v>15</v>
      </c>
      <c r="F23" s="30" t="s">
        <v>28</v>
      </c>
      <c r="G23" s="30"/>
      <c r="H23" s="30" t="s">
        <v>1353</v>
      </c>
      <c r="I23" s="31">
        <f t="shared" si="6"/>
        <v>28</v>
      </c>
      <c r="J23" s="146" t="s">
        <v>1671</v>
      </c>
      <c r="K23" s="31">
        <f t="shared" si="7"/>
        <v>0</v>
      </c>
      <c r="L23" s="32">
        <f t="shared" si="8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1191</v>
      </c>
      <c r="B24" s="30" t="s">
        <v>1175</v>
      </c>
      <c r="C24" s="30" t="s">
        <v>1060</v>
      </c>
      <c r="D24" t="s">
        <v>1159</v>
      </c>
      <c r="E24" s="30" t="s">
        <v>73</v>
      </c>
      <c r="F24" s="30" t="s">
        <v>1053</v>
      </c>
      <c r="G24" s="30"/>
      <c r="H24" s="30" t="s">
        <v>1162</v>
      </c>
      <c r="I24" s="31">
        <f t="shared" si="6"/>
        <v>28</v>
      </c>
      <c r="J24" s="146" t="s">
        <v>1672</v>
      </c>
      <c r="K24" s="31">
        <f t="shared" si="7"/>
        <v>0</v>
      </c>
      <c r="L24" s="32">
        <f t="shared" si="8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1191</v>
      </c>
      <c r="B25" s="30" t="s">
        <v>1176</v>
      </c>
      <c r="C25" s="30" t="s">
        <v>1060</v>
      </c>
      <c r="D25" t="s">
        <v>1159</v>
      </c>
      <c r="E25" s="30" t="s">
        <v>73</v>
      </c>
      <c r="F25" s="30" t="s">
        <v>1053</v>
      </c>
      <c r="G25" s="30"/>
      <c r="H25" s="30" t="s">
        <v>1163</v>
      </c>
      <c r="I25" s="31">
        <f t="shared" si="6"/>
        <v>28</v>
      </c>
      <c r="J25" s="146" t="s">
        <v>1673</v>
      </c>
      <c r="K25" s="31">
        <f t="shared" si="7"/>
        <v>0</v>
      </c>
      <c r="L25" s="32">
        <f t="shared" si="8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1191</v>
      </c>
      <c r="B26" s="30" t="s">
        <v>1174</v>
      </c>
      <c r="C26" s="30" t="s">
        <v>1060</v>
      </c>
      <c r="D26" t="s">
        <v>1158</v>
      </c>
      <c r="E26" s="30" t="s">
        <v>73</v>
      </c>
      <c r="F26" s="30" t="s">
        <v>1053</v>
      </c>
      <c r="G26" s="30"/>
      <c r="H26" s="30" t="s">
        <v>1161</v>
      </c>
      <c r="I26" s="31">
        <f t="shared" si="6"/>
        <v>28</v>
      </c>
      <c r="J26" s="146" t="s">
        <v>1674</v>
      </c>
      <c r="K26" s="31">
        <f t="shared" si="7"/>
        <v>0</v>
      </c>
      <c r="L26" s="32">
        <f t="shared" si="8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1191</v>
      </c>
      <c r="B27" s="30" t="s">
        <v>1173</v>
      </c>
      <c r="C27" s="30" t="s">
        <v>1060</v>
      </c>
      <c r="D27" t="s">
        <v>1158</v>
      </c>
      <c r="E27" s="30" t="s">
        <v>73</v>
      </c>
      <c r="F27" s="30" t="s">
        <v>1053</v>
      </c>
      <c r="G27" s="30"/>
      <c r="H27" s="30" t="s">
        <v>1168</v>
      </c>
      <c r="I27" s="31">
        <f t="shared" si="6"/>
        <v>28</v>
      </c>
      <c r="J27" s="146" t="s">
        <v>1675</v>
      </c>
      <c r="K27" s="31">
        <f t="shared" si="7"/>
        <v>0</v>
      </c>
      <c r="L27" s="32">
        <f t="shared" si="8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1191</v>
      </c>
      <c r="B28" s="30" t="s">
        <v>1177</v>
      </c>
      <c r="C28" s="30" t="s">
        <v>1060</v>
      </c>
      <c r="D28" t="s">
        <v>1160</v>
      </c>
      <c r="E28" s="30" t="s">
        <v>73</v>
      </c>
      <c r="F28" s="30" t="s">
        <v>1053</v>
      </c>
      <c r="G28" s="30"/>
      <c r="H28" s="30" t="s">
        <v>1164</v>
      </c>
      <c r="I28" s="31">
        <f t="shared" si="6"/>
        <v>28</v>
      </c>
      <c r="J28" s="146" t="s">
        <v>1676</v>
      </c>
      <c r="K28" s="31">
        <f t="shared" si="7"/>
        <v>0</v>
      </c>
      <c r="L28" s="32">
        <f t="shared" si="8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1191</v>
      </c>
      <c r="B29" s="30" t="s">
        <v>1178</v>
      </c>
      <c r="C29" s="30" t="s">
        <v>1060</v>
      </c>
      <c r="D29" t="s">
        <v>1160</v>
      </c>
      <c r="E29" s="30" t="s">
        <v>73</v>
      </c>
      <c r="F29" s="30" t="s">
        <v>1053</v>
      </c>
      <c r="G29" s="30"/>
      <c r="H29" s="30" t="s">
        <v>1165</v>
      </c>
      <c r="I29" s="31">
        <f t="shared" si="6"/>
        <v>28</v>
      </c>
      <c r="J29" s="146" t="s">
        <v>1677</v>
      </c>
      <c r="K29" s="31">
        <f t="shared" si="7"/>
        <v>0</v>
      </c>
      <c r="L29" s="32">
        <f t="shared" si="8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1191</v>
      </c>
      <c r="B30" s="85" t="s">
        <v>2318</v>
      </c>
      <c r="C30" s="73" t="s">
        <v>1059</v>
      </c>
      <c r="D30" s="73" t="s">
        <v>1344</v>
      </c>
      <c r="E30" s="85" t="s">
        <v>19</v>
      </c>
      <c r="F30" s="85" t="s">
        <v>1298</v>
      </c>
      <c r="G30" s="85"/>
      <c r="H30" s="85" t="s">
        <v>1351</v>
      </c>
      <c r="I30" s="141">
        <f t="shared" si="6"/>
        <v>28</v>
      </c>
      <c r="J30" s="146" t="s">
        <v>1678</v>
      </c>
      <c r="K30" s="141">
        <f t="shared" si="7"/>
        <v>0</v>
      </c>
      <c r="L30" s="142">
        <f t="shared" si="8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thickBot="1" x14ac:dyDescent="0.3">
      <c r="A31" s="73" t="s">
        <v>1191</v>
      </c>
      <c r="B31" s="85" t="s">
        <v>2319</v>
      </c>
      <c r="C31" s="85" t="s">
        <v>1060</v>
      </c>
      <c r="D31" s="73" t="s">
        <v>1591</v>
      </c>
      <c r="E31" s="85" t="s">
        <v>19</v>
      </c>
      <c r="F31" s="85" t="s">
        <v>1298</v>
      </c>
      <c r="G31" s="85"/>
      <c r="H31" s="85" t="s">
        <v>1592</v>
      </c>
      <c r="I31" s="141">
        <f t="shared" si="6"/>
        <v>28</v>
      </c>
      <c r="J31" s="87" t="s">
        <v>2150</v>
      </c>
      <c r="K31" s="141">
        <f t="shared" si="7"/>
        <v>0</v>
      </c>
      <c r="L31" s="142">
        <f t="shared" si="8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thickBot="1" x14ac:dyDescent="0.3">
      <c r="A32" s="73" t="s">
        <v>1191</v>
      </c>
      <c r="B32" s="85" t="s">
        <v>2320</v>
      </c>
      <c r="C32" s="85" t="s">
        <v>1060</v>
      </c>
      <c r="D32" s="73" t="s">
        <v>1595</v>
      </c>
      <c r="E32" s="85" t="s">
        <v>73</v>
      </c>
      <c r="F32" s="85" t="s">
        <v>1298</v>
      </c>
      <c r="G32" s="85"/>
      <c r="H32" s="85" t="s">
        <v>1593</v>
      </c>
      <c r="I32" s="141">
        <f t="shared" si="6"/>
        <v>28</v>
      </c>
      <c r="J32" s="87" t="s">
        <v>2151</v>
      </c>
      <c r="K32" s="141">
        <f t="shared" si="7"/>
        <v>0</v>
      </c>
      <c r="L32" s="142">
        <f t="shared" si="8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thickBot="1" x14ac:dyDescent="0.3">
      <c r="A33" s="73" t="s">
        <v>1191</v>
      </c>
      <c r="B33" s="85" t="s">
        <v>2321</v>
      </c>
      <c r="C33" s="85" t="s">
        <v>1060</v>
      </c>
      <c r="D33" s="73" t="s">
        <v>1595</v>
      </c>
      <c r="E33" s="85" t="s">
        <v>73</v>
      </c>
      <c r="F33" s="85" t="s">
        <v>1298</v>
      </c>
      <c r="G33" s="85"/>
      <c r="H33" s="85" t="s">
        <v>1594</v>
      </c>
      <c r="I33" s="141">
        <f t="shared" si="6"/>
        <v>28</v>
      </c>
      <c r="J33" s="87" t="s">
        <v>2152</v>
      </c>
      <c r="K33" s="141">
        <f t="shared" si="7"/>
        <v>0</v>
      </c>
      <c r="L33" s="142">
        <f t="shared" si="8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thickBot="1" x14ac:dyDescent="0.3">
      <c r="A34" s="73" t="s">
        <v>1191</v>
      </c>
      <c r="B34" s="85" t="s">
        <v>2322</v>
      </c>
      <c r="C34" s="85" t="s">
        <v>1060</v>
      </c>
      <c r="D34" s="73" t="s">
        <v>2301</v>
      </c>
      <c r="E34" s="85" t="s">
        <v>19</v>
      </c>
      <c r="F34" s="85" t="s">
        <v>1298</v>
      </c>
      <c r="G34" s="85"/>
      <c r="H34" s="85" t="s">
        <v>2302</v>
      </c>
      <c r="I34" s="141">
        <f t="shared" si="6"/>
        <v>28</v>
      </c>
      <c r="J34" s="151" t="s">
        <v>2303</v>
      </c>
      <c r="K34" s="141">
        <f t="shared" si="7"/>
        <v>0</v>
      </c>
      <c r="L34" s="142">
        <f t="shared" si="8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thickBot="1" x14ac:dyDescent="0.3">
      <c r="A35" s="131" t="s">
        <v>2148</v>
      </c>
      <c r="B35" s="132" t="s">
        <v>1345</v>
      </c>
      <c r="C35" s="131" t="s">
        <v>1060</v>
      </c>
      <c r="D35" s="131" t="s">
        <v>1346</v>
      </c>
      <c r="E35" s="132" t="s">
        <v>19</v>
      </c>
      <c r="F35" s="132" t="s">
        <v>28</v>
      </c>
      <c r="G35" s="132"/>
      <c r="H35" s="132" t="s">
        <v>1441</v>
      </c>
      <c r="I35" s="133">
        <f t="shared" si="6"/>
        <v>28</v>
      </c>
      <c r="J35" s="146" t="s">
        <v>1679</v>
      </c>
      <c r="K35" s="133">
        <f t="shared" si="7"/>
        <v>0</v>
      </c>
      <c r="L35" s="134">
        <f t="shared" si="8"/>
        <v>1</v>
      </c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</row>
    <row r="36" spans="1:43" s="73" customFormat="1" ht="15.75" thickBot="1" x14ac:dyDescent="0.3">
      <c r="A36" s="73" t="s">
        <v>2148</v>
      </c>
      <c r="B36" s="85" t="s">
        <v>1395</v>
      </c>
      <c r="C36" s="73" t="s">
        <v>1060</v>
      </c>
      <c r="D36" s="73" t="s">
        <v>1396</v>
      </c>
      <c r="E36" s="85" t="s">
        <v>19</v>
      </c>
      <c r="F36" s="85" t="s">
        <v>1298</v>
      </c>
      <c r="G36" s="85"/>
      <c r="H36" s="85" t="s">
        <v>1397</v>
      </c>
      <c r="I36" s="141">
        <f t="shared" si="6"/>
        <v>25</v>
      </c>
      <c r="J36" s="87" t="s">
        <v>2153</v>
      </c>
      <c r="K36" s="141">
        <f t="shared" si="7"/>
        <v>3</v>
      </c>
      <c r="L36" s="142">
        <f t="shared" si="8"/>
        <v>0.8928571428571429</v>
      </c>
      <c r="M36" s="70" t="s">
        <v>2278</v>
      </c>
      <c r="N36" s="70" t="s">
        <v>2278</v>
      </c>
      <c r="O36" s="70" t="s">
        <v>2278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153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thickBot="1" x14ac:dyDescent="0.3">
      <c r="A37" s="73" t="s">
        <v>2148</v>
      </c>
      <c r="B37" s="85" t="s">
        <v>2144</v>
      </c>
      <c r="C37" s="73" t="s">
        <v>1060</v>
      </c>
      <c r="D37" s="73" t="s">
        <v>2145</v>
      </c>
      <c r="E37" s="85" t="s">
        <v>19</v>
      </c>
      <c r="F37" s="85" t="s">
        <v>1298</v>
      </c>
      <c r="G37" s="85"/>
      <c r="H37" s="85" t="s">
        <v>2146</v>
      </c>
      <c r="I37" s="141">
        <f t="shared" si="6"/>
        <v>25</v>
      </c>
      <c r="J37" s="87" t="s">
        <v>2147</v>
      </c>
      <c r="K37" s="141">
        <f t="shared" si="7"/>
        <v>3</v>
      </c>
      <c r="L37" s="142">
        <f t="shared" si="8"/>
        <v>0.8928571428571429</v>
      </c>
      <c r="M37" s="70" t="s">
        <v>2278</v>
      </c>
      <c r="N37" s="70" t="s">
        <v>2278</v>
      </c>
      <c r="O37" s="70" t="s">
        <v>2278</v>
      </c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s="73" customFormat="1" ht="15.75" thickBot="1" x14ac:dyDescent="0.3">
      <c r="A38" s="73" t="s">
        <v>1191</v>
      </c>
      <c r="B38" s="85" t="s">
        <v>1505</v>
      </c>
      <c r="C38" s="73" t="s">
        <v>1060</v>
      </c>
      <c r="D38" s="73" t="s">
        <v>1506</v>
      </c>
      <c r="E38" s="85" t="s">
        <v>19</v>
      </c>
      <c r="F38" s="85" t="s">
        <v>1298</v>
      </c>
      <c r="G38" s="85"/>
      <c r="H38" s="85" t="s">
        <v>1507</v>
      </c>
      <c r="I38" s="141">
        <f t="shared" si="6"/>
        <v>28</v>
      </c>
      <c r="J38" s="87" t="s">
        <v>2154</v>
      </c>
      <c r="K38" s="141">
        <f t="shared" si="7"/>
        <v>0</v>
      </c>
      <c r="L38" s="142">
        <f t="shared" si="8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1453</v>
      </c>
      <c r="B39" s="30" t="s">
        <v>1452</v>
      </c>
      <c r="C39" t="s">
        <v>1060</v>
      </c>
      <c r="D39" t="s">
        <v>1451</v>
      </c>
      <c r="E39" s="30" t="s">
        <v>73</v>
      </c>
      <c r="F39" s="30" t="s">
        <v>28</v>
      </c>
      <c r="G39" s="30"/>
      <c r="H39" s="85" t="s">
        <v>1455</v>
      </c>
      <c r="I39" s="31">
        <f t="shared" si="6"/>
        <v>25</v>
      </c>
      <c r="J39" s="146" t="s">
        <v>1680</v>
      </c>
      <c r="K39" s="31">
        <f t="shared" si="7"/>
        <v>3</v>
      </c>
      <c r="L39" s="32">
        <f t="shared" si="8"/>
        <v>0.8928571428571429</v>
      </c>
      <c r="M39" s="70" t="s">
        <v>2278</v>
      </c>
      <c r="N39" s="70" t="s">
        <v>2278</v>
      </c>
      <c r="O39" s="70" t="s">
        <v>2278</v>
      </c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1453</v>
      </c>
      <c r="B40" s="30" t="s">
        <v>1454</v>
      </c>
      <c r="C40" t="s">
        <v>1060</v>
      </c>
      <c r="D40" t="s">
        <v>1451</v>
      </c>
      <c r="E40" s="30" t="s">
        <v>73</v>
      </c>
      <c r="F40" s="30" t="s">
        <v>28</v>
      </c>
      <c r="G40" s="30"/>
      <c r="H40" s="85" t="s">
        <v>1456</v>
      </c>
      <c r="I40" s="31">
        <f t="shared" si="6"/>
        <v>25</v>
      </c>
      <c r="J40" s="146" t="s">
        <v>1681</v>
      </c>
      <c r="K40" s="31">
        <f t="shared" si="7"/>
        <v>3</v>
      </c>
      <c r="L40" s="32">
        <f t="shared" si="8"/>
        <v>0.8928571428571429</v>
      </c>
      <c r="M40" s="70" t="s">
        <v>2278</v>
      </c>
      <c r="N40" s="70" t="s">
        <v>2278</v>
      </c>
      <c r="O40" s="70" t="s">
        <v>2278</v>
      </c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1453</v>
      </c>
      <c r="B41" s="30" t="s">
        <v>1629</v>
      </c>
      <c r="C41" t="s">
        <v>1060</v>
      </c>
      <c r="D41" t="s">
        <v>1631</v>
      </c>
      <c r="E41" s="30" t="s">
        <v>73</v>
      </c>
      <c r="F41" s="30" t="s">
        <v>28</v>
      </c>
      <c r="G41" s="30"/>
      <c r="H41" s="85" t="s">
        <v>1632</v>
      </c>
      <c r="I41" s="31">
        <f t="shared" si="6"/>
        <v>28</v>
      </c>
      <c r="J41" s="87" t="s">
        <v>2155</v>
      </c>
      <c r="K41" s="31">
        <f t="shared" si="7"/>
        <v>0</v>
      </c>
      <c r="L41" s="32">
        <f t="shared" si="8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1453</v>
      </c>
      <c r="B42" s="30" t="s">
        <v>1630</v>
      </c>
      <c r="C42" t="s">
        <v>1060</v>
      </c>
      <c r="D42" t="s">
        <v>1631</v>
      </c>
      <c r="E42" s="30" t="s">
        <v>73</v>
      </c>
      <c r="F42" s="30" t="s">
        <v>28</v>
      </c>
      <c r="G42" s="30"/>
      <c r="H42" s="85" t="s">
        <v>1633</v>
      </c>
      <c r="I42" s="31">
        <f t="shared" si="6"/>
        <v>28</v>
      </c>
      <c r="J42" s="87" t="s">
        <v>2180</v>
      </c>
      <c r="K42" s="31">
        <f t="shared" si="7"/>
        <v>0</v>
      </c>
      <c r="L42" s="32">
        <f t="shared" si="8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1453</v>
      </c>
      <c r="B43" s="30" t="s">
        <v>1637</v>
      </c>
      <c r="C43" t="s">
        <v>1060</v>
      </c>
      <c r="D43" t="s">
        <v>1631</v>
      </c>
      <c r="E43" s="30" t="s">
        <v>19</v>
      </c>
      <c r="F43" s="30" t="s">
        <v>28</v>
      </c>
      <c r="G43" s="30"/>
      <c r="H43" s="85" t="s">
        <v>1635</v>
      </c>
      <c r="I43" s="31">
        <f t="shared" si="6"/>
        <v>28</v>
      </c>
      <c r="J43" s="87" t="s">
        <v>2181</v>
      </c>
      <c r="K43" s="31">
        <f t="shared" si="7"/>
        <v>0</v>
      </c>
      <c r="L43" s="32">
        <f t="shared" si="8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1453</v>
      </c>
      <c r="B44" s="30" t="s">
        <v>1638</v>
      </c>
      <c r="C44" t="s">
        <v>1060</v>
      </c>
      <c r="D44" t="s">
        <v>1639</v>
      </c>
      <c r="E44" s="30" t="s">
        <v>19</v>
      </c>
      <c r="F44" s="30" t="s">
        <v>28</v>
      </c>
      <c r="G44" s="30"/>
      <c r="H44" s="85" t="s">
        <v>1640</v>
      </c>
      <c r="I44" s="31">
        <f t="shared" si="6"/>
        <v>25</v>
      </c>
      <c r="J44" s="87" t="s">
        <v>2182</v>
      </c>
      <c r="K44" s="31">
        <f t="shared" si="7"/>
        <v>3</v>
      </c>
      <c r="L44" s="32">
        <f t="shared" si="8"/>
        <v>0.8928571428571429</v>
      </c>
      <c r="M44" s="70" t="s">
        <v>2278</v>
      </c>
      <c r="N44" s="70" t="s">
        <v>2278</v>
      </c>
      <c r="O44" s="70" t="s">
        <v>2278</v>
      </c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1453</v>
      </c>
      <c r="B45" s="30" t="s">
        <v>2235</v>
      </c>
      <c r="C45" t="s">
        <v>1060</v>
      </c>
      <c r="D45" t="s">
        <v>2240</v>
      </c>
      <c r="E45" s="30" t="s">
        <v>73</v>
      </c>
      <c r="F45" s="30" t="s">
        <v>28</v>
      </c>
      <c r="G45" s="30"/>
      <c r="H45" s="85" t="s">
        <v>2236</v>
      </c>
      <c r="I45" s="31">
        <f t="shared" si="6"/>
        <v>28</v>
      </c>
      <c r="J45" s="151" t="s">
        <v>2237</v>
      </c>
      <c r="K45" s="31">
        <f t="shared" si="7"/>
        <v>0</v>
      </c>
      <c r="L45" s="32">
        <f t="shared" si="8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1453</v>
      </c>
      <c r="B46" s="30" t="s">
        <v>2238</v>
      </c>
      <c r="C46" t="s">
        <v>1060</v>
      </c>
      <c r="D46" t="s">
        <v>2239</v>
      </c>
      <c r="E46" s="30" t="s">
        <v>73</v>
      </c>
      <c r="F46" s="30" t="s">
        <v>28</v>
      </c>
      <c r="G46" s="30"/>
      <c r="H46" s="85" t="s">
        <v>2241</v>
      </c>
      <c r="I46" s="31">
        <f t="shared" si="6"/>
        <v>28</v>
      </c>
      <c r="J46" s="151" t="s">
        <v>2242</v>
      </c>
      <c r="K46" s="31">
        <f t="shared" si="7"/>
        <v>0</v>
      </c>
      <c r="L46" s="32">
        <f t="shared" si="8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71</v>
      </c>
      <c r="C47" t="s">
        <v>1059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6"/>
        <v>28</v>
      </c>
      <c r="J47" s="146" t="s">
        <v>1682</v>
      </c>
      <c r="K47" s="31">
        <f t="shared" si="7"/>
        <v>0</v>
      </c>
      <c r="L47" s="32">
        <f t="shared" si="8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74</v>
      </c>
      <c r="C48" t="s">
        <v>1059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6"/>
        <v>28</v>
      </c>
      <c r="J48" s="146" t="s">
        <v>1683</v>
      </c>
      <c r="K48" s="31">
        <f t="shared" si="7"/>
        <v>0</v>
      </c>
      <c r="L48" s="32">
        <f t="shared" si="8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76</v>
      </c>
      <c r="C49" t="s">
        <v>1059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6"/>
        <v>28</v>
      </c>
      <c r="J49" s="146" t="s">
        <v>1684</v>
      </c>
      <c r="K49" s="31">
        <f t="shared" si="7"/>
        <v>0</v>
      </c>
      <c r="L49" s="32">
        <f t="shared" si="8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78</v>
      </c>
      <c r="C50" t="s">
        <v>1059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6"/>
        <v>28</v>
      </c>
      <c r="J50" s="146" t="s">
        <v>1685</v>
      </c>
      <c r="K50" s="31">
        <f t="shared" si="7"/>
        <v>0</v>
      </c>
      <c r="L50" s="32">
        <f t="shared" si="8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920</v>
      </c>
      <c r="C51" t="s">
        <v>1059</v>
      </c>
      <c r="D51" t="s">
        <v>1078</v>
      </c>
      <c r="E51" s="30" t="s">
        <v>15</v>
      </c>
      <c r="F51" s="30" t="s">
        <v>28</v>
      </c>
      <c r="G51" s="30"/>
      <c r="H51" s="30" t="s">
        <v>625</v>
      </c>
      <c r="I51" s="31">
        <f t="shared" si="6"/>
        <v>28</v>
      </c>
      <c r="J51" s="146" t="s">
        <v>1686</v>
      </c>
      <c r="K51" s="31">
        <f t="shared" si="7"/>
        <v>0</v>
      </c>
      <c r="L51" s="32">
        <f t="shared" si="8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80</v>
      </c>
      <c r="C52" t="s">
        <v>1059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6"/>
        <v>26</v>
      </c>
      <c r="J52" s="146"/>
      <c r="K52" s="31">
        <f t="shared" si="7"/>
        <v>2</v>
      </c>
      <c r="L52" s="32">
        <f t="shared" si="8"/>
        <v>0.9285714285714286</v>
      </c>
      <c r="M52" s="70"/>
      <c r="N52" s="70" t="s">
        <v>2278</v>
      </c>
      <c r="O52" s="70" t="s">
        <v>2278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82</v>
      </c>
      <c r="C53" t="s">
        <v>1059</v>
      </c>
      <c r="D53" t="s">
        <v>1074</v>
      </c>
      <c r="E53" s="30" t="s">
        <v>15</v>
      </c>
      <c r="F53" s="30" t="s">
        <v>28</v>
      </c>
      <c r="G53" s="30"/>
      <c r="H53" s="30" t="s">
        <v>627</v>
      </c>
      <c r="I53" s="31">
        <f t="shared" si="6"/>
        <v>28</v>
      </c>
      <c r="J53" s="146" t="s">
        <v>1687</v>
      </c>
      <c r="K53" s="31">
        <f t="shared" si="7"/>
        <v>0</v>
      </c>
      <c r="L53" s="32">
        <f t="shared" si="8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83</v>
      </c>
      <c r="C54" t="s">
        <v>1059</v>
      </c>
      <c r="D54" t="s">
        <v>1073</v>
      </c>
      <c r="E54" s="30" t="s">
        <v>19</v>
      </c>
      <c r="F54" s="30" t="s">
        <v>28</v>
      </c>
      <c r="G54" s="30"/>
      <c r="H54" s="30" t="s">
        <v>628</v>
      </c>
      <c r="I54" s="31">
        <f t="shared" si="6"/>
        <v>28</v>
      </c>
      <c r="J54" s="146" t="s">
        <v>1688</v>
      </c>
      <c r="K54" s="31">
        <f t="shared" si="7"/>
        <v>0</v>
      </c>
      <c r="L54" s="32">
        <f t="shared" si="8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84</v>
      </c>
      <c r="C55" t="s">
        <v>1059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6"/>
        <v>28</v>
      </c>
      <c r="J55" s="146" t="s">
        <v>1689</v>
      </c>
      <c r="K55" s="31">
        <f t="shared" si="7"/>
        <v>0</v>
      </c>
      <c r="L55" s="32">
        <f t="shared" si="8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86</v>
      </c>
      <c r="C56" t="s">
        <v>1059</v>
      </c>
      <c r="D56" t="s">
        <v>1072</v>
      </c>
      <c r="E56" s="30" t="s">
        <v>19</v>
      </c>
      <c r="F56" s="30" t="s">
        <v>28</v>
      </c>
      <c r="G56" s="30"/>
      <c r="H56" s="30" t="s">
        <v>630</v>
      </c>
      <c r="I56" s="31">
        <f t="shared" si="6"/>
        <v>28</v>
      </c>
      <c r="J56" s="146" t="s">
        <v>1690</v>
      </c>
      <c r="K56" s="31">
        <f t="shared" si="7"/>
        <v>0</v>
      </c>
      <c r="L56" s="32">
        <f t="shared" si="8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87</v>
      </c>
      <c r="C57" t="s">
        <v>1059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6"/>
        <v>28</v>
      </c>
      <c r="J57" s="146" t="s">
        <v>1691</v>
      </c>
      <c r="K57" s="31">
        <f t="shared" si="7"/>
        <v>0</v>
      </c>
      <c r="L57" s="32">
        <f t="shared" si="8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52</v>
      </c>
      <c r="B58" t="s">
        <v>921</v>
      </c>
      <c r="C58" t="s">
        <v>1059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6"/>
        <v>28</v>
      </c>
      <c r="J58" s="146" t="s">
        <v>1692</v>
      </c>
      <c r="K58" s="31">
        <f t="shared" si="7"/>
        <v>0</v>
      </c>
      <c r="L58" s="32">
        <f t="shared" si="8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52</v>
      </c>
      <c r="B59" s="73" t="s">
        <v>922</v>
      </c>
      <c r="C59" s="73" t="s">
        <v>1059</v>
      </c>
      <c r="D59" s="73" t="s">
        <v>90</v>
      </c>
      <c r="E59" s="85" t="s">
        <v>15</v>
      </c>
      <c r="F59" s="85" t="s">
        <v>1298</v>
      </c>
      <c r="G59" s="85"/>
      <c r="H59" s="85" t="s">
        <v>633</v>
      </c>
      <c r="I59" s="141">
        <f t="shared" si="6"/>
        <v>28</v>
      </c>
      <c r="J59" s="146" t="s">
        <v>1693</v>
      </c>
      <c r="K59" s="141">
        <f t="shared" si="7"/>
        <v>0</v>
      </c>
      <c r="L59" s="142">
        <f t="shared" si="8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91</v>
      </c>
      <c r="C60" t="s">
        <v>1059</v>
      </c>
      <c r="D60" t="s">
        <v>1076</v>
      </c>
      <c r="E60" s="30" t="s">
        <v>19</v>
      </c>
      <c r="F60" s="30" t="s">
        <v>28</v>
      </c>
      <c r="G60" s="30"/>
      <c r="H60" s="30" t="s">
        <v>634</v>
      </c>
      <c r="I60" s="31">
        <f t="shared" si="6"/>
        <v>28</v>
      </c>
      <c r="J60" s="146" t="s">
        <v>1694</v>
      </c>
      <c r="K60" s="31">
        <f t="shared" si="7"/>
        <v>0</v>
      </c>
      <c r="L60" s="32">
        <f t="shared" si="8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52</v>
      </c>
      <c r="B61" s="73" t="s">
        <v>92</v>
      </c>
      <c r="C61" s="73" t="s">
        <v>1059</v>
      </c>
      <c r="D61" s="73" t="s">
        <v>93</v>
      </c>
      <c r="E61" s="85" t="s">
        <v>19</v>
      </c>
      <c r="F61" s="85" t="s">
        <v>1298</v>
      </c>
      <c r="G61" s="85"/>
      <c r="H61" s="85" t="s">
        <v>635</v>
      </c>
      <c r="I61" s="141">
        <f t="shared" si="6"/>
        <v>25</v>
      </c>
      <c r="J61" s="146" t="s">
        <v>1695</v>
      </c>
      <c r="K61" s="141">
        <f t="shared" si="7"/>
        <v>3</v>
      </c>
      <c r="L61" s="142">
        <f t="shared" si="8"/>
        <v>0.8928571428571429</v>
      </c>
      <c r="M61" s="70" t="s">
        <v>2278</v>
      </c>
      <c r="N61" s="70" t="s">
        <v>2278</v>
      </c>
      <c r="O61" s="70" t="s">
        <v>2278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94</v>
      </c>
      <c r="C62" t="s">
        <v>1059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6"/>
        <v>28</v>
      </c>
      <c r="J62" s="146" t="s">
        <v>1696</v>
      </c>
      <c r="K62" s="31">
        <f t="shared" si="7"/>
        <v>0</v>
      </c>
      <c r="L62" s="32">
        <f t="shared" si="8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96</v>
      </c>
      <c r="C63" t="s">
        <v>1059</v>
      </c>
      <c r="D63" t="s">
        <v>97</v>
      </c>
      <c r="E63" s="30" t="s">
        <v>19</v>
      </c>
      <c r="F63" s="30" t="s">
        <v>1053</v>
      </c>
      <c r="G63" s="30" t="s">
        <v>1249</v>
      </c>
      <c r="H63" s="30" t="s">
        <v>637</v>
      </c>
      <c r="I63" s="31">
        <f t="shared" si="6"/>
        <v>28</v>
      </c>
      <c r="J63" s="146" t="s">
        <v>1697</v>
      </c>
      <c r="K63" s="31">
        <f t="shared" si="7"/>
        <v>0</v>
      </c>
      <c r="L63" s="32">
        <f t="shared" si="8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98</v>
      </c>
      <c r="C64" t="s">
        <v>1059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6"/>
        <v>28</v>
      </c>
      <c r="J64" s="146" t="s">
        <v>1698</v>
      </c>
      <c r="K64" s="31">
        <f t="shared" si="7"/>
        <v>0</v>
      </c>
      <c r="L64" s="32">
        <f t="shared" si="8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52</v>
      </c>
      <c r="B65" t="s">
        <v>100</v>
      </c>
      <c r="C65" t="s">
        <v>1059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6"/>
        <v>28</v>
      </c>
      <c r="J65" s="146" t="s">
        <v>1699</v>
      </c>
      <c r="K65" s="31">
        <f t="shared" si="7"/>
        <v>0</v>
      </c>
      <c r="L65" s="32">
        <f t="shared" si="8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101</v>
      </c>
      <c r="B66" s="73" t="s">
        <v>102</v>
      </c>
      <c r="C66" s="73" t="s">
        <v>1059</v>
      </c>
      <c r="D66" s="73" t="s">
        <v>103</v>
      </c>
      <c r="E66" s="85" t="s">
        <v>19</v>
      </c>
      <c r="F66" s="85" t="s">
        <v>1298</v>
      </c>
      <c r="G66" s="85"/>
      <c r="H66" s="85" t="s">
        <v>640</v>
      </c>
      <c r="I66" s="141">
        <f t="shared" si="6"/>
        <v>28</v>
      </c>
      <c r="J66" s="146" t="s">
        <v>1700</v>
      </c>
      <c r="K66" s="141">
        <f t="shared" si="7"/>
        <v>0</v>
      </c>
      <c r="L66" s="142">
        <f t="shared" si="8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thickBot="1" x14ac:dyDescent="0.3">
      <c r="A67" s="90" t="s">
        <v>52</v>
      </c>
      <c r="B67" s="90" t="s">
        <v>104</v>
      </c>
      <c r="C67" s="90" t="s">
        <v>1059</v>
      </c>
      <c r="D67" s="90" t="s">
        <v>105</v>
      </c>
      <c r="E67" s="91" t="s">
        <v>73</v>
      </c>
      <c r="F67" s="85" t="s">
        <v>1298</v>
      </c>
      <c r="G67" s="91"/>
      <c r="H67" s="91" t="s">
        <v>2317</v>
      </c>
      <c r="I67" s="31">
        <f t="shared" si="6"/>
        <v>28</v>
      </c>
      <c r="J67" s="87"/>
      <c r="K67" s="31">
        <f t="shared" si="7"/>
        <v>0</v>
      </c>
      <c r="L67" s="32">
        <f t="shared" si="8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thickBot="1" x14ac:dyDescent="0.3">
      <c r="A68" s="73" t="s">
        <v>52</v>
      </c>
      <c r="B68" s="73" t="s">
        <v>106</v>
      </c>
      <c r="C68" s="73" t="s">
        <v>1059</v>
      </c>
      <c r="D68" s="73" t="s">
        <v>107</v>
      </c>
      <c r="E68" s="85" t="s">
        <v>19</v>
      </c>
      <c r="F68" s="85" t="s">
        <v>1298</v>
      </c>
      <c r="G68" s="85"/>
      <c r="H68" s="85" t="s">
        <v>1372</v>
      </c>
      <c r="I68" s="141">
        <f t="shared" si="6"/>
        <v>28</v>
      </c>
      <c r="J68" s="146" t="s">
        <v>1701</v>
      </c>
      <c r="K68" s="141">
        <f t="shared" si="7"/>
        <v>0</v>
      </c>
      <c r="L68" s="142">
        <f t="shared" si="8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108</v>
      </c>
      <c r="C69" t="s">
        <v>1059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6"/>
        <v>28</v>
      </c>
      <c r="J69" s="146" t="s">
        <v>1702</v>
      </c>
      <c r="K69" s="31">
        <f t="shared" si="7"/>
        <v>0</v>
      </c>
      <c r="L69" s="32">
        <f t="shared" si="8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110</v>
      </c>
      <c r="C70" t="s">
        <v>1059</v>
      </c>
      <c r="D70" t="s">
        <v>1077</v>
      </c>
      <c r="E70" s="30" t="s">
        <v>19</v>
      </c>
      <c r="F70" s="30" t="s">
        <v>28</v>
      </c>
      <c r="G70" s="30"/>
      <c r="H70" s="30" t="s">
        <v>1437</v>
      </c>
      <c r="I70" s="31">
        <f t="shared" si="6"/>
        <v>28</v>
      </c>
      <c r="J70" s="146" t="s">
        <v>1703</v>
      </c>
      <c r="K70" s="31">
        <f t="shared" si="7"/>
        <v>0</v>
      </c>
      <c r="L70" s="32">
        <f t="shared" si="8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111</v>
      </c>
      <c r="C71" t="s">
        <v>1059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6"/>
        <v>28</v>
      </c>
      <c r="J71" s="146" t="s">
        <v>1704</v>
      </c>
      <c r="K71" s="31">
        <f t="shared" si="7"/>
        <v>0</v>
      </c>
      <c r="L71" s="32">
        <f t="shared" si="8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113</v>
      </c>
      <c r="C72" t="s">
        <v>1059</v>
      </c>
      <c r="D72" t="s">
        <v>1079</v>
      </c>
      <c r="E72" s="30" t="s">
        <v>19</v>
      </c>
      <c r="F72" s="30" t="s">
        <v>28</v>
      </c>
      <c r="G72" s="30"/>
      <c r="H72" s="30" t="s">
        <v>1146</v>
      </c>
      <c r="I72" s="31">
        <f t="shared" si="6"/>
        <v>28</v>
      </c>
      <c r="J72" s="146" t="s">
        <v>1705</v>
      </c>
      <c r="K72" s="31">
        <f t="shared" si="7"/>
        <v>0</v>
      </c>
      <c r="L72" s="32">
        <f t="shared" si="8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114</v>
      </c>
      <c r="C73" t="s">
        <v>1059</v>
      </c>
      <c r="D73" t="s">
        <v>1080</v>
      </c>
      <c r="E73" s="30" t="s">
        <v>19</v>
      </c>
      <c r="F73" s="30" t="s">
        <v>28</v>
      </c>
      <c r="G73" s="30"/>
      <c r="H73" s="30" t="s">
        <v>1475</v>
      </c>
      <c r="I73" s="31">
        <f t="shared" si="6"/>
        <v>28</v>
      </c>
      <c r="J73" s="146" t="s">
        <v>1706</v>
      </c>
      <c r="K73" s="31">
        <f t="shared" si="7"/>
        <v>0</v>
      </c>
      <c r="L73" s="32">
        <f t="shared" si="8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115</v>
      </c>
      <c r="C74" t="s">
        <v>1059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6"/>
        <v>28</v>
      </c>
      <c r="J74" s="146" t="s">
        <v>1707</v>
      </c>
      <c r="K74" s="31">
        <f t="shared" si="7"/>
        <v>0</v>
      </c>
      <c r="L74" s="32">
        <f t="shared" si="8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117</v>
      </c>
      <c r="C75" t="s">
        <v>1059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6"/>
        <v>28</v>
      </c>
      <c r="J75" s="146" t="s">
        <v>1708</v>
      </c>
      <c r="K75" s="31">
        <f t="shared" si="7"/>
        <v>0</v>
      </c>
      <c r="L75" s="32">
        <f t="shared" si="8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119</v>
      </c>
      <c r="C76" t="s">
        <v>1059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6"/>
        <v>28</v>
      </c>
      <c r="J76" s="146" t="s">
        <v>1709</v>
      </c>
      <c r="K76" s="31">
        <f t="shared" si="7"/>
        <v>0</v>
      </c>
      <c r="L76" s="32">
        <f t="shared" si="8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121</v>
      </c>
      <c r="C77" t="s">
        <v>1059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6"/>
        <v>28</v>
      </c>
      <c r="J77" s="146" t="s">
        <v>1710</v>
      </c>
      <c r="K77" s="31">
        <f t="shared" si="7"/>
        <v>0</v>
      </c>
      <c r="L77" s="32">
        <f t="shared" si="8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123</v>
      </c>
      <c r="C78" t="s">
        <v>1059</v>
      </c>
      <c r="D78" t="s">
        <v>1081</v>
      </c>
      <c r="E78" s="30" t="s">
        <v>19</v>
      </c>
      <c r="F78" s="30" t="s">
        <v>28</v>
      </c>
      <c r="G78" s="30"/>
      <c r="H78" s="30" t="s">
        <v>647</v>
      </c>
      <c r="I78" s="31">
        <f t="shared" si="6"/>
        <v>28</v>
      </c>
      <c r="J78" s="146" t="s">
        <v>1711</v>
      </c>
      <c r="K78" s="31">
        <f t="shared" si="7"/>
        <v>0</v>
      </c>
      <c r="L78" s="32">
        <f t="shared" si="8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124</v>
      </c>
      <c r="C79" t="s">
        <v>1059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6"/>
        <v>28</v>
      </c>
      <c r="J79" s="146" t="s">
        <v>1712</v>
      </c>
      <c r="K79" s="31">
        <f t="shared" si="7"/>
        <v>0</v>
      </c>
      <c r="L79" s="32">
        <f t="shared" si="8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126</v>
      </c>
      <c r="C80" t="s">
        <v>1059</v>
      </c>
      <c r="D80" t="s">
        <v>1062</v>
      </c>
      <c r="E80" s="30" t="s">
        <v>19</v>
      </c>
      <c r="F80" s="30" t="s">
        <v>28</v>
      </c>
      <c r="G80" s="30"/>
      <c r="H80" s="30" t="s">
        <v>649</v>
      </c>
      <c r="I80" s="31">
        <f t="shared" si="6"/>
        <v>28</v>
      </c>
      <c r="J80" s="146" t="s">
        <v>1713</v>
      </c>
      <c r="K80" s="31">
        <f t="shared" si="7"/>
        <v>0</v>
      </c>
      <c r="L80" s="32">
        <f t="shared" si="8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127</v>
      </c>
      <c r="C81" t="s">
        <v>1059</v>
      </c>
      <c r="D81" t="s">
        <v>1063</v>
      </c>
      <c r="E81" s="30" t="s">
        <v>19</v>
      </c>
      <c r="F81" s="30" t="s">
        <v>28</v>
      </c>
      <c r="G81" s="30"/>
      <c r="H81" s="30" t="s">
        <v>650</v>
      </c>
      <c r="I81" s="31">
        <f t="shared" si="6"/>
        <v>28</v>
      </c>
      <c r="J81" s="146" t="s">
        <v>1714</v>
      </c>
      <c r="K81" s="31">
        <f t="shared" si="7"/>
        <v>0</v>
      </c>
      <c r="L81" s="32">
        <f t="shared" si="8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128</v>
      </c>
      <c r="C82" t="s">
        <v>1059</v>
      </c>
      <c r="D82" t="s">
        <v>1064</v>
      </c>
      <c r="E82" s="30" t="s">
        <v>19</v>
      </c>
      <c r="F82" s="30" t="s">
        <v>28</v>
      </c>
      <c r="G82" s="30"/>
      <c r="H82" s="30" t="s">
        <v>651</v>
      </c>
      <c r="I82" s="31">
        <f t="shared" si="6"/>
        <v>28</v>
      </c>
      <c r="J82" s="146" t="s">
        <v>1715</v>
      </c>
      <c r="K82" s="31">
        <f t="shared" si="7"/>
        <v>0</v>
      </c>
      <c r="L82" s="32">
        <f t="shared" si="8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923</v>
      </c>
      <c r="C83" t="s">
        <v>1059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6"/>
        <v>28</v>
      </c>
      <c r="J83" s="146" t="s">
        <v>1716</v>
      </c>
      <c r="K83" s="31">
        <f t="shared" si="7"/>
        <v>0</v>
      </c>
      <c r="L83" s="32">
        <f t="shared" si="8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130</v>
      </c>
      <c r="C84" t="s">
        <v>1059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6"/>
        <v>28</v>
      </c>
      <c r="J84" s="146" t="s">
        <v>1717</v>
      </c>
      <c r="K84" s="31">
        <f t="shared" si="7"/>
        <v>0</v>
      </c>
      <c r="L84" s="32">
        <f t="shared" si="8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132</v>
      </c>
      <c r="C85" t="s">
        <v>1059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6"/>
        <v>28</v>
      </c>
      <c r="J85" s="146" t="s">
        <v>1718</v>
      </c>
      <c r="K85" s="31">
        <f t="shared" si="7"/>
        <v>0</v>
      </c>
      <c r="L85" s="32">
        <f t="shared" si="8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134</v>
      </c>
      <c r="C86" t="s">
        <v>1059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6"/>
        <v>28</v>
      </c>
      <c r="J86" s="146" t="s">
        <v>1719</v>
      </c>
      <c r="K86" s="31">
        <f t="shared" si="7"/>
        <v>0</v>
      </c>
      <c r="L86" s="32">
        <f t="shared" si="8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136</v>
      </c>
      <c r="C87" t="s">
        <v>1059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9">COUNTIF(M87:AN87,"")</f>
        <v>28</v>
      </c>
      <c r="J87" s="146" t="s">
        <v>1720</v>
      </c>
      <c r="K87" s="31">
        <f t="shared" ref="K87:K164" si="10">COUNTIF(M87:AN87,"APAGADO")</f>
        <v>0</v>
      </c>
      <c r="L87" s="32">
        <f t="shared" ref="L87:L164" si="11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52</v>
      </c>
      <c r="B88" s="73" t="s">
        <v>138</v>
      </c>
      <c r="C88" s="73" t="s">
        <v>1059</v>
      </c>
      <c r="D88" s="73" t="s">
        <v>1516</v>
      </c>
      <c r="E88" s="85" t="s">
        <v>19</v>
      </c>
      <c r="F88" s="85" t="s">
        <v>1298</v>
      </c>
      <c r="G88" s="85"/>
      <c r="H88" s="85" t="s">
        <v>657</v>
      </c>
      <c r="I88" s="141">
        <f t="shared" si="9"/>
        <v>28</v>
      </c>
      <c r="J88" s="146" t="s">
        <v>1721</v>
      </c>
      <c r="K88" s="141">
        <f t="shared" si="10"/>
        <v>0</v>
      </c>
      <c r="L88" s="142">
        <f t="shared" si="11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139</v>
      </c>
      <c r="C89" t="s">
        <v>1059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9"/>
        <v>28</v>
      </c>
      <c r="J89" s="146" t="s">
        <v>1722</v>
      </c>
      <c r="K89" s="31">
        <f t="shared" si="10"/>
        <v>0</v>
      </c>
      <c r="L89" s="32">
        <f t="shared" si="11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141</v>
      </c>
      <c r="C90" t="s">
        <v>1059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9"/>
        <v>25</v>
      </c>
      <c r="J90" s="146" t="s">
        <v>1723</v>
      </c>
      <c r="K90" s="31">
        <f t="shared" si="10"/>
        <v>3</v>
      </c>
      <c r="L90" s="32">
        <f t="shared" si="11"/>
        <v>0.8928571428571429</v>
      </c>
      <c r="M90" s="70" t="s">
        <v>2278</v>
      </c>
      <c r="N90" s="70" t="s">
        <v>2278</v>
      </c>
      <c r="O90" s="70" t="s">
        <v>2278</v>
      </c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1476</v>
      </c>
      <c r="C91" t="s">
        <v>1059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9"/>
        <v>28</v>
      </c>
      <c r="J91" s="146" t="s">
        <v>1724</v>
      </c>
      <c r="K91" s="31">
        <f t="shared" si="10"/>
        <v>0</v>
      </c>
      <c r="L91" s="32">
        <f t="shared" si="11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1477</v>
      </c>
      <c r="C92" t="s">
        <v>1059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9"/>
        <v>28</v>
      </c>
      <c r="J92" s="146" t="s">
        <v>1725</v>
      </c>
      <c r="K92" s="31">
        <f t="shared" si="10"/>
        <v>0</v>
      </c>
      <c r="L92" s="32">
        <f t="shared" si="11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52</v>
      </c>
      <c r="B93" t="s">
        <v>143</v>
      </c>
      <c r="C93" t="s">
        <v>1059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9"/>
        <v>28</v>
      </c>
      <c r="J93" s="146" t="s">
        <v>1726</v>
      </c>
      <c r="K93" s="31">
        <f t="shared" si="10"/>
        <v>0</v>
      </c>
      <c r="L93" s="32">
        <f t="shared" si="11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thickBot="1" x14ac:dyDescent="0.3">
      <c r="A94" s="73" t="s">
        <v>52</v>
      </c>
      <c r="B94" s="73" t="s">
        <v>145</v>
      </c>
      <c r="C94" s="73" t="s">
        <v>1059</v>
      </c>
      <c r="D94" s="73" t="s">
        <v>146</v>
      </c>
      <c r="E94" s="85" t="s">
        <v>19</v>
      </c>
      <c r="F94" s="85" t="s">
        <v>1298</v>
      </c>
      <c r="G94" s="85"/>
      <c r="H94" s="85" t="s">
        <v>1420</v>
      </c>
      <c r="I94" s="141">
        <f t="shared" si="9"/>
        <v>28</v>
      </c>
      <c r="J94" s="146" t="s">
        <v>1727</v>
      </c>
      <c r="K94" s="141">
        <f t="shared" si="10"/>
        <v>0</v>
      </c>
      <c r="L94" s="142">
        <f t="shared" si="11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52</v>
      </c>
      <c r="B95" t="s">
        <v>147</v>
      </c>
      <c r="C95" t="s">
        <v>1059</v>
      </c>
      <c r="D95" t="s">
        <v>148</v>
      </c>
      <c r="E95" s="30" t="s">
        <v>19</v>
      </c>
      <c r="F95" s="30" t="s">
        <v>28</v>
      </c>
      <c r="G95" s="30"/>
      <c r="H95" s="30" t="s">
        <v>1457</v>
      </c>
      <c r="I95" s="31">
        <f t="shared" si="9"/>
        <v>25</v>
      </c>
      <c r="J95" s="149" t="s">
        <v>1728</v>
      </c>
      <c r="K95" s="31">
        <f t="shared" si="10"/>
        <v>3</v>
      </c>
      <c r="L95" s="32">
        <f t="shared" si="11"/>
        <v>0.8928571428571429</v>
      </c>
      <c r="M95" s="70" t="s">
        <v>2278</v>
      </c>
      <c r="N95" s="70" t="s">
        <v>2278</v>
      </c>
      <c r="O95" s="70" t="s">
        <v>2278</v>
      </c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thickBot="1" x14ac:dyDescent="0.3">
      <c r="A96" s="73" t="s">
        <v>52</v>
      </c>
      <c r="B96" s="73" t="s">
        <v>924</v>
      </c>
      <c r="C96" s="73" t="s">
        <v>1059</v>
      </c>
      <c r="D96" s="73" t="s">
        <v>149</v>
      </c>
      <c r="E96" s="85" t="s">
        <v>19</v>
      </c>
      <c r="F96" s="85" t="s">
        <v>1298</v>
      </c>
      <c r="G96" s="85"/>
      <c r="H96" s="85" t="s">
        <v>1357</v>
      </c>
      <c r="I96" s="141">
        <f t="shared" si="9"/>
        <v>27</v>
      </c>
      <c r="J96" s="146" t="s">
        <v>1729</v>
      </c>
      <c r="K96" s="141">
        <f t="shared" si="10"/>
        <v>1</v>
      </c>
      <c r="L96" s="142">
        <f t="shared" si="11"/>
        <v>0.9642857142857143</v>
      </c>
      <c r="M96" s="70" t="s">
        <v>2278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thickBot="1" x14ac:dyDescent="0.3">
      <c r="A97" s="73" t="s">
        <v>52</v>
      </c>
      <c r="B97" s="73" t="s">
        <v>925</v>
      </c>
      <c r="C97" s="73" t="s">
        <v>1059</v>
      </c>
      <c r="D97" s="73" t="s">
        <v>45</v>
      </c>
      <c r="E97" s="85" t="s">
        <v>46</v>
      </c>
      <c r="F97" s="85" t="s">
        <v>1298</v>
      </c>
      <c r="G97" s="85"/>
      <c r="H97" s="85" t="s">
        <v>663</v>
      </c>
      <c r="I97" s="141">
        <f t="shared" si="9"/>
        <v>28</v>
      </c>
      <c r="J97" s="146" t="s">
        <v>1730</v>
      </c>
      <c r="K97" s="141">
        <f t="shared" si="10"/>
        <v>0</v>
      </c>
      <c r="L97" s="142">
        <f t="shared" si="11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thickBot="1" x14ac:dyDescent="0.3">
      <c r="A98" s="73" t="s">
        <v>52</v>
      </c>
      <c r="B98" s="73" t="s">
        <v>150</v>
      </c>
      <c r="C98" s="73" t="s">
        <v>1059</v>
      </c>
      <c r="D98" s="73" t="s">
        <v>151</v>
      </c>
      <c r="E98" s="85" t="s">
        <v>15</v>
      </c>
      <c r="F98" s="85" t="s">
        <v>1298</v>
      </c>
      <c r="G98" s="85"/>
      <c r="H98" s="85" t="s">
        <v>1428</v>
      </c>
      <c r="I98" s="141">
        <f t="shared" si="9"/>
        <v>28</v>
      </c>
      <c r="J98" s="146" t="s">
        <v>1731</v>
      </c>
      <c r="K98" s="141">
        <f t="shared" si="10"/>
        <v>0</v>
      </c>
      <c r="L98" s="142">
        <f t="shared" si="11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thickBot="1" x14ac:dyDescent="0.3">
      <c r="A99" s="73" t="s">
        <v>52</v>
      </c>
      <c r="B99" s="73" t="s">
        <v>926</v>
      </c>
      <c r="C99" s="73" t="s">
        <v>1059</v>
      </c>
      <c r="D99" s="73" t="s">
        <v>47</v>
      </c>
      <c r="E99" s="85" t="s">
        <v>19</v>
      </c>
      <c r="F99" s="85" t="s">
        <v>1298</v>
      </c>
      <c r="G99" s="85"/>
      <c r="H99" s="85" t="s">
        <v>1364</v>
      </c>
      <c r="I99" s="141">
        <f t="shared" si="9"/>
        <v>28</v>
      </c>
      <c r="J99" s="146" t="s">
        <v>1732</v>
      </c>
      <c r="K99" s="141">
        <f t="shared" si="10"/>
        <v>0</v>
      </c>
      <c r="L99" s="142">
        <f t="shared" si="11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thickBot="1" x14ac:dyDescent="0.3">
      <c r="A100" s="73" t="s">
        <v>52</v>
      </c>
      <c r="B100" s="73" t="s">
        <v>48</v>
      </c>
      <c r="C100" s="73" t="s">
        <v>1059</v>
      </c>
      <c r="D100" s="73" t="s">
        <v>49</v>
      </c>
      <c r="E100" s="85" t="s">
        <v>19</v>
      </c>
      <c r="F100" s="85" t="s">
        <v>1298</v>
      </c>
      <c r="G100" s="85"/>
      <c r="H100" s="85" t="s">
        <v>1352</v>
      </c>
      <c r="I100" s="141">
        <f t="shared" si="9"/>
        <v>28</v>
      </c>
      <c r="J100" s="146" t="s">
        <v>1733</v>
      </c>
      <c r="K100" s="141">
        <f t="shared" si="10"/>
        <v>0</v>
      </c>
      <c r="L100" s="142">
        <f t="shared" si="11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50</v>
      </c>
      <c r="C101" s="73" t="s">
        <v>1059</v>
      </c>
      <c r="D101" s="73" t="s">
        <v>51</v>
      </c>
      <c r="E101" s="85" t="s">
        <v>19</v>
      </c>
      <c r="F101" s="85" t="s">
        <v>1298</v>
      </c>
      <c r="G101" s="85"/>
      <c r="H101" s="85" t="s">
        <v>1405</v>
      </c>
      <c r="I101" s="141">
        <f t="shared" si="9"/>
        <v>28</v>
      </c>
      <c r="J101" s="146" t="s">
        <v>1734</v>
      </c>
      <c r="K101" s="141">
        <f t="shared" si="10"/>
        <v>0</v>
      </c>
      <c r="L101" s="142">
        <f t="shared" si="11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53</v>
      </c>
      <c r="C102" s="73" t="s">
        <v>1059</v>
      </c>
      <c r="D102" s="73" t="s">
        <v>54</v>
      </c>
      <c r="E102" s="85" t="s">
        <v>15</v>
      </c>
      <c r="F102" s="85" t="s">
        <v>1298</v>
      </c>
      <c r="G102" s="85"/>
      <c r="H102" s="85" t="s">
        <v>1421</v>
      </c>
      <c r="I102" s="141">
        <f t="shared" si="9"/>
        <v>28</v>
      </c>
      <c r="J102" s="146" t="s">
        <v>1735</v>
      </c>
      <c r="K102" s="141">
        <f t="shared" si="10"/>
        <v>0</v>
      </c>
      <c r="L102" s="142">
        <f t="shared" si="11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55</v>
      </c>
      <c r="C103" s="73" t="s">
        <v>1059</v>
      </c>
      <c r="D103" s="73" t="s">
        <v>56</v>
      </c>
      <c r="E103" s="85" t="s">
        <v>15</v>
      </c>
      <c r="F103" s="85" t="s">
        <v>1298</v>
      </c>
      <c r="G103" s="85"/>
      <c r="H103" s="85" t="s">
        <v>1360</v>
      </c>
      <c r="I103" s="141">
        <f t="shared" si="9"/>
        <v>28</v>
      </c>
      <c r="J103" s="146" t="s">
        <v>1736</v>
      </c>
      <c r="K103" s="141">
        <f t="shared" si="10"/>
        <v>0</v>
      </c>
      <c r="L103" s="142">
        <f t="shared" si="11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thickBot="1" x14ac:dyDescent="0.3">
      <c r="A104" t="s">
        <v>52</v>
      </c>
      <c r="B104" t="s">
        <v>57</v>
      </c>
      <c r="C104" t="s">
        <v>1059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9"/>
        <v>28</v>
      </c>
      <c r="J104" s="146" t="s">
        <v>1737</v>
      </c>
      <c r="K104" s="31">
        <f t="shared" si="10"/>
        <v>0</v>
      </c>
      <c r="L104" s="32">
        <f t="shared" si="11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52</v>
      </c>
      <c r="B105" s="73" t="s">
        <v>931</v>
      </c>
      <c r="C105" s="73" t="s">
        <v>1059</v>
      </c>
      <c r="D105" s="73" t="s">
        <v>59</v>
      </c>
      <c r="E105" s="85" t="s">
        <v>15</v>
      </c>
      <c r="F105" s="85" t="s">
        <v>1298</v>
      </c>
      <c r="G105" s="85"/>
      <c r="H105" s="85" t="s">
        <v>1371</v>
      </c>
      <c r="I105" s="141">
        <f t="shared" si="9"/>
        <v>28</v>
      </c>
      <c r="J105" s="146" t="s">
        <v>1738</v>
      </c>
      <c r="K105" s="141">
        <f t="shared" si="10"/>
        <v>0</v>
      </c>
      <c r="L105" s="142">
        <f t="shared" si="11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60</v>
      </c>
      <c r="C106" t="s">
        <v>1059</v>
      </c>
      <c r="D106" t="s">
        <v>61</v>
      </c>
      <c r="E106" s="30" t="s">
        <v>15</v>
      </c>
      <c r="F106" s="30" t="s">
        <v>1053</v>
      </c>
      <c r="G106" s="30" t="s">
        <v>45</v>
      </c>
      <c r="H106" s="30" t="s">
        <v>665</v>
      </c>
      <c r="I106" s="31">
        <f t="shared" si="9"/>
        <v>28</v>
      </c>
      <c r="J106" s="146" t="s">
        <v>1739</v>
      </c>
      <c r="K106" s="31">
        <f t="shared" si="10"/>
        <v>0</v>
      </c>
      <c r="L106" s="32">
        <f t="shared" si="11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62</v>
      </c>
      <c r="C107" s="73" t="s">
        <v>1059</v>
      </c>
      <c r="D107" s="73" t="s">
        <v>63</v>
      </c>
      <c r="E107" s="85" t="s">
        <v>15</v>
      </c>
      <c r="F107" s="85" t="s">
        <v>1298</v>
      </c>
      <c r="G107" s="85"/>
      <c r="H107" s="85" t="s">
        <v>1361</v>
      </c>
      <c r="I107" s="141">
        <f t="shared" si="9"/>
        <v>28</v>
      </c>
      <c r="J107" s="146" t="s">
        <v>1740</v>
      </c>
      <c r="K107" s="141">
        <f t="shared" si="10"/>
        <v>0</v>
      </c>
      <c r="L107" s="142">
        <f t="shared" si="11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932</v>
      </c>
      <c r="C108" t="s">
        <v>1059</v>
      </c>
      <c r="D108" t="s">
        <v>1082</v>
      </c>
      <c r="E108" s="30" t="s">
        <v>15</v>
      </c>
      <c r="F108" s="30" t="s">
        <v>1053</v>
      </c>
      <c r="G108" s="30" t="s">
        <v>1250</v>
      </c>
      <c r="H108" s="30" t="s">
        <v>666</v>
      </c>
      <c r="I108" s="31">
        <f t="shared" si="9"/>
        <v>28</v>
      </c>
      <c r="J108" s="146" t="s">
        <v>1741</v>
      </c>
      <c r="K108" s="31">
        <f t="shared" si="10"/>
        <v>0</v>
      </c>
      <c r="L108" s="32">
        <f t="shared" si="11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933</v>
      </c>
      <c r="C109" t="s">
        <v>1059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9"/>
        <v>28</v>
      </c>
      <c r="J109" s="146" t="s">
        <v>1742</v>
      </c>
      <c r="K109" s="31">
        <f t="shared" si="10"/>
        <v>0</v>
      </c>
      <c r="L109" s="32">
        <f t="shared" si="11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52</v>
      </c>
      <c r="B110" t="s">
        <v>152</v>
      </c>
      <c r="C110" t="s">
        <v>1059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9"/>
        <v>28</v>
      </c>
      <c r="J110" s="146" t="s">
        <v>1743</v>
      </c>
      <c r="K110" s="31">
        <f t="shared" si="10"/>
        <v>0</v>
      </c>
      <c r="L110" s="32">
        <f t="shared" si="11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52</v>
      </c>
      <c r="B111" s="73" t="s">
        <v>927</v>
      </c>
      <c r="C111" s="73" t="s">
        <v>1059</v>
      </c>
      <c r="D111" s="73" t="s">
        <v>154</v>
      </c>
      <c r="E111" s="85" t="s">
        <v>46</v>
      </c>
      <c r="F111" s="85" t="s">
        <v>1298</v>
      </c>
      <c r="G111" s="85"/>
      <c r="H111" s="85" t="s">
        <v>1056</v>
      </c>
      <c r="I111" s="141">
        <f t="shared" si="9"/>
        <v>28</v>
      </c>
      <c r="J111" s="146" t="s">
        <v>1744</v>
      </c>
      <c r="K111" s="141">
        <f t="shared" si="10"/>
        <v>0</v>
      </c>
      <c r="L111" s="142">
        <f t="shared" si="11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thickBot="1" x14ac:dyDescent="0.3">
      <c r="A112" s="73" t="s">
        <v>52</v>
      </c>
      <c r="B112" s="73" t="s">
        <v>155</v>
      </c>
      <c r="C112" s="73" t="s">
        <v>1059</v>
      </c>
      <c r="D112" s="73" t="s">
        <v>154</v>
      </c>
      <c r="E112" s="85" t="s">
        <v>46</v>
      </c>
      <c r="F112" s="85" t="s">
        <v>1298</v>
      </c>
      <c r="G112" s="85"/>
      <c r="H112" s="85" t="s">
        <v>669</v>
      </c>
      <c r="I112" s="141">
        <f t="shared" si="9"/>
        <v>28</v>
      </c>
      <c r="J112" s="146" t="s">
        <v>1744</v>
      </c>
      <c r="K112" s="141">
        <f t="shared" si="10"/>
        <v>0</v>
      </c>
      <c r="L112" s="142">
        <f t="shared" si="11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156</v>
      </c>
      <c r="C113" s="73" t="s">
        <v>1059</v>
      </c>
      <c r="D113" s="73" t="s">
        <v>157</v>
      </c>
      <c r="E113" s="85" t="s">
        <v>73</v>
      </c>
      <c r="F113" s="85" t="s">
        <v>1298</v>
      </c>
      <c r="G113" s="85"/>
      <c r="H113" s="85" t="s">
        <v>673</v>
      </c>
      <c r="I113" s="141">
        <f t="shared" si="9"/>
        <v>28</v>
      </c>
      <c r="J113" s="146" t="s">
        <v>1746</v>
      </c>
      <c r="K113" s="141">
        <f t="shared" si="10"/>
        <v>0</v>
      </c>
      <c r="L113" s="142">
        <f t="shared" si="11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158</v>
      </c>
      <c r="C114" s="73" t="s">
        <v>1059</v>
      </c>
      <c r="D114" s="73" t="s">
        <v>157</v>
      </c>
      <c r="E114" s="85" t="s">
        <v>73</v>
      </c>
      <c r="F114" s="85" t="s">
        <v>1298</v>
      </c>
      <c r="G114" s="85"/>
      <c r="H114" s="85" t="s">
        <v>674</v>
      </c>
      <c r="I114" s="141">
        <f t="shared" si="9"/>
        <v>28</v>
      </c>
      <c r="J114" s="146" t="s">
        <v>1745</v>
      </c>
      <c r="K114" s="141">
        <f t="shared" si="10"/>
        <v>0</v>
      </c>
      <c r="L114" s="142">
        <f t="shared" si="11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159</v>
      </c>
      <c r="C115" t="s">
        <v>1059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9"/>
        <v>28</v>
      </c>
      <c r="J115" s="146" t="s">
        <v>1747</v>
      </c>
      <c r="K115" s="31">
        <f t="shared" si="10"/>
        <v>0</v>
      </c>
      <c r="L115" s="32">
        <f t="shared" si="11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65</v>
      </c>
      <c r="C116" t="s">
        <v>1059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9"/>
        <v>28</v>
      </c>
      <c r="J116" s="146" t="s">
        <v>1748</v>
      </c>
      <c r="K116" s="31">
        <f t="shared" si="10"/>
        <v>0</v>
      </c>
      <c r="L116" s="32">
        <f t="shared" si="11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67</v>
      </c>
      <c r="C117" s="73" t="s">
        <v>1059</v>
      </c>
      <c r="D117" s="73" t="s">
        <v>68</v>
      </c>
      <c r="E117" s="85" t="s">
        <v>19</v>
      </c>
      <c r="F117" s="85" t="s">
        <v>1298</v>
      </c>
      <c r="G117" s="85"/>
      <c r="H117" s="85" t="s">
        <v>677</v>
      </c>
      <c r="I117" s="141">
        <f t="shared" si="9"/>
        <v>28</v>
      </c>
      <c r="J117" s="146" t="s">
        <v>1749</v>
      </c>
      <c r="K117" s="141">
        <f t="shared" si="10"/>
        <v>0</v>
      </c>
      <c r="L117" s="142">
        <f t="shared" si="11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customHeight="1" thickBot="1" x14ac:dyDescent="0.3">
      <c r="A118" t="s">
        <v>52</v>
      </c>
      <c r="B118" t="s">
        <v>69</v>
      </c>
      <c r="C118" t="s">
        <v>1059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9"/>
        <v>28</v>
      </c>
      <c r="J118" s="146" t="s">
        <v>1750</v>
      </c>
      <c r="K118" s="31">
        <f t="shared" si="10"/>
        <v>0</v>
      </c>
      <c r="L118" s="32">
        <f t="shared" si="11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161</v>
      </c>
      <c r="C119" t="s">
        <v>1059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9"/>
        <v>28</v>
      </c>
      <c r="J119" s="146" t="s">
        <v>1751</v>
      </c>
      <c r="K119" s="31">
        <f t="shared" si="10"/>
        <v>0</v>
      </c>
      <c r="L119" s="32">
        <f t="shared" si="11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163</v>
      </c>
      <c r="C120" t="s">
        <v>1059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9"/>
        <v>28</v>
      </c>
      <c r="J120" s="146" t="s">
        <v>1752</v>
      </c>
      <c r="K120" s="31">
        <f t="shared" si="10"/>
        <v>0</v>
      </c>
      <c r="L120" s="32">
        <f t="shared" si="11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52</v>
      </c>
      <c r="B121" s="73" t="s">
        <v>928</v>
      </c>
      <c r="C121" s="73" t="s">
        <v>1059</v>
      </c>
      <c r="D121" s="73" t="s">
        <v>929</v>
      </c>
      <c r="E121" s="85" t="s">
        <v>19</v>
      </c>
      <c r="F121" s="85" t="s">
        <v>1298</v>
      </c>
      <c r="G121" s="85"/>
      <c r="H121" s="85" t="s">
        <v>1211</v>
      </c>
      <c r="I121" s="141">
        <f t="shared" si="9"/>
        <v>28</v>
      </c>
      <c r="J121" s="146" t="s">
        <v>1753</v>
      </c>
      <c r="K121" s="141">
        <f t="shared" si="10"/>
        <v>0</v>
      </c>
      <c r="L121" s="142">
        <f t="shared" si="11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930</v>
      </c>
      <c r="C122" t="s">
        <v>1059</v>
      </c>
      <c r="D122" t="s">
        <v>1075</v>
      </c>
      <c r="E122" s="30" t="s">
        <v>73</v>
      </c>
      <c r="F122" s="30" t="s">
        <v>28</v>
      </c>
      <c r="G122" s="30"/>
      <c r="H122" s="30" t="s">
        <v>1491</v>
      </c>
      <c r="I122" s="31">
        <f t="shared" si="9"/>
        <v>28</v>
      </c>
      <c r="J122" s="146" t="s">
        <v>1754</v>
      </c>
      <c r="K122" s="31">
        <f t="shared" si="10"/>
        <v>0</v>
      </c>
      <c r="L122" s="32">
        <f t="shared" si="11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t="s">
        <v>1106</v>
      </c>
      <c r="C123" t="s">
        <v>1059</v>
      </c>
      <c r="D123" t="s">
        <v>1105</v>
      </c>
      <c r="E123" s="30" t="s">
        <v>73</v>
      </c>
      <c r="F123" s="30" t="s">
        <v>28</v>
      </c>
      <c r="G123" s="30"/>
      <c r="H123" s="30" t="s">
        <v>1107</v>
      </c>
      <c r="I123" s="31">
        <f t="shared" si="9"/>
        <v>28</v>
      </c>
      <c r="J123" s="146" t="s">
        <v>1755</v>
      </c>
      <c r="K123" s="31">
        <f t="shared" si="10"/>
        <v>0</v>
      </c>
      <c r="L123" s="32">
        <f t="shared" si="11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1115</v>
      </c>
      <c r="C124" s="30" t="s">
        <v>1059</v>
      </c>
      <c r="D124" t="s">
        <v>122</v>
      </c>
      <c r="E124" s="30" t="s">
        <v>73</v>
      </c>
      <c r="F124" s="30" t="s">
        <v>28</v>
      </c>
      <c r="G124" s="30"/>
      <c r="H124" s="30" t="s">
        <v>1116</v>
      </c>
      <c r="I124" s="31">
        <f t="shared" si="9"/>
        <v>28</v>
      </c>
      <c r="J124" s="146" t="s">
        <v>1756</v>
      </c>
      <c r="K124" s="31">
        <f t="shared" si="10"/>
        <v>0</v>
      </c>
      <c r="L124" s="32">
        <f t="shared" si="11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1108</v>
      </c>
      <c r="C125" s="30" t="s">
        <v>1059</v>
      </c>
      <c r="D125" t="s">
        <v>1110</v>
      </c>
      <c r="E125" s="30" t="s">
        <v>73</v>
      </c>
      <c r="F125" s="30" t="s">
        <v>28</v>
      </c>
      <c r="G125" s="30"/>
      <c r="H125" s="30" t="s">
        <v>1117</v>
      </c>
      <c r="I125" s="31">
        <f t="shared" si="9"/>
        <v>28</v>
      </c>
      <c r="J125" s="146" t="s">
        <v>1757</v>
      </c>
      <c r="K125" s="31">
        <f t="shared" si="10"/>
        <v>0</v>
      </c>
      <c r="L125" s="32">
        <f t="shared" si="11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1109</v>
      </c>
      <c r="C126" s="30" t="s">
        <v>1059</v>
      </c>
      <c r="D126" t="s">
        <v>1110</v>
      </c>
      <c r="E126" s="30" t="s">
        <v>73</v>
      </c>
      <c r="F126" s="30" t="s">
        <v>28</v>
      </c>
      <c r="G126" s="30"/>
      <c r="H126" s="30" t="s">
        <v>1118</v>
      </c>
      <c r="I126" s="31">
        <f t="shared" si="9"/>
        <v>28</v>
      </c>
      <c r="J126" s="146" t="s">
        <v>1758</v>
      </c>
      <c r="K126" s="31">
        <f t="shared" si="10"/>
        <v>0</v>
      </c>
      <c r="L126" s="32">
        <f t="shared" si="11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52</v>
      </c>
      <c r="B127" s="30" t="s">
        <v>1179</v>
      </c>
      <c r="C127" s="30" t="s">
        <v>1059</v>
      </c>
      <c r="D127" t="s">
        <v>93</v>
      </c>
      <c r="E127" s="30" t="s">
        <v>73</v>
      </c>
      <c r="F127" s="30" t="s">
        <v>28</v>
      </c>
      <c r="G127" s="30"/>
      <c r="H127" s="30" t="s">
        <v>1180</v>
      </c>
      <c r="I127" s="31">
        <f t="shared" si="9"/>
        <v>26</v>
      </c>
      <c r="J127" s="146" t="s">
        <v>1759</v>
      </c>
      <c r="K127" s="31">
        <f t="shared" si="10"/>
        <v>2</v>
      </c>
      <c r="L127" s="32">
        <f t="shared" si="11"/>
        <v>0.9285714285714286</v>
      </c>
      <c r="M127" s="70"/>
      <c r="N127" s="70" t="s">
        <v>2278</v>
      </c>
      <c r="O127" s="70" t="s">
        <v>2278</v>
      </c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1059</v>
      </c>
      <c r="D128" s="73" t="s">
        <v>1196</v>
      </c>
      <c r="E128" s="85" t="s">
        <v>19</v>
      </c>
      <c r="F128" s="85" t="s">
        <v>1298</v>
      </c>
      <c r="G128" s="85"/>
      <c r="H128" s="85" t="s">
        <v>1197</v>
      </c>
      <c r="I128" s="141">
        <f t="shared" si="9"/>
        <v>27</v>
      </c>
      <c r="J128" s="147" t="s">
        <v>1760</v>
      </c>
      <c r="K128" s="141">
        <f t="shared" si="10"/>
        <v>1</v>
      </c>
      <c r="L128" s="142">
        <f t="shared" si="11"/>
        <v>0.9642857142857143</v>
      </c>
      <c r="M128" s="70" t="s">
        <v>2278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1192</v>
      </c>
      <c r="C129" s="85" t="s">
        <v>1059</v>
      </c>
      <c r="D129" s="73" t="s">
        <v>1193</v>
      </c>
      <c r="E129" s="85" t="s">
        <v>19</v>
      </c>
      <c r="F129" s="85" t="s">
        <v>1298</v>
      </c>
      <c r="G129" s="85"/>
      <c r="H129" s="85" t="s">
        <v>1194</v>
      </c>
      <c r="I129" s="141">
        <f t="shared" si="9"/>
        <v>28</v>
      </c>
      <c r="J129" s="146" t="s">
        <v>1761</v>
      </c>
      <c r="K129" s="141">
        <f t="shared" si="10"/>
        <v>0</v>
      </c>
      <c r="L129" s="142">
        <f t="shared" si="11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73" t="s">
        <v>1220</v>
      </c>
      <c r="C130" s="85" t="s">
        <v>1059</v>
      </c>
      <c r="D130" s="73" t="s">
        <v>1221</v>
      </c>
      <c r="E130" s="73" t="s">
        <v>73</v>
      </c>
      <c r="F130" s="73" t="s">
        <v>1298</v>
      </c>
      <c r="H130" s="85" t="s">
        <v>1308</v>
      </c>
      <c r="I130" s="141">
        <f t="shared" si="9"/>
        <v>28</v>
      </c>
      <c r="J130" s="146" t="s">
        <v>1762</v>
      </c>
      <c r="K130" s="141">
        <f t="shared" si="10"/>
        <v>0</v>
      </c>
      <c r="L130" s="142">
        <f t="shared" si="11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s="73" t="s">
        <v>52</v>
      </c>
      <c r="B131" t="s">
        <v>1222</v>
      </c>
      <c r="C131" s="30" t="s">
        <v>1059</v>
      </c>
      <c r="D131" t="s">
        <v>1223</v>
      </c>
      <c r="E131" t="s">
        <v>73</v>
      </c>
      <c r="F131" t="s">
        <v>28</v>
      </c>
      <c r="G131"/>
      <c r="H131" s="30" t="s">
        <v>1319</v>
      </c>
      <c r="I131" s="31">
        <f t="shared" si="9"/>
        <v>26</v>
      </c>
      <c r="J131" s="146" t="s">
        <v>1763</v>
      </c>
      <c r="K131" s="31">
        <f t="shared" si="10"/>
        <v>2</v>
      </c>
      <c r="L131" s="32">
        <f t="shared" si="11"/>
        <v>0.9285714285714286</v>
      </c>
      <c r="M131" s="70" t="s">
        <v>2278</v>
      </c>
      <c r="N131" s="70" t="s">
        <v>2278</v>
      </c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thickBot="1" x14ac:dyDescent="0.3">
      <c r="A132" t="s">
        <v>52</v>
      </c>
      <c r="B132" s="30" t="s">
        <v>1296</v>
      </c>
      <c r="C132" s="30" t="s">
        <v>1059</v>
      </c>
      <c r="D132" t="s">
        <v>88</v>
      </c>
      <c r="E132" s="30" t="s">
        <v>73</v>
      </c>
      <c r="F132" s="30" t="s">
        <v>28</v>
      </c>
      <c r="G132" s="30"/>
      <c r="H132" s="30" t="s">
        <v>1295</v>
      </c>
      <c r="I132" s="31">
        <f t="shared" si="9"/>
        <v>28</v>
      </c>
      <c r="J132" s="146" t="s">
        <v>1764</v>
      </c>
      <c r="K132" s="31">
        <f t="shared" si="10"/>
        <v>0</v>
      </c>
      <c r="L132" s="32">
        <f t="shared" si="11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52</v>
      </c>
      <c r="B133" s="85" t="s">
        <v>1321</v>
      </c>
      <c r="C133" s="85" t="s">
        <v>1059</v>
      </c>
      <c r="D133" s="73" t="s">
        <v>1322</v>
      </c>
      <c r="E133" s="85" t="s">
        <v>19</v>
      </c>
      <c r="F133" s="85" t="s">
        <v>1298</v>
      </c>
      <c r="G133" s="85"/>
      <c r="H133" s="85" t="s">
        <v>1323</v>
      </c>
      <c r="I133" s="141">
        <f t="shared" si="9"/>
        <v>28</v>
      </c>
      <c r="J133" s="146" t="s">
        <v>1765</v>
      </c>
      <c r="K133" s="141">
        <f t="shared" si="10"/>
        <v>0</v>
      </c>
      <c r="L133" s="142">
        <f t="shared" si="11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1412</v>
      </c>
      <c r="C134" s="85" t="s">
        <v>1059</v>
      </c>
      <c r="D134" s="73" t="s">
        <v>1526</v>
      </c>
      <c r="E134" s="85" t="s">
        <v>19</v>
      </c>
      <c r="F134" s="85" t="s">
        <v>1298</v>
      </c>
      <c r="G134" s="85"/>
      <c r="H134" s="85" t="s">
        <v>1413</v>
      </c>
      <c r="I134" s="141">
        <f t="shared" si="9"/>
        <v>28</v>
      </c>
      <c r="J134" s="146" t="s">
        <v>1766</v>
      </c>
      <c r="K134" s="141">
        <f t="shared" si="10"/>
        <v>0</v>
      </c>
      <c r="L134" s="142">
        <f t="shared" si="11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">
      <c r="A135" s="73" t="s">
        <v>52</v>
      </c>
      <c r="B135" s="85" t="s">
        <v>1503</v>
      </c>
      <c r="C135" s="85" t="s">
        <v>1059</v>
      </c>
      <c r="D135" s="73" t="s">
        <v>1504</v>
      </c>
      <c r="E135" s="85" t="s">
        <v>19</v>
      </c>
      <c r="F135" s="85" t="s">
        <v>1298</v>
      </c>
      <c r="G135" s="85"/>
      <c r="H135" s="85" t="s">
        <v>1508</v>
      </c>
      <c r="I135" s="141">
        <f t="shared" si="9"/>
        <v>28</v>
      </c>
      <c r="J135" s="146" t="s">
        <v>1767</v>
      </c>
      <c r="K135" s="141">
        <f t="shared" si="10"/>
        <v>0</v>
      </c>
      <c r="L135" s="142">
        <f t="shared" si="11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1482</v>
      </c>
      <c r="C136" s="30" t="s">
        <v>1059</v>
      </c>
      <c r="D136" t="s">
        <v>1481</v>
      </c>
      <c r="E136" s="85" t="s">
        <v>73</v>
      </c>
      <c r="F136" s="85" t="s">
        <v>28</v>
      </c>
      <c r="G136" s="85"/>
      <c r="H136" s="85" t="s">
        <v>1483</v>
      </c>
      <c r="I136" s="141">
        <f t="shared" si="9"/>
        <v>28</v>
      </c>
      <c r="J136" s="146" t="s">
        <v>1768</v>
      </c>
      <c r="K136" s="141">
        <f t="shared" si="10"/>
        <v>0</v>
      </c>
      <c r="L136" s="142">
        <f t="shared" si="11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1485</v>
      </c>
      <c r="C137" s="30" t="s">
        <v>1059</v>
      </c>
      <c r="D137" t="s">
        <v>1484</v>
      </c>
      <c r="E137" s="85" t="s">
        <v>19</v>
      </c>
      <c r="F137" s="85" t="s">
        <v>28</v>
      </c>
      <c r="G137" s="85"/>
      <c r="H137" s="85" t="s">
        <v>1486</v>
      </c>
      <c r="I137" s="141">
        <f t="shared" si="9"/>
        <v>28</v>
      </c>
      <c r="J137" s="146" t="s">
        <v>1769</v>
      </c>
      <c r="K137" s="141">
        <f t="shared" si="10"/>
        <v>0</v>
      </c>
      <c r="L137" s="142">
        <f t="shared" si="11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1517</v>
      </c>
      <c r="C138" s="85" t="s">
        <v>1059</v>
      </c>
      <c r="D138" s="73" t="s">
        <v>1518</v>
      </c>
      <c r="E138" s="85" t="s">
        <v>19</v>
      </c>
      <c r="F138" s="85" t="s">
        <v>1298</v>
      </c>
      <c r="G138" s="85"/>
      <c r="H138" s="85" t="s">
        <v>1519</v>
      </c>
      <c r="I138" s="141">
        <f t="shared" si="9"/>
        <v>28</v>
      </c>
      <c r="J138" s="146" t="s">
        <v>1770</v>
      </c>
      <c r="K138" s="141">
        <f t="shared" si="10"/>
        <v>0</v>
      </c>
      <c r="L138" s="142">
        <f t="shared" si="11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1520</v>
      </c>
      <c r="C139" s="30" t="s">
        <v>1059</v>
      </c>
      <c r="D139" t="s">
        <v>1521</v>
      </c>
      <c r="E139" s="85" t="s">
        <v>19</v>
      </c>
      <c r="F139" s="85" t="s">
        <v>28</v>
      </c>
      <c r="G139" s="85"/>
      <c r="H139" s="85" t="s">
        <v>1522</v>
      </c>
      <c r="I139" s="141">
        <f t="shared" si="9"/>
        <v>28</v>
      </c>
      <c r="J139" s="146" t="s">
        <v>1771</v>
      </c>
      <c r="K139" s="141">
        <f t="shared" si="10"/>
        <v>0</v>
      </c>
      <c r="L139" s="142">
        <f t="shared" si="11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52</v>
      </c>
      <c r="B140" s="30" t="s">
        <v>1642</v>
      </c>
      <c r="C140" s="30" t="s">
        <v>1059</v>
      </c>
      <c r="D140" t="s">
        <v>1643</v>
      </c>
      <c r="E140" s="85" t="s">
        <v>19</v>
      </c>
      <c r="F140" s="85" t="s">
        <v>28</v>
      </c>
      <c r="G140" s="85"/>
      <c r="H140" s="85" t="s">
        <v>2115</v>
      </c>
      <c r="I140" s="141">
        <f t="shared" si="9"/>
        <v>28</v>
      </c>
      <c r="J140" s="87" t="s">
        <v>2183</v>
      </c>
      <c r="K140" s="141">
        <f t="shared" si="10"/>
        <v>0</v>
      </c>
      <c r="L140" s="142">
        <f t="shared" si="11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52</v>
      </c>
      <c r="B141" s="85" t="s">
        <v>1560</v>
      </c>
      <c r="C141" s="85" t="s">
        <v>1059</v>
      </c>
      <c r="D141" s="73" t="s">
        <v>1562</v>
      </c>
      <c r="E141" s="85" t="s">
        <v>19</v>
      </c>
      <c r="F141" s="85" t="s">
        <v>1298</v>
      </c>
      <c r="G141" s="85"/>
      <c r="H141" s="85" t="s">
        <v>1564</v>
      </c>
      <c r="I141" s="141">
        <f t="shared" si="9"/>
        <v>28</v>
      </c>
      <c r="J141" s="146" t="s">
        <v>1772</v>
      </c>
      <c r="K141" s="141">
        <f t="shared" si="10"/>
        <v>0</v>
      </c>
      <c r="L141" s="142">
        <f t="shared" si="11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thickBot="1" x14ac:dyDescent="0.3">
      <c r="A142" s="73" t="s">
        <v>52</v>
      </c>
      <c r="B142" s="85" t="s">
        <v>1561</v>
      </c>
      <c r="C142" s="85" t="s">
        <v>1059</v>
      </c>
      <c r="D142" s="73" t="s">
        <v>1563</v>
      </c>
      <c r="E142" s="85" t="s">
        <v>19</v>
      </c>
      <c r="F142" s="85" t="s">
        <v>1298</v>
      </c>
      <c r="G142" s="85"/>
      <c r="H142" s="85" t="s">
        <v>1565</v>
      </c>
      <c r="I142" s="141">
        <f t="shared" si="9"/>
        <v>28</v>
      </c>
      <c r="J142" s="146" t="s">
        <v>1773</v>
      </c>
      <c r="K142" s="141">
        <f t="shared" si="10"/>
        <v>0</v>
      </c>
      <c r="L142" s="142">
        <f t="shared" si="11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thickBot="1" x14ac:dyDescent="0.3">
      <c r="A143" s="73" t="s">
        <v>52</v>
      </c>
      <c r="B143" s="85" t="s">
        <v>2122</v>
      </c>
      <c r="C143" s="85" t="s">
        <v>1059</v>
      </c>
      <c r="D143" s="73" t="s">
        <v>2123</v>
      </c>
      <c r="E143" s="85" t="s">
        <v>19</v>
      </c>
      <c r="F143" s="85" t="s">
        <v>1298</v>
      </c>
      <c r="G143" s="85"/>
      <c r="H143" s="85" t="s">
        <v>2184</v>
      </c>
      <c r="I143" s="141">
        <f t="shared" si="9"/>
        <v>28</v>
      </c>
      <c r="J143" s="146" t="s">
        <v>2185</v>
      </c>
      <c r="K143" s="141">
        <f t="shared" si="10"/>
        <v>0</v>
      </c>
      <c r="L143" s="142">
        <f t="shared" si="11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52</v>
      </c>
      <c r="B144" s="85" t="s">
        <v>2212</v>
      </c>
      <c r="C144" s="85" t="s">
        <v>1059</v>
      </c>
      <c r="D144" s="73" t="s">
        <v>2213</v>
      </c>
      <c r="E144" s="85" t="s">
        <v>19</v>
      </c>
      <c r="F144" s="85" t="s">
        <v>1298</v>
      </c>
      <c r="G144" s="85"/>
      <c r="H144" s="85" t="s">
        <v>2214</v>
      </c>
      <c r="I144" s="141">
        <f t="shared" si="9"/>
        <v>28</v>
      </c>
      <c r="J144" s="146" t="s">
        <v>2215</v>
      </c>
      <c r="K144" s="141">
        <f t="shared" si="10"/>
        <v>0</v>
      </c>
      <c r="L144" s="142">
        <f t="shared" si="11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thickBot="1" x14ac:dyDescent="0.3">
      <c r="A145" s="73" t="s">
        <v>52</v>
      </c>
      <c r="B145" s="85" t="s">
        <v>2250</v>
      </c>
      <c r="C145" s="85" t="s">
        <v>1059</v>
      </c>
      <c r="D145" s="73" t="s">
        <v>2251</v>
      </c>
      <c r="E145" s="85" t="s">
        <v>19</v>
      </c>
      <c r="F145" s="30" t="s">
        <v>28</v>
      </c>
      <c r="G145" s="85"/>
      <c r="H145" s="85" t="s">
        <v>2252</v>
      </c>
      <c r="I145" s="141">
        <f t="shared" si="9"/>
        <v>28</v>
      </c>
      <c r="J145" s="146" t="s">
        <v>2253</v>
      </c>
      <c r="K145" s="141">
        <f t="shared" si="10"/>
        <v>0</v>
      </c>
      <c r="L145" s="142">
        <f t="shared" si="11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thickBot="1" x14ac:dyDescent="0.3">
      <c r="A146" s="73" t="s">
        <v>52</v>
      </c>
      <c r="B146" s="85" t="s">
        <v>2310</v>
      </c>
      <c r="C146" s="85" t="s">
        <v>1059</v>
      </c>
      <c r="D146" s="73" t="s">
        <v>2311</v>
      </c>
      <c r="E146" s="85" t="s">
        <v>19</v>
      </c>
      <c r="F146" s="30" t="s">
        <v>28</v>
      </c>
      <c r="G146" s="85"/>
      <c r="H146" s="85" t="s">
        <v>2312</v>
      </c>
      <c r="I146" s="141">
        <f t="shared" si="9"/>
        <v>28</v>
      </c>
      <c r="J146" s="146" t="s">
        <v>2313</v>
      </c>
      <c r="K146" s="141">
        <f t="shared" si="10"/>
        <v>0</v>
      </c>
      <c r="L146" s="142">
        <f t="shared" si="11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165</v>
      </c>
      <c r="B147" t="s">
        <v>166</v>
      </c>
      <c r="C147" t="s">
        <v>1059</v>
      </c>
      <c r="D147" t="s">
        <v>167</v>
      </c>
      <c r="E147" s="30" t="s">
        <v>19</v>
      </c>
      <c r="F147" s="30" t="s">
        <v>1053</v>
      </c>
      <c r="G147" s="30"/>
      <c r="H147" s="30" t="s">
        <v>1403</v>
      </c>
      <c r="I147" s="31">
        <f t="shared" si="9"/>
        <v>28</v>
      </c>
      <c r="J147" s="146" t="s">
        <v>1774</v>
      </c>
      <c r="K147" s="31">
        <f t="shared" si="10"/>
        <v>0</v>
      </c>
      <c r="L147" s="32">
        <f t="shared" si="11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169</v>
      </c>
      <c r="C148" t="s">
        <v>1059</v>
      </c>
      <c r="D148" t="s">
        <v>170</v>
      </c>
      <c r="E148" s="30" t="s">
        <v>19</v>
      </c>
      <c r="F148" s="30" t="s">
        <v>1053</v>
      </c>
      <c r="G148" s="30"/>
      <c r="H148" s="30" t="s">
        <v>681</v>
      </c>
      <c r="I148" s="31">
        <f t="shared" si="9"/>
        <v>28</v>
      </c>
      <c r="J148" s="87"/>
      <c r="K148" s="31">
        <f t="shared" si="10"/>
        <v>0</v>
      </c>
      <c r="L148" s="32">
        <f t="shared" si="11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168</v>
      </c>
      <c r="B149" t="s">
        <v>171</v>
      </c>
      <c r="C149" t="s">
        <v>1059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9"/>
        <v>28</v>
      </c>
      <c r="J149" s="146" t="s">
        <v>1775</v>
      </c>
      <c r="K149" s="31">
        <f t="shared" si="10"/>
        <v>0</v>
      </c>
      <c r="L149" s="32">
        <f t="shared" si="11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168</v>
      </c>
      <c r="B150" t="s">
        <v>173</v>
      </c>
      <c r="C150" t="s">
        <v>1059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9"/>
        <v>28</v>
      </c>
      <c r="J150" s="146" t="s">
        <v>1776</v>
      </c>
      <c r="K150" s="31">
        <f t="shared" si="10"/>
        <v>0</v>
      </c>
      <c r="L150" s="32">
        <f t="shared" si="11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175</v>
      </c>
      <c r="B151" t="s">
        <v>176</v>
      </c>
      <c r="C151" t="s">
        <v>1060</v>
      </c>
      <c r="D151" t="s">
        <v>177</v>
      </c>
      <c r="E151" s="30" t="s">
        <v>19</v>
      </c>
      <c r="F151" s="30" t="s">
        <v>28</v>
      </c>
      <c r="G151" s="30"/>
      <c r="H151" s="30" t="s">
        <v>2201</v>
      </c>
      <c r="I151" s="31">
        <f t="shared" si="9"/>
        <v>28</v>
      </c>
      <c r="J151" s="146" t="s">
        <v>1777</v>
      </c>
      <c r="K151" s="31">
        <f t="shared" si="10"/>
        <v>0</v>
      </c>
      <c r="L151" s="32">
        <f t="shared" si="11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178</v>
      </c>
      <c r="B152" t="s">
        <v>179</v>
      </c>
      <c r="C152" t="s">
        <v>1060</v>
      </c>
      <c r="D152" t="s">
        <v>180</v>
      </c>
      <c r="E152" s="30" t="s">
        <v>19</v>
      </c>
      <c r="F152" s="30" t="s">
        <v>1053</v>
      </c>
      <c r="G152" s="30"/>
      <c r="H152" s="30" t="s">
        <v>1306</v>
      </c>
      <c r="I152" s="31">
        <f t="shared" si="9"/>
        <v>25</v>
      </c>
      <c r="J152" s="146" t="s">
        <v>1778</v>
      </c>
      <c r="K152" s="31">
        <f t="shared" si="10"/>
        <v>3</v>
      </c>
      <c r="L152" s="32">
        <f t="shared" si="11"/>
        <v>0.8928571428571429</v>
      </c>
      <c r="M152" s="70" t="s">
        <v>2278</v>
      </c>
      <c r="N152" s="70" t="s">
        <v>2278</v>
      </c>
      <c r="O152" s="70" t="s">
        <v>2278</v>
      </c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178</v>
      </c>
      <c r="B153" t="s">
        <v>934</v>
      </c>
      <c r="C153" t="s">
        <v>1060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9"/>
        <v>28</v>
      </c>
      <c r="J153" s="87"/>
      <c r="K153" s="31">
        <f t="shared" si="10"/>
        <v>0</v>
      </c>
      <c r="L153" s="32">
        <f t="shared" si="11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s="69" t="s">
        <v>178</v>
      </c>
      <c r="B154" t="s">
        <v>1224</v>
      </c>
      <c r="C154" t="s">
        <v>1060</v>
      </c>
      <c r="D154" t="s">
        <v>1225</v>
      </c>
      <c r="E154" t="s">
        <v>19</v>
      </c>
      <c r="F154" t="s">
        <v>28</v>
      </c>
      <c r="G154"/>
      <c r="H154" s="30" t="s">
        <v>1235</v>
      </c>
      <c r="I154" s="31">
        <f t="shared" si="9"/>
        <v>28</v>
      </c>
      <c r="J154" s="146" t="s">
        <v>1779</v>
      </c>
      <c r="K154" s="31">
        <f t="shared" si="10"/>
        <v>0</v>
      </c>
      <c r="L154" s="32">
        <f t="shared" si="11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thickBot="1" x14ac:dyDescent="0.3">
      <c r="A155" s="73" t="s">
        <v>184</v>
      </c>
      <c r="B155" s="73" t="s">
        <v>182</v>
      </c>
      <c r="C155" s="90" t="s">
        <v>1059</v>
      </c>
      <c r="D155" s="73" t="s">
        <v>183</v>
      </c>
      <c r="E155" s="91" t="s">
        <v>19</v>
      </c>
      <c r="F155" s="85" t="s">
        <v>1298</v>
      </c>
      <c r="G155" s="85"/>
      <c r="H155" s="85" t="s">
        <v>685</v>
      </c>
      <c r="I155" s="87">
        <f t="shared" si="9"/>
        <v>28</v>
      </c>
      <c r="J155" s="87"/>
      <c r="K155" s="87">
        <f t="shared" si="10"/>
        <v>0</v>
      </c>
      <c r="L155" s="140">
        <f t="shared" si="11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thickBot="1" x14ac:dyDescent="0.3">
      <c r="A156" t="s">
        <v>184</v>
      </c>
      <c r="B156" t="s">
        <v>935</v>
      </c>
      <c r="C156" t="s">
        <v>1059</v>
      </c>
      <c r="D156" t="s">
        <v>185</v>
      </c>
      <c r="E156" s="30" t="s">
        <v>73</v>
      </c>
      <c r="F156" s="30" t="s">
        <v>1053</v>
      </c>
      <c r="G156" s="30" t="s">
        <v>1246</v>
      </c>
      <c r="H156" s="30" t="s">
        <v>686</v>
      </c>
      <c r="I156" s="31">
        <f t="shared" si="9"/>
        <v>28</v>
      </c>
      <c r="J156" s="146" t="s">
        <v>1780</v>
      </c>
      <c r="K156" s="31">
        <f t="shared" si="10"/>
        <v>0</v>
      </c>
      <c r="L156" s="32">
        <f t="shared" si="11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thickBot="1" x14ac:dyDescent="0.3">
      <c r="A157" t="s">
        <v>184</v>
      </c>
      <c r="B157" t="s">
        <v>936</v>
      </c>
      <c r="C157" t="s">
        <v>1059</v>
      </c>
      <c r="D157" t="s">
        <v>185</v>
      </c>
      <c r="E157" s="30" t="s">
        <v>73</v>
      </c>
      <c r="F157" s="30" t="s">
        <v>1053</v>
      </c>
      <c r="G157" s="30" t="s">
        <v>1246</v>
      </c>
      <c r="H157" s="30" t="s">
        <v>687</v>
      </c>
      <c r="I157" s="31">
        <f t="shared" si="9"/>
        <v>28</v>
      </c>
      <c r="J157" s="146" t="s">
        <v>1781</v>
      </c>
      <c r="K157" s="31">
        <f t="shared" si="10"/>
        <v>0</v>
      </c>
      <c r="L157" s="32">
        <f t="shared" si="11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thickBot="1" x14ac:dyDescent="0.3">
      <c r="A158" s="73" t="s">
        <v>184</v>
      </c>
      <c r="B158" s="73" t="s">
        <v>937</v>
      </c>
      <c r="C158" s="90" t="s">
        <v>1059</v>
      </c>
      <c r="D158" s="73" t="s">
        <v>938</v>
      </c>
      <c r="E158" s="91" t="s">
        <v>73</v>
      </c>
      <c r="F158" s="85" t="s">
        <v>1298</v>
      </c>
      <c r="G158" s="85" t="s">
        <v>1246</v>
      </c>
      <c r="H158" s="85" t="s">
        <v>1212</v>
      </c>
      <c r="I158" s="31">
        <f t="shared" si="9"/>
        <v>28</v>
      </c>
      <c r="J158" s="87"/>
      <c r="K158" s="31">
        <f t="shared" si="10"/>
        <v>0</v>
      </c>
      <c r="L158" s="32">
        <f t="shared" si="11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customHeight="1" thickBot="1" x14ac:dyDescent="0.3">
      <c r="A159" s="73" t="s">
        <v>184</v>
      </c>
      <c r="B159" s="73" t="s">
        <v>939</v>
      </c>
      <c r="C159" s="90" t="s">
        <v>1059</v>
      </c>
      <c r="D159" s="73" t="s">
        <v>938</v>
      </c>
      <c r="E159" s="91" t="s">
        <v>73</v>
      </c>
      <c r="F159" s="85" t="s">
        <v>1298</v>
      </c>
      <c r="G159" s="85" t="s">
        <v>1246</v>
      </c>
      <c r="H159" s="85" t="s">
        <v>1213</v>
      </c>
      <c r="I159" s="31">
        <f t="shared" si="9"/>
        <v>28</v>
      </c>
      <c r="J159" s="87"/>
      <c r="K159" s="31">
        <f t="shared" si="10"/>
        <v>0</v>
      </c>
      <c r="L159" s="32">
        <f t="shared" si="11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thickBot="1" x14ac:dyDescent="0.3">
      <c r="A160" t="s">
        <v>184</v>
      </c>
      <c r="B160" t="s">
        <v>1131</v>
      </c>
      <c r="C160" t="s">
        <v>1059</v>
      </c>
      <c r="D160" t="s">
        <v>1126</v>
      </c>
      <c r="E160" s="30" t="s">
        <v>73</v>
      </c>
      <c r="F160" s="30" t="s">
        <v>1053</v>
      </c>
      <c r="G160" s="30" t="s">
        <v>1246</v>
      </c>
      <c r="H160" s="30" t="s">
        <v>1139</v>
      </c>
      <c r="I160" s="31">
        <f t="shared" si="9"/>
        <v>28</v>
      </c>
      <c r="J160" s="146" t="s">
        <v>1782</v>
      </c>
      <c r="K160" s="31">
        <f t="shared" si="10"/>
        <v>0</v>
      </c>
      <c r="L160" s="32">
        <f t="shared" si="11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184</v>
      </c>
      <c r="B161" t="s">
        <v>1132</v>
      </c>
      <c r="C161" t="s">
        <v>1059</v>
      </c>
      <c r="D161" t="s">
        <v>1126</v>
      </c>
      <c r="E161" s="30" t="s">
        <v>73</v>
      </c>
      <c r="F161" s="30" t="s">
        <v>1053</v>
      </c>
      <c r="G161" s="30" t="s">
        <v>1246</v>
      </c>
      <c r="H161" s="30" t="s">
        <v>1140</v>
      </c>
      <c r="I161" s="31">
        <f t="shared" si="9"/>
        <v>28</v>
      </c>
      <c r="J161" s="146" t="s">
        <v>1783</v>
      </c>
      <c r="K161" s="31">
        <f t="shared" si="10"/>
        <v>0</v>
      </c>
      <c r="L161" s="32">
        <f t="shared" si="11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thickBot="1" x14ac:dyDescent="0.3">
      <c r="A162" s="73" t="s">
        <v>184</v>
      </c>
      <c r="B162" s="73" t="s">
        <v>1551</v>
      </c>
      <c r="C162" s="73" t="s">
        <v>1059</v>
      </c>
      <c r="D162" s="73" t="s">
        <v>1552</v>
      </c>
      <c r="E162" s="85" t="s">
        <v>46</v>
      </c>
      <c r="F162" s="85" t="s">
        <v>1298</v>
      </c>
      <c r="G162" s="85"/>
      <c r="H162" s="85" t="s">
        <v>1553</v>
      </c>
      <c r="I162" s="31">
        <f t="shared" si="9"/>
        <v>28</v>
      </c>
      <c r="J162" s="146" t="s">
        <v>1784</v>
      </c>
      <c r="K162" s="31">
        <f t="shared" si="10"/>
        <v>0</v>
      </c>
      <c r="L162" s="32">
        <f t="shared" si="11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thickBot="1" x14ac:dyDescent="0.3">
      <c r="A163" s="73" t="s">
        <v>184</v>
      </c>
      <c r="B163" s="73" t="s">
        <v>2116</v>
      </c>
      <c r="C163" s="73" t="s">
        <v>1059</v>
      </c>
      <c r="D163" s="73" t="s">
        <v>2117</v>
      </c>
      <c r="E163" s="85" t="s">
        <v>46</v>
      </c>
      <c r="F163" s="85" t="s">
        <v>1298</v>
      </c>
      <c r="G163" s="85"/>
      <c r="H163" s="85" t="s">
        <v>2120</v>
      </c>
      <c r="I163" s="31">
        <f t="shared" si="9"/>
        <v>28</v>
      </c>
      <c r="J163" s="146"/>
      <c r="K163" s="31">
        <f t="shared" si="10"/>
        <v>0</v>
      </c>
      <c r="L163" s="32">
        <f t="shared" si="11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thickBot="1" x14ac:dyDescent="0.3">
      <c r="A164" s="73" t="s">
        <v>1326</v>
      </c>
      <c r="B164" s="73" t="s">
        <v>1314</v>
      </c>
      <c r="C164" s="73" t="s">
        <v>1060</v>
      </c>
      <c r="D164" s="73" t="s">
        <v>1315</v>
      </c>
      <c r="E164" s="85" t="s">
        <v>19</v>
      </c>
      <c r="F164" s="85" t="s">
        <v>1298</v>
      </c>
      <c r="G164" s="85"/>
      <c r="H164" s="85" t="s">
        <v>2202</v>
      </c>
      <c r="I164" s="141">
        <f t="shared" si="9"/>
        <v>28</v>
      </c>
      <c r="J164" s="146" t="s">
        <v>1785</v>
      </c>
      <c r="K164" s="141">
        <f t="shared" si="10"/>
        <v>0</v>
      </c>
      <c r="L164" s="142">
        <f t="shared" si="11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thickBot="1" x14ac:dyDescent="0.3">
      <c r="A165" s="73" t="s">
        <v>1326</v>
      </c>
      <c r="B165" s="73" t="s">
        <v>1330</v>
      </c>
      <c r="C165" s="73" t="s">
        <v>1060</v>
      </c>
      <c r="D165" s="73" t="s">
        <v>1331</v>
      </c>
      <c r="E165" s="85" t="s">
        <v>15</v>
      </c>
      <c r="F165" s="85" t="s">
        <v>1298</v>
      </c>
      <c r="G165" s="85"/>
      <c r="H165" s="85" t="s">
        <v>1492</v>
      </c>
      <c r="I165" s="141">
        <f t="shared" ref="I165:I244" si="12">COUNTIF(M165:AN165,"")</f>
        <v>28</v>
      </c>
      <c r="J165" s="146" t="s">
        <v>1786</v>
      </c>
      <c r="K165" s="141">
        <f t="shared" ref="K165:K244" si="13">COUNTIF(M165:AN165,"APAGADO")</f>
        <v>0</v>
      </c>
      <c r="L165" s="142">
        <f t="shared" ref="L165:L244" si="14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thickBot="1" x14ac:dyDescent="0.3">
      <c r="A166" s="73" t="s">
        <v>1326</v>
      </c>
      <c r="B166" s="73" t="s">
        <v>2304</v>
      </c>
      <c r="C166" s="73" t="s">
        <v>1060</v>
      </c>
      <c r="D166" s="73" t="s">
        <v>2305</v>
      </c>
      <c r="E166" s="85" t="s">
        <v>15</v>
      </c>
      <c r="F166" s="85" t="s">
        <v>1298</v>
      </c>
      <c r="G166" s="85"/>
      <c r="H166" s="85" t="s">
        <v>2306</v>
      </c>
      <c r="I166" s="141">
        <f t="shared" si="12"/>
        <v>28</v>
      </c>
      <c r="J166" s="146"/>
      <c r="K166" s="141">
        <f t="shared" si="13"/>
        <v>0</v>
      </c>
      <c r="L166" s="142">
        <f t="shared" si="14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940</v>
      </c>
      <c r="C167" t="s">
        <v>1060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2"/>
        <v>28</v>
      </c>
      <c r="J167" s="146" t="s">
        <v>1787</v>
      </c>
      <c r="K167" s="31">
        <f t="shared" si="13"/>
        <v>0</v>
      </c>
      <c r="L167" s="32">
        <f t="shared" si="14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941</v>
      </c>
      <c r="C168" t="s">
        <v>1060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2"/>
        <v>28</v>
      </c>
      <c r="J168" s="146" t="s">
        <v>1788</v>
      </c>
      <c r="K168" s="31">
        <f t="shared" si="13"/>
        <v>0</v>
      </c>
      <c r="L168" s="32">
        <f t="shared" si="14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942</v>
      </c>
      <c r="C169" t="s">
        <v>1060</v>
      </c>
      <c r="D169" t="s">
        <v>189</v>
      </c>
      <c r="E169" s="30" t="s">
        <v>19</v>
      </c>
      <c r="F169" s="30" t="s">
        <v>28</v>
      </c>
      <c r="G169" s="30"/>
      <c r="H169" s="30" t="s">
        <v>1307</v>
      </c>
      <c r="I169" s="31">
        <f t="shared" si="12"/>
        <v>28</v>
      </c>
      <c r="J169" s="146" t="s">
        <v>1789</v>
      </c>
      <c r="K169" s="31">
        <f t="shared" si="13"/>
        <v>0</v>
      </c>
      <c r="L169" s="32">
        <f t="shared" si="14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186</v>
      </c>
      <c r="B170" t="s">
        <v>943</v>
      </c>
      <c r="C170" t="s">
        <v>1060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2"/>
        <v>28</v>
      </c>
      <c r="J170" s="146" t="s">
        <v>1790</v>
      </c>
      <c r="K170" s="31">
        <f t="shared" si="13"/>
        <v>0</v>
      </c>
      <c r="L170" s="32">
        <f t="shared" si="14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186</v>
      </c>
      <c r="B171" t="s">
        <v>1543</v>
      </c>
      <c r="C171" t="s">
        <v>1060</v>
      </c>
      <c r="D171" t="s">
        <v>975</v>
      </c>
      <c r="E171" s="30" t="s">
        <v>46</v>
      </c>
      <c r="F171" s="30" t="s">
        <v>28</v>
      </c>
      <c r="G171" s="30"/>
      <c r="H171" s="30" t="s">
        <v>1546</v>
      </c>
      <c r="I171" s="31">
        <f t="shared" si="12"/>
        <v>25</v>
      </c>
      <c r="J171" s="146" t="s">
        <v>1791</v>
      </c>
      <c r="K171" s="31">
        <f t="shared" si="13"/>
        <v>3</v>
      </c>
      <c r="L171" s="32">
        <f t="shared" si="14"/>
        <v>0.8928571428571429</v>
      </c>
      <c r="M171" s="70" t="s">
        <v>2278</v>
      </c>
      <c r="N171" s="70" t="s">
        <v>2278</v>
      </c>
      <c r="O171" s="70" t="s">
        <v>2278</v>
      </c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186</v>
      </c>
      <c r="B172" t="s">
        <v>1544</v>
      </c>
      <c r="C172" t="s">
        <v>1060</v>
      </c>
      <c r="D172" t="s">
        <v>1545</v>
      </c>
      <c r="E172" s="30" t="s">
        <v>15</v>
      </c>
      <c r="F172" s="30" t="s">
        <v>28</v>
      </c>
      <c r="G172" s="30"/>
      <c r="H172" s="30" t="s">
        <v>1547</v>
      </c>
      <c r="I172" s="31">
        <f t="shared" si="12"/>
        <v>25</v>
      </c>
      <c r="J172" s="146" t="s">
        <v>1792</v>
      </c>
      <c r="K172" s="31">
        <f t="shared" si="13"/>
        <v>3</v>
      </c>
      <c r="L172" s="32">
        <f t="shared" si="14"/>
        <v>0.8928571428571429</v>
      </c>
      <c r="M172" s="70" t="s">
        <v>2278</v>
      </c>
      <c r="N172" s="70" t="s">
        <v>2278</v>
      </c>
      <c r="O172" s="70" t="s">
        <v>2278</v>
      </c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194</v>
      </c>
      <c r="C173" t="s">
        <v>1060</v>
      </c>
      <c r="D173" t="s">
        <v>195</v>
      </c>
      <c r="E173" s="30" t="s">
        <v>19</v>
      </c>
      <c r="F173" s="30" t="s">
        <v>1053</v>
      </c>
      <c r="G173" s="30"/>
      <c r="H173" s="30" t="s">
        <v>1439</v>
      </c>
      <c r="I173" s="31">
        <f t="shared" si="12"/>
        <v>28</v>
      </c>
      <c r="J173" s="146" t="s">
        <v>1793</v>
      </c>
      <c r="K173" s="31">
        <f t="shared" si="13"/>
        <v>0</v>
      </c>
      <c r="L173" s="32">
        <f t="shared" si="14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196</v>
      </c>
      <c r="B174" t="s">
        <v>197</v>
      </c>
      <c r="C174" t="s">
        <v>1060</v>
      </c>
      <c r="D174" t="s">
        <v>198</v>
      </c>
      <c r="E174" s="30" t="s">
        <v>19</v>
      </c>
      <c r="F174" s="30" t="s">
        <v>1053</v>
      </c>
      <c r="G174" s="30" t="s">
        <v>458</v>
      </c>
      <c r="H174" s="30" t="s">
        <v>691</v>
      </c>
      <c r="I174" s="31">
        <f t="shared" si="12"/>
        <v>28</v>
      </c>
      <c r="J174" s="146" t="s">
        <v>1794</v>
      </c>
      <c r="K174" s="31">
        <f t="shared" si="13"/>
        <v>0</v>
      </c>
      <c r="L174" s="32">
        <f t="shared" si="14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196</v>
      </c>
      <c r="B175" t="s">
        <v>200</v>
      </c>
      <c r="C175" t="s">
        <v>1060</v>
      </c>
      <c r="D175" t="s">
        <v>201</v>
      </c>
      <c r="E175" s="30" t="s">
        <v>15</v>
      </c>
      <c r="F175" s="30" t="s">
        <v>1053</v>
      </c>
      <c r="G175" s="30" t="s">
        <v>458</v>
      </c>
      <c r="H175" s="30" t="s">
        <v>692</v>
      </c>
      <c r="I175" s="31">
        <f t="shared" si="12"/>
        <v>28</v>
      </c>
      <c r="J175" s="146" t="s">
        <v>1795</v>
      </c>
      <c r="K175" s="31">
        <f t="shared" si="13"/>
        <v>0</v>
      </c>
      <c r="L175" s="32">
        <f t="shared" si="14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202</v>
      </c>
      <c r="C176" t="s">
        <v>1060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2"/>
        <v>28</v>
      </c>
      <c r="J176" s="146" t="s">
        <v>1796</v>
      </c>
      <c r="K176" s="31">
        <f t="shared" si="13"/>
        <v>0</v>
      </c>
      <c r="L176" s="32">
        <f t="shared" si="14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204</v>
      </c>
      <c r="C177" t="s">
        <v>1060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2"/>
        <v>28</v>
      </c>
      <c r="J177" s="146" t="s">
        <v>1797</v>
      </c>
      <c r="K177" s="31">
        <f t="shared" si="13"/>
        <v>0</v>
      </c>
      <c r="L177" s="32">
        <f t="shared" si="14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191</v>
      </c>
      <c r="B178" s="73" t="s">
        <v>206</v>
      </c>
      <c r="C178" s="73" t="s">
        <v>1060</v>
      </c>
      <c r="D178" s="73" t="s">
        <v>207</v>
      </c>
      <c r="E178" s="85" t="s">
        <v>19</v>
      </c>
      <c r="F178" s="85" t="s">
        <v>1298</v>
      </c>
      <c r="G178" s="85"/>
      <c r="H178" s="85" t="s">
        <v>1425</v>
      </c>
      <c r="I178" s="141">
        <f t="shared" si="12"/>
        <v>26</v>
      </c>
      <c r="J178" s="146" t="s">
        <v>1798</v>
      </c>
      <c r="K178" s="141">
        <f t="shared" si="13"/>
        <v>2</v>
      </c>
      <c r="L178" s="142">
        <f t="shared" si="14"/>
        <v>0.9285714285714286</v>
      </c>
      <c r="M178" s="70"/>
      <c r="N178" s="70" t="s">
        <v>2278</v>
      </c>
      <c r="O178" s="70" t="s">
        <v>2278</v>
      </c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945</v>
      </c>
      <c r="C179" t="s">
        <v>1060</v>
      </c>
      <c r="D179" t="s">
        <v>192</v>
      </c>
      <c r="E179" s="30" t="s">
        <v>15</v>
      </c>
      <c r="F179" s="30" t="s">
        <v>1053</v>
      </c>
      <c r="G179" s="30" t="s">
        <v>458</v>
      </c>
      <c r="H179" s="30" t="s">
        <v>695</v>
      </c>
      <c r="I179" s="31">
        <f t="shared" si="12"/>
        <v>28</v>
      </c>
      <c r="J179" s="146" t="s">
        <v>1799</v>
      </c>
      <c r="K179" s="31">
        <f t="shared" si="13"/>
        <v>0</v>
      </c>
      <c r="L179" s="32">
        <f t="shared" si="14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193</v>
      </c>
      <c r="C180" t="s">
        <v>1060</v>
      </c>
      <c r="D180" t="s">
        <v>944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2"/>
        <v>28</v>
      </c>
      <c r="J180" s="87"/>
      <c r="K180" s="31">
        <f t="shared" si="13"/>
        <v>0</v>
      </c>
      <c r="L180" s="32">
        <f t="shared" si="14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208</v>
      </c>
      <c r="C181" t="s">
        <v>1060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2"/>
        <v>28</v>
      </c>
      <c r="J181" s="146" t="s">
        <v>1800</v>
      </c>
      <c r="K181" s="31">
        <f t="shared" si="13"/>
        <v>0</v>
      </c>
      <c r="L181" s="32">
        <f t="shared" si="14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t="s">
        <v>210</v>
      </c>
      <c r="C182" t="s">
        <v>1060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2"/>
        <v>28</v>
      </c>
      <c r="J182" s="146" t="s">
        <v>1801</v>
      </c>
      <c r="K182" s="31">
        <f t="shared" si="13"/>
        <v>0</v>
      </c>
      <c r="L182" s="32">
        <f t="shared" si="14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t="s">
        <v>211</v>
      </c>
      <c r="C183" t="s">
        <v>1060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2"/>
        <v>28</v>
      </c>
      <c r="J183" s="146" t="s">
        <v>1802</v>
      </c>
      <c r="K183" s="31">
        <f t="shared" si="13"/>
        <v>0</v>
      </c>
      <c r="L183" s="32">
        <f t="shared" si="14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t="s">
        <v>213</v>
      </c>
      <c r="C184" t="s">
        <v>1060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2"/>
        <v>28</v>
      </c>
      <c r="J184" s="146" t="s">
        <v>1803</v>
      </c>
      <c r="K184" s="31">
        <f t="shared" si="13"/>
        <v>0</v>
      </c>
      <c r="L184" s="32">
        <f t="shared" si="14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1167</v>
      </c>
      <c r="C185" s="30" t="s">
        <v>1060</v>
      </c>
      <c r="D185" t="s">
        <v>1150</v>
      </c>
      <c r="E185" s="30" t="s">
        <v>1111</v>
      </c>
      <c r="F185" s="30" t="s">
        <v>28</v>
      </c>
      <c r="G185" s="30"/>
      <c r="H185" s="30" t="s">
        <v>1151</v>
      </c>
      <c r="I185" s="31">
        <f t="shared" si="12"/>
        <v>28</v>
      </c>
      <c r="J185" s="146" t="s">
        <v>1804</v>
      </c>
      <c r="K185" s="31">
        <f t="shared" si="13"/>
        <v>0</v>
      </c>
      <c r="L185" s="32">
        <f t="shared" si="14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1166</v>
      </c>
      <c r="C186" s="30" t="s">
        <v>1060</v>
      </c>
      <c r="D186" t="s">
        <v>1150</v>
      </c>
      <c r="E186" s="30" t="s">
        <v>1111</v>
      </c>
      <c r="F186" s="30" t="s">
        <v>28</v>
      </c>
      <c r="G186" s="30"/>
      <c r="H186" s="30" t="s">
        <v>1152</v>
      </c>
      <c r="I186" s="31">
        <f t="shared" si="12"/>
        <v>28</v>
      </c>
      <c r="J186" s="146" t="s">
        <v>1805</v>
      </c>
      <c r="K186" s="31">
        <f t="shared" si="13"/>
        <v>0</v>
      </c>
      <c r="L186" s="32">
        <f t="shared" si="14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191</v>
      </c>
      <c r="B187" s="30" t="s">
        <v>1169</v>
      </c>
      <c r="C187" s="30" t="s">
        <v>1060</v>
      </c>
      <c r="D187" t="s">
        <v>1147</v>
      </c>
      <c r="E187" s="30" t="s">
        <v>73</v>
      </c>
      <c r="F187" s="30" t="s">
        <v>28</v>
      </c>
      <c r="G187" s="30"/>
      <c r="H187" s="30" t="s">
        <v>1148</v>
      </c>
      <c r="I187" s="31">
        <f t="shared" si="12"/>
        <v>25</v>
      </c>
      <c r="J187" s="146" t="s">
        <v>1806</v>
      </c>
      <c r="K187" s="31">
        <f t="shared" si="13"/>
        <v>3</v>
      </c>
      <c r="L187" s="32">
        <f t="shared" si="14"/>
        <v>0.8928571428571429</v>
      </c>
      <c r="M187" s="70" t="s">
        <v>2278</v>
      </c>
      <c r="N187" s="70" t="s">
        <v>2278</v>
      </c>
      <c r="O187" s="70" t="s">
        <v>2278</v>
      </c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191</v>
      </c>
      <c r="B188" s="30" t="s">
        <v>1170</v>
      </c>
      <c r="C188" s="30" t="s">
        <v>1060</v>
      </c>
      <c r="D188" t="s">
        <v>1147</v>
      </c>
      <c r="E188" s="30" t="s">
        <v>73</v>
      </c>
      <c r="F188" s="30" t="s">
        <v>28</v>
      </c>
      <c r="G188" s="30"/>
      <c r="H188" s="30" t="s">
        <v>1149</v>
      </c>
      <c r="I188" s="31">
        <f t="shared" si="12"/>
        <v>25</v>
      </c>
      <c r="J188" s="146" t="s">
        <v>1807</v>
      </c>
      <c r="K188" s="31">
        <f t="shared" si="13"/>
        <v>3</v>
      </c>
      <c r="L188" s="32">
        <f t="shared" si="14"/>
        <v>0.8928571428571429</v>
      </c>
      <c r="M188" s="70" t="s">
        <v>2278</v>
      </c>
      <c r="N188" s="70" t="s">
        <v>2278</v>
      </c>
      <c r="O188" s="70" t="s">
        <v>2278</v>
      </c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191</v>
      </c>
      <c r="B189" s="30" t="s">
        <v>1509</v>
      </c>
      <c r="C189" s="30" t="s">
        <v>1060</v>
      </c>
      <c r="D189" t="s">
        <v>1510</v>
      </c>
      <c r="E189" s="30" t="s">
        <v>19</v>
      </c>
      <c r="F189" s="30" t="s">
        <v>28</v>
      </c>
      <c r="G189" s="30"/>
      <c r="H189" s="30" t="s">
        <v>1511</v>
      </c>
      <c r="I189" s="31">
        <f t="shared" si="12"/>
        <v>28</v>
      </c>
      <c r="J189" s="87"/>
      <c r="K189" s="31">
        <f t="shared" si="13"/>
        <v>0</v>
      </c>
      <c r="L189" s="32">
        <f t="shared" si="14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thickBot="1" x14ac:dyDescent="0.3">
      <c r="A190" s="73" t="s">
        <v>191</v>
      </c>
      <c r="B190" s="85" t="s">
        <v>1548</v>
      </c>
      <c r="C190" s="85" t="s">
        <v>1060</v>
      </c>
      <c r="D190" s="73" t="s">
        <v>1549</v>
      </c>
      <c r="E190" s="85" t="s">
        <v>19</v>
      </c>
      <c r="F190" s="85" t="s">
        <v>1298</v>
      </c>
      <c r="G190" s="85"/>
      <c r="H190" s="85" t="s">
        <v>1550</v>
      </c>
      <c r="I190" s="31">
        <f t="shared" si="12"/>
        <v>28</v>
      </c>
      <c r="J190" s="146" t="s">
        <v>1808</v>
      </c>
      <c r="K190" s="31">
        <f t="shared" si="13"/>
        <v>0</v>
      </c>
      <c r="L190" s="32">
        <f t="shared" si="14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thickBot="1" x14ac:dyDescent="0.3">
      <c r="A191" s="73" t="s">
        <v>191</v>
      </c>
      <c r="B191" s="85" t="s">
        <v>2307</v>
      </c>
      <c r="C191" s="85" t="s">
        <v>1060</v>
      </c>
      <c r="D191" s="73" t="s">
        <v>2308</v>
      </c>
      <c r="E191" s="85" t="s">
        <v>1111</v>
      </c>
      <c r="F191" s="85" t="s">
        <v>1298</v>
      </c>
      <c r="G191" s="85"/>
      <c r="H191" s="85" t="s">
        <v>2309</v>
      </c>
      <c r="I191" s="31">
        <f t="shared" si="12"/>
        <v>28</v>
      </c>
      <c r="J191" s="146"/>
      <c r="K191" s="31">
        <f t="shared" si="13"/>
        <v>0</v>
      </c>
      <c r="L191" s="32">
        <f t="shared" si="14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thickBot="1" x14ac:dyDescent="0.3">
      <c r="A192" s="73" t="s">
        <v>191</v>
      </c>
      <c r="B192" s="85" t="s">
        <v>2160</v>
      </c>
      <c r="C192" s="85" t="s">
        <v>1060</v>
      </c>
      <c r="D192" s="73" t="s">
        <v>2161</v>
      </c>
      <c r="E192" s="85" t="s">
        <v>19</v>
      </c>
      <c r="F192" s="85" t="s">
        <v>1298</v>
      </c>
      <c r="G192" s="85"/>
      <c r="H192" s="85" t="s">
        <v>2162</v>
      </c>
      <c r="I192" s="31">
        <f t="shared" si="12"/>
        <v>28</v>
      </c>
      <c r="J192" s="146" t="s">
        <v>2163</v>
      </c>
      <c r="K192" s="31">
        <f t="shared" si="13"/>
        <v>0</v>
      </c>
      <c r="L192" s="32">
        <f t="shared" si="14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thickBot="1" x14ac:dyDescent="0.3">
      <c r="A193" s="73" t="s">
        <v>191</v>
      </c>
      <c r="B193" s="85" t="s">
        <v>2226</v>
      </c>
      <c r="C193" s="85" t="s">
        <v>1060</v>
      </c>
      <c r="D193" s="73" t="s">
        <v>2227</v>
      </c>
      <c r="E193" s="85" t="s">
        <v>19</v>
      </c>
      <c r="F193" s="85" t="s">
        <v>1298</v>
      </c>
      <c r="G193" s="85"/>
      <c r="H193" s="85" t="s">
        <v>2228</v>
      </c>
      <c r="I193" s="31">
        <f t="shared" si="12"/>
        <v>28</v>
      </c>
      <c r="J193" s="146" t="s">
        <v>2163</v>
      </c>
      <c r="K193" s="31">
        <f t="shared" si="13"/>
        <v>0</v>
      </c>
      <c r="L193" s="32">
        <f t="shared" si="14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B194" s="85" t="s">
        <v>2279</v>
      </c>
      <c r="C194" s="85" t="s">
        <v>1060</v>
      </c>
      <c r="D194" s="73" t="s">
        <v>1530</v>
      </c>
      <c r="E194" s="85" t="s">
        <v>1111</v>
      </c>
      <c r="F194" s="85" t="s">
        <v>1531</v>
      </c>
      <c r="G194" s="85"/>
      <c r="H194" s="85" t="s">
        <v>1532</v>
      </c>
      <c r="I194" s="31">
        <f t="shared" si="12"/>
        <v>28</v>
      </c>
      <c r="J194" s="146" t="s">
        <v>1809</v>
      </c>
      <c r="K194" s="31">
        <f t="shared" si="13"/>
        <v>0</v>
      </c>
      <c r="L194" s="32">
        <f t="shared" si="14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thickBot="1" x14ac:dyDescent="0.3">
      <c r="A195" t="s">
        <v>214</v>
      </c>
      <c r="B195" t="s">
        <v>946</v>
      </c>
      <c r="C195" t="s">
        <v>1060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2"/>
        <v>28</v>
      </c>
      <c r="J195" s="146" t="s">
        <v>1810</v>
      </c>
      <c r="K195" s="31">
        <f t="shared" si="13"/>
        <v>0</v>
      </c>
      <c r="L195" s="32">
        <f t="shared" si="14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214</v>
      </c>
      <c r="B196" t="s">
        <v>947</v>
      </c>
      <c r="C196" t="s">
        <v>1060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2"/>
        <v>28</v>
      </c>
      <c r="J196" s="146" t="s">
        <v>1811</v>
      </c>
      <c r="K196" s="31">
        <f t="shared" si="13"/>
        <v>0</v>
      </c>
      <c r="L196" s="32">
        <f t="shared" si="14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thickBot="1" x14ac:dyDescent="0.3">
      <c r="A197" s="136" t="s">
        <v>217</v>
      </c>
      <c r="B197" s="136" t="s">
        <v>948</v>
      </c>
      <c r="C197" s="136" t="s">
        <v>1060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2"/>
        <v>25</v>
      </c>
      <c r="J197" s="87"/>
      <c r="K197" s="137">
        <f t="shared" si="13"/>
        <v>3</v>
      </c>
      <c r="L197" s="138">
        <f t="shared" si="14"/>
        <v>0.8928571428571429</v>
      </c>
      <c r="M197" s="139" t="s">
        <v>2278</v>
      </c>
      <c r="N197" s="139" t="s">
        <v>2278</v>
      </c>
      <c r="O197" s="139" t="s">
        <v>2278</v>
      </c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thickBot="1" x14ac:dyDescent="0.3">
      <c r="A198" s="73" t="s">
        <v>229</v>
      </c>
      <c r="B198" s="73" t="s">
        <v>230</v>
      </c>
      <c r="C198" s="73" t="s">
        <v>1059</v>
      </c>
      <c r="D198" s="73" t="s">
        <v>231</v>
      </c>
      <c r="E198" s="85" t="s">
        <v>15</v>
      </c>
      <c r="F198" s="85" t="s">
        <v>1298</v>
      </c>
      <c r="G198" s="85"/>
      <c r="H198" s="85" t="s">
        <v>1387</v>
      </c>
      <c r="I198" s="141">
        <f t="shared" si="12"/>
        <v>25</v>
      </c>
      <c r="J198" s="146" t="s">
        <v>1812</v>
      </c>
      <c r="K198" s="141">
        <f t="shared" si="13"/>
        <v>3</v>
      </c>
      <c r="L198" s="142">
        <f t="shared" si="14"/>
        <v>0.8928571428571429</v>
      </c>
      <c r="M198" s="70" t="s">
        <v>2278</v>
      </c>
      <c r="N198" s="70" t="s">
        <v>2278</v>
      </c>
      <c r="O198" s="70" t="s">
        <v>2278</v>
      </c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thickBot="1" x14ac:dyDescent="0.3">
      <c r="A199" s="73" t="s">
        <v>168</v>
      </c>
      <c r="B199" s="73" t="s">
        <v>232</v>
      </c>
      <c r="C199" s="73" t="s">
        <v>1059</v>
      </c>
      <c r="D199" s="73" t="s">
        <v>233</v>
      </c>
      <c r="E199" s="85" t="s">
        <v>19</v>
      </c>
      <c r="F199" s="85" t="s">
        <v>1298</v>
      </c>
      <c r="G199" s="85"/>
      <c r="H199" s="85" t="s">
        <v>1422</v>
      </c>
      <c r="I199" s="141">
        <f t="shared" si="12"/>
        <v>25</v>
      </c>
      <c r="J199" s="146" t="s">
        <v>1813</v>
      </c>
      <c r="K199" s="141">
        <f t="shared" si="13"/>
        <v>3</v>
      </c>
      <c r="L199" s="142">
        <f t="shared" si="14"/>
        <v>0.8928571428571429</v>
      </c>
      <c r="M199" s="70" t="s">
        <v>2278</v>
      </c>
      <c r="N199" s="70" t="s">
        <v>2278</v>
      </c>
      <c r="O199" s="70" t="s">
        <v>2278</v>
      </c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234</v>
      </c>
      <c r="C200" t="s">
        <v>1059</v>
      </c>
      <c r="D200" t="s">
        <v>235</v>
      </c>
      <c r="E200" s="30" t="s">
        <v>19</v>
      </c>
      <c r="F200" s="30" t="s">
        <v>1053</v>
      </c>
      <c r="G200" s="30"/>
      <c r="H200" s="30" t="s">
        <v>1404</v>
      </c>
      <c r="I200" s="31">
        <f t="shared" si="12"/>
        <v>28</v>
      </c>
      <c r="J200" s="146" t="s">
        <v>1814</v>
      </c>
      <c r="K200" s="31">
        <f t="shared" si="13"/>
        <v>0</v>
      </c>
      <c r="L200" s="32">
        <f t="shared" si="14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236</v>
      </c>
      <c r="C201" t="s">
        <v>1059</v>
      </c>
      <c r="D201" t="s">
        <v>237</v>
      </c>
      <c r="E201" s="30" t="s">
        <v>19</v>
      </c>
      <c r="F201" s="30" t="s">
        <v>1053</v>
      </c>
      <c r="G201" s="30"/>
      <c r="H201" s="30" t="s">
        <v>1430</v>
      </c>
      <c r="I201" s="31">
        <f t="shared" si="12"/>
        <v>25</v>
      </c>
      <c r="J201" s="146" t="s">
        <v>1815</v>
      </c>
      <c r="K201" s="31">
        <f t="shared" si="13"/>
        <v>3</v>
      </c>
      <c r="L201" s="32">
        <f t="shared" si="14"/>
        <v>0.8928571428571429</v>
      </c>
      <c r="M201" s="70" t="s">
        <v>2278</v>
      </c>
      <c r="N201" s="70" t="s">
        <v>2278</v>
      </c>
      <c r="O201" s="70" t="s">
        <v>2278</v>
      </c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238</v>
      </c>
      <c r="C202" t="s">
        <v>1059</v>
      </c>
      <c r="D202" t="s">
        <v>239</v>
      </c>
      <c r="E202" s="30" t="s">
        <v>19</v>
      </c>
      <c r="F202" s="30" t="s">
        <v>1053</v>
      </c>
      <c r="G202" s="30"/>
      <c r="H202" s="30" t="s">
        <v>1431</v>
      </c>
      <c r="I202" s="31">
        <f t="shared" si="12"/>
        <v>28</v>
      </c>
      <c r="J202" s="146" t="s">
        <v>1816</v>
      </c>
      <c r="K202" s="31">
        <f t="shared" si="13"/>
        <v>0</v>
      </c>
      <c r="L202" s="32">
        <f t="shared" si="14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240</v>
      </c>
      <c r="C203" t="s">
        <v>1059</v>
      </c>
      <c r="D203" t="s">
        <v>241</v>
      </c>
      <c r="E203" s="30" t="s">
        <v>15</v>
      </c>
      <c r="F203" s="30" t="s">
        <v>1298</v>
      </c>
      <c r="G203" s="30"/>
      <c r="H203" s="30" t="s">
        <v>2323</v>
      </c>
      <c r="I203" s="31">
        <f t="shared" si="12"/>
        <v>28</v>
      </c>
      <c r="J203" s="87"/>
      <c r="K203" s="31">
        <f t="shared" si="13"/>
        <v>0</v>
      </c>
      <c r="L203" s="32">
        <f t="shared" si="14"/>
        <v>1</v>
      </c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</row>
    <row r="204" spans="1:43" s="73" customFormat="1" ht="15.75" thickBot="1" x14ac:dyDescent="0.3">
      <c r="A204" s="73" t="s">
        <v>219</v>
      </c>
      <c r="B204" s="73" t="s">
        <v>220</v>
      </c>
      <c r="C204" s="73" t="s">
        <v>1059</v>
      </c>
      <c r="D204" s="73" t="s">
        <v>221</v>
      </c>
      <c r="E204" s="85" t="s">
        <v>15</v>
      </c>
      <c r="F204" s="85" t="s">
        <v>1298</v>
      </c>
      <c r="G204" s="85"/>
      <c r="H204" s="85" t="s">
        <v>1587</v>
      </c>
      <c r="I204" s="141">
        <f t="shared" si="12"/>
        <v>28</v>
      </c>
      <c r="J204" s="146" t="s">
        <v>1817</v>
      </c>
      <c r="K204" s="141">
        <f t="shared" si="13"/>
        <v>0</v>
      </c>
      <c r="L204" s="142">
        <f t="shared" si="14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953</v>
      </c>
      <c r="C205" t="s">
        <v>1059</v>
      </c>
      <c r="D205" t="s">
        <v>222</v>
      </c>
      <c r="E205" s="30" t="s">
        <v>15</v>
      </c>
      <c r="F205" s="30" t="s">
        <v>1298</v>
      </c>
      <c r="G205" s="30"/>
      <c r="H205" s="30" t="s">
        <v>1402</v>
      </c>
      <c r="I205" s="31">
        <f t="shared" si="12"/>
        <v>28</v>
      </c>
      <c r="J205" s="146" t="s">
        <v>1818</v>
      </c>
      <c r="K205" s="31">
        <f t="shared" si="13"/>
        <v>0</v>
      </c>
      <c r="L205" s="32">
        <f t="shared" si="14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954</v>
      </c>
      <c r="C206" t="s">
        <v>1059</v>
      </c>
      <c r="D206" t="s">
        <v>223</v>
      </c>
      <c r="E206" s="30" t="s">
        <v>15</v>
      </c>
      <c r="F206" s="30" t="s">
        <v>1053</v>
      </c>
      <c r="G206" s="30"/>
      <c r="H206" s="30" t="s">
        <v>1209</v>
      </c>
      <c r="I206" s="31">
        <f t="shared" si="12"/>
        <v>28</v>
      </c>
      <c r="J206" s="146" t="s">
        <v>1819</v>
      </c>
      <c r="K206" s="31">
        <f t="shared" si="13"/>
        <v>0</v>
      </c>
      <c r="L206" s="32">
        <f t="shared" si="14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thickBot="1" x14ac:dyDescent="0.3">
      <c r="A207" s="73" t="s">
        <v>219</v>
      </c>
      <c r="B207" s="73" t="s">
        <v>224</v>
      </c>
      <c r="C207" s="73" t="s">
        <v>1059</v>
      </c>
      <c r="D207" s="73" t="s">
        <v>225</v>
      </c>
      <c r="E207" s="85" t="s">
        <v>15</v>
      </c>
      <c r="F207" s="85" t="s">
        <v>1298</v>
      </c>
      <c r="G207" s="85"/>
      <c r="H207" s="85" t="s">
        <v>1401</v>
      </c>
      <c r="I207" s="141">
        <f t="shared" si="12"/>
        <v>28</v>
      </c>
      <c r="J207" s="146" t="s">
        <v>1820</v>
      </c>
      <c r="K207" s="141">
        <f t="shared" si="13"/>
        <v>0</v>
      </c>
      <c r="L207" s="142">
        <f t="shared" si="14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242</v>
      </c>
      <c r="C208" t="s">
        <v>1059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2"/>
        <v>28</v>
      </c>
      <c r="J208" s="146" t="s">
        <v>1821</v>
      </c>
      <c r="K208" s="31">
        <f t="shared" si="13"/>
        <v>0</v>
      </c>
      <c r="L208" s="32">
        <f t="shared" si="14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226</v>
      </c>
      <c r="C209" t="s">
        <v>1059</v>
      </c>
      <c r="D209" t="s">
        <v>227</v>
      </c>
      <c r="E209" s="30" t="s">
        <v>73</v>
      </c>
      <c r="F209" s="30" t="s">
        <v>1053</v>
      </c>
      <c r="G209" s="30" t="s">
        <v>1246</v>
      </c>
      <c r="H209" s="30" t="s">
        <v>704</v>
      </c>
      <c r="I209" s="31">
        <f t="shared" si="12"/>
        <v>28</v>
      </c>
      <c r="J209" s="146" t="s">
        <v>1822</v>
      </c>
      <c r="K209" s="31">
        <f t="shared" si="13"/>
        <v>0</v>
      </c>
      <c r="L209" s="32">
        <f t="shared" si="14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228</v>
      </c>
      <c r="C210" t="s">
        <v>1059</v>
      </c>
      <c r="D210" t="s">
        <v>227</v>
      </c>
      <c r="E210" s="30" t="s">
        <v>73</v>
      </c>
      <c r="F210" s="30" t="s">
        <v>1053</v>
      </c>
      <c r="G210" s="30" t="s">
        <v>1246</v>
      </c>
      <c r="H210" s="30" t="s">
        <v>705</v>
      </c>
      <c r="I210" s="31">
        <f t="shared" si="12"/>
        <v>28</v>
      </c>
      <c r="J210" s="146" t="s">
        <v>1823</v>
      </c>
      <c r="K210" s="31">
        <f t="shared" si="13"/>
        <v>0</v>
      </c>
      <c r="L210" s="32">
        <f t="shared" si="14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219</v>
      </c>
      <c r="B211" t="s">
        <v>949</v>
      </c>
      <c r="C211" t="s">
        <v>1059</v>
      </c>
      <c r="D211" t="s">
        <v>244</v>
      </c>
      <c r="E211" s="30" t="s">
        <v>73</v>
      </c>
      <c r="F211" s="30" t="s">
        <v>1053</v>
      </c>
      <c r="G211" s="30" t="s">
        <v>1246</v>
      </c>
      <c r="H211" s="30" t="s">
        <v>706</v>
      </c>
      <c r="I211" s="31">
        <f t="shared" si="12"/>
        <v>28</v>
      </c>
      <c r="J211" s="146" t="s">
        <v>1824</v>
      </c>
      <c r="K211" s="31">
        <f t="shared" si="13"/>
        <v>0</v>
      </c>
      <c r="L211" s="32">
        <f t="shared" si="14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thickBot="1" x14ac:dyDescent="0.3">
      <c r="A212" t="s">
        <v>219</v>
      </c>
      <c r="B212" t="s">
        <v>950</v>
      </c>
      <c r="C212" t="s">
        <v>1059</v>
      </c>
      <c r="D212" t="s">
        <v>244</v>
      </c>
      <c r="E212" s="30" t="s">
        <v>73</v>
      </c>
      <c r="F212" s="30" t="s">
        <v>1053</v>
      </c>
      <c r="G212" s="30" t="s">
        <v>1246</v>
      </c>
      <c r="H212" s="30" t="s">
        <v>707</v>
      </c>
      <c r="I212" s="31">
        <f t="shared" si="12"/>
        <v>28</v>
      </c>
      <c r="J212" s="146" t="s">
        <v>1825</v>
      </c>
      <c r="K212" s="31">
        <f t="shared" si="13"/>
        <v>0</v>
      </c>
      <c r="L212" s="32">
        <f t="shared" si="14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219</v>
      </c>
      <c r="B213" t="s">
        <v>951</v>
      </c>
      <c r="C213" t="s">
        <v>1059</v>
      </c>
      <c r="D213" t="s">
        <v>245</v>
      </c>
      <c r="E213" s="30" t="s">
        <v>73</v>
      </c>
      <c r="F213" s="30" t="s">
        <v>1053</v>
      </c>
      <c r="G213" s="30" t="s">
        <v>1246</v>
      </c>
      <c r="H213" s="30" t="s">
        <v>708</v>
      </c>
      <c r="I213" s="31">
        <f t="shared" si="12"/>
        <v>28</v>
      </c>
      <c r="J213" s="146" t="s">
        <v>1826</v>
      </c>
      <c r="K213" s="31">
        <f t="shared" si="13"/>
        <v>0</v>
      </c>
      <c r="L213" s="32">
        <f t="shared" si="14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219</v>
      </c>
      <c r="B214" t="s">
        <v>952</v>
      </c>
      <c r="C214" t="s">
        <v>1059</v>
      </c>
      <c r="D214" t="s">
        <v>245</v>
      </c>
      <c r="E214" s="30" t="s">
        <v>73</v>
      </c>
      <c r="F214" s="30" t="s">
        <v>1053</v>
      </c>
      <c r="G214" s="30" t="s">
        <v>1246</v>
      </c>
      <c r="H214" s="30" t="s">
        <v>709</v>
      </c>
      <c r="I214" s="31">
        <f t="shared" si="12"/>
        <v>28</v>
      </c>
      <c r="J214" s="146" t="s">
        <v>1683</v>
      </c>
      <c r="K214" s="31">
        <f t="shared" si="13"/>
        <v>0</v>
      </c>
      <c r="L214" s="32">
        <f t="shared" si="14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219</v>
      </c>
      <c r="B215" s="73" t="s">
        <v>1227</v>
      </c>
      <c r="C215" s="73" t="s">
        <v>1059</v>
      </c>
      <c r="D215" s="73" t="s">
        <v>1226</v>
      </c>
      <c r="E215" s="73" t="s">
        <v>19</v>
      </c>
      <c r="F215" s="73" t="s">
        <v>1298</v>
      </c>
      <c r="H215" s="85" t="s">
        <v>1236</v>
      </c>
      <c r="I215" s="141">
        <f t="shared" si="12"/>
        <v>28</v>
      </c>
      <c r="J215" s="146" t="s">
        <v>1827</v>
      </c>
      <c r="K215" s="141">
        <f t="shared" si="13"/>
        <v>0</v>
      </c>
      <c r="L215" s="142">
        <f t="shared" si="14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219</v>
      </c>
      <c r="B216" s="73" t="s">
        <v>1584</v>
      </c>
      <c r="C216" s="73" t="s">
        <v>1059</v>
      </c>
      <c r="D216" s="73" t="s">
        <v>1585</v>
      </c>
      <c r="E216" s="85" t="s">
        <v>73</v>
      </c>
      <c r="F216" s="85" t="s">
        <v>1298</v>
      </c>
      <c r="H216" s="85" t="s">
        <v>1586</v>
      </c>
      <c r="I216" s="141">
        <f t="shared" si="12"/>
        <v>28</v>
      </c>
      <c r="J216" s="146" t="s">
        <v>1828</v>
      </c>
      <c r="K216" s="141">
        <f t="shared" si="13"/>
        <v>0</v>
      </c>
      <c r="L216" s="142">
        <f t="shared" si="14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thickBot="1" x14ac:dyDescent="0.3">
      <c r="A217" s="73" t="s">
        <v>219</v>
      </c>
      <c r="B217" s="73" t="s">
        <v>2197</v>
      </c>
      <c r="C217" s="73" t="s">
        <v>1059</v>
      </c>
      <c r="D217" s="73" t="s">
        <v>2198</v>
      </c>
      <c r="E217" s="85" t="s">
        <v>73</v>
      </c>
      <c r="F217" s="85" t="s">
        <v>1298</v>
      </c>
      <c r="H217" s="85" t="s">
        <v>2199</v>
      </c>
      <c r="I217" s="141">
        <f t="shared" si="12"/>
        <v>28</v>
      </c>
      <c r="J217" s="146" t="s">
        <v>2200</v>
      </c>
      <c r="K217" s="141">
        <f t="shared" si="13"/>
        <v>0</v>
      </c>
      <c r="L217" s="142">
        <f t="shared" si="14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246</v>
      </c>
      <c r="C218" t="s">
        <v>1059</v>
      </c>
      <c r="D218" t="s">
        <v>247</v>
      </c>
      <c r="E218" s="30" t="s">
        <v>15</v>
      </c>
      <c r="F218" s="30" t="s">
        <v>1053</v>
      </c>
      <c r="G218" s="30" t="s">
        <v>45</v>
      </c>
      <c r="H218" s="30" t="s">
        <v>710</v>
      </c>
      <c r="I218" s="31">
        <f t="shared" si="12"/>
        <v>28</v>
      </c>
      <c r="J218" s="146" t="s">
        <v>1829</v>
      </c>
      <c r="K218" s="31">
        <f t="shared" si="13"/>
        <v>0</v>
      </c>
      <c r="L218" s="32">
        <f t="shared" si="14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101</v>
      </c>
      <c r="B219" s="73" t="s">
        <v>248</v>
      </c>
      <c r="C219" s="73" t="s">
        <v>1059</v>
      </c>
      <c r="D219" s="73" t="s">
        <v>249</v>
      </c>
      <c r="E219" s="85" t="s">
        <v>15</v>
      </c>
      <c r="F219" s="85" t="s">
        <v>1298</v>
      </c>
      <c r="G219" s="85" t="s">
        <v>45</v>
      </c>
      <c r="H219" s="85" t="s">
        <v>2280</v>
      </c>
      <c r="I219" s="141">
        <f t="shared" si="12"/>
        <v>28</v>
      </c>
      <c r="J219" s="146" t="s">
        <v>1830</v>
      </c>
      <c r="K219" s="141">
        <f t="shared" si="13"/>
        <v>0</v>
      </c>
      <c r="L219" s="142">
        <f t="shared" si="14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thickBot="1" x14ac:dyDescent="0.3">
      <c r="A220" s="73" t="s">
        <v>101</v>
      </c>
      <c r="B220" s="73" t="s">
        <v>250</v>
      </c>
      <c r="C220" s="73" t="s">
        <v>1059</v>
      </c>
      <c r="D220" s="73" t="s">
        <v>251</v>
      </c>
      <c r="E220" s="85" t="s">
        <v>15</v>
      </c>
      <c r="F220" s="85" t="s">
        <v>1298</v>
      </c>
      <c r="G220" s="85" t="s">
        <v>45</v>
      </c>
      <c r="H220" s="85" t="s">
        <v>711</v>
      </c>
      <c r="I220" s="141">
        <f t="shared" si="12"/>
        <v>28</v>
      </c>
      <c r="J220" s="146" t="s">
        <v>1831</v>
      </c>
      <c r="K220" s="141">
        <f t="shared" si="13"/>
        <v>0</v>
      </c>
      <c r="L220" s="142">
        <f t="shared" si="14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101</v>
      </c>
      <c r="B221" t="s">
        <v>1513</v>
      </c>
      <c r="C221" t="s">
        <v>1059</v>
      </c>
      <c r="D221" t="s">
        <v>1514</v>
      </c>
      <c r="E221" s="30" t="s">
        <v>15</v>
      </c>
      <c r="F221" s="30" t="s">
        <v>28</v>
      </c>
      <c r="G221" s="30"/>
      <c r="H221" s="30" t="s">
        <v>1515</v>
      </c>
      <c r="I221" s="141">
        <f t="shared" si="12"/>
        <v>28</v>
      </c>
      <c r="J221" s="146" t="s">
        <v>1832</v>
      </c>
      <c r="K221" s="141">
        <f t="shared" si="13"/>
        <v>0</v>
      </c>
      <c r="L221" s="142">
        <f t="shared" si="14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101</v>
      </c>
      <c r="B222" t="s">
        <v>2263</v>
      </c>
      <c r="C222" t="s">
        <v>1059</v>
      </c>
      <c r="D222" t="s">
        <v>2264</v>
      </c>
      <c r="E222" s="30" t="s">
        <v>15</v>
      </c>
      <c r="F222" s="85" t="s">
        <v>1298</v>
      </c>
      <c r="G222" s="30"/>
      <c r="H222" s="30" t="s">
        <v>2265</v>
      </c>
      <c r="I222" s="141">
        <f t="shared" si="12"/>
        <v>28</v>
      </c>
      <c r="J222" s="150" t="s">
        <v>2266</v>
      </c>
      <c r="K222" s="141">
        <f t="shared" si="13"/>
        <v>0</v>
      </c>
      <c r="L222" s="142">
        <f t="shared" si="14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199</v>
      </c>
      <c r="B223" t="s">
        <v>1181</v>
      </c>
      <c r="C223" t="s">
        <v>1060</v>
      </c>
      <c r="D223" t="s">
        <v>1182</v>
      </c>
      <c r="E223" s="30" t="s">
        <v>73</v>
      </c>
      <c r="F223" s="30" t="s">
        <v>16</v>
      </c>
      <c r="G223" s="30"/>
      <c r="H223" s="30" t="s">
        <v>1267</v>
      </c>
      <c r="I223" s="31">
        <f t="shared" si="12"/>
        <v>28</v>
      </c>
      <c r="J223" s="87"/>
      <c r="K223" s="31">
        <f t="shared" si="13"/>
        <v>0</v>
      </c>
      <c r="L223" s="32">
        <f t="shared" si="14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199</v>
      </c>
      <c r="B224" t="s">
        <v>1183</v>
      </c>
      <c r="C224" t="s">
        <v>1060</v>
      </c>
      <c r="D224" t="s">
        <v>1184</v>
      </c>
      <c r="E224" s="30" t="s">
        <v>73</v>
      </c>
      <c r="F224" s="30" t="s">
        <v>20</v>
      </c>
      <c r="G224" s="30"/>
      <c r="H224" s="30" t="s">
        <v>1268</v>
      </c>
      <c r="I224" s="31">
        <f t="shared" si="12"/>
        <v>28</v>
      </c>
      <c r="J224" s="87"/>
      <c r="K224" s="31">
        <f t="shared" si="13"/>
        <v>0</v>
      </c>
      <c r="L224" s="32">
        <f t="shared" si="14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1440</v>
      </c>
      <c r="B225" t="s">
        <v>955</v>
      </c>
      <c r="C225" t="s">
        <v>1059</v>
      </c>
      <c r="D225" t="s">
        <v>1083</v>
      </c>
      <c r="E225" s="30" t="s">
        <v>19</v>
      </c>
      <c r="F225" s="30" t="s">
        <v>1053</v>
      </c>
      <c r="G225" s="30"/>
      <c r="H225" s="30" t="s">
        <v>1429</v>
      </c>
      <c r="I225" s="31">
        <f t="shared" si="12"/>
        <v>28</v>
      </c>
      <c r="J225" s="146" t="s">
        <v>1833</v>
      </c>
      <c r="K225" s="31">
        <f t="shared" si="13"/>
        <v>0</v>
      </c>
      <c r="L225" s="32">
        <f t="shared" si="14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thickBot="1" x14ac:dyDescent="0.3">
      <c r="A226" s="73" t="s">
        <v>168</v>
      </c>
      <c r="B226" s="73" t="s">
        <v>252</v>
      </c>
      <c r="C226" s="73" t="s">
        <v>1059</v>
      </c>
      <c r="D226" s="73" t="s">
        <v>253</v>
      </c>
      <c r="E226" s="85" t="s">
        <v>19</v>
      </c>
      <c r="F226" s="85" t="s">
        <v>1298</v>
      </c>
      <c r="G226" s="85"/>
      <c r="H226" s="85" t="s">
        <v>1411</v>
      </c>
      <c r="I226" s="141">
        <f t="shared" si="12"/>
        <v>28</v>
      </c>
      <c r="J226" s="146" t="s">
        <v>1834</v>
      </c>
      <c r="K226" s="141">
        <f t="shared" si="13"/>
        <v>0</v>
      </c>
      <c r="L226" s="142">
        <f t="shared" si="14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254</v>
      </c>
      <c r="B227" t="s">
        <v>255</v>
      </c>
      <c r="C227" t="s">
        <v>1059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2"/>
        <v>28</v>
      </c>
      <c r="J227" s="146" t="s">
        <v>1835</v>
      </c>
      <c r="K227" s="31">
        <f t="shared" si="13"/>
        <v>0</v>
      </c>
      <c r="L227" s="32">
        <f t="shared" si="14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254</v>
      </c>
      <c r="B228" t="s">
        <v>257</v>
      </c>
      <c r="C228" t="s">
        <v>1059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2"/>
        <v>28</v>
      </c>
      <c r="J228" s="146" t="s">
        <v>1836</v>
      </c>
      <c r="K228" s="31">
        <f t="shared" si="13"/>
        <v>0</v>
      </c>
      <c r="L228" s="32">
        <f t="shared" si="14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thickBot="1" x14ac:dyDescent="0.3">
      <c r="A229" s="73" t="s">
        <v>254</v>
      </c>
      <c r="B229" s="73" t="s">
        <v>1320</v>
      </c>
      <c r="C229" s="73" t="s">
        <v>1059</v>
      </c>
      <c r="D229" s="73" t="s">
        <v>1324</v>
      </c>
      <c r="E229" s="85" t="s">
        <v>15</v>
      </c>
      <c r="F229" s="85" t="s">
        <v>1298</v>
      </c>
      <c r="G229" s="85"/>
      <c r="H229" s="85" t="s">
        <v>1329</v>
      </c>
      <c r="I229" s="141">
        <f t="shared" si="12"/>
        <v>28</v>
      </c>
      <c r="J229" s="146" t="s">
        <v>1837</v>
      </c>
      <c r="K229" s="141">
        <f t="shared" si="13"/>
        <v>0</v>
      </c>
      <c r="L229" s="142">
        <f t="shared" si="14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thickBot="1" x14ac:dyDescent="0.3">
      <c r="A230" s="73" t="s">
        <v>254</v>
      </c>
      <c r="B230" s="73" t="s">
        <v>1414</v>
      </c>
      <c r="C230" s="73" t="s">
        <v>1059</v>
      </c>
      <c r="D230" s="73" t="s">
        <v>1415</v>
      </c>
      <c r="E230" s="85" t="s">
        <v>15</v>
      </c>
      <c r="F230" s="85" t="s">
        <v>1298</v>
      </c>
      <c r="G230" s="85"/>
      <c r="H230" s="85" t="s">
        <v>1416</v>
      </c>
      <c r="I230" s="141">
        <f t="shared" si="12"/>
        <v>28</v>
      </c>
      <c r="J230" s="146" t="s">
        <v>1838</v>
      </c>
      <c r="K230" s="141">
        <f t="shared" si="13"/>
        <v>0</v>
      </c>
      <c r="L230" s="142">
        <f t="shared" si="14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thickBot="1" x14ac:dyDescent="0.3">
      <c r="A231" s="73" t="s">
        <v>254</v>
      </c>
      <c r="B231" s="73" t="s">
        <v>1588</v>
      </c>
      <c r="C231" s="73" t="s">
        <v>1059</v>
      </c>
      <c r="D231" s="73" t="s">
        <v>1589</v>
      </c>
      <c r="E231" s="85" t="s">
        <v>15</v>
      </c>
      <c r="F231" s="85" t="s">
        <v>1298</v>
      </c>
      <c r="G231" s="85"/>
      <c r="H231" s="85" t="s">
        <v>1590</v>
      </c>
      <c r="I231" s="141">
        <f t="shared" si="12"/>
        <v>28</v>
      </c>
      <c r="J231" s="87"/>
      <c r="K231" s="141">
        <f t="shared" si="13"/>
        <v>0</v>
      </c>
      <c r="L231" s="142">
        <f t="shared" si="14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thickBot="1" x14ac:dyDescent="0.3">
      <c r="A232" s="73" t="s">
        <v>254</v>
      </c>
      <c r="B232" s="73" t="s">
        <v>2281</v>
      </c>
      <c r="C232" s="73" t="s">
        <v>1059</v>
      </c>
      <c r="D232" s="73" t="s">
        <v>2282</v>
      </c>
      <c r="E232" s="85" t="s">
        <v>15</v>
      </c>
      <c r="F232" s="85" t="s">
        <v>1298</v>
      </c>
      <c r="G232" s="85"/>
      <c r="H232" s="85" t="s">
        <v>2283</v>
      </c>
      <c r="I232" s="141">
        <f t="shared" si="12"/>
        <v>28</v>
      </c>
      <c r="J232" s="151" t="s">
        <v>2284</v>
      </c>
      <c r="K232" s="141">
        <f t="shared" si="13"/>
        <v>0</v>
      </c>
      <c r="L232" s="142">
        <f t="shared" si="14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thickBot="1" x14ac:dyDescent="0.3">
      <c r="A233" s="73" t="s">
        <v>258</v>
      </c>
      <c r="B233" s="73" t="s">
        <v>956</v>
      </c>
      <c r="C233" s="73" t="s">
        <v>1060</v>
      </c>
      <c r="D233" s="73" t="s">
        <v>259</v>
      </c>
      <c r="E233" s="85" t="s">
        <v>15</v>
      </c>
      <c r="F233" s="85" t="s">
        <v>1298</v>
      </c>
      <c r="G233" s="85"/>
      <c r="H233" s="85" t="s">
        <v>713</v>
      </c>
      <c r="I233" s="141">
        <f t="shared" si="12"/>
        <v>28</v>
      </c>
      <c r="J233" s="146" t="s">
        <v>1839</v>
      </c>
      <c r="K233" s="141">
        <f t="shared" si="13"/>
        <v>0</v>
      </c>
      <c r="L233" s="142">
        <f t="shared" si="14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thickBot="1" x14ac:dyDescent="0.3">
      <c r="A234" s="73" t="s">
        <v>258</v>
      </c>
      <c r="B234" s="73" t="s">
        <v>260</v>
      </c>
      <c r="C234" s="73" t="s">
        <v>1060</v>
      </c>
      <c r="D234" s="73" t="s">
        <v>261</v>
      </c>
      <c r="E234" s="85" t="s">
        <v>73</v>
      </c>
      <c r="F234" s="85" t="s">
        <v>1298</v>
      </c>
      <c r="G234" s="85"/>
      <c r="H234" s="85" t="s">
        <v>714</v>
      </c>
      <c r="I234" s="141">
        <f t="shared" si="12"/>
        <v>28</v>
      </c>
      <c r="J234" s="146" t="s">
        <v>1840</v>
      </c>
      <c r="K234" s="141">
        <f t="shared" si="13"/>
        <v>0</v>
      </c>
      <c r="L234" s="142">
        <f t="shared" si="14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thickBot="1" x14ac:dyDescent="0.3">
      <c r="A235" s="73" t="s">
        <v>258</v>
      </c>
      <c r="B235" s="73" t="s">
        <v>262</v>
      </c>
      <c r="C235" s="73" t="s">
        <v>1060</v>
      </c>
      <c r="D235" s="73" t="s">
        <v>261</v>
      </c>
      <c r="E235" s="85" t="s">
        <v>73</v>
      </c>
      <c r="F235" s="85" t="s">
        <v>1298</v>
      </c>
      <c r="G235" s="85"/>
      <c r="H235" s="85" t="s">
        <v>715</v>
      </c>
      <c r="I235" s="141">
        <f t="shared" si="12"/>
        <v>28</v>
      </c>
      <c r="J235" s="146" t="s">
        <v>1841</v>
      </c>
      <c r="K235" s="141">
        <f t="shared" si="13"/>
        <v>0</v>
      </c>
      <c r="L235" s="142">
        <f t="shared" si="14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thickBot="1" x14ac:dyDescent="0.3">
      <c r="A236" s="73" t="s">
        <v>258</v>
      </c>
      <c r="B236" s="73" t="s">
        <v>2273</v>
      </c>
      <c r="C236" s="73" t="s">
        <v>1060</v>
      </c>
      <c r="D236" s="73" t="s">
        <v>2274</v>
      </c>
      <c r="E236" s="85" t="s">
        <v>15</v>
      </c>
      <c r="F236" s="85" t="s">
        <v>1298</v>
      </c>
      <c r="G236" s="85"/>
      <c r="H236" s="85" t="s">
        <v>2275</v>
      </c>
      <c r="I236" s="141">
        <f t="shared" si="12"/>
        <v>28</v>
      </c>
      <c r="J236" s="146" t="s">
        <v>2276</v>
      </c>
      <c r="K236" s="141">
        <f t="shared" si="13"/>
        <v>0</v>
      </c>
      <c r="L236" s="142">
        <f t="shared" si="14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957</v>
      </c>
      <c r="C237" t="s">
        <v>1059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2"/>
        <v>25</v>
      </c>
      <c r="J237" s="146" t="s">
        <v>1842</v>
      </c>
      <c r="K237" s="31">
        <f t="shared" si="13"/>
        <v>3</v>
      </c>
      <c r="L237" s="32">
        <f t="shared" si="14"/>
        <v>0.8928571428571429</v>
      </c>
      <c r="M237" s="70" t="s">
        <v>2278</v>
      </c>
      <c r="N237" s="70" t="s">
        <v>2278</v>
      </c>
      <c r="O237" s="70" t="s">
        <v>2278</v>
      </c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958</v>
      </c>
      <c r="C238" t="s">
        <v>1059</v>
      </c>
      <c r="D238" t="s">
        <v>1084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2"/>
        <v>28</v>
      </c>
      <c r="J238" s="146" t="s">
        <v>1843</v>
      </c>
      <c r="K238" s="31">
        <f t="shared" si="13"/>
        <v>0</v>
      </c>
      <c r="L238" s="32">
        <f t="shared" si="14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959</v>
      </c>
      <c r="C239" t="s">
        <v>1059</v>
      </c>
      <c r="D239" t="s">
        <v>279</v>
      </c>
      <c r="E239" s="30" t="s">
        <v>19</v>
      </c>
      <c r="F239" s="30" t="s">
        <v>28</v>
      </c>
      <c r="G239" s="30"/>
      <c r="H239" s="30" t="s">
        <v>1478</v>
      </c>
      <c r="I239" s="31">
        <f t="shared" si="12"/>
        <v>28</v>
      </c>
      <c r="J239" s="146" t="s">
        <v>1844</v>
      </c>
      <c r="K239" s="31">
        <f t="shared" si="13"/>
        <v>0</v>
      </c>
      <c r="L239" s="32">
        <f t="shared" si="14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960</v>
      </c>
      <c r="C240" t="s">
        <v>1059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2"/>
        <v>28</v>
      </c>
      <c r="J240" s="146" t="s">
        <v>1845</v>
      </c>
      <c r="K240" s="31">
        <f t="shared" si="13"/>
        <v>0</v>
      </c>
      <c r="L240" s="32">
        <f t="shared" si="14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961</v>
      </c>
      <c r="C241" t="s">
        <v>1059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2"/>
        <v>28</v>
      </c>
      <c r="J241" s="146" t="s">
        <v>1846</v>
      </c>
      <c r="K241" s="31">
        <f t="shared" si="13"/>
        <v>0</v>
      </c>
      <c r="L241" s="32">
        <f t="shared" si="14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962</v>
      </c>
      <c r="C242" t="s">
        <v>1059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2"/>
        <v>28</v>
      </c>
      <c r="J242" s="146" t="s">
        <v>1847</v>
      </c>
      <c r="K242" s="31">
        <f t="shared" si="13"/>
        <v>0</v>
      </c>
      <c r="L242" s="32">
        <f t="shared" si="14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264</v>
      </c>
      <c r="B243" t="s">
        <v>265</v>
      </c>
      <c r="C243" t="s">
        <v>1059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2"/>
        <v>28</v>
      </c>
      <c r="J243" s="146" t="s">
        <v>1848</v>
      </c>
      <c r="K243" s="31">
        <f t="shared" si="13"/>
        <v>0</v>
      </c>
      <c r="L243" s="32">
        <f t="shared" si="14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268</v>
      </c>
      <c r="C244" t="s">
        <v>1059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2"/>
        <v>28</v>
      </c>
      <c r="J244" s="146" t="s">
        <v>1849</v>
      </c>
      <c r="K244" s="31">
        <f t="shared" si="13"/>
        <v>0</v>
      </c>
      <c r="L244" s="32">
        <f t="shared" si="14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270</v>
      </c>
      <c r="C245" t="s">
        <v>1059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5">COUNTIF(M245:AN245,"")</f>
        <v>28</v>
      </c>
      <c r="J245" s="146" t="s">
        <v>1850</v>
      </c>
      <c r="K245" s="31">
        <f t="shared" ref="K245:K317" si="16">COUNTIF(M245:AN245,"APAGADO")</f>
        <v>0</v>
      </c>
      <c r="L245" s="32">
        <f t="shared" ref="L245:L317" si="17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264</v>
      </c>
      <c r="B246" t="s">
        <v>273</v>
      </c>
      <c r="C246" t="s">
        <v>1059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5"/>
        <v>28</v>
      </c>
      <c r="J246" s="146" t="s">
        <v>1851</v>
      </c>
      <c r="K246" s="31">
        <f t="shared" si="16"/>
        <v>0</v>
      </c>
      <c r="L246" s="32">
        <f t="shared" si="17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267</v>
      </c>
      <c r="B247" t="s">
        <v>275</v>
      </c>
      <c r="C247" t="s">
        <v>1059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5"/>
        <v>28</v>
      </c>
      <c r="J247" s="146" t="s">
        <v>1852</v>
      </c>
      <c r="K247" s="31">
        <f t="shared" si="16"/>
        <v>0</v>
      </c>
      <c r="L247" s="32">
        <f t="shared" si="17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267</v>
      </c>
      <c r="B248" t="s">
        <v>277</v>
      </c>
      <c r="C248" t="s">
        <v>1059</v>
      </c>
      <c r="D248" t="s">
        <v>278</v>
      </c>
      <c r="E248" s="30" t="s">
        <v>19</v>
      </c>
      <c r="F248" s="30" t="s">
        <v>28</v>
      </c>
      <c r="G248" s="30"/>
      <c r="H248" s="30" t="s">
        <v>1438</v>
      </c>
      <c r="I248" s="31">
        <f t="shared" si="15"/>
        <v>28</v>
      </c>
      <c r="J248" s="146" t="s">
        <v>1853</v>
      </c>
      <c r="K248" s="31">
        <f t="shared" si="16"/>
        <v>0</v>
      </c>
      <c r="L248" s="32">
        <f t="shared" si="17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267</v>
      </c>
      <c r="B249" t="s">
        <v>280</v>
      </c>
      <c r="C249" t="s">
        <v>1059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5"/>
        <v>28</v>
      </c>
      <c r="J249" s="146" t="s">
        <v>1854</v>
      </c>
      <c r="K249" s="31">
        <f t="shared" si="16"/>
        <v>0</v>
      </c>
      <c r="L249" s="32">
        <f t="shared" si="17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267</v>
      </c>
      <c r="B250" t="s">
        <v>283</v>
      </c>
      <c r="C250" t="s">
        <v>1059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5"/>
        <v>25</v>
      </c>
      <c r="J250" s="146" t="s">
        <v>1855</v>
      </c>
      <c r="K250" s="31">
        <f t="shared" si="16"/>
        <v>3</v>
      </c>
      <c r="L250" s="32">
        <f t="shared" si="17"/>
        <v>0.8928571428571429</v>
      </c>
      <c r="M250" s="70" t="s">
        <v>2278</v>
      </c>
      <c r="N250" s="70" t="s">
        <v>2278</v>
      </c>
      <c r="O250" s="70" t="s">
        <v>2278</v>
      </c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267</v>
      </c>
      <c r="B251" s="30" t="s">
        <v>1208</v>
      </c>
      <c r="C251" s="30" t="s">
        <v>1059</v>
      </c>
      <c r="D251" t="s">
        <v>1203</v>
      </c>
      <c r="E251" s="30" t="s">
        <v>15</v>
      </c>
      <c r="F251" s="30" t="s">
        <v>28</v>
      </c>
      <c r="G251" s="30"/>
      <c r="H251" s="30" t="s">
        <v>1204</v>
      </c>
      <c r="I251" s="31">
        <f t="shared" si="15"/>
        <v>25</v>
      </c>
      <c r="J251" s="146" t="s">
        <v>1856</v>
      </c>
      <c r="K251" s="31">
        <f t="shared" si="16"/>
        <v>3</v>
      </c>
      <c r="L251" s="32">
        <f t="shared" si="17"/>
        <v>0.8928571428571429</v>
      </c>
      <c r="M251" s="70" t="s">
        <v>2278</v>
      </c>
      <c r="N251" s="70" t="s">
        <v>2278</v>
      </c>
      <c r="O251" s="70" t="s">
        <v>2278</v>
      </c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90" customFormat="1" ht="15.75" thickBot="1" x14ac:dyDescent="0.3">
      <c r="A252" s="73" t="s">
        <v>287</v>
      </c>
      <c r="B252" s="73" t="s">
        <v>963</v>
      </c>
      <c r="C252" s="90" t="s">
        <v>1060</v>
      </c>
      <c r="D252" s="73" t="s">
        <v>1085</v>
      </c>
      <c r="E252" s="91" t="s">
        <v>19</v>
      </c>
      <c r="F252" s="85" t="s">
        <v>1298</v>
      </c>
      <c r="G252" s="85"/>
      <c r="H252" s="85" t="s">
        <v>2249</v>
      </c>
      <c r="I252" s="31">
        <f t="shared" si="15"/>
        <v>28</v>
      </c>
      <c r="J252" s="87"/>
      <c r="K252" s="31">
        <f t="shared" si="16"/>
        <v>0</v>
      </c>
      <c r="L252" s="32">
        <f t="shared" si="17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thickBot="1" x14ac:dyDescent="0.3">
      <c r="A253" t="s">
        <v>229</v>
      </c>
      <c r="B253" t="s">
        <v>285</v>
      </c>
      <c r="C253" t="s">
        <v>1060</v>
      </c>
      <c r="D253" t="s">
        <v>286</v>
      </c>
      <c r="E253" s="30" t="s">
        <v>15</v>
      </c>
      <c r="F253" s="30" t="s">
        <v>1053</v>
      </c>
      <c r="G253" s="30"/>
      <c r="H253" s="30" t="s">
        <v>1061</v>
      </c>
      <c r="I253" s="31">
        <f t="shared" si="15"/>
        <v>28</v>
      </c>
      <c r="J253" s="146" t="s">
        <v>1812</v>
      </c>
      <c r="K253" s="31">
        <f t="shared" si="16"/>
        <v>0</v>
      </c>
      <c r="L253" s="32">
        <f t="shared" si="17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s="69" t="s">
        <v>287</v>
      </c>
      <c r="B254" s="69" t="s">
        <v>288</v>
      </c>
      <c r="C254" t="s">
        <v>1060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5"/>
        <v>25</v>
      </c>
      <c r="J254" s="146" t="s">
        <v>1857</v>
      </c>
      <c r="K254" s="31">
        <f t="shared" si="16"/>
        <v>3</v>
      </c>
      <c r="L254" s="32">
        <f t="shared" si="17"/>
        <v>0.8928571428571429</v>
      </c>
      <c r="M254" s="70" t="s">
        <v>2278</v>
      </c>
      <c r="N254" s="70" t="s">
        <v>2278</v>
      </c>
      <c r="O254" s="70" t="s">
        <v>2278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s="69" t="s">
        <v>287</v>
      </c>
      <c r="B255" s="69" t="s">
        <v>2291</v>
      </c>
      <c r="C255" t="s">
        <v>1060</v>
      </c>
      <c r="D255" s="69" t="s">
        <v>2292</v>
      </c>
      <c r="E255" s="30" t="s">
        <v>73</v>
      </c>
      <c r="F255" s="85" t="s">
        <v>1298</v>
      </c>
      <c r="G255" s="30"/>
      <c r="H255" s="152" t="s">
        <v>2293</v>
      </c>
      <c r="I255" s="31">
        <f t="shared" si="15"/>
        <v>25</v>
      </c>
      <c r="J255" s="146" t="s">
        <v>2294</v>
      </c>
      <c r="K255" s="31">
        <f t="shared" si="16"/>
        <v>3</v>
      </c>
      <c r="L255" s="32">
        <f t="shared" si="17"/>
        <v>0.8928571428571429</v>
      </c>
      <c r="M255" s="70" t="s">
        <v>2278</v>
      </c>
      <c r="N255" s="70" t="s">
        <v>2278</v>
      </c>
      <c r="O255" s="70" t="s">
        <v>2278</v>
      </c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287</v>
      </c>
      <c r="B256" t="s">
        <v>2295</v>
      </c>
      <c r="C256" t="s">
        <v>1060</v>
      </c>
      <c r="D256" t="s">
        <v>2292</v>
      </c>
      <c r="E256" s="30" t="s">
        <v>15</v>
      </c>
      <c r="F256" s="85" t="s">
        <v>1298</v>
      </c>
      <c r="G256" s="30"/>
      <c r="H256" s="30" t="s">
        <v>2296</v>
      </c>
      <c r="I256" s="31">
        <f t="shared" si="15"/>
        <v>28</v>
      </c>
      <c r="J256" s="150"/>
      <c r="K256" s="31">
        <f t="shared" si="16"/>
        <v>0</v>
      </c>
      <c r="L256" s="32">
        <f t="shared" si="17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287</v>
      </c>
      <c r="B257" t="s">
        <v>2297</v>
      </c>
      <c r="C257" t="s">
        <v>1060</v>
      </c>
      <c r="D257" t="s">
        <v>2298</v>
      </c>
      <c r="E257" s="30" t="s">
        <v>15</v>
      </c>
      <c r="F257" s="85" t="s">
        <v>1298</v>
      </c>
      <c r="G257" s="30"/>
      <c r="H257" s="30" t="s">
        <v>2299</v>
      </c>
      <c r="I257" s="31">
        <f t="shared" si="15"/>
        <v>28</v>
      </c>
      <c r="J257" s="150"/>
      <c r="K257" s="31">
        <f t="shared" si="16"/>
        <v>0</v>
      </c>
      <c r="L257" s="32">
        <f t="shared" si="17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12</v>
      </c>
      <c r="B258" s="33" t="s">
        <v>13</v>
      </c>
      <c r="C258" t="s">
        <v>1060</v>
      </c>
      <c r="D258" t="s">
        <v>14</v>
      </c>
      <c r="E258" s="30" t="s">
        <v>15</v>
      </c>
      <c r="F258" s="30" t="s">
        <v>1053</v>
      </c>
      <c r="G258" s="30"/>
      <c r="H258" s="30" t="s">
        <v>728</v>
      </c>
      <c r="I258" s="31">
        <f t="shared" si="15"/>
        <v>28</v>
      </c>
      <c r="J258" s="87"/>
      <c r="K258" s="31">
        <f t="shared" si="16"/>
        <v>0</v>
      </c>
      <c r="L258" s="32">
        <f t="shared" si="17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375</v>
      </c>
      <c r="B259" t="s">
        <v>964</v>
      </c>
      <c r="C259" t="s">
        <v>1060</v>
      </c>
      <c r="D259" t="s">
        <v>965</v>
      </c>
      <c r="E259" s="30" t="s">
        <v>73</v>
      </c>
      <c r="F259" s="30" t="s">
        <v>28</v>
      </c>
      <c r="G259" s="30"/>
      <c r="H259" s="30" t="s">
        <v>1214</v>
      </c>
      <c r="I259" s="31">
        <f t="shared" si="15"/>
        <v>28</v>
      </c>
      <c r="J259" s="146" t="s">
        <v>1858</v>
      </c>
      <c r="K259" s="31">
        <f t="shared" si="16"/>
        <v>0</v>
      </c>
      <c r="L259" s="32">
        <f t="shared" si="17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966</v>
      </c>
      <c r="B260" t="s">
        <v>967</v>
      </c>
      <c r="C260" t="s">
        <v>1060</v>
      </c>
      <c r="D260" t="s">
        <v>965</v>
      </c>
      <c r="E260" s="30" t="s">
        <v>73</v>
      </c>
      <c r="F260" s="30" t="s">
        <v>28</v>
      </c>
      <c r="G260" s="30"/>
      <c r="H260" s="30" t="s">
        <v>1215</v>
      </c>
      <c r="I260" s="31">
        <f t="shared" si="15"/>
        <v>28</v>
      </c>
      <c r="J260" s="146" t="s">
        <v>1859</v>
      </c>
      <c r="K260" s="31">
        <f t="shared" si="16"/>
        <v>0</v>
      </c>
      <c r="L260" s="32">
        <f t="shared" si="17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thickBot="1" x14ac:dyDescent="0.3">
      <c r="A261" s="73" t="s">
        <v>17</v>
      </c>
      <c r="B261" s="143" t="s">
        <v>18</v>
      </c>
      <c r="C261" s="73" t="s">
        <v>1060</v>
      </c>
      <c r="D261" s="73" t="s">
        <v>1086</v>
      </c>
      <c r="E261" s="85" t="s">
        <v>19</v>
      </c>
      <c r="F261" s="85" t="s">
        <v>1298</v>
      </c>
      <c r="G261" s="85"/>
      <c r="H261" s="85" t="s">
        <v>1373</v>
      </c>
      <c r="I261" s="141">
        <f t="shared" si="15"/>
        <v>28</v>
      </c>
      <c r="J261" s="146" t="s">
        <v>1860</v>
      </c>
      <c r="K261" s="141">
        <f t="shared" si="16"/>
        <v>0</v>
      </c>
      <c r="L261" s="142">
        <f t="shared" si="17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17</v>
      </c>
      <c r="B262" s="143" t="s">
        <v>21</v>
      </c>
      <c r="C262" s="73" t="s">
        <v>1060</v>
      </c>
      <c r="D262" s="73" t="s">
        <v>22</v>
      </c>
      <c r="E262" s="85" t="s">
        <v>19</v>
      </c>
      <c r="F262" s="85" t="s">
        <v>1298</v>
      </c>
      <c r="G262" s="85"/>
      <c r="H262" s="85" t="s">
        <v>1374</v>
      </c>
      <c r="I262" s="141">
        <f t="shared" si="15"/>
        <v>28</v>
      </c>
      <c r="J262" s="146" t="s">
        <v>1861</v>
      </c>
      <c r="K262" s="141">
        <f t="shared" si="16"/>
        <v>0</v>
      </c>
      <c r="L262" s="142">
        <f t="shared" si="17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17</v>
      </c>
      <c r="B263" s="33" t="s">
        <v>23</v>
      </c>
      <c r="C263" t="s">
        <v>1060</v>
      </c>
      <c r="D263" t="s">
        <v>609</v>
      </c>
      <c r="E263" s="30" t="s">
        <v>15</v>
      </c>
      <c r="F263" s="30" t="s">
        <v>1053</v>
      </c>
      <c r="G263" s="30" t="s">
        <v>1251</v>
      </c>
      <c r="H263" s="30" t="s">
        <v>729</v>
      </c>
      <c r="I263" s="31">
        <f t="shared" si="15"/>
        <v>28</v>
      </c>
      <c r="J263" s="146" t="s">
        <v>1862</v>
      </c>
      <c r="K263" s="31">
        <f t="shared" si="16"/>
        <v>0</v>
      </c>
      <c r="L263" s="32">
        <f t="shared" si="17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customHeight="1" thickBot="1" x14ac:dyDescent="0.3">
      <c r="A264" t="s">
        <v>17</v>
      </c>
      <c r="B264" s="33" t="s">
        <v>24</v>
      </c>
      <c r="C264" t="s">
        <v>1060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5"/>
        <v>28</v>
      </c>
      <c r="J264" s="87"/>
      <c r="K264" s="31">
        <f t="shared" si="16"/>
        <v>0</v>
      </c>
      <c r="L264" s="32">
        <f t="shared" si="17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customHeight="1" thickBot="1" x14ac:dyDescent="0.3">
      <c r="A265" s="69"/>
      <c r="B265" t="s">
        <v>1228</v>
      </c>
      <c r="C265" t="s">
        <v>1059</v>
      </c>
      <c r="D265" t="s">
        <v>1229</v>
      </c>
      <c r="E265" t="s">
        <v>19</v>
      </c>
      <c r="F265" t="s">
        <v>28</v>
      </c>
      <c r="G265"/>
      <c r="H265" s="30" t="s">
        <v>1269</v>
      </c>
      <c r="I265" s="31">
        <f t="shared" si="15"/>
        <v>28</v>
      </c>
      <c r="J265" s="146" t="s">
        <v>1863</v>
      </c>
      <c r="K265" s="31">
        <f t="shared" si="16"/>
        <v>0</v>
      </c>
      <c r="L265" s="32">
        <f t="shared" si="17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customHeight="1" thickBot="1" x14ac:dyDescent="0.3">
      <c r="A266" s="73"/>
      <c r="B266" t="s">
        <v>1313</v>
      </c>
      <c r="C266" t="s">
        <v>1059</v>
      </c>
      <c r="D266" t="s">
        <v>1316</v>
      </c>
      <c r="E266" s="30" t="s">
        <v>15</v>
      </c>
      <c r="F266" s="30" t="s">
        <v>28</v>
      </c>
      <c r="G266"/>
      <c r="H266" s="30" t="s">
        <v>1328</v>
      </c>
      <c r="I266" s="31">
        <f t="shared" si="15"/>
        <v>28</v>
      </c>
      <c r="J266" s="146" t="s">
        <v>1864</v>
      </c>
      <c r="K266" s="31">
        <f t="shared" si="16"/>
        <v>0</v>
      </c>
      <c r="L266" s="32">
        <f t="shared" si="17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290</v>
      </c>
      <c r="B267" s="73" t="s">
        <v>968</v>
      </c>
      <c r="C267" s="73" t="s">
        <v>1059</v>
      </c>
      <c r="D267" s="73" t="s">
        <v>291</v>
      </c>
      <c r="E267" s="85" t="s">
        <v>73</v>
      </c>
      <c r="F267" s="85" t="s">
        <v>1298</v>
      </c>
      <c r="G267" s="85"/>
      <c r="H267" s="85" t="s">
        <v>731</v>
      </c>
      <c r="I267" s="141">
        <f t="shared" si="15"/>
        <v>28</v>
      </c>
      <c r="J267" s="146" t="s">
        <v>1865</v>
      </c>
      <c r="K267" s="141">
        <f t="shared" si="16"/>
        <v>0</v>
      </c>
      <c r="L267" s="142">
        <f t="shared" si="17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267</v>
      </c>
      <c r="B268" t="s">
        <v>292</v>
      </c>
      <c r="C268" t="s">
        <v>1059</v>
      </c>
      <c r="D268" t="s">
        <v>293</v>
      </c>
      <c r="E268" s="30" t="s">
        <v>73</v>
      </c>
      <c r="F268" s="30" t="s">
        <v>28</v>
      </c>
      <c r="G268" s="30"/>
      <c r="H268" s="30" t="s">
        <v>1057</v>
      </c>
      <c r="I268" s="31">
        <f t="shared" si="15"/>
        <v>28</v>
      </c>
      <c r="J268" s="146" t="s">
        <v>1866</v>
      </c>
      <c r="K268" s="31">
        <f t="shared" si="16"/>
        <v>0</v>
      </c>
      <c r="L268" s="32">
        <f t="shared" si="17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294</v>
      </c>
      <c r="B269" t="s">
        <v>969</v>
      </c>
      <c r="C269" t="s">
        <v>1059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5"/>
        <v>28</v>
      </c>
      <c r="J269" s="146" t="s">
        <v>1867</v>
      </c>
      <c r="K269" s="31">
        <f t="shared" si="16"/>
        <v>0</v>
      </c>
      <c r="L269" s="32">
        <f t="shared" si="17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290</v>
      </c>
      <c r="B270" t="s">
        <v>296</v>
      </c>
      <c r="C270" t="s">
        <v>1059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5"/>
        <v>28</v>
      </c>
      <c r="J270" s="146" t="s">
        <v>1854</v>
      </c>
      <c r="K270" s="31">
        <f t="shared" si="16"/>
        <v>0</v>
      </c>
      <c r="L270" s="32">
        <f t="shared" si="17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294</v>
      </c>
      <c r="B271" t="s">
        <v>970</v>
      </c>
      <c r="C271" t="s">
        <v>1059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5"/>
        <v>28</v>
      </c>
      <c r="J271" s="146" t="s">
        <v>1868</v>
      </c>
      <c r="K271" s="31">
        <f t="shared" si="16"/>
        <v>0</v>
      </c>
      <c r="L271" s="32">
        <f t="shared" si="17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294</v>
      </c>
      <c r="B272" t="s">
        <v>299</v>
      </c>
      <c r="C272" t="s">
        <v>1059</v>
      </c>
      <c r="D272" t="s">
        <v>300</v>
      </c>
      <c r="E272" s="30" t="s">
        <v>15</v>
      </c>
      <c r="F272" s="30" t="s">
        <v>1053</v>
      </c>
      <c r="G272" s="30"/>
      <c r="H272" s="30" t="s">
        <v>735</v>
      </c>
      <c r="I272" s="31">
        <f t="shared" si="15"/>
        <v>25</v>
      </c>
      <c r="J272" s="146" t="s">
        <v>1869</v>
      </c>
      <c r="K272" s="31">
        <f t="shared" si="16"/>
        <v>3</v>
      </c>
      <c r="L272" s="32">
        <f t="shared" si="17"/>
        <v>0.8928571428571429</v>
      </c>
      <c r="M272" s="70" t="s">
        <v>2278</v>
      </c>
      <c r="N272" s="70" t="s">
        <v>2278</v>
      </c>
      <c r="O272" s="70" t="s">
        <v>2278</v>
      </c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290</v>
      </c>
      <c r="B273" s="73" t="s">
        <v>1242</v>
      </c>
      <c r="C273" s="73" t="s">
        <v>1059</v>
      </c>
      <c r="D273" s="73" t="s">
        <v>1243</v>
      </c>
      <c r="E273" s="85" t="s">
        <v>19</v>
      </c>
      <c r="F273" s="85" t="s">
        <v>1298</v>
      </c>
      <c r="G273" s="85"/>
      <c r="H273" s="85" t="s">
        <v>1244</v>
      </c>
      <c r="I273" s="141">
        <f t="shared" si="15"/>
        <v>28</v>
      </c>
      <c r="J273" s="146" t="s">
        <v>1870</v>
      </c>
      <c r="K273" s="141">
        <f t="shared" si="16"/>
        <v>0</v>
      </c>
      <c r="L273" s="142">
        <f t="shared" si="17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290</v>
      </c>
      <c r="B274" t="s">
        <v>1281</v>
      </c>
      <c r="C274" t="s">
        <v>1059</v>
      </c>
      <c r="D274" t="s">
        <v>1282</v>
      </c>
      <c r="E274" s="30" t="s">
        <v>19</v>
      </c>
      <c r="F274" s="30" t="s">
        <v>1053</v>
      </c>
      <c r="G274" s="30"/>
      <c r="H274" s="30" t="s">
        <v>1356</v>
      </c>
      <c r="I274" s="31">
        <f t="shared" si="15"/>
        <v>28</v>
      </c>
      <c r="J274" s="146" t="s">
        <v>1871</v>
      </c>
      <c r="K274" s="31">
        <f t="shared" si="16"/>
        <v>0</v>
      </c>
      <c r="L274" s="32">
        <f t="shared" si="17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301</v>
      </c>
      <c r="B275" t="s">
        <v>302</v>
      </c>
      <c r="C275" t="s">
        <v>1059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5"/>
        <v>28</v>
      </c>
      <c r="J275" s="146" t="s">
        <v>1872</v>
      </c>
      <c r="K275" s="31">
        <f t="shared" si="16"/>
        <v>0</v>
      </c>
      <c r="L275" s="32">
        <f t="shared" si="17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301</v>
      </c>
      <c r="B276" t="s">
        <v>304</v>
      </c>
      <c r="C276" t="s">
        <v>1059</v>
      </c>
      <c r="D276" t="s">
        <v>305</v>
      </c>
      <c r="E276" s="30" t="s">
        <v>19</v>
      </c>
      <c r="F276" s="30" t="s">
        <v>28</v>
      </c>
      <c r="G276" s="30"/>
      <c r="H276" s="30" t="s">
        <v>737</v>
      </c>
      <c r="I276" s="31">
        <f t="shared" si="15"/>
        <v>28</v>
      </c>
      <c r="J276" s="149" t="s">
        <v>1873</v>
      </c>
      <c r="K276" s="31">
        <f t="shared" si="16"/>
        <v>0</v>
      </c>
      <c r="L276" s="32">
        <f t="shared" si="17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301</v>
      </c>
      <c r="B277" t="s">
        <v>306</v>
      </c>
      <c r="C277" t="s">
        <v>1059</v>
      </c>
      <c r="D277" t="s">
        <v>307</v>
      </c>
      <c r="E277" s="30" t="s">
        <v>19</v>
      </c>
      <c r="F277" s="30" t="s">
        <v>1053</v>
      </c>
      <c r="G277" s="30"/>
      <c r="H277" s="30" t="s">
        <v>1493</v>
      </c>
      <c r="I277" s="31">
        <f t="shared" si="15"/>
        <v>28</v>
      </c>
      <c r="J277" s="146" t="s">
        <v>1874</v>
      </c>
      <c r="K277" s="31">
        <f t="shared" si="16"/>
        <v>0</v>
      </c>
      <c r="L277" s="32">
        <f t="shared" si="17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301</v>
      </c>
      <c r="B278" s="73" t="s">
        <v>308</v>
      </c>
      <c r="C278" s="73" t="s">
        <v>1059</v>
      </c>
      <c r="D278" s="73" t="s">
        <v>309</v>
      </c>
      <c r="E278" s="85" t="s">
        <v>19</v>
      </c>
      <c r="F278" s="85" t="s">
        <v>1298</v>
      </c>
      <c r="G278" s="85"/>
      <c r="H278" s="85" t="s">
        <v>1494</v>
      </c>
      <c r="I278" s="141">
        <f t="shared" si="15"/>
        <v>28</v>
      </c>
      <c r="J278" s="146" t="s">
        <v>1875</v>
      </c>
      <c r="K278" s="141">
        <f t="shared" si="16"/>
        <v>0</v>
      </c>
      <c r="L278" s="142">
        <f t="shared" si="17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301</v>
      </c>
      <c r="B279" t="s">
        <v>1488</v>
      </c>
      <c r="C279" t="s">
        <v>1059</v>
      </c>
      <c r="D279" t="s">
        <v>1487</v>
      </c>
      <c r="E279" s="30" t="s">
        <v>73</v>
      </c>
      <c r="F279" s="30" t="s">
        <v>28</v>
      </c>
      <c r="G279" s="30"/>
      <c r="H279" s="30" t="s">
        <v>1489</v>
      </c>
      <c r="I279" s="141">
        <f t="shared" si="15"/>
        <v>28</v>
      </c>
      <c r="J279" s="146" t="s">
        <v>1876</v>
      </c>
      <c r="K279" s="141">
        <f t="shared" si="16"/>
        <v>0</v>
      </c>
      <c r="L279" s="142">
        <f t="shared" si="17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301</v>
      </c>
      <c r="B280" t="s">
        <v>1490</v>
      </c>
      <c r="C280" t="s">
        <v>1059</v>
      </c>
      <c r="D280" t="s">
        <v>1487</v>
      </c>
      <c r="E280" s="30" t="s">
        <v>73</v>
      </c>
      <c r="F280" s="30" t="s">
        <v>28</v>
      </c>
      <c r="G280" s="30"/>
      <c r="H280" s="30" t="s">
        <v>1495</v>
      </c>
      <c r="I280" s="141">
        <f t="shared" si="15"/>
        <v>28</v>
      </c>
      <c r="J280" s="146" t="s">
        <v>1877</v>
      </c>
      <c r="K280" s="141">
        <f t="shared" si="16"/>
        <v>0</v>
      </c>
      <c r="L280" s="142">
        <f t="shared" si="17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2203</v>
      </c>
      <c r="B281" t="s">
        <v>2204</v>
      </c>
      <c r="C281" t="s">
        <v>1060</v>
      </c>
      <c r="D281" t="s">
        <v>2205</v>
      </c>
      <c r="E281" s="30" t="s">
        <v>19</v>
      </c>
      <c r="F281" s="85" t="s">
        <v>1298</v>
      </c>
      <c r="G281" s="30"/>
      <c r="H281" s="30" t="s">
        <v>2206</v>
      </c>
      <c r="I281" s="141">
        <f t="shared" si="15"/>
        <v>28</v>
      </c>
      <c r="J281" s="146" t="s">
        <v>2207</v>
      </c>
      <c r="K281" s="141">
        <f t="shared" si="16"/>
        <v>0</v>
      </c>
      <c r="L281" s="142">
        <f t="shared" si="17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2203</v>
      </c>
      <c r="B282" t="s">
        <v>2208</v>
      </c>
      <c r="C282" t="s">
        <v>1060</v>
      </c>
      <c r="D282" t="s">
        <v>2210</v>
      </c>
      <c r="E282" s="30" t="s">
        <v>19</v>
      </c>
      <c r="F282" s="85" t="s">
        <v>1298</v>
      </c>
      <c r="G282" s="30"/>
      <c r="H282" s="30" t="s">
        <v>2209</v>
      </c>
      <c r="I282" s="141">
        <f t="shared" si="15"/>
        <v>28</v>
      </c>
      <c r="J282" s="146" t="s">
        <v>2211</v>
      </c>
      <c r="K282" s="141">
        <f t="shared" si="16"/>
        <v>0</v>
      </c>
      <c r="L282" s="142">
        <f t="shared" si="17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310</v>
      </c>
      <c r="B283" t="s">
        <v>971</v>
      </c>
      <c r="C283" t="s">
        <v>1059</v>
      </c>
      <c r="D283" t="s">
        <v>313</v>
      </c>
      <c r="E283" s="30" t="s">
        <v>19</v>
      </c>
      <c r="F283" s="30" t="s">
        <v>28</v>
      </c>
      <c r="G283" s="30"/>
      <c r="H283" s="30" t="s">
        <v>738</v>
      </c>
      <c r="I283" s="31">
        <f t="shared" si="15"/>
        <v>28</v>
      </c>
      <c r="J283" s="146" t="s">
        <v>1878</v>
      </c>
      <c r="K283" s="31">
        <f t="shared" si="16"/>
        <v>0</v>
      </c>
      <c r="L283" s="32">
        <f t="shared" si="17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thickBot="1" x14ac:dyDescent="0.3">
      <c r="A284" s="73" t="s">
        <v>310</v>
      </c>
      <c r="B284" s="73" t="s">
        <v>314</v>
      </c>
      <c r="C284" s="73" t="s">
        <v>1059</v>
      </c>
      <c r="D284" s="73" t="s">
        <v>315</v>
      </c>
      <c r="E284" s="85" t="s">
        <v>19</v>
      </c>
      <c r="F284" s="85" t="s">
        <v>1298</v>
      </c>
      <c r="G284" s="85"/>
      <c r="H284" s="85" t="s">
        <v>1368</v>
      </c>
      <c r="I284" s="141">
        <f t="shared" si="15"/>
        <v>28</v>
      </c>
      <c r="J284" s="146" t="s">
        <v>1879</v>
      </c>
      <c r="K284" s="141">
        <f t="shared" si="16"/>
        <v>0</v>
      </c>
      <c r="L284" s="142">
        <f t="shared" si="17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310</v>
      </c>
      <c r="B285" t="s">
        <v>316</v>
      </c>
      <c r="C285" t="s">
        <v>1059</v>
      </c>
      <c r="D285" t="s">
        <v>317</v>
      </c>
      <c r="E285" s="30" t="s">
        <v>19</v>
      </c>
      <c r="F285" s="30" t="s">
        <v>1053</v>
      </c>
      <c r="G285" s="30" t="s">
        <v>1252</v>
      </c>
      <c r="H285" s="30" t="s">
        <v>739</v>
      </c>
      <c r="I285" s="31">
        <f t="shared" si="15"/>
        <v>27</v>
      </c>
      <c r="J285" s="146" t="s">
        <v>1880</v>
      </c>
      <c r="K285" s="31">
        <f t="shared" si="16"/>
        <v>1</v>
      </c>
      <c r="L285" s="32">
        <f t="shared" si="17"/>
        <v>0.9642857142857143</v>
      </c>
      <c r="M285" s="70"/>
      <c r="N285" s="70" t="s">
        <v>2278</v>
      </c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thickBot="1" x14ac:dyDescent="0.3">
      <c r="A286" s="73" t="s">
        <v>310</v>
      </c>
      <c r="B286" s="73" t="s">
        <v>318</v>
      </c>
      <c r="C286" s="73" t="s">
        <v>1059</v>
      </c>
      <c r="D286" s="73" t="s">
        <v>319</v>
      </c>
      <c r="E286" s="85" t="s">
        <v>19</v>
      </c>
      <c r="F286" s="85" t="s">
        <v>1298</v>
      </c>
      <c r="G286" s="85"/>
      <c r="H286" s="85" t="s">
        <v>1358</v>
      </c>
      <c r="I286" s="141">
        <f t="shared" si="15"/>
        <v>27</v>
      </c>
      <c r="J286" s="146" t="s">
        <v>1881</v>
      </c>
      <c r="K286" s="141">
        <f t="shared" si="16"/>
        <v>1</v>
      </c>
      <c r="L286" s="142">
        <f t="shared" si="17"/>
        <v>0.9642857142857143</v>
      </c>
      <c r="M286" s="70"/>
      <c r="N286" s="70"/>
      <c r="O286" s="70" t="s">
        <v>2278</v>
      </c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thickBot="1" x14ac:dyDescent="0.3">
      <c r="A287" s="73" t="s">
        <v>320</v>
      </c>
      <c r="B287" s="73" t="s">
        <v>321</v>
      </c>
      <c r="C287" s="73" t="s">
        <v>1059</v>
      </c>
      <c r="D287" s="73" t="s">
        <v>322</v>
      </c>
      <c r="E287" s="85" t="s">
        <v>19</v>
      </c>
      <c r="F287" s="85" t="s">
        <v>1298</v>
      </c>
      <c r="G287" s="85"/>
      <c r="H287" s="144" t="s">
        <v>1359</v>
      </c>
      <c r="I287" s="141">
        <f t="shared" si="15"/>
        <v>26</v>
      </c>
      <c r="J287" s="146" t="s">
        <v>1882</v>
      </c>
      <c r="K287" s="141">
        <f t="shared" si="16"/>
        <v>2</v>
      </c>
      <c r="L287" s="142">
        <f t="shared" si="17"/>
        <v>0.9285714285714286</v>
      </c>
      <c r="M287" s="70" t="s">
        <v>2278</v>
      </c>
      <c r="N287" s="70" t="s">
        <v>2278</v>
      </c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52</v>
      </c>
      <c r="B288" t="s">
        <v>323</v>
      </c>
      <c r="C288" t="s">
        <v>1059</v>
      </c>
      <c r="D288" t="s">
        <v>324</v>
      </c>
      <c r="E288" s="30" t="s">
        <v>19</v>
      </c>
      <c r="F288" s="30" t="s">
        <v>28</v>
      </c>
      <c r="G288" s="30"/>
      <c r="H288" s="30" t="s">
        <v>740</v>
      </c>
      <c r="I288" s="31">
        <f t="shared" si="15"/>
        <v>28</v>
      </c>
      <c r="J288" s="146" t="s">
        <v>1684</v>
      </c>
      <c r="K288" s="31">
        <f t="shared" si="16"/>
        <v>0</v>
      </c>
      <c r="L288" s="32">
        <f t="shared" si="17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310</v>
      </c>
      <c r="B289" t="s">
        <v>325</v>
      </c>
      <c r="C289" t="s">
        <v>1059</v>
      </c>
      <c r="D289" t="s">
        <v>326</v>
      </c>
      <c r="E289" s="30" t="s">
        <v>19</v>
      </c>
      <c r="F289" s="30" t="s">
        <v>28</v>
      </c>
      <c r="G289" s="30"/>
      <c r="H289" s="30" t="s">
        <v>741</v>
      </c>
      <c r="I289" s="31">
        <f t="shared" si="15"/>
        <v>28</v>
      </c>
      <c r="J289" s="146" t="s">
        <v>1883</v>
      </c>
      <c r="K289" s="31">
        <f t="shared" si="16"/>
        <v>0</v>
      </c>
      <c r="L289" s="32">
        <f t="shared" si="17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thickBot="1" x14ac:dyDescent="0.3">
      <c r="A290" s="73" t="s">
        <v>310</v>
      </c>
      <c r="B290" s="73" t="s">
        <v>311</v>
      </c>
      <c r="C290" s="73" t="s">
        <v>1059</v>
      </c>
      <c r="D290" s="73" t="s">
        <v>312</v>
      </c>
      <c r="E290" s="85" t="s">
        <v>15</v>
      </c>
      <c r="F290" s="85" t="s">
        <v>1298</v>
      </c>
      <c r="G290" s="85"/>
      <c r="H290" s="85" t="s">
        <v>1367</v>
      </c>
      <c r="I290" s="141">
        <f t="shared" si="15"/>
        <v>28</v>
      </c>
      <c r="J290" s="146" t="s">
        <v>1884</v>
      </c>
      <c r="K290" s="141">
        <f t="shared" si="16"/>
        <v>0</v>
      </c>
      <c r="L290" s="142">
        <f t="shared" si="17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thickBot="1" x14ac:dyDescent="0.3">
      <c r="A291" s="73" t="s">
        <v>310</v>
      </c>
      <c r="B291" s="73" t="s">
        <v>327</v>
      </c>
      <c r="C291" s="73" t="s">
        <v>1059</v>
      </c>
      <c r="D291" s="73" t="s">
        <v>328</v>
      </c>
      <c r="E291" s="85" t="s">
        <v>15</v>
      </c>
      <c r="F291" s="85" t="s">
        <v>1298</v>
      </c>
      <c r="G291" s="85"/>
      <c r="H291" s="85" t="s">
        <v>742</v>
      </c>
      <c r="I291" s="141">
        <f t="shared" si="15"/>
        <v>27</v>
      </c>
      <c r="J291" s="146" t="s">
        <v>1885</v>
      </c>
      <c r="K291" s="141">
        <f t="shared" si="16"/>
        <v>1</v>
      </c>
      <c r="L291" s="142">
        <f t="shared" si="17"/>
        <v>0.9642857142857143</v>
      </c>
      <c r="M291" s="70"/>
      <c r="N291" s="70"/>
      <c r="O291" s="70" t="s">
        <v>2278</v>
      </c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4.25" customHeight="1" thickBot="1" x14ac:dyDescent="0.3">
      <c r="A292" s="73" t="s">
        <v>310</v>
      </c>
      <c r="B292" s="73" t="s">
        <v>1339</v>
      </c>
      <c r="C292" s="73" t="s">
        <v>1059</v>
      </c>
      <c r="D292" s="73" t="s">
        <v>1340</v>
      </c>
      <c r="E292" s="85" t="s">
        <v>15</v>
      </c>
      <c r="F292" s="85" t="s">
        <v>1298</v>
      </c>
      <c r="G292" s="85"/>
      <c r="H292" s="85" t="s">
        <v>1354</v>
      </c>
      <c r="I292" s="141">
        <f t="shared" si="15"/>
        <v>28</v>
      </c>
      <c r="J292" s="146" t="s">
        <v>1886</v>
      </c>
      <c r="K292" s="141">
        <f t="shared" si="16"/>
        <v>0</v>
      </c>
      <c r="L292" s="142">
        <f t="shared" si="17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thickBot="1" x14ac:dyDescent="0.3">
      <c r="A293" s="73" t="s">
        <v>1534</v>
      </c>
      <c r="B293" s="73" t="s">
        <v>1533</v>
      </c>
      <c r="C293" s="73" t="s">
        <v>1059</v>
      </c>
      <c r="D293" s="73" t="s">
        <v>1535</v>
      </c>
      <c r="E293" s="85" t="s">
        <v>19</v>
      </c>
      <c r="F293" s="85" t="s">
        <v>1298</v>
      </c>
      <c r="G293" s="85"/>
      <c r="H293" s="85" t="s">
        <v>1536</v>
      </c>
      <c r="I293" s="141">
        <f t="shared" si="15"/>
        <v>28</v>
      </c>
      <c r="J293" s="146" t="s">
        <v>1887</v>
      </c>
      <c r="K293" s="141">
        <f t="shared" si="16"/>
        <v>0</v>
      </c>
      <c r="L293" s="142">
        <f t="shared" si="17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1534</v>
      </c>
      <c r="B294" s="73" t="s">
        <v>1644</v>
      </c>
      <c r="C294" s="73" t="s">
        <v>1059</v>
      </c>
      <c r="D294" s="73" t="s">
        <v>1645</v>
      </c>
      <c r="E294" s="85" t="s">
        <v>19</v>
      </c>
      <c r="F294" s="85" t="s">
        <v>28</v>
      </c>
      <c r="G294" s="85"/>
      <c r="H294" s="85" t="s">
        <v>1646</v>
      </c>
      <c r="I294" s="141">
        <f t="shared" si="15"/>
        <v>28</v>
      </c>
      <c r="J294" s="87" t="s">
        <v>2186</v>
      </c>
      <c r="K294" s="141">
        <f t="shared" si="16"/>
        <v>0</v>
      </c>
      <c r="L294" s="142">
        <f t="shared" si="17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331</v>
      </c>
      <c r="B295" t="s">
        <v>329</v>
      </c>
      <c r="C295" t="s">
        <v>1060</v>
      </c>
      <c r="D295" t="s">
        <v>330</v>
      </c>
      <c r="E295" s="30" t="s">
        <v>15</v>
      </c>
      <c r="F295" s="30" t="s">
        <v>28</v>
      </c>
      <c r="G295" s="30"/>
      <c r="H295" s="30" t="s">
        <v>743</v>
      </c>
      <c r="I295" s="31">
        <f t="shared" si="15"/>
        <v>28</v>
      </c>
      <c r="J295" s="146" t="s">
        <v>1888</v>
      </c>
      <c r="K295" s="31">
        <f t="shared" si="16"/>
        <v>0</v>
      </c>
      <c r="L295" s="32">
        <f t="shared" si="17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331</v>
      </c>
      <c r="B296" t="s">
        <v>332</v>
      </c>
      <c r="C296" t="s">
        <v>1060</v>
      </c>
      <c r="D296" t="s">
        <v>333</v>
      </c>
      <c r="E296" s="30" t="s">
        <v>73</v>
      </c>
      <c r="F296" s="30" t="s">
        <v>28</v>
      </c>
      <c r="G296" s="30"/>
      <c r="H296" s="30" t="s">
        <v>744</v>
      </c>
      <c r="I296" s="31">
        <f t="shared" si="15"/>
        <v>28</v>
      </c>
      <c r="J296" s="146" t="s">
        <v>1889</v>
      </c>
      <c r="K296" s="31">
        <f t="shared" si="16"/>
        <v>0</v>
      </c>
      <c r="L296" s="32">
        <f t="shared" si="17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331</v>
      </c>
      <c r="B297" t="s">
        <v>334</v>
      </c>
      <c r="C297" t="s">
        <v>1060</v>
      </c>
      <c r="D297" t="s">
        <v>333</v>
      </c>
      <c r="E297" s="30" t="s">
        <v>73</v>
      </c>
      <c r="F297" s="30" t="s">
        <v>28</v>
      </c>
      <c r="G297" s="30"/>
      <c r="H297" s="30" t="s">
        <v>745</v>
      </c>
      <c r="I297" s="31">
        <f t="shared" si="15"/>
        <v>28</v>
      </c>
      <c r="J297" s="146" t="s">
        <v>1890</v>
      </c>
      <c r="K297" s="31">
        <f t="shared" si="16"/>
        <v>0</v>
      </c>
      <c r="L297" s="32">
        <f t="shared" si="17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331</v>
      </c>
      <c r="B298" t="s">
        <v>335</v>
      </c>
      <c r="C298" t="s">
        <v>1060</v>
      </c>
      <c r="D298" t="s">
        <v>336</v>
      </c>
      <c r="E298" s="30" t="s">
        <v>73</v>
      </c>
      <c r="F298" s="30" t="s">
        <v>28</v>
      </c>
      <c r="G298" s="30"/>
      <c r="H298" s="30" t="s">
        <v>746</v>
      </c>
      <c r="I298" s="31">
        <f t="shared" si="15"/>
        <v>28</v>
      </c>
      <c r="J298" s="146" t="s">
        <v>1891</v>
      </c>
      <c r="K298" s="31">
        <f t="shared" si="16"/>
        <v>0</v>
      </c>
      <c r="L298" s="32">
        <f t="shared" si="17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331</v>
      </c>
      <c r="B299" t="s">
        <v>337</v>
      </c>
      <c r="C299" t="s">
        <v>1060</v>
      </c>
      <c r="D299" t="s">
        <v>336</v>
      </c>
      <c r="E299" s="30" t="s">
        <v>73</v>
      </c>
      <c r="F299" s="30" t="s">
        <v>28</v>
      </c>
      <c r="G299" s="30"/>
      <c r="H299" s="30" t="s">
        <v>747</v>
      </c>
      <c r="I299" s="31">
        <f t="shared" si="15"/>
        <v>28</v>
      </c>
      <c r="J299" s="146" t="s">
        <v>1892</v>
      </c>
      <c r="K299" s="31">
        <f t="shared" si="16"/>
        <v>0</v>
      </c>
      <c r="L299" s="32">
        <f t="shared" si="17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41</v>
      </c>
      <c r="B300" t="s">
        <v>339</v>
      </c>
      <c r="C300" t="s">
        <v>1059</v>
      </c>
      <c r="D300" t="s">
        <v>340</v>
      </c>
      <c r="E300" s="30" t="s">
        <v>15</v>
      </c>
      <c r="F300" s="30" t="s">
        <v>28</v>
      </c>
      <c r="G300" s="30"/>
      <c r="H300" s="30" t="s">
        <v>750</v>
      </c>
      <c r="I300" s="31">
        <f t="shared" si="15"/>
        <v>28</v>
      </c>
      <c r="J300" s="146" t="s">
        <v>1893</v>
      </c>
      <c r="K300" s="31">
        <f t="shared" si="16"/>
        <v>0</v>
      </c>
      <c r="L300" s="32">
        <f t="shared" si="17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41</v>
      </c>
      <c r="B301" t="s">
        <v>341</v>
      </c>
      <c r="C301" t="s">
        <v>1059</v>
      </c>
      <c r="D301" t="s">
        <v>340</v>
      </c>
      <c r="E301" s="30" t="s">
        <v>73</v>
      </c>
      <c r="F301" s="30" t="s">
        <v>28</v>
      </c>
      <c r="G301" s="30"/>
      <c r="H301" s="30" t="s">
        <v>751</v>
      </c>
      <c r="I301" s="31">
        <f t="shared" si="15"/>
        <v>28</v>
      </c>
      <c r="J301" s="146" t="s">
        <v>1894</v>
      </c>
      <c r="K301" s="31">
        <f t="shared" si="16"/>
        <v>0</v>
      </c>
      <c r="L301" s="32">
        <f t="shared" si="17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41</v>
      </c>
      <c r="B302" t="s">
        <v>973</v>
      </c>
      <c r="C302" t="s">
        <v>1059</v>
      </c>
      <c r="D302" t="s">
        <v>974</v>
      </c>
      <c r="E302" s="30" t="s">
        <v>73</v>
      </c>
      <c r="F302" s="30" t="s">
        <v>28</v>
      </c>
      <c r="G302" s="30"/>
      <c r="H302" s="30" t="s">
        <v>1270</v>
      </c>
      <c r="I302" s="31">
        <f t="shared" si="15"/>
        <v>28</v>
      </c>
      <c r="J302" s="146" t="s">
        <v>1895</v>
      </c>
      <c r="K302" s="31">
        <f t="shared" si="16"/>
        <v>0</v>
      </c>
      <c r="L302" s="32">
        <f t="shared" si="17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186</v>
      </c>
      <c r="B303" t="s">
        <v>342</v>
      </c>
      <c r="C303" t="s">
        <v>1060</v>
      </c>
      <c r="D303" t="s">
        <v>343</v>
      </c>
      <c r="E303" s="30" t="s">
        <v>15</v>
      </c>
      <c r="F303" s="30" t="s">
        <v>28</v>
      </c>
      <c r="G303" s="30"/>
      <c r="H303" s="30" t="s">
        <v>752</v>
      </c>
      <c r="I303" s="31">
        <f t="shared" si="15"/>
        <v>28</v>
      </c>
      <c r="J303" s="146" t="s">
        <v>1896</v>
      </c>
      <c r="K303" s="31">
        <f t="shared" si="16"/>
        <v>0</v>
      </c>
      <c r="L303" s="32">
        <f t="shared" si="17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customHeight="1" thickBot="1" x14ac:dyDescent="0.3">
      <c r="A304" s="69" t="s">
        <v>186</v>
      </c>
      <c r="B304" s="69" t="s">
        <v>344</v>
      </c>
      <c r="C304" t="s">
        <v>1060</v>
      </c>
      <c r="D304" s="69" t="s">
        <v>343</v>
      </c>
      <c r="E304" s="30" t="s">
        <v>73</v>
      </c>
      <c r="F304" s="30" t="s">
        <v>28</v>
      </c>
      <c r="G304" s="30"/>
      <c r="H304" s="152" t="s">
        <v>753</v>
      </c>
      <c r="I304" s="31">
        <f t="shared" si="15"/>
        <v>25</v>
      </c>
      <c r="J304" s="146" t="s">
        <v>1897</v>
      </c>
      <c r="K304" s="31">
        <f t="shared" si="16"/>
        <v>3</v>
      </c>
      <c r="L304" s="32">
        <f t="shared" si="17"/>
        <v>0.8928571428571429</v>
      </c>
      <c r="M304" s="70" t="s">
        <v>2278</v>
      </c>
      <c r="N304" s="70" t="s">
        <v>2278</v>
      </c>
      <c r="O304" s="70" t="s">
        <v>2278</v>
      </c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186</v>
      </c>
      <c r="B305" t="s">
        <v>1292</v>
      </c>
      <c r="C305" t="s">
        <v>1060</v>
      </c>
      <c r="D305" t="s">
        <v>975</v>
      </c>
      <c r="E305" s="30" t="s">
        <v>73</v>
      </c>
      <c r="F305" s="30" t="s">
        <v>28</v>
      </c>
      <c r="G305" s="30"/>
      <c r="H305" s="30" t="s">
        <v>1271</v>
      </c>
      <c r="I305" s="31">
        <f t="shared" si="15"/>
        <v>28</v>
      </c>
      <c r="J305" s="146" t="s">
        <v>1898</v>
      </c>
      <c r="K305" s="31">
        <f t="shared" si="16"/>
        <v>0</v>
      </c>
      <c r="L305" s="32">
        <f t="shared" si="17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214</v>
      </c>
      <c r="B306" t="s">
        <v>345</v>
      </c>
      <c r="C306" t="s">
        <v>1060</v>
      </c>
      <c r="D306" t="s">
        <v>346</v>
      </c>
      <c r="E306" s="30" t="s">
        <v>15</v>
      </c>
      <c r="F306" s="30" t="s">
        <v>28</v>
      </c>
      <c r="G306" s="30"/>
      <c r="H306" s="30" t="s">
        <v>754</v>
      </c>
      <c r="I306" s="31">
        <f t="shared" si="15"/>
        <v>28</v>
      </c>
      <c r="J306" s="146" t="s">
        <v>1899</v>
      </c>
      <c r="K306" s="31">
        <f t="shared" si="16"/>
        <v>0</v>
      </c>
      <c r="L306" s="32">
        <f t="shared" si="17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214</v>
      </c>
      <c r="B307" t="s">
        <v>347</v>
      </c>
      <c r="C307" t="s">
        <v>1060</v>
      </c>
      <c r="D307" t="s">
        <v>346</v>
      </c>
      <c r="E307" s="30" t="s">
        <v>73</v>
      </c>
      <c r="F307" s="30" t="s">
        <v>28</v>
      </c>
      <c r="G307" s="30"/>
      <c r="H307" s="30" t="s">
        <v>755</v>
      </c>
      <c r="I307" s="31">
        <f t="shared" si="15"/>
        <v>28</v>
      </c>
      <c r="J307" s="146" t="s">
        <v>1900</v>
      </c>
      <c r="K307" s="31">
        <f t="shared" si="16"/>
        <v>0</v>
      </c>
      <c r="L307" s="32">
        <f t="shared" si="17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214</v>
      </c>
      <c r="B308" t="s">
        <v>1291</v>
      </c>
      <c r="C308" t="s">
        <v>1060</v>
      </c>
      <c r="D308" t="s">
        <v>976</v>
      </c>
      <c r="E308" s="30" t="s">
        <v>19</v>
      </c>
      <c r="F308" s="30" t="s">
        <v>28</v>
      </c>
      <c r="G308" s="30"/>
      <c r="H308" s="30" t="s">
        <v>1272</v>
      </c>
      <c r="I308" s="31">
        <f t="shared" si="15"/>
        <v>28</v>
      </c>
      <c r="J308" s="146" t="s">
        <v>1901</v>
      </c>
      <c r="K308" s="31">
        <f t="shared" si="16"/>
        <v>0</v>
      </c>
      <c r="L308" s="32">
        <f t="shared" si="17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287</v>
      </c>
      <c r="B309" t="s">
        <v>348</v>
      </c>
      <c r="C309" t="s">
        <v>1060</v>
      </c>
      <c r="D309" t="s">
        <v>349</v>
      </c>
      <c r="E309" s="30" t="s">
        <v>73</v>
      </c>
      <c r="F309" s="30" t="s">
        <v>28</v>
      </c>
      <c r="G309" s="30"/>
      <c r="H309" s="30" t="s">
        <v>757</v>
      </c>
      <c r="I309" s="31">
        <f t="shared" si="15"/>
        <v>28</v>
      </c>
      <c r="J309" s="146" t="s">
        <v>1902</v>
      </c>
      <c r="K309" s="31">
        <f t="shared" si="16"/>
        <v>0</v>
      </c>
      <c r="L309" s="32">
        <f t="shared" si="17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287</v>
      </c>
      <c r="B310" t="s">
        <v>364</v>
      </c>
      <c r="C310" t="s">
        <v>1060</v>
      </c>
      <c r="D310" t="s">
        <v>349</v>
      </c>
      <c r="E310" s="30" t="s">
        <v>15</v>
      </c>
      <c r="F310" s="30" t="s">
        <v>28</v>
      </c>
      <c r="G310" s="30"/>
      <c r="H310" s="30" t="s">
        <v>758</v>
      </c>
      <c r="I310" s="31">
        <f t="shared" si="15"/>
        <v>28</v>
      </c>
      <c r="J310" s="146" t="s">
        <v>1903</v>
      </c>
      <c r="K310" s="31">
        <f t="shared" si="16"/>
        <v>0</v>
      </c>
      <c r="L310" s="32">
        <f t="shared" si="17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287</v>
      </c>
      <c r="B311" t="s">
        <v>977</v>
      </c>
      <c r="C311" t="s">
        <v>1060</v>
      </c>
      <c r="D311" t="s">
        <v>978</v>
      </c>
      <c r="E311" s="30" t="s">
        <v>73</v>
      </c>
      <c r="F311" s="30" t="s">
        <v>28</v>
      </c>
      <c r="G311" s="30"/>
      <c r="H311" s="30" t="s">
        <v>1273</v>
      </c>
      <c r="I311" s="31">
        <f t="shared" si="15"/>
        <v>25</v>
      </c>
      <c r="J311" s="146" t="s">
        <v>1904</v>
      </c>
      <c r="K311" s="31">
        <f t="shared" si="16"/>
        <v>3</v>
      </c>
      <c r="L311" s="32">
        <f t="shared" si="17"/>
        <v>0.8928571428571429</v>
      </c>
      <c r="M311" s="70" t="s">
        <v>2278</v>
      </c>
      <c r="N311" s="70" t="s">
        <v>2278</v>
      </c>
      <c r="O311" s="70" t="s">
        <v>2278</v>
      </c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350</v>
      </c>
      <c r="B312" t="s">
        <v>351</v>
      </c>
      <c r="C312" t="s">
        <v>1060</v>
      </c>
      <c r="D312" t="s">
        <v>352</v>
      </c>
      <c r="E312" s="30" t="s">
        <v>15</v>
      </c>
      <c r="F312" s="30" t="s">
        <v>28</v>
      </c>
      <c r="G312" s="30"/>
      <c r="H312" s="30" t="s">
        <v>759</v>
      </c>
      <c r="I312" s="31">
        <f t="shared" si="15"/>
        <v>28</v>
      </c>
      <c r="J312" s="146" t="s">
        <v>1905</v>
      </c>
      <c r="K312" s="31">
        <f t="shared" si="16"/>
        <v>0</v>
      </c>
      <c r="L312" s="32">
        <f t="shared" si="17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350</v>
      </c>
      <c r="B313" t="s">
        <v>353</v>
      </c>
      <c r="C313" t="s">
        <v>1060</v>
      </c>
      <c r="D313" t="s">
        <v>352</v>
      </c>
      <c r="E313" s="30" t="s">
        <v>73</v>
      </c>
      <c r="F313" s="30" t="s">
        <v>28</v>
      </c>
      <c r="G313" s="30"/>
      <c r="H313" s="30" t="s">
        <v>760</v>
      </c>
      <c r="I313" s="31">
        <f t="shared" si="15"/>
        <v>28</v>
      </c>
      <c r="J313" s="146" t="s">
        <v>1906</v>
      </c>
      <c r="K313" s="31">
        <f t="shared" si="16"/>
        <v>0</v>
      </c>
      <c r="L313" s="32">
        <f t="shared" si="17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979</v>
      </c>
      <c r="C314" t="s">
        <v>1060</v>
      </c>
      <c r="D314" t="s">
        <v>352</v>
      </c>
      <c r="E314" s="30" t="s">
        <v>19</v>
      </c>
      <c r="F314" s="30" t="s">
        <v>28</v>
      </c>
      <c r="G314" s="30"/>
      <c r="H314" s="30" t="s">
        <v>1274</v>
      </c>
      <c r="I314" s="31">
        <f t="shared" si="15"/>
        <v>28</v>
      </c>
      <c r="J314" s="146" t="s">
        <v>1907</v>
      </c>
      <c r="K314" s="31">
        <f t="shared" si="16"/>
        <v>0</v>
      </c>
      <c r="L314" s="32">
        <f t="shared" si="17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354</v>
      </c>
      <c r="B315" t="s">
        <v>972</v>
      </c>
      <c r="C315" t="s">
        <v>1060</v>
      </c>
      <c r="D315" t="s">
        <v>355</v>
      </c>
      <c r="E315" s="30" t="s">
        <v>15</v>
      </c>
      <c r="F315" s="30" t="s">
        <v>28</v>
      </c>
      <c r="G315" s="30"/>
      <c r="H315" s="30" t="s">
        <v>765</v>
      </c>
      <c r="I315" s="31">
        <f t="shared" si="15"/>
        <v>28</v>
      </c>
      <c r="J315" s="87"/>
      <c r="K315" s="31">
        <f t="shared" si="16"/>
        <v>0</v>
      </c>
      <c r="L315" s="32">
        <f t="shared" si="17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196</v>
      </c>
      <c r="B316" s="73" t="s">
        <v>356</v>
      </c>
      <c r="C316" s="73" t="s">
        <v>1060</v>
      </c>
      <c r="D316" s="73" t="s">
        <v>357</v>
      </c>
      <c r="E316" s="85" t="s">
        <v>15</v>
      </c>
      <c r="F316" s="85" t="s">
        <v>1298</v>
      </c>
      <c r="G316" s="85"/>
      <c r="H316" s="85" t="s">
        <v>761</v>
      </c>
      <c r="I316" s="141">
        <f t="shared" si="15"/>
        <v>25</v>
      </c>
      <c r="J316" s="146" t="s">
        <v>1908</v>
      </c>
      <c r="K316" s="141">
        <f t="shared" si="16"/>
        <v>3</v>
      </c>
      <c r="L316" s="142">
        <f t="shared" si="17"/>
        <v>0.8928571428571429</v>
      </c>
      <c r="M316" s="70" t="s">
        <v>2278</v>
      </c>
      <c r="N316" s="70" t="s">
        <v>2278</v>
      </c>
      <c r="O316" s="70" t="s">
        <v>2278</v>
      </c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thickBot="1" x14ac:dyDescent="0.3">
      <c r="A317" s="73" t="s">
        <v>196</v>
      </c>
      <c r="B317" s="73" t="s">
        <v>358</v>
      </c>
      <c r="C317" s="73" t="s">
        <v>1060</v>
      </c>
      <c r="D317" s="73" t="s">
        <v>357</v>
      </c>
      <c r="E317" s="85" t="s">
        <v>73</v>
      </c>
      <c r="F317" s="85" t="s">
        <v>1298</v>
      </c>
      <c r="G317" s="85"/>
      <c r="H317" s="85" t="s">
        <v>1623</v>
      </c>
      <c r="I317" s="141">
        <f t="shared" si="15"/>
        <v>28</v>
      </c>
      <c r="J317" s="146" t="s">
        <v>2143</v>
      </c>
      <c r="K317" s="141">
        <f t="shared" si="16"/>
        <v>0</v>
      </c>
      <c r="L317" s="142">
        <f t="shared" si="17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196</v>
      </c>
      <c r="B318" s="73" t="s">
        <v>980</v>
      </c>
      <c r="C318" s="73" t="s">
        <v>1060</v>
      </c>
      <c r="D318" s="73" t="s">
        <v>981</v>
      </c>
      <c r="E318" s="85" t="s">
        <v>73</v>
      </c>
      <c r="F318" s="85" t="s">
        <v>1298</v>
      </c>
      <c r="G318" s="85"/>
      <c r="H318" s="85" t="s">
        <v>1275</v>
      </c>
      <c r="I318" s="31">
        <f t="shared" ref="I318:I388" si="18">COUNTIF(M318:AN318,"")</f>
        <v>25</v>
      </c>
      <c r="J318" s="146" t="s">
        <v>1909</v>
      </c>
      <c r="K318" s="31">
        <f t="shared" ref="K318:K388" si="19">COUNTIF(M318:AN318,"APAGADO")</f>
        <v>3</v>
      </c>
      <c r="L318" s="32">
        <f t="shared" ref="L318:L388" si="20">(I318)/(K318+I318)</f>
        <v>0.8928571428571429</v>
      </c>
      <c r="M318" s="70" t="s">
        <v>2278</v>
      </c>
      <c r="N318" s="70" t="s">
        <v>2278</v>
      </c>
      <c r="O318" s="70" t="s">
        <v>2278</v>
      </c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359</v>
      </c>
      <c r="B319" s="73" t="s">
        <v>1206</v>
      </c>
      <c r="C319" s="73" t="s">
        <v>1060</v>
      </c>
      <c r="D319" s="73" t="s">
        <v>1207</v>
      </c>
      <c r="E319" s="85" t="s">
        <v>15</v>
      </c>
      <c r="F319" s="85" t="s">
        <v>1298</v>
      </c>
      <c r="G319" s="85"/>
      <c r="H319" s="85" t="s">
        <v>766</v>
      </c>
      <c r="I319" s="141">
        <f t="shared" si="18"/>
        <v>25</v>
      </c>
      <c r="J319" s="146" t="s">
        <v>1910</v>
      </c>
      <c r="K319" s="141">
        <f t="shared" si="19"/>
        <v>3</v>
      </c>
      <c r="L319" s="142">
        <f t="shared" si="20"/>
        <v>0.8928571428571429</v>
      </c>
      <c r="M319" s="70" t="s">
        <v>2278</v>
      </c>
      <c r="N319" s="70" t="s">
        <v>2278</v>
      </c>
      <c r="O319" s="70" t="s">
        <v>2278</v>
      </c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359</v>
      </c>
      <c r="B320" s="73" t="s">
        <v>360</v>
      </c>
      <c r="C320" s="73" t="s">
        <v>1060</v>
      </c>
      <c r="D320" s="73" t="s">
        <v>1207</v>
      </c>
      <c r="E320" s="85" t="s">
        <v>73</v>
      </c>
      <c r="F320" s="85" t="s">
        <v>1298</v>
      </c>
      <c r="G320" s="85"/>
      <c r="H320" s="85" t="s">
        <v>767</v>
      </c>
      <c r="I320" s="141">
        <f t="shared" si="18"/>
        <v>25</v>
      </c>
      <c r="J320" s="87" t="s">
        <v>2187</v>
      </c>
      <c r="K320" s="141">
        <f t="shared" si="19"/>
        <v>3</v>
      </c>
      <c r="L320" s="142">
        <f t="shared" si="20"/>
        <v>0.8928571428571429</v>
      </c>
      <c r="M320" s="70" t="s">
        <v>2278</v>
      </c>
      <c r="N320" s="70" t="s">
        <v>2278</v>
      </c>
      <c r="O320" s="70" t="s">
        <v>2278</v>
      </c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359</v>
      </c>
      <c r="B321" s="73" t="s">
        <v>982</v>
      </c>
      <c r="C321" s="73" t="s">
        <v>1060</v>
      </c>
      <c r="D321" s="73" t="s">
        <v>983</v>
      </c>
      <c r="E321" s="85" t="s">
        <v>19</v>
      </c>
      <c r="F321" s="85" t="s">
        <v>1298</v>
      </c>
      <c r="G321" s="85"/>
      <c r="H321" s="85" t="s">
        <v>1276</v>
      </c>
      <c r="I321" s="141">
        <f t="shared" si="18"/>
        <v>25</v>
      </c>
      <c r="J321" s="146" t="s">
        <v>1911</v>
      </c>
      <c r="K321" s="141">
        <f t="shared" si="19"/>
        <v>3</v>
      </c>
      <c r="L321" s="142">
        <f t="shared" si="20"/>
        <v>0.8928571428571429</v>
      </c>
      <c r="M321" s="70" t="s">
        <v>2278</v>
      </c>
      <c r="N321" s="70" t="s">
        <v>2278</v>
      </c>
      <c r="O321" s="70" t="s">
        <v>2278</v>
      </c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350</v>
      </c>
      <c r="B322" t="s">
        <v>361</v>
      </c>
      <c r="C322" t="s">
        <v>1060</v>
      </c>
      <c r="D322" t="s">
        <v>362</v>
      </c>
      <c r="E322" s="30" t="s">
        <v>15</v>
      </c>
      <c r="F322" s="30" t="s">
        <v>28</v>
      </c>
      <c r="G322" s="30"/>
      <c r="H322" s="30" t="s">
        <v>763</v>
      </c>
      <c r="I322" s="31">
        <f t="shared" si="18"/>
        <v>26</v>
      </c>
      <c r="J322" s="146" t="s">
        <v>1912</v>
      </c>
      <c r="K322" s="31">
        <f t="shared" si="19"/>
        <v>2</v>
      </c>
      <c r="L322" s="32">
        <f t="shared" si="20"/>
        <v>0.9285714285714286</v>
      </c>
      <c r="M322" s="70"/>
      <c r="N322" s="70" t="s">
        <v>2278</v>
      </c>
      <c r="O322" s="70" t="s">
        <v>2278</v>
      </c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350</v>
      </c>
      <c r="B323" t="s">
        <v>363</v>
      </c>
      <c r="C323" t="s">
        <v>1060</v>
      </c>
      <c r="D323" t="s">
        <v>362</v>
      </c>
      <c r="E323" s="30" t="s">
        <v>73</v>
      </c>
      <c r="F323" s="30" t="s">
        <v>28</v>
      </c>
      <c r="G323" s="30"/>
      <c r="H323" s="30" t="s">
        <v>762</v>
      </c>
      <c r="I323" s="31">
        <f t="shared" si="18"/>
        <v>28</v>
      </c>
      <c r="J323" s="146" t="s">
        <v>1913</v>
      </c>
      <c r="K323" s="31">
        <f t="shared" si="19"/>
        <v>0</v>
      </c>
      <c r="L323" s="32">
        <f t="shared" si="20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350</v>
      </c>
      <c r="B324" t="s">
        <v>984</v>
      </c>
      <c r="C324" t="s">
        <v>1060</v>
      </c>
      <c r="D324" t="s">
        <v>985</v>
      </c>
      <c r="E324" s="30" t="s">
        <v>73</v>
      </c>
      <c r="F324" s="30" t="s">
        <v>28</v>
      </c>
      <c r="G324" s="30"/>
      <c r="H324" s="30" t="s">
        <v>1277</v>
      </c>
      <c r="I324" s="31">
        <f t="shared" si="18"/>
        <v>28</v>
      </c>
      <c r="J324" s="146" t="s">
        <v>1914</v>
      </c>
      <c r="K324" s="31">
        <f t="shared" si="19"/>
        <v>0</v>
      </c>
      <c r="L324" s="32">
        <f t="shared" si="20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229</v>
      </c>
      <c r="B325" t="s">
        <v>1288</v>
      </c>
      <c r="C325" t="s">
        <v>1060</v>
      </c>
      <c r="D325" t="s">
        <v>987</v>
      </c>
      <c r="E325" s="30" t="s">
        <v>73</v>
      </c>
      <c r="F325" s="30" t="s">
        <v>28</v>
      </c>
      <c r="G325" s="30"/>
      <c r="H325" s="30" t="s">
        <v>764</v>
      </c>
      <c r="I325" s="31">
        <f t="shared" si="18"/>
        <v>28</v>
      </c>
      <c r="J325" s="146" t="s">
        <v>1915</v>
      </c>
      <c r="K325" s="31">
        <f t="shared" si="19"/>
        <v>0</v>
      </c>
      <c r="L325" s="32">
        <f t="shared" si="20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229</v>
      </c>
      <c r="B326" t="s">
        <v>1289</v>
      </c>
      <c r="C326" t="s">
        <v>1060</v>
      </c>
      <c r="D326" t="s">
        <v>987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8"/>
        <v>28</v>
      </c>
      <c r="J326" s="146" t="s">
        <v>1916</v>
      </c>
      <c r="K326" s="31">
        <f t="shared" si="19"/>
        <v>0</v>
      </c>
      <c r="L326" s="32">
        <f t="shared" si="20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229</v>
      </c>
      <c r="B327" t="s">
        <v>986</v>
      </c>
      <c r="C327" t="s">
        <v>1060</v>
      </c>
      <c r="D327" t="s">
        <v>987</v>
      </c>
      <c r="E327" s="30" t="s">
        <v>73</v>
      </c>
      <c r="F327" s="30" t="s">
        <v>28</v>
      </c>
      <c r="G327" s="30"/>
      <c r="H327" s="30" t="s">
        <v>1290</v>
      </c>
      <c r="I327" s="31">
        <f t="shared" si="18"/>
        <v>28</v>
      </c>
      <c r="J327" s="146" t="s">
        <v>1917</v>
      </c>
      <c r="K327" s="31">
        <f t="shared" si="19"/>
        <v>0</v>
      </c>
      <c r="L327" s="32">
        <f t="shared" si="20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366</v>
      </c>
      <c r="C328" t="s">
        <v>1060</v>
      </c>
      <c r="D328" t="s">
        <v>367</v>
      </c>
      <c r="E328" s="30" t="s">
        <v>15</v>
      </c>
      <c r="F328" s="30" t="s">
        <v>28</v>
      </c>
      <c r="G328" s="30"/>
      <c r="H328" s="30" t="s">
        <v>768</v>
      </c>
      <c r="I328" s="31">
        <f t="shared" si="18"/>
        <v>28</v>
      </c>
      <c r="J328" s="146" t="s">
        <v>1918</v>
      </c>
      <c r="K328" s="31">
        <f t="shared" si="19"/>
        <v>0</v>
      </c>
      <c r="L328" s="32">
        <f t="shared" si="20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988</v>
      </c>
      <c r="C329" t="s">
        <v>1060</v>
      </c>
      <c r="D329" t="s">
        <v>368</v>
      </c>
      <c r="E329" s="30" t="s">
        <v>15</v>
      </c>
      <c r="F329" s="30" t="s">
        <v>28</v>
      </c>
      <c r="G329" s="30"/>
      <c r="H329" s="30" t="s">
        <v>769</v>
      </c>
      <c r="I329" s="31">
        <f t="shared" si="18"/>
        <v>28</v>
      </c>
      <c r="J329" s="146" t="s">
        <v>1919</v>
      </c>
      <c r="K329" s="31">
        <f t="shared" si="19"/>
        <v>0</v>
      </c>
      <c r="L329" s="32">
        <f t="shared" si="20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369</v>
      </c>
      <c r="C330" t="s">
        <v>1060</v>
      </c>
      <c r="D330" t="s">
        <v>370</v>
      </c>
      <c r="E330" s="30" t="s">
        <v>73</v>
      </c>
      <c r="F330" s="30" t="s">
        <v>28</v>
      </c>
      <c r="G330" s="30"/>
      <c r="H330" s="30" t="s">
        <v>770</v>
      </c>
      <c r="I330" s="31">
        <f t="shared" si="18"/>
        <v>28</v>
      </c>
      <c r="J330" s="146" t="s">
        <v>1920</v>
      </c>
      <c r="K330" s="31">
        <f t="shared" si="19"/>
        <v>0</v>
      </c>
      <c r="L330" s="32">
        <f t="shared" si="20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371</v>
      </c>
      <c r="C331" t="s">
        <v>1060</v>
      </c>
      <c r="D331" t="s">
        <v>370</v>
      </c>
      <c r="E331" s="30" t="s">
        <v>73</v>
      </c>
      <c r="F331" s="30" t="s">
        <v>28</v>
      </c>
      <c r="G331" s="30"/>
      <c r="H331" s="30" t="s">
        <v>771</v>
      </c>
      <c r="I331" s="31">
        <f t="shared" si="18"/>
        <v>28</v>
      </c>
      <c r="J331" s="146" t="s">
        <v>1921</v>
      </c>
      <c r="K331" s="31">
        <f t="shared" si="19"/>
        <v>0</v>
      </c>
      <c r="L331" s="32">
        <f t="shared" si="20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365</v>
      </c>
      <c r="B332" t="s">
        <v>372</v>
      </c>
      <c r="C332" t="s">
        <v>1060</v>
      </c>
      <c r="D332" t="s">
        <v>373</v>
      </c>
      <c r="E332" s="30" t="s">
        <v>73</v>
      </c>
      <c r="F332" s="30" t="s">
        <v>28</v>
      </c>
      <c r="G332" s="30"/>
      <c r="H332" s="30" t="s">
        <v>772</v>
      </c>
      <c r="I332" s="31">
        <f t="shared" si="18"/>
        <v>28</v>
      </c>
      <c r="J332" s="146" t="s">
        <v>1922</v>
      </c>
      <c r="K332" s="31">
        <f t="shared" si="19"/>
        <v>0</v>
      </c>
      <c r="L332" s="32">
        <f t="shared" si="20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365</v>
      </c>
      <c r="B333" t="s">
        <v>374</v>
      </c>
      <c r="C333" t="s">
        <v>1060</v>
      </c>
      <c r="D333" t="s">
        <v>373</v>
      </c>
      <c r="E333" s="30" t="s">
        <v>46</v>
      </c>
      <c r="F333" s="30" t="s">
        <v>28</v>
      </c>
      <c r="G333" s="30"/>
      <c r="H333" s="30" t="s">
        <v>773</v>
      </c>
      <c r="I333" s="31">
        <f t="shared" si="18"/>
        <v>28</v>
      </c>
      <c r="J333" s="146" t="s">
        <v>1923</v>
      </c>
      <c r="K333" s="31">
        <f t="shared" si="19"/>
        <v>0</v>
      </c>
      <c r="L333" s="32">
        <f t="shared" si="20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365</v>
      </c>
      <c r="B334" t="s">
        <v>1332</v>
      </c>
      <c r="C334" t="s">
        <v>1059</v>
      </c>
      <c r="D334" t="s">
        <v>1333</v>
      </c>
      <c r="E334" s="30"/>
      <c r="F334" s="30" t="s">
        <v>28</v>
      </c>
      <c r="G334" s="30"/>
      <c r="H334" s="30" t="s">
        <v>1343</v>
      </c>
      <c r="I334" s="31">
        <f t="shared" si="18"/>
        <v>25</v>
      </c>
      <c r="J334" s="146" t="s">
        <v>1924</v>
      </c>
      <c r="K334" s="31">
        <f t="shared" si="19"/>
        <v>3</v>
      </c>
      <c r="L334" s="32">
        <f t="shared" si="20"/>
        <v>0.8928571428571429</v>
      </c>
      <c r="M334" s="70" t="s">
        <v>2278</v>
      </c>
      <c r="N334" s="70" t="s">
        <v>2278</v>
      </c>
      <c r="O334" s="70" t="s">
        <v>2278</v>
      </c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365</v>
      </c>
      <c r="B335" t="s">
        <v>1375</v>
      </c>
      <c r="C335" t="s">
        <v>1060</v>
      </c>
      <c r="D335" s="68" t="s">
        <v>1378</v>
      </c>
      <c r="E335" s="30" t="s">
        <v>19</v>
      </c>
      <c r="F335" s="30" t="s">
        <v>28</v>
      </c>
      <c r="G335" s="30"/>
      <c r="H335" s="30" t="s">
        <v>1390</v>
      </c>
      <c r="I335" s="31">
        <f t="shared" si="18"/>
        <v>25</v>
      </c>
      <c r="J335" s="146" t="s">
        <v>1925</v>
      </c>
      <c r="K335" s="31">
        <f t="shared" si="19"/>
        <v>3</v>
      </c>
      <c r="L335" s="32">
        <f t="shared" si="20"/>
        <v>0.8928571428571429</v>
      </c>
      <c r="M335" s="70" t="s">
        <v>2278</v>
      </c>
      <c r="N335" s="70" t="s">
        <v>2278</v>
      </c>
      <c r="O335" s="70" t="s">
        <v>2278</v>
      </c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365</v>
      </c>
      <c r="B336" t="s">
        <v>1376</v>
      </c>
      <c r="C336" t="s">
        <v>1060</v>
      </c>
      <c r="D336" s="68" t="s">
        <v>1379</v>
      </c>
      <c r="E336" s="30" t="s">
        <v>73</v>
      </c>
      <c r="F336" s="30" t="s">
        <v>28</v>
      </c>
      <c r="G336" s="30"/>
      <c r="H336" s="30" t="s">
        <v>1391</v>
      </c>
      <c r="I336" s="31">
        <f t="shared" si="18"/>
        <v>25</v>
      </c>
      <c r="J336" s="146" t="s">
        <v>1926</v>
      </c>
      <c r="K336" s="31">
        <f t="shared" si="19"/>
        <v>3</v>
      </c>
      <c r="L336" s="32">
        <f t="shared" si="20"/>
        <v>0.8928571428571429</v>
      </c>
      <c r="M336" s="70" t="s">
        <v>2278</v>
      </c>
      <c r="N336" s="70" t="s">
        <v>2278</v>
      </c>
      <c r="O336" s="70" t="s">
        <v>2278</v>
      </c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365</v>
      </c>
      <c r="B337" t="s">
        <v>1377</v>
      </c>
      <c r="C337" t="s">
        <v>1060</v>
      </c>
      <c r="D337" s="68" t="s">
        <v>1380</v>
      </c>
      <c r="E337" s="30" t="s">
        <v>73</v>
      </c>
      <c r="F337" s="30" t="s">
        <v>28</v>
      </c>
      <c r="G337" s="30"/>
      <c r="H337" s="30" t="s">
        <v>1392</v>
      </c>
      <c r="I337" s="31">
        <f t="shared" si="18"/>
        <v>25</v>
      </c>
      <c r="J337" s="146" t="s">
        <v>1927</v>
      </c>
      <c r="K337" s="31">
        <f t="shared" si="19"/>
        <v>3</v>
      </c>
      <c r="L337" s="32">
        <f t="shared" si="20"/>
        <v>0.8928571428571429</v>
      </c>
      <c r="M337" s="70" t="s">
        <v>2278</v>
      </c>
      <c r="N337" s="70" t="s">
        <v>2278</v>
      </c>
      <c r="O337" s="70" t="s">
        <v>2278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365</v>
      </c>
      <c r="B338" t="s">
        <v>2247</v>
      </c>
      <c r="C338" t="s">
        <v>1060</v>
      </c>
      <c r="D338" s="68" t="s">
        <v>2229</v>
      </c>
      <c r="E338" s="85" t="s">
        <v>15</v>
      </c>
      <c r="F338" s="30" t="s">
        <v>28</v>
      </c>
      <c r="G338" s="30"/>
      <c r="H338" s="30" t="s">
        <v>2248</v>
      </c>
      <c r="I338" s="31">
        <f t="shared" si="18"/>
        <v>25</v>
      </c>
      <c r="J338" s="151" t="s">
        <v>2230</v>
      </c>
      <c r="K338" s="31">
        <f t="shared" si="19"/>
        <v>3</v>
      </c>
      <c r="L338" s="32">
        <f t="shared" si="20"/>
        <v>0.8928571428571429</v>
      </c>
      <c r="M338" s="70" t="s">
        <v>2278</v>
      </c>
      <c r="N338" s="70" t="s">
        <v>2278</v>
      </c>
      <c r="O338" s="70" t="s">
        <v>2278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365</v>
      </c>
      <c r="B339" t="s">
        <v>2231</v>
      </c>
      <c r="C339" t="s">
        <v>1060</v>
      </c>
      <c r="D339" s="68" t="s">
        <v>2232</v>
      </c>
      <c r="E339" s="85" t="s">
        <v>15</v>
      </c>
      <c r="F339" s="30" t="s">
        <v>28</v>
      </c>
      <c r="G339" s="30"/>
      <c r="H339" s="30" t="s">
        <v>2233</v>
      </c>
      <c r="I339" s="31">
        <f t="shared" si="18"/>
        <v>25</v>
      </c>
      <c r="J339" s="146" t="s">
        <v>2234</v>
      </c>
      <c r="K339" s="31">
        <f t="shared" si="19"/>
        <v>3</v>
      </c>
      <c r="L339" s="32">
        <f t="shared" si="20"/>
        <v>0.8928571428571429</v>
      </c>
      <c r="M339" s="70" t="s">
        <v>2278</v>
      </c>
      <c r="N339" s="70" t="s">
        <v>2278</v>
      </c>
      <c r="O339" s="70" t="s">
        <v>2278</v>
      </c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375</v>
      </c>
      <c r="B340" s="73" t="s">
        <v>998</v>
      </c>
      <c r="C340" s="73" t="s">
        <v>1060</v>
      </c>
      <c r="D340" s="73" t="s">
        <v>376</v>
      </c>
      <c r="E340" s="85" t="s">
        <v>15</v>
      </c>
      <c r="F340" s="85" t="s">
        <v>28</v>
      </c>
      <c r="G340" s="85"/>
      <c r="H340" s="85" t="s">
        <v>774</v>
      </c>
      <c r="I340" s="87">
        <f t="shared" si="18"/>
        <v>28</v>
      </c>
      <c r="J340" s="146" t="s">
        <v>1928</v>
      </c>
      <c r="K340" s="87">
        <f t="shared" si="19"/>
        <v>0</v>
      </c>
      <c r="L340" s="88">
        <f t="shared" si="20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999</v>
      </c>
      <c r="C341" t="s">
        <v>1060</v>
      </c>
      <c r="D341" t="s">
        <v>377</v>
      </c>
      <c r="E341" s="30" t="s">
        <v>15</v>
      </c>
      <c r="F341" s="30" t="s">
        <v>28</v>
      </c>
      <c r="G341" s="30"/>
      <c r="H341" s="30" t="s">
        <v>777</v>
      </c>
      <c r="I341" s="31">
        <f t="shared" si="18"/>
        <v>28</v>
      </c>
      <c r="J341" s="146" t="s">
        <v>1929</v>
      </c>
      <c r="K341" s="31">
        <f t="shared" si="19"/>
        <v>0</v>
      </c>
      <c r="L341" s="32">
        <f t="shared" si="20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378</v>
      </c>
      <c r="C342" t="s">
        <v>1060</v>
      </c>
      <c r="D342" t="s">
        <v>379</v>
      </c>
      <c r="E342" s="30" t="s">
        <v>73</v>
      </c>
      <c r="F342" s="30" t="s">
        <v>28</v>
      </c>
      <c r="G342" s="30"/>
      <c r="H342" s="30" t="s">
        <v>775</v>
      </c>
      <c r="I342" s="31">
        <f t="shared" si="18"/>
        <v>28</v>
      </c>
      <c r="J342" s="146" t="s">
        <v>1930</v>
      </c>
      <c r="K342" s="31">
        <f t="shared" si="19"/>
        <v>0</v>
      </c>
      <c r="L342" s="32">
        <f t="shared" si="20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380</v>
      </c>
      <c r="C343" t="s">
        <v>1060</v>
      </c>
      <c r="D343" t="s">
        <v>379</v>
      </c>
      <c r="E343" s="30" t="s">
        <v>73</v>
      </c>
      <c r="F343" s="30" t="s">
        <v>28</v>
      </c>
      <c r="G343" s="30"/>
      <c r="H343" s="30" t="s">
        <v>776</v>
      </c>
      <c r="I343" s="31">
        <f t="shared" si="18"/>
        <v>28</v>
      </c>
      <c r="J343" s="146" t="s">
        <v>1931</v>
      </c>
      <c r="K343" s="31">
        <f t="shared" si="19"/>
        <v>0</v>
      </c>
      <c r="L343" s="32">
        <f t="shared" si="20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989</v>
      </c>
      <c r="C344" t="s">
        <v>1060</v>
      </c>
      <c r="D344" t="s">
        <v>381</v>
      </c>
      <c r="E344" s="30" t="s">
        <v>15</v>
      </c>
      <c r="F344" s="30" t="s">
        <v>28</v>
      </c>
      <c r="G344" s="30"/>
      <c r="H344" s="30" t="s">
        <v>778</v>
      </c>
      <c r="I344" s="31">
        <f t="shared" si="18"/>
        <v>28</v>
      </c>
      <c r="J344" s="146" t="s">
        <v>1932</v>
      </c>
      <c r="K344" s="31">
        <f t="shared" si="19"/>
        <v>0</v>
      </c>
      <c r="L344" s="32">
        <f t="shared" si="20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990</v>
      </c>
      <c r="C345" t="s">
        <v>1060</v>
      </c>
      <c r="D345" t="s">
        <v>991</v>
      </c>
      <c r="E345" s="30" t="s">
        <v>19</v>
      </c>
      <c r="F345" s="30" t="s">
        <v>28</v>
      </c>
      <c r="G345" s="30"/>
      <c r="H345" s="30" t="s">
        <v>903</v>
      </c>
      <c r="I345" s="31">
        <f t="shared" si="18"/>
        <v>28</v>
      </c>
      <c r="J345" s="146" t="s">
        <v>1933</v>
      </c>
      <c r="K345" s="31">
        <f t="shared" si="19"/>
        <v>0</v>
      </c>
      <c r="L345" s="32">
        <f t="shared" si="20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992</v>
      </c>
      <c r="C346" t="s">
        <v>1060</v>
      </c>
      <c r="D346" t="s">
        <v>993</v>
      </c>
      <c r="E346" s="30" t="s">
        <v>19</v>
      </c>
      <c r="F346" s="30" t="s">
        <v>28</v>
      </c>
      <c r="G346" s="30"/>
      <c r="H346" s="30" t="s">
        <v>904</v>
      </c>
      <c r="I346" s="31">
        <f t="shared" si="18"/>
        <v>28</v>
      </c>
      <c r="J346" s="146" t="s">
        <v>1934</v>
      </c>
      <c r="K346" s="31">
        <f t="shared" si="19"/>
        <v>0</v>
      </c>
      <c r="L346" s="32">
        <f t="shared" si="20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994</v>
      </c>
      <c r="C347" t="s">
        <v>1060</v>
      </c>
      <c r="D347" t="s">
        <v>995</v>
      </c>
      <c r="E347" s="30" t="s">
        <v>19</v>
      </c>
      <c r="F347" s="30" t="s">
        <v>28</v>
      </c>
      <c r="G347" s="30"/>
      <c r="H347" s="30" t="s">
        <v>905</v>
      </c>
      <c r="I347" s="31">
        <f t="shared" si="18"/>
        <v>28</v>
      </c>
      <c r="J347" s="146" t="s">
        <v>1935</v>
      </c>
      <c r="K347" s="31">
        <f t="shared" si="19"/>
        <v>0</v>
      </c>
      <c r="L347" s="32">
        <f t="shared" si="20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t="s">
        <v>375</v>
      </c>
      <c r="B348" t="s">
        <v>996</v>
      </c>
      <c r="C348" t="s">
        <v>1060</v>
      </c>
      <c r="D348" t="s">
        <v>997</v>
      </c>
      <c r="E348" s="30" t="s">
        <v>19</v>
      </c>
      <c r="F348" s="30" t="s">
        <v>28</v>
      </c>
      <c r="G348" s="30"/>
      <c r="H348" s="30" t="s">
        <v>906</v>
      </c>
      <c r="I348" s="31">
        <f t="shared" si="18"/>
        <v>28</v>
      </c>
      <c r="J348" s="146" t="s">
        <v>1936</v>
      </c>
      <c r="K348" s="31">
        <f t="shared" si="19"/>
        <v>0</v>
      </c>
      <c r="L348" s="32">
        <f t="shared" si="20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t="s">
        <v>375</v>
      </c>
      <c r="B349" t="s">
        <v>1171</v>
      </c>
      <c r="C349" t="s">
        <v>1060</v>
      </c>
      <c r="D349" t="s">
        <v>1154</v>
      </c>
      <c r="E349" s="30" t="s">
        <v>19</v>
      </c>
      <c r="F349" s="30" t="s">
        <v>28</v>
      </c>
      <c r="G349" s="30"/>
      <c r="H349" s="30" t="s">
        <v>1156</v>
      </c>
      <c r="I349" s="31">
        <f t="shared" si="18"/>
        <v>28</v>
      </c>
      <c r="J349" s="146" t="s">
        <v>1937</v>
      </c>
      <c r="K349" s="31">
        <f t="shared" si="19"/>
        <v>0</v>
      </c>
      <c r="L349" s="32">
        <f t="shared" si="20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375</v>
      </c>
      <c r="B350" t="s">
        <v>1172</v>
      </c>
      <c r="C350" t="s">
        <v>1060</v>
      </c>
      <c r="D350" t="s">
        <v>1154</v>
      </c>
      <c r="E350" s="30" t="s">
        <v>19</v>
      </c>
      <c r="F350" s="30" t="s">
        <v>28</v>
      </c>
      <c r="G350" s="30"/>
      <c r="H350" s="30" t="s">
        <v>1157</v>
      </c>
      <c r="I350" s="31">
        <f t="shared" si="18"/>
        <v>28</v>
      </c>
      <c r="J350" s="146" t="s">
        <v>1938</v>
      </c>
      <c r="K350" s="31">
        <f t="shared" si="19"/>
        <v>0</v>
      </c>
      <c r="L350" s="32">
        <f t="shared" si="20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375</v>
      </c>
      <c r="B351" t="s">
        <v>1190</v>
      </c>
      <c r="C351" t="s">
        <v>1060</v>
      </c>
      <c r="D351" t="s">
        <v>1153</v>
      </c>
      <c r="E351" s="30" t="s">
        <v>15</v>
      </c>
      <c r="F351" s="30" t="s">
        <v>28</v>
      </c>
      <c r="G351" s="30"/>
      <c r="H351" s="30" t="s">
        <v>1155</v>
      </c>
      <c r="I351" s="31">
        <f t="shared" si="18"/>
        <v>28</v>
      </c>
      <c r="J351" s="146" t="s">
        <v>1939</v>
      </c>
      <c r="K351" s="31">
        <f t="shared" si="19"/>
        <v>0</v>
      </c>
      <c r="L351" s="32">
        <f t="shared" si="20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375</v>
      </c>
      <c r="B352" t="s">
        <v>1293</v>
      </c>
      <c r="C352" t="s">
        <v>1060</v>
      </c>
      <c r="D352" t="s">
        <v>1294</v>
      </c>
      <c r="E352" s="30" t="s">
        <v>73</v>
      </c>
      <c r="F352" s="30" t="s">
        <v>28</v>
      </c>
      <c r="G352" s="30"/>
      <c r="H352" s="30" t="s">
        <v>1480</v>
      </c>
      <c r="I352" s="31">
        <f t="shared" si="18"/>
        <v>28</v>
      </c>
      <c r="J352" s="146" t="s">
        <v>1940</v>
      </c>
      <c r="K352" s="31">
        <f t="shared" si="19"/>
        <v>0</v>
      </c>
      <c r="L352" s="32">
        <f t="shared" si="20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375</v>
      </c>
      <c r="B353" t="s">
        <v>1381</v>
      </c>
      <c r="C353" t="s">
        <v>1060</v>
      </c>
      <c r="D353" s="68" t="s">
        <v>1384</v>
      </c>
      <c r="E353" s="30" t="s">
        <v>15</v>
      </c>
      <c r="F353" s="30" t="s">
        <v>1053</v>
      </c>
      <c r="G353" s="30"/>
      <c r="H353" s="30" t="s">
        <v>1388</v>
      </c>
      <c r="I353" s="31">
        <f t="shared" si="18"/>
        <v>28</v>
      </c>
      <c r="J353" s="87"/>
      <c r="K353" s="31">
        <f t="shared" si="19"/>
        <v>0</v>
      </c>
      <c r="L353" s="32">
        <f t="shared" si="20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375</v>
      </c>
      <c r="B354" t="s">
        <v>1382</v>
      </c>
      <c r="C354" t="s">
        <v>1060</v>
      </c>
      <c r="D354" s="68" t="s">
        <v>1385</v>
      </c>
      <c r="E354" s="30" t="s">
        <v>73</v>
      </c>
      <c r="F354" s="30" t="s">
        <v>1053</v>
      </c>
      <c r="G354" s="30"/>
      <c r="H354" s="30" t="s">
        <v>1389</v>
      </c>
      <c r="I354" s="31">
        <f t="shared" si="18"/>
        <v>28</v>
      </c>
      <c r="J354" s="87"/>
      <c r="K354" s="31">
        <f t="shared" si="19"/>
        <v>0</v>
      </c>
      <c r="L354" s="32">
        <f t="shared" si="20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375</v>
      </c>
      <c r="B355" t="s">
        <v>1383</v>
      </c>
      <c r="C355" t="s">
        <v>1060</v>
      </c>
      <c r="D355" s="68" t="s">
        <v>1386</v>
      </c>
      <c r="E355" s="30" t="s">
        <v>15</v>
      </c>
      <c r="F355" s="30" t="s">
        <v>28</v>
      </c>
      <c r="G355" s="30"/>
      <c r="H355" s="30" t="s">
        <v>1497</v>
      </c>
      <c r="I355" s="31">
        <f t="shared" si="18"/>
        <v>28</v>
      </c>
      <c r="J355" s="146" t="s">
        <v>1941</v>
      </c>
      <c r="K355" s="31">
        <f t="shared" si="19"/>
        <v>0</v>
      </c>
      <c r="L355" s="32">
        <f t="shared" si="20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896</v>
      </c>
      <c r="B356" s="73" t="s">
        <v>1000</v>
      </c>
      <c r="C356" s="73" t="s">
        <v>1060</v>
      </c>
      <c r="D356" s="73" t="s">
        <v>1001</v>
      </c>
      <c r="E356" s="85" t="s">
        <v>1054</v>
      </c>
      <c r="F356" s="85" t="s">
        <v>1298</v>
      </c>
      <c r="G356" s="30"/>
      <c r="H356" s="85" t="s">
        <v>898</v>
      </c>
      <c r="I356" s="141">
        <f t="shared" si="18"/>
        <v>28</v>
      </c>
      <c r="J356" s="87"/>
      <c r="K356" s="141">
        <f t="shared" si="19"/>
        <v>0</v>
      </c>
      <c r="L356" s="142">
        <f t="shared" si="20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896</v>
      </c>
      <c r="B357" s="73" t="s">
        <v>895</v>
      </c>
      <c r="C357" s="73" t="s">
        <v>1060</v>
      </c>
      <c r="D357" s="73" t="s">
        <v>1001</v>
      </c>
      <c r="E357" s="85" t="s">
        <v>1055</v>
      </c>
      <c r="F357" s="85" t="s">
        <v>1298</v>
      </c>
      <c r="G357" s="30"/>
      <c r="H357" s="85" t="s">
        <v>897</v>
      </c>
      <c r="I357" s="141">
        <f t="shared" si="18"/>
        <v>28</v>
      </c>
      <c r="J357" s="87"/>
      <c r="K357" s="141">
        <f t="shared" si="19"/>
        <v>0</v>
      </c>
      <c r="L357" s="142">
        <f t="shared" si="20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382</v>
      </c>
      <c r="C358" t="s">
        <v>1059</v>
      </c>
      <c r="D358" t="s">
        <v>383</v>
      </c>
      <c r="E358" s="30" t="s">
        <v>19</v>
      </c>
      <c r="F358" s="30" t="s">
        <v>28</v>
      </c>
      <c r="G358" s="30"/>
      <c r="H358" s="30" t="s">
        <v>779</v>
      </c>
      <c r="I358" s="31">
        <f t="shared" si="18"/>
        <v>28</v>
      </c>
      <c r="J358" s="146" t="s">
        <v>1942</v>
      </c>
      <c r="K358" s="31">
        <f t="shared" si="19"/>
        <v>0</v>
      </c>
      <c r="L358" s="32">
        <f t="shared" si="20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thickBot="1" x14ac:dyDescent="0.3">
      <c r="A359" s="73" t="s">
        <v>264</v>
      </c>
      <c r="B359" s="73" t="s">
        <v>1002</v>
      </c>
      <c r="C359" s="73" t="s">
        <v>1059</v>
      </c>
      <c r="D359" s="73" t="s">
        <v>338</v>
      </c>
      <c r="E359" s="85" t="s">
        <v>73</v>
      </c>
      <c r="F359" s="85" t="s">
        <v>1298</v>
      </c>
      <c r="G359" s="30"/>
      <c r="H359" s="85" t="s">
        <v>748</v>
      </c>
      <c r="I359" s="141">
        <f t="shared" si="18"/>
        <v>28</v>
      </c>
      <c r="J359" s="146" t="s">
        <v>1943</v>
      </c>
      <c r="K359" s="141">
        <f t="shared" si="19"/>
        <v>0</v>
      </c>
      <c r="L359" s="142">
        <f t="shared" si="20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264</v>
      </c>
      <c r="B360" s="73" t="s">
        <v>1003</v>
      </c>
      <c r="C360" s="73" t="s">
        <v>1059</v>
      </c>
      <c r="D360" s="73" t="s">
        <v>338</v>
      </c>
      <c r="E360" s="85" t="s">
        <v>73</v>
      </c>
      <c r="F360" s="85" t="s">
        <v>1298</v>
      </c>
      <c r="G360" s="30"/>
      <c r="H360" s="85" t="s">
        <v>749</v>
      </c>
      <c r="I360" s="141">
        <f t="shared" si="18"/>
        <v>28</v>
      </c>
      <c r="J360" s="146" t="s">
        <v>1944</v>
      </c>
      <c r="K360" s="141">
        <f t="shared" si="19"/>
        <v>0</v>
      </c>
      <c r="L360" s="142">
        <f t="shared" si="20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264</v>
      </c>
      <c r="B361" t="s">
        <v>1004</v>
      </c>
      <c r="C361" t="s">
        <v>1059</v>
      </c>
      <c r="D361" t="s">
        <v>1005</v>
      </c>
      <c r="E361" s="30" t="s">
        <v>19</v>
      </c>
      <c r="F361" s="30" t="s">
        <v>28</v>
      </c>
      <c r="G361" s="30"/>
      <c r="H361" s="30" t="s">
        <v>2224</v>
      </c>
      <c r="I361" s="31">
        <f t="shared" si="18"/>
        <v>28</v>
      </c>
      <c r="J361" s="146" t="s">
        <v>1945</v>
      </c>
      <c r="K361" s="31">
        <f t="shared" si="19"/>
        <v>0</v>
      </c>
      <c r="L361" s="32">
        <f t="shared" si="20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264</v>
      </c>
      <c r="B362" t="s">
        <v>1006</v>
      </c>
      <c r="C362" t="s">
        <v>1059</v>
      </c>
      <c r="D362" t="s">
        <v>1007</v>
      </c>
      <c r="E362" s="30" t="s">
        <v>19</v>
      </c>
      <c r="F362" s="30" t="s">
        <v>28</v>
      </c>
      <c r="G362" s="30"/>
      <c r="H362" s="30" t="s">
        <v>2225</v>
      </c>
      <c r="I362" s="31">
        <f t="shared" si="18"/>
        <v>28</v>
      </c>
      <c r="J362" s="146" t="s">
        <v>1946</v>
      </c>
      <c r="K362" s="31">
        <f t="shared" si="19"/>
        <v>0</v>
      </c>
      <c r="L362" s="32">
        <f t="shared" si="20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264</v>
      </c>
      <c r="B363" t="s">
        <v>1127</v>
      </c>
      <c r="C363" t="s">
        <v>1059</v>
      </c>
      <c r="D363" t="s">
        <v>1124</v>
      </c>
      <c r="E363" s="30" t="s">
        <v>73</v>
      </c>
      <c r="F363" s="30" t="s">
        <v>28</v>
      </c>
      <c r="G363" s="30"/>
      <c r="H363" s="30" t="s">
        <v>1133</v>
      </c>
      <c r="I363" s="31">
        <f t="shared" si="18"/>
        <v>28</v>
      </c>
      <c r="J363" s="146" t="s">
        <v>1947</v>
      </c>
      <c r="K363" s="31">
        <f t="shared" si="19"/>
        <v>0</v>
      </c>
      <c r="L363" s="32">
        <f t="shared" si="20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264</v>
      </c>
      <c r="B364" t="s">
        <v>1128</v>
      </c>
      <c r="C364" t="s">
        <v>1059</v>
      </c>
      <c r="D364" t="s">
        <v>1124</v>
      </c>
      <c r="E364" s="30" t="s">
        <v>73</v>
      </c>
      <c r="F364" s="30" t="s">
        <v>28</v>
      </c>
      <c r="G364" s="30"/>
      <c r="H364" s="30" t="s">
        <v>1134</v>
      </c>
      <c r="I364" s="31">
        <f t="shared" si="18"/>
        <v>28</v>
      </c>
      <c r="J364" s="146" t="s">
        <v>1948</v>
      </c>
      <c r="K364" s="31">
        <f t="shared" si="19"/>
        <v>0</v>
      </c>
      <c r="L364" s="32">
        <f t="shared" si="20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264</v>
      </c>
      <c r="B365" t="s">
        <v>1129</v>
      </c>
      <c r="C365" t="s">
        <v>1059</v>
      </c>
      <c r="D365" t="s">
        <v>1125</v>
      </c>
      <c r="E365" s="30" t="s">
        <v>73</v>
      </c>
      <c r="F365" s="30" t="s">
        <v>28</v>
      </c>
      <c r="G365" s="30"/>
      <c r="H365" s="30" t="s">
        <v>1135</v>
      </c>
      <c r="I365" s="31">
        <f t="shared" si="18"/>
        <v>28</v>
      </c>
      <c r="J365" s="146" t="s">
        <v>1949</v>
      </c>
      <c r="K365" s="31">
        <f t="shared" si="19"/>
        <v>0</v>
      </c>
      <c r="L365" s="32">
        <f t="shared" si="20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264</v>
      </c>
      <c r="B366" t="s">
        <v>1130</v>
      </c>
      <c r="C366" t="s">
        <v>1059</v>
      </c>
      <c r="D366" t="s">
        <v>1125</v>
      </c>
      <c r="E366" s="30" t="s">
        <v>73</v>
      </c>
      <c r="F366" s="30" t="s">
        <v>28</v>
      </c>
      <c r="G366" s="30"/>
      <c r="H366" s="30" t="s">
        <v>1136</v>
      </c>
      <c r="I366" s="31">
        <f t="shared" si="18"/>
        <v>28</v>
      </c>
      <c r="J366" s="146" t="s">
        <v>1950</v>
      </c>
      <c r="K366" s="31">
        <f t="shared" si="19"/>
        <v>0</v>
      </c>
      <c r="L366" s="32">
        <f t="shared" si="20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s="73" t="s">
        <v>1317</v>
      </c>
      <c r="B367" t="s">
        <v>1230</v>
      </c>
      <c r="C367" t="s">
        <v>1059</v>
      </c>
      <c r="D367" t="s">
        <v>1231</v>
      </c>
      <c r="E367" t="s">
        <v>19</v>
      </c>
      <c r="F367" t="s">
        <v>28</v>
      </c>
      <c r="G367"/>
      <c r="H367" s="30" t="s">
        <v>1237</v>
      </c>
      <c r="I367" s="31">
        <f t="shared" si="18"/>
        <v>28</v>
      </c>
      <c r="J367" s="146" t="s">
        <v>1951</v>
      </c>
      <c r="K367" s="31">
        <f t="shared" si="19"/>
        <v>0</v>
      </c>
      <c r="L367" s="32">
        <f t="shared" si="20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s="73" t="s">
        <v>1317</v>
      </c>
      <c r="B368" t="s">
        <v>1232</v>
      </c>
      <c r="C368" t="s">
        <v>1059</v>
      </c>
      <c r="D368" t="s">
        <v>1233</v>
      </c>
      <c r="E368" t="s">
        <v>19</v>
      </c>
      <c r="F368" t="s">
        <v>28</v>
      </c>
      <c r="G368"/>
      <c r="H368" s="30" t="s">
        <v>1238</v>
      </c>
      <c r="I368" s="31">
        <f t="shared" si="18"/>
        <v>28</v>
      </c>
      <c r="J368" s="146" t="s">
        <v>1952</v>
      </c>
      <c r="K368" s="31">
        <f t="shared" si="19"/>
        <v>0</v>
      </c>
      <c r="L368" s="32">
        <f t="shared" si="20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thickBot="1" x14ac:dyDescent="0.3">
      <c r="A369" s="73" t="s">
        <v>1317</v>
      </c>
      <c r="B369" s="73" t="s">
        <v>1569</v>
      </c>
      <c r="C369" s="73" t="s">
        <v>1059</v>
      </c>
      <c r="D369" s="73" t="s">
        <v>1572</v>
      </c>
      <c r="E369" s="85" t="s">
        <v>73</v>
      </c>
      <c r="F369" s="85" t="s">
        <v>1298</v>
      </c>
      <c r="G369"/>
      <c r="H369" s="85" t="s">
        <v>1573</v>
      </c>
      <c r="I369" s="31">
        <f t="shared" si="18"/>
        <v>28</v>
      </c>
      <c r="J369" s="146" t="s">
        <v>1953</v>
      </c>
      <c r="K369" s="31">
        <f t="shared" si="19"/>
        <v>0</v>
      </c>
      <c r="L369" s="32">
        <f t="shared" si="20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thickBot="1" x14ac:dyDescent="0.3">
      <c r="A370" s="73" t="s">
        <v>1317</v>
      </c>
      <c r="B370" s="73" t="s">
        <v>1570</v>
      </c>
      <c r="C370" s="73" t="s">
        <v>1059</v>
      </c>
      <c r="D370" s="73" t="s">
        <v>1574</v>
      </c>
      <c r="E370" s="73" t="s">
        <v>73</v>
      </c>
      <c r="F370" s="85" t="s">
        <v>1298</v>
      </c>
      <c r="G370"/>
      <c r="H370" s="85" t="s">
        <v>1575</v>
      </c>
      <c r="I370" s="31">
        <f t="shared" si="18"/>
        <v>28</v>
      </c>
      <c r="J370" s="146" t="s">
        <v>1954</v>
      </c>
      <c r="K370" s="31">
        <f t="shared" si="19"/>
        <v>0</v>
      </c>
      <c r="L370" s="32">
        <f t="shared" si="20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1317</v>
      </c>
      <c r="B371" s="73" t="s">
        <v>1571</v>
      </c>
      <c r="C371" s="73" t="s">
        <v>1059</v>
      </c>
      <c r="D371" s="73" t="s">
        <v>1576</v>
      </c>
      <c r="E371" s="73" t="s">
        <v>73</v>
      </c>
      <c r="F371" s="85" t="s">
        <v>1298</v>
      </c>
      <c r="G371"/>
      <c r="H371" s="85" t="s">
        <v>1577</v>
      </c>
      <c r="I371" s="31">
        <f t="shared" si="18"/>
        <v>28</v>
      </c>
      <c r="J371" s="146" t="s">
        <v>1955</v>
      </c>
      <c r="K371" s="31">
        <f t="shared" si="19"/>
        <v>0</v>
      </c>
      <c r="L371" s="32">
        <f t="shared" si="20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thickBot="1" x14ac:dyDescent="0.3">
      <c r="A372" s="73" t="s">
        <v>1317</v>
      </c>
      <c r="B372" s="73" t="s">
        <v>1626</v>
      </c>
      <c r="C372" s="73" t="s">
        <v>1059</v>
      </c>
      <c r="D372" s="73" t="s">
        <v>1627</v>
      </c>
      <c r="E372" s="73" t="s">
        <v>19</v>
      </c>
      <c r="F372" s="85" t="s">
        <v>1298</v>
      </c>
      <c r="G372"/>
      <c r="H372" s="85" t="s">
        <v>1628</v>
      </c>
      <c r="I372" s="31">
        <f t="shared" si="18"/>
        <v>27</v>
      </c>
      <c r="J372" s="146" t="s">
        <v>2137</v>
      </c>
      <c r="K372" s="31">
        <f t="shared" si="19"/>
        <v>1</v>
      </c>
      <c r="L372" s="32">
        <f t="shared" si="20"/>
        <v>0.9642857142857143</v>
      </c>
      <c r="M372" s="70" t="s">
        <v>2278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384</v>
      </c>
      <c r="B373" t="s">
        <v>385</v>
      </c>
      <c r="C373" t="s">
        <v>1059</v>
      </c>
      <c r="D373" t="s">
        <v>386</v>
      </c>
      <c r="E373" s="30" t="s">
        <v>19</v>
      </c>
      <c r="F373" s="30" t="s">
        <v>28</v>
      </c>
      <c r="G373"/>
      <c r="H373" s="30" t="s">
        <v>780</v>
      </c>
      <c r="I373" s="31">
        <f t="shared" si="18"/>
        <v>28</v>
      </c>
      <c r="J373" s="146" t="s">
        <v>1956</v>
      </c>
      <c r="K373" s="31">
        <f t="shared" si="19"/>
        <v>0</v>
      </c>
      <c r="L373" s="32">
        <f t="shared" si="20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384</v>
      </c>
      <c r="B374" t="s">
        <v>387</v>
      </c>
      <c r="C374" t="s">
        <v>1059</v>
      </c>
      <c r="D374" t="s">
        <v>388</v>
      </c>
      <c r="E374" s="30" t="s">
        <v>19</v>
      </c>
      <c r="F374" s="30" t="s">
        <v>28</v>
      </c>
      <c r="G374"/>
      <c r="H374" s="30" t="s">
        <v>781</v>
      </c>
      <c r="I374" s="31">
        <f t="shared" si="18"/>
        <v>28</v>
      </c>
      <c r="J374" s="146" t="s">
        <v>1957</v>
      </c>
      <c r="K374" s="31">
        <f t="shared" si="19"/>
        <v>0</v>
      </c>
      <c r="L374" s="32">
        <f t="shared" si="20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thickBot="1" x14ac:dyDescent="0.3">
      <c r="A375" s="73" t="s">
        <v>389</v>
      </c>
      <c r="B375" s="73" t="s">
        <v>390</v>
      </c>
      <c r="C375" s="73" t="s">
        <v>1059</v>
      </c>
      <c r="D375" s="73" t="s">
        <v>391</v>
      </c>
      <c r="E375" s="85" t="s">
        <v>19</v>
      </c>
      <c r="F375" s="85" t="s">
        <v>1298</v>
      </c>
      <c r="G375"/>
      <c r="H375" s="85" t="s">
        <v>1479</v>
      </c>
      <c r="I375" s="141">
        <f t="shared" si="18"/>
        <v>28</v>
      </c>
      <c r="J375" s="87"/>
      <c r="K375" s="141">
        <f t="shared" si="19"/>
        <v>0</v>
      </c>
      <c r="L375" s="142">
        <f t="shared" si="20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thickBot="1" x14ac:dyDescent="0.3">
      <c r="A376" s="73" t="s">
        <v>384</v>
      </c>
      <c r="B376" s="73" t="s">
        <v>2167</v>
      </c>
      <c r="C376" s="73" t="s">
        <v>1059</v>
      </c>
      <c r="D376" s="73" t="s">
        <v>2168</v>
      </c>
      <c r="E376" s="85" t="s">
        <v>73</v>
      </c>
      <c r="F376" s="30" t="s">
        <v>28</v>
      </c>
      <c r="G376"/>
      <c r="H376" s="85" t="s">
        <v>2169</v>
      </c>
      <c r="I376" s="141">
        <f t="shared" si="18"/>
        <v>28</v>
      </c>
      <c r="J376" s="151" t="s">
        <v>2170</v>
      </c>
      <c r="K376" s="141">
        <f t="shared" si="19"/>
        <v>0</v>
      </c>
      <c r="L376" s="142">
        <f t="shared" si="20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294</v>
      </c>
      <c r="B377" t="s">
        <v>392</v>
      </c>
      <c r="C377" t="s">
        <v>1059</v>
      </c>
      <c r="D377" t="s">
        <v>393</v>
      </c>
      <c r="E377" s="30" t="s">
        <v>19</v>
      </c>
      <c r="F377" s="30" t="s">
        <v>28</v>
      </c>
      <c r="G377"/>
      <c r="H377" s="30" t="s">
        <v>784</v>
      </c>
      <c r="I377" s="31">
        <f t="shared" si="18"/>
        <v>28</v>
      </c>
      <c r="J377" s="146" t="s">
        <v>1958</v>
      </c>
      <c r="K377" s="31">
        <f t="shared" si="19"/>
        <v>0</v>
      </c>
      <c r="L377" s="32">
        <f t="shared" si="20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294</v>
      </c>
      <c r="B378" t="s">
        <v>1008</v>
      </c>
      <c r="C378" t="s">
        <v>1059</v>
      </c>
      <c r="D378" t="s">
        <v>394</v>
      </c>
      <c r="E378" s="30" t="s">
        <v>19</v>
      </c>
      <c r="F378" s="30" t="s">
        <v>28</v>
      </c>
      <c r="G378" s="30"/>
      <c r="H378" s="30" t="s">
        <v>785</v>
      </c>
      <c r="I378" s="31">
        <f t="shared" si="18"/>
        <v>28</v>
      </c>
      <c r="J378" s="87"/>
      <c r="K378" s="31">
        <f t="shared" si="19"/>
        <v>0</v>
      </c>
      <c r="L378" s="32">
        <f t="shared" si="20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294</v>
      </c>
      <c r="B379" t="s">
        <v>395</v>
      </c>
      <c r="C379" t="s">
        <v>1059</v>
      </c>
      <c r="D379" t="s">
        <v>396</v>
      </c>
      <c r="E379" s="30" t="s">
        <v>73</v>
      </c>
      <c r="F379" s="30" t="s">
        <v>28</v>
      </c>
      <c r="G379" s="30"/>
      <c r="H379" s="30" t="s">
        <v>782</v>
      </c>
      <c r="I379" s="31">
        <f t="shared" si="18"/>
        <v>28</v>
      </c>
      <c r="J379" s="146" t="s">
        <v>1959</v>
      </c>
      <c r="K379" s="31">
        <f t="shared" si="19"/>
        <v>0</v>
      </c>
      <c r="L379" s="32">
        <f t="shared" si="20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294</v>
      </c>
      <c r="B380" t="s">
        <v>397</v>
      </c>
      <c r="C380" t="s">
        <v>1059</v>
      </c>
      <c r="D380" t="s">
        <v>396</v>
      </c>
      <c r="E380" s="30" t="s">
        <v>73</v>
      </c>
      <c r="F380" s="30" t="s">
        <v>28</v>
      </c>
      <c r="G380" s="30"/>
      <c r="H380" s="30" t="s">
        <v>783</v>
      </c>
      <c r="I380" s="31">
        <f t="shared" si="18"/>
        <v>28</v>
      </c>
      <c r="J380" s="146" t="s">
        <v>1960</v>
      </c>
      <c r="K380" s="31">
        <f t="shared" si="19"/>
        <v>0</v>
      </c>
      <c r="L380" s="32">
        <f t="shared" si="20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294</v>
      </c>
      <c r="B381" t="s">
        <v>1261</v>
      </c>
      <c r="C381" t="s">
        <v>1059</v>
      </c>
      <c r="D381" t="s">
        <v>1262</v>
      </c>
      <c r="E381" s="30" t="s">
        <v>15</v>
      </c>
      <c r="F381" s="30" t="s">
        <v>1053</v>
      </c>
      <c r="G381" s="30" t="s">
        <v>1264</v>
      </c>
      <c r="H381" s="30" t="s">
        <v>1263</v>
      </c>
      <c r="I381" s="31">
        <f t="shared" si="18"/>
        <v>28</v>
      </c>
      <c r="J381" s="146" t="s">
        <v>1961</v>
      </c>
      <c r="K381" s="31">
        <f t="shared" si="19"/>
        <v>0</v>
      </c>
      <c r="L381" s="32">
        <f t="shared" si="20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thickBot="1" x14ac:dyDescent="0.3">
      <c r="A382" s="73" t="s">
        <v>294</v>
      </c>
      <c r="B382" s="73" t="s">
        <v>1310</v>
      </c>
      <c r="C382" s="73" t="s">
        <v>1060</v>
      </c>
      <c r="D382" s="73" t="s">
        <v>1311</v>
      </c>
      <c r="E382" s="85" t="s">
        <v>15</v>
      </c>
      <c r="F382" s="85" t="s">
        <v>1298</v>
      </c>
      <c r="G382" s="85"/>
      <c r="H382" s="85" t="s">
        <v>1312</v>
      </c>
      <c r="I382" s="31">
        <f t="shared" si="18"/>
        <v>28</v>
      </c>
      <c r="J382" s="146" t="s">
        <v>1962</v>
      </c>
      <c r="K382" s="31">
        <f t="shared" si="19"/>
        <v>0</v>
      </c>
      <c r="L382" s="32">
        <f t="shared" si="20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thickBot="1" x14ac:dyDescent="0.3">
      <c r="A383" s="90" t="s">
        <v>402</v>
      </c>
      <c r="B383" s="90" t="s">
        <v>407</v>
      </c>
      <c r="C383" s="90" t="s">
        <v>1059</v>
      </c>
      <c r="D383" s="90" t="s">
        <v>408</v>
      </c>
      <c r="E383" s="91" t="s">
        <v>15</v>
      </c>
      <c r="F383" s="91" t="s">
        <v>20</v>
      </c>
      <c r="G383" s="91"/>
      <c r="H383" s="91" t="s">
        <v>786</v>
      </c>
      <c r="I383" s="31">
        <f t="shared" si="18"/>
        <v>25</v>
      </c>
      <c r="J383" s="73"/>
      <c r="K383" s="31">
        <f t="shared" si="19"/>
        <v>3</v>
      </c>
      <c r="L383" s="32">
        <f t="shared" si="20"/>
        <v>0.8928571428571429</v>
      </c>
      <c r="M383" s="70" t="s">
        <v>2278</v>
      </c>
      <c r="N383" s="70" t="s">
        <v>2278</v>
      </c>
      <c r="O383" s="70" t="s">
        <v>2278</v>
      </c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</row>
    <row r="384" spans="1:43" s="73" customFormat="1" ht="15.75" thickBot="1" x14ac:dyDescent="0.3">
      <c r="A384" s="73" t="s">
        <v>384</v>
      </c>
      <c r="B384" s="73" t="s">
        <v>398</v>
      </c>
      <c r="C384" s="73" t="s">
        <v>1059</v>
      </c>
      <c r="D384" s="73" t="s">
        <v>399</v>
      </c>
      <c r="E384" s="85" t="s">
        <v>19</v>
      </c>
      <c r="F384" s="85" t="s">
        <v>1298</v>
      </c>
      <c r="G384" s="85"/>
      <c r="H384" s="85" t="s">
        <v>2114</v>
      </c>
      <c r="I384" s="141">
        <f t="shared" si="18"/>
        <v>25</v>
      </c>
      <c r="J384" s="146" t="s">
        <v>1963</v>
      </c>
      <c r="K384" s="141">
        <f t="shared" si="19"/>
        <v>3</v>
      </c>
      <c r="L384" s="142">
        <f t="shared" si="20"/>
        <v>0.8928571428571429</v>
      </c>
      <c r="M384" s="70" t="s">
        <v>2278</v>
      </c>
      <c r="N384" s="70" t="s">
        <v>2278</v>
      </c>
      <c r="O384" s="70" t="s">
        <v>2278</v>
      </c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384</v>
      </c>
      <c r="B385" s="73" t="s">
        <v>400</v>
      </c>
      <c r="C385" s="73" t="s">
        <v>1059</v>
      </c>
      <c r="D385" s="73" t="s">
        <v>401</v>
      </c>
      <c r="E385" s="85" t="s">
        <v>15</v>
      </c>
      <c r="F385" s="85" t="s">
        <v>28</v>
      </c>
      <c r="G385" s="85"/>
      <c r="H385" s="85" t="s">
        <v>1512</v>
      </c>
      <c r="I385" s="87">
        <f t="shared" si="18"/>
        <v>28</v>
      </c>
      <c r="J385" s="146" t="s">
        <v>1964</v>
      </c>
      <c r="K385" s="87">
        <f t="shared" si="19"/>
        <v>0</v>
      </c>
      <c r="L385" s="88">
        <f t="shared" si="20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thickBot="1" x14ac:dyDescent="0.3">
      <c r="A386" t="s">
        <v>402</v>
      </c>
      <c r="B386" t="s">
        <v>403</v>
      </c>
      <c r="C386" t="s">
        <v>1059</v>
      </c>
      <c r="D386" t="s">
        <v>404</v>
      </c>
      <c r="E386" s="30" t="s">
        <v>19</v>
      </c>
      <c r="F386" s="30" t="s">
        <v>28</v>
      </c>
      <c r="G386" s="30"/>
      <c r="H386" s="30" t="s">
        <v>787</v>
      </c>
      <c r="I386" s="31">
        <f t="shared" si="18"/>
        <v>28</v>
      </c>
      <c r="J386" s="146" t="s">
        <v>1965</v>
      </c>
      <c r="K386" s="31">
        <f t="shared" si="19"/>
        <v>0</v>
      </c>
      <c r="L386" s="32">
        <f t="shared" si="20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405</v>
      </c>
      <c r="C387" t="s">
        <v>1059</v>
      </c>
      <c r="D387" t="s">
        <v>404</v>
      </c>
      <c r="E387" s="30" t="s">
        <v>73</v>
      </c>
      <c r="F387" s="30" t="s">
        <v>28</v>
      </c>
      <c r="G387" s="30"/>
      <c r="H387" s="30" t="s">
        <v>788</v>
      </c>
      <c r="I387" s="31">
        <f t="shared" si="18"/>
        <v>28</v>
      </c>
      <c r="J387" s="146" t="s">
        <v>1966</v>
      </c>
      <c r="K387" s="31">
        <f t="shared" si="19"/>
        <v>0</v>
      </c>
      <c r="L387" s="32">
        <f t="shared" si="20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406</v>
      </c>
      <c r="C388" t="s">
        <v>1059</v>
      </c>
      <c r="D388" t="s">
        <v>404</v>
      </c>
      <c r="E388" s="30" t="s">
        <v>73</v>
      </c>
      <c r="F388" s="30" t="s">
        <v>28</v>
      </c>
      <c r="G388" s="30"/>
      <c r="H388" s="30" t="s">
        <v>789</v>
      </c>
      <c r="I388" s="31">
        <f t="shared" si="18"/>
        <v>28</v>
      </c>
      <c r="J388" s="146" t="s">
        <v>1967</v>
      </c>
      <c r="K388" s="31">
        <f t="shared" si="19"/>
        <v>0</v>
      </c>
      <c r="L388" s="32">
        <f t="shared" si="20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s="69" t="s">
        <v>409</v>
      </c>
      <c r="B389" s="69" t="s">
        <v>410</v>
      </c>
      <c r="C389" t="s">
        <v>1059</v>
      </c>
      <c r="D389" s="69" t="s">
        <v>411</v>
      </c>
      <c r="E389" s="30" t="s">
        <v>73</v>
      </c>
      <c r="F389" s="30" t="s">
        <v>28</v>
      </c>
      <c r="G389" s="30"/>
      <c r="H389" s="152" t="s">
        <v>790</v>
      </c>
      <c r="I389" s="31">
        <f t="shared" ref="I389:I470" si="21">COUNTIF(M389:AN389,"")</f>
        <v>25</v>
      </c>
      <c r="J389" s="146" t="s">
        <v>1968</v>
      </c>
      <c r="K389" s="31">
        <f t="shared" ref="K389:K470" si="22">COUNTIF(M389:AN389,"APAGADO")</f>
        <v>3</v>
      </c>
      <c r="L389" s="32">
        <f t="shared" ref="L389:L470" si="23">(I389)/(K389+I389)</f>
        <v>0.8928571428571429</v>
      </c>
      <c r="M389" s="70" t="s">
        <v>2278</v>
      </c>
      <c r="N389" s="70" t="s">
        <v>2278</v>
      </c>
      <c r="O389" s="70" t="s">
        <v>2278</v>
      </c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s="69" t="s">
        <v>409</v>
      </c>
      <c r="B390" s="69" t="s">
        <v>412</v>
      </c>
      <c r="C390" t="s">
        <v>1059</v>
      </c>
      <c r="D390" s="69" t="s">
        <v>411</v>
      </c>
      <c r="E390" s="30" t="s">
        <v>73</v>
      </c>
      <c r="F390" s="30" t="s">
        <v>28</v>
      </c>
      <c r="G390" s="30"/>
      <c r="H390" s="152" t="s">
        <v>791</v>
      </c>
      <c r="I390" s="31">
        <f t="shared" si="21"/>
        <v>25</v>
      </c>
      <c r="J390" s="146" t="s">
        <v>1969</v>
      </c>
      <c r="K390" s="31">
        <f t="shared" si="22"/>
        <v>3</v>
      </c>
      <c r="L390" s="32">
        <f t="shared" si="23"/>
        <v>0.8928571428571429</v>
      </c>
      <c r="M390" s="70" t="s">
        <v>2278</v>
      </c>
      <c r="N390" s="70" t="s">
        <v>2278</v>
      </c>
      <c r="O390" s="70" t="s">
        <v>2278</v>
      </c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thickBot="1" x14ac:dyDescent="0.3">
      <c r="A391" t="s">
        <v>402</v>
      </c>
      <c r="B391" t="s">
        <v>413</v>
      </c>
      <c r="C391" t="s">
        <v>1059</v>
      </c>
      <c r="D391" t="s">
        <v>414</v>
      </c>
      <c r="E391" s="30" t="s">
        <v>73</v>
      </c>
      <c r="F391" s="30" t="s">
        <v>28</v>
      </c>
      <c r="G391" s="30"/>
      <c r="H391" s="30" t="s">
        <v>792</v>
      </c>
      <c r="I391" s="31">
        <f t="shared" si="21"/>
        <v>28</v>
      </c>
      <c r="J391" s="146" t="s">
        <v>1970</v>
      </c>
      <c r="K391" s="31">
        <f t="shared" si="22"/>
        <v>0</v>
      </c>
      <c r="L391" s="32">
        <f t="shared" si="23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thickBot="1" x14ac:dyDescent="0.3">
      <c r="A392" t="s">
        <v>402</v>
      </c>
      <c r="B392" t="s">
        <v>415</v>
      </c>
      <c r="C392" t="s">
        <v>1059</v>
      </c>
      <c r="D392" t="s">
        <v>414</v>
      </c>
      <c r="E392" s="30" t="s">
        <v>73</v>
      </c>
      <c r="F392" s="30" t="s">
        <v>28</v>
      </c>
      <c r="G392" s="30"/>
      <c r="H392" s="30" t="s">
        <v>793</v>
      </c>
      <c r="I392" s="31">
        <f t="shared" si="21"/>
        <v>28</v>
      </c>
      <c r="J392" s="146" t="s">
        <v>1971</v>
      </c>
      <c r="K392" s="31">
        <f t="shared" si="22"/>
        <v>0</v>
      </c>
      <c r="L392" s="32">
        <f t="shared" si="23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thickBot="1" x14ac:dyDescent="0.3">
      <c r="A393" t="s">
        <v>402</v>
      </c>
      <c r="B393" t="s">
        <v>416</v>
      </c>
      <c r="C393" t="s">
        <v>1059</v>
      </c>
      <c r="D393" t="s">
        <v>417</v>
      </c>
      <c r="E393" s="30" t="s">
        <v>73</v>
      </c>
      <c r="F393" s="30" t="s">
        <v>28</v>
      </c>
      <c r="G393" s="30"/>
      <c r="H393" s="30" t="s">
        <v>794</v>
      </c>
      <c r="I393" s="31">
        <f t="shared" si="21"/>
        <v>28</v>
      </c>
      <c r="J393" s="146" t="s">
        <v>1972</v>
      </c>
      <c r="K393" s="31">
        <f t="shared" si="22"/>
        <v>0</v>
      </c>
      <c r="L393" s="32">
        <f t="shared" si="23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thickBot="1" x14ac:dyDescent="0.3">
      <c r="A394" t="s">
        <v>402</v>
      </c>
      <c r="B394" t="s">
        <v>418</v>
      </c>
      <c r="C394" t="s">
        <v>1059</v>
      </c>
      <c r="D394" t="s">
        <v>417</v>
      </c>
      <c r="E394" s="30" t="s">
        <v>73</v>
      </c>
      <c r="F394" s="30" t="s">
        <v>28</v>
      </c>
      <c r="G394" s="30"/>
      <c r="H394" s="30" t="s">
        <v>795</v>
      </c>
      <c r="I394" s="31">
        <f t="shared" si="21"/>
        <v>28</v>
      </c>
      <c r="J394" s="146" t="s">
        <v>1973</v>
      </c>
      <c r="K394" s="31">
        <f t="shared" si="22"/>
        <v>0</v>
      </c>
      <c r="L394" s="32">
        <f t="shared" si="23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thickBot="1" x14ac:dyDescent="0.3">
      <c r="A395" s="69" t="s">
        <v>409</v>
      </c>
      <c r="B395" s="69" t="s">
        <v>899</v>
      </c>
      <c r="C395" t="s">
        <v>1059</v>
      </c>
      <c r="D395" s="69" t="s">
        <v>900</v>
      </c>
      <c r="E395" s="30" t="s">
        <v>19</v>
      </c>
      <c r="F395" s="30" t="s">
        <v>28</v>
      </c>
      <c r="G395" s="30"/>
      <c r="H395" s="152" t="s">
        <v>907</v>
      </c>
      <c r="I395" s="31">
        <f t="shared" si="21"/>
        <v>25</v>
      </c>
      <c r="J395" s="146" t="s">
        <v>1974</v>
      </c>
      <c r="K395" s="31">
        <f t="shared" si="22"/>
        <v>3</v>
      </c>
      <c r="L395" s="32">
        <f t="shared" si="23"/>
        <v>0.8928571428571429</v>
      </c>
      <c r="M395" s="70" t="s">
        <v>2278</v>
      </c>
      <c r="N395" s="70" t="s">
        <v>2278</v>
      </c>
      <c r="O395" s="70" t="s">
        <v>2278</v>
      </c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s="69" t="s">
        <v>402</v>
      </c>
      <c r="B396" s="69" t="s">
        <v>901</v>
      </c>
      <c r="C396" t="s">
        <v>1059</v>
      </c>
      <c r="D396" s="69" t="s">
        <v>902</v>
      </c>
      <c r="E396" s="30" t="s">
        <v>19</v>
      </c>
      <c r="F396" s="30" t="s">
        <v>28</v>
      </c>
      <c r="G396" s="30"/>
      <c r="H396" s="152" t="s">
        <v>908</v>
      </c>
      <c r="I396" s="31">
        <f t="shared" si="21"/>
        <v>25</v>
      </c>
      <c r="J396" s="146" t="s">
        <v>1975</v>
      </c>
      <c r="K396" s="31">
        <f t="shared" si="22"/>
        <v>3</v>
      </c>
      <c r="L396" s="32">
        <f t="shared" si="23"/>
        <v>0.8928571428571429</v>
      </c>
      <c r="M396" s="70" t="s">
        <v>2278</v>
      </c>
      <c r="N396" s="70" t="s">
        <v>2278</v>
      </c>
      <c r="O396" s="70" t="s">
        <v>2278</v>
      </c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thickBot="1" x14ac:dyDescent="0.3">
      <c r="A397" t="s">
        <v>402</v>
      </c>
      <c r="B397" t="s">
        <v>1009</v>
      </c>
      <c r="C397" t="s">
        <v>1059</v>
      </c>
      <c r="D397" t="s">
        <v>1010</v>
      </c>
      <c r="E397" s="30" t="s">
        <v>19</v>
      </c>
      <c r="F397" s="30" t="s">
        <v>28</v>
      </c>
      <c r="G397" s="30"/>
      <c r="H397" s="30" t="s">
        <v>1216</v>
      </c>
      <c r="I397" s="31">
        <f t="shared" si="21"/>
        <v>25</v>
      </c>
      <c r="J397" s="146" t="s">
        <v>1976</v>
      </c>
      <c r="K397" s="31">
        <f t="shared" si="22"/>
        <v>3</v>
      </c>
      <c r="L397" s="32">
        <f t="shared" si="23"/>
        <v>0.8928571428571429</v>
      </c>
      <c r="M397" s="70" t="s">
        <v>2278</v>
      </c>
      <c r="N397" s="70" t="s">
        <v>2278</v>
      </c>
      <c r="O397" s="70" t="s">
        <v>2278</v>
      </c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thickBot="1" x14ac:dyDescent="0.3">
      <c r="A398" s="73" t="s">
        <v>402</v>
      </c>
      <c r="B398" s="73" t="s">
        <v>1432</v>
      </c>
      <c r="C398" s="73" t="s">
        <v>1059</v>
      </c>
      <c r="D398" s="73" t="s">
        <v>1435</v>
      </c>
      <c r="E398" s="30" t="s">
        <v>19</v>
      </c>
      <c r="F398" s="85" t="s">
        <v>1298</v>
      </c>
      <c r="G398" s="30"/>
      <c r="H398" s="85" t="s">
        <v>1436</v>
      </c>
      <c r="I398" s="141">
        <f t="shared" si="21"/>
        <v>28</v>
      </c>
      <c r="J398" s="146" t="s">
        <v>1977</v>
      </c>
      <c r="K398" s="141">
        <f t="shared" si="22"/>
        <v>0</v>
      </c>
      <c r="L398" s="142">
        <f t="shared" si="23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thickBot="1" x14ac:dyDescent="0.3">
      <c r="A399" t="s">
        <v>402</v>
      </c>
      <c r="B399" t="s">
        <v>1433</v>
      </c>
      <c r="C399" t="s">
        <v>1059</v>
      </c>
      <c r="D399" t="s">
        <v>1435</v>
      </c>
      <c r="E399" s="30" t="s">
        <v>73</v>
      </c>
      <c r="F399" s="30" t="s">
        <v>28</v>
      </c>
      <c r="G399" s="30"/>
      <c r="H399" s="85" t="s">
        <v>1498</v>
      </c>
      <c r="I399" s="31">
        <f t="shared" si="21"/>
        <v>28</v>
      </c>
      <c r="J399" s="146" t="s">
        <v>1978</v>
      </c>
      <c r="K399" s="31">
        <f t="shared" si="22"/>
        <v>0</v>
      </c>
      <c r="L399" s="32">
        <f t="shared" si="23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thickBot="1" x14ac:dyDescent="0.3">
      <c r="A400" t="s">
        <v>402</v>
      </c>
      <c r="B400" t="s">
        <v>1434</v>
      </c>
      <c r="C400" t="s">
        <v>1059</v>
      </c>
      <c r="D400" t="s">
        <v>1435</v>
      </c>
      <c r="E400" s="30" t="s">
        <v>73</v>
      </c>
      <c r="F400" s="30" t="s">
        <v>28</v>
      </c>
      <c r="G400" s="30"/>
      <c r="H400" s="85" t="s">
        <v>1496</v>
      </c>
      <c r="I400" s="31">
        <f t="shared" si="21"/>
        <v>28</v>
      </c>
      <c r="J400" s="146" t="s">
        <v>1979</v>
      </c>
      <c r="K400" s="31">
        <f t="shared" si="22"/>
        <v>0</v>
      </c>
      <c r="L400" s="32">
        <f t="shared" si="23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thickBot="1" x14ac:dyDescent="0.3">
      <c r="A401" t="s">
        <v>402</v>
      </c>
      <c r="B401" t="s">
        <v>1624</v>
      </c>
      <c r="C401" t="s">
        <v>1059</v>
      </c>
      <c r="D401" t="s">
        <v>2316</v>
      </c>
      <c r="E401" s="30" t="s">
        <v>19</v>
      </c>
      <c r="F401" s="30" t="s">
        <v>28</v>
      </c>
      <c r="G401" s="30"/>
      <c r="H401" s="85" t="s">
        <v>1625</v>
      </c>
      <c r="I401" s="31">
        <f t="shared" si="21"/>
        <v>27</v>
      </c>
      <c r="J401" s="87"/>
      <c r="K401" s="31">
        <f t="shared" si="22"/>
        <v>1</v>
      </c>
      <c r="L401" s="32">
        <f t="shared" si="23"/>
        <v>0.9642857142857143</v>
      </c>
      <c r="M401" s="70" t="s">
        <v>2278</v>
      </c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thickBot="1" x14ac:dyDescent="0.3">
      <c r="A402" t="s">
        <v>402</v>
      </c>
      <c r="B402" t="s">
        <v>2270</v>
      </c>
      <c r="C402" t="s">
        <v>1059</v>
      </c>
      <c r="D402" t="s">
        <v>2271</v>
      </c>
      <c r="E402" s="30" t="s">
        <v>19</v>
      </c>
      <c r="F402" s="85" t="s">
        <v>1298</v>
      </c>
      <c r="G402" s="30"/>
      <c r="H402" s="85" t="s">
        <v>2272</v>
      </c>
      <c r="I402" s="31">
        <f t="shared" si="21"/>
        <v>25</v>
      </c>
      <c r="J402" s="87"/>
      <c r="K402" s="31">
        <f t="shared" si="22"/>
        <v>3</v>
      </c>
      <c r="L402" s="32">
        <f t="shared" si="23"/>
        <v>0.8928571428571429</v>
      </c>
      <c r="M402" s="70" t="s">
        <v>2278</v>
      </c>
      <c r="N402" s="70" t="s">
        <v>2278</v>
      </c>
      <c r="O402" s="70" t="s">
        <v>2278</v>
      </c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thickBot="1" x14ac:dyDescent="0.3">
      <c r="A403" t="s">
        <v>196</v>
      </c>
      <c r="B403" t="s">
        <v>419</v>
      </c>
      <c r="C403" t="s">
        <v>1060</v>
      </c>
      <c r="D403" t="s">
        <v>420</v>
      </c>
      <c r="E403" s="30" t="s">
        <v>15</v>
      </c>
      <c r="F403" s="30" t="s">
        <v>20</v>
      </c>
      <c r="G403" s="30"/>
      <c r="H403" s="30" t="s">
        <v>797</v>
      </c>
      <c r="I403" s="31">
        <f t="shared" si="21"/>
        <v>25</v>
      </c>
      <c r="J403" s="87"/>
      <c r="K403" s="31">
        <f t="shared" si="22"/>
        <v>3</v>
      </c>
      <c r="L403" s="32">
        <f t="shared" si="23"/>
        <v>0.8928571428571429</v>
      </c>
      <c r="M403" s="70" t="s">
        <v>2278</v>
      </c>
      <c r="N403" s="70" t="s">
        <v>2278</v>
      </c>
      <c r="O403" s="70" t="s">
        <v>2278</v>
      </c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thickBot="1" x14ac:dyDescent="0.3">
      <c r="A404" s="73" t="s">
        <v>196</v>
      </c>
      <c r="B404" s="73" t="s">
        <v>421</v>
      </c>
      <c r="C404" s="73" t="s">
        <v>1060</v>
      </c>
      <c r="D404" s="73" t="s">
        <v>422</v>
      </c>
      <c r="E404" s="85" t="s">
        <v>15</v>
      </c>
      <c r="F404" s="85" t="s">
        <v>1298</v>
      </c>
      <c r="G404" s="85"/>
      <c r="H404" s="85" t="s">
        <v>1426</v>
      </c>
      <c r="I404" s="141">
        <f t="shared" si="21"/>
        <v>28</v>
      </c>
      <c r="J404" s="146" t="s">
        <v>1980</v>
      </c>
      <c r="K404" s="141">
        <f t="shared" si="22"/>
        <v>0</v>
      </c>
      <c r="L404" s="142">
        <f t="shared" si="23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196</v>
      </c>
      <c r="B405" t="s">
        <v>1011</v>
      </c>
      <c r="C405" t="s">
        <v>1060</v>
      </c>
      <c r="D405" t="s">
        <v>1012</v>
      </c>
      <c r="E405" s="30" t="s">
        <v>73</v>
      </c>
      <c r="F405" s="30" t="s">
        <v>20</v>
      </c>
      <c r="G405" s="30"/>
      <c r="H405" s="30" t="s">
        <v>1278</v>
      </c>
      <c r="I405" s="31">
        <f t="shared" si="21"/>
        <v>28</v>
      </c>
      <c r="J405" s="87"/>
      <c r="K405" s="31">
        <f t="shared" si="22"/>
        <v>0</v>
      </c>
      <c r="L405" s="32">
        <f t="shared" si="23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196</v>
      </c>
      <c r="B406" t="s">
        <v>1013</v>
      </c>
      <c r="C406" t="s">
        <v>1060</v>
      </c>
      <c r="D406" t="s">
        <v>1012</v>
      </c>
      <c r="E406" s="30" t="s">
        <v>73</v>
      </c>
      <c r="F406" s="30" t="s">
        <v>20</v>
      </c>
      <c r="G406" s="30"/>
      <c r="H406" s="30" t="s">
        <v>1394</v>
      </c>
      <c r="I406" s="31">
        <f t="shared" si="21"/>
        <v>28</v>
      </c>
      <c r="J406" s="87"/>
      <c r="K406" s="31">
        <f t="shared" si="22"/>
        <v>0</v>
      </c>
      <c r="L406" s="32">
        <f t="shared" si="23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thickBot="1" x14ac:dyDescent="0.3">
      <c r="A407" s="73" t="s">
        <v>196</v>
      </c>
      <c r="B407" s="73" t="s">
        <v>423</v>
      </c>
      <c r="C407" s="73" t="s">
        <v>1060</v>
      </c>
      <c r="D407" s="73" t="s">
        <v>424</v>
      </c>
      <c r="E407" s="85" t="s">
        <v>19</v>
      </c>
      <c r="F407" s="30" t="s">
        <v>1053</v>
      </c>
      <c r="G407" s="85"/>
      <c r="H407" s="85" t="s">
        <v>1427</v>
      </c>
      <c r="I407" s="87">
        <f t="shared" si="21"/>
        <v>25</v>
      </c>
      <c r="J407" s="146" t="s">
        <v>1981</v>
      </c>
      <c r="K407" s="87">
        <f t="shared" si="22"/>
        <v>3</v>
      </c>
      <c r="L407" s="88">
        <f t="shared" si="23"/>
        <v>0.8928571428571429</v>
      </c>
      <c r="M407" s="89" t="s">
        <v>2278</v>
      </c>
      <c r="N407" s="89" t="s">
        <v>2278</v>
      </c>
      <c r="O407" s="89" t="s">
        <v>2278</v>
      </c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thickBot="1" x14ac:dyDescent="0.3">
      <c r="A408" t="s">
        <v>196</v>
      </c>
      <c r="B408" t="s">
        <v>425</v>
      </c>
      <c r="C408" t="s">
        <v>1060</v>
      </c>
      <c r="D408" t="s">
        <v>426</v>
      </c>
      <c r="E408" s="30" t="s">
        <v>19</v>
      </c>
      <c r="F408" s="30" t="s">
        <v>20</v>
      </c>
      <c r="G408" s="30"/>
      <c r="H408" s="30" t="s">
        <v>796</v>
      </c>
      <c r="I408" s="31">
        <f t="shared" si="21"/>
        <v>28</v>
      </c>
      <c r="J408" s="87"/>
      <c r="K408" s="31">
        <f t="shared" si="22"/>
        <v>0</v>
      </c>
      <c r="L408" s="32">
        <f t="shared" si="23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196</v>
      </c>
      <c r="B409" t="s">
        <v>427</v>
      </c>
      <c r="C409" t="s">
        <v>1060</v>
      </c>
      <c r="D409" t="s">
        <v>428</v>
      </c>
      <c r="E409" s="30" t="s">
        <v>73</v>
      </c>
      <c r="F409" s="30" t="s">
        <v>28</v>
      </c>
      <c r="G409" s="30"/>
      <c r="H409" s="30" t="s">
        <v>799</v>
      </c>
      <c r="I409" s="31">
        <f t="shared" si="21"/>
        <v>25</v>
      </c>
      <c r="J409" s="146" t="s">
        <v>1982</v>
      </c>
      <c r="K409" s="31">
        <f t="shared" si="22"/>
        <v>3</v>
      </c>
      <c r="L409" s="32">
        <f t="shared" si="23"/>
        <v>0.8928571428571429</v>
      </c>
      <c r="M409" s="70" t="s">
        <v>2278</v>
      </c>
      <c r="N409" s="70" t="s">
        <v>2278</v>
      </c>
      <c r="O409" s="70" t="s">
        <v>2278</v>
      </c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thickBot="1" x14ac:dyDescent="0.3">
      <c r="A410" t="s">
        <v>196</v>
      </c>
      <c r="B410" t="s">
        <v>429</v>
      </c>
      <c r="C410" t="s">
        <v>1060</v>
      </c>
      <c r="D410" t="s">
        <v>428</v>
      </c>
      <c r="E410" s="30" t="s">
        <v>73</v>
      </c>
      <c r="F410" s="30" t="s">
        <v>28</v>
      </c>
      <c r="G410" s="30"/>
      <c r="H410" s="30" t="s">
        <v>800</v>
      </c>
      <c r="I410" s="31">
        <f t="shared" si="21"/>
        <v>25</v>
      </c>
      <c r="J410" s="146" t="s">
        <v>1983</v>
      </c>
      <c r="K410" s="31">
        <f t="shared" si="22"/>
        <v>3</v>
      </c>
      <c r="L410" s="32">
        <f t="shared" si="23"/>
        <v>0.8928571428571429</v>
      </c>
      <c r="M410" s="70" t="s">
        <v>2278</v>
      </c>
      <c r="N410" s="70" t="s">
        <v>2278</v>
      </c>
      <c r="O410" s="70" t="s">
        <v>2278</v>
      </c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196</v>
      </c>
      <c r="B411" s="73" t="s">
        <v>430</v>
      </c>
      <c r="C411" s="73" t="s">
        <v>1060</v>
      </c>
      <c r="D411" s="73" t="s">
        <v>431</v>
      </c>
      <c r="E411" s="85" t="s">
        <v>73</v>
      </c>
      <c r="F411" s="85" t="s">
        <v>1298</v>
      </c>
      <c r="G411" s="85"/>
      <c r="H411" s="85" t="s">
        <v>801</v>
      </c>
      <c r="I411" s="141">
        <f t="shared" si="21"/>
        <v>25</v>
      </c>
      <c r="J411" s="146" t="s">
        <v>1984</v>
      </c>
      <c r="K411" s="141">
        <f t="shared" si="22"/>
        <v>3</v>
      </c>
      <c r="L411" s="142">
        <f t="shared" si="23"/>
        <v>0.8928571428571429</v>
      </c>
      <c r="M411" s="70" t="s">
        <v>2278</v>
      </c>
      <c r="N411" s="70" t="s">
        <v>2278</v>
      </c>
      <c r="O411" s="70" t="s">
        <v>2278</v>
      </c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customHeight="1" thickBot="1" x14ac:dyDescent="0.3">
      <c r="A412" s="73" t="s">
        <v>196</v>
      </c>
      <c r="B412" s="73" t="s">
        <v>432</v>
      </c>
      <c r="C412" s="73" t="s">
        <v>1060</v>
      </c>
      <c r="D412" s="73" t="s">
        <v>431</v>
      </c>
      <c r="E412" s="85" t="s">
        <v>73</v>
      </c>
      <c r="F412" s="85" t="s">
        <v>1298</v>
      </c>
      <c r="G412" s="85"/>
      <c r="H412" s="85" t="s">
        <v>802</v>
      </c>
      <c r="I412" s="141">
        <f t="shared" si="21"/>
        <v>25</v>
      </c>
      <c r="J412" s="146" t="s">
        <v>1985</v>
      </c>
      <c r="K412" s="141">
        <f t="shared" si="22"/>
        <v>3</v>
      </c>
      <c r="L412" s="142">
        <f t="shared" si="23"/>
        <v>0.8928571428571429</v>
      </c>
      <c r="M412" s="70" t="s">
        <v>2278</v>
      </c>
      <c r="N412" s="70" t="s">
        <v>2278</v>
      </c>
      <c r="O412" s="70" t="s">
        <v>2278</v>
      </c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196</v>
      </c>
      <c r="B413" s="73" t="s">
        <v>1540</v>
      </c>
      <c r="C413" s="73" t="s">
        <v>1060</v>
      </c>
      <c r="D413" s="73" t="s">
        <v>1541</v>
      </c>
      <c r="E413" s="85" t="s">
        <v>73</v>
      </c>
      <c r="F413" s="85" t="s">
        <v>1298</v>
      </c>
      <c r="G413" s="85"/>
      <c r="H413" s="85"/>
      <c r="I413" s="141">
        <f t="shared" si="21"/>
        <v>28</v>
      </c>
      <c r="J413" s="87"/>
      <c r="K413" s="141">
        <f t="shared" si="22"/>
        <v>0</v>
      </c>
      <c r="L413" s="142">
        <f t="shared" si="23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thickBot="1" x14ac:dyDescent="0.3">
      <c r="A414" s="73" t="s">
        <v>196</v>
      </c>
      <c r="B414" s="73" t="s">
        <v>1542</v>
      </c>
      <c r="C414" s="73" t="s">
        <v>1060</v>
      </c>
      <c r="D414" s="73" t="s">
        <v>1541</v>
      </c>
      <c r="E414" s="85" t="s">
        <v>73</v>
      </c>
      <c r="F414" s="85" t="s">
        <v>1298</v>
      </c>
      <c r="G414" s="85"/>
      <c r="H414" s="85"/>
      <c r="I414" s="141">
        <f t="shared" si="21"/>
        <v>28</v>
      </c>
      <c r="J414" s="87"/>
      <c r="K414" s="141">
        <f t="shared" si="22"/>
        <v>0</v>
      </c>
      <c r="L414" s="142">
        <f t="shared" si="23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thickBot="1" x14ac:dyDescent="0.3">
      <c r="A415" s="73" t="s">
        <v>196</v>
      </c>
      <c r="B415" s="73" t="s">
        <v>1620</v>
      </c>
      <c r="C415" s="73" t="s">
        <v>1060</v>
      </c>
      <c r="D415" s="73" t="s">
        <v>1621</v>
      </c>
      <c r="E415" s="85" t="s">
        <v>73</v>
      </c>
      <c r="F415" s="85" t="s">
        <v>1298</v>
      </c>
      <c r="G415" s="85"/>
      <c r="H415" s="85" t="s">
        <v>1622</v>
      </c>
      <c r="I415" s="141">
        <f t="shared" si="21"/>
        <v>28</v>
      </c>
      <c r="J415" s="87" t="s">
        <v>2142</v>
      </c>
      <c r="K415" s="141">
        <f t="shared" si="22"/>
        <v>0</v>
      </c>
      <c r="L415" s="142">
        <f t="shared" si="23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196</v>
      </c>
      <c r="B416" s="73" t="s">
        <v>2138</v>
      </c>
      <c r="C416" s="73" t="s">
        <v>1060</v>
      </c>
      <c r="D416" s="73" t="s">
        <v>2139</v>
      </c>
      <c r="E416" s="91" t="s">
        <v>19</v>
      </c>
      <c r="F416" s="85" t="s">
        <v>1298</v>
      </c>
      <c r="G416" s="85"/>
      <c r="H416" s="85" t="s">
        <v>2140</v>
      </c>
      <c r="I416" s="141">
        <f t="shared" si="21"/>
        <v>28</v>
      </c>
      <c r="J416" s="87" t="s">
        <v>2141</v>
      </c>
      <c r="K416" s="141">
        <f t="shared" si="22"/>
        <v>0</v>
      </c>
      <c r="L416" s="142">
        <f t="shared" si="23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thickBot="1" x14ac:dyDescent="0.3">
      <c r="A417" s="73" t="s">
        <v>2262</v>
      </c>
      <c r="B417" s="73" t="s">
        <v>434</v>
      </c>
      <c r="C417" s="90" t="s">
        <v>1060</v>
      </c>
      <c r="D417" s="73" t="s">
        <v>435</v>
      </c>
      <c r="E417" s="91" t="s">
        <v>19</v>
      </c>
      <c r="F417" s="85" t="s">
        <v>1298</v>
      </c>
      <c r="G417" s="85"/>
      <c r="H417" s="85" t="s">
        <v>2191</v>
      </c>
      <c r="I417" s="31">
        <f t="shared" si="21"/>
        <v>28</v>
      </c>
      <c r="J417" s="87" t="s">
        <v>2192</v>
      </c>
      <c r="K417" s="31">
        <f t="shared" si="22"/>
        <v>0</v>
      </c>
      <c r="L417" s="32">
        <f t="shared" si="23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thickBot="1" x14ac:dyDescent="0.3">
      <c r="A418" s="73" t="s">
        <v>2262</v>
      </c>
      <c r="B418" s="73" t="s">
        <v>1349</v>
      </c>
      <c r="C418" s="73" t="s">
        <v>1060</v>
      </c>
      <c r="D418" s="73" t="s">
        <v>1350</v>
      </c>
      <c r="E418" s="91" t="s">
        <v>19</v>
      </c>
      <c r="F418" s="85" t="s">
        <v>1298</v>
      </c>
      <c r="G418" s="85"/>
      <c r="H418" s="85" t="s">
        <v>1410</v>
      </c>
      <c r="I418" s="141">
        <f t="shared" si="21"/>
        <v>28</v>
      </c>
      <c r="J418" s="146" t="s">
        <v>1986</v>
      </c>
      <c r="K418" s="141">
        <f t="shared" si="22"/>
        <v>0</v>
      </c>
      <c r="L418" s="142">
        <f t="shared" si="23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2262</v>
      </c>
      <c r="B419" s="73" t="s">
        <v>1398</v>
      </c>
      <c r="C419" s="73" t="s">
        <v>1060</v>
      </c>
      <c r="D419" s="73" t="s">
        <v>1399</v>
      </c>
      <c r="E419" s="91" t="s">
        <v>19</v>
      </c>
      <c r="F419" s="85" t="s">
        <v>1298</v>
      </c>
      <c r="G419" s="85"/>
      <c r="H419" s="85" t="s">
        <v>1400</v>
      </c>
      <c r="I419" s="141">
        <f t="shared" si="21"/>
        <v>28</v>
      </c>
      <c r="J419" s="146" t="s">
        <v>1987</v>
      </c>
      <c r="K419" s="141">
        <f t="shared" si="22"/>
        <v>0</v>
      </c>
      <c r="L419" s="142">
        <f t="shared" si="23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thickBot="1" x14ac:dyDescent="0.3">
      <c r="A420" s="73" t="s">
        <v>2262</v>
      </c>
      <c r="B420" s="73" t="s">
        <v>2258</v>
      </c>
      <c r="C420" s="73" t="s">
        <v>1060</v>
      </c>
      <c r="D420" s="73" t="s">
        <v>2259</v>
      </c>
      <c r="E420" s="91" t="s">
        <v>19</v>
      </c>
      <c r="F420" s="85" t="s">
        <v>1298</v>
      </c>
      <c r="G420" s="85"/>
      <c r="H420" s="85" t="s">
        <v>2260</v>
      </c>
      <c r="I420" s="141">
        <f t="shared" si="21"/>
        <v>28</v>
      </c>
      <c r="J420" s="146" t="s">
        <v>2261</v>
      </c>
      <c r="K420" s="141">
        <f t="shared" si="22"/>
        <v>0</v>
      </c>
      <c r="L420" s="142">
        <f t="shared" si="23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thickBot="1" x14ac:dyDescent="0.3">
      <c r="A421" s="73" t="s">
        <v>438</v>
      </c>
      <c r="B421" s="73" t="s">
        <v>445</v>
      </c>
      <c r="C421" s="73" t="s">
        <v>1060</v>
      </c>
      <c r="D421" s="73" t="s">
        <v>446</v>
      </c>
      <c r="E421" s="85" t="s">
        <v>15</v>
      </c>
      <c r="F421" s="85" t="s">
        <v>1298</v>
      </c>
      <c r="G421" s="85"/>
      <c r="H421" s="85" t="s">
        <v>1369</v>
      </c>
      <c r="I421" s="141">
        <f t="shared" si="21"/>
        <v>28</v>
      </c>
      <c r="J421" s="146" t="s">
        <v>1988</v>
      </c>
      <c r="K421" s="141">
        <f t="shared" si="22"/>
        <v>0</v>
      </c>
      <c r="L421" s="142">
        <f t="shared" si="23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438</v>
      </c>
      <c r="B422" s="73" t="s">
        <v>447</v>
      </c>
      <c r="C422" s="73" t="s">
        <v>1060</v>
      </c>
      <c r="D422" s="73" t="s">
        <v>448</v>
      </c>
      <c r="E422" s="85" t="s">
        <v>19</v>
      </c>
      <c r="F422" s="85" t="s">
        <v>1298</v>
      </c>
      <c r="G422" s="85"/>
      <c r="H422" s="85" t="s">
        <v>1419</v>
      </c>
      <c r="I422" s="141">
        <f t="shared" si="21"/>
        <v>28</v>
      </c>
      <c r="J422" s="146" t="s">
        <v>1989</v>
      </c>
      <c r="K422" s="141">
        <f t="shared" si="22"/>
        <v>0</v>
      </c>
      <c r="L422" s="142">
        <f t="shared" si="23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thickBot="1" x14ac:dyDescent="0.3">
      <c r="A423" s="90" t="s">
        <v>438</v>
      </c>
      <c r="B423" s="90" t="s">
        <v>436</v>
      </c>
      <c r="C423" s="90" t="s">
        <v>1060</v>
      </c>
      <c r="D423" s="90" t="s">
        <v>437</v>
      </c>
      <c r="E423" s="91" t="s">
        <v>19</v>
      </c>
      <c r="F423" s="91" t="s">
        <v>20</v>
      </c>
      <c r="G423" s="91"/>
      <c r="H423" s="91" t="s">
        <v>803</v>
      </c>
      <c r="I423" s="31">
        <f t="shared" si="21"/>
        <v>25</v>
      </c>
      <c r="J423" s="87"/>
      <c r="K423" s="31">
        <f t="shared" si="22"/>
        <v>3</v>
      </c>
      <c r="L423" s="32">
        <f t="shared" si="23"/>
        <v>0.8928571428571429</v>
      </c>
      <c r="M423" s="70" t="s">
        <v>2278</v>
      </c>
      <c r="N423" s="70" t="s">
        <v>2278</v>
      </c>
      <c r="O423" s="70" t="s">
        <v>2278</v>
      </c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</row>
    <row r="424" spans="1:43" s="73" customFormat="1" ht="15.75" thickBot="1" x14ac:dyDescent="0.3">
      <c r="A424" s="73" t="s">
        <v>438</v>
      </c>
      <c r="B424" s="73" t="s">
        <v>439</v>
      </c>
      <c r="C424" s="73" t="s">
        <v>1060</v>
      </c>
      <c r="D424" s="73" t="s">
        <v>440</v>
      </c>
      <c r="E424" s="85" t="s">
        <v>46</v>
      </c>
      <c r="F424" s="85" t="s">
        <v>1298</v>
      </c>
      <c r="G424" s="85"/>
      <c r="H424" s="85" t="s">
        <v>1370</v>
      </c>
      <c r="I424" s="141">
        <f t="shared" si="21"/>
        <v>28</v>
      </c>
      <c r="J424" s="146" t="s">
        <v>1990</v>
      </c>
      <c r="K424" s="141">
        <f t="shared" si="22"/>
        <v>0</v>
      </c>
      <c r="L424" s="142">
        <f t="shared" si="23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438</v>
      </c>
      <c r="B425" t="s">
        <v>449</v>
      </c>
      <c r="C425" t="s">
        <v>1060</v>
      </c>
      <c r="D425" t="s">
        <v>450</v>
      </c>
      <c r="E425" s="30" t="s">
        <v>15</v>
      </c>
      <c r="F425" s="30" t="s">
        <v>1053</v>
      </c>
      <c r="G425" s="30" t="s">
        <v>1253</v>
      </c>
      <c r="H425" s="30" t="s">
        <v>804</v>
      </c>
      <c r="I425" s="31">
        <f t="shared" si="21"/>
        <v>28</v>
      </c>
      <c r="J425" s="146" t="s">
        <v>1991</v>
      </c>
      <c r="K425" s="31">
        <f t="shared" si="22"/>
        <v>0</v>
      </c>
      <c r="L425" s="32">
        <f t="shared" si="23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438</v>
      </c>
      <c r="B426" t="s">
        <v>441</v>
      </c>
      <c r="C426" t="s">
        <v>1060</v>
      </c>
      <c r="D426" t="s">
        <v>442</v>
      </c>
      <c r="E426" s="30" t="s">
        <v>15</v>
      </c>
      <c r="F426" s="30" t="s">
        <v>28</v>
      </c>
      <c r="G426" s="30"/>
      <c r="H426" s="30" t="s">
        <v>805</v>
      </c>
      <c r="I426" s="31">
        <f t="shared" si="21"/>
        <v>28</v>
      </c>
      <c r="J426" s="87"/>
      <c r="K426" s="31">
        <f t="shared" si="22"/>
        <v>0</v>
      </c>
      <c r="L426" s="32">
        <f t="shared" si="23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thickBot="1" x14ac:dyDescent="0.3">
      <c r="A427" s="73" t="s">
        <v>438</v>
      </c>
      <c r="B427" s="73" t="s">
        <v>443</v>
      </c>
      <c r="C427" s="73" t="s">
        <v>1060</v>
      </c>
      <c r="D427" s="73" t="s">
        <v>444</v>
      </c>
      <c r="E427" s="85" t="s">
        <v>15</v>
      </c>
      <c r="F427" s="85" t="s">
        <v>1298</v>
      </c>
      <c r="G427" s="85"/>
      <c r="H427" s="85" t="s">
        <v>806</v>
      </c>
      <c r="I427" s="141">
        <f t="shared" si="21"/>
        <v>28</v>
      </c>
      <c r="J427" s="73" t="s">
        <v>1992</v>
      </c>
      <c r="K427" s="141">
        <f t="shared" si="22"/>
        <v>0</v>
      </c>
      <c r="L427" s="142">
        <f t="shared" si="23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1121</v>
      </c>
      <c r="B428" t="s">
        <v>1122</v>
      </c>
      <c r="C428" t="s">
        <v>1060</v>
      </c>
      <c r="D428" t="s">
        <v>1123</v>
      </c>
      <c r="E428" s="30" t="s">
        <v>1111</v>
      </c>
      <c r="F428" s="30" t="s">
        <v>28</v>
      </c>
      <c r="G428" s="30"/>
      <c r="H428" s="30" t="s">
        <v>1137</v>
      </c>
      <c r="I428" s="31">
        <f t="shared" si="21"/>
        <v>28</v>
      </c>
      <c r="J428" s="146" t="s">
        <v>1993</v>
      </c>
      <c r="K428" s="31">
        <f t="shared" si="22"/>
        <v>0</v>
      </c>
      <c r="L428" s="32">
        <f t="shared" si="23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customHeight="1" thickBot="1" x14ac:dyDescent="0.3">
      <c r="A429" t="s">
        <v>1121</v>
      </c>
      <c r="B429" t="s">
        <v>1141</v>
      </c>
      <c r="C429" t="s">
        <v>1060</v>
      </c>
      <c r="D429" t="s">
        <v>1123</v>
      </c>
      <c r="E429" s="30" t="s">
        <v>1111</v>
      </c>
      <c r="F429" s="30" t="s">
        <v>28</v>
      </c>
      <c r="G429" s="30"/>
      <c r="H429" s="30" t="s">
        <v>1138</v>
      </c>
      <c r="I429" s="31">
        <f t="shared" si="21"/>
        <v>28</v>
      </c>
      <c r="J429" s="146" t="s">
        <v>1994</v>
      </c>
      <c r="K429" s="31">
        <f t="shared" si="22"/>
        <v>0</v>
      </c>
      <c r="L429" s="32">
        <f t="shared" si="23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customHeight="1" thickBot="1" x14ac:dyDescent="0.3">
      <c r="A430" t="s">
        <v>1121</v>
      </c>
      <c r="B430" s="73" t="s">
        <v>1555</v>
      </c>
      <c r="C430" s="73" t="s">
        <v>1060</v>
      </c>
      <c r="D430" s="73" t="s">
        <v>1556</v>
      </c>
      <c r="E430" s="85" t="s">
        <v>1111</v>
      </c>
      <c r="F430" s="85" t="s">
        <v>1298</v>
      </c>
      <c r="G430" s="85"/>
      <c r="H430" s="85" t="s">
        <v>1558</v>
      </c>
      <c r="I430" s="31">
        <f t="shared" si="21"/>
        <v>26</v>
      </c>
      <c r="J430" s="146" t="s">
        <v>1995</v>
      </c>
      <c r="K430" s="31">
        <f t="shared" si="22"/>
        <v>2</v>
      </c>
      <c r="L430" s="32">
        <f t="shared" si="23"/>
        <v>0.9285714285714286</v>
      </c>
      <c r="M430" s="70"/>
      <c r="N430" s="70" t="s">
        <v>2278</v>
      </c>
      <c r="O430" s="70" t="s">
        <v>2278</v>
      </c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customHeight="1" thickBot="1" x14ac:dyDescent="0.3">
      <c r="A431" t="s">
        <v>1121</v>
      </c>
      <c r="B431" s="73" t="s">
        <v>1554</v>
      </c>
      <c r="C431" s="73" t="s">
        <v>1060</v>
      </c>
      <c r="D431" s="73" t="s">
        <v>1557</v>
      </c>
      <c r="E431" s="85" t="s">
        <v>1111</v>
      </c>
      <c r="F431" s="85" t="s">
        <v>1298</v>
      </c>
      <c r="G431" s="85"/>
      <c r="H431" s="85" t="s">
        <v>1559</v>
      </c>
      <c r="I431" s="31">
        <f t="shared" si="21"/>
        <v>26</v>
      </c>
      <c r="J431" s="146" t="s">
        <v>1996</v>
      </c>
      <c r="K431" s="31">
        <f t="shared" si="22"/>
        <v>2</v>
      </c>
      <c r="L431" s="32">
        <f t="shared" si="23"/>
        <v>0.9285714285714286</v>
      </c>
      <c r="M431" s="70"/>
      <c r="N431" s="70" t="s">
        <v>2278</v>
      </c>
      <c r="O431" s="70" t="s">
        <v>2278</v>
      </c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customHeight="1" thickBot="1" x14ac:dyDescent="0.3">
      <c r="A432" t="s">
        <v>1121</v>
      </c>
      <c r="B432" s="73" t="s">
        <v>2243</v>
      </c>
      <c r="C432" s="73" t="s">
        <v>1060</v>
      </c>
      <c r="D432" s="73" t="s">
        <v>2244</v>
      </c>
      <c r="E432" s="85" t="s">
        <v>1111</v>
      </c>
      <c r="F432" s="85"/>
      <c r="G432" s="85"/>
      <c r="H432" s="85" t="s">
        <v>2245</v>
      </c>
      <c r="I432" s="31">
        <f t="shared" si="21"/>
        <v>26</v>
      </c>
      <c r="J432" s="146"/>
      <c r="K432" s="31">
        <f t="shared" si="22"/>
        <v>2</v>
      </c>
      <c r="L432" s="32">
        <f t="shared" si="23"/>
        <v>0.9285714285714286</v>
      </c>
      <c r="M432" s="70"/>
      <c r="N432" s="70" t="s">
        <v>2278</v>
      </c>
      <c r="O432" s="70" t="s">
        <v>2278</v>
      </c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165</v>
      </c>
      <c r="B433" t="s">
        <v>451</v>
      </c>
      <c r="C433" t="s">
        <v>1059</v>
      </c>
      <c r="D433" t="s">
        <v>452</v>
      </c>
      <c r="E433" s="30" t="s">
        <v>73</v>
      </c>
      <c r="F433" s="30" t="s">
        <v>28</v>
      </c>
      <c r="G433" s="30"/>
      <c r="H433" s="30" t="s">
        <v>807</v>
      </c>
      <c r="I433" s="31">
        <f t="shared" si="21"/>
        <v>28</v>
      </c>
      <c r="J433" s="146" t="s">
        <v>1997</v>
      </c>
      <c r="K433" s="31">
        <f t="shared" si="22"/>
        <v>0</v>
      </c>
      <c r="L433" s="32">
        <f t="shared" si="23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165</v>
      </c>
      <c r="B434" t="s">
        <v>453</v>
      </c>
      <c r="C434" t="s">
        <v>1059</v>
      </c>
      <c r="D434" t="s">
        <v>452</v>
      </c>
      <c r="E434" s="30" t="s">
        <v>73</v>
      </c>
      <c r="F434" s="30" t="s">
        <v>28</v>
      </c>
      <c r="G434" s="30"/>
      <c r="H434" s="30" t="s">
        <v>808</v>
      </c>
      <c r="I434" s="31">
        <f t="shared" si="21"/>
        <v>28</v>
      </c>
      <c r="J434" s="146" t="s">
        <v>1998</v>
      </c>
      <c r="K434" s="31">
        <f t="shared" si="22"/>
        <v>0</v>
      </c>
      <c r="L434" s="32">
        <f t="shared" si="23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165</v>
      </c>
      <c r="B435" t="s">
        <v>1014</v>
      </c>
      <c r="C435" t="s">
        <v>1059</v>
      </c>
      <c r="D435" t="s">
        <v>454</v>
      </c>
      <c r="E435" s="30" t="s">
        <v>73</v>
      </c>
      <c r="F435" s="30" t="s">
        <v>28</v>
      </c>
      <c r="G435" s="30"/>
      <c r="H435" s="30" t="s">
        <v>809</v>
      </c>
      <c r="I435" s="31">
        <f t="shared" si="21"/>
        <v>28</v>
      </c>
      <c r="J435" s="146" t="s">
        <v>1999</v>
      </c>
      <c r="K435" s="31">
        <f t="shared" si="22"/>
        <v>0</v>
      </c>
      <c r="L435" s="32">
        <f t="shared" si="23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165</v>
      </c>
      <c r="B436" t="s">
        <v>1015</v>
      </c>
      <c r="C436" t="s">
        <v>1059</v>
      </c>
      <c r="D436" t="s">
        <v>454</v>
      </c>
      <c r="E436" s="30" t="s">
        <v>73</v>
      </c>
      <c r="F436" s="30" t="s">
        <v>28</v>
      </c>
      <c r="G436" s="30"/>
      <c r="H436" s="30" t="s">
        <v>810</v>
      </c>
      <c r="I436" s="31">
        <f t="shared" si="21"/>
        <v>28</v>
      </c>
      <c r="J436" s="146" t="s">
        <v>2000</v>
      </c>
      <c r="K436" s="31">
        <f t="shared" si="22"/>
        <v>0</v>
      </c>
      <c r="L436" s="32">
        <f t="shared" si="23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464</v>
      </c>
      <c r="C437" t="s">
        <v>1060</v>
      </c>
      <c r="D437" t="s">
        <v>1022</v>
      </c>
      <c r="E437" s="30" t="s">
        <v>19</v>
      </c>
      <c r="F437" s="30" t="s">
        <v>1053</v>
      </c>
      <c r="G437" s="30"/>
      <c r="H437" s="30" t="s">
        <v>1406</v>
      </c>
      <c r="I437" s="31">
        <f t="shared" si="21"/>
        <v>28</v>
      </c>
      <c r="J437" s="146" t="s">
        <v>2001</v>
      </c>
      <c r="K437" s="31">
        <f t="shared" si="22"/>
        <v>0</v>
      </c>
      <c r="L437" s="32">
        <f t="shared" si="23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350</v>
      </c>
      <c r="B438" t="s">
        <v>465</v>
      </c>
      <c r="C438" t="s">
        <v>1060</v>
      </c>
      <c r="D438" t="s">
        <v>1318</v>
      </c>
      <c r="E438" s="30" t="s">
        <v>19</v>
      </c>
      <c r="F438" s="30" t="s">
        <v>1053</v>
      </c>
      <c r="G438" s="30"/>
      <c r="H438" s="30" t="s">
        <v>1407</v>
      </c>
      <c r="I438" s="31">
        <f t="shared" si="21"/>
        <v>28</v>
      </c>
      <c r="J438" s="146" t="s">
        <v>2002</v>
      </c>
      <c r="K438" s="31">
        <f t="shared" si="22"/>
        <v>0</v>
      </c>
      <c r="L438" s="32">
        <f t="shared" si="23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thickBot="1" x14ac:dyDescent="0.3">
      <c r="A439" s="73" t="s">
        <v>455</v>
      </c>
      <c r="B439" s="73" t="s">
        <v>466</v>
      </c>
      <c r="C439" s="73" t="s">
        <v>1060</v>
      </c>
      <c r="D439" s="73" t="s">
        <v>467</v>
      </c>
      <c r="E439" s="85" t="s">
        <v>19</v>
      </c>
      <c r="F439" s="85" t="s">
        <v>1298</v>
      </c>
      <c r="G439" s="85"/>
      <c r="H439" s="85" t="s">
        <v>1418</v>
      </c>
      <c r="I439" s="141">
        <f t="shared" si="21"/>
        <v>28</v>
      </c>
      <c r="J439" s="146" t="s">
        <v>2003</v>
      </c>
      <c r="K439" s="141">
        <f t="shared" si="22"/>
        <v>0</v>
      </c>
      <c r="L439" s="142">
        <f t="shared" si="23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thickBot="1" x14ac:dyDescent="0.3">
      <c r="A440" s="73" t="s">
        <v>455</v>
      </c>
      <c r="B440" s="73" t="s">
        <v>1016</v>
      </c>
      <c r="C440" s="73" t="s">
        <v>1060</v>
      </c>
      <c r="D440" s="73" t="s">
        <v>468</v>
      </c>
      <c r="E440" s="85" t="s">
        <v>19</v>
      </c>
      <c r="F440" s="85" t="s">
        <v>1298</v>
      </c>
      <c r="G440" s="85"/>
      <c r="H440" s="85" t="s">
        <v>1325</v>
      </c>
      <c r="I440" s="141">
        <f t="shared" si="21"/>
        <v>28</v>
      </c>
      <c r="J440" s="146" t="s">
        <v>2004</v>
      </c>
      <c r="K440" s="141">
        <f t="shared" si="22"/>
        <v>0</v>
      </c>
      <c r="L440" s="142">
        <f t="shared" si="23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455</v>
      </c>
      <c r="B441" t="s">
        <v>1023</v>
      </c>
      <c r="C441" t="s">
        <v>1060</v>
      </c>
      <c r="D441" t="s">
        <v>456</v>
      </c>
      <c r="E441" s="30" t="s">
        <v>15</v>
      </c>
      <c r="F441" s="30" t="s">
        <v>20</v>
      </c>
      <c r="G441" s="30"/>
      <c r="H441" s="30" t="s">
        <v>813</v>
      </c>
      <c r="I441" s="31">
        <f t="shared" si="21"/>
        <v>28</v>
      </c>
      <c r="J441" s="87"/>
      <c r="K441" s="31">
        <f t="shared" si="22"/>
        <v>0</v>
      </c>
      <c r="L441" s="32">
        <f t="shared" si="23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455</v>
      </c>
      <c r="B442" t="s">
        <v>1024</v>
      </c>
      <c r="C442" t="s">
        <v>1060</v>
      </c>
      <c r="D442" t="s">
        <v>457</v>
      </c>
      <c r="E442" s="30" t="s">
        <v>19</v>
      </c>
      <c r="F442" s="30" t="s">
        <v>28</v>
      </c>
      <c r="G442" s="30"/>
      <c r="H442" s="30" t="s">
        <v>814</v>
      </c>
      <c r="I442" s="31">
        <f t="shared" si="21"/>
        <v>28</v>
      </c>
      <c r="J442" s="146" t="s">
        <v>2005</v>
      </c>
      <c r="K442" s="31">
        <f t="shared" si="22"/>
        <v>0</v>
      </c>
      <c r="L442" s="32">
        <f t="shared" si="23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455</v>
      </c>
      <c r="B443" t="s">
        <v>1025</v>
      </c>
      <c r="C443" t="s">
        <v>1060</v>
      </c>
      <c r="D443" t="s">
        <v>458</v>
      </c>
      <c r="E443" s="30" t="s">
        <v>19</v>
      </c>
      <c r="F443" s="30" t="s">
        <v>28</v>
      </c>
      <c r="G443" s="30"/>
      <c r="H443" s="30" t="s">
        <v>815</v>
      </c>
      <c r="I443" s="31">
        <f t="shared" si="21"/>
        <v>28</v>
      </c>
      <c r="J443" s="146" t="s">
        <v>2006</v>
      </c>
      <c r="K443" s="31">
        <f t="shared" si="22"/>
        <v>0</v>
      </c>
      <c r="L443" s="32">
        <f t="shared" si="23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455</v>
      </c>
      <c r="B444" t="s">
        <v>459</v>
      </c>
      <c r="C444" t="s">
        <v>1060</v>
      </c>
      <c r="D444" t="s">
        <v>460</v>
      </c>
      <c r="E444" s="30" t="s">
        <v>19</v>
      </c>
      <c r="F444" s="30" t="s">
        <v>28</v>
      </c>
      <c r="G444" s="30"/>
      <c r="H444" s="30" t="s">
        <v>816</v>
      </c>
      <c r="I444" s="31">
        <f t="shared" si="21"/>
        <v>28</v>
      </c>
      <c r="J444" s="146" t="s">
        <v>2007</v>
      </c>
      <c r="K444" s="31">
        <f t="shared" si="22"/>
        <v>0</v>
      </c>
      <c r="L444" s="32">
        <f t="shared" si="23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1026</v>
      </c>
      <c r="C445" t="s">
        <v>1060</v>
      </c>
      <c r="D445" t="s">
        <v>461</v>
      </c>
      <c r="E445" s="30" t="s">
        <v>15</v>
      </c>
      <c r="F445" s="30" t="s">
        <v>20</v>
      </c>
      <c r="G445" s="30"/>
      <c r="H445" s="30" t="s">
        <v>798</v>
      </c>
      <c r="I445" s="31">
        <f t="shared" si="21"/>
        <v>28</v>
      </c>
      <c r="J445" s="87"/>
      <c r="K445" s="31">
        <f t="shared" si="22"/>
        <v>0</v>
      </c>
      <c r="L445" s="32">
        <f t="shared" si="23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t="s">
        <v>1027</v>
      </c>
      <c r="C446" t="s">
        <v>1060</v>
      </c>
      <c r="D446" t="s">
        <v>462</v>
      </c>
      <c r="E446" s="30" t="s">
        <v>15</v>
      </c>
      <c r="F446" s="30" t="s">
        <v>20</v>
      </c>
      <c r="G446" s="30"/>
      <c r="H446" s="30" t="s">
        <v>817</v>
      </c>
      <c r="I446" s="31">
        <f t="shared" si="21"/>
        <v>26</v>
      </c>
      <c r="J446" s="87"/>
      <c r="K446" s="31">
        <f t="shared" si="22"/>
        <v>2</v>
      </c>
      <c r="L446" s="32">
        <f t="shared" si="23"/>
        <v>0.9285714285714286</v>
      </c>
      <c r="M446" s="70"/>
      <c r="N446" s="70" t="s">
        <v>2278</v>
      </c>
      <c r="O446" s="70" t="s">
        <v>2278</v>
      </c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1017</v>
      </c>
      <c r="C447" t="s">
        <v>1060</v>
      </c>
      <c r="D447" t="s">
        <v>469</v>
      </c>
      <c r="E447" s="30" t="s">
        <v>15</v>
      </c>
      <c r="F447" s="30" t="s">
        <v>20</v>
      </c>
      <c r="G447" s="30"/>
      <c r="H447" s="30" t="s">
        <v>811</v>
      </c>
      <c r="I447" s="31">
        <f t="shared" si="21"/>
        <v>26</v>
      </c>
      <c r="J447" s="87"/>
      <c r="K447" s="31">
        <f t="shared" si="22"/>
        <v>2</v>
      </c>
      <c r="L447" s="32">
        <f t="shared" si="23"/>
        <v>0.9285714285714286</v>
      </c>
      <c r="M447" s="70"/>
      <c r="N447" s="70" t="s">
        <v>2278</v>
      </c>
      <c r="O447" s="70" t="s">
        <v>2278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t="s">
        <v>470</v>
      </c>
      <c r="C448" t="s">
        <v>1060</v>
      </c>
      <c r="D448" t="s">
        <v>471</v>
      </c>
      <c r="E448" s="30" t="s">
        <v>15</v>
      </c>
      <c r="F448" s="30" t="s">
        <v>20</v>
      </c>
      <c r="G448" s="30"/>
      <c r="H448" s="30" t="s">
        <v>812</v>
      </c>
      <c r="I448" s="31">
        <f t="shared" si="21"/>
        <v>28</v>
      </c>
      <c r="J448" s="87"/>
      <c r="K448" s="31">
        <f t="shared" si="22"/>
        <v>0</v>
      </c>
      <c r="L448" s="32">
        <f t="shared" si="23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350</v>
      </c>
      <c r="B449" t="s">
        <v>1018</v>
      </c>
      <c r="C449" t="s">
        <v>1060</v>
      </c>
      <c r="D449" t="s">
        <v>472</v>
      </c>
      <c r="E449" s="30" t="s">
        <v>73</v>
      </c>
      <c r="F449" s="30" t="s">
        <v>1053</v>
      </c>
      <c r="G449" s="30"/>
      <c r="H449" s="30" t="s">
        <v>1408</v>
      </c>
      <c r="I449" s="31">
        <f t="shared" si="21"/>
        <v>28</v>
      </c>
      <c r="J449" s="146" t="s">
        <v>2008</v>
      </c>
      <c r="K449" s="31">
        <f t="shared" si="22"/>
        <v>0</v>
      </c>
      <c r="L449" s="32">
        <f t="shared" si="23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350</v>
      </c>
      <c r="B450" t="s">
        <v>1019</v>
      </c>
      <c r="C450" t="s">
        <v>1060</v>
      </c>
      <c r="D450" t="s">
        <v>472</v>
      </c>
      <c r="E450" s="30" t="s">
        <v>73</v>
      </c>
      <c r="F450" s="30" t="s">
        <v>1053</v>
      </c>
      <c r="G450" s="30"/>
      <c r="H450" s="30" t="s">
        <v>1409</v>
      </c>
      <c r="I450" s="31">
        <f t="shared" si="21"/>
        <v>25</v>
      </c>
      <c r="J450" s="146" t="s">
        <v>2009</v>
      </c>
      <c r="K450" s="31">
        <f t="shared" si="22"/>
        <v>3</v>
      </c>
      <c r="L450" s="32">
        <f t="shared" si="23"/>
        <v>0.8928571428571429</v>
      </c>
      <c r="M450" s="70" t="s">
        <v>2278</v>
      </c>
      <c r="N450" s="70" t="s">
        <v>2278</v>
      </c>
      <c r="O450" s="70" t="s">
        <v>2278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455</v>
      </c>
      <c r="B451" s="73" t="s">
        <v>473</v>
      </c>
      <c r="C451" s="73" t="s">
        <v>1060</v>
      </c>
      <c r="D451" s="73" t="s">
        <v>474</v>
      </c>
      <c r="E451" s="85" t="s">
        <v>15</v>
      </c>
      <c r="F451" s="85" t="s">
        <v>1298</v>
      </c>
      <c r="G451" s="85"/>
      <c r="H451" s="85" t="s">
        <v>818</v>
      </c>
      <c r="I451" s="141">
        <f t="shared" si="21"/>
        <v>28</v>
      </c>
      <c r="J451" s="146" t="s">
        <v>2010</v>
      </c>
      <c r="K451" s="141">
        <f t="shared" si="22"/>
        <v>0</v>
      </c>
      <c r="L451" s="142">
        <f t="shared" si="23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455</v>
      </c>
      <c r="B452" s="73" t="s">
        <v>1028</v>
      </c>
      <c r="C452" s="73" t="s">
        <v>1060</v>
      </c>
      <c r="D452" s="73" t="s">
        <v>463</v>
      </c>
      <c r="E452" s="85" t="s">
        <v>73</v>
      </c>
      <c r="F452" s="85" t="s">
        <v>1298</v>
      </c>
      <c r="G452" s="85"/>
      <c r="H452" s="85" t="s">
        <v>819</v>
      </c>
      <c r="I452" s="141">
        <f t="shared" si="21"/>
        <v>28</v>
      </c>
      <c r="J452" s="146" t="s">
        <v>2011</v>
      </c>
      <c r="K452" s="141">
        <f t="shared" si="22"/>
        <v>0</v>
      </c>
      <c r="L452" s="142">
        <f t="shared" si="23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thickBot="1" x14ac:dyDescent="0.3">
      <c r="A453" s="73" t="s">
        <v>455</v>
      </c>
      <c r="B453" s="73" t="s">
        <v>1029</v>
      </c>
      <c r="C453" s="73" t="s">
        <v>1060</v>
      </c>
      <c r="D453" s="73" t="s">
        <v>463</v>
      </c>
      <c r="E453" s="85" t="s">
        <v>73</v>
      </c>
      <c r="F453" s="85" t="s">
        <v>1298</v>
      </c>
      <c r="G453" s="85"/>
      <c r="H453" s="85" t="s">
        <v>820</v>
      </c>
      <c r="I453" s="141">
        <f t="shared" si="21"/>
        <v>28</v>
      </c>
      <c r="J453" s="146" t="s">
        <v>2012</v>
      </c>
      <c r="K453" s="141">
        <f t="shared" si="22"/>
        <v>0</v>
      </c>
      <c r="L453" s="142">
        <f t="shared" si="23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thickBot="1" x14ac:dyDescent="0.3">
      <c r="A454" t="s">
        <v>455</v>
      </c>
      <c r="B454" t="s">
        <v>1020</v>
      </c>
      <c r="C454" t="s">
        <v>1060</v>
      </c>
      <c r="D454" t="s">
        <v>475</v>
      </c>
      <c r="E454" s="30" t="s">
        <v>73</v>
      </c>
      <c r="F454" s="30" t="s">
        <v>28</v>
      </c>
      <c r="G454" s="30"/>
      <c r="H454" s="30" t="s">
        <v>821</v>
      </c>
      <c r="I454" s="31">
        <f t="shared" si="21"/>
        <v>28</v>
      </c>
      <c r="J454" s="146" t="s">
        <v>2013</v>
      </c>
      <c r="K454" s="31">
        <f t="shared" si="22"/>
        <v>0</v>
      </c>
      <c r="L454" s="32">
        <f t="shared" si="23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thickBot="1" x14ac:dyDescent="0.3">
      <c r="A455" t="s">
        <v>455</v>
      </c>
      <c r="B455" t="s">
        <v>1021</v>
      </c>
      <c r="C455" t="s">
        <v>1060</v>
      </c>
      <c r="D455" t="s">
        <v>475</v>
      </c>
      <c r="E455" s="30" t="s">
        <v>73</v>
      </c>
      <c r="F455" s="30" t="s">
        <v>28</v>
      </c>
      <c r="G455" s="30"/>
      <c r="H455" s="30" t="s">
        <v>822</v>
      </c>
      <c r="I455" s="31">
        <f t="shared" si="21"/>
        <v>28</v>
      </c>
      <c r="J455" s="146" t="s">
        <v>2014</v>
      </c>
      <c r="K455" s="31">
        <f t="shared" si="22"/>
        <v>0</v>
      </c>
      <c r="L455" s="32">
        <f t="shared" si="23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455</v>
      </c>
      <c r="B456" s="30" t="s">
        <v>1285</v>
      </c>
      <c r="C456" t="s">
        <v>1060</v>
      </c>
      <c r="D456" s="68" t="s">
        <v>1284</v>
      </c>
      <c r="E456" s="30" t="s">
        <v>73</v>
      </c>
      <c r="F456" s="30" t="s">
        <v>28</v>
      </c>
      <c r="G456" s="30"/>
      <c r="H456" s="30" t="s">
        <v>1286</v>
      </c>
      <c r="I456" s="31">
        <f t="shared" si="21"/>
        <v>28</v>
      </c>
      <c r="J456" s="146" t="s">
        <v>2015</v>
      </c>
      <c r="K456" s="31">
        <f t="shared" si="22"/>
        <v>0</v>
      </c>
      <c r="L456" s="32">
        <f t="shared" si="23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455</v>
      </c>
      <c r="B457" t="s">
        <v>1283</v>
      </c>
      <c r="C457" t="s">
        <v>1060</v>
      </c>
      <c r="D457" s="68" t="s">
        <v>1284</v>
      </c>
      <c r="E457" s="30" t="s">
        <v>73</v>
      </c>
      <c r="F457" s="30" t="s">
        <v>28</v>
      </c>
      <c r="G457" s="30"/>
      <c r="H457" s="30" t="s">
        <v>1287</v>
      </c>
      <c r="I457" s="31">
        <f t="shared" si="21"/>
        <v>28</v>
      </c>
      <c r="J457" s="146" t="s">
        <v>2016</v>
      </c>
      <c r="K457" s="31">
        <f t="shared" si="22"/>
        <v>0</v>
      </c>
      <c r="L457" s="32">
        <f t="shared" si="23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thickBot="1" x14ac:dyDescent="0.3">
      <c r="A458" s="73" t="s">
        <v>1596</v>
      </c>
      <c r="B458" s="73" t="s">
        <v>1597</v>
      </c>
      <c r="C458" s="73" t="s">
        <v>1060</v>
      </c>
      <c r="D458" s="145" t="s">
        <v>1598</v>
      </c>
      <c r="E458" s="85" t="s">
        <v>15</v>
      </c>
      <c r="F458" s="85" t="s">
        <v>1298</v>
      </c>
      <c r="G458" s="85"/>
      <c r="H458" s="85" t="s">
        <v>1599</v>
      </c>
      <c r="I458" s="31">
        <f t="shared" si="21"/>
        <v>28</v>
      </c>
      <c r="J458" s="87"/>
      <c r="K458" s="31">
        <f t="shared" si="22"/>
        <v>0</v>
      </c>
      <c r="L458" s="32">
        <f t="shared" si="23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thickBot="1" x14ac:dyDescent="0.3">
      <c r="A459" s="73" t="s">
        <v>1596</v>
      </c>
      <c r="B459" s="73" t="s">
        <v>1608</v>
      </c>
      <c r="C459" s="73" t="s">
        <v>1060</v>
      </c>
      <c r="D459" s="145" t="s">
        <v>1609</v>
      </c>
      <c r="E459" s="85" t="s">
        <v>19</v>
      </c>
      <c r="F459" s="85" t="s">
        <v>1298</v>
      </c>
      <c r="G459" s="85"/>
      <c r="H459" s="85" t="s">
        <v>1610</v>
      </c>
      <c r="I459" s="31">
        <f t="shared" si="21"/>
        <v>28</v>
      </c>
      <c r="J459" s="87"/>
      <c r="K459" s="31">
        <f t="shared" si="22"/>
        <v>0</v>
      </c>
      <c r="L459" s="32">
        <f t="shared" si="23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1602</v>
      </c>
      <c r="B460" s="73" t="s">
        <v>1601</v>
      </c>
      <c r="C460" s="73" t="s">
        <v>1060</v>
      </c>
      <c r="D460" s="145" t="s">
        <v>1603</v>
      </c>
      <c r="E460" s="85" t="s">
        <v>73</v>
      </c>
      <c r="F460" s="85" t="s">
        <v>1298</v>
      </c>
      <c r="G460" s="85"/>
      <c r="H460" s="85" t="s">
        <v>1604</v>
      </c>
      <c r="I460" s="31">
        <f t="shared" si="21"/>
        <v>28</v>
      </c>
      <c r="J460" s="87"/>
      <c r="K460" s="31">
        <f t="shared" si="22"/>
        <v>0</v>
      </c>
      <c r="L460" s="32">
        <f t="shared" si="23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1596</v>
      </c>
      <c r="B461" s="73" t="s">
        <v>1652</v>
      </c>
      <c r="C461" s="73" t="s">
        <v>1060</v>
      </c>
      <c r="D461" s="145" t="s">
        <v>1650</v>
      </c>
      <c r="E461" s="85" t="s">
        <v>73</v>
      </c>
      <c r="F461" s="85" t="s">
        <v>1298</v>
      </c>
      <c r="G461" s="85"/>
      <c r="H461" s="85" t="s">
        <v>1654</v>
      </c>
      <c r="I461" s="31">
        <f t="shared" si="21"/>
        <v>28</v>
      </c>
      <c r="J461" s="87"/>
      <c r="K461" s="31">
        <f t="shared" si="22"/>
        <v>0</v>
      </c>
      <c r="L461" s="32">
        <f t="shared" si="23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thickBot="1" x14ac:dyDescent="0.3">
      <c r="A462" s="73" t="s">
        <v>1596</v>
      </c>
      <c r="B462" s="73" t="s">
        <v>1653</v>
      </c>
      <c r="C462" s="73" t="s">
        <v>1060</v>
      </c>
      <c r="D462" s="145" t="s">
        <v>1651</v>
      </c>
      <c r="E462" s="85" t="s">
        <v>73</v>
      </c>
      <c r="F462" s="85" t="s">
        <v>1298</v>
      </c>
      <c r="G462" s="85"/>
      <c r="H462" s="85" t="s">
        <v>1655</v>
      </c>
      <c r="I462" s="31">
        <f t="shared" si="21"/>
        <v>28</v>
      </c>
      <c r="J462" s="87"/>
      <c r="K462" s="31">
        <f t="shared" si="22"/>
        <v>0</v>
      </c>
      <c r="L462" s="32">
        <f t="shared" si="23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thickBot="1" x14ac:dyDescent="0.3">
      <c r="A463" s="73" t="s">
        <v>1596</v>
      </c>
      <c r="B463" s="73" t="s">
        <v>2164</v>
      </c>
      <c r="C463" s="73" t="s">
        <v>1060</v>
      </c>
      <c r="D463" s="145" t="s">
        <v>2165</v>
      </c>
      <c r="E463" s="85"/>
      <c r="F463" s="85" t="s">
        <v>1298</v>
      </c>
      <c r="G463" s="85"/>
      <c r="H463" s="85" t="s">
        <v>2166</v>
      </c>
      <c r="I463" s="31">
        <f t="shared" si="21"/>
        <v>28</v>
      </c>
      <c r="J463" s="151"/>
      <c r="K463" s="31">
        <f t="shared" si="22"/>
        <v>0</v>
      </c>
      <c r="L463" s="32">
        <f t="shared" si="23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359</v>
      </c>
      <c r="B464" s="73" t="s">
        <v>476</v>
      </c>
      <c r="C464" s="73" t="s">
        <v>1060</v>
      </c>
      <c r="D464" s="73" t="s">
        <v>477</v>
      </c>
      <c r="E464" s="85" t="s">
        <v>73</v>
      </c>
      <c r="F464" s="85" t="s">
        <v>1298</v>
      </c>
      <c r="G464" s="85"/>
      <c r="H464" s="85" t="s">
        <v>823</v>
      </c>
      <c r="I464" s="141">
        <f t="shared" si="21"/>
        <v>25</v>
      </c>
      <c r="J464" s="146" t="s">
        <v>2017</v>
      </c>
      <c r="K464" s="141">
        <f t="shared" si="22"/>
        <v>3</v>
      </c>
      <c r="L464" s="142">
        <f t="shared" si="23"/>
        <v>0.8928571428571429</v>
      </c>
      <c r="M464" s="70" t="s">
        <v>2278</v>
      </c>
      <c r="N464" s="70" t="s">
        <v>2278</v>
      </c>
      <c r="O464" s="70" t="s">
        <v>2278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359</v>
      </c>
      <c r="B465" s="73" t="s">
        <v>478</v>
      </c>
      <c r="C465" s="73" t="s">
        <v>1060</v>
      </c>
      <c r="D465" s="73" t="s">
        <v>477</v>
      </c>
      <c r="E465" s="85" t="s">
        <v>73</v>
      </c>
      <c r="F465" s="85" t="s">
        <v>1298</v>
      </c>
      <c r="G465" s="85"/>
      <c r="H465" s="85" t="s">
        <v>824</v>
      </c>
      <c r="I465" s="141">
        <f t="shared" si="21"/>
        <v>25</v>
      </c>
      <c r="J465" s="146" t="s">
        <v>2018</v>
      </c>
      <c r="K465" s="141">
        <f t="shared" si="22"/>
        <v>3</v>
      </c>
      <c r="L465" s="142">
        <f t="shared" si="23"/>
        <v>0.8928571428571429</v>
      </c>
      <c r="M465" s="70" t="s">
        <v>2278</v>
      </c>
      <c r="N465" s="70" t="s">
        <v>2278</v>
      </c>
      <c r="O465" s="70" t="s">
        <v>2278</v>
      </c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359</v>
      </c>
      <c r="B466" s="85" t="s">
        <v>1102</v>
      </c>
      <c r="C466" s="85" t="s">
        <v>1060</v>
      </c>
      <c r="D466" s="73" t="s">
        <v>1101</v>
      </c>
      <c r="E466" s="85" t="s">
        <v>15</v>
      </c>
      <c r="F466" s="85" t="s">
        <v>1298</v>
      </c>
      <c r="G466" s="85"/>
      <c r="H466" s="85" t="s">
        <v>1103</v>
      </c>
      <c r="I466" s="141">
        <f t="shared" si="21"/>
        <v>25</v>
      </c>
      <c r="J466" s="87"/>
      <c r="K466" s="141">
        <f t="shared" si="22"/>
        <v>3</v>
      </c>
      <c r="L466" s="142">
        <f t="shared" si="23"/>
        <v>0.8928571428571429</v>
      </c>
      <c r="M466" s="70" t="s">
        <v>2278</v>
      </c>
      <c r="N466" s="70" t="s">
        <v>2278</v>
      </c>
      <c r="O466" s="70" t="s">
        <v>2278</v>
      </c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433</v>
      </c>
      <c r="B467" s="85" t="s">
        <v>2133</v>
      </c>
      <c r="C467" t="s">
        <v>1059</v>
      </c>
      <c r="D467" s="73" t="s">
        <v>2134</v>
      </c>
      <c r="E467" s="85" t="s">
        <v>15</v>
      </c>
      <c r="F467" s="85" t="s">
        <v>1298</v>
      </c>
      <c r="G467" s="85"/>
      <c r="H467" s="85" t="s">
        <v>2135</v>
      </c>
      <c r="I467" s="141">
        <f t="shared" si="21"/>
        <v>28</v>
      </c>
      <c r="J467" s="151" t="s">
        <v>2136</v>
      </c>
      <c r="K467" s="141">
        <f t="shared" si="22"/>
        <v>0</v>
      </c>
      <c r="L467" s="142">
        <f t="shared" si="23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B468" s="85" t="s">
        <v>2277</v>
      </c>
      <c r="C468" t="s">
        <v>1059</v>
      </c>
      <c r="D468" s="73" t="s">
        <v>2300</v>
      </c>
      <c r="E468" s="85" t="s">
        <v>73</v>
      </c>
      <c r="F468" s="85"/>
      <c r="G468" s="85"/>
      <c r="H468" s="85"/>
      <c r="I468" s="141">
        <f t="shared" si="21"/>
        <v>25</v>
      </c>
      <c r="J468" s="151"/>
      <c r="K468" s="141">
        <f t="shared" si="22"/>
        <v>3</v>
      </c>
      <c r="L468" s="142">
        <f t="shared" si="23"/>
        <v>0.8928571428571429</v>
      </c>
      <c r="M468" s="70" t="s">
        <v>2278</v>
      </c>
      <c r="N468" s="70" t="s">
        <v>2278</v>
      </c>
      <c r="O468" s="70" t="s">
        <v>2278</v>
      </c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264</v>
      </c>
      <c r="B469" t="s">
        <v>1030</v>
      </c>
      <c r="C469" t="s">
        <v>1059</v>
      </c>
      <c r="D469" t="s">
        <v>496</v>
      </c>
      <c r="E469" s="30" t="s">
        <v>19</v>
      </c>
      <c r="F469" s="30" t="s">
        <v>1053</v>
      </c>
      <c r="G469" s="30" t="s">
        <v>1254</v>
      </c>
      <c r="H469" s="30" t="s">
        <v>833</v>
      </c>
      <c r="I469" s="31">
        <f t="shared" si="21"/>
        <v>28</v>
      </c>
      <c r="J469" s="146" t="s">
        <v>2019</v>
      </c>
      <c r="K469" s="31">
        <f t="shared" si="22"/>
        <v>0</v>
      </c>
      <c r="L469" s="32">
        <f t="shared" si="23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480</v>
      </c>
      <c r="C470" t="s">
        <v>1059</v>
      </c>
      <c r="D470" t="s">
        <v>1606</v>
      </c>
      <c r="E470" s="30" t="s">
        <v>19</v>
      </c>
      <c r="F470" s="30" t="s">
        <v>1053</v>
      </c>
      <c r="G470" s="30" t="s">
        <v>1254</v>
      </c>
      <c r="H470" s="30" t="s">
        <v>825</v>
      </c>
      <c r="I470" s="31">
        <f t="shared" si="21"/>
        <v>25</v>
      </c>
      <c r="J470" s="146" t="s">
        <v>2020</v>
      </c>
      <c r="K470" s="31">
        <f t="shared" si="22"/>
        <v>3</v>
      </c>
      <c r="L470" s="32">
        <f t="shared" si="23"/>
        <v>0.8928571428571429</v>
      </c>
      <c r="M470" s="70" t="s">
        <v>2278</v>
      </c>
      <c r="N470" s="70" t="s">
        <v>2278</v>
      </c>
      <c r="O470" s="70" t="s">
        <v>2278</v>
      </c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481</v>
      </c>
      <c r="C471" t="s">
        <v>1059</v>
      </c>
      <c r="D471" t="s">
        <v>482</v>
      </c>
      <c r="E471" s="30" t="s">
        <v>19</v>
      </c>
      <c r="F471" s="30" t="s">
        <v>28</v>
      </c>
      <c r="G471" s="30"/>
      <c r="H471" s="30" t="s">
        <v>826</v>
      </c>
      <c r="I471" s="31">
        <f t="shared" ref="I471:I544" si="24">COUNTIF(M471:AN471,"")</f>
        <v>28</v>
      </c>
      <c r="J471" s="146" t="s">
        <v>2021</v>
      </c>
      <c r="K471" s="31">
        <f t="shared" ref="K471:K544" si="25">COUNTIF(M471:AN471,"APAGADO")</f>
        <v>0</v>
      </c>
      <c r="L471" s="32">
        <f t="shared" ref="L471:L544" si="26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483</v>
      </c>
      <c r="B472" t="s">
        <v>484</v>
      </c>
      <c r="C472" t="s">
        <v>1059</v>
      </c>
      <c r="D472" t="s">
        <v>485</v>
      </c>
      <c r="E472" s="30" t="s">
        <v>19</v>
      </c>
      <c r="F472" s="30" t="s">
        <v>28</v>
      </c>
      <c r="G472" s="30"/>
      <c r="H472" s="30" t="s">
        <v>827</v>
      </c>
      <c r="I472" s="31">
        <f t="shared" si="24"/>
        <v>28</v>
      </c>
      <c r="J472" s="146" t="s">
        <v>2022</v>
      </c>
      <c r="K472" s="31">
        <f t="shared" si="25"/>
        <v>0</v>
      </c>
      <c r="L472" s="32">
        <f t="shared" si="26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486</v>
      </c>
      <c r="C473" t="s">
        <v>1059</v>
      </c>
      <c r="D473" t="s">
        <v>487</v>
      </c>
      <c r="E473" s="30" t="s">
        <v>15</v>
      </c>
      <c r="F473" s="30" t="s">
        <v>28</v>
      </c>
      <c r="G473" s="30"/>
      <c r="H473" s="30" t="s">
        <v>828</v>
      </c>
      <c r="I473" s="31">
        <f t="shared" si="24"/>
        <v>28</v>
      </c>
      <c r="J473" s="146" t="s">
        <v>2023</v>
      </c>
      <c r="K473" s="31">
        <f t="shared" si="25"/>
        <v>0</v>
      </c>
      <c r="L473" s="32">
        <f t="shared" si="26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488</v>
      </c>
      <c r="C474" t="s">
        <v>1059</v>
      </c>
      <c r="D474" t="s">
        <v>489</v>
      </c>
      <c r="E474" s="30" t="s">
        <v>19</v>
      </c>
      <c r="F474" s="30" t="s">
        <v>28</v>
      </c>
      <c r="G474" s="30"/>
      <c r="H474" s="30" t="s">
        <v>829</v>
      </c>
      <c r="I474" s="31">
        <f t="shared" si="24"/>
        <v>28</v>
      </c>
      <c r="J474" s="146" t="s">
        <v>2024</v>
      </c>
      <c r="K474" s="31">
        <f t="shared" si="25"/>
        <v>0</v>
      </c>
      <c r="L474" s="32">
        <f t="shared" si="26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490</v>
      </c>
      <c r="C475" s="73" t="s">
        <v>1059</v>
      </c>
      <c r="D475" s="73" t="s">
        <v>491</v>
      </c>
      <c r="E475" s="85" t="s">
        <v>15</v>
      </c>
      <c r="F475" s="85" t="s">
        <v>1298</v>
      </c>
      <c r="G475" s="85"/>
      <c r="H475" s="85" t="s">
        <v>830</v>
      </c>
      <c r="I475" s="141">
        <f t="shared" si="24"/>
        <v>28</v>
      </c>
      <c r="J475" s="146" t="s">
        <v>2025</v>
      </c>
      <c r="K475" s="141">
        <f t="shared" si="25"/>
        <v>0</v>
      </c>
      <c r="L475" s="142">
        <f t="shared" si="26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thickBot="1" x14ac:dyDescent="0.3">
      <c r="A476" s="73" t="s">
        <v>479</v>
      </c>
      <c r="B476" s="73" t="s">
        <v>492</v>
      </c>
      <c r="C476" s="73" t="s">
        <v>1059</v>
      </c>
      <c r="D476" s="73" t="s">
        <v>493</v>
      </c>
      <c r="E476" s="85" t="s">
        <v>19</v>
      </c>
      <c r="F476" s="85" t="s">
        <v>1298</v>
      </c>
      <c r="G476" s="85"/>
      <c r="H476" s="85" t="s">
        <v>831</v>
      </c>
      <c r="I476" s="31">
        <f t="shared" si="24"/>
        <v>28</v>
      </c>
      <c r="J476" s="146" t="s">
        <v>2026</v>
      </c>
      <c r="K476" s="31">
        <f t="shared" si="25"/>
        <v>0</v>
      </c>
      <c r="L476" s="32">
        <f t="shared" si="26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479</v>
      </c>
      <c r="B477" t="s">
        <v>494</v>
      </c>
      <c r="C477" t="s">
        <v>1059</v>
      </c>
      <c r="D477" t="s">
        <v>495</v>
      </c>
      <c r="E477" s="30" t="s">
        <v>19</v>
      </c>
      <c r="F477" s="30" t="s">
        <v>1053</v>
      </c>
      <c r="G477" s="30" t="s">
        <v>1255</v>
      </c>
      <c r="H477" s="30" t="s">
        <v>832</v>
      </c>
      <c r="I477" s="31">
        <f t="shared" si="24"/>
        <v>28</v>
      </c>
      <c r="J477" s="146" t="s">
        <v>2027</v>
      </c>
      <c r="K477" s="31">
        <f t="shared" si="25"/>
        <v>0</v>
      </c>
      <c r="L477" s="32">
        <f t="shared" si="26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479</v>
      </c>
      <c r="B478" s="73" t="s">
        <v>1185</v>
      </c>
      <c r="C478" s="73" t="s">
        <v>1059</v>
      </c>
      <c r="D478" s="73" t="s">
        <v>1186</v>
      </c>
      <c r="E478" s="85" t="s">
        <v>1111</v>
      </c>
      <c r="F478" s="85" t="s">
        <v>1298</v>
      </c>
      <c r="G478" s="85"/>
      <c r="H478" s="85" t="s">
        <v>1187</v>
      </c>
      <c r="I478" s="141">
        <f t="shared" si="24"/>
        <v>28</v>
      </c>
      <c r="J478" s="146" t="s">
        <v>2028</v>
      </c>
      <c r="K478" s="141">
        <f t="shared" si="25"/>
        <v>0</v>
      </c>
      <c r="L478" s="142">
        <f t="shared" si="26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thickBot="1" x14ac:dyDescent="0.3">
      <c r="A479" s="73" t="s">
        <v>479</v>
      </c>
      <c r="B479" s="73" t="s">
        <v>1188</v>
      </c>
      <c r="C479" s="73" t="s">
        <v>1059</v>
      </c>
      <c r="D479" s="73" t="s">
        <v>1186</v>
      </c>
      <c r="E479" s="85" t="s">
        <v>1111</v>
      </c>
      <c r="F479" s="85" t="s">
        <v>28</v>
      </c>
      <c r="G479" s="85"/>
      <c r="H479" s="85" t="s">
        <v>1189</v>
      </c>
      <c r="I479" s="87">
        <f t="shared" si="24"/>
        <v>28</v>
      </c>
      <c r="J479" s="146" t="s">
        <v>2029</v>
      </c>
      <c r="K479" s="87">
        <f t="shared" si="25"/>
        <v>0</v>
      </c>
      <c r="L479" s="88">
        <f t="shared" si="26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479</v>
      </c>
      <c r="B480" t="s">
        <v>1218</v>
      </c>
      <c r="C480" t="s">
        <v>1059</v>
      </c>
      <c r="D480" t="s">
        <v>1234</v>
      </c>
      <c r="E480" t="s">
        <v>73</v>
      </c>
      <c r="F480" t="s">
        <v>28</v>
      </c>
      <c r="G480"/>
      <c r="H480" s="30" t="s">
        <v>1279</v>
      </c>
      <c r="I480" s="31">
        <f t="shared" si="24"/>
        <v>28</v>
      </c>
      <c r="J480" s="146" t="s">
        <v>2030</v>
      </c>
      <c r="K480" s="31">
        <f t="shared" si="25"/>
        <v>0</v>
      </c>
      <c r="L480" s="32">
        <f t="shared" si="26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479</v>
      </c>
      <c r="B481" t="s">
        <v>1219</v>
      </c>
      <c r="C481" t="s">
        <v>1059</v>
      </c>
      <c r="D481" t="s">
        <v>1234</v>
      </c>
      <c r="E481" t="s">
        <v>73</v>
      </c>
      <c r="F481" t="s">
        <v>28</v>
      </c>
      <c r="G481"/>
      <c r="H481" s="30" t="s">
        <v>1280</v>
      </c>
      <c r="I481" s="31">
        <f t="shared" si="24"/>
        <v>28</v>
      </c>
      <c r="J481" s="146" t="s">
        <v>2031</v>
      </c>
      <c r="K481" s="31">
        <f t="shared" si="25"/>
        <v>0</v>
      </c>
      <c r="L481" s="32">
        <f t="shared" si="26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479</v>
      </c>
      <c r="B482" t="s">
        <v>1337</v>
      </c>
      <c r="C482" t="s">
        <v>1059</v>
      </c>
      <c r="D482" s="68" t="s">
        <v>1338</v>
      </c>
      <c r="E482" t="s">
        <v>73</v>
      </c>
      <c r="F482"/>
      <c r="G482"/>
      <c r="H482" s="30" t="s">
        <v>1327</v>
      </c>
      <c r="I482" s="31">
        <f t="shared" si="24"/>
        <v>28</v>
      </c>
      <c r="J482" s="146" t="s">
        <v>2032</v>
      </c>
      <c r="K482" s="31">
        <f t="shared" si="25"/>
        <v>0</v>
      </c>
      <c r="L482" s="32">
        <f t="shared" si="26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479</v>
      </c>
      <c r="B483" s="73" t="s">
        <v>1348</v>
      </c>
      <c r="C483" s="73" t="s">
        <v>1059</v>
      </c>
      <c r="D483" s="145" t="s">
        <v>1355</v>
      </c>
      <c r="E483" s="73" t="s">
        <v>15</v>
      </c>
      <c r="F483" s="73" t="s">
        <v>1298</v>
      </c>
      <c r="H483" s="85" t="s">
        <v>1417</v>
      </c>
      <c r="I483" s="87">
        <f t="shared" si="24"/>
        <v>28</v>
      </c>
      <c r="J483" s="146" t="s">
        <v>2033</v>
      </c>
      <c r="K483" s="87">
        <f t="shared" si="25"/>
        <v>0</v>
      </c>
      <c r="L483" s="88">
        <f t="shared" si="26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thickBot="1" x14ac:dyDescent="0.3">
      <c r="A484" s="73" t="s">
        <v>479</v>
      </c>
      <c r="B484" s="73" t="s">
        <v>1600</v>
      </c>
      <c r="C484" s="73" t="s">
        <v>1059</v>
      </c>
      <c r="D484" s="145" t="s">
        <v>1605</v>
      </c>
      <c r="E484" s="73" t="s">
        <v>15</v>
      </c>
      <c r="F484" s="73" t="s">
        <v>1298</v>
      </c>
      <c r="H484" s="85" t="s">
        <v>1607</v>
      </c>
      <c r="I484" s="87">
        <f t="shared" si="24"/>
        <v>28</v>
      </c>
      <c r="J484" s="87" t="s">
        <v>2156</v>
      </c>
      <c r="K484" s="87">
        <f t="shared" si="25"/>
        <v>0</v>
      </c>
      <c r="L484" s="88">
        <f t="shared" si="26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479</v>
      </c>
      <c r="B485" s="73" t="s">
        <v>1618</v>
      </c>
      <c r="C485" s="73" t="s">
        <v>1059</v>
      </c>
      <c r="D485" s="145" t="s">
        <v>1611</v>
      </c>
      <c r="E485" s="73" t="s">
        <v>19</v>
      </c>
      <c r="F485" s="73" t="s">
        <v>1298</v>
      </c>
      <c r="H485" s="85" t="s">
        <v>1619</v>
      </c>
      <c r="I485" s="87">
        <f t="shared" si="24"/>
        <v>25</v>
      </c>
      <c r="J485" s="87" t="s">
        <v>2157</v>
      </c>
      <c r="K485" s="87">
        <f t="shared" si="25"/>
        <v>3</v>
      </c>
      <c r="L485" s="88">
        <f t="shared" si="26"/>
        <v>0.8928571428571429</v>
      </c>
      <c r="M485" s="89" t="s">
        <v>2278</v>
      </c>
      <c r="N485" s="89" t="s">
        <v>2278</v>
      </c>
      <c r="O485" s="89" t="s">
        <v>2278</v>
      </c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479</v>
      </c>
      <c r="B486" s="73" t="s">
        <v>1613</v>
      </c>
      <c r="C486" s="73" t="s">
        <v>1059</v>
      </c>
      <c r="D486" s="145" t="s">
        <v>1612</v>
      </c>
      <c r="E486" s="73" t="s">
        <v>1111</v>
      </c>
      <c r="F486" s="73" t="s">
        <v>1298</v>
      </c>
      <c r="H486" s="85" t="s">
        <v>1617</v>
      </c>
      <c r="I486" s="87">
        <f t="shared" si="24"/>
        <v>28</v>
      </c>
      <c r="J486" s="87" t="s">
        <v>2158</v>
      </c>
      <c r="K486" s="87">
        <f t="shared" si="25"/>
        <v>0</v>
      </c>
      <c r="L486" s="88">
        <f t="shared" si="26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  <c r="AO486" s="70"/>
      <c r="AP486" s="70"/>
      <c r="AQ486" s="70"/>
    </row>
    <row r="487" spans="1:43" s="73" customFormat="1" ht="15.75" thickBot="1" x14ac:dyDescent="0.3">
      <c r="A487" s="73" t="s">
        <v>479</v>
      </c>
      <c r="B487" s="73" t="s">
        <v>1614</v>
      </c>
      <c r="C487" s="73" t="s">
        <v>1059</v>
      </c>
      <c r="D487" s="145" t="s">
        <v>1615</v>
      </c>
      <c r="E487" s="73" t="s">
        <v>1111</v>
      </c>
      <c r="F487" s="73" t="s">
        <v>1298</v>
      </c>
      <c r="H487" s="85" t="s">
        <v>1616</v>
      </c>
      <c r="I487" s="87">
        <f t="shared" si="24"/>
        <v>28</v>
      </c>
      <c r="J487" s="87" t="s">
        <v>2159</v>
      </c>
      <c r="K487" s="87">
        <f t="shared" si="25"/>
        <v>0</v>
      </c>
      <c r="L487" s="88">
        <f t="shared" si="26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  <c r="AO487" s="70"/>
      <c r="AP487" s="70"/>
      <c r="AQ487" s="70"/>
    </row>
    <row r="488" spans="1:43" s="73" customFormat="1" ht="15.75" thickBot="1" x14ac:dyDescent="0.3">
      <c r="A488" s="73" t="s">
        <v>479</v>
      </c>
      <c r="B488" s="73" t="s">
        <v>2289</v>
      </c>
      <c r="C488" s="73" t="s">
        <v>1059</v>
      </c>
      <c r="D488" s="145" t="s">
        <v>2290</v>
      </c>
      <c r="E488" s="30" t="s">
        <v>15</v>
      </c>
      <c r="F488" s="73" t="s">
        <v>1298</v>
      </c>
      <c r="H488" s="85" t="s">
        <v>2314</v>
      </c>
      <c r="I488" s="87">
        <f t="shared" si="24"/>
        <v>28</v>
      </c>
      <c r="J488" s="151" t="s">
        <v>2315</v>
      </c>
      <c r="K488" s="87">
        <f t="shared" si="25"/>
        <v>0</v>
      </c>
      <c r="L488" s="88">
        <f t="shared" si="26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229</v>
      </c>
      <c r="B489" s="73" t="s">
        <v>497</v>
      </c>
      <c r="C489" s="73" t="s">
        <v>1060</v>
      </c>
      <c r="D489" s="73" t="s">
        <v>498</v>
      </c>
      <c r="E489" s="85" t="s">
        <v>19</v>
      </c>
      <c r="F489" s="85" t="s">
        <v>1298</v>
      </c>
      <c r="G489" s="85"/>
      <c r="H489" s="85" t="s">
        <v>834</v>
      </c>
      <c r="I489" s="141">
        <f t="shared" si="24"/>
        <v>28</v>
      </c>
      <c r="J489" s="146" t="s">
        <v>2034</v>
      </c>
      <c r="K489" s="141">
        <f t="shared" si="25"/>
        <v>0</v>
      </c>
      <c r="L489" s="142">
        <f t="shared" si="26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499</v>
      </c>
      <c r="C490" t="s">
        <v>1060</v>
      </c>
      <c r="D490" t="s">
        <v>500</v>
      </c>
      <c r="E490" s="30" t="s">
        <v>15</v>
      </c>
      <c r="F490" s="30" t="s">
        <v>20</v>
      </c>
      <c r="G490" s="30"/>
      <c r="H490" s="30" t="s">
        <v>835</v>
      </c>
      <c r="I490" s="31">
        <f t="shared" si="24"/>
        <v>28</v>
      </c>
      <c r="J490" s="87"/>
      <c r="K490" s="31">
        <f t="shared" si="25"/>
        <v>0</v>
      </c>
      <c r="L490" s="32">
        <f t="shared" si="26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t="s">
        <v>501</v>
      </c>
      <c r="C491" t="s">
        <v>1060</v>
      </c>
      <c r="D491" t="s">
        <v>502</v>
      </c>
      <c r="E491" s="30" t="s">
        <v>73</v>
      </c>
      <c r="F491" s="30" t="s">
        <v>20</v>
      </c>
      <c r="G491" s="30"/>
      <c r="H491" s="30" t="s">
        <v>836</v>
      </c>
      <c r="I491" s="31">
        <f t="shared" si="24"/>
        <v>28</v>
      </c>
      <c r="J491" s="87"/>
      <c r="K491" s="31">
        <f t="shared" si="25"/>
        <v>0</v>
      </c>
      <c r="L491" s="32">
        <f t="shared" si="26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t="s">
        <v>503</v>
      </c>
      <c r="C492" t="s">
        <v>1060</v>
      </c>
      <c r="D492" t="s">
        <v>502</v>
      </c>
      <c r="E492" s="30" t="s">
        <v>73</v>
      </c>
      <c r="F492" s="30" t="s">
        <v>20</v>
      </c>
      <c r="G492" s="30"/>
      <c r="H492" s="30" t="s">
        <v>837</v>
      </c>
      <c r="I492" s="31">
        <f t="shared" si="24"/>
        <v>28</v>
      </c>
      <c r="J492" s="87"/>
      <c r="K492" s="31">
        <f t="shared" si="25"/>
        <v>0</v>
      </c>
      <c r="L492" s="32">
        <f t="shared" si="26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t="s">
        <v>504</v>
      </c>
      <c r="C493" t="s">
        <v>1060</v>
      </c>
      <c r="D493" t="s">
        <v>505</v>
      </c>
      <c r="E493" s="30" t="s">
        <v>73</v>
      </c>
      <c r="F493" s="30" t="s">
        <v>20</v>
      </c>
      <c r="G493" s="30"/>
      <c r="H493" s="30" t="s">
        <v>838</v>
      </c>
      <c r="I493" s="31">
        <f t="shared" si="24"/>
        <v>28</v>
      </c>
      <c r="J493" s="87"/>
      <c r="K493" s="31">
        <f t="shared" si="25"/>
        <v>0</v>
      </c>
      <c r="L493" s="32">
        <f t="shared" si="26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229</v>
      </c>
      <c r="B494" t="s">
        <v>506</v>
      </c>
      <c r="C494" t="s">
        <v>1060</v>
      </c>
      <c r="D494" t="s">
        <v>505</v>
      </c>
      <c r="E494" s="30" t="s">
        <v>73</v>
      </c>
      <c r="F494" s="30" t="s">
        <v>20</v>
      </c>
      <c r="G494" s="30"/>
      <c r="H494" s="30" t="s">
        <v>839</v>
      </c>
      <c r="I494" s="31">
        <f t="shared" si="24"/>
        <v>28</v>
      </c>
      <c r="J494" s="87"/>
      <c r="K494" s="31">
        <f t="shared" si="25"/>
        <v>0</v>
      </c>
      <c r="L494" s="32">
        <f t="shared" si="26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229</v>
      </c>
      <c r="B495" t="s">
        <v>507</v>
      </c>
      <c r="C495" t="s">
        <v>1060</v>
      </c>
      <c r="D495" t="s">
        <v>508</v>
      </c>
      <c r="E495" s="30" t="s">
        <v>15</v>
      </c>
      <c r="F495" s="30" t="s">
        <v>28</v>
      </c>
      <c r="G495" s="30"/>
      <c r="H495" s="30" t="s">
        <v>840</v>
      </c>
      <c r="I495" s="31">
        <f t="shared" si="24"/>
        <v>28</v>
      </c>
      <c r="J495" s="146" t="s">
        <v>2035</v>
      </c>
      <c r="K495" s="31">
        <f t="shared" si="25"/>
        <v>0</v>
      </c>
      <c r="L495" s="32">
        <f t="shared" si="26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229</v>
      </c>
      <c r="B496" t="s">
        <v>1031</v>
      </c>
      <c r="C496" t="s">
        <v>1060</v>
      </c>
      <c r="D496" t="s">
        <v>509</v>
      </c>
      <c r="E496" s="30" t="s">
        <v>73</v>
      </c>
      <c r="F496" s="30" t="s">
        <v>28</v>
      </c>
      <c r="G496" s="30"/>
      <c r="H496" s="30" t="s">
        <v>841</v>
      </c>
      <c r="I496" s="31">
        <f t="shared" si="24"/>
        <v>28</v>
      </c>
      <c r="J496" s="146" t="s">
        <v>2036</v>
      </c>
      <c r="K496" s="31">
        <f t="shared" si="25"/>
        <v>0</v>
      </c>
      <c r="L496" s="32">
        <f t="shared" si="26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229</v>
      </c>
      <c r="B497" t="s">
        <v>1032</v>
      </c>
      <c r="C497" t="s">
        <v>1060</v>
      </c>
      <c r="D497" t="s">
        <v>509</v>
      </c>
      <c r="E497" s="30" t="s">
        <v>73</v>
      </c>
      <c r="F497" s="30" t="s">
        <v>28</v>
      </c>
      <c r="G497" s="30"/>
      <c r="H497" s="30" t="s">
        <v>842</v>
      </c>
      <c r="I497" s="31">
        <f t="shared" si="24"/>
        <v>28</v>
      </c>
      <c r="J497" s="146" t="s">
        <v>2037</v>
      </c>
      <c r="K497" s="31">
        <f t="shared" si="25"/>
        <v>0</v>
      </c>
      <c r="L497" s="32">
        <f t="shared" si="26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229</v>
      </c>
      <c r="B498" t="s">
        <v>510</v>
      </c>
      <c r="C498" t="s">
        <v>1060</v>
      </c>
      <c r="D498" t="s">
        <v>511</v>
      </c>
      <c r="E498" s="30" t="s">
        <v>73</v>
      </c>
      <c r="F498" s="30" t="s">
        <v>28</v>
      </c>
      <c r="G498" s="30"/>
      <c r="H498" s="30" t="s">
        <v>843</v>
      </c>
      <c r="I498" s="31">
        <f t="shared" si="24"/>
        <v>28</v>
      </c>
      <c r="J498" s="146" t="s">
        <v>2038</v>
      </c>
      <c r="K498" s="31">
        <f t="shared" si="25"/>
        <v>0</v>
      </c>
      <c r="L498" s="32">
        <f t="shared" si="26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229</v>
      </c>
      <c r="B499" t="s">
        <v>512</v>
      </c>
      <c r="C499" t="s">
        <v>1060</v>
      </c>
      <c r="D499" t="s">
        <v>511</v>
      </c>
      <c r="E499" s="30" t="s">
        <v>73</v>
      </c>
      <c r="F499" s="30" t="s">
        <v>28</v>
      </c>
      <c r="G499" s="30"/>
      <c r="H499" s="30" t="s">
        <v>844</v>
      </c>
      <c r="I499" s="31">
        <f t="shared" si="24"/>
        <v>28</v>
      </c>
      <c r="J499" s="146" t="s">
        <v>2039</v>
      </c>
      <c r="K499" s="31">
        <f t="shared" si="25"/>
        <v>0</v>
      </c>
      <c r="L499" s="32">
        <f t="shared" si="26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229</v>
      </c>
      <c r="B500" s="30" t="s">
        <v>1092</v>
      </c>
      <c r="C500" s="30" t="s">
        <v>1060</v>
      </c>
      <c r="D500" t="s">
        <v>1093</v>
      </c>
      <c r="E500" s="30" t="s">
        <v>19</v>
      </c>
      <c r="F500" s="30" t="s">
        <v>28</v>
      </c>
      <c r="G500" s="30"/>
      <c r="H500" s="30" t="s">
        <v>1094</v>
      </c>
      <c r="I500" s="31">
        <f t="shared" si="24"/>
        <v>28</v>
      </c>
      <c r="J500" s="146" t="s">
        <v>2040</v>
      </c>
      <c r="K500" s="31">
        <f t="shared" si="25"/>
        <v>0</v>
      </c>
      <c r="L500" s="32">
        <f t="shared" si="26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229</v>
      </c>
      <c r="B501" s="30" t="s">
        <v>1097</v>
      </c>
      <c r="C501" s="30" t="s">
        <v>1060</v>
      </c>
      <c r="D501" t="s">
        <v>1095</v>
      </c>
      <c r="E501" s="30" t="s">
        <v>19</v>
      </c>
      <c r="F501" s="30" t="s">
        <v>28</v>
      </c>
      <c r="G501" s="30"/>
      <c r="H501" s="30" t="s">
        <v>1096</v>
      </c>
      <c r="I501" s="31">
        <f t="shared" si="24"/>
        <v>28</v>
      </c>
      <c r="J501" s="146" t="s">
        <v>2041</v>
      </c>
      <c r="K501" s="31">
        <f t="shared" si="25"/>
        <v>0</v>
      </c>
      <c r="L501" s="32">
        <f t="shared" si="26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229</v>
      </c>
      <c r="B502" s="30" t="s">
        <v>1098</v>
      </c>
      <c r="C502" s="30" t="s">
        <v>1060</v>
      </c>
      <c r="D502" t="s">
        <v>1099</v>
      </c>
      <c r="E502" s="30" t="s">
        <v>19</v>
      </c>
      <c r="F502" s="30" t="s">
        <v>28</v>
      </c>
      <c r="G502" s="30"/>
      <c r="H502" s="30" t="s">
        <v>1100</v>
      </c>
      <c r="I502" s="31">
        <f t="shared" si="24"/>
        <v>28</v>
      </c>
      <c r="J502" s="146" t="s">
        <v>2042</v>
      </c>
      <c r="K502" s="31">
        <f t="shared" si="25"/>
        <v>0</v>
      </c>
      <c r="L502" s="32">
        <f t="shared" si="26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518</v>
      </c>
      <c r="B503" t="s">
        <v>526</v>
      </c>
      <c r="C503" t="s">
        <v>1060</v>
      </c>
      <c r="D503" t="s">
        <v>2246</v>
      </c>
      <c r="E503" s="30" t="s">
        <v>19</v>
      </c>
      <c r="F503" s="30" t="s">
        <v>28</v>
      </c>
      <c r="G503" s="30"/>
      <c r="H503" s="30" t="s">
        <v>845</v>
      </c>
      <c r="I503" s="31">
        <f t="shared" si="24"/>
        <v>28</v>
      </c>
      <c r="J503" s="146" t="s">
        <v>2043</v>
      </c>
      <c r="K503" s="31">
        <f t="shared" si="25"/>
        <v>0</v>
      </c>
      <c r="L503" s="32">
        <f t="shared" si="26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527</v>
      </c>
      <c r="C504" t="s">
        <v>1060</v>
      </c>
      <c r="D504" t="s">
        <v>1088</v>
      </c>
      <c r="E504" s="30" t="s">
        <v>19</v>
      </c>
      <c r="F504" s="30" t="s">
        <v>28</v>
      </c>
      <c r="G504" s="30"/>
      <c r="H504" s="30" t="s">
        <v>846</v>
      </c>
      <c r="I504" s="31">
        <f t="shared" si="24"/>
        <v>28</v>
      </c>
      <c r="J504" s="146" t="s">
        <v>2044</v>
      </c>
      <c r="K504" s="31">
        <f t="shared" si="25"/>
        <v>0</v>
      </c>
      <c r="L504" s="32">
        <f t="shared" si="26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514</v>
      </c>
      <c r="B505" t="s">
        <v>528</v>
      </c>
      <c r="C505" t="s">
        <v>1060</v>
      </c>
      <c r="D505" t="s">
        <v>529</v>
      </c>
      <c r="E505" s="30" t="s">
        <v>19</v>
      </c>
      <c r="F505" s="30" t="s">
        <v>28</v>
      </c>
      <c r="G505" s="30"/>
      <c r="H505" s="30" t="s">
        <v>847</v>
      </c>
      <c r="I505" s="31">
        <f t="shared" si="24"/>
        <v>28</v>
      </c>
      <c r="J505" s="146" t="s">
        <v>2045</v>
      </c>
      <c r="K505" s="31">
        <f t="shared" si="25"/>
        <v>0</v>
      </c>
      <c r="L505" s="32">
        <f t="shared" si="26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s="73" t="s">
        <v>514</v>
      </c>
      <c r="B506" s="73" t="s">
        <v>530</v>
      </c>
      <c r="C506" s="73" t="s">
        <v>1060</v>
      </c>
      <c r="D506" s="73" t="s">
        <v>531</v>
      </c>
      <c r="E506" s="85" t="s">
        <v>19</v>
      </c>
      <c r="F506" s="85" t="s">
        <v>28</v>
      </c>
      <c r="G506" s="85"/>
      <c r="H506" s="85" t="s">
        <v>848</v>
      </c>
      <c r="I506" s="31">
        <f t="shared" si="24"/>
        <v>28</v>
      </c>
      <c r="J506" s="146" t="s">
        <v>2046</v>
      </c>
      <c r="K506" s="31">
        <f t="shared" si="25"/>
        <v>0</v>
      </c>
      <c r="L506" s="32">
        <f t="shared" si="26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514</v>
      </c>
      <c r="B507" s="73" t="s">
        <v>532</v>
      </c>
      <c r="C507" s="73" t="s">
        <v>1060</v>
      </c>
      <c r="D507" s="73" t="s">
        <v>533</v>
      </c>
      <c r="E507" s="85" t="s">
        <v>19</v>
      </c>
      <c r="F507" s="85" t="s">
        <v>1298</v>
      </c>
      <c r="G507" s="85"/>
      <c r="H507" s="85" t="s">
        <v>1499</v>
      </c>
      <c r="I507" s="141">
        <f t="shared" si="24"/>
        <v>28</v>
      </c>
      <c r="J507" s="146" t="s">
        <v>2047</v>
      </c>
      <c r="K507" s="141">
        <f t="shared" si="25"/>
        <v>0</v>
      </c>
      <c r="L507" s="142">
        <f t="shared" si="26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534</v>
      </c>
      <c r="C508" t="s">
        <v>1060</v>
      </c>
      <c r="D508" t="s">
        <v>1066</v>
      </c>
      <c r="E508" s="30" t="s">
        <v>19</v>
      </c>
      <c r="F508" s="30" t="s">
        <v>28</v>
      </c>
      <c r="G508" s="30"/>
      <c r="H508" s="30" t="s">
        <v>849</v>
      </c>
      <c r="I508" s="31">
        <f t="shared" si="24"/>
        <v>28</v>
      </c>
      <c r="J508" s="146" t="s">
        <v>2048</v>
      </c>
      <c r="K508" s="31">
        <f t="shared" si="25"/>
        <v>0</v>
      </c>
      <c r="L508" s="32">
        <f t="shared" si="26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535</v>
      </c>
      <c r="C509" t="s">
        <v>1059</v>
      </c>
      <c r="D509" t="s">
        <v>1065</v>
      </c>
      <c r="E509" s="30" t="s">
        <v>19</v>
      </c>
      <c r="F509" s="30" t="s">
        <v>28</v>
      </c>
      <c r="G509" s="30"/>
      <c r="H509" s="30" t="s">
        <v>850</v>
      </c>
      <c r="I509" s="31">
        <f t="shared" si="24"/>
        <v>28</v>
      </c>
      <c r="J509" s="146" t="s">
        <v>2049</v>
      </c>
      <c r="K509" s="31">
        <f t="shared" si="25"/>
        <v>0</v>
      </c>
      <c r="L509" s="32">
        <f t="shared" si="26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536</v>
      </c>
      <c r="C510" s="73" t="s">
        <v>1060</v>
      </c>
      <c r="D510" s="73" t="s">
        <v>537</v>
      </c>
      <c r="E510" s="85" t="s">
        <v>19</v>
      </c>
      <c r="F510" s="85" t="s">
        <v>1298</v>
      </c>
      <c r="G510" s="85"/>
      <c r="H510" s="85" t="s">
        <v>851</v>
      </c>
      <c r="I510" s="141">
        <f t="shared" si="24"/>
        <v>28</v>
      </c>
      <c r="J510" s="146" t="s">
        <v>2050</v>
      </c>
      <c r="K510" s="141">
        <f t="shared" si="25"/>
        <v>0</v>
      </c>
      <c r="L510" s="142">
        <f t="shared" si="26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518</v>
      </c>
      <c r="B511" t="s">
        <v>538</v>
      </c>
      <c r="C511" t="s">
        <v>1060</v>
      </c>
      <c r="D511" t="s">
        <v>539</v>
      </c>
      <c r="E511" s="30" t="s">
        <v>19</v>
      </c>
      <c r="F511" s="30" t="s">
        <v>28</v>
      </c>
      <c r="G511" s="30"/>
      <c r="H511" s="30" t="s">
        <v>852</v>
      </c>
      <c r="I511" s="31">
        <f t="shared" si="24"/>
        <v>28</v>
      </c>
      <c r="J511" s="146" t="s">
        <v>2051</v>
      </c>
      <c r="K511" s="31">
        <f t="shared" si="25"/>
        <v>0</v>
      </c>
      <c r="L511" s="32">
        <f t="shared" si="26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1033</v>
      </c>
      <c r="C512" t="s">
        <v>1060</v>
      </c>
      <c r="D512" t="s">
        <v>540</v>
      </c>
      <c r="E512" s="30" t="s">
        <v>19</v>
      </c>
      <c r="F512" s="30" t="s">
        <v>28</v>
      </c>
      <c r="G512" s="30"/>
      <c r="H512" s="30" t="s">
        <v>853</v>
      </c>
      <c r="I512" s="31">
        <f t="shared" si="24"/>
        <v>28</v>
      </c>
      <c r="J512" s="146" t="s">
        <v>2052</v>
      </c>
      <c r="K512" s="31">
        <f t="shared" si="25"/>
        <v>0</v>
      </c>
      <c r="L512" s="32">
        <f t="shared" si="26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518</v>
      </c>
      <c r="B513" t="s">
        <v>541</v>
      </c>
      <c r="C513" t="s">
        <v>1060</v>
      </c>
      <c r="D513" t="s">
        <v>542</v>
      </c>
      <c r="E513" s="30" t="s">
        <v>19</v>
      </c>
      <c r="F513" s="85" t="s">
        <v>1298</v>
      </c>
      <c r="G513" s="30"/>
      <c r="H513" s="30" t="s">
        <v>854</v>
      </c>
      <c r="I513" s="31">
        <f t="shared" si="24"/>
        <v>28</v>
      </c>
      <c r="J513" s="146" t="s">
        <v>2053</v>
      </c>
      <c r="K513" s="31">
        <f t="shared" si="25"/>
        <v>0</v>
      </c>
      <c r="L513" s="32">
        <f t="shared" si="26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518</v>
      </c>
      <c r="B514" t="s">
        <v>1037</v>
      </c>
      <c r="C514" t="s">
        <v>1060</v>
      </c>
      <c r="D514" t="s">
        <v>513</v>
      </c>
      <c r="E514" s="30" t="s">
        <v>15</v>
      </c>
      <c r="F514" s="30" t="s">
        <v>1053</v>
      </c>
      <c r="G514" s="30" t="s">
        <v>1256</v>
      </c>
      <c r="H514" s="30" t="s">
        <v>855</v>
      </c>
      <c r="I514" s="31">
        <f t="shared" si="24"/>
        <v>26</v>
      </c>
      <c r="J514" s="146" t="s">
        <v>2054</v>
      </c>
      <c r="K514" s="31">
        <f t="shared" si="25"/>
        <v>2</v>
      </c>
      <c r="L514" s="32">
        <f t="shared" si="26"/>
        <v>0.9285714285714286</v>
      </c>
      <c r="M514" s="70" t="s">
        <v>2278</v>
      </c>
      <c r="N514" s="70" t="s">
        <v>2278</v>
      </c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1038</v>
      </c>
      <c r="C515" t="s">
        <v>1060</v>
      </c>
      <c r="D515" t="s">
        <v>515</v>
      </c>
      <c r="E515" s="30" t="s">
        <v>19</v>
      </c>
      <c r="F515" s="30" t="s">
        <v>28</v>
      </c>
      <c r="G515" s="30"/>
      <c r="H515" s="30" t="s">
        <v>856</v>
      </c>
      <c r="I515" s="31">
        <f t="shared" si="24"/>
        <v>26</v>
      </c>
      <c r="J515" s="146" t="s">
        <v>2055</v>
      </c>
      <c r="K515" s="31">
        <f t="shared" si="25"/>
        <v>2</v>
      </c>
      <c r="L515" s="32">
        <f t="shared" si="26"/>
        <v>0.9285714285714286</v>
      </c>
      <c r="M515" s="70" t="s">
        <v>2278</v>
      </c>
      <c r="N515" s="70" t="s">
        <v>2278</v>
      </c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518</v>
      </c>
      <c r="B516" t="s">
        <v>1034</v>
      </c>
      <c r="C516" t="s">
        <v>1060</v>
      </c>
      <c r="D516" t="s">
        <v>543</v>
      </c>
      <c r="E516" s="30" t="s">
        <v>15</v>
      </c>
      <c r="F516" s="30" t="s">
        <v>28</v>
      </c>
      <c r="G516" s="30"/>
      <c r="H516" s="30" t="s">
        <v>857</v>
      </c>
      <c r="I516" s="31">
        <f t="shared" si="24"/>
        <v>28</v>
      </c>
      <c r="J516" s="146" t="s">
        <v>2056</v>
      </c>
      <c r="K516" s="31">
        <f t="shared" si="25"/>
        <v>0</v>
      </c>
      <c r="L516" s="32">
        <f t="shared" si="26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518</v>
      </c>
      <c r="B517" t="s">
        <v>516</v>
      </c>
      <c r="C517" t="s">
        <v>1060</v>
      </c>
      <c r="D517" t="s">
        <v>517</v>
      </c>
      <c r="E517" s="30" t="s">
        <v>15</v>
      </c>
      <c r="F517" s="30" t="s">
        <v>1053</v>
      </c>
      <c r="G517" s="30" t="s">
        <v>1257</v>
      </c>
      <c r="H517" s="30" t="s">
        <v>858</v>
      </c>
      <c r="I517" s="31">
        <f t="shared" si="24"/>
        <v>28</v>
      </c>
      <c r="J517" s="146" t="s">
        <v>2057</v>
      </c>
      <c r="K517" s="31">
        <f t="shared" si="25"/>
        <v>0</v>
      </c>
      <c r="L517" s="32">
        <f t="shared" si="26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518</v>
      </c>
      <c r="B518" t="s">
        <v>519</v>
      </c>
      <c r="C518" t="s">
        <v>1060</v>
      </c>
      <c r="D518" t="s">
        <v>520</v>
      </c>
      <c r="E518" s="30" t="s">
        <v>15</v>
      </c>
      <c r="F518" s="30" t="s">
        <v>1053</v>
      </c>
      <c r="G518" s="30" t="s">
        <v>1253</v>
      </c>
      <c r="H518" s="30" t="s">
        <v>859</v>
      </c>
      <c r="I518" s="31">
        <f t="shared" si="24"/>
        <v>28</v>
      </c>
      <c r="J518" s="146" t="s">
        <v>2058</v>
      </c>
      <c r="K518" s="31">
        <f t="shared" si="25"/>
        <v>0</v>
      </c>
      <c r="L518" s="32">
        <f t="shared" si="26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518</v>
      </c>
      <c r="B519" t="s">
        <v>521</v>
      </c>
      <c r="C519" t="s">
        <v>1060</v>
      </c>
      <c r="D519" t="s">
        <v>1087</v>
      </c>
      <c r="E519" s="30" t="s">
        <v>15</v>
      </c>
      <c r="F519" s="30" t="s">
        <v>1053</v>
      </c>
      <c r="G519" s="30" t="s">
        <v>1258</v>
      </c>
      <c r="H519" s="30" t="s">
        <v>860</v>
      </c>
      <c r="I519" s="31">
        <f t="shared" si="24"/>
        <v>26</v>
      </c>
      <c r="J519" s="146" t="s">
        <v>2059</v>
      </c>
      <c r="K519" s="31">
        <f t="shared" si="25"/>
        <v>2</v>
      </c>
      <c r="L519" s="32">
        <f t="shared" si="26"/>
        <v>0.9285714285714286</v>
      </c>
      <c r="M519" s="70" t="s">
        <v>2278</v>
      </c>
      <c r="N519" s="70" t="s">
        <v>2278</v>
      </c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514</v>
      </c>
      <c r="B520" t="s">
        <v>1039</v>
      </c>
      <c r="C520" t="s">
        <v>1060</v>
      </c>
      <c r="D520" t="s">
        <v>522</v>
      </c>
      <c r="E520" s="30" t="s">
        <v>15</v>
      </c>
      <c r="F520" s="30" t="s">
        <v>1053</v>
      </c>
      <c r="G520" s="30" t="s">
        <v>1259</v>
      </c>
      <c r="H520" s="30" t="s">
        <v>861</v>
      </c>
      <c r="I520" s="31">
        <f t="shared" si="24"/>
        <v>28</v>
      </c>
      <c r="J520" s="146" t="s">
        <v>2060</v>
      </c>
      <c r="K520" s="31">
        <f t="shared" si="25"/>
        <v>0</v>
      </c>
      <c r="L520" s="32">
        <f t="shared" si="26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514</v>
      </c>
      <c r="B521" t="s">
        <v>1040</v>
      </c>
      <c r="C521" t="s">
        <v>1060</v>
      </c>
      <c r="D521" t="s">
        <v>523</v>
      </c>
      <c r="E521" s="30" t="s">
        <v>15</v>
      </c>
      <c r="F521" s="30" t="s">
        <v>20</v>
      </c>
      <c r="G521" s="30"/>
      <c r="H521" s="30" t="s">
        <v>862</v>
      </c>
      <c r="I521" s="31">
        <f t="shared" si="24"/>
        <v>28</v>
      </c>
      <c r="J521" s="73"/>
      <c r="K521" s="31">
        <f t="shared" si="25"/>
        <v>0</v>
      </c>
      <c r="L521" s="32">
        <f t="shared" si="26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73" t="s">
        <v>524</v>
      </c>
      <c r="C522" s="73" t="s">
        <v>1060</v>
      </c>
      <c r="D522" s="73" t="s">
        <v>525</v>
      </c>
      <c r="E522" s="85" t="s">
        <v>46</v>
      </c>
      <c r="F522" s="85" t="s">
        <v>1298</v>
      </c>
      <c r="G522" s="85"/>
      <c r="H522" s="85" t="s">
        <v>1362</v>
      </c>
      <c r="I522" s="141">
        <f t="shared" si="24"/>
        <v>28</v>
      </c>
      <c r="J522" s="146" t="s">
        <v>2061</v>
      </c>
      <c r="K522" s="141">
        <f t="shared" si="25"/>
        <v>0</v>
      </c>
      <c r="L522" s="142">
        <f t="shared" si="26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514</v>
      </c>
      <c r="B523" t="s">
        <v>1035</v>
      </c>
      <c r="C523" t="s">
        <v>1060</v>
      </c>
      <c r="D523" t="s">
        <v>544</v>
      </c>
      <c r="E523" s="30" t="s">
        <v>73</v>
      </c>
      <c r="F523" s="30" t="s">
        <v>28</v>
      </c>
      <c r="G523" s="30"/>
      <c r="H523" s="30" t="s">
        <v>863</v>
      </c>
      <c r="I523" s="31">
        <f t="shared" si="24"/>
        <v>28</v>
      </c>
      <c r="J523" s="146" t="s">
        <v>2062</v>
      </c>
      <c r="K523" s="31">
        <f t="shared" si="25"/>
        <v>0</v>
      </c>
      <c r="L523" s="32">
        <f t="shared" si="26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514</v>
      </c>
      <c r="B524" t="s">
        <v>1036</v>
      </c>
      <c r="C524" t="s">
        <v>1060</v>
      </c>
      <c r="D524" t="s">
        <v>544</v>
      </c>
      <c r="E524" s="30" t="s">
        <v>73</v>
      </c>
      <c r="F524" s="30" t="s">
        <v>28</v>
      </c>
      <c r="G524" s="30"/>
      <c r="H524" s="30" t="s">
        <v>864</v>
      </c>
      <c r="I524" s="31">
        <f t="shared" si="24"/>
        <v>28</v>
      </c>
      <c r="J524" s="146" t="s">
        <v>2063</v>
      </c>
      <c r="K524" s="31">
        <f t="shared" si="25"/>
        <v>0</v>
      </c>
      <c r="L524" s="32">
        <f t="shared" si="26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514</v>
      </c>
      <c r="B525" t="s">
        <v>545</v>
      </c>
      <c r="C525" t="s">
        <v>1059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4"/>
        <v>28</v>
      </c>
      <c r="J525" s="146" t="s">
        <v>2064</v>
      </c>
      <c r="K525" s="31">
        <f t="shared" si="25"/>
        <v>0</v>
      </c>
      <c r="L525" s="32">
        <f t="shared" si="26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514</v>
      </c>
      <c r="B526" t="s">
        <v>547</v>
      </c>
      <c r="C526" t="s">
        <v>1059</v>
      </c>
      <c r="D526" t="s">
        <v>546</v>
      </c>
      <c r="E526" s="30" t="s">
        <v>73</v>
      </c>
      <c r="F526" s="30" t="s">
        <v>28</v>
      </c>
      <c r="G526" s="30"/>
      <c r="H526" s="30" t="s">
        <v>865</v>
      </c>
      <c r="I526" s="31">
        <f t="shared" si="24"/>
        <v>28</v>
      </c>
      <c r="J526" s="146" t="s">
        <v>2065</v>
      </c>
      <c r="K526" s="31">
        <f t="shared" si="25"/>
        <v>0</v>
      </c>
      <c r="L526" s="32">
        <f t="shared" si="26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514</v>
      </c>
      <c r="B527" t="s">
        <v>1142</v>
      </c>
      <c r="C527" t="s">
        <v>1060</v>
      </c>
      <c r="D527" t="s">
        <v>1144</v>
      </c>
      <c r="E527" s="30" t="s">
        <v>73</v>
      </c>
      <c r="F527" s="30" t="s">
        <v>28</v>
      </c>
      <c r="G527" s="30"/>
      <c r="H527" s="30" t="s">
        <v>1145</v>
      </c>
      <c r="I527" s="31">
        <f t="shared" si="24"/>
        <v>28</v>
      </c>
      <c r="J527" s="146" t="s">
        <v>2066</v>
      </c>
      <c r="K527" s="31">
        <f t="shared" si="25"/>
        <v>0</v>
      </c>
      <c r="L527" s="32">
        <f t="shared" si="26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514</v>
      </c>
      <c r="B528" t="s">
        <v>1143</v>
      </c>
      <c r="C528" t="s">
        <v>1060</v>
      </c>
      <c r="D528" t="s">
        <v>1144</v>
      </c>
      <c r="E528" s="30" t="s">
        <v>1111</v>
      </c>
      <c r="F528" s="30" t="s">
        <v>28</v>
      </c>
      <c r="G528" s="30"/>
      <c r="H528" s="30" t="s">
        <v>1146</v>
      </c>
      <c r="I528" s="31">
        <f t="shared" si="24"/>
        <v>28</v>
      </c>
      <c r="J528" s="146" t="s">
        <v>2067</v>
      </c>
      <c r="K528" s="31">
        <f t="shared" si="25"/>
        <v>0</v>
      </c>
      <c r="L528" s="32">
        <f t="shared" si="26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thickBot="1" x14ac:dyDescent="0.3">
      <c r="A529" s="73" t="s">
        <v>518</v>
      </c>
      <c r="B529" s="85" t="s">
        <v>1205</v>
      </c>
      <c r="C529" s="85" t="s">
        <v>1060</v>
      </c>
      <c r="D529" s="73" t="s">
        <v>1201</v>
      </c>
      <c r="E529" s="85" t="s">
        <v>15</v>
      </c>
      <c r="F529" s="85" t="s">
        <v>1298</v>
      </c>
      <c r="G529" s="85"/>
      <c r="H529" s="85" t="s">
        <v>1202</v>
      </c>
      <c r="I529" s="141">
        <f t="shared" si="24"/>
        <v>28</v>
      </c>
      <c r="J529" s="146" t="s">
        <v>2068</v>
      </c>
      <c r="K529" s="141">
        <f t="shared" si="25"/>
        <v>0</v>
      </c>
      <c r="L529" s="142">
        <f t="shared" si="26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518</v>
      </c>
      <c r="B530" s="30" t="s">
        <v>1527</v>
      </c>
      <c r="C530" s="30" t="s">
        <v>1060</v>
      </c>
      <c r="D530" t="s">
        <v>1528</v>
      </c>
      <c r="E530" s="30" t="s">
        <v>1111</v>
      </c>
      <c r="F530" s="30" t="s">
        <v>28</v>
      </c>
      <c r="G530" s="30"/>
      <c r="H530" s="30" t="s">
        <v>1529</v>
      </c>
      <c r="I530" s="141">
        <f t="shared" si="24"/>
        <v>28</v>
      </c>
      <c r="J530" s="146" t="s">
        <v>2069</v>
      </c>
      <c r="K530" s="141">
        <f t="shared" si="25"/>
        <v>0</v>
      </c>
      <c r="L530" s="142">
        <f t="shared" si="26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518</v>
      </c>
      <c r="B531" s="85" t="s">
        <v>1578</v>
      </c>
      <c r="C531" s="85" t="s">
        <v>1060</v>
      </c>
      <c r="D531" s="73" t="s">
        <v>1579</v>
      </c>
      <c r="E531" s="85" t="s">
        <v>15</v>
      </c>
      <c r="F531" s="85" t="s">
        <v>1298</v>
      </c>
      <c r="G531" s="85"/>
      <c r="H531" s="85" t="s">
        <v>1580</v>
      </c>
      <c r="I531" s="141">
        <f t="shared" si="24"/>
        <v>28</v>
      </c>
      <c r="J531" s="146" t="s">
        <v>2070</v>
      </c>
      <c r="K531" s="141">
        <f t="shared" si="25"/>
        <v>0</v>
      </c>
      <c r="L531" s="142">
        <f t="shared" si="26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thickBot="1" x14ac:dyDescent="0.3">
      <c r="A532" s="73" t="s">
        <v>518</v>
      </c>
      <c r="B532" s="85" t="s">
        <v>1581</v>
      </c>
      <c r="C532" s="85" t="s">
        <v>1060</v>
      </c>
      <c r="D532" s="73" t="s">
        <v>1582</v>
      </c>
      <c r="E532" s="85" t="s">
        <v>15</v>
      </c>
      <c r="F532" s="85" t="s">
        <v>1298</v>
      </c>
      <c r="G532" s="85"/>
      <c r="H532" s="85" t="s">
        <v>1583</v>
      </c>
      <c r="I532" s="141">
        <f t="shared" si="24"/>
        <v>28</v>
      </c>
      <c r="J532" s="146" t="s">
        <v>2071</v>
      </c>
      <c r="K532" s="141">
        <f t="shared" si="25"/>
        <v>0</v>
      </c>
      <c r="L532" s="142">
        <f t="shared" si="26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518</v>
      </c>
      <c r="B533" s="85" t="s">
        <v>2216</v>
      </c>
      <c r="C533" s="85" t="s">
        <v>1060</v>
      </c>
      <c r="D533" s="73" t="s">
        <v>2217</v>
      </c>
      <c r="E533" s="30" t="s">
        <v>73</v>
      </c>
      <c r="F533" s="85" t="s">
        <v>1298</v>
      </c>
      <c r="G533" s="85"/>
      <c r="H533" s="85" t="s">
        <v>2218</v>
      </c>
      <c r="I533" s="141">
        <f t="shared" si="24"/>
        <v>28</v>
      </c>
      <c r="J533" s="146" t="s">
        <v>2219</v>
      </c>
      <c r="K533" s="141">
        <f t="shared" si="25"/>
        <v>0</v>
      </c>
      <c r="L533" s="142">
        <f t="shared" si="26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518</v>
      </c>
      <c r="B534" s="85" t="s">
        <v>2220</v>
      </c>
      <c r="C534" s="85" t="s">
        <v>1060</v>
      </c>
      <c r="D534" s="73" t="s">
        <v>2221</v>
      </c>
      <c r="E534" s="85" t="s">
        <v>15</v>
      </c>
      <c r="F534" s="85" t="s">
        <v>1298</v>
      </c>
      <c r="G534" s="85"/>
      <c r="H534" s="85" t="s">
        <v>2222</v>
      </c>
      <c r="I534" s="141">
        <f t="shared" si="24"/>
        <v>28</v>
      </c>
      <c r="J534" s="146" t="s">
        <v>2223</v>
      </c>
      <c r="K534" s="141">
        <f t="shared" si="25"/>
        <v>0</v>
      </c>
      <c r="L534" s="142">
        <f t="shared" si="26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409</v>
      </c>
      <c r="B535" t="s">
        <v>1041</v>
      </c>
      <c r="C535" t="s">
        <v>1059</v>
      </c>
      <c r="D535" t="s">
        <v>550</v>
      </c>
      <c r="E535" s="30" t="s">
        <v>19</v>
      </c>
      <c r="F535" s="30" t="s">
        <v>28</v>
      </c>
      <c r="G535" s="30"/>
      <c r="H535" s="30" t="s">
        <v>868</v>
      </c>
      <c r="I535" s="31">
        <f t="shared" si="24"/>
        <v>28</v>
      </c>
      <c r="J535" s="146" t="s">
        <v>2072</v>
      </c>
      <c r="K535" s="31">
        <f t="shared" si="25"/>
        <v>0</v>
      </c>
      <c r="L535" s="32">
        <f t="shared" si="26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thickBot="1" x14ac:dyDescent="0.3">
      <c r="A536" t="s">
        <v>294</v>
      </c>
      <c r="B536" t="s">
        <v>1042</v>
      </c>
      <c r="C536" t="s">
        <v>1059</v>
      </c>
      <c r="D536" t="s">
        <v>551</v>
      </c>
      <c r="E536" s="30" t="s">
        <v>19</v>
      </c>
      <c r="F536" s="30" t="s">
        <v>28</v>
      </c>
      <c r="G536" s="30"/>
      <c r="H536" s="30" t="s">
        <v>869</v>
      </c>
      <c r="I536" s="31">
        <f t="shared" si="24"/>
        <v>28</v>
      </c>
      <c r="J536" s="146" t="s">
        <v>2073</v>
      </c>
      <c r="K536" s="31">
        <f t="shared" si="25"/>
        <v>0</v>
      </c>
      <c r="L536" s="32">
        <f t="shared" si="26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409</v>
      </c>
      <c r="B537" t="s">
        <v>552</v>
      </c>
      <c r="C537" t="s">
        <v>1059</v>
      </c>
      <c r="D537" t="s">
        <v>553</v>
      </c>
      <c r="E537" s="30" t="s">
        <v>73</v>
      </c>
      <c r="F537" s="30" t="s">
        <v>28</v>
      </c>
      <c r="G537" s="30"/>
      <c r="H537" s="30" t="s">
        <v>866</v>
      </c>
      <c r="I537" s="31">
        <f t="shared" si="24"/>
        <v>28</v>
      </c>
      <c r="J537" s="146" t="s">
        <v>2074</v>
      </c>
      <c r="K537" s="31">
        <f t="shared" si="25"/>
        <v>0</v>
      </c>
      <c r="L537" s="32">
        <f t="shared" si="26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409</v>
      </c>
      <c r="B538" t="s">
        <v>554</v>
      </c>
      <c r="C538" t="s">
        <v>1059</v>
      </c>
      <c r="D538" t="s">
        <v>553</v>
      </c>
      <c r="E538" s="30" t="s">
        <v>73</v>
      </c>
      <c r="F538" s="30" t="s">
        <v>28</v>
      </c>
      <c r="G538" s="30"/>
      <c r="H538" s="30" t="s">
        <v>867</v>
      </c>
      <c r="I538" s="31">
        <f t="shared" si="24"/>
        <v>28</v>
      </c>
      <c r="J538" s="146" t="s">
        <v>2075</v>
      </c>
      <c r="K538" s="31">
        <f t="shared" si="25"/>
        <v>0</v>
      </c>
      <c r="L538" s="32">
        <f t="shared" si="26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409</v>
      </c>
      <c r="B539" t="s">
        <v>555</v>
      </c>
      <c r="C539" t="s">
        <v>1059</v>
      </c>
      <c r="D539" t="s">
        <v>556</v>
      </c>
      <c r="E539" s="30" t="s">
        <v>73</v>
      </c>
      <c r="F539" s="30" t="s">
        <v>28</v>
      </c>
      <c r="G539" s="30"/>
      <c r="H539" s="30" t="s">
        <v>870</v>
      </c>
      <c r="I539" s="31">
        <f t="shared" si="24"/>
        <v>28</v>
      </c>
      <c r="J539" s="146" t="s">
        <v>2076</v>
      </c>
      <c r="K539" s="31">
        <f t="shared" si="25"/>
        <v>0</v>
      </c>
      <c r="L539" s="32">
        <f t="shared" si="26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409</v>
      </c>
      <c r="B540" t="s">
        <v>557</v>
      </c>
      <c r="C540" t="s">
        <v>1059</v>
      </c>
      <c r="D540" t="s">
        <v>556</v>
      </c>
      <c r="E540" s="30" t="s">
        <v>73</v>
      </c>
      <c r="F540" s="30" t="s">
        <v>28</v>
      </c>
      <c r="G540" s="30"/>
      <c r="H540" s="30" t="s">
        <v>871</v>
      </c>
      <c r="I540" s="31">
        <f t="shared" si="24"/>
        <v>28</v>
      </c>
      <c r="J540" s="146" t="s">
        <v>2077</v>
      </c>
      <c r="K540" s="31">
        <f t="shared" si="25"/>
        <v>0</v>
      </c>
      <c r="L540" s="32">
        <f t="shared" si="26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thickBot="1" x14ac:dyDescent="0.3">
      <c r="A541" s="73" t="s">
        <v>409</v>
      </c>
      <c r="B541" s="73" t="s">
        <v>548</v>
      </c>
      <c r="C541" s="90" t="s">
        <v>1059</v>
      </c>
      <c r="D541" s="73" t="s">
        <v>549</v>
      </c>
      <c r="E541" s="91" t="s">
        <v>19</v>
      </c>
      <c r="F541" s="85" t="s">
        <v>28</v>
      </c>
      <c r="G541" s="85"/>
      <c r="H541" s="85" t="s">
        <v>872</v>
      </c>
      <c r="I541" s="31">
        <f t="shared" si="24"/>
        <v>28</v>
      </c>
      <c r="J541" s="73"/>
      <c r="K541" s="31">
        <f t="shared" si="25"/>
        <v>0</v>
      </c>
      <c r="L541" s="32">
        <f t="shared" si="26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thickBot="1" x14ac:dyDescent="0.3">
      <c r="A542" s="73" t="s">
        <v>409</v>
      </c>
      <c r="B542" s="73" t="s">
        <v>558</v>
      </c>
      <c r="C542" s="90" t="s">
        <v>1059</v>
      </c>
      <c r="D542" s="73" t="s">
        <v>559</v>
      </c>
      <c r="E542" s="91" t="s">
        <v>15</v>
      </c>
      <c r="F542" s="85" t="s">
        <v>28</v>
      </c>
      <c r="G542" s="85"/>
      <c r="H542" s="85" t="s">
        <v>1501</v>
      </c>
      <c r="I542" s="31">
        <f t="shared" si="24"/>
        <v>28</v>
      </c>
      <c r="J542" s="146" t="s">
        <v>2078</v>
      </c>
      <c r="K542" s="31">
        <f t="shared" si="25"/>
        <v>0</v>
      </c>
      <c r="L542" s="32">
        <f t="shared" si="26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thickBot="1" x14ac:dyDescent="0.3">
      <c r="A543" s="73" t="s">
        <v>483</v>
      </c>
      <c r="B543" s="73" t="s">
        <v>1341</v>
      </c>
      <c r="C543" s="85" t="s">
        <v>1059</v>
      </c>
      <c r="D543" s="73" t="s">
        <v>1342</v>
      </c>
      <c r="E543" s="91" t="s">
        <v>15</v>
      </c>
      <c r="F543" s="85" t="s">
        <v>1298</v>
      </c>
      <c r="G543" s="85"/>
      <c r="H543" s="85" t="s">
        <v>1347</v>
      </c>
      <c r="I543" s="141">
        <f t="shared" si="24"/>
        <v>28</v>
      </c>
      <c r="J543" s="146" t="s">
        <v>2079</v>
      </c>
      <c r="K543" s="141">
        <f t="shared" si="25"/>
        <v>0</v>
      </c>
      <c r="L543" s="142">
        <f t="shared" si="26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483</v>
      </c>
      <c r="B544" t="s">
        <v>560</v>
      </c>
      <c r="C544" t="s">
        <v>1059</v>
      </c>
      <c r="D544" t="s">
        <v>561</v>
      </c>
      <c r="E544" s="30" t="s">
        <v>19</v>
      </c>
      <c r="F544" s="30" t="s">
        <v>28</v>
      </c>
      <c r="G544" s="30"/>
      <c r="H544" s="30" t="s">
        <v>873</v>
      </c>
      <c r="I544" s="31">
        <f t="shared" si="24"/>
        <v>28</v>
      </c>
      <c r="J544" s="146" t="s">
        <v>2080</v>
      </c>
      <c r="K544" s="31">
        <f t="shared" si="25"/>
        <v>0</v>
      </c>
      <c r="L544" s="32">
        <f t="shared" si="26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thickBot="1" x14ac:dyDescent="0.3">
      <c r="A545" s="73" t="s">
        <v>483</v>
      </c>
      <c r="B545" s="73" t="s">
        <v>562</v>
      </c>
      <c r="C545" s="73" t="s">
        <v>1059</v>
      </c>
      <c r="D545" s="73" t="s">
        <v>563</v>
      </c>
      <c r="E545" s="85" t="s">
        <v>19</v>
      </c>
      <c r="F545" s="85" t="s">
        <v>1298</v>
      </c>
      <c r="G545" s="85"/>
      <c r="H545" s="85" t="s">
        <v>1365</v>
      </c>
      <c r="I545" s="141">
        <f t="shared" ref="I545:I591" si="27">COUNTIF(M545:AN545,"")</f>
        <v>25</v>
      </c>
      <c r="J545" s="146" t="s">
        <v>2081</v>
      </c>
      <c r="K545" s="141">
        <f t="shared" ref="K545:K591" si="28">COUNTIF(M545:AN545,"APAGADO")</f>
        <v>3</v>
      </c>
      <c r="L545" s="142">
        <f t="shared" ref="L545:L591" si="29">(I545)/(K545+I545)</f>
        <v>0.8928571428571429</v>
      </c>
      <c r="M545" s="70" t="s">
        <v>2278</v>
      </c>
      <c r="N545" s="70" t="s">
        <v>2278</v>
      </c>
      <c r="O545" s="70" t="s">
        <v>2278</v>
      </c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thickBot="1" x14ac:dyDescent="0.3">
      <c r="A546" s="73" t="s">
        <v>483</v>
      </c>
      <c r="B546" s="73" t="s">
        <v>564</v>
      </c>
      <c r="C546" s="73" t="s">
        <v>1059</v>
      </c>
      <c r="D546" s="73" t="s">
        <v>565</v>
      </c>
      <c r="E546" s="85" t="s">
        <v>19</v>
      </c>
      <c r="F546" s="85" t="s">
        <v>1298</v>
      </c>
      <c r="G546" s="85"/>
      <c r="H546" s="85" t="s">
        <v>1423</v>
      </c>
      <c r="I546" s="141">
        <f t="shared" si="27"/>
        <v>28</v>
      </c>
      <c r="J546" s="146" t="s">
        <v>2082</v>
      </c>
      <c r="K546" s="141">
        <f t="shared" si="28"/>
        <v>0</v>
      </c>
      <c r="L546" s="142">
        <f t="shared" si="29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483</v>
      </c>
      <c r="B547" t="s">
        <v>566</v>
      </c>
      <c r="C547" t="s">
        <v>1059</v>
      </c>
      <c r="D547" t="s">
        <v>567</v>
      </c>
      <c r="E547" s="30" t="s">
        <v>19</v>
      </c>
      <c r="F547" s="30" t="s">
        <v>1053</v>
      </c>
      <c r="G547" s="30" t="s">
        <v>1260</v>
      </c>
      <c r="H547" s="30" t="s">
        <v>874</v>
      </c>
      <c r="I547" s="31">
        <f t="shared" si="27"/>
        <v>28</v>
      </c>
      <c r="J547" s="146" t="s">
        <v>2083</v>
      </c>
      <c r="K547" s="31">
        <f t="shared" si="28"/>
        <v>0</v>
      </c>
      <c r="L547" s="32">
        <f t="shared" si="29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thickBot="1" x14ac:dyDescent="0.3">
      <c r="A548" s="73" t="s">
        <v>479</v>
      </c>
      <c r="B548" s="73" t="s">
        <v>568</v>
      </c>
      <c r="C548" s="73" t="s">
        <v>1059</v>
      </c>
      <c r="D548" s="73" t="s">
        <v>569</v>
      </c>
      <c r="E548" s="85" t="s">
        <v>19</v>
      </c>
      <c r="F548" s="85" t="s">
        <v>1298</v>
      </c>
      <c r="G548" s="85"/>
      <c r="H548" s="85" t="s">
        <v>1500</v>
      </c>
      <c r="I548" s="141">
        <f t="shared" si="27"/>
        <v>28</v>
      </c>
      <c r="J548" s="146" t="s">
        <v>2084</v>
      </c>
      <c r="K548" s="141">
        <f t="shared" si="28"/>
        <v>0</v>
      </c>
      <c r="L548" s="142">
        <f t="shared" si="29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479</v>
      </c>
      <c r="B549" t="s">
        <v>1309</v>
      </c>
      <c r="C549" t="s">
        <v>1059</v>
      </c>
      <c r="D549" t="s">
        <v>2188</v>
      </c>
      <c r="E549" s="85" t="s">
        <v>15</v>
      </c>
      <c r="F549" s="85" t="s">
        <v>1298</v>
      </c>
      <c r="G549" s="30"/>
      <c r="H549" s="30" t="s">
        <v>2189</v>
      </c>
      <c r="I549" s="31">
        <f t="shared" si="27"/>
        <v>28</v>
      </c>
      <c r="J549" s="146" t="s">
        <v>2190</v>
      </c>
      <c r="K549" s="31">
        <f t="shared" si="28"/>
        <v>0</v>
      </c>
      <c r="L549" s="32">
        <f t="shared" si="29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483</v>
      </c>
      <c r="B550" t="s">
        <v>2124</v>
      </c>
      <c r="C550" t="s">
        <v>1059</v>
      </c>
      <c r="D550" s="73" t="s">
        <v>2125</v>
      </c>
      <c r="E550" s="85" t="s">
        <v>15</v>
      </c>
      <c r="F550" s="85" t="s">
        <v>1298</v>
      </c>
      <c r="G550" s="30"/>
      <c r="H550" s="30" t="s">
        <v>2126</v>
      </c>
      <c r="I550" s="31">
        <f t="shared" si="27"/>
        <v>28</v>
      </c>
      <c r="J550" s="146" t="s">
        <v>2127</v>
      </c>
      <c r="K550" s="31">
        <f t="shared" si="28"/>
        <v>0</v>
      </c>
      <c r="L550" s="32">
        <f t="shared" si="29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thickBot="1" x14ac:dyDescent="0.3">
      <c r="A551" s="73" t="s">
        <v>570</v>
      </c>
      <c r="B551" s="73" t="s">
        <v>571</v>
      </c>
      <c r="C551" s="73" t="s">
        <v>1060</v>
      </c>
      <c r="D551" s="73" t="s">
        <v>572</v>
      </c>
      <c r="E551" s="85" t="s">
        <v>15</v>
      </c>
      <c r="F551" s="85" t="s">
        <v>1298</v>
      </c>
      <c r="G551" s="85"/>
      <c r="H551" s="85" t="s">
        <v>875</v>
      </c>
      <c r="I551" s="141">
        <f t="shared" si="27"/>
        <v>28</v>
      </c>
      <c r="J551" s="146" t="s">
        <v>2085</v>
      </c>
      <c r="K551" s="141">
        <f t="shared" si="28"/>
        <v>0</v>
      </c>
      <c r="L551" s="142">
        <f t="shared" si="29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thickBot="1" x14ac:dyDescent="0.3">
      <c r="A552" s="73" t="s">
        <v>570</v>
      </c>
      <c r="B552" s="73" t="s">
        <v>1458</v>
      </c>
      <c r="C552" s="73" t="s">
        <v>1060</v>
      </c>
      <c r="D552" s="73" t="s">
        <v>573</v>
      </c>
      <c r="E552" s="85" t="s">
        <v>15</v>
      </c>
      <c r="F552" s="85" t="s">
        <v>1298</v>
      </c>
      <c r="G552" s="85"/>
      <c r="H552" s="85" t="s">
        <v>876</v>
      </c>
      <c r="I552" s="141">
        <f t="shared" si="27"/>
        <v>28</v>
      </c>
      <c r="J552" s="146" t="s">
        <v>2086</v>
      </c>
      <c r="K552" s="141">
        <f t="shared" si="28"/>
        <v>0</v>
      </c>
      <c r="L552" s="142">
        <f t="shared" si="29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570</v>
      </c>
      <c r="B553" s="73" t="s">
        <v>1043</v>
      </c>
      <c r="C553" s="73" t="s">
        <v>1060</v>
      </c>
      <c r="D553" s="73" t="s">
        <v>574</v>
      </c>
      <c r="E553" s="85" t="s">
        <v>73</v>
      </c>
      <c r="F553" s="85" t="s">
        <v>1298</v>
      </c>
      <c r="G553" s="85"/>
      <c r="H553" s="85" t="s">
        <v>877</v>
      </c>
      <c r="I553" s="141">
        <f t="shared" si="27"/>
        <v>28</v>
      </c>
      <c r="J553" s="146" t="s">
        <v>2087</v>
      </c>
      <c r="K553" s="141">
        <f t="shared" si="28"/>
        <v>0</v>
      </c>
      <c r="L553" s="142">
        <f t="shared" si="29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thickBot="1" x14ac:dyDescent="0.3">
      <c r="A554" s="73" t="s">
        <v>570</v>
      </c>
      <c r="B554" s="73" t="s">
        <v>1044</v>
      </c>
      <c r="C554" s="73" t="s">
        <v>1060</v>
      </c>
      <c r="D554" s="73" t="s">
        <v>574</v>
      </c>
      <c r="E554" s="85" t="s">
        <v>73</v>
      </c>
      <c r="F554" s="85" t="s">
        <v>1298</v>
      </c>
      <c r="G554" s="85"/>
      <c r="H554" s="85" t="s">
        <v>878</v>
      </c>
      <c r="I554" s="141">
        <f t="shared" si="27"/>
        <v>28</v>
      </c>
      <c r="J554" s="146" t="s">
        <v>2088</v>
      </c>
      <c r="K554" s="141">
        <f t="shared" si="28"/>
        <v>0</v>
      </c>
      <c r="L554" s="142">
        <f t="shared" si="29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570</v>
      </c>
      <c r="B555" s="73" t="s">
        <v>1634</v>
      </c>
      <c r="C555" s="73" t="s">
        <v>1060</v>
      </c>
      <c r="D555" s="73" t="s">
        <v>1641</v>
      </c>
      <c r="E555" s="85" t="s">
        <v>1111</v>
      </c>
      <c r="F555" s="85" t="s">
        <v>28</v>
      </c>
      <c r="G555" s="85"/>
      <c r="H555" s="85" t="s">
        <v>1636</v>
      </c>
      <c r="I555" s="141">
        <f t="shared" si="27"/>
        <v>28</v>
      </c>
      <c r="J555" s="87" t="s">
        <v>2178</v>
      </c>
      <c r="K555" s="141">
        <f t="shared" si="28"/>
        <v>0</v>
      </c>
      <c r="L555" s="142">
        <f t="shared" si="29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570</v>
      </c>
      <c r="B556" s="73" t="s">
        <v>2118</v>
      </c>
      <c r="C556" s="73" t="s">
        <v>1060</v>
      </c>
      <c r="D556" s="73" t="s">
        <v>2119</v>
      </c>
      <c r="E556" s="30" t="s">
        <v>15</v>
      </c>
      <c r="F556" s="85" t="s">
        <v>1298</v>
      </c>
      <c r="G556" s="85"/>
      <c r="H556" s="85" t="s">
        <v>2121</v>
      </c>
      <c r="I556" s="141">
        <f t="shared" si="27"/>
        <v>25</v>
      </c>
      <c r="J556" s="87"/>
      <c r="K556" s="141">
        <f t="shared" si="28"/>
        <v>3</v>
      </c>
      <c r="L556" s="142">
        <f t="shared" si="29"/>
        <v>0.8928571428571429</v>
      </c>
      <c r="M556" s="70" t="s">
        <v>2278</v>
      </c>
      <c r="N556" s="70" t="s">
        <v>2278</v>
      </c>
      <c r="O556" s="70" t="s">
        <v>2278</v>
      </c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thickBot="1" x14ac:dyDescent="0.3">
      <c r="A557" s="73" t="s">
        <v>570</v>
      </c>
      <c r="B557" s="73" t="s">
        <v>1647</v>
      </c>
      <c r="C557" s="73" t="s">
        <v>1060</v>
      </c>
      <c r="D557" s="73" t="s">
        <v>1648</v>
      </c>
      <c r="E557" s="85" t="s">
        <v>15</v>
      </c>
      <c r="F557" s="85" t="s">
        <v>1298</v>
      </c>
      <c r="G557" s="85"/>
      <c r="H557" s="85" t="s">
        <v>1649</v>
      </c>
      <c r="I557" s="141">
        <f t="shared" si="27"/>
        <v>25</v>
      </c>
      <c r="J557" s="87" t="s">
        <v>2179</v>
      </c>
      <c r="K557" s="141">
        <f t="shared" si="28"/>
        <v>3</v>
      </c>
      <c r="L557" s="142">
        <f t="shared" si="29"/>
        <v>0.8928571428571429</v>
      </c>
      <c r="M557" s="70" t="s">
        <v>2278</v>
      </c>
      <c r="N557" s="70" t="s">
        <v>2278</v>
      </c>
      <c r="O557" s="70" t="s">
        <v>2278</v>
      </c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575</v>
      </c>
      <c r="B558" t="s">
        <v>1045</v>
      </c>
      <c r="C558" t="s">
        <v>1060</v>
      </c>
      <c r="D558" t="s">
        <v>576</v>
      </c>
      <c r="E558" s="30" t="s">
        <v>73</v>
      </c>
      <c r="F558" s="85" t="s">
        <v>1298</v>
      </c>
      <c r="G558" s="30"/>
      <c r="H558" s="30" t="s">
        <v>879</v>
      </c>
      <c r="I558" s="31">
        <f t="shared" si="27"/>
        <v>25</v>
      </c>
      <c r="J558" s="87" t="s">
        <v>2175</v>
      </c>
      <c r="K558" s="31">
        <f t="shared" si="28"/>
        <v>3</v>
      </c>
      <c r="L558" s="32">
        <f t="shared" si="29"/>
        <v>0.8928571428571429</v>
      </c>
      <c r="M558" s="70" t="s">
        <v>2278</v>
      </c>
      <c r="N558" s="70" t="s">
        <v>2278</v>
      </c>
      <c r="O558" s="70" t="s">
        <v>2278</v>
      </c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575</v>
      </c>
      <c r="B559" t="s">
        <v>1046</v>
      </c>
      <c r="C559" t="s">
        <v>1060</v>
      </c>
      <c r="D559" t="s">
        <v>577</v>
      </c>
      <c r="E559" s="30" t="s">
        <v>15</v>
      </c>
      <c r="F559" s="30" t="s">
        <v>28</v>
      </c>
      <c r="G559" s="30"/>
      <c r="H559" s="30" t="s">
        <v>880</v>
      </c>
      <c r="I559" s="31">
        <f t="shared" si="27"/>
        <v>28</v>
      </c>
      <c r="J559" s="146" t="s">
        <v>2089</v>
      </c>
      <c r="K559" s="31">
        <f t="shared" si="28"/>
        <v>0</v>
      </c>
      <c r="L559" s="32">
        <f t="shared" si="29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575</v>
      </c>
      <c r="B560" t="s">
        <v>578</v>
      </c>
      <c r="C560" t="s">
        <v>1060</v>
      </c>
      <c r="D560" t="s">
        <v>579</v>
      </c>
      <c r="E560" s="30" t="s">
        <v>73</v>
      </c>
      <c r="F560" s="85" t="s">
        <v>1298</v>
      </c>
      <c r="G560" s="30"/>
      <c r="H560" s="30" t="s">
        <v>881</v>
      </c>
      <c r="I560" s="31">
        <f t="shared" si="27"/>
        <v>25</v>
      </c>
      <c r="J560" s="87" t="s">
        <v>2176</v>
      </c>
      <c r="K560" s="31">
        <f t="shared" si="28"/>
        <v>3</v>
      </c>
      <c r="L560" s="32">
        <f t="shared" si="29"/>
        <v>0.8928571428571429</v>
      </c>
      <c r="M560" s="70" t="s">
        <v>2278</v>
      </c>
      <c r="N560" s="70" t="s">
        <v>2278</v>
      </c>
      <c r="O560" s="70" t="s">
        <v>2278</v>
      </c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575</v>
      </c>
      <c r="B561" t="s">
        <v>580</v>
      </c>
      <c r="C561" t="s">
        <v>1060</v>
      </c>
      <c r="D561" t="s">
        <v>581</v>
      </c>
      <c r="E561" s="30" t="s">
        <v>15</v>
      </c>
      <c r="F561" s="30" t="s">
        <v>28</v>
      </c>
      <c r="G561" s="30"/>
      <c r="H561" s="30" t="s">
        <v>882</v>
      </c>
      <c r="I561" s="31">
        <f t="shared" si="27"/>
        <v>28</v>
      </c>
      <c r="J561" s="146" t="s">
        <v>2090</v>
      </c>
      <c r="K561" s="31">
        <f t="shared" si="28"/>
        <v>0</v>
      </c>
      <c r="L561" s="32">
        <f t="shared" si="29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thickBot="1" x14ac:dyDescent="0.3">
      <c r="A562" s="73" t="s">
        <v>575</v>
      </c>
      <c r="B562" s="73" t="s">
        <v>582</v>
      </c>
      <c r="C562" s="73" t="s">
        <v>1060</v>
      </c>
      <c r="D562" s="73" t="s">
        <v>583</v>
      </c>
      <c r="E562" s="85" t="s">
        <v>15</v>
      </c>
      <c r="F562" s="85" t="s">
        <v>1298</v>
      </c>
      <c r="G562" s="85"/>
      <c r="H562" s="85" t="s">
        <v>883</v>
      </c>
      <c r="I562" s="141">
        <f t="shared" si="27"/>
        <v>28</v>
      </c>
      <c r="J562" s="146" t="s">
        <v>2091</v>
      </c>
      <c r="K562" s="141">
        <f t="shared" si="28"/>
        <v>0</v>
      </c>
      <c r="L562" s="142">
        <f t="shared" si="29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thickBot="1" x14ac:dyDescent="0.3">
      <c r="A563" s="73" t="s">
        <v>2130</v>
      </c>
      <c r="B563" s="73" t="s">
        <v>2128</v>
      </c>
      <c r="C563" t="s">
        <v>1059</v>
      </c>
      <c r="D563" s="73" t="s">
        <v>2129</v>
      </c>
      <c r="E563" s="85" t="s">
        <v>15</v>
      </c>
      <c r="F563" s="85" t="s">
        <v>1298</v>
      </c>
      <c r="G563" s="85"/>
      <c r="H563" s="85" t="s">
        <v>2131</v>
      </c>
      <c r="I563" s="141">
        <f t="shared" si="27"/>
        <v>28</v>
      </c>
      <c r="J563" s="150" t="s">
        <v>2132</v>
      </c>
      <c r="K563" s="141">
        <f t="shared" si="28"/>
        <v>0</v>
      </c>
      <c r="L563" s="142">
        <f t="shared" si="29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175</v>
      </c>
      <c r="B564" t="s">
        <v>584</v>
      </c>
      <c r="C564" t="s">
        <v>1060</v>
      </c>
      <c r="D564" t="s">
        <v>1089</v>
      </c>
      <c r="E564" s="30" t="s">
        <v>19</v>
      </c>
      <c r="F564" s="30" t="s">
        <v>20</v>
      </c>
      <c r="G564" s="30"/>
      <c r="H564" s="30" t="s">
        <v>1393</v>
      </c>
      <c r="I564" s="31">
        <f t="shared" si="27"/>
        <v>28</v>
      </c>
      <c r="J564" s="87" t="s">
        <v>2177</v>
      </c>
      <c r="K564" s="31">
        <f t="shared" si="28"/>
        <v>0</v>
      </c>
      <c r="L564" s="32">
        <f t="shared" si="29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175</v>
      </c>
      <c r="B565" t="s">
        <v>1047</v>
      </c>
      <c r="C565" t="s">
        <v>1060</v>
      </c>
      <c r="D565" t="s">
        <v>1090</v>
      </c>
      <c r="E565" s="30" t="s">
        <v>73</v>
      </c>
      <c r="F565" s="30" t="s">
        <v>28</v>
      </c>
      <c r="G565" s="30"/>
      <c r="H565" s="30" t="s">
        <v>884</v>
      </c>
      <c r="I565" s="31">
        <f t="shared" si="27"/>
        <v>28</v>
      </c>
      <c r="J565" s="146" t="s">
        <v>2092</v>
      </c>
      <c r="K565" s="31">
        <f t="shared" si="28"/>
        <v>0</v>
      </c>
      <c r="L565" s="32">
        <f t="shared" si="29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175</v>
      </c>
      <c r="B566" t="s">
        <v>1048</v>
      </c>
      <c r="C566" t="s">
        <v>1060</v>
      </c>
      <c r="D566" t="s">
        <v>1090</v>
      </c>
      <c r="E566" s="30" t="s">
        <v>73</v>
      </c>
      <c r="F566" s="30" t="s">
        <v>28</v>
      </c>
      <c r="G566" s="30"/>
      <c r="H566" s="30" t="s">
        <v>885</v>
      </c>
      <c r="I566" s="31">
        <f t="shared" si="27"/>
        <v>28</v>
      </c>
      <c r="J566" s="146" t="s">
        <v>2093</v>
      </c>
      <c r="K566" s="31">
        <f t="shared" si="28"/>
        <v>0</v>
      </c>
      <c r="L566" s="32">
        <f t="shared" si="29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175</v>
      </c>
      <c r="B567" t="s">
        <v>1049</v>
      </c>
      <c r="C567" t="s">
        <v>1060</v>
      </c>
      <c r="D567" t="s">
        <v>1104</v>
      </c>
      <c r="E567" s="30" t="s">
        <v>15</v>
      </c>
      <c r="F567" s="30" t="s">
        <v>28</v>
      </c>
      <c r="G567" s="30"/>
      <c r="H567" s="30" t="s">
        <v>886</v>
      </c>
      <c r="I567" s="31">
        <f t="shared" si="27"/>
        <v>28</v>
      </c>
      <c r="J567" s="146" t="s">
        <v>2094</v>
      </c>
      <c r="K567" s="31">
        <f t="shared" si="28"/>
        <v>0</v>
      </c>
      <c r="L567" s="32">
        <f t="shared" si="29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175</v>
      </c>
      <c r="B568" t="s">
        <v>585</v>
      </c>
      <c r="C568" t="s">
        <v>1060</v>
      </c>
      <c r="D568" t="s">
        <v>1091</v>
      </c>
      <c r="E568" s="30" t="s">
        <v>15</v>
      </c>
      <c r="F568" s="30" t="s">
        <v>28</v>
      </c>
      <c r="G568" s="30"/>
      <c r="H568" s="30" t="s">
        <v>1217</v>
      </c>
      <c r="I568" s="31">
        <f t="shared" si="27"/>
        <v>25</v>
      </c>
      <c r="J568" s="146" t="s">
        <v>2095</v>
      </c>
      <c r="K568" s="31">
        <f t="shared" si="28"/>
        <v>3</v>
      </c>
      <c r="L568" s="32">
        <f t="shared" si="29"/>
        <v>0.8928571428571429</v>
      </c>
      <c r="M568" s="70" t="s">
        <v>2278</v>
      </c>
      <c r="N568" s="70" t="s">
        <v>2278</v>
      </c>
      <c r="O568" s="70" t="s">
        <v>2278</v>
      </c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586</v>
      </c>
      <c r="B569" t="s">
        <v>587</v>
      </c>
      <c r="C569" t="s">
        <v>1060</v>
      </c>
      <c r="D569" t="s">
        <v>588</v>
      </c>
      <c r="E569" s="30" t="s">
        <v>73</v>
      </c>
      <c r="F569" s="30" t="s">
        <v>28</v>
      </c>
      <c r="G569" s="30"/>
      <c r="H569" s="30" t="s">
        <v>887</v>
      </c>
      <c r="I569" s="31">
        <f t="shared" si="27"/>
        <v>25</v>
      </c>
      <c r="J569" s="146" t="s">
        <v>2096</v>
      </c>
      <c r="K569" s="31">
        <f t="shared" si="28"/>
        <v>3</v>
      </c>
      <c r="L569" s="32">
        <f t="shared" si="29"/>
        <v>0.8928571428571429</v>
      </c>
      <c r="M569" s="70" t="s">
        <v>2278</v>
      </c>
      <c r="N569" s="70" t="s">
        <v>2278</v>
      </c>
      <c r="O569" s="70" t="s">
        <v>2278</v>
      </c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586</v>
      </c>
      <c r="B570" t="s">
        <v>1050</v>
      </c>
      <c r="C570" t="s">
        <v>1060</v>
      </c>
      <c r="D570" t="s">
        <v>588</v>
      </c>
      <c r="E570" s="30" t="s">
        <v>73</v>
      </c>
      <c r="F570" s="30" t="s">
        <v>28</v>
      </c>
      <c r="G570" s="30"/>
      <c r="H570" s="30" t="s">
        <v>888</v>
      </c>
      <c r="I570" s="31">
        <f t="shared" si="27"/>
        <v>25</v>
      </c>
      <c r="J570" s="146" t="s">
        <v>2097</v>
      </c>
      <c r="K570" s="31">
        <f t="shared" si="28"/>
        <v>3</v>
      </c>
      <c r="L570" s="32">
        <f t="shared" si="29"/>
        <v>0.8928571428571429</v>
      </c>
      <c r="M570" s="70" t="s">
        <v>2278</v>
      </c>
      <c r="N570" s="70" t="s">
        <v>2278</v>
      </c>
      <c r="O570" s="70" t="s">
        <v>2278</v>
      </c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586</v>
      </c>
      <c r="B571" t="s">
        <v>1051</v>
      </c>
      <c r="C571" t="s">
        <v>1060</v>
      </c>
      <c r="D571" t="s">
        <v>589</v>
      </c>
      <c r="E571" s="30" t="s">
        <v>73</v>
      </c>
      <c r="F571" s="30" t="s">
        <v>28</v>
      </c>
      <c r="G571" s="30"/>
      <c r="H571" s="30" t="s">
        <v>889</v>
      </c>
      <c r="I571" s="31">
        <f t="shared" si="27"/>
        <v>25</v>
      </c>
      <c r="J571" s="146" t="s">
        <v>2098</v>
      </c>
      <c r="K571" s="31">
        <f t="shared" si="28"/>
        <v>3</v>
      </c>
      <c r="L571" s="32">
        <f t="shared" si="29"/>
        <v>0.8928571428571429</v>
      </c>
      <c r="M571" s="70" t="s">
        <v>2278</v>
      </c>
      <c r="N571" s="70" t="s">
        <v>2278</v>
      </c>
      <c r="O571" s="70" t="s">
        <v>2278</v>
      </c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586</v>
      </c>
      <c r="B572" t="s">
        <v>590</v>
      </c>
      <c r="C572" t="s">
        <v>1060</v>
      </c>
      <c r="D572" t="s">
        <v>589</v>
      </c>
      <c r="E572" s="30" t="s">
        <v>73</v>
      </c>
      <c r="F572" s="30" t="s">
        <v>28</v>
      </c>
      <c r="G572" s="30"/>
      <c r="H572" s="30" t="s">
        <v>890</v>
      </c>
      <c r="I572" s="31">
        <f t="shared" si="27"/>
        <v>25</v>
      </c>
      <c r="J572" s="146" t="s">
        <v>2099</v>
      </c>
      <c r="K572" s="31">
        <f t="shared" si="28"/>
        <v>3</v>
      </c>
      <c r="L572" s="32">
        <f t="shared" si="29"/>
        <v>0.8928571428571429</v>
      </c>
      <c r="M572" s="70" t="s">
        <v>2278</v>
      </c>
      <c r="N572" s="70" t="s">
        <v>2278</v>
      </c>
      <c r="O572" s="70" t="s">
        <v>2278</v>
      </c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thickBot="1" x14ac:dyDescent="0.3">
      <c r="A573" s="73" t="s">
        <v>591</v>
      </c>
      <c r="B573" s="73" t="s">
        <v>592</v>
      </c>
      <c r="C573" s="73" t="s">
        <v>1060</v>
      </c>
      <c r="D573" s="73" t="s">
        <v>593</v>
      </c>
      <c r="E573" s="85" t="s">
        <v>15</v>
      </c>
      <c r="F573" s="85" t="s">
        <v>1298</v>
      </c>
      <c r="G573" s="85"/>
      <c r="H573" s="85" t="s">
        <v>891</v>
      </c>
      <c r="I573" s="141">
        <f t="shared" si="27"/>
        <v>28</v>
      </c>
      <c r="J573" s="87" t="s">
        <v>2193</v>
      </c>
      <c r="K573" s="141">
        <f t="shared" si="28"/>
        <v>0</v>
      </c>
      <c r="L573" s="142">
        <f t="shared" si="29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591</v>
      </c>
      <c r="B574" s="73" t="s">
        <v>2254</v>
      </c>
      <c r="C574" s="73" t="s">
        <v>1060</v>
      </c>
      <c r="D574" s="73" t="s">
        <v>2255</v>
      </c>
      <c r="E574" s="85" t="s">
        <v>15</v>
      </c>
      <c r="F574" s="85" t="s">
        <v>1298</v>
      </c>
      <c r="G574" s="85"/>
      <c r="H574" s="85" t="s">
        <v>2256</v>
      </c>
      <c r="I574" s="141">
        <f t="shared" si="27"/>
        <v>28</v>
      </c>
      <c r="J574" s="87" t="s">
        <v>2257</v>
      </c>
      <c r="K574" s="141">
        <f t="shared" si="28"/>
        <v>0</v>
      </c>
      <c r="L574" s="142">
        <f t="shared" si="29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thickBot="1" x14ac:dyDescent="0.3">
      <c r="A575" s="73" t="s">
        <v>591</v>
      </c>
      <c r="B575" s="73" t="s">
        <v>2267</v>
      </c>
      <c r="C575" s="73" t="s">
        <v>1060</v>
      </c>
      <c r="D575" s="73" t="s">
        <v>2268</v>
      </c>
      <c r="E575" s="85" t="s">
        <v>15</v>
      </c>
      <c r="F575" s="85"/>
      <c r="G575" s="85"/>
      <c r="H575" s="85" t="s">
        <v>2269</v>
      </c>
      <c r="I575" s="141">
        <f t="shared" si="27"/>
        <v>28</v>
      </c>
      <c r="J575" s="87"/>
      <c r="K575" s="141">
        <f t="shared" si="28"/>
        <v>0</v>
      </c>
      <c r="L575" s="142">
        <f t="shared" si="29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customHeight="1" thickBot="1" x14ac:dyDescent="0.3">
      <c r="A576" t="s">
        <v>594</v>
      </c>
      <c r="B576" t="s">
        <v>1052</v>
      </c>
      <c r="C576" t="s">
        <v>1060</v>
      </c>
      <c r="D576" t="s">
        <v>595</v>
      </c>
      <c r="E576" s="30" t="s">
        <v>15</v>
      </c>
      <c r="F576" s="30" t="s">
        <v>20</v>
      </c>
      <c r="G576" s="30"/>
      <c r="H576" s="30" t="s">
        <v>892</v>
      </c>
      <c r="I576" s="31">
        <f t="shared" si="27"/>
        <v>28</v>
      </c>
      <c r="J576" s="87" t="s">
        <v>2194</v>
      </c>
      <c r="K576" s="31">
        <f t="shared" si="28"/>
        <v>0</v>
      </c>
      <c r="L576" s="32">
        <f t="shared" si="29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thickBot="1" x14ac:dyDescent="0.3">
      <c r="A577" t="s">
        <v>594</v>
      </c>
      <c r="B577" t="s">
        <v>596</v>
      </c>
      <c r="C577" t="s">
        <v>1060</v>
      </c>
      <c r="D577" t="s">
        <v>597</v>
      </c>
      <c r="E577" s="30" t="s">
        <v>15</v>
      </c>
      <c r="F577" s="30" t="s">
        <v>20</v>
      </c>
      <c r="G577" s="30"/>
      <c r="H577" s="30" t="s">
        <v>893</v>
      </c>
      <c r="I577" s="31">
        <f t="shared" si="27"/>
        <v>28</v>
      </c>
      <c r="J577" s="87" t="s">
        <v>2195</v>
      </c>
      <c r="K577" s="31">
        <f t="shared" si="28"/>
        <v>0</v>
      </c>
      <c r="L577" s="32">
        <f t="shared" si="29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thickBot="1" x14ac:dyDescent="0.3">
      <c r="A578" t="s">
        <v>594</v>
      </c>
      <c r="B578" t="s">
        <v>598</v>
      </c>
      <c r="C578" t="s">
        <v>1060</v>
      </c>
      <c r="D578" t="s">
        <v>599</v>
      </c>
      <c r="E578" s="30" t="s">
        <v>15</v>
      </c>
      <c r="F578" s="30" t="s">
        <v>20</v>
      </c>
      <c r="G578" s="30"/>
      <c r="H578" s="30" t="s">
        <v>894</v>
      </c>
      <c r="I578" s="31">
        <f t="shared" si="27"/>
        <v>28</v>
      </c>
      <c r="J578" s="87" t="s">
        <v>2196</v>
      </c>
      <c r="K578" s="31">
        <f t="shared" si="28"/>
        <v>0</v>
      </c>
      <c r="L578" s="32">
        <f t="shared" si="29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thickBot="1" x14ac:dyDescent="0.3">
      <c r="A579" t="s">
        <v>594</v>
      </c>
      <c r="B579" s="30" t="s">
        <v>1112</v>
      </c>
      <c r="C579" s="30" t="s">
        <v>1060</v>
      </c>
      <c r="D579" t="s">
        <v>1114</v>
      </c>
      <c r="E579" s="30" t="s">
        <v>1111</v>
      </c>
      <c r="F579" s="30" t="s">
        <v>28</v>
      </c>
      <c r="G579" s="30"/>
      <c r="H579" s="30" t="s">
        <v>1119</v>
      </c>
      <c r="I579" s="31">
        <f t="shared" si="27"/>
        <v>28</v>
      </c>
      <c r="J579" s="146" t="s">
        <v>2101</v>
      </c>
      <c r="K579" s="31">
        <f t="shared" si="28"/>
        <v>0</v>
      </c>
      <c r="L579" s="32">
        <f t="shared" si="29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thickBot="1" x14ac:dyDescent="0.3">
      <c r="A580" t="s">
        <v>594</v>
      </c>
      <c r="B580" s="30" t="s">
        <v>1113</v>
      </c>
      <c r="C580" s="30" t="s">
        <v>1060</v>
      </c>
      <c r="D580" t="s">
        <v>1114</v>
      </c>
      <c r="E580" s="30" t="s">
        <v>1111</v>
      </c>
      <c r="F580" s="30" t="s">
        <v>28</v>
      </c>
      <c r="G580" s="30"/>
      <c r="H580" s="30" t="s">
        <v>1120</v>
      </c>
      <c r="I580" s="31">
        <f t="shared" si="27"/>
        <v>28</v>
      </c>
      <c r="J580" s="146" t="s">
        <v>2100</v>
      </c>
      <c r="K580" s="31">
        <f t="shared" si="28"/>
        <v>0</v>
      </c>
      <c r="L580" s="32">
        <f t="shared" si="29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thickBot="1" x14ac:dyDescent="0.3">
      <c r="A581" t="s">
        <v>594</v>
      </c>
      <c r="B581" s="30" t="s">
        <v>1198</v>
      </c>
      <c r="C581" s="30" t="s">
        <v>1060</v>
      </c>
      <c r="D581" t="s">
        <v>1199</v>
      </c>
      <c r="E581" s="30" t="s">
        <v>15</v>
      </c>
      <c r="F581" s="30" t="s">
        <v>28</v>
      </c>
      <c r="G581" s="30"/>
      <c r="H581" s="30" t="s">
        <v>1200</v>
      </c>
      <c r="I581" s="31">
        <f t="shared" si="27"/>
        <v>28</v>
      </c>
      <c r="J581" s="146" t="s">
        <v>2102</v>
      </c>
      <c r="K581" s="31">
        <f t="shared" si="28"/>
        <v>0</v>
      </c>
      <c r="L581" s="32">
        <f t="shared" si="29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thickBot="1" x14ac:dyDescent="0.3">
      <c r="A582" t="s">
        <v>389</v>
      </c>
      <c r="B582" s="30" t="s">
        <v>2171</v>
      </c>
      <c r="C582" s="73" t="s">
        <v>1059</v>
      </c>
      <c r="D582" t="s">
        <v>2172</v>
      </c>
      <c r="E582" s="85" t="s">
        <v>46</v>
      </c>
      <c r="F582" s="30" t="s">
        <v>28</v>
      </c>
      <c r="G582" s="30"/>
      <c r="H582" s="30" t="s">
        <v>2173</v>
      </c>
      <c r="I582" s="31">
        <f t="shared" si="27"/>
        <v>28</v>
      </c>
      <c r="J582" s="146" t="s">
        <v>2174</v>
      </c>
      <c r="K582" s="31">
        <f t="shared" si="28"/>
        <v>0</v>
      </c>
      <c r="L582" s="32">
        <f t="shared" si="29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thickBot="1" x14ac:dyDescent="0.3">
      <c r="A583" s="73" t="s">
        <v>602</v>
      </c>
      <c r="B583" s="73" t="s">
        <v>603</v>
      </c>
      <c r="C583" s="73" t="s">
        <v>1060</v>
      </c>
      <c r="D583" s="73" t="s">
        <v>604</v>
      </c>
      <c r="E583" s="85" t="s">
        <v>19</v>
      </c>
      <c r="F583" s="85" t="s">
        <v>1298</v>
      </c>
      <c r="G583" s="85"/>
      <c r="H583" s="85" t="s">
        <v>1366</v>
      </c>
      <c r="I583" s="141">
        <f t="shared" si="27"/>
        <v>28</v>
      </c>
      <c r="J583" s="146" t="s">
        <v>2103</v>
      </c>
      <c r="K583" s="141">
        <f t="shared" si="28"/>
        <v>0</v>
      </c>
      <c r="L583" s="142">
        <f t="shared" si="29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thickBot="1" x14ac:dyDescent="0.3">
      <c r="A584" s="73" t="s">
        <v>310</v>
      </c>
      <c r="B584" s="73" t="s">
        <v>605</v>
      </c>
      <c r="C584" s="73" t="s">
        <v>1060</v>
      </c>
      <c r="D584" s="73" t="s">
        <v>606</v>
      </c>
      <c r="E584" s="85" t="s">
        <v>19</v>
      </c>
      <c r="F584" s="85" t="s">
        <v>1298</v>
      </c>
      <c r="G584" s="85"/>
      <c r="H584" s="85" t="s">
        <v>1363</v>
      </c>
      <c r="I584" s="141">
        <f t="shared" si="27"/>
        <v>28</v>
      </c>
      <c r="J584" s="146" t="s">
        <v>2104</v>
      </c>
      <c r="K584" s="141">
        <f t="shared" si="28"/>
        <v>0</v>
      </c>
      <c r="L584" s="142">
        <f t="shared" si="29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thickBot="1" x14ac:dyDescent="0.3">
      <c r="A585" s="73" t="s">
        <v>602</v>
      </c>
      <c r="B585" s="73" t="s">
        <v>607</v>
      </c>
      <c r="C585" s="73" t="s">
        <v>1059</v>
      </c>
      <c r="D585" s="73" t="s">
        <v>608</v>
      </c>
      <c r="E585" s="85" t="s">
        <v>15</v>
      </c>
      <c r="F585" s="85" t="s">
        <v>1298</v>
      </c>
      <c r="G585" s="85"/>
      <c r="H585" s="85" t="s">
        <v>1502</v>
      </c>
      <c r="I585" s="141">
        <f t="shared" si="27"/>
        <v>28</v>
      </c>
      <c r="J585" s="146" t="s">
        <v>2105</v>
      </c>
      <c r="K585" s="141">
        <f t="shared" si="28"/>
        <v>0</v>
      </c>
      <c r="L585" s="142">
        <f t="shared" si="29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602</v>
      </c>
      <c r="B586" s="73" t="s">
        <v>600</v>
      </c>
      <c r="C586" s="73" t="s">
        <v>1059</v>
      </c>
      <c r="D586" s="73" t="s">
        <v>601</v>
      </c>
      <c r="E586" s="85" t="s">
        <v>19</v>
      </c>
      <c r="F586" s="85" t="s">
        <v>1298</v>
      </c>
      <c r="G586" s="85"/>
      <c r="H586" s="85" t="s">
        <v>1424</v>
      </c>
      <c r="I586" s="141">
        <f t="shared" si="27"/>
        <v>26</v>
      </c>
      <c r="J586" s="146" t="s">
        <v>2106</v>
      </c>
      <c r="K586" s="141">
        <f t="shared" si="28"/>
        <v>2</v>
      </c>
      <c r="L586" s="142">
        <f t="shared" si="29"/>
        <v>0.9285714285714286</v>
      </c>
      <c r="M586" s="70"/>
      <c r="N586" s="70" t="s">
        <v>2278</v>
      </c>
      <c r="O586" s="70" t="s">
        <v>2278</v>
      </c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thickBot="1" x14ac:dyDescent="0.3">
      <c r="A587" s="73" t="s">
        <v>602</v>
      </c>
      <c r="B587" s="73" t="s">
        <v>1442</v>
      </c>
      <c r="C587" s="73" t="s">
        <v>1059</v>
      </c>
      <c r="D587" s="73" t="s">
        <v>1443</v>
      </c>
      <c r="E587" s="85" t="s">
        <v>46</v>
      </c>
      <c r="F587" s="85" t="s">
        <v>1298</v>
      </c>
      <c r="G587" s="85"/>
      <c r="H587" s="85" t="s">
        <v>1448</v>
      </c>
      <c r="I587" s="141">
        <f t="shared" si="27"/>
        <v>28</v>
      </c>
      <c r="J587" s="146" t="s">
        <v>2107</v>
      </c>
      <c r="K587" s="141">
        <f t="shared" si="28"/>
        <v>0</v>
      </c>
      <c r="L587" s="142">
        <f t="shared" si="29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thickBot="1" x14ac:dyDescent="0.3">
      <c r="A588" s="73" t="s">
        <v>602</v>
      </c>
      <c r="B588" s="73" t="s">
        <v>1445</v>
      </c>
      <c r="C588" s="73" t="s">
        <v>1059</v>
      </c>
      <c r="D588" s="73" t="s">
        <v>1444</v>
      </c>
      <c r="E588" s="85" t="s">
        <v>73</v>
      </c>
      <c r="F588" s="85" t="s">
        <v>1298</v>
      </c>
      <c r="G588" s="85"/>
      <c r="H588" s="85" t="s">
        <v>1449</v>
      </c>
      <c r="I588" s="141">
        <f t="shared" si="27"/>
        <v>28</v>
      </c>
      <c r="J588" s="146" t="s">
        <v>2108</v>
      </c>
      <c r="K588" s="141">
        <f t="shared" si="28"/>
        <v>0</v>
      </c>
      <c r="L588" s="142">
        <f t="shared" si="29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thickBot="1" x14ac:dyDescent="0.3">
      <c r="A589" s="73" t="s">
        <v>602</v>
      </c>
      <c r="B589" s="73" t="s">
        <v>1446</v>
      </c>
      <c r="C589" s="73" t="s">
        <v>1059</v>
      </c>
      <c r="D589" s="73" t="s">
        <v>1447</v>
      </c>
      <c r="E589" s="85" t="s">
        <v>73</v>
      </c>
      <c r="F589" s="85" t="s">
        <v>1298</v>
      </c>
      <c r="G589" s="85"/>
      <c r="H589" s="85" t="s">
        <v>1450</v>
      </c>
      <c r="I589" s="141">
        <f t="shared" si="27"/>
        <v>28</v>
      </c>
      <c r="J589" s="146" t="s">
        <v>2109</v>
      </c>
      <c r="K589" s="141">
        <f t="shared" si="28"/>
        <v>0</v>
      </c>
      <c r="L589" s="142">
        <f t="shared" si="29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thickBot="1" x14ac:dyDescent="0.3">
      <c r="A590" s="73" t="s">
        <v>602</v>
      </c>
      <c r="B590" s="73" t="s">
        <v>2110</v>
      </c>
      <c r="C590" s="73" t="s">
        <v>1059</v>
      </c>
      <c r="D590" s="73" t="s">
        <v>2111</v>
      </c>
      <c r="E590" s="85" t="s">
        <v>15</v>
      </c>
      <c r="F590" s="85" t="s">
        <v>1298</v>
      </c>
      <c r="G590" s="85"/>
      <c r="H590" s="85" t="s">
        <v>2112</v>
      </c>
      <c r="I590" s="141">
        <f t="shared" si="27"/>
        <v>28</v>
      </c>
      <c r="J590" s="150" t="s">
        <v>2113</v>
      </c>
      <c r="K590" s="141">
        <f t="shared" si="28"/>
        <v>0</v>
      </c>
      <c r="L590" s="142">
        <f t="shared" si="29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customHeight="1" thickBot="1" x14ac:dyDescent="0.3">
      <c r="A591" s="73" t="s">
        <v>602</v>
      </c>
      <c r="B591" s="73" t="s">
        <v>2285</v>
      </c>
      <c r="C591" s="73" t="s">
        <v>1059</v>
      </c>
      <c r="D591" s="73" t="s">
        <v>2286</v>
      </c>
      <c r="E591" s="85" t="s">
        <v>15</v>
      </c>
      <c r="F591" s="85" t="s">
        <v>1298</v>
      </c>
      <c r="G591" s="85"/>
      <c r="H591" s="85" t="s">
        <v>2287</v>
      </c>
      <c r="I591" s="141">
        <f t="shared" si="27"/>
        <v>28</v>
      </c>
      <c r="J591" s="150" t="s">
        <v>2288</v>
      </c>
      <c r="K591" s="141">
        <f t="shared" si="28"/>
        <v>0</v>
      </c>
      <c r="L591" s="142">
        <f t="shared" si="29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671" spans="13:43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3:43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3" x14ac:dyDescent="0.25">
      <c r="E837" s="30"/>
      <c r="F837" s="30"/>
      <c r="G837" s="30"/>
      <c r="H837" s="30"/>
      <c r="L837" s="13"/>
      <c r="O837" s="70"/>
    </row>
    <row r="838" spans="5:43" x14ac:dyDescent="0.25">
      <c r="E838" s="30"/>
      <c r="F838" s="30"/>
      <c r="G838" s="30"/>
      <c r="H838" s="30"/>
      <c r="L838" s="13"/>
      <c r="O838" s="70"/>
    </row>
    <row r="839" spans="5:43" x14ac:dyDescent="0.25">
      <c r="E839" s="30"/>
      <c r="F839" s="30"/>
      <c r="G839" s="30"/>
      <c r="H839" s="30"/>
      <c r="L839" s="13"/>
      <c r="O839" s="70"/>
    </row>
    <row r="840" spans="5:43" x14ac:dyDescent="0.25">
      <c r="L840" s="13"/>
      <c r="O840" s="70"/>
    </row>
    <row r="841" spans="5:43" x14ac:dyDescent="0.25">
      <c r="O841" s="70"/>
    </row>
    <row r="842" spans="5:43" x14ac:dyDescent="0.25">
      <c r="O842" s="70"/>
    </row>
    <row r="843" spans="5:43" x14ac:dyDescent="0.25">
      <c r="O843" s="70"/>
    </row>
    <row r="844" spans="5:43" x14ac:dyDescent="0.25">
      <c r="O844" s="70"/>
    </row>
    <row r="845" spans="5:43" x14ac:dyDescent="0.25">
      <c r="O845" s="70"/>
    </row>
    <row r="846" spans="5:43" x14ac:dyDescent="0.25">
      <c r="O846" s="70"/>
    </row>
    <row r="847" spans="5:43" x14ac:dyDescent="0.25">
      <c r="O847" s="70"/>
    </row>
    <row r="848" spans="5:43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Q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H396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AO8:AQ229 M36:AD36 AF36:AN36 M37:AN93 M94:AG94 AI94:AN94 M95:AN119 M120:U120 W120:AN120 M121:AN229 Z230:Z232 M233:AN322 AO233:AQ397 M323:U323 W323:AN323 M324:AN346 M347:AB347 AD347:AN347 M348:AN397 N398:O398 M398:M402 N399:N402 O399:O403 M403:N403 P403:AN403 AO403:AQ418 M404:AN411 O412:AN418 M412:N420 M421:AQ591 AI673:AQ1048576">
    <cfRule type="cellIs" dxfId="61" priority="108" operator="equal">
      <formula>"APAGADO"</formula>
    </cfRule>
  </conditionalFormatting>
  <conditionalFormatting sqref="M673:AQ749 W673:AH1048576">
    <cfRule type="cellIs" dxfId="60" priority="109" operator="equal">
      <formula>"apagado"</formula>
    </cfRule>
  </conditionalFormatting>
  <conditionalFormatting sqref="M673:AQ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1300</v>
      </c>
      <c r="D1" s="29">
        <f>COUNTIFS(A5:A602,"=paradas seguras")/2</f>
        <v>0</v>
      </c>
      <c r="E1" s="77" t="s">
        <v>1301</v>
      </c>
      <c r="F1" s="77"/>
      <c r="G1" s="77"/>
      <c r="H1" s="78">
        <f>COUNTIFS(A5:A602,"=paradas seguras")</f>
        <v>0</v>
      </c>
      <c r="I1" s="79" t="s">
        <v>1302</v>
      </c>
      <c r="J1" s="79"/>
      <c r="K1" s="80">
        <f>COUNTIFS(D5:D602,"=GFIJA")</f>
        <v>0</v>
      </c>
      <c r="L1" s="81" t="s">
        <v>1303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46082</v>
      </c>
      <c r="G4" s="11">
        <f>'RESUMEN TOTAL'!N7</f>
        <v>46083</v>
      </c>
      <c r="H4" s="11">
        <f>'RESUMEN TOTAL'!O7</f>
        <v>46084</v>
      </c>
      <c r="I4" s="11">
        <f>'RESUMEN TOTAL'!P7</f>
        <v>46085</v>
      </c>
      <c r="J4" s="11">
        <f>'RESUMEN TOTAL'!Q7</f>
        <v>46086</v>
      </c>
      <c r="K4" s="11">
        <f>'RESUMEN TOTAL'!R7</f>
        <v>46087</v>
      </c>
      <c r="L4" s="11">
        <f>'RESUMEN TOTAL'!S7</f>
        <v>46088</v>
      </c>
      <c r="M4" s="11">
        <f>'RESUMEN TOTAL'!T7</f>
        <v>46089</v>
      </c>
      <c r="N4" s="11">
        <f>'RESUMEN TOTAL'!U7</f>
        <v>46090</v>
      </c>
      <c r="O4" s="11">
        <f>'RESUMEN TOTAL'!V7</f>
        <v>46091</v>
      </c>
      <c r="P4" s="11">
        <f>'RESUMEN TOTAL'!W7</f>
        <v>46092</v>
      </c>
      <c r="Q4" s="11">
        <f>'RESUMEN TOTAL'!X7</f>
        <v>46093</v>
      </c>
      <c r="R4" s="11">
        <f>'RESUMEN TOTAL'!Y7</f>
        <v>46094</v>
      </c>
      <c r="S4" s="11">
        <f>'RESUMEN TOTAL'!Z7</f>
        <v>46095</v>
      </c>
      <c r="T4" s="11">
        <f>'RESUMEN TOTAL'!AA7</f>
        <v>46096</v>
      </c>
      <c r="U4" s="11">
        <f>'RESUMEN TOTAL'!AB7</f>
        <v>46097</v>
      </c>
      <c r="V4" s="11">
        <f>'RESUMEN TOTAL'!AC7</f>
        <v>46098</v>
      </c>
      <c r="W4" s="11">
        <f>'RESUMEN TOTAL'!AD7</f>
        <v>46099</v>
      </c>
      <c r="X4" s="11">
        <f>'RESUMEN TOTAL'!AE7</f>
        <v>46100</v>
      </c>
      <c r="Y4" s="11">
        <f>'RESUMEN TOTAL'!AF7</f>
        <v>46101</v>
      </c>
      <c r="Z4" s="11">
        <f>'RESUMEN TOTAL'!AG7</f>
        <v>46102</v>
      </c>
      <c r="AA4" s="11">
        <f>'RESUMEN TOTAL'!AH7</f>
        <v>46103</v>
      </c>
      <c r="AB4" s="11">
        <f>'RESUMEN TOTAL'!AI7</f>
        <v>46104</v>
      </c>
      <c r="AC4" s="11">
        <f>'RESUMEN TOTAL'!AJ7</f>
        <v>46105</v>
      </c>
      <c r="AD4" s="11">
        <f>'RESUMEN TOTAL'!AK7</f>
        <v>46106</v>
      </c>
      <c r="AE4" s="11">
        <f>'RESUMEN TOTAL'!AL7</f>
        <v>46107</v>
      </c>
      <c r="AF4" s="11">
        <f>'RESUMEN TOTAL'!AM7</f>
        <v>46108</v>
      </c>
      <c r="AG4" s="11">
        <f>'RESUMEN TOTAL'!AN7</f>
        <v>46109</v>
      </c>
      <c r="AH4" s="11">
        <f>'RESUMEN TOTAL'!AO7</f>
        <v>46110</v>
      </c>
      <c r="AI4" s="11">
        <f>'RESUMEN TOTAL'!AP7</f>
        <v>46111</v>
      </c>
      <c r="AJ4" s="11">
        <f>'RESUMEN TOTAL'!AQ7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 t="str">
        <f>'RESUMEN TOTAL'!N52</f>
        <v>APAGADO</v>
      </c>
      <c r="H30" s="70" t="str">
        <f>'RESUMEN TOTAL'!O52</f>
        <v>APAGADO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TOTAL'!M61</f>
        <v>APAGADO</v>
      </c>
      <c r="G39" s="70" t="str">
        <f>'RESUMEN TOTAL'!N61</f>
        <v>APAGADO</v>
      </c>
      <c r="H39" s="70" t="str">
        <f>'RESUMEN TOTAL'!O61</f>
        <v>APAGADO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>
        <f>'RESUMEN TOTAL'!P90</f>
        <v>0</v>
      </c>
      <c r="J68" s="70">
        <f>'RESUMEN TOTAL'!Q90</f>
        <v>0</v>
      </c>
      <c r="K68" s="70">
        <f>'RESUMEN TOTAL'!R90</f>
        <v>0</v>
      </c>
      <c r="L68" s="70">
        <f>'RESUMEN TOTAL'!S90</f>
        <v>0</v>
      </c>
      <c r="M68" s="70">
        <f>'RESUMEN TOTAL'!T90</f>
        <v>0</v>
      </c>
      <c r="N68" s="70">
        <f>'RESUMEN TOTAL'!U90</f>
        <v>0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TOTAL'!M95</f>
        <v>APAGADO</v>
      </c>
      <c r="G73" s="70" t="str">
        <f>'RESUMEN TOTAL'!N95</f>
        <v>APAGADO</v>
      </c>
      <c r="H73" s="70" t="str">
        <f>'RESUMEN TOTAL'!O95</f>
        <v>APAGADO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 t="str">
        <f>'RESUMEN TOTAL'!N127</f>
        <v>APAGADO</v>
      </c>
      <c r="H105" s="70" t="str">
        <f>'RESUMEN TOTAL'!O127</f>
        <v>APAGADO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TOTAL'!M128</f>
        <v>APAGADO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>
        <f>'RESUMEN TOTAL'!P131</f>
        <v>0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  <c r="AH111" s="70">
        <f>'RESUMEN TOTAL'!AO147</f>
        <v>0</v>
      </c>
      <c r="AI111" s="70">
        <f>'RESUMEN TOTAL'!AP147</f>
        <v>0</v>
      </c>
      <c r="AJ111" s="70">
        <f>'RESUMEN TOTAL'!AQ147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  <c r="AH112" s="70">
        <f>'RESUMEN TOTAL'!AO148</f>
        <v>0</v>
      </c>
      <c r="AI112" s="70">
        <f>'RESUMEN TOTAL'!AP148</f>
        <v>0</v>
      </c>
      <c r="AJ112" s="70">
        <f>'RESUMEN TOTAL'!AQ148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  <c r="AH113" s="70">
        <f>'RESUMEN TOTAL'!AO149</f>
        <v>0</v>
      </c>
      <c r="AI113" s="70">
        <f>'RESUMEN TOTAL'!AP149</f>
        <v>0</v>
      </c>
      <c r="AJ113" s="70">
        <f>'RESUMEN TOTAL'!AQ149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  <c r="AH114" s="70">
        <f>'RESUMEN TOTAL'!AO150</f>
        <v>0</v>
      </c>
      <c r="AI114" s="70">
        <f>'RESUMEN TOTAL'!AP150</f>
        <v>0</v>
      </c>
      <c r="AJ114" s="70">
        <f>'RESUMEN TOTAL'!AQ150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  <c r="AH115" s="70">
        <f>'RESUMEN TOTAL'!AO151</f>
        <v>0</v>
      </c>
      <c r="AI115" s="70">
        <f>'RESUMEN TOTAL'!AP151</f>
        <v>0</v>
      </c>
      <c r="AJ115" s="70">
        <f>'RESUMEN TOTAL'!AQ151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TOTAL'!M152</f>
        <v>APAGADO</v>
      </c>
      <c r="G116" s="70" t="str">
        <f>'RESUMEN TOTAL'!N152</f>
        <v>APAGADO</v>
      </c>
      <c r="H116" s="70" t="str">
        <f>'RESUMEN TOTAL'!O152</f>
        <v>APAGADO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>
        <f>'RESUMEN TOTAL'!U152</f>
        <v>0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  <c r="AH116" s="70">
        <f>'RESUMEN TOTAL'!AO152</f>
        <v>0</v>
      </c>
      <c r="AI116" s="70">
        <f>'RESUMEN TOTAL'!AP152</f>
        <v>0</v>
      </c>
      <c r="AJ116" s="70">
        <f>'RESUMEN TOTAL'!AQ152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  <c r="AH117" s="70">
        <f>'RESUMEN TOTAL'!AO153</f>
        <v>0</v>
      </c>
      <c r="AI117" s="70">
        <f>'RESUMEN TOTAL'!AP153</f>
        <v>0</v>
      </c>
      <c r="AJ117" s="70">
        <f>'RESUMEN TOTAL'!AQ153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  <c r="AH118" s="70">
        <f>'RESUMEN TOTAL'!AO154</f>
        <v>0</v>
      </c>
      <c r="AI118" s="70">
        <f>'RESUMEN TOTAL'!AP154</f>
        <v>0</v>
      </c>
      <c r="AJ118" s="70">
        <f>'RESUMEN TOTAL'!AQ154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  <c r="AH119" s="70">
        <f>'RESUMEN TOTAL'!AO155</f>
        <v>0</v>
      </c>
      <c r="AI119" s="70">
        <f>'RESUMEN TOTAL'!AP155</f>
        <v>0</v>
      </c>
      <c r="AJ119" s="70">
        <f>'RESUMEN TOTAL'!AQ155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  <c r="AH120" s="70">
        <f>'RESUMEN TOTAL'!AO156</f>
        <v>0</v>
      </c>
      <c r="AI120" s="70">
        <f>'RESUMEN TOTAL'!AP156</f>
        <v>0</v>
      </c>
      <c r="AJ120" s="70">
        <f>'RESUMEN TOTAL'!AQ156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  <c r="AH121" s="70">
        <f>'RESUMEN TOTAL'!AO157</f>
        <v>0</v>
      </c>
      <c r="AI121" s="70">
        <f>'RESUMEN TOTAL'!AP157</f>
        <v>0</v>
      </c>
      <c r="AJ121" s="70">
        <f>'RESUMEN TOTAL'!AQ157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  <c r="AH122" s="70">
        <f>'RESUMEN TOTAL'!AO158</f>
        <v>0</v>
      </c>
      <c r="AI122" s="70">
        <f>'RESUMEN TOTAL'!AP158</f>
        <v>0</v>
      </c>
      <c r="AJ122" s="70">
        <f>'RESUMEN TOTAL'!AQ158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  <c r="AH123" s="70">
        <f>'RESUMEN TOTAL'!AO159</f>
        <v>0</v>
      </c>
      <c r="AI123" s="70">
        <f>'RESUMEN TOTAL'!AP159</f>
        <v>0</v>
      </c>
      <c r="AJ123" s="70">
        <f>'RESUMEN TOTAL'!AQ159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  <c r="AH124" s="70">
        <f>'RESUMEN TOTAL'!AO160</f>
        <v>0</v>
      </c>
      <c r="AI124" s="70">
        <f>'RESUMEN TOTAL'!AP160</f>
        <v>0</v>
      </c>
      <c r="AJ124" s="70">
        <f>'RESUMEN TOTAL'!AQ160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  <c r="AH125" s="70">
        <f>'RESUMEN TOTAL'!AO161</f>
        <v>0</v>
      </c>
      <c r="AI125" s="70">
        <f>'RESUMEN TOTAL'!AP161</f>
        <v>0</v>
      </c>
      <c r="AJ125" s="70">
        <f>'RESUMEN TOTAL'!AQ161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  <c r="AH126" s="70">
        <f>'RESUMEN TOTAL'!AO167</f>
        <v>0</v>
      </c>
      <c r="AI126" s="70">
        <f>'RESUMEN TOTAL'!AP167</f>
        <v>0</v>
      </c>
      <c r="AJ126" s="70">
        <f>'RESUMEN TOTAL'!AQ167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  <c r="AH127" s="70">
        <f>'RESUMEN TOTAL'!AO168</f>
        <v>0</v>
      </c>
      <c r="AI127" s="70">
        <f>'RESUMEN TOTAL'!AP168</f>
        <v>0</v>
      </c>
      <c r="AJ127" s="70">
        <f>'RESUMEN TOTAL'!AQ168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  <c r="AH128" s="70">
        <f>'RESUMEN TOTAL'!AO169</f>
        <v>0</v>
      </c>
      <c r="AI128" s="70">
        <f>'RESUMEN TOTAL'!AP169</f>
        <v>0</v>
      </c>
      <c r="AJ128" s="70">
        <f>'RESUMEN TOTAL'!AQ169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  <c r="AH129" s="70">
        <f>'RESUMEN TOTAL'!AO170</f>
        <v>0</v>
      </c>
      <c r="AI129" s="70">
        <f>'RESUMEN TOTAL'!AP170</f>
        <v>0</v>
      </c>
      <c r="AJ129" s="70">
        <f>'RESUMEN TOTAL'!AQ170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  <c r="AH130" s="70">
        <f>'RESUMEN TOTAL'!AO173</f>
        <v>0</v>
      </c>
      <c r="AI130" s="70">
        <f>'RESUMEN TOTAL'!AP173</f>
        <v>0</v>
      </c>
      <c r="AJ130" s="70">
        <f>'RESUMEN TOTAL'!AQ173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  <c r="AH131" s="70">
        <f>'RESUMEN TOTAL'!AO174</f>
        <v>0</v>
      </c>
      <c r="AI131" s="70">
        <f>'RESUMEN TOTAL'!AP174</f>
        <v>0</v>
      </c>
      <c r="AJ131" s="70">
        <f>'RESUMEN TOTAL'!AQ174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  <c r="AH132" s="70">
        <f>'RESUMEN TOTAL'!AO175</f>
        <v>0</v>
      </c>
      <c r="AI132" s="70">
        <f>'RESUMEN TOTAL'!AP175</f>
        <v>0</v>
      </c>
      <c r="AJ132" s="70">
        <f>'RESUMEN TOTAL'!AQ175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  <c r="AH133" s="70">
        <f>'RESUMEN TOTAL'!AO176</f>
        <v>0</v>
      </c>
      <c r="AI133" s="70">
        <f>'RESUMEN TOTAL'!AP176</f>
        <v>0</v>
      </c>
      <c r="AJ133" s="70">
        <f>'RESUMEN TOTAL'!AQ176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  <c r="AH134" s="70">
        <f>'RESUMEN TOTAL'!AO177</f>
        <v>0</v>
      </c>
      <c r="AI134" s="70">
        <f>'RESUMEN TOTAL'!AP177</f>
        <v>0</v>
      </c>
      <c r="AJ134" s="70">
        <f>'RESUMEN TOTAL'!AQ177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TOTAL'!M178</f>
        <v>0</v>
      </c>
      <c r="G135" s="70" t="str">
        <f>'RESUMEN TOTAL'!N178</f>
        <v>APAGADO</v>
      </c>
      <c r="H135" s="70" t="str">
        <f>'RESUMEN TOTAL'!O178</f>
        <v>APAGADO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  <c r="AH135" s="70">
        <f>'RESUMEN TOTAL'!AO178</f>
        <v>0</v>
      </c>
      <c r="AI135" s="70">
        <f>'RESUMEN TOTAL'!AP178</f>
        <v>0</v>
      </c>
      <c r="AJ135" s="70">
        <f>'RESUMEN TOTAL'!AQ178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  <c r="AH136" s="70">
        <f>'RESUMEN TOTAL'!AO179</f>
        <v>0</v>
      </c>
      <c r="AI136" s="70">
        <f>'RESUMEN TOTAL'!AP179</f>
        <v>0</v>
      </c>
      <c r="AJ136" s="70">
        <f>'RESUMEN TOTAL'!AQ179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  <c r="AH137" s="70">
        <f>'RESUMEN TOTAL'!AO180</f>
        <v>0</v>
      </c>
      <c r="AI137" s="70">
        <f>'RESUMEN TOTAL'!AP180</f>
        <v>0</v>
      </c>
      <c r="AJ137" s="70">
        <f>'RESUMEN TOTAL'!AQ180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  <c r="AH138" s="70">
        <f>'RESUMEN TOTAL'!AO181</f>
        <v>0</v>
      </c>
      <c r="AI138" s="70">
        <f>'RESUMEN TOTAL'!AP181</f>
        <v>0</v>
      </c>
      <c r="AJ138" s="70">
        <f>'RESUMEN TOTAL'!AQ181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  <c r="AH139" s="70">
        <f>'RESUMEN TOTAL'!AO182</f>
        <v>0</v>
      </c>
      <c r="AI139" s="70">
        <f>'RESUMEN TOTAL'!AP182</f>
        <v>0</v>
      </c>
      <c r="AJ139" s="70">
        <f>'RESUMEN TOTAL'!AQ182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  <c r="AH140" s="70">
        <f>'RESUMEN TOTAL'!AO183</f>
        <v>0</v>
      </c>
      <c r="AI140" s="70">
        <f>'RESUMEN TOTAL'!AP183</f>
        <v>0</v>
      </c>
      <c r="AJ140" s="70">
        <f>'RESUMEN TOTAL'!AQ183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  <c r="AH141" s="70">
        <f>'RESUMEN TOTAL'!AO184</f>
        <v>0</v>
      </c>
      <c r="AI141" s="70">
        <f>'RESUMEN TOTAL'!AP184</f>
        <v>0</v>
      </c>
      <c r="AJ141" s="70">
        <f>'RESUMEN TOTAL'!AQ184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  <c r="AH142" s="70">
        <f>'RESUMEN TOTAL'!AO185</f>
        <v>0</v>
      </c>
      <c r="AI142" s="70">
        <f>'RESUMEN TOTAL'!AP185</f>
        <v>0</v>
      </c>
      <c r="AJ142" s="70">
        <f>'RESUMEN TOTAL'!AQ185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  <c r="AH143" s="70">
        <f>'RESUMEN TOTAL'!AO186</f>
        <v>0</v>
      </c>
      <c r="AI143" s="70">
        <f>'RESUMEN TOTAL'!AP186</f>
        <v>0</v>
      </c>
      <c r="AJ143" s="70">
        <f>'RESUMEN TOTAL'!AQ186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TOTAL'!M187</f>
        <v>APAGADO</v>
      </c>
      <c r="G144" s="70" t="str">
        <f>'RESUMEN TOTAL'!N187</f>
        <v>APAGADO</v>
      </c>
      <c r="H144" s="70" t="str">
        <f>'RESUMEN TOTAL'!O187</f>
        <v>APAGADO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>
        <f>'RESUMEN TOTAL'!U187</f>
        <v>0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  <c r="AH144" s="70">
        <f>'RESUMEN TOTAL'!AO187</f>
        <v>0</v>
      </c>
      <c r="AI144" s="70">
        <f>'RESUMEN TOTAL'!AP187</f>
        <v>0</v>
      </c>
      <c r="AJ144" s="70">
        <f>'RESUMEN TOTAL'!AQ187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TOTAL'!M188</f>
        <v>APAGADO</v>
      </c>
      <c r="G145" s="70" t="str">
        <f>'RESUMEN TOTAL'!N188</f>
        <v>APAGADO</v>
      </c>
      <c r="H145" s="70" t="str">
        <f>'RESUMEN TOTAL'!O188</f>
        <v>APAGADO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>
        <f>'RESUMEN TOTAL'!U188</f>
        <v>0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  <c r="AH145" s="70">
        <f>'RESUMEN TOTAL'!AO188</f>
        <v>0</v>
      </c>
      <c r="AI145" s="70">
        <f>'RESUMEN TOTAL'!AP188</f>
        <v>0</v>
      </c>
      <c r="AJ145" s="70">
        <f>'RESUMEN TOTAL'!AQ188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  <c r="AH146" s="70">
        <f>'RESUMEN TOTAL'!AO195</f>
        <v>0</v>
      </c>
      <c r="AI146" s="70">
        <f>'RESUMEN TOTAL'!AP195</f>
        <v>0</v>
      </c>
      <c r="AJ146" s="70">
        <f>'RESUMEN TOTAL'!AQ195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  <c r="AH147" s="70">
        <f>'RESUMEN TOTAL'!AO196</f>
        <v>0</v>
      </c>
      <c r="AI147" s="70">
        <f>'RESUMEN TOTAL'!AP196</f>
        <v>0</v>
      </c>
      <c r="AJ147" s="70">
        <f>'RESUMEN TOTAL'!AQ196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>
        <f>'RESUMEN TOTAL'!P197</f>
        <v>0</v>
      </c>
      <c r="J148" s="70">
        <f>'RESUMEN TOTAL'!Q197</f>
        <v>0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>
        <f>'RESUMEN TOTAL'!U197</f>
        <v>0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  <c r="AH148" s="70">
        <f>'RESUMEN TOTAL'!AO197</f>
        <v>0</v>
      </c>
      <c r="AI148" s="70">
        <f>'RESUMEN TOTAL'!AP197</f>
        <v>0</v>
      </c>
      <c r="AJ148" s="70">
        <f>'RESUMEN TOTAL'!AQ197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>
        <f>'RESUMEN TOTAL'!P198</f>
        <v>0</v>
      </c>
      <c r="J149" s="70">
        <f>'RESUMEN TOTAL'!Q198</f>
        <v>0</v>
      </c>
      <c r="K149" s="70">
        <f>'RESUMEN TOTAL'!R198</f>
        <v>0</v>
      </c>
      <c r="L149" s="70">
        <f>'RESUMEN TOTAL'!S198</f>
        <v>0</v>
      </c>
      <c r="M149" s="70">
        <f>'RESUMEN TOTAL'!T198</f>
        <v>0</v>
      </c>
      <c r="N149" s="70">
        <f>'RESUMEN TOTAL'!U198</f>
        <v>0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  <c r="AH149" s="70">
        <f>'RESUMEN TOTAL'!AO198</f>
        <v>0</v>
      </c>
      <c r="AI149" s="70">
        <f>'RESUMEN TOTAL'!AP198</f>
        <v>0</v>
      </c>
      <c r="AJ149" s="70">
        <f>'RESUMEN TOTAL'!AQ198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TOTAL'!M199</f>
        <v>APAGADO</v>
      </c>
      <c r="G150" s="70" t="str">
        <f>'RESUMEN TOTAL'!N199</f>
        <v>APAGADO</v>
      </c>
      <c r="H150" s="70" t="str">
        <f>'RESUMEN TOTAL'!O199</f>
        <v>APAGADO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  <c r="AH150" s="70">
        <f>'RESUMEN TOTAL'!AO199</f>
        <v>0</v>
      </c>
      <c r="AI150" s="70">
        <f>'RESUMEN TOTAL'!AP199</f>
        <v>0</v>
      </c>
      <c r="AJ150" s="70">
        <f>'RESUMEN TOTAL'!AQ199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  <c r="AH151" s="70">
        <f>'RESUMEN TOTAL'!AO200</f>
        <v>0</v>
      </c>
      <c r="AI151" s="70">
        <f>'RESUMEN TOTAL'!AP200</f>
        <v>0</v>
      </c>
      <c r="AJ151" s="70">
        <f>'RESUMEN TOTAL'!AQ200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>
        <f>'RESUMEN TOTAL'!P201</f>
        <v>0</v>
      </c>
      <c r="J152" s="70">
        <f>'RESUMEN TOTAL'!Q201</f>
        <v>0</v>
      </c>
      <c r="K152" s="70">
        <f>'RESUMEN TOTAL'!R201</f>
        <v>0</v>
      </c>
      <c r="L152" s="70">
        <f>'RESUMEN TOTAL'!S201</f>
        <v>0</v>
      </c>
      <c r="M152" s="70">
        <f>'RESUMEN TOTAL'!T201</f>
        <v>0</v>
      </c>
      <c r="N152" s="70">
        <f>'RESUMEN TOTAL'!U201</f>
        <v>0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  <c r="AH152" s="70">
        <f>'RESUMEN TOTAL'!AO201</f>
        <v>0</v>
      </c>
      <c r="AI152" s="70">
        <f>'RESUMEN TOTAL'!AP201</f>
        <v>0</v>
      </c>
      <c r="AJ152" s="70">
        <f>'RESUMEN TOTAL'!AQ201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>
        <f>'RESUMEN TOTAL'!O202</f>
        <v>0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  <c r="AH153" s="70">
        <f>'RESUMEN TOTAL'!AO202</f>
        <v>0</v>
      </c>
      <c r="AI153" s="70">
        <f>'RESUMEN TOTAL'!AP202</f>
        <v>0</v>
      </c>
      <c r="AJ153" s="70">
        <f>'RESUMEN TOTAL'!AQ202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TOTAL'!M203</f>
        <v>0</v>
      </c>
      <c r="G154" s="70">
        <f>'RESUMEN TOTAL'!N203</f>
        <v>0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  <c r="AH154" s="70">
        <f>'RESUMEN TOTAL'!AO203</f>
        <v>0</v>
      </c>
      <c r="AI154" s="70">
        <f>'RESUMEN TOTAL'!AP203</f>
        <v>0</v>
      </c>
      <c r="AJ154" s="70">
        <f>'RESUMEN TOTAL'!AQ203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>
        <f>'RESUMEN TOTAL'!O204</f>
        <v>0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  <c r="AH155" s="70">
        <f>'RESUMEN TOTAL'!AO204</f>
        <v>0</v>
      </c>
      <c r="AI155" s="70">
        <f>'RESUMEN TOTAL'!AP204</f>
        <v>0</v>
      </c>
      <c r="AJ155" s="70">
        <f>'RESUMEN TOTAL'!AQ204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TOTAL'!M205</f>
        <v>0</v>
      </c>
      <c r="G156" s="70">
        <f>'RESUMEN TOTAL'!N205</f>
        <v>0</v>
      </c>
      <c r="H156" s="70">
        <f>'RESUMEN TOTAL'!O205</f>
        <v>0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  <c r="AH156" s="70">
        <f>'RESUMEN TOTAL'!AO205</f>
        <v>0</v>
      </c>
      <c r="AI156" s="70">
        <f>'RESUMEN TOTAL'!AP205</f>
        <v>0</v>
      </c>
      <c r="AJ156" s="70">
        <f>'RESUMEN TOTAL'!AQ205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TOTAL'!M206</f>
        <v>0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  <c r="AH157" s="70">
        <f>'RESUMEN TOTAL'!AO206</f>
        <v>0</v>
      </c>
      <c r="AI157" s="70">
        <f>'RESUMEN TOTAL'!AP206</f>
        <v>0</v>
      </c>
      <c r="AJ157" s="70">
        <f>'RESUMEN TOTAL'!AQ206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  <c r="AH158" s="70">
        <f>'RESUMEN TOTAL'!AO207</f>
        <v>0</v>
      </c>
      <c r="AI158" s="70">
        <f>'RESUMEN TOTAL'!AP207</f>
        <v>0</v>
      </c>
      <c r="AJ158" s="70">
        <f>'RESUMEN TOTAL'!AQ207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  <c r="AH159" s="70">
        <f>'RESUMEN TOTAL'!AO208</f>
        <v>0</v>
      </c>
      <c r="AI159" s="70">
        <f>'RESUMEN TOTAL'!AP208</f>
        <v>0</v>
      </c>
      <c r="AJ159" s="70">
        <f>'RESUMEN TOTAL'!AQ208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  <c r="AH160" s="70">
        <f>'RESUMEN TOTAL'!AO209</f>
        <v>0</v>
      </c>
      <c r="AI160" s="70">
        <f>'RESUMEN TOTAL'!AP209</f>
        <v>0</v>
      </c>
      <c r="AJ160" s="70">
        <f>'RESUMEN TOTAL'!AQ209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  <c r="AH161" s="70">
        <f>'RESUMEN TOTAL'!AO210</f>
        <v>0</v>
      </c>
      <c r="AI161" s="70">
        <f>'RESUMEN TOTAL'!AP210</f>
        <v>0</v>
      </c>
      <c r="AJ161" s="70">
        <f>'RESUMEN TOTAL'!AQ210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  <c r="AH162" s="70">
        <f>'RESUMEN TOTAL'!AO211</f>
        <v>0</v>
      </c>
      <c r="AI162" s="70">
        <f>'RESUMEN TOTAL'!AP211</f>
        <v>0</v>
      </c>
      <c r="AJ162" s="70">
        <f>'RESUMEN TOTAL'!AQ211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  <c r="AH163" s="70">
        <f>'RESUMEN TOTAL'!AO212</f>
        <v>0</v>
      </c>
      <c r="AI163" s="70">
        <f>'RESUMEN TOTAL'!AP212</f>
        <v>0</v>
      </c>
      <c r="AJ163" s="70">
        <f>'RESUMEN TOTAL'!AQ212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  <c r="AH164" s="70">
        <f>'RESUMEN TOTAL'!AO213</f>
        <v>0</v>
      </c>
      <c r="AI164" s="70">
        <f>'RESUMEN TOTAL'!AP213</f>
        <v>0</v>
      </c>
      <c r="AJ164" s="70">
        <f>'RESUMEN TOTAL'!AQ213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  <c r="AH165" s="70">
        <f>'RESUMEN TOTAL'!AO214</f>
        <v>0</v>
      </c>
      <c r="AI165" s="70">
        <f>'RESUMEN TOTAL'!AP214</f>
        <v>0</v>
      </c>
      <c r="AJ165" s="70">
        <f>'RESUMEN TOTAL'!AQ214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  <c r="AH166" s="70">
        <f>'RESUMEN TOTAL'!AO215</f>
        <v>0</v>
      </c>
      <c r="AI166" s="70">
        <f>'RESUMEN TOTAL'!AP215</f>
        <v>0</v>
      </c>
      <c r="AJ166" s="70">
        <f>'RESUMEN TOTAL'!AQ215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  <c r="AH167" s="70">
        <f>'RESUMEN TOTAL'!AO218</f>
        <v>0</v>
      </c>
      <c r="AI167" s="70">
        <f>'RESUMEN TOTAL'!AP218</f>
        <v>0</v>
      </c>
      <c r="AJ167" s="70">
        <f>'RESUMEN TOTAL'!AQ218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  <c r="AH168" s="70">
        <f>'RESUMEN TOTAL'!AO219</f>
        <v>0</v>
      </c>
      <c r="AI168" s="70">
        <f>'RESUMEN TOTAL'!AP219</f>
        <v>0</v>
      </c>
      <c r="AJ168" s="70">
        <f>'RESUMEN TOTAL'!AQ219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  <c r="AH169" s="70">
        <f>'RESUMEN TOTAL'!AO220</f>
        <v>0</v>
      </c>
      <c r="AI169" s="70">
        <f>'RESUMEN TOTAL'!AP220</f>
        <v>0</v>
      </c>
      <c r="AJ169" s="70">
        <f>'RESUMEN TOTAL'!AQ220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  <c r="AH170" s="70">
        <f>'RESUMEN TOTAL'!AO223</f>
        <v>0</v>
      </c>
      <c r="AI170" s="70">
        <f>'RESUMEN TOTAL'!AP223</f>
        <v>0</v>
      </c>
      <c r="AJ170" s="70">
        <f>'RESUMEN TOTAL'!AQ223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  <c r="AH171" s="70">
        <f>'RESUMEN TOTAL'!AO224</f>
        <v>0</v>
      </c>
      <c r="AI171" s="70">
        <f>'RESUMEN TOTAL'!AP224</f>
        <v>0</v>
      </c>
      <c r="AJ171" s="70">
        <f>'RESUMEN TOTAL'!AQ224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  <c r="AH172" s="70">
        <f>'RESUMEN TOTAL'!AO225</f>
        <v>0</v>
      </c>
      <c r="AI172" s="70">
        <f>'RESUMEN TOTAL'!AP225</f>
        <v>0</v>
      </c>
      <c r="AJ172" s="70">
        <f>'RESUMEN TOTAL'!AQ225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  <c r="AH173" s="70">
        <f>'RESUMEN TOTAL'!AO226</f>
        <v>0</v>
      </c>
      <c r="AI173" s="70">
        <f>'RESUMEN TOTAL'!AP226</f>
        <v>0</v>
      </c>
      <c r="AJ173" s="70">
        <f>'RESUMEN TOTAL'!AQ226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  <c r="AH174" s="70">
        <f>'RESUMEN TOTAL'!AO227</f>
        <v>0</v>
      </c>
      <c r="AI174" s="70">
        <f>'RESUMEN TOTAL'!AP227</f>
        <v>0</v>
      </c>
      <c r="AJ174" s="70">
        <f>'RESUMEN TOTAL'!AQ227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  <c r="AH175" s="70">
        <f>'RESUMEN TOTAL'!AO228</f>
        <v>0</v>
      </c>
      <c r="AI175" s="70">
        <f>'RESUMEN TOTAL'!AP228</f>
        <v>0</v>
      </c>
      <c r="AJ175" s="70">
        <f>'RESUMEN TOTAL'!AQ228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  <c r="AH176" s="70">
        <f>'RESUMEN TOTAL'!AO233</f>
        <v>0</v>
      </c>
      <c r="AI176" s="70">
        <f>'RESUMEN TOTAL'!AP233</f>
        <v>0</v>
      </c>
      <c r="AJ176" s="70">
        <f>'RESUMEN TOTAL'!AQ233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  <c r="AH177" s="70">
        <f>'RESUMEN TOTAL'!AO234</f>
        <v>0</v>
      </c>
      <c r="AI177" s="70">
        <f>'RESUMEN TOTAL'!AP234</f>
        <v>0</v>
      </c>
      <c r="AJ177" s="70">
        <f>'RESUMEN TOTAL'!AQ234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  <c r="AH178" s="70">
        <f>'RESUMEN TOTAL'!AO235</f>
        <v>0</v>
      </c>
      <c r="AI178" s="70">
        <f>'RESUMEN TOTAL'!AP235</f>
        <v>0</v>
      </c>
      <c r="AJ178" s="70">
        <f>'RESUMEN TOTAL'!AQ235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 t="str">
        <f>'RESUMEN TOTAL'!O237</f>
        <v>APAGADO</v>
      </c>
      <c r="I179" s="70">
        <f>'RESUMEN TOTAL'!P237</f>
        <v>0</v>
      </c>
      <c r="J179" s="70">
        <f>'RESUMEN TOTAL'!Q237</f>
        <v>0</v>
      </c>
      <c r="K179" s="70">
        <f>'RESUMEN TOTAL'!R237</f>
        <v>0</v>
      </c>
      <c r="L179" s="70">
        <f>'RESUMEN TOTAL'!S237</f>
        <v>0</v>
      </c>
      <c r="M179" s="70">
        <f>'RESUMEN TOTAL'!T237</f>
        <v>0</v>
      </c>
      <c r="N179" s="70">
        <f>'RESUMEN TOTAL'!U237</f>
        <v>0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  <c r="AH179" s="70">
        <f>'RESUMEN TOTAL'!AO237</f>
        <v>0</v>
      </c>
      <c r="AI179" s="70">
        <f>'RESUMEN TOTAL'!AP237</f>
        <v>0</v>
      </c>
      <c r="AJ179" s="70">
        <f>'RESUMEN TOTAL'!AQ237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  <c r="AH180" s="70">
        <f>'RESUMEN TOTAL'!AO238</f>
        <v>0</v>
      </c>
      <c r="AI180" s="70">
        <f>'RESUMEN TOTAL'!AP238</f>
        <v>0</v>
      </c>
      <c r="AJ180" s="70">
        <f>'RESUMEN TOTAL'!AQ238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TOTAL'!M239</f>
        <v>0</v>
      </c>
      <c r="G181" s="70">
        <f>'RESUMEN TOTAL'!N239</f>
        <v>0</v>
      </c>
      <c r="H181" s="70">
        <f>'RESUMEN TOTAL'!O239</f>
        <v>0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  <c r="AH181" s="70">
        <f>'RESUMEN TOTAL'!AO239</f>
        <v>0</v>
      </c>
      <c r="AI181" s="70">
        <f>'RESUMEN TOTAL'!AP239</f>
        <v>0</v>
      </c>
      <c r="AJ181" s="70">
        <f>'RESUMEN TOTAL'!AQ239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  <c r="AH182" s="70">
        <f>'RESUMEN TOTAL'!AO240</f>
        <v>0</v>
      </c>
      <c r="AI182" s="70">
        <f>'RESUMEN TOTAL'!AP240</f>
        <v>0</v>
      </c>
      <c r="AJ182" s="70">
        <f>'RESUMEN TOTAL'!AQ240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  <c r="AH183" s="70">
        <f>'RESUMEN TOTAL'!AO241</f>
        <v>0</v>
      </c>
      <c r="AI183" s="70">
        <f>'RESUMEN TOTAL'!AP241</f>
        <v>0</v>
      </c>
      <c r="AJ183" s="70">
        <f>'RESUMEN TOTAL'!AQ241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  <c r="AH184" s="70">
        <f>'RESUMEN TOTAL'!AO242</f>
        <v>0</v>
      </c>
      <c r="AI184" s="70">
        <f>'RESUMEN TOTAL'!AP242</f>
        <v>0</v>
      </c>
      <c r="AJ184" s="70">
        <f>'RESUMEN TOTAL'!AQ242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  <c r="AH185" s="70">
        <f>'RESUMEN TOTAL'!AO243</f>
        <v>0</v>
      </c>
      <c r="AI185" s="70">
        <f>'RESUMEN TOTAL'!AP243</f>
        <v>0</v>
      </c>
      <c r="AJ185" s="70">
        <f>'RESUMEN TOTAL'!AQ243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  <c r="AH186" s="70">
        <f>'RESUMEN TOTAL'!AO244</f>
        <v>0</v>
      </c>
      <c r="AI186" s="70">
        <f>'RESUMEN TOTAL'!AP244</f>
        <v>0</v>
      </c>
      <c r="AJ186" s="70">
        <f>'RESUMEN TOTAL'!AQ244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  <c r="AH187" s="70">
        <f>'RESUMEN TOTAL'!AO245</f>
        <v>0</v>
      </c>
      <c r="AI187" s="70">
        <f>'RESUMEN TOTAL'!AP245</f>
        <v>0</v>
      </c>
      <c r="AJ187" s="70">
        <f>'RESUMEN TOTAL'!AQ245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>
        <f>'RESUMEN TOTAL'!N246</f>
        <v>0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  <c r="AH188" s="70">
        <f>'RESUMEN TOTAL'!AO246</f>
        <v>0</v>
      </c>
      <c r="AI188" s="70">
        <f>'RESUMEN TOTAL'!AP246</f>
        <v>0</v>
      </c>
      <c r="AJ188" s="70">
        <f>'RESUMEN TOTAL'!AQ246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  <c r="AH189" s="70">
        <f>'RESUMEN TOTAL'!AO247</f>
        <v>0</v>
      </c>
      <c r="AI189" s="70">
        <f>'RESUMEN TOTAL'!AP247</f>
        <v>0</v>
      </c>
      <c r="AJ189" s="70">
        <f>'RESUMEN TOTAL'!AQ247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  <c r="AH190" s="70">
        <f>'RESUMEN TOTAL'!AO248</f>
        <v>0</v>
      </c>
      <c r="AI190" s="70">
        <f>'RESUMEN TOTAL'!AP248</f>
        <v>0</v>
      </c>
      <c r="AJ190" s="70">
        <f>'RESUMEN TOTAL'!AQ248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  <c r="AH191" s="70">
        <f>'RESUMEN TOTAL'!AO249</f>
        <v>0</v>
      </c>
      <c r="AI191" s="70">
        <f>'RESUMEN TOTAL'!AP249</f>
        <v>0</v>
      </c>
      <c r="AJ191" s="70">
        <f>'RESUMEN TOTAL'!AQ249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TOTAL'!M250</f>
        <v>APAGADO</v>
      </c>
      <c r="G192" s="70" t="str">
        <f>'RESUMEN TOTAL'!N250</f>
        <v>APAGADO</v>
      </c>
      <c r="H192" s="70" t="str">
        <f>'RESUMEN TOTAL'!O250</f>
        <v>APAGADO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  <c r="AH192" s="70">
        <f>'RESUMEN TOTAL'!AO250</f>
        <v>0</v>
      </c>
      <c r="AI192" s="70">
        <f>'RESUMEN TOTAL'!AP250</f>
        <v>0</v>
      </c>
      <c r="AJ192" s="70">
        <f>'RESUMEN TOTAL'!AQ250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>
        <f>'RESUMEN TOTAL'!P251</f>
        <v>0</v>
      </c>
      <c r="J193" s="70">
        <f>'RESUMEN TOTAL'!Q251</f>
        <v>0</v>
      </c>
      <c r="K193" s="70">
        <f>'RESUMEN TOTAL'!R251</f>
        <v>0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  <c r="AH193" s="70">
        <f>'RESUMEN TOTAL'!AO251</f>
        <v>0</v>
      </c>
      <c r="AI193" s="70">
        <f>'RESUMEN TOTAL'!AP251</f>
        <v>0</v>
      </c>
      <c r="AJ193" s="70">
        <f>'RESUMEN TOTAL'!AQ251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  <c r="AH194" s="70">
        <f>'RESUMEN TOTAL'!AO252</f>
        <v>0</v>
      </c>
      <c r="AI194" s="70">
        <f>'RESUMEN TOTAL'!AP252</f>
        <v>0</v>
      </c>
      <c r="AJ194" s="70">
        <f>'RESUMEN TOTAL'!AQ252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  <c r="AH195" s="70">
        <f>'RESUMEN TOTAL'!AO253</f>
        <v>0</v>
      </c>
      <c r="AI195" s="70">
        <f>'RESUMEN TOTAL'!AP253</f>
        <v>0</v>
      </c>
      <c r="AJ195" s="70">
        <f>'RESUMEN TOTAL'!AQ253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>
        <f>'RESUMEN TOTAL'!P254</f>
        <v>0</v>
      </c>
      <c r="J196" s="70">
        <f>'RESUMEN TOTAL'!Q254</f>
        <v>0</v>
      </c>
      <c r="K196" s="70">
        <f>'RESUMEN TOTAL'!R254</f>
        <v>0</v>
      </c>
      <c r="L196" s="70">
        <f>'RESUMEN TOTAL'!S254</f>
        <v>0</v>
      </c>
      <c r="M196" s="70">
        <f>'RESUMEN TOTAL'!T254</f>
        <v>0</v>
      </c>
      <c r="N196" s="70">
        <f>'RESUMEN TOTAL'!U254</f>
        <v>0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  <c r="AH196" s="70">
        <f>'RESUMEN TOTAL'!AO254</f>
        <v>0</v>
      </c>
      <c r="AI196" s="70">
        <f>'RESUMEN TOTAL'!AP254</f>
        <v>0</v>
      </c>
      <c r="AJ196" s="70">
        <f>'RESUMEN TOTAL'!AQ254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  <c r="AH197" s="70">
        <f>'RESUMEN TOTAL'!AO258</f>
        <v>0</v>
      </c>
      <c r="AI197" s="70">
        <f>'RESUMEN TOTAL'!AP258</f>
        <v>0</v>
      </c>
      <c r="AJ197" s="70">
        <f>'RESUMEN TOTAL'!AQ258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  <c r="AH198" s="70">
        <f>'RESUMEN TOTAL'!AO259</f>
        <v>0</v>
      </c>
      <c r="AI198" s="70">
        <f>'RESUMEN TOTAL'!AP259</f>
        <v>0</v>
      </c>
      <c r="AJ198" s="70">
        <f>'RESUMEN TOTAL'!AQ259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  <c r="AH199" s="70">
        <f>'RESUMEN TOTAL'!AO260</f>
        <v>0</v>
      </c>
      <c r="AI199" s="70">
        <f>'RESUMEN TOTAL'!AP260</f>
        <v>0</v>
      </c>
      <c r="AJ199" s="70">
        <f>'RESUMEN TOTAL'!AQ260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  <c r="AH200" s="70">
        <f>'RESUMEN TOTAL'!AO261</f>
        <v>0</v>
      </c>
      <c r="AI200" s="70">
        <f>'RESUMEN TOTAL'!AP261</f>
        <v>0</v>
      </c>
      <c r="AJ200" s="70">
        <f>'RESUMEN TOTAL'!AQ261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  <c r="AH201" s="70">
        <f>'RESUMEN TOTAL'!AO262</f>
        <v>0</v>
      </c>
      <c r="AI201" s="70">
        <f>'RESUMEN TOTAL'!AP262</f>
        <v>0</v>
      </c>
      <c r="AJ201" s="70">
        <f>'RESUMEN TOTAL'!AQ262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  <c r="AH202" s="70">
        <f>'RESUMEN TOTAL'!AO263</f>
        <v>0</v>
      </c>
      <c r="AI202" s="70">
        <f>'RESUMEN TOTAL'!AP263</f>
        <v>0</v>
      </c>
      <c r="AJ202" s="70">
        <f>'RESUMEN TOTAL'!AQ263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  <c r="AH203" s="70">
        <f>'RESUMEN TOTAL'!AO264</f>
        <v>0</v>
      </c>
      <c r="AI203" s="70">
        <f>'RESUMEN TOTAL'!AP264</f>
        <v>0</v>
      </c>
      <c r="AJ203" s="70">
        <f>'RESUMEN TOTAL'!AQ264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  <c r="AH204" s="70">
        <f>'RESUMEN TOTAL'!AO265</f>
        <v>0</v>
      </c>
      <c r="AI204" s="70">
        <f>'RESUMEN TOTAL'!AP265</f>
        <v>0</v>
      </c>
      <c r="AJ204" s="70">
        <f>'RESUMEN TOTAL'!AQ265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>
        <f>'RESUMEN TOTAL'!N266</f>
        <v>0</v>
      </c>
      <c r="H205" s="70">
        <f>'RESUMEN TOTAL'!O266</f>
        <v>0</v>
      </c>
      <c r="I205" s="70">
        <f>'RESUMEN TOTAL'!P266</f>
        <v>0</v>
      </c>
      <c r="J205" s="70">
        <f>'RESUMEN TOTAL'!Q266</f>
        <v>0</v>
      </c>
      <c r="K205" s="70">
        <f>'RESUMEN TOTAL'!R266</f>
        <v>0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  <c r="AH205" s="70">
        <f>'RESUMEN TOTAL'!AO266</f>
        <v>0</v>
      </c>
      <c r="AI205" s="70">
        <f>'RESUMEN TOTAL'!AP266</f>
        <v>0</v>
      </c>
      <c r="AJ205" s="70">
        <f>'RESUMEN TOTAL'!AQ266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  <c r="AH206" s="70">
        <f>'RESUMEN TOTAL'!AO267</f>
        <v>0</v>
      </c>
      <c r="AI206" s="70">
        <f>'RESUMEN TOTAL'!AP267</f>
        <v>0</v>
      </c>
      <c r="AJ206" s="70">
        <f>'RESUMEN TOTAL'!AQ267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  <c r="AH207" s="70">
        <f>'RESUMEN TOTAL'!AO268</f>
        <v>0</v>
      </c>
      <c r="AI207" s="70">
        <f>'RESUMEN TOTAL'!AP268</f>
        <v>0</v>
      </c>
      <c r="AJ207" s="70">
        <f>'RESUMEN TOTAL'!AQ268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  <c r="AH208" s="70">
        <f>'RESUMEN TOTAL'!AO269</f>
        <v>0</v>
      </c>
      <c r="AI208" s="70">
        <f>'RESUMEN TOTAL'!AP269</f>
        <v>0</v>
      </c>
      <c r="AJ208" s="70">
        <f>'RESUMEN TOTAL'!AQ269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  <c r="AH209" s="70">
        <f>'RESUMEN TOTAL'!AO270</f>
        <v>0</v>
      </c>
      <c r="AI209" s="70">
        <f>'RESUMEN TOTAL'!AP270</f>
        <v>0</v>
      </c>
      <c r="AJ209" s="70">
        <f>'RESUMEN TOTAL'!AQ270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  <c r="AH210" s="70">
        <f>'RESUMEN TOTAL'!AO271</f>
        <v>0</v>
      </c>
      <c r="AI210" s="70">
        <f>'RESUMEN TOTAL'!AP271</f>
        <v>0</v>
      </c>
      <c r="AJ210" s="70">
        <f>'RESUMEN TOTAL'!AQ271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>
        <f>'RESUMEN TOTAL'!P272</f>
        <v>0</v>
      </c>
      <c r="J211" s="70">
        <f>'RESUMEN TOTAL'!Q272</f>
        <v>0</v>
      </c>
      <c r="K211" s="70">
        <f>'RESUMEN TOTAL'!R272</f>
        <v>0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  <c r="AH211" s="70">
        <f>'RESUMEN TOTAL'!AO272</f>
        <v>0</v>
      </c>
      <c r="AI211" s="70">
        <f>'RESUMEN TOTAL'!AP272</f>
        <v>0</v>
      </c>
      <c r="AJ211" s="70">
        <f>'RESUMEN TOTAL'!AQ272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  <c r="AH212" s="70">
        <f>'RESUMEN TOTAL'!AO273</f>
        <v>0</v>
      </c>
      <c r="AI212" s="70">
        <f>'RESUMEN TOTAL'!AP273</f>
        <v>0</v>
      </c>
      <c r="AJ212" s="70">
        <f>'RESUMEN TOTAL'!AQ273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  <c r="AH213" s="70">
        <f>'RESUMEN TOTAL'!AO274</f>
        <v>0</v>
      </c>
      <c r="AI213" s="70">
        <f>'RESUMEN TOTAL'!AP274</f>
        <v>0</v>
      </c>
      <c r="AJ213" s="70">
        <f>'RESUMEN TOTAL'!AQ274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  <c r="AH214" s="70">
        <f>'RESUMEN TOTAL'!AO275</f>
        <v>0</v>
      </c>
      <c r="AI214" s="70">
        <f>'RESUMEN TOTAL'!AP275</f>
        <v>0</v>
      </c>
      <c r="AJ214" s="70">
        <f>'RESUMEN TOTAL'!AQ275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  <c r="AH215" s="70">
        <f>'RESUMEN TOTAL'!AO276</f>
        <v>0</v>
      </c>
      <c r="AI215" s="70">
        <f>'RESUMEN TOTAL'!AP276</f>
        <v>0</v>
      </c>
      <c r="AJ215" s="70">
        <f>'RESUMEN TOTAL'!AQ276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  <c r="AH216" s="70">
        <f>'RESUMEN TOTAL'!AO277</f>
        <v>0</v>
      </c>
      <c r="AI216" s="70">
        <f>'RESUMEN TOTAL'!AP277</f>
        <v>0</v>
      </c>
      <c r="AJ216" s="70">
        <f>'RESUMEN TOTAL'!AQ277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  <c r="AH217" s="70">
        <f>'RESUMEN TOTAL'!AO278</f>
        <v>0</v>
      </c>
      <c r="AI217" s="70">
        <f>'RESUMEN TOTAL'!AP278</f>
        <v>0</v>
      </c>
      <c r="AJ217" s="70">
        <f>'RESUMEN TOTAL'!AQ278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  <c r="AH218" s="70">
        <f>'RESUMEN TOTAL'!AO283</f>
        <v>0</v>
      </c>
      <c r="AI218" s="70">
        <f>'RESUMEN TOTAL'!AP283</f>
        <v>0</v>
      </c>
      <c r="AJ218" s="70">
        <f>'RESUMEN TOTAL'!AQ283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  <c r="AH219" s="70">
        <f>'RESUMEN TOTAL'!AO284</f>
        <v>0</v>
      </c>
      <c r="AI219" s="70">
        <f>'RESUMEN TOTAL'!AP284</f>
        <v>0</v>
      </c>
      <c r="AJ219" s="70">
        <f>'RESUMEN TOTAL'!AQ284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 t="str">
        <f>'RESUMEN TOTAL'!N285</f>
        <v>APAGADO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  <c r="AH220" s="70">
        <f>'RESUMEN TOTAL'!AO285</f>
        <v>0</v>
      </c>
      <c r="AI220" s="70">
        <f>'RESUMEN TOTAL'!AP285</f>
        <v>0</v>
      </c>
      <c r="AJ220" s="70">
        <f>'RESUMEN TOTAL'!AQ285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 t="str">
        <f>'RESUMEN TOTAL'!O286</f>
        <v>APAGADO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  <c r="AH221" s="70">
        <f>'RESUMEN TOTAL'!AO286</f>
        <v>0</v>
      </c>
      <c r="AI221" s="70">
        <f>'RESUMEN TOTAL'!AP286</f>
        <v>0</v>
      </c>
      <c r="AJ221" s="70">
        <f>'RESUMEN TOTAL'!AQ286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TOTAL'!M287</f>
        <v>APAGADO</v>
      </c>
      <c r="G222" s="70" t="str">
        <f>'RESUMEN TOTAL'!N287</f>
        <v>APAGADO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  <c r="AH222" s="70">
        <f>'RESUMEN TOTAL'!AO287</f>
        <v>0</v>
      </c>
      <c r="AI222" s="70">
        <f>'RESUMEN TOTAL'!AP287</f>
        <v>0</v>
      </c>
      <c r="AJ222" s="70">
        <f>'RESUMEN TOTAL'!AQ287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  <c r="AH223" s="70">
        <f>'RESUMEN TOTAL'!AO288</f>
        <v>0</v>
      </c>
      <c r="AI223" s="70">
        <f>'RESUMEN TOTAL'!AP288</f>
        <v>0</v>
      </c>
      <c r="AJ223" s="70">
        <f>'RESUMEN TOTAL'!AQ288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TOTAL'!M289</f>
        <v>0</v>
      </c>
      <c r="G224" s="70">
        <f>'RESUMEN TOTAL'!N289</f>
        <v>0</v>
      </c>
      <c r="H224" s="70">
        <f>'RESUMEN TOTAL'!O289</f>
        <v>0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  <c r="AH224" s="70">
        <f>'RESUMEN TOTAL'!AO289</f>
        <v>0</v>
      </c>
      <c r="AI224" s="70">
        <f>'RESUMEN TOTAL'!AP289</f>
        <v>0</v>
      </c>
      <c r="AJ224" s="70">
        <f>'RESUMEN TOTAL'!AQ289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  <c r="AH225" s="70">
        <f>'RESUMEN TOTAL'!AO290</f>
        <v>0</v>
      </c>
      <c r="AI225" s="70">
        <f>'RESUMEN TOTAL'!AP290</f>
        <v>0</v>
      </c>
      <c r="AJ225" s="70">
        <f>'RESUMEN TOTAL'!AQ290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TOTAL'!M291</f>
        <v>0</v>
      </c>
      <c r="G226" s="70">
        <f>'RESUMEN TOTAL'!N291</f>
        <v>0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  <c r="AH226" s="70">
        <f>'RESUMEN TOTAL'!AO291</f>
        <v>0</v>
      </c>
      <c r="AI226" s="70">
        <f>'RESUMEN TOTAL'!AP291</f>
        <v>0</v>
      </c>
      <c r="AJ226" s="70">
        <f>'RESUMEN TOTAL'!AQ291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  <c r="AH227" s="70">
        <f>'RESUMEN TOTAL'!AO295</f>
        <v>0</v>
      </c>
      <c r="AI227" s="70">
        <f>'RESUMEN TOTAL'!AP295</f>
        <v>0</v>
      </c>
      <c r="AJ227" s="70">
        <f>'RESUMEN TOTAL'!AQ295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  <c r="AH228" s="70">
        <f>'RESUMEN TOTAL'!AO296</f>
        <v>0</v>
      </c>
      <c r="AI228" s="70">
        <f>'RESUMEN TOTAL'!AP296</f>
        <v>0</v>
      </c>
      <c r="AJ228" s="70">
        <f>'RESUMEN TOTAL'!AQ296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  <c r="AH229" s="70">
        <f>'RESUMEN TOTAL'!AO297</f>
        <v>0</v>
      </c>
      <c r="AI229" s="70">
        <f>'RESUMEN TOTAL'!AP297</f>
        <v>0</v>
      </c>
      <c r="AJ229" s="70">
        <f>'RESUMEN TOTAL'!AQ297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  <c r="AH230" s="70">
        <f>'RESUMEN TOTAL'!AO298</f>
        <v>0</v>
      </c>
      <c r="AI230" s="70">
        <f>'RESUMEN TOTAL'!AP298</f>
        <v>0</v>
      </c>
      <c r="AJ230" s="70">
        <f>'RESUMEN TOTAL'!AQ298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  <c r="AH231" s="70">
        <f>'RESUMEN TOTAL'!AO299</f>
        <v>0</v>
      </c>
      <c r="AI231" s="70">
        <f>'RESUMEN TOTAL'!AP299</f>
        <v>0</v>
      </c>
      <c r="AJ231" s="70">
        <f>'RESUMEN TOTAL'!AQ299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  <c r="AH232" s="70">
        <f>'RESUMEN TOTAL'!AO300</f>
        <v>0</v>
      </c>
      <c r="AI232" s="70">
        <f>'RESUMEN TOTAL'!AP300</f>
        <v>0</v>
      </c>
      <c r="AJ232" s="70">
        <f>'RESUMEN TOTAL'!AQ300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  <c r="AH233" s="70">
        <f>'RESUMEN TOTAL'!AO301</f>
        <v>0</v>
      </c>
      <c r="AI233" s="70">
        <f>'RESUMEN TOTAL'!AP301</f>
        <v>0</v>
      </c>
      <c r="AJ233" s="70">
        <f>'RESUMEN TOTAL'!AQ301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  <c r="AH234" s="70">
        <f>'RESUMEN TOTAL'!AO302</f>
        <v>0</v>
      </c>
      <c r="AI234" s="70">
        <f>'RESUMEN TOTAL'!AP302</f>
        <v>0</v>
      </c>
      <c r="AJ234" s="70">
        <f>'RESUMEN TOTAL'!AQ302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  <c r="AH235" s="70">
        <f>'RESUMEN TOTAL'!AO303</f>
        <v>0</v>
      </c>
      <c r="AI235" s="70">
        <f>'RESUMEN TOTAL'!AP303</f>
        <v>0</v>
      </c>
      <c r="AJ235" s="70">
        <f>'RESUMEN TOTAL'!AQ303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>
        <f>'RESUMEN TOTAL'!P304</f>
        <v>0</v>
      </c>
      <c r="J236" s="70">
        <f>'RESUMEN TOTAL'!Q304</f>
        <v>0</v>
      </c>
      <c r="K236" s="70">
        <f>'RESUMEN TOTAL'!R304</f>
        <v>0</v>
      </c>
      <c r="L236" s="70">
        <f>'RESUMEN TOTAL'!S304</f>
        <v>0</v>
      </c>
      <c r="M236" s="70">
        <f>'RESUMEN TOTAL'!T304</f>
        <v>0</v>
      </c>
      <c r="N236" s="70">
        <f>'RESUMEN TOTAL'!U304</f>
        <v>0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  <c r="AH236" s="70">
        <f>'RESUMEN TOTAL'!AO304</f>
        <v>0</v>
      </c>
      <c r="AI236" s="70">
        <f>'RESUMEN TOTAL'!AP304</f>
        <v>0</v>
      </c>
      <c r="AJ236" s="70">
        <f>'RESUMEN TOTAL'!AQ304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  <c r="AH237" s="70">
        <f>'RESUMEN TOTAL'!AO305</f>
        <v>0</v>
      </c>
      <c r="AI237" s="70">
        <f>'RESUMEN TOTAL'!AP305</f>
        <v>0</v>
      </c>
      <c r="AJ237" s="70">
        <f>'RESUMEN TOTAL'!AQ305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  <c r="AH238" s="70">
        <f>'RESUMEN TOTAL'!AO306</f>
        <v>0</v>
      </c>
      <c r="AI238" s="70">
        <f>'RESUMEN TOTAL'!AP306</f>
        <v>0</v>
      </c>
      <c r="AJ238" s="70">
        <f>'RESUMEN TOTAL'!AQ306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  <c r="AH239" s="70">
        <f>'RESUMEN TOTAL'!AO307</f>
        <v>0</v>
      </c>
      <c r="AI239" s="70">
        <f>'RESUMEN TOTAL'!AP307</f>
        <v>0</v>
      </c>
      <c r="AJ239" s="70">
        <f>'RESUMEN TOTAL'!AQ307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  <c r="AH240" s="70">
        <f>'RESUMEN TOTAL'!AO308</f>
        <v>0</v>
      </c>
      <c r="AI240" s="70">
        <f>'RESUMEN TOTAL'!AP308</f>
        <v>0</v>
      </c>
      <c r="AJ240" s="70">
        <f>'RESUMEN TOTAL'!AQ308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  <c r="AH241" s="70">
        <f>'RESUMEN TOTAL'!AO309</f>
        <v>0</v>
      </c>
      <c r="AI241" s="70">
        <f>'RESUMEN TOTAL'!AP309</f>
        <v>0</v>
      </c>
      <c r="AJ241" s="70">
        <f>'RESUMEN TOTAL'!AQ309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  <c r="AH242" s="70">
        <f>'RESUMEN TOTAL'!AO310</f>
        <v>0</v>
      </c>
      <c r="AI242" s="70">
        <f>'RESUMEN TOTAL'!AP310</f>
        <v>0</v>
      </c>
      <c r="AJ242" s="70">
        <f>'RESUMEN TOTAL'!AQ310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TOTAL'!M311</f>
        <v>APAGADO</v>
      </c>
      <c r="G243" s="70" t="str">
        <f>'RESUMEN TOTAL'!N311</f>
        <v>APAGADO</v>
      </c>
      <c r="H243" s="70" t="str">
        <f>'RESUMEN TOTAL'!O311</f>
        <v>APAGADO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  <c r="AH243" s="70">
        <f>'RESUMEN TOTAL'!AO311</f>
        <v>0</v>
      </c>
      <c r="AI243" s="70">
        <f>'RESUMEN TOTAL'!AP311</f>
        <v>0</v>
      </c>
      <c r="AJ243" s="70">
        <f>'RESUMEN TOTAL'!AQ311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  <c r="AH244" s="70">
        <f>'RESUMEN TOTAL'!AO312</f>
        <v>0</v>
      </c>
      <c r="AI244" s="70">
        <f>'RESUMEN TOTAL'!AP312</f>
        <v>0</v>
      </c>
      <c r="AJ244" s="70">
        <f>'RESUMEN TOTAL'!AQ312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  <c r="AH245" s="70">
        <f>'RESUMEN TOTAL'!AO313</f>
        <v>0</v>
      </c>
      <c r="AI245" s="70">
        <f>'RESUMEN TOTAL'!AP313</f>
        <v>0</v>
      </c>
      <c r="AJ245" s="70">
        <f>'RESUMEN TOTAL'!AQ313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  <c r="AH246" s="70">
        <f>'RESUMEN TOTAL'!AO314</f>
        <v>0</v>
      </c>
      <c r="AI246" s="70">
        <f>'RESUMEN TOTAL'!AP314</f>
        <v>0</v>
      </c>
      <c r="AJ246" s="70">
        <f>'RESUMEN TOTAL'!AQ314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  <c r="AH247" s="70">
        <f>'RESUMEN TOTAL'!AO315</f>
        <v>0</v>
      </c>
      <c r="AI247" s="70">
        <f>'RESUMEN TOTAL'!AP315</f>
        <v>0</v>
      </c>
      <c r="AJ247" s="70">
        <f>'RESUMEN TOTAL'!AQ315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>
        <f>'RESUMEN TOTAL'!P316</f>
        <v>0</v>
      </c>
      <c r="J248" s="70">
        <f>'RESUMEN TOTAL'!Q316</f>
        <v>0</v>
      </c>
      <c r="K248" s="70">
        <f>'RESUMEN TOTAL'!R316</f>
        <v>0</v>
      </c>
      <c r="L248" s="70">
        <f>'RESUMEN TOTAL'!S316</f>
        <v>0</v>
      </c>
      <c r="M248" s="70">
        <f>'RESUMEN TOTAL'!T316</f>
        <v>0</v>
      </c>
      <c r="N248" s="70">
        <f>'RESUMEN TOTAL'!U316</f>
        <v>0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  <c r="AH248" s="70">
        <f>'RESUMEN TOTAL'!AO316</f>
        <v>0</v>
      </c>
      <c r="AI248" s="70">
        <f>'RESUMEN TOTAL'!AP316</f>
        <v>0</v>
      </c>
      <c r="AJ248" s="70">
        <f>'RESUMEN TOTAL'!AQ316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  <c r="AH249" s="70">
        <f>'RESUMEN TOTAL'!AO317</f>
        <v>0</v>
      </c>
      <c r="AI249" s="70">
        <f>'RESUMEN TOTAL'!AP317</f>
        <v>0</v>
      </c>
      <c r="AJ249" s="70">
        <f>'RESUMEN TOTAL'!AQ317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>
        <f>'RESUMEN TOTAL'!P318</f>
        <v>0</v>
      </c>
      <c r="J250" s="70">
        <f>'RESUMEN TOTAL'!Q318</f>
        <v>0</v>
      </c>
      <c r="K250" s="70">
        <f>'RESUMEN TOTAL'!R318</f>
        <v>0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  <c r="AH250" s="70">
        <f>'RESUMEN TOTAL'!AO318</f>
        <v>0</v>
      </c>
      <c r="AI250" s="70">
        <f>'RESUMEN TOTAL'!AP318</f>
        <v>0</v>
      </c>
      <c r="AJ250" s="70">
        <f>'RESUMEN TOTAL'!AQ318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>
        <f>'RESUMEN TOTAL'!P319</f>
        <v>0</v>
      </c>
      <c r="J251" s="70">
        <f>'RESUMEN TOTAL'!Q319</f>
        <v>0</v>
      </c>
      <c r="K251" s="70">
        <f>'RESUMEN TOTAL'!R319</f>
        <v>0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  <c r="AH251" s="70">
        <f>'RESUMEN TOTAL'!AO319</f>
        <v>0</v>
      </c>
      <c r="AI251" s="70">
        <f>'RESUMEN TOTAL'!AP319</f>
        <v>0</v>
      </c>
      <c r="AJ251" s="70">
        <f>'RESUMEN TOTAL'!AQ319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>
        <f>'RESUMEN TOTAL'!P320</f>
        <v>0</v>
      </c>
      <c r="J252" s="70">
        <f>'RESUMEN TOTAL'!Q320</f>
        <v>0</v>
      </c>
      <c r="K252" s="70">
        <f>'RESUMEN TOTAL'!R320</f>
        <v>0</v>
      </c>
      <c r="L252" s="70">
        <f>'RESUMEN TOTAL'!S320</f>
        <v>0</v>
      </c>
      <c r="M252" s="70">
        <f>'RESUMEN TOTAL'!T320</f>
        <v>0</v>
      </c>
      <c r="N252" s="70">
        <f>'RESUMEN TOTAL'!U320</f>
        <v>0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  <c r="AH252" s="70">
        <f>'RESUMEN TOTAL'!AO320</f>
        <v>0</v>
      </c>
      <c r="AI252" s="70">
        <f>'RESUMEN TOTAL'!AP320</f>
        <v>0</v>
      </c>
      <c r="AJ252" s="70">
        <f>'RESUMEN TOTAL'!AQ320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>
        <f>'RESUMEN TOTAL'!P321</f>
        <v>0</v>
      </c>
      <c r="J253" s="70">
        <f>'RESUMEN TOTAL'!Q321</f>
        <v>0</v>
      </c>
      <c r="K253" s="70">
        <f>'RESUMEN TOTAL'!R321</f>
        <v>0</v>
      </c>
      <c r="L253" s="70">
        <f>'RESUMEN TOTAL'!S321</f>
        <v>0</v>
      </c>
      <c r="M253" s="70">
        <f>'RESUMEN TOTAL'!T321</f>
        <v>0</v>
      </c>
      <c r="N253" s="70">
        <f>'RESUMEN TOTAL'!U321</f>
        <v>0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  <c r="AH253" s="70">
        <f>'RESUMEN TOTAL'!AO321</f>
        <v>0</v>
      </c>
      <c r="AI253" s="70">
        <f>'RESUMEN TOTAL'!AP321</f>
        <v>0</v>
      </c>
      <c r="AJ253" s="70">
        <f>'RESUMEN TOTAL'!AQ321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TOTAL'!M322</f>
        <v>0</v>
      </c>
      <c r="G254" s="70" t="str">
        <f>'RESUMEN TOTAL'!N322</f>
        <v>APAGADO</v>
      </c>
      <c r="H254" s="70" t="str">
        <f>'RESUMEN TOTAL'!O322</f>
        <v>APAGADO</v>
      </c>
      <c r="I254" s="70">
        <f>'RESUMEN TOTAL'!P322</f>
        <v>0</v>
      </c>
      <c r="J254" s="70">
        <f>'RESUMEN TOTAL'!Q322</f>
        <v>0</v>
      </c>
      <c r="K254" s="70">
        <f>'RESUMEN TOTAL'!R322</f>
        <v>0</v>
      </c>
      <c r="L254" s="70">
        <f>'RESUMEN TOTAL'!S322</f>
        <v>0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  <c r="AH254" s="70">
        <f>'RESUMEN TOTAL'!AO322</f>
        <v>0</v>
      </c>
      <c r="AI254" s="70">
        <f>'RESUMEN TOTAL'!AP322</f>
        <v>0</v>
      </c>
      <c r="AJ254" s="70">
        <f>'RESUMEN TOTAL'!AQ322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TOTAL'!M323</f>
        <v>0</v>
      </c>
      <c r="G255" s="70">
        <f>'RESUMEN TOTAL'!N323</f>
        <v>0</v>
      </c>
      <c r="H255" s="70">
        <f>'RESUMEN TOTAL'!O323</f>
        <v>0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  <c r="AH255" s="70">
        <f>'RESUMEN TOTAL'!AO323</f>
        <v>0</v>
      </c>
      <c r="AI255" s="70">
        <f>'RESUMEN TOTAL'!AP323</f>
        <v>0</v>
      </c>
      <c r="AJ255" s="70">
        <f>'RESUMEN TOTAL'!AQ323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TOTAL'!M324</f>
        <v>0</v>
      </c>
      <c r="G256" s="70">
        <f>'RESUMEN TOTAL'!N324</f>
        <v>0</v>
      </c>
      <c r="H256" s="70">
        <f>'RESUMEN TOTAL'!O324</f>
        <v>0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  <c r="AH256" s="70">
        <f>'RESUMEN TOTAL'!AO324</f>
        <v>0</v>
      </c>
      <c r="AI256" s="70">
        <f>'RESUMEN TOTAL'!AP324</f>
        <v>0</v>
      </c>
      <c r="AJ256" s="70">
        <f>'RESUMEN TOTAL'!AQ324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  <c r="AH257" s="70">
        <f>'RESUMEN TOTAL'!AO325</f>
        <v>0</v>
      </c>
      <c r="AI257" s="70">
        <f>'RESUMEN TOTAL'!AP325</f>
        <v>0</v>
      </c>
      <c r="AJ257" s="70">
        <f>'RESUMEN TOTAL'!AQ325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  <c r="AH258" s="70">
        <f>'RESUMEN TOTAL'!AO326</f>
        <v>0</v>
      </c>
      <c r="AI258" s="70">
        <f>'RESUMEN TOTAL'!AP326</f>
        <v>0</v>
      </c>
      <c r="AJ258" s="70">
        <f>'RESUMEN TOTAL'!AQ326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  <c r="AH259" s="70">
        <f>'RESUMEN TOTAL'!AO327</f>
        <v>0</v>
      </c>
      <c r="AI259" s="70">
        <f>'RESUMEN TOTAL'!AP327</f>
        <v>0</v>
      </c>
      <c r="AJ259" s="70">
        <f>'RESUMEN TOTAL'!AQ327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  <c r="AH260" s="70">
        <f>'RESUMEN TOTAL'!AO328</f>
        <v>0</v>
      </c>
      <c r="AI260" s="70">
        <f>'RESUMEN TOTAL'!AP328</f>
        <v>0</v>
      </c>
      <c r="AJ260" s="70">
        <f>'RESUMEN TOTAL'!AQ328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  <c r="AH261" s="70">
        <f>'RESUMEN TOTAL'!AO329</f>
        <v>0</v>
      </c>
      <c r="AI261" s="70">
        <f>'RESUMEN TOTAL'!AP329</f>
        <v>0</v>
      </c>
      <c r="AJ261" s="70">
        <f>'RESUMEN TOTAL'!AQ329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  <c r="AH262" s="70">
        <f>'RESUMEN TOTAL'!AO330</f>
        <v>0</v>
      </c>
      <c r="AI262" s="70">
        <f>'RESUMEN TOTAL'!AP330</f>
        <v>0</v>
      </c>
      <c r="AJ262" s="70">
        <f>'RESUMEN TOTAL'!AQ330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  <c r="AH263" s="70">
        <f>'RESUMEN TOTAL'!AO331</f>
        <v>0</v>
      </c>
      <c r="AI263" s="70">
        <f>'RESUMEN TOTAL'!AP331</f>
        <v>0</v>
      </c>
      <c r="AJ263" s="70">
        <f>'RESUMEN TOTAL'!AQ331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  <c r="AH264" s="70">
        <f>'RESUMEN TOTAL'!AO332</f>
        <v>0</v>
      </c>
      <c r="AI264" s="70">
        <f>'RESUMEN TOTAL'!AP332</f>
        <v>0</v>
      </c>
      <c r="AJ264" s="70">
        <f>'RESUMEN TOTAL'!AQ332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  <c r="AH265" s="70">
        <f>'RESUMEN TOTAL'!AO333</f>
        <v>0</v>
      </c>
      <c r="AI265" s="70">
        <f>'RESUMEN TOTAL'!AP333</f>
        <v>0</v>
      </c>
      <c r="AJ265" s="70">
        <f>'RESUMEN TOTAL'!AQ333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  <c r="AH266" s="70">
        <f>'RESUMEN TOTAL'!AO340</f>
        <v>0</v>
      </c>
      <c r="AI266" s="70">
        <f>'RESUMEN TOTAL'!AP340</f>
        <v>0</v>
      </c>
      <c r="AJ266" s="70">
        <f>'RESUMEN TOTAL'!AQ340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  <c r="AH267" s="70">
        <f>'RESUMEN TOTAL'!AO341</f>
        <v>0</v>
      </c>
      <c r="AI267" s="70">
        <f>'RESUMEN TOTAL'!AP341</f>
        <v>0</v>
      </c>
      <c r="AJ267" s="70">
        <f>'RESUMEN TOTAL'!AQ341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  <c r="AH268" s="70">
        <f>'RESUMEN TOTAL'!AO342</f>
        <v>0</v>
      </c>
      <c r="AI268" s="70">
        <f>'RESUMEN TOTAL'!AP342</f>
        <v>0</v>
      </c>
      <c r="AJ268" s="70">
        <f>'RESUMEN TOTAL'!AQ342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  <c r="AH269" s="70">
        <f>'RESUMEN TOTAL'!AO343</f>
        <v>0</v>
      </c>
      <c r="AI269" s="70">
        <f>'RESUMEN TOTAL'!AP343</f>
        <v>0</v>
      </c>
      <c r="AJ269" s="70">
        <f>'RESUMEN TOTAL'!AQ343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  <c r="AH270" s="70">
        <f>'RESUMEN TOTAL'!AO344</f>
        <v>0</v>
      </c>
      <c r="AI270" s="70">
        <f>'RESUMEN TOTAL'!AP344</f>
        <v>0</v>
      </c>
      <c r="AJ270" s="70">
        <f>'RESUMEN TOTAL'!AQ344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  <c r="AH271" s="70">
        <f>'RESUMEN TOTAL'!AO345</f>
        <v>0</v>
      </c>
      <c r="AI271" s="70">
        <f>'RESUMEN TOTAL'!AP345</f>
        <v>0</v>
      </c>
      <c r="AJ271" s="70">
        <f>'RESUMEN TOTAL'!AQ345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  <c r="AH272" s="70">
        <f>'RESUMEN TOTAL'!AO346</f>
        <v>0</v>
      </c>
      <c r="AI272" s="70">
        <f>'RESUMEN TOTAL'!AP346</f>
        <v>0</v>
      </c>
      <c r="AJ272" s="70">
        <f>'RESUMEN TOTAL'!AQ346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  <c r="AH273" s="70">
        <f>'RESUMEN TOTAL'!AO347</f>
        <v>0</v>
      </c>
      <c r="AI273" s="70">
        <f>'RESUMEN TOTAL'!AP347</f>
        <v>0</v>
      </c>
      <c r="AJ273" s="70">
        <f>'RESUMEN TOTAL'!AQ347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  <c r="AH274" s="70">
        <f>'RESUMEN TOTAL'!AO348</f>
        <v>0</v>
      </c>
      <c r="AI274" s="70">
        <f>'RESUMEN TOTAL'!AP348</f>
        <v>0</v>
      </c>
      <c r="AJ274" s="70">
        <f>'RESUMEN TOTAL'!AQ348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  <c r="AH275" s="70">
        <f>'RESUMEN TOTAL'!AO349</f>
        <v>0</v>
      </c>
      <c r="AI275" s="70">
        <f>'RESUMEN TOTAL'!AP349</f>
        <v>0</v>
      </c>
      <c r="AJ275" s="70">
        <f>'RESUMEN TOTAL'!AQ349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  <c r="AH276" s="70">
        <f>'RESUMEN TOTAL'!AO350</f>
        <v>0</v>
      </c>
      <c r="AI276" s="70">
        <f>'RESUMEN TOTAL'!AP350</f>
        <v>0</v>
      </c>
      <c r="AJ276" s="70">
        <f>'RESUMEN TOTAL'!AQ350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  <c r="AH277" s="70">
        <f>'RESUMEN TOTAL'!AO351</f>
        <v>0</v>
      </c>
      <c r="AI277" s="70">
        <f>'RESUMEN TOTAL'!AP351</f>
        <v>0</v>
      </c>
      <c r="AJ277" s="70">
        <f>'RESUMEN TOTAL'!AQ351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  <c r="AH278" s="70">
        <f>'RESUMEN TOTAL'!AO352</f>
        <v>0</v>
      </c>
      <c r="AI278" s="70">
        <f>'RESUMEN TOTAL'!AP352</f>
        <v>0</v>
      </c>
      <c r="AJ278" s="70">
        <f>'RESUMEN TOTAL'!AQ352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  <c r="AH279" s="70">
        <f>'RESUMEN TOTAL'!AO356</f>
        <v>0</v>
      </c>
      <c r="AI279" s="70">
        <f>'RESUMEN TOTAL'!AP356</f>
        <v>0</v>
      </c>
      <c r="AJ279" s="70">
        <f>'RESUMEN TOTAL'!AQ356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  <c r="AH280" s="70">
        <f>'RESUMEN TOTAL'!AO357</f>
        <v>0</v>
      </c>
      <c r="AI280" s="70">
        <f>'RESUMEN TOTAL'!AP357</f>
        <v>0</v>
      </c>
      <c r="AJ280" s="70">
        <f>'RESUMEN TOTAL'!AQ357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  <c r="AH281" s="70">
        <f>'RESUMEN TOTAL'!AO358</f>
        <v>0</v>
      </c>
      <c r="AI281" s="70">
        <f>'RESUMEN TOTAL'!AP358</f>
        <v>0</v>
      </c>
      <c r="AJ281" s="70">
        <f>'RESUMEN TOTAL'!AQ358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  <c r="AH282" s="70">
        <f>'RESUMEN TOTAL'!AO359</f>
        <v>0</v>
      </c>
      <c r="AI282" s="70">
        <f>'RESUMEN TOTAL'!AP359</f>
        <v>0</v>
      </c>
      <c r="AJ282" s="70">
        <f>'RESUMEN TOTAL'!AQ359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  <c r="AH283" s="70">
        <f>'RESUMEN TOTAL'!AO360</f>
        <v>0</v>
      </c>
      <c r="AI283" s="70">
        <f>'RESUMEN TOTAL'!AP360</f>
        <v>0</v>
      </c>
      <c r="AJ283" s="70">
        <f>'RESUMEN TOTAL'!AQ360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  <c r="AH284" s="70">
        <f>'RESUMEN TOTAL'!AO361</f>
        <v>0</v>
      </c>
      <c r="AI284" s="70">
        <f>'RESUMEN TOTAL'!AP361</f>
        <v>0</v>
      </c>
      <c r="AJ284" s="70">
        <f>'RESUMEN TOTAL'!AQ361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  <c r="AH285" s="70">
        <f>'RESUMEN TOTAL'!AO362</f>
        <v>0</v>
      </c>
      <c r="AI285" s="70">
        <f>'RESUMEN TOTAL'!AP362</f>
        <v>0</v>
      </c>
      <c r="AJ285" s="70">
        <f>'RESUMEN TOTAL'!AQ362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  <c r="AH286" s="70">
        <f>'RESUMEN TOTAL'!AO363</f>
        <v>0</v>
      </c>
      <c r="AI286" s="70">
        <f>'RESUMEN TOTAL'!AP363</f>
        <v>0</v>
      </c>
      <c r="AJ286" s="70">
        <f>'RESUMEN TOTAL'!AQ363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  <c r="AH287" s="70">
        <f>'RESUMEN TOTAL'!AO364</f>
        <v>0</v>
      </c>
      <c r="AI287" s="70">
        <f>'RESUMEN TOTAL'!AP364</f>
        <v>0</v>
      </c>
      <c r="AJ287" s="70">
        <f>'RESUMEN TOTAL'!AQ364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  <c r="AH288" s="70">
        <f>'RESUMEN TOTAL'!AO365</f>
        <v>0</v>
      </c>
      <c r="AI288" s="70">
        <f>'RESUMEN TOTAL'!AP365</f>
        <v>0</v>
      </c>
      <c r="AJ288" s="70">
        <f>'RESUMEN TOTAL'!AQ365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  <c r="AH289" s="70">
        <f>'RESUMEN TOTAL'!AO366</f>
        <v>0</v>
      </c>
      <c r="AI289" s="70">
        <f>'RESUMEN TOTAL'!AP366</f>
        <v>0</v>
      </c>
      <c r="AJ289" s="70">
        <f>'RESUMEN TOTAL'!AQ366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  <c r="AH290" s="70">
        <f>'RESUMEN TOTAL'!AO367</f>
        <v>0</v>
      </c>
      <c r="AI290" s="70">
        <f>'RESUMEN TOTAL'!AP367</f>
        <v>0</v>
      </c>
      <c r="AJ290" s="70">
        <f>'RESUMEN TOTAL'!AQ367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  <c r="AH291" s="70">
        <f>'RESUMEN TOTAL'!AO368</f>
        <v>0</v>
      </c>
      <c r="AI291" s="70">
        <f>'RESUMEN TOTAL'!AP368</f>
        <v>0</v>
      </c>
      <c r="AJ291" s="70">
        <f>'RESUMEN TOTAL'!AQ368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  <c r="AH292" s="70">
        <f>'RESUMEN TOTAL'!AO373</f>
        <v>0</v>
      </c>
      <c r="AI292" s="70">
        <f>'RESUMEN TOTAL'!AP373</f>
        <v>0</v>
      </c>
      <c r="AJ292" s="70">
        <f>'RESUMEN TOTAL'!AQ373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  <c r="AH293" s="70">
        <f>'RESUMEN TOTAL'!AO374</f>
        <v>0</v>
      </c>
      <c r="AI293" s="70">
        <f>'RESUMEN TOTAL'!AP374</f>
        <v>0</v>
      </c>
      <c r="AJ293" s="70">
        <f>'RESUMEN TOTAL'!AQ374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  <c r="AH294" s="70">
        <f>'RESUMEN TOTAL'!AO375</f>
        <v>0</v>
      </c>
      <c r="AI294" s="70">
        <f>'RESUMEN TOTAL'!AP375</f>
        <v>0</v>
      </c>
      <c r="AJ294" s="70">
        <f>'RESUMEN TOTAL'!AQ375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  <c r="AH295" s="70">
        <f>'RESUMEN TOTAL'!AO377</f>
        <v>0</v>
      </c>
      <c r="AI295" s="70">
        <f>'RESUMEN TOTAL'!AP377</f>
        <v>0</v>
      </c>
      <c r="AJ295" s="70">
        <f>'RESUMEN TOTAL'!AQ377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  <c r="AH296" s="70">
        <f>'RESUMEN TOTAL'!AO378</f>
        <v>0</v>
      </c>
      <c r="AI296" s="70">
        <f>'RESUMEN TOTAL'!AP378</f>
        <v>0</v>
      </c>
      <c r="AJ296" s="70">
        <f>'RESUMEN TOTAL'!AQ378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  <c r="AH297" s="70">
        <f>'RESUMEN TOTAL'!AO379</f>
        <v>0</v>
      </c>
      <c r="AI297" s="70">
        <f>'RESUMEN TOTAL'!AP379</f>
        <v>0</v>
      </c>
      <c r="AJ297" s="70">
        <f>'RESUMEN TOTAL'!AQ379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  <c r="AH298" s="70">
        <f>'RESUMEN TOTAL'!AO380</f>
        <v>0</v>
      </c>
      <c r="AI298" s="70">
        <f>'RESUMEN TOTAL'!AP380</f>
        <v>0</v>
      </c>
      <c r="AJ298" s="70">
        <f>'RESUMEN TOTAL'!AQ380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  <c r="AH299" s="70">
        <f>'RESUMEN TOTAL'!AO381</f>
        <v>0</v>
      </c>
      <c r="AI299" s="70">
        <f>'RESUMEN TOTAL'!AP381</f>
        <v>0</v>
      </c>
      <c r="AJ299" s="70">
        <f>'RESUMEN TOTAL'!AQ381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  <c r="AH300" s="70">
        <f>'RESUMEN TOTAL'!AO382</f>
        <v>0</v>
      </c>
      <c r="AI300" s="70">
        <f>'RESUMEN TOTAL'!AP382</f>
        <v>0</v>
      </c>
      <c r="AJ300" s="70">
        <f>'RESUMEN TOTAL'!AQ382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>
        <f>'RESUMEN TOTAL'!P383</f>
        <v>0</v>
      </c>
      <c r="J301" s="70">
        <f>'RESUMEN TOTAL'!Q383</f>
        <v>0</v>
      </c>
      <c r="K301" s="70">
        <f>'RESUMEN TOTAL'!R383</f>
        <v>0</v>
      </c>
      <c r="L301" s="70">
        <f>'RESUMEN TOTAL'!S383</f>
        <v>0</v>
      </c>
      <c r="M301" s="70">
        <f>'RESUMEN TOTAL'!T383</f>
        <v>0</v>
      </c>
      <c r="N301" s="70">
        <f>'RESUMEN TOTAL'!U383</f>
        <v>0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  <c r="AH301" s="70">
        <f>'RESUMEN TOTAL'!AO383</f>
        <v>0</v>
      </c>
      <c r="AI301" s="70">
        <f>'RESUMEN TOTAL'!AP383</f>
        <v>0</v>
      </c>
      <c r="AJ301" s="70">
        <f>'RESUMEN TOTAL'!AQ383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TOTAL'!M384</f>
        <v>APAGADO</v>
      </c>
      <c r="G302" s="70" t="str">
        <f>'RESUMEN TOTAL'!N384</f>
        <v>APAGADO</v>
      </c>
      <c r="H302" s="70" t="str">
        <f>'RESUMEN TOTAL'!O384</f>
        <v>APAGADO</v>
      </c>
      <c r="I302" s="70">
        <f>'RESUMEN TOTAL'!P384</f>
        <v>0</v>
      </c>
      <c r="J302" s="70">
        <f>'RESUMEN TOTAL'!Q384</f>
        <v>0</v>
      </c>
      <c r="K302" s="70">
        <f>'RESUMEN TOTAL'!R384</f>
        <v>0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  <c r="AH302" s="70">
        <f>'RESUMEN TOTAL'!AO384</f>
        <v>0</v>
      </c>
      <c r="AI302" s="70">
        <f>'RESUMEN TOTAL'!AP384</f>
        <v>0</v>
      </c>
      <c r="AJ302" s="70">
        <f>'RESUMEN TOTAL'!AQ384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  <c r="AH303" s="70">
        <f>'RESUMEN TOTAL'!AO385</f>
        <v>0</v>
      </c>
      <c r="AI303" s="70">
        <f>'RESUMEN TOTAL'!AP385</f>
        <v>0</v>
      </c>
      <c r="AJ303" s="70">
        <f>'RESUMEN TOTAL'!AQ385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  <c r="AH304" s="70">
        <f>'RESUMEN TOTAL'!AO386</f>
        <v>0</v>
      </c>
      <c r="AI304" s="70">
        <f>'RESUMEN TOTAL'!AP386</f>
        <v>0</v>
      </c>
      <c r="AJ304" s="70">
        <f>'RESUMEN TOTAL'!AQ386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  <c r="AH305" s="70">
        <f>'RESUMEN TOTAL'!AO387</f>
        <v>0</v>
      </c>
      <c r="AI305" s="70">
        <f>'RESUMEN TOTAL'!AP387</f>
        <v>0</v>
      </c>
      <c r="AJ305" s="70">
        <f>'RESUMEN TOTAL'!AQ387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  <c r="AH306" s="70">
        <f>'RESUMEN TOTAL'!AO388</f>
        <v>0</v>
      </c>
      <c r="AI306" s="70">
        <f>'RESUMEN TOTAL'!AP388</f>
        <v>0</v>
      </c>
      <c r="AJ306" s="70">
        <f>'RESUMEN TOTAL'!AQ388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>
        <f>'RESUMEN TOTAL'!P389</f>
        <v>0</v>
      </c>
      <c r="J307" s="70">
        <f>'RESUMEN TOTAL'!Q389</f>
        <v>0</v>
      </c>
      <c r="K307" s="70">
        <f>'RESUMEN TOTAL'!R389</f>
        <v>0</v>
      </c>
      <c r="L307" s="70">
        <f>'RESUMEN TOTAL'!S389</f>
        <v>0</v>
      </c>
      <c r="M307" s="70">
        <f>'RESUMEN TOTAL'!T389</f>
        <v>0</v>
      </c>
      <c r="N307" s="70">
        <f>'RESUMEN TOTAL'!U389</f>
        <v>0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  <c r="AH307" s="70">
        <f>'RESUMEN TOTAL'!AO389</f>
        <v>0</v>
      </c>
      <c r="AI307" s="70">
        <f>'RESUMEN TOTAL'!AP389</f>
        <v>0</v>
      </c>
      <c r="AJ307" s="70">
        <f>'RESUMEN TOTAL'!AQ389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>
        <f>'RESUMEN TOTAL'!P390</f>
        <v>0</v>
      </c>
      <c r="J308" s="70">
        <f>'RESUMEN TOTAL'!Q390</f>
        <v>0</v>
      </c>
      <c r="K308" s="70">
        <f>'RESUMEN TOTAL'!R390</f>
        <v>0</v>
      </c>
      <c r="L308" s="70">
        <f>'RESUMEN TOTAL'!S390</f>
        <v>0</v>
      </c>
      <c r="M308" s="70">
        <f>'RESUMEN TOTAL'!T390</f>
        <v>0</v>
      </c>
      <c r="N308" s="70">
        <f>'RESUMEN TOTAL'!U390</f>
        <v>0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  <c r="AH308" s="70">
        <f>'RESUMEN TOTAL'!AO390</f>
        <v>0</v>
      </c>
      <c r="AI308" s="70">
        <f>'RESUMEN TOTAL'!AP390</f>
        <v>0</v>
      </c>
      <c r="AJ308" s="70">
        <f>'RESUMEN TOTAL'!AQ390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  <c r="AH309" s="70">
        <f>'RESUMEN TOTAL'!AO391</f>
        <v>0</v>
      </c>
      <c r="AI309" s="70">
        <f>'RESUMEN TOTAL'!AP391</f>
        <v>0</v>
      </c>
      <c r="AJ309" s="70">
        <f>'RESUMEN TOTAL'!AQ391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  <c r="AH310" s="70">
        <f>'RESUMEN TOTAL'!AO392</f>
        <v>0</v>
      </c>
      <c r="AI310" s="70">
        <f>'RESUMEN TOTAL'!AP392</f>
        <v>0</v>
      </c>
      <c r="AJ310" s="70">
        <f>'RESUMEN TOTAL'!AQ392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  <c r="AH311" s="70">
        <f>'RESUMEN TOTAL'!AO393</f>
        <v>0</v>
      </c>
      <c r="AI311" s="70">
        <f>'RESUMEN TOTAL'!AP393</f>
        <v>0</v>
      </c>
      <c r="AJ311" s="70">
        <f>'RESUMEN TOTAL'!AQ393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  <c r="AH312" s="70">
        <f>'RESUMEN TOTAL'!AO394</f>
        <v>0</v>
      </c>
      <c r="AI312" s="70">
        <f>'RESUMEN TOTAL'!AP394</f>
        <v>0</v>
      </c>
      <c r="AJ312" s="70">
        <f>'RESUMEN TOTAL'!AQ394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>
        <f>'RESUMEN TOTAL'!P395</f>
        <v>0</v>
      </c>
      <c r="J313" s="70">
        <f>'RESUMEN TOTAL'!Q395</f>
        <v>0</v>
      </c>
      <c r="K313" s="70">
        <f>'RESUMEN TOTAL'!R395</f>
        <v>0</v>
      </c>
      <c r="L313" s="70">
        <f>'RESUMEN TOTAL'!S395</f>
        <v>0</v>
      </c>
      <c r="M313" s="70">
        <f>'RESUMEN TOTAL'!T395</f>
        <v>0</v>
      </c>
      <c r="N313" s="70">
        <f>'RESUMEN TOTAL'!U395</f>
        <v>0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  <c r="AH313" s="70">
        <f>'RESUMEN TOTAL'!AO395</f>
        <v>0</v>
      </c>
      <c r="AI313" s="70">
        <f>'RESUMEN TOTAL'!AP395</f>
        <v>0</v>
      </c>
      <c r="AJ313" s="70">
        <f>'RESUMEN TOTAL'!AQ395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>
        <f>'RESUMEN TOTAL'!P396</f>
        <v>0</v>
      </c>
      <c r="J314" s="70">
        <f>'RESUMEN TOTAL'!Q396</f>
        <v>0</v>
      </c>
      <c r="K314" s="70">
        <f>'RESUMEN TOTAL'!R396</f>
        <v>0</v>
      </c>
      <c r="L314" s="70">
        <f>'RESUMEN TOTAL'!S396</f>
        <v>0</v>
      </c>
      <c r="M314" s="70">
        <f>'RESUMEN TOTAL'!T396</f>
        <v>0</v>
      </c>
      <c r="N314" s="70">
        <f>'RESUMEN TOTAL'!U396</f>
        <v>0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  <c r="AH314" s="70">
        <f>'RESUMEN TOTAL'!AO396</f>
        <v>0</v>
      </c>
      <c r="AI314" s="70">
        <f>'RESUMEN TOTAL'!AP396</f>
        <v>0</v>
      </c>
      <c r="AJ314" s="70">
        <f>'RESUMEN TOTAL'!AQ396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 t="str">
        <f>'RESUMEN TOTAL'!M397</f>
        <v>APAGADO</v>
      </c>
      <c r="G315" s="70" t="str">
        <f>'RESUMEN TOTAL'!N397</f>
        <v>APAGADO</v>
      </c>
      <c r="H315" s="70" t="str">
        <f>'RESUMEN TOTAL'!O397</f>
        <v>APAGADO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  <c r="AH315" s="70">
        <f>'RESUMEN TOTAL'!AO397</f>
        <v>0</v>
      </c>
      <c r="AI315" s="70">
        <f>'RESUMEN TOTAL'!AP397</f>
        <v>0</v>
      </c>
      <c r="AJ315" s="70">
        <f>'RESUMEN TOTAL'!AQ397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TOTAL'!M403</f>
        <v>APAGADO</v>
      </c>
      <c r="G316" s="70" t="str">
        <f>'RESUMEN TOTAL'!N403</f>
        <v>APAGADO</v>
      </c>
      <c r="H316" s="70" t="str">
        <f>'RESUMEN TOTAL'!O403</f>
        <v>APAGADO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>
        <f>'RESUMEN TOTAL'!U403</f>
        <v>0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  <c r="AH316" s="70">
        <f>'RESUMEN TOTAL'!AO403</f>
        <v>0</v>
      </c>
      <c r="AI316" s="70">
        <f>'RESUMEN TOTAL'!AP403</f>
        <v>0</v>
      </c>
      <c r="AJ316" s="70">
        <f>'RESUMEN TOTAL'!AQ403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  <c r="AH317" s="70">
        <f>'RESUMEN TOTAL'!AO404</f>
        <v>0</v>
      </c>
      <c r="AI317" s="70">
        <f>'RESUMEN TOTAL'!AP404</f>
        <v>0</v>
      </c>
      <c r="AJ317" s="70">
        <f>'RESUMEN TOTAL'!AQ404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  <c r="AH318" s="70">
        <f>'RESUMEN TOTAL'!AO405</f>
        <v>0</v>
      </c>
      <c r="AI318" s="70">
        <f>'RESUMEN TOTAL'!AP405</f>
        <v>0</v>
      </c>
      <c r="AJ318" s="70">
        <f>'RESUMEN TOTAL'!AQ405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  <c r="AH319" s="70">
        <f>'RESUMEN TOTAL'!AO406</f>
        <v>0</v>
      </c>
      <c r="AI319" s="70">
        <f>'RESUMEN TOTAL'!AP406</f>
        <v>0</v>
      </c>
      <c r="AJ319" s="70">
        <f>'RESUMEN TOTAL'!AQ406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>
        <f>'RESUMEN TOTAL'!P407</f>
        <v>0</v>
      </c>
      <c r="J320" s="70">
        <f>'RESUMEN TOTAL'!Q407</f>
        <v>0</v>
      </c>
      <c r="K320" s="70">
        <f>'RESUMEN TOTAL'!R407</f>
        <v>0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  <c r="AH320" s="70">
        <f>'RESUMEN TOTAL'!AO407</f>
        <v>0</v>
      </c>
      <c r="AI320" s="70">
        <f>'RESUMEN TOTAL'!AP407</f>
        <v>0</v>
      </c>
      <c r="AJ320" s="70">
        <f>'RESUMEN TOTAL'!AQ407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  <c r="AH321" s="70">
        <f>'RESUMEN TOTAL'!AO408</f>
        <v>0</v>
      </c>
      <c r="AI321" s="70">
        <f>'RESUMEN TOTAL'!AP408</f>
        <v>0</v>
      </c>
      <c r="AJ321" s="70">
        <f>'RESUMEN TOTAL'!AQ408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>
        <f>'RESUMEN TOTAL'!P409</f>
        <v>0</v>
      </c>
      <c r="I322" s="70">
        <v>0</v>
      </c>
      <c r="J322" s="70">
        <f>'RESUMEN TOTAL'!Q409</f>
        <v>0</v>
      </c>
      <c r="K322" s="70">
        <f>'RESUMEN TOTAL'!R409</f>
        <v>0</v>
      </c>
      <c r="L322" s="70">
        <f>'RESUMEN TOTAL'!S409</f>
        <v>0</v>
      </c>
      <c r="M322" s="70">
        <f>'RESUMEN TOTAL'!T409</f>
        <v>0</v>
      </c>
      <c r="N322" s="70">
        <f>'RESUMEN TOTAL'!U409</f>
        <v>0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  <c r="AH322" s="70">
        <f>'RESUMEN TOTAL'!AO409</f>
        <v>0</v>
      </c>
      <c r="AI322" s="70">
        <f>'RESUMEN TOTAL'!AP409</f>
        <v>0</v>
      </c>
      <c r="AJ322" s="70">
        <f>'RESUMEN TOTAL'!AQ409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>
        <f>'RESUMEN TOTAL'!P410</f>
        <v>0</v>
      </c>
      <c r="I323" s="70">
        <v>0</v>
      </c>
      <c r="J323" s="70">
        <f>'RESUMEN TOTAL'!Q410</f>
        <v>0</v>
      </c>
      <c r="K323" s="70">
        <f>'RESUMEN TOTAL'!R410</f>
        <v>0</v>
      </c>
      <c r="L323" s="70">
        <f>'RESUMEN TOTAL'!S410</f>
        <v>0</v>
      </c>
      <c r="M323" s="70">
        <f>'RESUMEN TOTAL'!T410</f>
        <v>0</v>
      </c>
      <c r="N323" s="70">
        <f>'RESUMEN TOTAL'!U410</f>
        <v>0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  <c r="AH323" s="70">
        <f>'RESUMEN TOTAL'!AO410</f>
        <v>0</v>
      </c>
      <c r="AI323" s="70">
        <f>'RESUMEN TOTAL'!AP410</f>
        <v>0</v>
      </c>
      <c r="AJ323" s="70">
        <f>'RESUMEN TOTAL'!AQ410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TOTAL'!M411</f>
        <v>APAGADO</v>
      </c>
      <c r="G324" s="70" t="str">
        <f>'RESUMEN TOTAL'!N411</f>
        <v>APAGADO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>
        <f>'RESUMEN TOTAL'!U411</f>
        <v>0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  <c r="AH324" s="70">
        <f>'RESUMEN TOTAL'!AO411</f>
        <v>0</v>
      </c>
      <c r="AI324" s="70">
        <f>'RESUMEN TOTAL'!AP411</f>
        <v>0</v>
      </c>
      <c r="AJ324" s="70">
        <f>'RESUMEN TOTAL'!AQ411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TOTAL'!M412</f>
        <v>APAGADO</v>
      </c>
      <c r="G325" s="70" t="str">
        <f>'RESUMEN TOTAL'!N412</f>
        <v>APAGADO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>
        <f>'RESUMEN TOTAL'!U412</f>
        <v>0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  <c r="AH325" s="70">
        <f>'RESUMEN TOTAL'!AO412</f>
        <v>0</v>
      </c>
      <c r="AI325" s="70">
        <f>'RESUMEN TOTAL'!AP412</f>
        <v>0</v>
      </c>
      <c r="AJ325" s="70">
        <f>'RESUMEN TOTAL'!AQ412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  <c r="AH326" s="70">
        <f>'RESUMEN TOTAL'!AO417</f>
        <v>0</v>
      </c>
      <c r="AI326" s="70">
        <f>'RESUMEN TOTAL'!AP417</f>
        <v>0</v>
      </c>
      <c r="AJ326" s="70">
        <f>'RESUMEN TOTAL'!AQ417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  <c r="AH327" s="70">
        <f>'RESUMEN TOTAL'!AO421</f>
        <v>0</v>
      </c>
      <c r="AI327" s="70">
        <f>'RESUMEN TOTAL'!AP421</f>
        <v>0</v>
      </c>
      <c r="AJ327" s="70">
        <f>'RESUMEN TOTAL'!AQ421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  <c r="AH328" s="70">
        <f>'RESUMEN TOTAL'!AO422</f>
        <v>0</v>
      </c>
      <c r="AI328" s="70">
        <f>'RESUMEN TOTAL'!AP422</f>
        <v>0</v>
      </c>
      <c r="AJ328" s="70">
        <f>'RESUMEN TOTAL'!AQ422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>
        <f>'RESUMEN TOTAL'!P423</f>
        <v>0</v>
      </c>
      <c r="J329" s="70">
        <f>'RESUMEN TOTAL'!Q423</f>
        <v>0</v>
      </c>
      <c r="K329" s="70">
        <f>'RESUMEN TOTAL'!R423</f>
        <v>0</v>
      </c>
      <c r="L329" s="70">
        <f>'RESUMEN TOTAL'!S423</f>
        <v>0</v>
      </c>
      <c r="M329" s="70">
        <f>'RESUMEN TOTAL'!T423</f>
        <v>0</v>
      </c>
      <c r="N329" s="70">
        <f>'RESUMEN TOTAL'!U423</f>
        <v>0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  <c r="AH329" s="70">
        <f>'RESUMEN TOTAL'!AO423</f>
        <v>0</v>
      </c>
      <c r="AI329" s="70">
        <f>'RESUMEN TOTAL'!AP423</f>
        <v>0</v>
      </c>
      <c r="AJ329" s="70">
        <f>'RESUMEN TOTAL'!AQ423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  <c r="AH330" s="70">
        <f>'RESUMEN TOTAL'!AO424</f>
        <v>0</v>
      </c>
      <c r="AI330" s="70">
        <f>'RESUMEN TOTAL'!AP424</f>
        <v>0</v>
      </c>
      <c r="AJ330" s="70">
        <f>'RESUMEN TOTAL'!AQ424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  <c r="AH331" s="70">
        <f>'RESUMEN TOTAL'!AO425</f>
        <v>0</v>
      </c>
      <c r="AI331" s="70">
        <f>'RESUMEN TOTAL'!AP425</f>
        <v>0</v>
      </c>
      <c r="AJ331" s="70">
        <f>'RESUMEN TOTAL'!AQ425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  <c r="AH332" s="70">
        <f>'RESUMEN TOTAL'!AO426</f>
        <v>0</v>
      </c>
      <c r="AI332" s="70">
        <f>'RESUMEN TOTAL'!AP426</f>
        <v>0</v>
      </c>
      <c r="AJ332" s="70">
        <f>'RESUMEN TOTAL'!AQ426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  <c r="AH333" s="70">
        <f>'RESUMEN TOTAL'!AO427</f>
        <v>0</v>
      </c>
      <c r="AI333" s="70">
        <f>'RESUMEN TOTAL'!AP427</f>
        <v>0</v>
      </c>
      <c r="AJ333" s="70">
        <f>'RESUMEN TOTAL'!AQ427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  <c r="AH334" s="70">
        <f>'RESUMEN TOTAL'!AO428</f>
        <v>0</v>
      </c>
      <c r="AI334" s="70">
        <f>'RESUMEN TOTAL'!AP428</f>
        <v>0</v>
      </c>
      <c r="AJ334" s="70">
        <f>'RESUMEN TOTAL'!AQ428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  <c r="AH335" s="70">
        <f>'RESUMEN TOTAL'!AO429</f>
        <v>0</v>
      </c>
      <c r="AI335" s="70">
        <f>'RESUMEN TOTAL'!AP429</f>
        <v>0</v>
      </c>
      <c r="AJ335" s="70">
        <f>'RESUMEN TOTAL'!AQ429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  <c r="AH336" s="70">
        <f>'RESUMEN TOTAL'!AO433</f>
        <v>0</v>
      </c>
      <c r="AI336" s="70">
        <f>'RESUMEN TOTAL'!AP433</f>
        <v>0</v>
      </c>
      <c r="AJ336" s="70">
        <f>'RESUMEN TOTAL'!AQ433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  <c r="AH337" s="70">
        <f>'RESUMEN TOTAL'!AO434</f>
        <v>0</v>
      </c>
      <c r="AI337" s="70">
        <f>'RESUMEN TOTAL'!AP434</f>
        <v>0</v>
      </c>
      <c r="AJ337" s="70">
        <f>'RESUMEN TOTAL'!AQ434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  <c r="AH338" s="70">
        <f>'RESUMEN TOTAL'!AO435</f>
        <v>0</v>
      </c>
      <c r="AI338" s="70">
        <f>'RESUMEN TOTAL'!AP435</f>
        <v>0</v>
      </c>
      <c r="AJ338" s="70">
        <f>'RESUMEN TOTAL'!AQ435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  <c r="AH339" s="70">
        <f>'RESUMEN TOTAL'!AO436</f>
        <v>0</v>
      </c>
      <c r="AI339" s="70">
        <f>'RESUMEN TOTAL'!AP436</f>
        <v>0</v>
      </c>
      <c r="AJ339" s="70">
        <f>'RESUMEN TOTAL'!AQ436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TOTAL'!M437</f>
        <v>0</v>
      </c>
      <c r="G340" s="70">
        <f>'RESUMEN TOTAL'!N437</f>
        <v>0</v>
      </c>
      <c r="H340" s="70">
        <f>'RESUMEN TOTAL'!O437</f>
        <v>0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  <c r="AH340" s="70">
        <f>'RESUMEN TOTAL'!AO437</f>
        <v>0</v>
      </c>
      <c r="AI340" s="70">
        <f>'RESUMEN TOTAL'!AP437</f>
        <v>0</v>
      </c>
      <c r="AJ340" s="70">
        <f>'RESUMEN TOTAL'!AQ437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TOTAL'!M438</f>
        <v>0</v>
      </c>
      <c r="G341" s="70">
        <f>'RESUMEN TOTAL'!N438</f>
        <v>0</v>
      </c>
      <c r="H341" s="70">
        <f>'RESUMEN TOTAL'!O438</f>
        <v>0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  <c r="AH341" s="70">
        <f>'RESUMEN TOTAL'!AO438</f>
        <v>0</v>
      </c>
      <c r="AI341" s="70">
        <f>'RESUMEN TOTAL'!AP438</f>
        <v>0</v>
      </c>
      <c r="AJ341" s="70">
        <f>'RESUMEN TOTAL'!AQ438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  <c r="AH342" s="70">
        <f>'RESUMEN TOTAL'!AO439</f>
        <v>0</v>
      </c>
      <c r="AI342" s="70">
        <f>'RESUMEN TOTAL'!AP439</f>
        <v>0</v>
      </c>
      <c r="AJ342" s="70">
        <f>'RESUMEN TOTAL'!AQ439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  <c r="AH343" s="70">
        <f>'RESUMEN TOTAL'!AO440</f>
        <v>0</v>
      </c>
      <c r="AI343" s="70">
        <f>'RESUMEN TOTAL'!AP440</f>
        <v>0</v>
      </c>
      <c r="AJ343" s="70">
        <f>'RESUMEN TOTAL'!AQ440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  <c r="AH344" s="70">
        <f>'RESUMEN TOTAL'!AO441</f>
        <v>0</v>
      </c>
      <c r="AI344" s="70">
        <f>'RESUMEN TOTAL'!AP441</f>
        <v>0</v>
      </c>
      <c r="AJ344" s="70">
        <f>'RESUMEN TOTAL'!AQ441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  <c r="AH345" s="70">
        <f>'RESUMEN TOTAL'!AO442</f>
        <v>0</v>
      </c>
      <c r="AI345" s="70">
        <f>'RESUMEN TOTAL'!AP442</f>
        <v>0</v>
      </c>
      <c r="AJ345" s="70">
        <f>'RESUMEN TOTAL'!AQ442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  <c r="AH346" s="70">
        <f>'RESUMEN TOTAL'!AO443</f>
        <v>0</v>
      </c>
      <c r="AI346" s="70">
        <f>'RESUMEN TOTAL'!AP443</f>
        <v>0</v>
      </c>
      <c r="AJ346" s="70">
        <f>'RESUMEN TOTAL'!AQ443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  <c r="AH347" s="70">
        <f>'RESUMEN TOTAL'!AO444</f>
        <v>0</v>
      </c>
      <c r="AI347" s="70">
        <f>'RESUMEN TOTAL'!AP444</f>
        <v>0</v>
      </c>
      <c r="AJ347" s="70">
        <f>'RESUMEN TOTAL'!AQ444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  <c r="AH348" s="70">
        <f>'RESUMEN TOTAL'!AO445</f>
        <v>0</v>
      </c>
      <c r="AI348" s="70">
        <f>'RESUMEN TOTAL'!AP445</f>
        <v>0</v>
      </c>
      <c r="AJ348" s="70">
        <f>'RESUMEN TOTAL'!AQ445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 t="str">
        <f>'RESUMEN TOTAL'!N446</f>
        <v>APAGADO</v>
      </c>
      <c r="H349" s="70" t="str">
        <f>'RESUMEN TOTAL'!O446</f>
        <v>APAGADO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  <c r="AH349" s="70">
        <f>'RESUMEN TOTAL'!AO446</f>
        <v>0</v>
      </c>
      <c r="AI349" s="70">
        <f>'RESUMEN TOTAL'!AP446</f>
        <v>0</v>
      </c>
      <c r="AJ349" s="70">
        <f>'RESUMEN TOTAL'!AQ446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 t="str">
        <f>'RESUMEN TOTAL'!N447</f>
        <v>APAGADO</v>
      </c>
      <c r="H350" s="70" t="str">
        <f>'RESUMEN TOTAL'!O447</f>
        <v>APAGADO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  <c r="AH350" s="70">
        <f>'RESUMEN TOTAL'!AO447</f>
        <v>0</v>
      </c>
      <c r="AI350" s="70">
        <f>'RESUMEN TOTAL'!AP447</f>
        <v>0</v>
      </c>
      <c r="AJ350" s="70">
        <f>'RESUMEN TOTAL'!AQ447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TOTAL'!M448</f>
        <v>0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  <c r="AH351" s="70">
        <f>'RESUMEN TOTAL'!AO448</f>
        <v>0</v>
      </c>
      <c r="AI351" s="70">
        <f>'RESUMEN TOTAL'!AP448</f>
        <v>0</v>
      </c>
      <c r="AJ351" s="70">
        <f>'RESUMEN TOTAL'!AQ448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TOTAL'!M449</f>
        <v>0</v>
      </c>
      <c r="G352" s="70">
        <f>'RESUMEN TOTAL'!N449</f>
        <v>0</v>
      </c>
      <c r="H352" s="70">
        <f>'RESUMEN TOTAL'!O449</f>
        <v>0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  <c r="AH352" s="70">
        <f>'RESUMEN TOTAL'!AO449</f>
        <v>0</v>
      </c>
      <c r="AI352" s="70">
        <f>'RESUMEN TOTAL'!AP449</f>
        <v>0</v>
      </c>
      <c r="AJ352" s="70">
        <f>'RESUMEN TOTAL'!AQ449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TOTAL'!M450</f>
        <v>APAGADO</v>
      </c>
      <c r="G353" s="70" t="str">
        <f>'RESUMEN TOTAL'!N450</f>
        <v>APAGADO</v>
      </c>
      <c r="H353" s="70" t="str">
        <f>'RESUMEN TOTAL'!O450</f>
        <v>APAGADO</v>
      </c>
      <c r="I353" s="70">
        <f>'RESUMEN TOTAL'!P450</f>
        <v>0</v>
      </c>
      <c r="J353" s="70">
        <f>'RESUMEN TOTAL'!Q450</f>
        <v>0</v>
      </c>
      <c r="K353" s="70">
        <f>'RESUMEN TOTAL'!R450</f>
        <v>0</v>
      </c>
      <c r="L353" s="70">
        <f>'RESUMEN TOTAL'!S450</f>
        <v>0</v>
      </c>
      <c r="M353" s="70">
        <f>'RESUMEN TOTAL'!T450</f>
        <v>0</v>
      </c>
      <c r="N353" s="70">
        <f>'RESUMEN TOTAL'!U450</f>
        <v>0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  <c r="AH353" s="70">
        <f>'RESUMEN TOTAL'!AO450</f>
        <v>0</v>
      </c>
      <c r="AI353" s="70">
        <f>'RESUMEN TOTAL'!AP450</f>
        <v>0</v>
      </c>
      <c r="AJ353" s="70">
        <f>'RESUMEN TOTAL'!AQ450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  <c r="AH354" s="70">
        <f>'RESUMEN TOTAL'!AO451</f>
        <v>0</v>
      </c>
      <c r="AI354" s="70">
        <f>'RESUMEN TOTAL'!AP451</f>
        <v>0</v>
      </c>
      <c r="AJ354" s="70">
        <f>'RESUMEN TOTAL'!AQ451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  <c r="AH355" s="70">
        <f>'RESUMEN TOTAL'!AO452</f>
        <v>0</v>
      </c>
      <c r="AI355" s="70">
        <f>'RESUMEN TOTAL'!AP452</f>
        <v>0</v>
      </c>
      <c r="AJ355" s="70">
        <f>'RESUMEN TOTAL'!AQ452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  <c r="AH356" s="70">
        <f>'RESUMEN TOTAL'!AO453</f>
        <v>0</v>
      </c>
      <c r="AI356" s="70">
        <f>'RESUMEN TOTAL'!AP453</f>
        <v>0</v>
      </c>
      <c r="AJ356" s="70">
        <f>'RESUMEN TOTAL'!AQ453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TOTAL'!M454</f>
        <v>0</v>
      </c>
      <c r="G357" s="70">
        <f>'RESUMEN TOTAL'!N454</f>
        <v>0</v>
      </c>
      <c r="H357" s="70">
        <f>'RESUMEN TOTAL'!O454</f>
        <v>0</v>
      </c>
      <c r="I357" s="70">
        <f>'RESUMEN TOTAL'!P454</f>
        <v>0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  <c r="AH357" s="70">
        <f>'RESUMEN TOTAL'!AO454</f>
        <v>0</v>
      </c>
      <c r="AI357" s="70">
        <f>'RESUMEN TOTAL'!AP454</f>
        <v>0</v>
      </c>
      <c r="AJ357" s="70">
        <f>'RESUMEN TOTAL'!AQ454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TOTAL'!M455</f>
        <v>0</v>
      </c>
      <c r="G358" s="70">
        <f>'RESUMEN TOTAL'!N455</f>
        <v>0</v>
      </c>
      <c r="H358" s="70">
        <f>'RESUMEN TOTAL'!O455</f>
        <v>0</v>
      </c>
      <c r="I358" s="70">
        <f>'RESUMEN TOTAL'!P455</f>
        <v>0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  <c r="AH358" s="70">
        <f>'RESUMEN TOTAL'!AO455</f>
        <v>0</v>
      </c>
      <c r="AI358" s="70">
        <f>'RESUMEN TOTAL'!AP455</f>
        <v>0</v>
      </c>
      <c r="AJ358" s="70">
        <f>'RESUMEN TOTAL'!AQ455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  <c r="AH359" s="70">
        <f>'RESUMEN TOTAL'!AO456</f>
        <v>0</v>
      </c>
      <c r="AI359" s="70">
        <f>'RESUMEN TOTAL'!AP456</f>
        <v>0</v>
      </c>
      <c r="AJ359" s="70">
        <f>'RESUMEN TOTAL'!AQ456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  <c r="AH360" s="70">
        <f>'RESUMEN TOTAL'!AO457</f>
        <v>0</v>
      </c>
      <c r="AI360" s="70">
        <f>'RESUMEN TOTAL'!AP457</f>
        <v>0</v>
      </c>
      <c r="AJ360" s="70">
        <f>'RESUMEN TOTAL'!AQ457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>
        <f>'RESUMEN TOTAL'!P464</f>
        <v>0</v>
      </c>
      <c r="J361" s="70">
        <f>'RESUMEN TOTAL'!Q464</f>
        <v>0</v>
      </c>
      <c r="K361" s="70">
        <f>'RESUMEN TOTAL'!R464</f>
        <v>0</v>
      </c>
      <c r="L361" s="70">
        <f>'RESUMEN TOTAL'!S464</f>
        <v>0</v>
      </c>
      <c r="M361" s="70">
        <f>'RESUMEN TOTAL'!T464</f>
        <v>0</v>
      </c>
      <c r="N361" s="70">
        <f>'RESUMEN TOTAL'!U464</f>
        <v>0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  <c r="AH361" s="70">
        <f>'RESUMEN TOTAL'!AO464</f>
        <v>0</v>
      </c>
      <c r="AI361" s="70">
        <f>'RESUMEN TOTAL'!AP464</f>
        <v>0</v>
      </c>
      <c r="AJ361" s="70">
        <f>'RESUMEN TOTAL'!AQ464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>
        <f>'RESUMEN TOTAL'!P465</f>
        <v>0</v>
      </c>
      <c r="J362" s="70">
        <f>'RESUMEN TOTAL'!Q465</f>
        <v>0</v>
      </c>
      <c r="K362" s="70">
        <f>'RESUMEN TOTAL'!R465</f>
        <v>0</v>
      </c>
      <c r="L362" s="70">
        <f>'RESUMEN TOTAL'!S465</f>
        <v>0</v>
      </c>
      <c r="M362" s="70">
        <f>'RESUMEN TOTAL'!T465</f>
        <v>0</v>
      </c>
      <c r="N362" s="70">
        <f>'RESUMEN TOTAL'!U465</f>
        <v>0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  <c r="AH362" s="70">
        <f>'RESUMEN TOTAL'!AO465</f>
        <v>0</v>
      </c>
      <c r="AI362" s="70">
        <f>'RESUMEN TOTAL'!AP465</f>
        <v>0</v>
      </c>
      <c r="AJ362" s="70">
        <f>'RESUMEN TOTAL'!AQ465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>
        <f>'RESUMEN TOTAL'!P466</f>
        <v>0</v>
      </c>
      <c r="J363" s="70">
        <f>'RESUMEN TOTAL'!Q466</f>
        <v>0</v>
      </c>
      <c r="K363" s="70">
        <f>'RESUMEN TOTAL'!R466</f>
        <v>0</v>
      </c>
      <c r="L363" s="70">
        <f>'RESUMEN TOTAL'!S466</f>
        <v>0</v>
      </c>
      <c r="M363" s="70">
        <f>'RESUMEN TOTAL'!T466</f>
        <v>0</v>
      </c>
      <c r="N363" s="70">
        <f>'RESUMEN TOTAL'!U466</f>
        <v>0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  <c r="AH363" s="70">
        <f>'RESUMEN TOTAL'!AO466</f>
        <v>0</v>
      </c>
      <c r="AI363" s="70">
        <f>'RESUMEN TOTAL'!AP466</f>
        <v>0</v>
      </c>
      <c r="AJ363" s="70">
        <f>'RESUMEN TOTAL'!AQ466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  <c r="AH364" s="70">
        <f>'RESUMEN TOTAL'!AO469</f>
        <v>0</v>
      </c>
      <c r="AI364" s="70">
        <f>'RESUMEN TOTAL'!AP469</f>
        <v>0</v>
      </c>
      <c r="AJ364" s="70">
        <f>'RESUMEN TOTAL'!AQ469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>
        <f>'RESUMEN TOTAL'!P470</f>
        <v>0</v>
      </c>
      <c r="J365" s="70">
        <f>'RESUMEN TOTAL'!Q470</f>
        <v>0</v>
      </c>
      <c r="K365" s="70">
        <f>'RESUMEN TOTAL'!R470</f>
        <v>0</v>
      </c>
      <c r="L365" s="70">
        <f>'RESUMEN TOTAL'!S470</f>
        <v>0</v>
      </c>
      <c r="M365" s="70">
        <f>'RESUMEN TOTAL'!T470</f>
        <v>0</v>
      </c>
      <c r="N365" s="70">
        <f>'RESUMEN TOTAL'!U470</f>
        <v>0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  <c r="AH365" s="70">
        <f>'RESUMEN TOTAL'!AO470</f>
        <v>0</v>
      </c>
      <c r="AI365" s="70">
        <f>'RESUMEN TOTAL'!AP470</f>
        <v>0</v>
      </c>
      <c r="AJ365" s="70">
        <f>'RESUMEN TOTAL'!AQ470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  <c r="AH366" s="70">
        <f>'RESUMEN TOTAL'!AO471</f>
        <v>0</v>
      </c>
      <c r="AI366" s="70">
        <f>'RESUMEN TOTAL'!AP471</f>
        <v>0</v>
      </c>
      <c r="AJ366" s="70">
        <f>'RESUMEN TOTAL'!AQ471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  <c r="AH367" s="70">
        <f>'RESUMEN TOTAL'!AO472</f>
        <v>0</v>
      </c>
      <c r="AI367" s="70">
        <f>'RESUMEN TOTAL'!AP472</f>
        <v>0</v>
      </c>
      <c r="AJ367" s="70">
        <f>'RESUMEN TOTAL'!AQ472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  <c r="AH368" s="70">
        <f>'RESUMEN TOTAL'!AO473</f>
        <v>0</v>
      </c>
      <c r="AI368" s="70">
        <f>'RESUMEN TOTAL'!AP473</f>
        <v>0</v>
      </c>
      <c r="AJ368" s="70">
        <f>'RESUMEN TOTAL'!AQ473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  <c r="AH369" s="70">
        <f>'RESUMEN TOTAL'!AO474</f>
        <v>0</v>
      </c>
      <c r="AI369" s="70">
        <f>'RESUMEN TOTAL'!AP474</f>
        <v>0</v>
      </c>
      <c r="AJ369" s="70">
        <f>'RESUMEN TOTAL'!AQ474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  <c r="AH370" s="70">
        <f>'RESUMEN TOTAL'!AO475</f>
        <v>0</v>
      </c>
      <c r="AI370" s="70">
        <f>'RESUMEN TOTAL'!AP475</f>
        <v>0</v>
      </c>
      <c r="AJ370" s="70">
        <f>'RESUMEN TOTAL'!AQ475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  <c r="AH371" s="70">
        <f>'RESUMEN TOTAL'!AO476</f>
        <v>0</v>
      </c>
      <c r="AI371" s="70">
        <f>'RESUMEN TOTAL'!AP476</f>
        <v>0</v>
      </c>
      <c r="AJ371" s="70">
        <f>'RESUMEN TOTAL'!AQ476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  <c r="AH372" s="70">
        <f>'RESUMEN TOTAL'!AO477</f>
        <v>0</v>
      </c>
      <c r="AI372" s="70">
        <f>'RESUMEN TOTAL'!AP477</f>
        <v>0</v>
      </c>
      <c r="AJ372" s="70">
        <f>'RESUMEN TOTAL'!AQ477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  <c r="AH373" s="70">
        <f>'RESUMEN TOTAL'!AO478</f>
        <v>0</v>
      </c>
      <c r="AI373" s="70">
        <f>'RESUMEN TOTAL'!AP478</f>
        <v>0</v>
      </c>
      <c r="AJ373" s="70">
        <f>'RESUMEN TOTAL'!AQ478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  <c r="AH374" s="70">
        <f>'RESUMEN TOTAL'!AO479</f>
        <v>0</v>
      </c>
      <c r="AI374" s="70">
        <f>'RESUMEN TOTAL'!AP479</f>
        <v>0</v>
      </c>
      <c r="AJ374" s="70">
        <f>'RESUMEN TOTAL'!AQ479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  <c r="AH375" s="70">
        <f>'RESUMEN TOTAL'!AO480</f>
        <v>0</v>
      </c>
      <c r="AI375" s="70">
        <f>'RESUMEN TOTAL'!AP480</f>
        <v>0</v>
      </c>
      <c r="AJ375" s="70">
        <f>'RESUMEN TOTAL'!AQ480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  <c r="AH376" s="70">
        <f>'RESUMEN TOTAL'!AO481</f>
        <v>0</v>
      </c>
      <c r="AI376" s="70">
        <f>'RESUMEN TOTAL'!AP481</f>
        <v>0</v>
      </c>
      <c r="AJ376" s="70">
        <f>'RESUMEN TOTAL'!AQ481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  <c r="AH377" s="70">
        <f>'RESUMEN TOTAL'!AO489</f>
        <v>0</v>
      </c>
      <c r="AI377" s="70">
        <f>'RESUMEN TOTAL'!AP489</f>
        <v>0</v>
      </c>
      <c r="AJ377" s="70">
        <f>'RESUMEN TOTAL'!AQ489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  <c r="AH378" s="70">
        <f>'RESUMEN TOTAL'!AO490</f>
        <v>0</v>
      </c>
      <c r="AI378" s="70">
        <f>'RESUMEN TOTAL'!AP490</f>
        <v>0</v>
      </c>
      <c r="AJ378" s="70">
        <f>'RESUMEN TOTAL'!AQ490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  <c r="AH379" s="70">
        <f>'RESUMEN TOTAL'!AO491</f>
        <v>0</v>
      </c>
      <c r="AI379" s="70">
        <f>'RESUMEN TOTAL'!AP491</f>
        <v>0</v>
      </c>
      <c r="AJ379" s="70">
        <f>'RESUMEN TOTAL'!AQ491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  <c r="AH380" s="70">
        <f>'RESUMEN TOTAL'!AO492</f>
        <v>0</v>
      </c>
      <c r="AI380" s="70">
        <f>'RESUMEN TOTAL'!AP492</f>
        <v>0</v>
      </c>
      <c r="AJ380" s="70">
        <f>'RESUMEN TOTAL'!AQ492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  <c r="AH381" s="70">
        <f>'RESUMEN TOTAL'!AO493</f>
        <v>0</v>
      </c>
      <c r="AI381" s="70">
        <f>'RESUMEN TOTAL'!AP493</f>
        <v>0</v>
      </c>
      <c r="AJ381" s="70">
        <f>'RESUMEN TOTAL'!AQ493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  <c r="AH382" s="70">
        <f>'RESUMEN TOTAL'!AO494</f>
        <v>0</v>
      </c>
      <c r="AI382" s="70">
        <f>'RESUMEN TOTAL'!AP494</f>
        <v>0</v>
      </c>
      <c r="AJ382" s="70">
        <f>'RESUMEN TOTAL'!AQ494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>
        <f>'RESUMEN TOTAL'!O495</f>
        <v>0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  <c r="AH383" s="70">
        <f>'RESUMEN TOTAL'!AO495</f>
        <v>0</v>
      </c>
      <c r="AI383" s="70">
        <f>'RESUMEN TOTAL'!AP495</f>
        <v>0</v>
      </c>
      <c r="AJ383" s="70">
        <f>'RESUMEN TOTAL'!AQ495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  <c r="AH384" s="70">
        <f>'RESUMEN TOTAL'!AO496</f>
        <v>0</v>
      </c>
      <c r="AI384" s="70">
        <f>'RESUMEN TOTAL'!AP496</f>
        <v>0</v>
      </c>
      <c r="AJ384" s="70">
        <f>'RESUMEN TOTAL'!AQ496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  <c r="AH385" s="70">
        <f>'RESUMEN TOTAL'!AO497</f>
        <v>0</v>
      </c>
      <c r="AI385" s="70">
        <f>'RESUMEN TOTAL'!AP497</f>
        <v>0</v>
      </c>
      <c r="AJ385" s="70">
        <f>'RESUMEN TOTAL'!AQ497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  <c r="AH386" s="70">
        <f>'RESUMEN TOTAL'!AO498</f>
        <v>0</v>
      </c>
      <c r="AI386" s="70">
        <f>'RESUMEN TOTAL'!AP498</f>
        <v>0</v>
      </c>
      <c r="AJ386" s="70">
        <f>'RESUMEN TOTAL'!AQ498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  <c r="AH387" s="70">
        <f>'RESUMEN TOTAL'!AO499</f>
        <v>0</v>
      </c>
      <c r="AI387" s="70">
        <f>'RESUMEN TOTAL'!AP499</f>
        <v>0</v>
      </c>
      <c r="AJ387" s="70">
        <f>'RESUMEN TOTAL'!AQ499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  <c r="AH388" s="70">
        <f>'RESUMEN TOTAL'!AO500</f>
        <v>0</v>
      </c>
      <c r="AI388" s="70">
        <f>'RESUMEN TOTAL'!AP500</f>
        <v>0</v>
      </c>
      <c r="AJ388" s="70">
        <f>'RESUMEN TOTAL'!AQ500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  <c r="AH389" s="70">
        <f>'RESUMEN TOTAL'!AO501</f>
        <v>0</v>
      </c>
      <c r="AI389" s="70">
        <f>'RESUMEN TOTAL'!AP501</f>
        <v>0</v>
      </c>
      <c r="AJ389" s="70">
        <f>'RESUMEN TOTAL'!AQ501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  <c r="AH390" s="70">
        <f>'RESUMEN TOTAL'!AO502</f>
        <v>0</v>
      </c>
      <c r="AI390" s="70">
        <f>'RESUMEN TOTAL'!AP502</f>
        <v>0</v>
      </c>
      <c r="AJ390" s="70">
        <f>'RESUMEN TOTAL'!AQ502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  <c r="AH391" s="70">
        <f>'RESUMEN TOTAL'!AO503</f>
        <v>0</v>
      </c>
      <c r="AI391" s="70">
        <f>'RESUMEN TOTAL'!AP503</f>
        <v>0</v>
      </c>
      <c r="AJ391" s="70">
        <f>'RESUMEN TOTAL'!AQ503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  <c r="AH392" s="70">
        <f>'RESUMEN TOTAL'!AO504</f>
        <v>0</v>
      </c>
      <c r="AI392" s="70">
        <f>'RESUMEN TOTAL'!AP504</f>
        <v>0</v>
      </c>
      <c r="AJ392" s="70">
        <f>'RESUMEN TOTAL'!AQ504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  <c r="AH393" s="70">
        <f>'RESUMEN TOTAL'!AO505</f>
        <v>0</v>
      </c>
      <c r="AI393" s="70">
        <f>'RESUMEN TOTAL'!AP505</f>
        <v>0</v>
      </c>
      <c r="AJ393" s="70">
        <f>'RESUMEN TOTAL'!AQ505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  <c r="AH394" s="70">
        <f>'RESUMEN TOTAL'!AO506</f>
        <v>0</v>
      </c>
      <c r="AI394" s="70">
        <f>'RESUMEN TOTAL'!AP506</f>
        <v>0</v>
      </c>
      <c r="AJ394" s="70">
        <f>'RESUMEN TOTAL'!AQ506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  <c r="AH395" s="70">
        <f>'RESUMEN TOTAL'!AO507</f>
        <v>0</v>
      </c>
      <c r="AI395" s="70">
        <f>'RESUMEN TOTAL'!AP507</f>
        <v>0</v>
      </c>
      <c r="AJ395" s="70">
        <f>'RESUMEN TOTAL'!AQ507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  <c r="AH396" s="70">
        <f>'RESUMEN TOTAL'!AO508</f>
        <v>0</v>
      </c>
      <c r="AI396" s="70">
        <f>'RESUMEN TOTAL'!AP508</f>
        <v>0</v>
      </c>
      <c r="AJ396" s="70">
        <f>'RESUMEN TOTAL'!AQ508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  <c r="AH397" s="70">
        <f>'RESUMEN TOTAL'!AO509</f>
        <v>0</v>
      </c>
      <c r="AI397" s="70">
        <f>'RESUMEN TOTAL'!AP509</f>
        <v>0</v>
      </c>
      <c r="AJ397" s="70">
        <f>'RESUMEN TOTAL'!AQ509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  <c r="AH398" s="70">
        <f>'RESUMEN TOTAL'!AO510</f>
        <v>0</v>
      </c>
      <c r="AI398" s="70">
        <f>'RESUMEN TOTAL'!AP510</f>
        <v>0</v>
      </c>
      <c r="AJ398" s="70">
        <f>'RESUMEN TOTAL'!AQ510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  <c r="AH399" s="70">
        <f>'RESUMEN TOTAL'!AO511</f>
        <v>0</v>
      </c>
      <c r="AI399" s="70">
        <f>'RESUMEN TOTAL'!AP511</f>
        <v>0</v>
      </c>
      <c r="AJ399" s="70">
        <f>'RESUMEN TOTAL'!AQ511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  <c r="AH400" s="70">
        <f>'RESUMEN TOTAL'!AO512</f>
        <v>0</v>
      </c>
      <c r="AI400" s="70">
        <f>'RESUMEN TOTAL'!AP512</f>
        <v>0</v>
      </c>
      <c r="AJ400" s="70">
        <f>'RESUMEN TOTAL'!AQ512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  <c r="AH401" s="70">
        <f>'RESUMEN TOTAL'!AO513</f>
        <v>0</v>
      </c>
      <c r="AI401" s="70">
        <f>'RESUMEN TOTAL'!AP513</f>
        <v>0</v>
      </c>
      <c r="AJ401" s="70">
        <f>'RESUMEN TOTAL'!AQ513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TOTAL'!M514</f>
        <v>APAGADO</v>
      </c>
      <c r="G402" s="70" t="str">
        <f>'RESUMEN TOTAL'!N514</f>
        <v>APAGADO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  <c r="AH402" s="70">
        <f>'RESUMEN TOTAL'!AO514</f>
        <v>0</v>
      </c>
      <c r="AI402" s="70">
        <f>'RESUMEN TOTAL'!AP514</f>
        <v>0</v>
      </c>
      <c r="AJ402" s="70">
        <f>'RESUMEN TOTAL'!AQ514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 t="str">
        <f>'RESUMEN TOTAL'!N515</f>
        <v>APAGADO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  <c r="AH403" s="70">
        <f>'RESUMEN TOTAL'!AO515</f>
        <v>0</v>
      </c>
      <c r="AI403" s="70">
        <f>'RESUMEN TOTAL'!AP515</f>
        <v>0</v>
      </c>
      <c r="AJ403" s="70">
        <f>'RESUMEN TOTAL'!AQ515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  <c r="AH404" s="70">
        <f>'RESUMEN TOTAL'!AO516</f>
        <v>0</v>
      </c>
      <c r="AI404" s="70">
        <f>'RESUMEN TOTAL'!AP516</f>
        <v>0</v>
      </c>
      <c r="AJ404" s="70">
        <f>'RESUMEN TOTAL'!AQ516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  <c r="AH405" s="70">
        <f>'RESUMEN TOTAL'!AO517</f>
        <v>0</v>
      </c>
      <c r="AI405" s="70">
        <f>'RESUMEN TOTAL'!AP517</f>
        <v>0</v>
      </c>
      <c r="AJ405" s="70">
        <f>'RESUMEN TOTAL'!AQ517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  <c r="AH406" s="70">
        <f>'RESUMEN TOTAL'!AO518</f>
        <v>0</v>
      </c>
      <c r="AI406" s="70">
        <f>'RESUMEN TOTAL'!AP518</f>
        <v>0</v>
      </c>
      <c r="AJ406" s="70">
        <f>'RESUMEN TOTAL'!AQ518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>
        <f>'RESUMEN TOTAL'!O519</f>
        <v>0</v>
      </c>
      <c r="I407" s="70">
        <f>'RESUMEN TOTAL'!P519</f>
        <v>0</v>
      </c>
      <c r="J407" s="70">
        <f>'RESUMEN TOTAL'!Q519</f>
        <v>0</v>
      </c>
      <c r="K407" s="70">
        <f>'RESUMEN TOTAL'!R519</f>
        <v>0</v>
      </c>
      <c r="L407" s="70">
        <f>'RESUMEN TOTAL'!S519</f>
        <v>0</v>
      </c>
      <c r="M407" s="70">
        <f>'RESUMEN TOTAL'!T519</f>
        <v>0</v>
      </c>
      <c r="N407" s="70">
        <f>'RESUMEN TOTAL'!U519</f>
        <v>0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  <c r="AH407" s="70">
        <f>'RESUMEN TOTAL'!AO519</f>
        <v>0</v>
      </c>
      <c r="AI407" s="70">
        <f>'RESUMEN TOTAL'!AP519</f>
        <v>0</v>
      </c>
      <c r="AJ407" s="70">
        <f>'RESUMEN TOTAL'!AQ519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  <c r="AH408" s="70">
        <f>'RESUMEN TOTAL'!AO520</f>
        <v>0</v>
      </c>
      <c r="AI408" s="70">
        <f>'RESUMEN TOTAL'!AP520</f>
        <v>0</v>
      </c>
      <c r="AJ408" s="70">
        <f>'RESUMEN TOTAL'!AQ520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  <c r="AH409" s="70">
        <f>'RESUMEN TOTAL'!AO521</f>
        <v>0</v>
      </c>
      <c r="AI409" s="70">
        <f>'RESUMEN TOTAL'!AP521</f>
        <v>0</v>
      </c>
      <c r="AJ409" s="70">
        <f>'RESUMEN TOTAL'!AQ521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  <c r="AH410" s="70">
        <f>'RESUMEN TOTAL'!AO522</f>
        <v>0</v>
      </c>
      <c r="AI410" s="70">
        <f>'RESUMEN TOTAL'!AP522</f>
        <v>0</v>
      </c>
      <c r="AJ410" s="70">
        <f>'RESUMEN TOTAL'!AQ522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  <c r="AH411" s="70">
        <f>'RESUMEN TOTAL'!AO523</f>
        <v>0</v>
      </c>
      <c r="AI411" s="70">
        <f>'RESUMEN TOTAL'!AP523</f>
        <v>0</v>
      </c>
      <c r="AJ411" s="70">
        <f>'RESUMEN TOTAL'!AQ523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  <c r="AH412" s="70">
        <f>'RESUMEN TOTAL'!AO524</f>
        <v>0</v>
      </c>
      <c r="AI412" s="70">
        <f>'RESUMEN TOTAL'!AP524</f>
        <v>0</v>
      </c>
      <c r="AJ412" s="70">
        <f>'RESUMEN TOTAL'!AQ524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  <c r="AH413" s="70">
        <f>'RESUMEN TOTAL'!AO525</f>
        <v>0</v>
      </c>
      <c r="AI413" s="70">
        <f>'RESUMEN TOTAL'!AP525</f>
        <v>0</v>
      </c>
      <c r="AJ413" s="70">
        <f>'RESUMEN TOTAL'!AQ525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  <c r="AH414" s="70">
        <f>'RESUMEN TOTAL'!AO526</f>
        <v>0</v>
      </c>
      <c r="AI414" s="70">
        <f>'RESUMEN TOTAL'!AP526</f>
        <v>0</v>
      </c>
      <c r="AJ414" s="70">
        <f>'RESUMEN TOTAL'!AQ526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  <c r="AH415" s="70">
        <f>'RESUMEN TOTAL'!AO527</f>
        <v>0</v>
      </c>
      <c r="AI415" s="70">
        <f>'RESUMEN TOTAL'!AP527</f>
        <v>0</v>
      </c>
      <c r="AJ415" s="70">
        <f>'RESUMEN TOTAL'!AQ527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  <c r="AH416" s="70">
        <f>'RESUMEN TOTAL'!AO528</f>
        <v>0</v>
      </c>
      <c r="AI416" s="70">
        <f>'RESUMEN TOTAL'!AP528</f>
        <v>0</v>
      </c>
      <c r="AJ416" s="70">
        <f>'RESUMEN TOTAL'!AQ528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TOTAL'!M529</f>
        <v>0</v>
      </c>
      <c r="G417" s="70">
        <f>'RESUMEN TOTAL'!N529</f>
        <v>0</v>
      </c>
      <c r="H417" s="70">
        <f>'RESUMEN TOTAL'!O529</f>
        <v>0</v>
      </c>
      <c r="I417" s="70">
        <f>'RESUMEN TOTAL'!P529</f>
        <v>0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  <c r="AH417" s="70">
        <f>'RESUMEN TOTAL'!AO529</f>
        <v>0</v>
      </c>
      <c r="AI417" s="70">
        <f>'RESUMEN TOTAL'!AP529</f>
        <v>0</v>
      </c>
      <c r="AJ417" s="70">
        <f>'RESUMEN TOTAL'!AQ529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  <c r="AH418" s="70">
        <f>'RESUMEN TOTAL'!AO535</f>
        <v>0</v>
      </c>
      <c r="AI418" s="70">
        <f>'RESUMEN TOTAL'!AP535</f>
        <v>0</v>
      </c>
      <c r="AJ418" s="70">
        <f>'RESUMEN TOTAL'!AQ535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  <c r="AH419" s="70">
        <f>'RESUMEN TOTAL'!AO536</f>
        <v>0</v>
      </c>
      <c r="AI419" s="70">
        <f>'RESUMEN TOTAL'!AP536</f>
        <v>0</v>
      </c>
      <c r="AJ419" s="70">
        <f>'RESUMEN TOTAL'!AQ536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  <c r="AH420" s="70">
        <f>'RESUMEN TOTAL'!AO537</f>
        <v>0</v>
      </c>
      <c r="AI420" s="70">
        <f>'RESUMEN TOTAL'!AP537</f>
        <v>0</v>
      </c>
      <c r="AJ420" s="70">
        <f>'RESUMEN TOTAL'!AQ537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  <c r="AH421" s="70">
        <f>'RESUMEN TOTAL'!AO538</f>
        <v>0</v>
      </c>
      <c r="AI421" s="70">
        <f>'RESUMEN TOTAL'!AP538</f>
        <v>0</v>
      </c>
      <c r="AJ421" s="70">
        <f>'RESUMEN TOTAL'!AQ538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  <c r="AH422" s="70">
        <f>'RESUMEN TOTAL'!AO539</f>
        <v>0</v>
      </c>
      <c r="AI422" s="70">
        <f>'RESUMEN TOTAL'!AP539</f>
        <v>0</v>
      </c>
      <c r="AJ422" s="70">
        <f>'RESUMEN TOTAL'!AQ539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  <c r="AH423" s="70">
        <f>'RESUMEN TOTAL'!AO540</f>
        <v>0</v>
      </c>
      <c r="AI423" s="70">
        <f>'RESUMEN TOTAL'!AP540</f>
        <v>0</v>
      </c>
      <c r="AJ423" s="70">
        <f>'RESUMEN TOTAL'!AQ540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  <c r="AH424" s="70">
        <f>'RESUMEN TOTAL'!AO541</f>
        <v>0</v>
      </c>
      <c r="AI424" s="70">
        <f>'RESUMEN TOTAL'!AP541</f>
        <v>0</v>
      </c>
      <c r="AJ424" s="70">
        <f>'RESUMEN TOTAL'!AQ541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  <c r="AH425" s="70">
        <f>'RESUMEN TOTAL'!AO542</f>
        <v>0</v>
      </c>
      <c r="AI425" s="70">
        <f>'RESUMEN TOTAL'!AP542</f>
        <v>0</v>
      </c>
      <c r="AJ425" s="70">
        <f>'RESUMEN TOTAL'!AQ542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  <c r="AH426" s="70">
        <f>'RESUMEN TOTAL'!AO544</f>
        <v>0</v>
      </c>
      <c r="AI426" s="70">
        <f>'RESUMEN TOTAL'!AP544</f>
        <v>0</v>
      </c>
      <c r="AJ426" s="70">
        <f>'RESUMEN TOTAL'!AQ544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TOTAL'!M545</f>
        <v>APAGADO</v>
      </c>
      <c r="G427" s="70" t="str">
        <f>'RESUMEN TOTAL'!N545</f>
        <v>APAGADO</v>
      </c>
      <c r="H427" s="70" t="str">
        <f>'RESUMEN TOTAL'!O545</f>
        <v>APAGADO</v>
      </c>
      <c r="I427" s="70">
        <f>'RESUMEN TOTAL'!P545</f>
        <v>0</v>
      </c>
      <c r="J427" s="70">
        <f>'RESUMEN TOTAL'!Q545</f>
        <v>0</v>
      </c>
      <c r="K427" s="70">
        <f>'RESUMEN TOTAL'!R545</f>
        <v>0</v>
      </c>
      <c r="L427" s="70">
        <f>'RESUMEN TOTAL'!S545</f>
        <v>0</v>
      </c>
      <c r="M427" s="70">
        <f>'RESUMEN TOTAL'!T545</f>
        <v>0</v>
      </c>
      <c r="N427" s="70">
        <f>'RESUMEN TOTAL'!U545</f>
        <v>0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  <c r="AH427" s="70">
        <f>'RESUMEN TOTAL'!AO545</f>
        <v>0</v>
      </c>
      <c r="AI427" s="70">
        <f>'RESUMEN TOTAL'!AP545</f>
        <v>0</v>
      </c>
      <c r="AJ427" s="70">
        <f>'RESUMEN TOTAL'!AQ545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  <c r="AH428" s="70">
        <f>'RESUMEN TOTAL'!AO546</f>
        <v>0</v>
      </c>
      <c r="AI428" s="70">
        <f>'RESUMEN TOTAL'!AP546</f>
        <v>0</v>
      </c>
      <c r="AJ428" s="70">
        <f>'RESUMEN TOTAL'!AQ546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  <c r="AH429" s="70">
        <f>'RESUMEN TOTAL'!AO547</f>
        <v>0</v>
      </c>
      <c r="AI429" s="70">
        <f>'RESUMEN TOTAL'!AP547</f>
        <v>0</v>
      </c>
      <c r="AJ429" s="70">
        <f>'RESUMEN TOTAL'!AQ547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  <c r="AH430" s="70">
        <f>'RESUMEN TOTAL'!AO548</f>
        <v>0</v>
      </c>
      <c r="AI430" s="70">
        <f>'RESUMEN TOTAL'!AP548</f>
        <v>0</v>
      </c>
      <c r="AJ430" s="70">
        <f>'RESUMEN TOTAL'!AQ548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  <c r="AH431" s="70">
        <f>'RESUMEN TOTAL'!AO549</f>
        <v>0</v>
      </c>
      <c r="AI431" s="70">
        <f>'RESUMEN TOTAL'!AP549</f>
        <v>0</v>
      </c>
      <c r="AJ431" s="70">
        <f>'RESUMEN TOTAL'!AQ549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  <c r="AH432" s="70">
        <f>'RESUMEN TOTAL'!AO551</f>
        <v>0</v>
      </c>
      <c r="AI432" s="70">
        <f>'RESUMEN TOTAL'!AP551</f>
        <v>0</v>
      </c>
      <c r="AJ432" s="70">
        <f>'RESUMEN TOTAL'!AQ551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  <c r="AH433" s="70">
        <f>'RESUMEN TOTAL'!AO552</f>
        <v>0</v>
      </c>
      <c r="AI433" s="70">
        <f>'RESUMEN TOTAL'!AP552</f>
        <v>0</v>
      </c>
      <c r="AJ433" s="70">
        <f>'RESUMEN TOTAL'!AQ552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  <c r="AH434" s="70">
        <f>'RESUMEN TOTAL'!AO553</f>
        <v>0</v>
      </c>
      <c r="AI434" s="70">
        <f>'RESUMEN TOTAL'!AP553</f>
        <v>0</v>
      </c>
      <c r="AJ434" s="70">
        <f>'RESUMEN TOTAL'!AQ553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  <c r="AH435" s="70">
        <f>'RESUMEN TOTAL'!AO554</f>
        <v>0</v>
      </c>
      <c r="AI435" s="70">
        <f>'RESUMEN TOTAL'!AP554</f>
        <v>0</v>
      </c>
      <c r="AJ435" s="70">
        <f>'RESUMEN TOTAL'!AQ554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>
        <f>'RESUMEN TOTAL'!P558</f>
        <v>0</v>
      </c>
      <c r="J436" s="70">
        <f>'RESUMEN TOTAL'!Q558</f>
        <v>0</v>
      </c>
      <c r="K436" s="70">
        <f>'RESUMEN TOTAL'!R558</f>
        <v>0</v>
      </c>
      <c r="L436" s="70">
        <f>'RESUMEN TOTAL'!S558</f>
        <v>0</v>
      </c>
      <c r="M436" s="70">
        <f>'RESUMEN TOTAL'!T558</f>
        <v>0</v>
      </c>
      <c r="N436" s="70">
        <f>'RESUMEN TOTAL'!U558</f>
        <v>0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  <c r="AH436" s="70">
        <f>'RESUMEN TOTAL'!AO558</f>
        <v>0</v>
      </c>
      <c r="AI436" s="70">
        <f>'RESUMEN TOTAL'!AP558</f>
        <v>0</v>
      </c>
      <c r="AJ436" s="70">
        <f>'RESUMEN TOTAL'!AQ558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  <c r="AH437" s="70">
        <f>'RESUMEN TOTAL'!AO559</f>
        <v>0</v>
      </c>
      <c r="AI437" s="70">
        <f>'RESUMEN TOTAL'!AP559</f>
        <v>0</v>
      </c>
      <c r="AJ437" s="70">
        <f>'RESUMEN TOTAL'!AQ559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>
        <f>'RESUMEN TOTAL'!P560</f>
        <v>0</v>
      </c>
      <c r="J438" s="70">
        <f>'RESUMEN TOTAL'!Q560</f>
        <v>0</v>
      </c>
      <c r="K438" s="70">
        <f>'RESUMEN TOTAL'!R560</f>
        <v>0</v>
      </c>
      <c r="L438" s="70">
        <f>'RESUMEN TOTAL'!S560</f>
        <v>0</v>
      </c>
      <c r="M438" s="70">
        <f>'RESUMEN TOTAL'!T560</f>
        <v>0</v>
      </c>
      <c r="N438" s="70">
        <f>'RESUMEN TOTAL'!U560</f>
        <v>0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  <c r="AH438" s="70">
        <f>'RESUMEN TOTAL'!AO560</f>
        <v>0</v>
      </c>
      <c r="AI438" s="70">
        <f>'RESUMEN TOTAL'!AP560</f>
        <v>0</v>
      </c>
      <c r="AJ438" s="70">
        <f>'RESUMEN TOTAL'!AQ560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  <c r="AH439" s="70">
        <f>'RESUMEN TOTAL'!AO561</f>
        <v>0</v>
      </c>
      <c r="AI439" s="70">
        <f>'RESUMEN TOTAL'!AP561</f>
        <v>0</v>
      </c>
      <c r="AJ439" s="70">
        <f>'RESUMEN TOTAL'!AQ561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  <c r="AH440" s="70">
        <f>'RESUMEN TOTAL'!AO562</f>
        <v>0</v>
      </c>
      <c r="AI440" s="70">
        <f>'RESUMEN TOTAL'!AP562</f>
        <v>0</v>
      </c>
      <c r="AJ440" s="70">
        <f>'RESUMEN TOTAL'!AQ562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  <c r="AH441" s="70">
        <f>'RESUMEN TOTAL'!AO564</f>
        <v>0</v>
      </c>
      <c r="AI441" s="70">
        <f>'RESUMEN TOTAL'!AP564</f>
        <v>0</v>
      </c>
      <c r="AJ441" s="70">
        <f>'RESUMEN TOTAL'!AQ564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  <c r="AH442" s="70">
        <f>'RESUMEN TOTAL'!AO565</f>
        <v>0</v>
      </c>
      <c r="AI442" s="70">
        <f>'RESUMEN TOTAL'!AP565</f>
        <v>0</v>
      </c>
      <c r="AJ442" s="70">
        <f>'RESUMEN TOTAL'!AQ565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  <c r="AH443" s="70">
        <f>'RESUMEN TOTAL'!AO566</f>
        <v>0</v>
      </c>
      <c r="AI443" s="70">
        <f>'RESUMEN TOTAL'!AP566</f>
        <v>0</v>
      </c>
      <c r="AJ443" s="70">
        <f>'RESUMEN TOTAL'!AQ566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  <c r="AH444" s="70">
        <f>'RESUMEN TOTAL'!AO567</f>
        <v>0</v>
      </c>
      <c r="AI444" s="70">
        <f>'RESUMEN TOTAL'!AP567</f>
        <v>0</v>
      </c>
      <c r="AJ444" s="70">
        <f>'RESUMEN TOTAL'!AQ567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>
        <f>'RESUMEN TOTAL'!P568</f>
        <v>0</v>
      </c>
      <c r="J445" s="70">
        <f>'RESUMEN TOTAL'!Q568</f>
        <v>0</v>
      </c>
      <c r="K445" s="70">
        <f>'RESUMEN TOTAL'!R568</f>
        <v>0</v>
      </c>
      <c r="L445" s="70">
        <f>'RESUMEN TOTAL'!S568</f>
        <v>0</v>
      </c>
      <c r="M445" s="70">
        <f>'RESUMEN TOTAL'!T568</f>
        <v>0</v>
      </c>
      <c r="N445" s="70">
        <f>'RESUMEN TOTAL'!U568</f>
        <v>0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  <c r="AH445" s="70">
        <f>'RESUMEN TOTAL'!AO568</f>
        <v>0</v>
      </c>
      <c r="AI445" s="70">
        <f>'RESUMEN TOTAL'!AP568</f>
        <v>0</v>
      </c>
      <c r="AJ445" s="70">
        <f>'RESUMEN TOTAL'!AQ568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>
        <f>'RESUMEN TOTAL'!P569</f>
        <v>0</v>
      </c>
      <c r="J446" s="70">
        <f>'RESUMEN TOTAL'!Q569</f>
        <v>0</v>
      </c>
      <c r="K446" s="70">
        <f>'RESUMEN TOTAL'!R569</f>
        <v>0</v>
      </c>
      <c r="L446" s="70">
        <f>'RESUMEN TOTAL'!S569</f>
        <v>0</v>
      </c>
      <c r="M446" s="70">
        <f>'RESUMEN TOTAL'!T569</f>
        <v>0</v>
      </c>
      <c r="N446" s="70">
        <f>'RESUMEN TOTAL'!U569</f>
        <v>0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  <c r="AH446" s="70">
        <f>'RESUMEN TOTAL'!AO569</f>
        <v>0</v>
      </c>
      <c r="AI446" s="70">
        <f>'RESUMEN TOTAL'!AP569</f>
        <v>0</v>
      </c>
      <c r="AJ446" s="70">
        <f>'RESUMEN TOTAL'!AQ569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>
        <f>'RESUMEN TOTAL'!P570</f>
        <v>0</v>
      </c>
      <c r="J447" s="70">
        <f>'RESUMEN TOTAL'!Q570</f>
        <v>0</v>
      </c>
      <c r="K447" s="70">
        <f>'RESUMEN TOTAL'!R570</f>
        <v>0</v>
      </c>
      <c r="L447" s="70">
        <f>'RESUMEN TOTAL'!S570</f>
        <v>0</v>
      </c>
      <c r="M447" s="70">
        <f>'RESUMEN TOTAL'!T570</f>
        <v>0</v>
      </c>
      <c r="N447" s="70">
        <f>'RESUMEN TOTAL'!U570</f>
        <v>0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  <c r="AH447" s="70">
        <f>'RESUMEN TOTAL'!AO570</f>
        <v>0</v>
      </c>
      <c r="AI447" s="70">
        <f>'RESUMEN TOTAL'!AP570</f>
        <v>0</v>
      </c>
      <c r="AJ447" s="70">
        <f>'RESUMEN TOTAL'!AQ570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>
        <f>'RESUMEN TOTAL'!P571</f>
        <v>0</v>
      </c>
      <c r="J448" s="70">
        <f>'RESUMEN TOTAL'!Q571</f>
        <v>0</v>
      </c>
      <c r="K448" s="70">
        <f>'RESUMEN TOTAL'!R571</f>
        <v>0</v>
      </c>
      <c r="L448" s="70">
        <f>'RESUMEN TOTAL'!S571</f>
        <v>0</v>
      </c>
      <c r="M448" s="70">
        <f>'RESUMEN TOTAL'!T571</f>
        <v>0</v>
      </c>
      <c r="N448" s="70">
        <f>'RESUMEN TOTAL'!U571</f>
        <v>0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  <c r="AH448" s="70">
        <f>'RESUMEN TOTAL'!AO571</f>
        <v>0</v>
      </c>
      <c r="AI448" s="70">
        <f>'RESUMEN TOTAL'!AP571</f>
        <v>0</v>
      </c>
      <c r="AJ448" s="70">
        <f>'RESUMEN TOTAL'!AQ571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>
        <f>'RESUMEN TOTAL'!P572</f>
        <v>0</v>
      </c>
      <c r="J449" s="70">
        <f>'RESUMEN TOTAL'!Q572</f>
        <v>0</v>
      </c>
      <c r="K449" s="70">
        <f>'RESUMEN TOTAL'!R572</f>
        <v>0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  <c r="AH449" s="70">
        <f>'RESUMEN TOTAL'!AO572</f>
        <v>0</v>
      </c>
      <c r="AI449" s="70">
        <f>'RESUMEN TOTAL'!AP572</f>
        <v>0</v>
      </c>
      <c r="AJ449" s="70">
        <f>'RESUMEN TOTAL'!AQ572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  <c r="AH450" s="70">
        <f>'RESUMEN TOTAL'!AO573</f>
        <v>0</v>
      </c>
      <c r="AI450" s="70">
        <f>'RESUMEN TOTAL'!AP573</f>
        <v>0</v>
      </c>
      <c r="AJ450" s="70">
        <f>'RESUMEN TOTAL'!AQ573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  <c r="AH451" s="70">
        <f>'RESUMEN TOTAL'!AO576</f>
        <v>0</v>
      </c>
      <c r="AI451" s="70">
        <f>'RESUMEN TOTAL'!AP576</f>
        <v>0</v>
      </c>
      <c r="AJ451" s="70">
        <f>'RESUMEN TOTAL'!AQ576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>
        <f>'RESUMEN TOTAL'!P577</f>
        <v>0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  <c r="AH452" s="70">
        <f>'RESUMEN TOTAL'!AO577</f>
        <v>0</v>
      </c>
      <c r="AI452" s="70">
        <f>'RESUMEN TOTAL'!AP577</f>
        <v>0</v>
      </c>
      <c r="AJ452" s="70">
        <f>'RESUMEN TOTAL'!AQ577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  <c r="AH453" s="70">
        <f>'RESUMEN TOTAL'!AO578</f>
        <v>0</v>
      </c>
      <c r="AI453" s="70">
        <f>'RESUMEN TOTAL'!AP578</f>
        <v>0</v>
      </c>
      <c r="AJ453" s="70">
        <f>'RESUMEN TOTAL'!AQ578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  <c r="AH454" s="70">
        <f>'RESUMEN TOTAL'!AO579</f>
        <v>0</v>
      </c>
      <c r="AI454" s="70">
        <f>'RESUMEN TOTAL'!AP579</f>
        <v>0</v>
      </c>
      <c r="AJ454" s="70">
        <f>'RESUMEN TOTAL'!AQ579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  <c r="AH455" s="70">
        <f>'RESUMEN TOTAL'!AO580</f>
        <v>0</v>
      </c>
      <c r="AI455" s="70">
        <f>'RESUMEN TOTAL'!AP580</f>
        <v>0</v>
      </c>
      <c r="AJ455" s="70">
        <f>'RESUMEN TOTAL'!AQ580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  <c r="AH456" s="70">
        <f>'RESUMEN TOTAL'!AO581</f>
        <v>0</v>
      </c>
      <c r="AI456" s="70">
        <f>'RESUMEN TOTAL'!AP581</f>
        <v>0</v>
      </c>
      <c r="AJ456" s="70">
        <f>'RESUMEN TOTAL'!AQ581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  <c r="AH457" s="70">
        <f>'RESUMEN TOTAL'!AO583</f>
        <v>0</v>
      </c>
      <c r="AI457" s="70">
        <f>'RESUMEN TOTAL'!AP583</f>
        <v>0</v>
      </c>
      <c r="AJ457" s="70">
        <f>'RESUMEN TOTAL'!AQ583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  <c r="AH458" s="70">
        <f>'RESUMEN TOTAL'!AO584</f>
        <v>0</v>
      </c>
      <c r="AI458" s="70">
        <f>'RESUMEN TOTAL'!AP584</f>
        <v>0</v>
      </c>
      <c r="AJ458" s="70">
        <f>'RESUMEN TOTAL'!AQ584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  <c r="AH459" s="70">
        <f>'RESUMEN TOTAL'!AO585</f>
        <v>0</v>
      </c>
      <c r="AI459" s="70">
        <f>'RESUMEN TOTAL'!AP585</f>
        <v>0</v>
      </c>
      <c r="AJ459" s="70">
        <f>'RESUMEN TOTAL'!AQ585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TOTAL'!M586</f>
        <v>0</v>
      </c>
      <c r="G460" s="70" t="str">
        <f>'RESUMEN TOTAL'!N586</f>
        <v>APAGADO</v>
      </c>
      <c r="H460" s="70" t="str">
        <f>'RESUMEN TOTAL'!O586</f>
        <v>APAGADO</v>
      </c>
      <c r="I460" s="70">
        <f>'RESUMEN TOTAL'!P586</f>
        <v>0</v>
      </c>
      <c r="J460" s="70">
        <f>'RESUMEN TOTAL'!Q586</f>
        <v>0</v>
      </c>
      <c r="K460" s="70">
        <f>'RESUMEN TOTAL'!R586</f>
        <v>0</v>
      </c>
      <c r="L460" s="70">
        <f>'RESUMEN TOTAL'!S586</f>
        <v>0</v>
      </c>
      <c r="M460" s="70">
        <f>'RESUMEN TOTAL'!T586</f>
        <v>0</v>
      </c>
      <c r="N460" s="70">
        <f>'RESUMEN TOTAL'!U586</f>
        <v>0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  <c r="AH460" s="70">
        <f>'RESUMEN TOTAL'!AO586</f>
        <v>0</v>
      </c>
      <c r="AI460" s="70">
        <f>'RESUMEN TOTAL'!AP586</f>
        <v>0</v>
      </c>
      <c r="AJ460" s="70">
        <f>'RESUMEN TOTAL'!AQ586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  <c r="AH549" s="70">
        <f>'RESUMEN TOTAL'!AO673</f>
        <v>0</v>
      </c>
      <c r="AI549" s="70">
        <f>'RESUMEN TOTAL'!AP673</f>
        <v>0</v>
      </c>
      <c r="AJ549" s="70">
        <f>'RESUMEN TOTAL'!AQ673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  <c r="AH550" s="70">
        <f>'RESUMEN TOTAL'!AO674</f>
        <v>0</v>
      </c>
      <c r="AI550" s="70">
        <f>'RESUMEN TOTAL'!AP674</f>
        <v>0</v>
      </c>
      <c r="AJ550" s="70">
        <f>'RESUMEN TOTAL'!AQ674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  <c r="AH551" s="70">
        <f>'RESUMEN TOTAL'!AO675</f>
        <v>0</v>
      </c>
      <c r="AI551" s="70">
        <f>'RESUMEN TOTAL'!AP675</f>
        <v>0</v>
      </c>
      <c r="AJ551" s="70">
        <f>'RESUMEN TOTAL'!AQ675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  <c r="AH552" s="70">
        <f>'RESUMEN TOTAL'!AO676</f>
        <v>0</v>
      </c>
      <c r="AI552" s="70">
        <f>'RESUMEN TOTAL'!AP676</f>
        <v>0</v>
      </c>
      <c r="AJ552" s="70">
        <f>'RESUMEN TOTAL'!AQ676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  <c r="AH553" s="70">
        <f>'RESUMEN TOTAL'!AO677</f>
        <v>0</v>
      </c>
      <c r="AI553" s="70">
        <f>'RESUMEN TOTAL'!AP677</f>
        <v>0</v>
      </c>
      <c r="AJ553" s="70">
        <f>'RESUMEN TOTAL'!AQ677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  <c r="AH554" s="70">
        <f>'RESUMEN TOTAL'!AO678</f>
        <v>0</v>
      </c>
      <c r="AI554" s="70">
        <f>'RESUMEN TOTAL'!AP678</f>
        <v>0</v>
      </c>
      <c r="AJ554" s="70">
        <f>'RESUMEN TOTAL'!AQ678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  <c r="AH555" s="70">
        <f>'RESUMEN TOTAL'!AO679</f>
        <v>0</v>
      </c>
      <c r="AI555" s="70">
        <f>'RESUMEN TOTAL'!AP679</f>
        <v>0</v>
      </c>
      <c r="AJ555" s="70">
        <f>'RESUMEN TOTAL'!AQ679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  <c r="AH556" s="70">
        <f>'RESUMEN TOTAL'!AO680</f>
        <v>0</v>
      </c>
      <c r="AI556" s="70">
        <f>'RESUMEN TOTAL'!AP680</f>
        <v>0</v>
      </c>
      <c r="AJ556" s="70">
        <f>'RESUMEN TOTAL'!AQ680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  <c r="AH557" s="70">
        <f>'RESUMEN TOTAL'!AO681</f>
        <v>0</v>
      </c>
      <c r="AI557" s="70">
        <f>'RESUMEN TOTAL'!AP681</f>
        <v>0</v>
      </c>
      <c r="AJ557" s="70">
        <f>'RESUMEN TOTAL'!AQ681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  <c r="AH558" s="70">
        <f>'RESUMEN TOTAL'!AO682</f>
        <v>0</v>
      </c>
      <c r="AI558" s="70">
        <f>'RESUMEN TOTAL'!AP682</f>
        <v>0</v>
      </c>
      <c r="AJ558" s="70">
        <f>'RESUMEN TOTAL'!AQ682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  <c r="AH559" s="70">
        <f>'RESUMEN TOTAL'!AO683</f>
        <v>0</v>
      </c>
      <c r="AI559" s="70">
        <f>'RESUMEN TOTAL'!AP683</f>
        <v>0</v>
      </c>
      <c r="AJ559" s="70">
        <f>'RESUMEN TOTAL'!AQ683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  <c r="AH560" s="70">
        <f>'RESUMEN TOTAL'!AO684</f>
        <v>0</v>
      </c>
      <c r="AI560" s="70">
        <f>'RESUMEN TOTAL'!AP684</f>
        <v>0</v>
      </c>
      <c r="AJ560" s="70">
        <f>'RESUMEN TOTAL'!AQ684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  <c r="AH561" s="70">
        <f>'RESUMEN TOTAL'!AO685</f>
        <v>0</v>
      </c>
      <c r="AI561" s="70">
        <f>'RESUMEN TOTAL'!AP685</f>
        <v>0</v>
      </c>
      <c r="AJ561" s="70">
        <f>'RESUMEN TOTAL'!AQ685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  <c r="AH562" s="70">
        <f>'RESUMEN TOTAL'!AO686</f>
        <v>0</v>
      </c>
      <c r="AI562" s="70">
        <f>'RESUMEN TOTAL'!AP686</f>
        <v>0</v>
      </c>
      <c r="AJ562" s="70">
        <f>'RESUMEN TOTAL'!AQ686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  <c r="AH563" s="70">
        <f>'RESUMEN TOTAL'!AO687</f>
        <v>0</v>
      </c>
      <c r="AI563" s="70">
        <f>'RESUMEN TOTAL'!AP687</f>
        <v>0</v>
      </c>
      <c r="AJ563" s="70">
        <f>'RESUMEN TOTAL'!AQ687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  <c r="AH564" s="70">
        <f>'RESUMEN TOTAL'!AO688</f>
        <v>0</v>
      </c>
      <c r="AI564" s="70">
        <f>'RESUMEN TOTAL'!AP688</f>
        <v>0</v>
      </c>
      <c r="AJ564" s="70">
        <f>'RESUMEN TOTAL'!AQ688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  <c r="AH565" s="70">
        <f>'RESUMEN TOTAL'!AO689</f>
        <v>0</v>
      </c>
      <c r="AI565" s="70">
        <f>'RESUMEN TOTAL'!AP689</f>
        <v>0</v>
      </c>
      <c r="AJ565" s="70">
        <f>'RESUMEN TOTAL'!AQ689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  <c r="AH566" s="70">
        <f>'RESUMEN TOTAL'!AO690</f>
        <v>0</v>
      </c>
      <c r="AI566" s="70">
        <f>'RESUMEN TOTAL'!AP690</f>
        <v>0</v>
      </c>
      <c r="AJ566" s="70">
        <f>'RESUMEN TOTAL'!AQ690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  <c r="AH567" s="70">
        <f>'RESUMEN TOTAL'!AO691</f>
        <v>0</v>
      </c>
      <c r="AI567" s="70">
        <f>'RESUMEN TOTAL'!AP691</f>
        <v>0</v>
      </c>
      <c r="AJ567" s="70">
        <f>'RESUMEN TOTAL'!AQ691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  <c r="AH568" s="70">
        <f>'RESUMEN TOTAL'!AO692</f>
        <v>0</v>
      </c>
      <c r="AI568" s="70">
        <f>'RESUMEN TOTAL'!AP692</f>
        <v>0</v>
      </c>
      <c r="AJ568" s="70">
        <f>'RESUMEN TOTAL'!AQ692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  <c r="AH569" s="70">
        <f>'RESUMEN TOTAL'!AO693</f>
        <v>0</v>
      </c>
      <c r="AI569" s="70">
        <f>'RESUMEN TOTAL'!AP693</f>
        <v>0</v>
      </c>
      <c r="AJ569" s="70">
        <f>'RESUMEN TOTAL'!AQ693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  <c r="AH570" s="70">
        <f>'RESUMEN TOTAL'!AO694</f>
        <v>0</v>
      </c>
      <c r="AI570" s="70">
        <f>'RESUMEN TOTAL'!AP694</f>
        <v>0</v>
      </c>
      <c r="AJ570" s="70">
        <f>'RESUMEN TOTAL'!AQ694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  <c r="AH571" s="70">
        <f>'RESUMEN TOTAL'!AO695</f>
        <v>0</v>
      </c>
      <c r="AI571" s="70">
        <f>'RESUMEN TOTAL'!AP695</f>
        <v>0</v>
      </c>
      <c r="AJ571" s="70">
        <f>'RESUMEN TOTAL'!AQ695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  <c r="AH572" s="70">
        <f>'RESUMEN TOTAL'!AO696</f>
        <v>0</v>
      </c>
      <c r="AI572" s="70">
        <f>'RESUMEN TOTAL'!AP696</f>
        <v>0</v>
      </c>
      <c r="AJ572" s="70">
        <f>'RESUMEN TOTAL'!AQ696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  <c r="AH573" s="70">
        <f>'RESUMEN TOTAL'!AO697</f>
        <v>0</v>
      </c>
      <c r="AI573" s="70">
        <f>'RESUMEN TOTAL'!AP697</f>
        <v>0</v>
      </c>
      <c r="AJ573" s="70">
        <f>'RESUMEN TOTAL'!AQ697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  <c r="AH574" s="70">
        <f>'RESUMEN TOTAL'!AO698</f>
        <v>0</v>
      </c>
      <c r="AI574" s="70">
        <f>'RESUMEN TOTAL'!AP698</f>
        <v>0</v>
      </c>
      <c r="AJ574" s="70">
        <f>'RESUMEN TOTAL'!AQ698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  <c r="AH575" s="70">
        <f>'RESUMEN TOTAL'!AO699</f>
        <v>0</v>
      </c>
      <c r="AI575" s="70">
        <f>'RESUMEN TOTAL'!AP699</f>
        <v>0</v>
      </c>
      <c r="AJ575" s="70">
        <f>'RESUMEN TOTAL'!AQ699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  <c r="AH576" s="70">
        <f>'RESUMEN TOTAL'!AO700</f>
        <v>0</v>
      </c>
      <c r="AI576" s="70">
        <f>'RESUMEN TOTAL'!AP700</f>
        <v>0</v>
      </c>
      <c r="AJ576" s="70">
        <f>'RESUMEN TOTAL'!AQ700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  <c r="AH577" s="70">
        <f>'RESUMEN TOTAL'!AO701</f>
        <v>0</v>
      </c>
      <c r="AI577" s="70">
        <f>'RESUMEN TOTAL'!AP701</f>
        <v>0</v>
      </c>
      <c r="AJ577" s="70">
        <f>'RESUMEN TOTAL'!AQ701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  <c r="AH578" s="70">
        <f>'RESUMEN TOTAL'!AO702</f>
        <v>0</v>
      </c>
      <c r="AI578" s="70">
        <f>'RESUMEN TOTAL'!AP702</f>
        <v>0</v>
      </c>
      <c r="AJ578" s="70">
        <f>'RESUMEN TOTAL'!AQ702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  <c r="AH579" s="70">
        <f>'RESUMEN TOTAL'!AO703</f>
        <v>0</v>
      </c>
      <c r="AI579" s="70">
        <f>'RESUMEN TOTAL'!AP703</f>
        <v>0</v>
      </c>
      <c r="AJ579" s="70">
        <f>'RESUMEN TOTAL'!AQ703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  <c r="AH580" s="70">
        <f>'RESUMEN TOTAL'!AO704</f>
        <v>0</v>
      </c>
      <c r="AI580" s="70">
        <f>'RESUMEN TOTAL'!AP704</f>
        <v>0</v>
      </c>
      <c r="AJ580" s="70">
        <f>'RESUMEN TOTAL'!AQ704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  <c r="AH581" s="70">
        <f>'RESUMEN TOTAL'!AO705</f>
        <v>0</v>
      </c>
      <c r="AI581" s="70">
        <f>'RESUMEN TOTAL'!AP705</f>
        <v>0</v>
      </c>
      <c r="AJ581" s="70">
        <f>'RESUMEN TOTAL'!AQ705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  <c r="AH582" s="70">
        <f>'RESUMEN TOTAL'!AO706</f>
        <v>0</v>
      </c>
      <c r="AI582" s="70">
        <f>'RESUMEN TOTAL'!AP706</f>
        <v>0</v>
      </c>
      <c r="AJ582" s="70">
        <f>'RESUMEN TOTAL'!AQ706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  <c r="AH583" s="70">
        <f>'RESUMEN TOTAL'!AO707</f>
        <v>0</v>
      </c>
      <c r="AI583" s="70">
        <f>'RESUMEN TOTAL'!AP707</f>
        <v>0</v>
      </c>
      <c r="AJ583" s="70">
        <f>'RESUMEN TOTAL'!AQ707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  <c r="AH584" s="70">
        <f>'RESUMEN TOTAL'!AO708</f>
        <v>0</v>
      </c>
      <c r="AI584" s="70">
        <f>'RESUMEN TOTAL'!AP708</f>
        <v>0</v>
      </c>
      <c r="AJ584" s="70">
        <f>'RESUMEN TOTAL'!AQ708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  <c r="AH585" s="70">
        <f>'RESUMEN TOTAL'!AO709</f>
        <v>0</v>
      </c>
      <c r="AI585" s="70">
        <f>'RESUMEN TOTAL'!AP709</f>
        <v>0</v>
      </c>
      <c r="AJ585" s="70">
        <f>'RESUMEN TOTAL'!AQ709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  <c r="AH586" s="70">
        <f>'RESUMEN TOTAL'!AO710</f>
        <v>0</v>
      </c>
      <c r="AI586" s="70">
        <f>'RESUMEN TOTAL'!AP710</f>
        <v>0</v>
      </c>
      <c r="AJ586" s="70">
        <f>'RESUMEN TOTAL'!AQ710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  <c r="AH587" s="70">
        <f>'RESUMEN TOTAL'!AO711</f>
        <v>0</v>
      </c>
      <c r="AI587" s="70">
        <f>'RESUMEN TOTAL'!AP711</f>
        <v>0</v>
      </c>
      <c r="AJ587" s="70">
        <f>'RESUMEN TOTAL'!AQ711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  <c r="AH588" s="70">
        <f>'RESUMEN TOTAL'!AO712</f>
        <v>0</v>
      </c>
      <c r="AI588" s="70">
        <f>'RESUMEN TOTAL'!AP712</f>
        <v>0</v>
      </c>
      <c r="AJ588" s="70">
        <f>'RESUMEN TOTAL'!AQ712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  <c r="AH589" s="70">
        <f>'RESUMEN TOTAL'!AO713</f>
        <v>0</v>
      </c>
      <c r="AI589" s="70">
        <f>'RESUMEN TOTAL'!AP713</f>
        <v>0</v>
      </c>
      <c r="AJ589" s="70">
        <f>'RESUMEN TOTAL'!AQ713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  <c r="AH590" s="70">
        <f>'RESUMEN TOTAL'!AO714</f>
        <v>0</v>
      </c>
      <c r="AI590" s="70">
        <f>'RESUMEN TOTAL'!AP714</f>
        <v>0</v>
      </c>
      <c r="AJ590" s="70">
        <f>'RESUMEN TOTAL'!AQ714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  <c r="AH591" s="70">
        <f>'RESUMEN TOTAL'!AO715</f>
        <v>0</v>
      </c>
      <c r="AI591" s="70">
        <f>'RESUMEN TOTAL'!AP715</f>
        <v>0</v>
      </c>
      <c r="AJ591" s="70">
        <f>'RESUMEN TOTAL'!AQ715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  <c r="AH592" s="70">
        <f>'RESUMEN TOTAL'!AO716</f>
        <v>0</v>
      </c>
      <c r="AI592" s="70">
        <f>'RESUMEN TOTAL'!AP716</f>
        <v>0</v>
      </c>
      <c r="AJ592" s="70">
        <f>'RESUMEN TOTAL'!AQ716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  <c r="AH593" s="70">
        <f>'RESUMEN TOTAL'!AO717</f>
        <v>0</v>
      </c>
      <c r="AI593" s="70">
        <f>'RESUMEN TOTAL'!AP717</f>
        <v>0</v>
      </c>
      <c r="AJ593" s="70">
        <f>'RESUMEN TOTAL'!AQ717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  <c r="AH594" s="70">
        <f>'RESUMEN TOTAL'!AO718</f>
        <v>0</v>
      </c>
      <c r="AI594" s="70">
        <f>'RESUMEN TOTAL'!AP718</f>
        <v>0</v>
      </c>
      <c r="AJ594" s="70">
        <f>'RESUMEN TOTAL'!AQ718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  <c r="AH595" s="70">
        <f>'RESUMEN TOTAL'!AO719</f>
        <v>0</v>
      </c>
      <c r="AI595" s="70">
        <f>'RESUMEN TOTAL'!AP719</f>
        <v>0</v>
      </c>
      <c r="AJ595" s="70">
        <f>'RESUMEN TOTAL'!AQ719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  <c r="AH596" s="70">
        <f>'RESUMEN TOTAL'!AO720</f>
        <v>0</v>
      </c>
      <c r="AI596" s="70">
        <f>'RESUMEN TOTAL'!AP720</f>
        <v>0</v>
      </c>
      <c r="AJ596" s="70">
        <f>'RESUMEN TOTAL'!AQ720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  <c r="AH597" s="70">
        <f>'RESUMEN TOTAL'!AO721</f>
        <v>0</v>
      </c>
      <c r="AI597" s="70">
        <f>'RESUMEN TOTAL'!AP721</f>
        <v>0</v>
      </c>
      <c r="AJ597" s="70">
        <f>'RESUMEN TOTAL'!AQ721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  <c r="AH598" s="70">
        <f>'RESUMEN TOTAL'!AO722</f>
        <v>0</v>
      </c>
      <c r="AI598" s="70">
        <f>'RESUMEN TOTAL'!AP722</f>
        <v>0</v>
      </c>
      <c r="AJ598" s="70">
        <f>'RESUMEN TOTAL'!AQ722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  <c r="AH599" s="70">
        <f>'RESUMEN TOTAL'!AO723</f>
        <v>0</v>
      </c>
      <c r="AI599" s="70">
        <f>'RESUMEN TOTAL'!AP723</f>
        <v>0</v>
      </c>
      <c r="AJ599" s="70">
        <f>'RESUMEN TOTAL'!AQ723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  <c r="AH600" s="70">
        <f>'RESUMEN TOTAL'!AO724</f>
        <v>0</v>
      </c>
      <c r="AI600" s="70">
        <f>'RESUMEN TOTAL'!AP724</f>
        <v>0</v>
      </c>
      <c r="AJ600" s="70">
        <f>'RESUMEN TOTAL'!AQ724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  <c r="AH601" s="70">
        <f>'RESUMEN TOTAL'!AO725</f>
        <v>0</v>
      </c>
      <c r="AI601" s="70">
        <f>'RESUMEN TOTAL'!AP725</f>
        <v>0</v>
      </c>
      <c r="AJ601" s="70">
        <f>'RESUMEN TOTAL'!AQ725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  <c r="AH602" s="70">
        <f>'RESUMEN TOTAL'!AO726</f>
        <v>0</v>
      </c>
      <c r="AI602" s="70">
        <f>'RESUMEN TOTAL'!AP726</f>
        <v>0</v>
      </c>
      <c r="AJ602" s="70">
        <f>'RESUMEN TOTAL'!AQ726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  <c r="AH603" s="70">
        <f>'RESUMEN TOTAL'!AO727</f>
        <v>0</v>
      </c>
      <c r="AI603" s="70">
        <f>'RESUMEN TOTAL'!AP727</f>
        <v>0</v>
      </c>
      <c r="AJ603" s="70">
        <f>'RESUMEN TOTAL'!AQ727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  <c r="AH604" s="70">
        <f>'RESUMEN TOTAL'!AO728</f>
        <v>0</v>
      </c>
      <c r="AI604" s="70">
        <f>'RESUMEN TOTAL'!AP728</f>
        <v>0</v>
      </c>
      <c r="AJ604" s="70">
        <f>'RESUMEN TOTAL'!AQ728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  <c r="AH605" s="70">
        <f>'RESUMEN TOTAL'!AO729</f>
        <v>0</v>
      </c>
      <c r="AI605" s="70">
        <f>'RESUMEN TOTAL'!AP729</f>
        <v>0</v>
      </c>
      <c r="AJ605" s="70">
        <f>'RESUMEN TOTAL'!AQ729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  <c r="AH606" s="70">
        <f>'RESUMEN TOTAL'!AO730</f>
        <v>0</v>
      </c>
      <c r="AI606" s="70">
        <f>'RESUMEN TOTAL'!AP730</f>
        <v>0</v>
      </c>
      <c r="AJ606" s="70">
        <f>'RESUMEN TOTAL'!AQ730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  <c r="AH607" s="70">
        <f>'RESUMEN TOTAL'!AO731</f>
        <v>0</v>
      </c>
      <c r="AI607" s="70">
        <f>'RESUMEN TOTAL'!AP731</f>
        <v>0</v>
      </c>
      <c r="AJ607" s="70">
        <f>'RESUMEN TOTAL'!AQ731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  <c r="AH608" s="70">
        <f>'RESUMEN TOTAL'!AO732</f>
        <v>0</v>
      </c>
      <c r="AI608" s="70">
        <f>'RESUMEN TOTAL'!AP732</f>
        <v>0</v>
      </c>
      <c r="AJ608" s="70">
        <f>'RESUMEN TOTAL'!AQ732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  <c r="AH609" s="70">
        <f>'RESUMEN TOTAL'!AO733</f>
        <v>0</v>
      </c>
      <c r="AI609" s="70">
        <f>'RESUMEN TOTAL'!AP733</f>
        <v>0</v>
      </c>
      <c r="AJ609" s="70">
        <f>'RESUMEN TOTAL'!AQ733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  <c r="AH610" s="70">
        <f>'RESUMEN TOTAL'!AO734</f>
        <v>0</v>
      </c>
      <c r="AI610" s="70">
        <f>'RESUMEN TOTAL'!AP734</f>
        <v>0</v>
      </c>
      <c r="AJ610" s="70">
        <f>'RESUMEN TOTAL'!AQ734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  <c r="AH611" s="70">
        <f>'RESUMEN TOTAL'!AO735</f>
        <v>0</v>
      </c>
      <c r="AI611" s="70">
        <f>'RESUMEN TOTAL'!AP735</f>
        <v>0</v>
      </c>
      <c r="AJ611" s="70">
        <f>'RESUMEN TOTAL'!AQ735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  <c r="AH612" s="70">
        <f>'RESUMEN TOTAL'!AO736</f>
        <v>0</v>
      </c>
      <c r="AI612" s="70">
        <f>'RESUMEN TOTAL'!AP736</f>
        <v>0</v>
      </c>
      <c r="AJ612" s="70">
        <f>'RESUMEN TOTAL'!AQ736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  <c r="AH613" s="70">
        <f>'RESUMEN TOTAL'!AO737</f>
        <v>0</v>
      </c>
      <c r="AI613" s="70">
        <f>'RESUMEN TOTAL'!AP737</f>
        <v>0</v>
      </c>
      <c r="AJ613" s="70">
        <f>'RESUMEN TOTAL'!AQ737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  <c r="AH614" s="70">
        <f>'RESUMEN TOTAL'!AO738</f>
        <v>0</v>
      </c>
      <c r="AI614" s="70">
        <f>'RESUMEN TOTAL'!AP738</f>
        <v>0</v>
      </c>
      <c r="AJ614" s="70">
        <f>'RESUMEN TOTAL'!AQ738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  <c r="AH615" s="70">
        <f>'RESUMEN TOTAL'!AO739</f>
        <v>0</v>
      </c>
      <c r="AI615" s="70">
        <f>'RESUMEN TOTAL'!AP739</f>
        <v>0</v>
      </c>
      <c r="AJ615" s="70">
        <f>'RESUMEN TOTAL'!AQ739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  <c r="AH616" s="70">
        <f>'RESUMEN TOTAL'!AO740</f>
        <v>0</v>
      </c>
      <c r="AI616" s="70">
        <f>'RESUMEN TOTAL'!AP740</f>
        <v>0</v>
      </c>
      <c r="AJ616" s="70">
        <f>'RESUMEN TOTAL'!AQ740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  <c r="AH617" s="70">
        <f>'RESUMEN TOTAL'!AO741</f>
        <v>0</v>
      </c>
      <c r="AI617" s="70">
        <f>'RESUMEN TOTAL'!AP741</f>
        <v>0</v>
      </c>
      <c r="AJ617" s="70">
        <f>'RESUMEN TOTAL'!AQ741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  <c r="AH618" s="70">
        <f>'RESUMEN TOTAL'!AO742</f>
        <v>0</v>
      </c>
      <c r="AI618" s="70">
        <f>'RESUMEN TOTAL'!AP742</f>
        <v>0</v>
      </c>
      <c r="AJ618" s="70">
        <f>'RESUMEN TOTAL'!AQ742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  <c r="AH619" s="70">
        <f>'RESUMEN TOTAL'!AO743</f>
        <v>0</v>
      </c>
      <c r="AI619" s="70">
        <f>'RESUMEN TOTAL'!AP743</f>
        <v>0</v>
      </c>
      <c r="AJ619" s="70">
        <f>'RESUMEN TOTAL'!AQ743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  <c r="AH620" s="70">
        <f>'RESUMEN TOTAL'!AO744</f>
        <v>0</v>
      </c>
      <c r="AI620" s="70">
        <f>'RESUMEN TOTAL'!AP744</f>
        <v>0</v>
      </c>
      <c r="AJ620" s="70">
        <f>'RESUMEN TOTAL'!AQ744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  <c r="AH621" s="70">
        <f>'RESUMEN TOTAL'!AO745</f>
        <v>0</v>
      </c>
      <c r="AI621" s="70">
        <f>'RESUMEN TOTAL'!AP745</f>
        <v>0</v>
      </c>
      <c r="AJ621" s="70">
        <f>'RESUMEN TOTAL'!AQ745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  <c r="AH622" s="70">
        <f>'RESUMEN TOTAL'!AO746</f>
        <v>0</v>
      </c>
      <c r="AI622" s="70">
        <f>'RESUMEN TOTAL'!AP746</f>
        <v>0</v>
      </c>
      <c r="AJ622" s="70">
        <f>'RESUMEN TOTAL'!AQ746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  <c r="AH623" s="70">
        <f>'RESUMEN TOTAL'!AO747</f>
        <v>0</v>
      </c>
      <c r="AI623" s="70">
        <f>'RESUMEN TOTAL'!AP747</f>
        <v>0</v>
      </c>
      <c r="AJ623" s="70">
        <f>'RESUMEN TOTAL'!AQ747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  <c r="AH624" s="70">
        <f>'RESUMEN TOTAL'!AO748</f>
        <v>0</v>
      </c>
      <c r="AI624" s="70">
        <f>'RESUMEN TOTAL'!AP748</f>
        <v>0</v>
      </c>
      <c r="AJ624" s="70">
        <f>'RESUMEN TOTAL'!AQ748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  <c r="AH625" s="70">
        <f>'RESUMEN TOTAL'!AO749</f>
        <v>0</v>
      </c>
      <c r="AI625" s="70">
        <f>'RESUMEN TOTAL'!AP749</f>
        <v>0</v>
      </c>
      <c r="AJ625" s="70">
        <f>'RESUMEN TOTAL'!AQ749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  <c r="AH626" s="70">
        <f>'RESUMEN TOTAL'!AO750</f>
        <v>0</v>
      </c>
      <c r="AI626" s="70">
        <f>'RESUMEN TOTAL'!AP750</f>
        <v>0</v>
      </c>
      <c r="AJ626" s="70">
        <f>'RESUMEN TOTAL'!AQ750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  <c r="AH627" s="70">
        <f>'RESUMEN TOTAL'!AO751</f>
        <v>0</v>
      </c>
      <c r="AI627" s="70">
        <f>'RESUMEN TOTAL'!AP751</f>
        <v>0</v>
      </c>
      <c r="AJ627" s="70">
        <f>'RESUMEN TOTAL'!AQ751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  <c r="AH628" s="70">
        <f>'RESUMEN TOTAL'!AO752</f>
        <v>0</v>
      </c>
      <c r="AI628" s="70">
        <f>'RESUMEN TOTAL'!AP752</f>
        <v>0</v>
      </c>
      <c r="AJ628" s="70">
        <f>'RESUMEN TOTAL'!AQ752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  <c r="AH629" s="70">
        <f>'RESUMEN TOTAL'!AO753</f>
        <v>0</v>
      </c>
      <c r="AI629" s="70">
        <f>'RESUMEN TOTAL'!AP753</f>
        <v>0</v>
      </c>
      <c r="AJ629" s="70">
        <f>'RESUMEN TOTAL'!AQ753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  <c r="AH630" s="70">
        <f>'RESUMEN TOTAL'!AO754</f>
        <v>0</v>
      </c>
      <c r="AI630" s="70">
        <f>'RESUMEN TOTAL'!AP754</f>
        <v>0</v>
      </c>
      <c r="AJ630" s="70">
        <f>'RESUMEN TOTAL'!AQ754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  <c r="AH631" s="70">
        <f>'RESUMEN TOTAL'!AO755</f>
        <v>0</v>
      </c>
      <c r="AI631" s="70">
        <f>'RESUMEN TOTAL'!AP755</f>
        <v>0</v>
      </c>
      <c r="AJ631" s="70">
        <f>'RESUMEN TOTAL'!AQ755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  <c r="AH632" s="70">
        <f>'RESUMEN TOTAL'!AO756</f>
        <v>0</v>
      </c>
      <c r="AI632" s="70">
        <f>'RESUMEN TOTAL'!AP756</f>
        <v>0</v>
      </c>
      <c r="AJ632" s="70">
        <f>'RESUMEN TOTAL'!AQ756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  <c r="AH633" s="70">
        <f>'RESUMEN TOTAL'!AO757</f>
        <v>0</v>
      </c>
      <c r="AI633" s="70">
        <f>'RESUMEN TOTAL'!AP757</f>
        <v>0</v>
      </c>
      <c r="AJ633" s="70">
        <f>'RESUMEN TOTAL'!AQ757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  <c r="AH634" s="70">
        <f>'RESUMEN TOTAL'!AO758</f>
        <v>0</v>
      </c>
      <c r="AI634" s="70">
        <f>'RESUMEN TOTAL'!AP758</f>
        <v>0</v>
      </c>
      <c r="AJ634" s="70">
        <f>'RESUMEN TOTAL'!AQ758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  <c r="AH635" s="70">
        <f>'RESUMEN TOTAL'!AO759</f>
        <v>0</v>
      </c>
      <c r="AI635" s="70">
        <f>'RESUMEN TOTAL'!AP759</f>
        <v>0</v>
      </c>
      <c r="AJ635" s="70">
        <f>'RESUMEN TOTAL'!AQ759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  <c r="AH636" s="70">
        <f>'RESUMEN TOTAL'!AO760</f>
        <v>0</v>
      </c>
      <c r="AI636" s="70">
        <f>'RESUMEN TOTAL'!AP760</f>
        <v>0</v>
      </c>
      <c r="AJ636" s="70">
        <f>'RESUMEN TOTAL'!AQ760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  <c r="AH637" s="70">
        <f>'RESUMEN TOTAL'!AO761</f>
        <v>0</v>
      </c>
      <c r="AI637" s="70">
        <f>'RESUMEN TOTAL'!AP761</f>
        <v>0</v>
      </c>
      <c r="AJ637" s="70">
        <f>'RESUMEN TOTAL'!AQ761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  <c r="AH638" s="70">
        <f>'RESUMEN TOTAL'!AO762</f>
        <v>0</v>
      </c>
      <c r="AI638" s="70">
        <f>'RESUMEN TOTAL'!AP762</f>
        <v>0</v>
      </c>
      <c r="AJ638" s="70">
        <f>'RESUMEN TOTAL'!AQ762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  <c r="AH639" s="70">
        <f>'RESUMEN TOTAL'!AO763</f>
        <v>0</v>
      </c>
      <c r="AI639" s="70">
        <f>'RESUMEN TOTAL'!AP763</f>
        <v>0</v>
      </c>
      <c r="AJ639" s="70">
        <f>'RESUMEN TOTAL'!AQ763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  <c r="AH640" s="70">
        <f>'RESUMEN TOTAL'!AO764</f>
        <v>0</v>
      </c>
      <c r="AI640" s="70">
        <f>'RESUMEN TOTAL'!AP764</f>
        <v>0</v>
      </c>
      <c r="AJ640" s="70">
        <f>'RESUMEN TOTAL'!AQ764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  <c r="AH641" s="70">
        <f>'RESUMEN TOTAL'!AO765</f>
        <v>0</v>
      </c>
      <c r="AI641" s="70">
        <f>'RESUMEN TOTAL'!AP765</f>
        <v>0</v>
      </c>
      <c r="AJ641" s="70">
        <f>'RESUMEN TOTAL'!AQ765</f>
        <v>0</v>
      </c>
    </row>
    <row r="642" spans="1:36" x14ac:dyDescent="0.25">
      <c r="A642" t="s">
        <v>1299</v>
      </c>
      <c r="B642" t="s">
        <v>1335</v>
      </c>
      <c r="C642" t="s">
        <v>1334</v>
      </c>
      <c r="D642" s="30" t="s">
        <v>1304</v>
      </c>
      <c r="E642" s="30" t="s">
        <v>1298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  <c r="AH642" s="70">
        <f>'RESUMEN TOTAL'!AO766</f>
        <v>0</v>
      </c>
      <c r="AI642" s="70">
        <f>'RESUMEN TOTAL'!AP766</f>
        <v>0</v>
      </c>
      <c r="AJ642" s="70">
        <f>'RESUMEN TOTAL'!AQ766</f>
        <v>0</v>
      </c>
    </row>
    <row r="643" spans="1:36" x14ac:dyDescent="0.25">
      <c r="A643" t="s">
        <v>1299</v>
      </c>
      <c r="B643" t="s">
        <v>1336</v>
      </c>
      <c r="C643" t="s">
        <v>1334</v>
      </c>
      <c r="D643" t="s">
        <v>1297</v>
      </c>
      <c r="E643" s="30" t="s">
        <v>1298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  <c r="AH643" s="70">
        <f>'RESUMEN TOTAL'!AO767</f>
        <v>0</v>
      </c>
      <c r="AI643" s="70">
        <f>'RESUMEN TOTAL'!AP767</f>
        <v>0</v>
      </c>
      <c r="AJ643" s="70">
        <f>'RESUMEN TOTAL'!AQ767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D23" sqref="D23:E2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1067</v>
      </c>
      <c r="C1" s="36">
        <v>45992</v>
      </c>
    </row>
    <row r="2" spans="1:36" ht="16.5" thickTop="1" thickBot="1" x14ac:dyDescent="0.3">
      <c r="A2" s="49" t="s">
        <v>1059</v>
      </c>
      <c r="B2" s="41">
        <f>COUNTIFS('RESUMEN TOTAL'!C8:C621,"=BONOMO")</f>
        <v>308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1059</v>
      </c>
      <c r="E3" s="45" t="s">
        <v>1068</v>
      </c>
      <c r="F3" s="46">
        <v>0</v>
      </c>
      <c r="G3" s="46">
        <v>27</v>
      </c>
      <c r="H3" s="46">
        <v>31</v>
      </c>
      <c r="I3" s="46">
        <v>0</v>
      </c>
      <c r="J3" s="46">
        <v>29</v>
      </c>
      <c r="K3" s="46">
        <f>COUNTIFS('RESUMEN TOTAL'!R8:R698,"=APAGADO",'RESUMEN TOTAL'!C8:C698,"=BONOMO")</f>
        <v>0</v>
      </c>
      <c r="L3" s="46">
        <v>0</v>
      </c>
      <c r="M3" s="46">
        <v>0</v>
      </c>
      <c r="N3" s="46">
        <f>COUNTIFS('RESUMEN TOTAL'!U8:U698,"=APAGADO",'RESUMEN TOTAL'!C8:C698,"=BONOMO")</f>
        <v>0</v>
      </c>
      <c r="O3" s="46">
        <f>COUNTIFS('RESUMEN TOTAL'!V8:V698,"=APAGADO",'RESUMEN TOTAL'!C8:C698,"=BONOMO")</f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  <c r="AH3" s="46">
        <f>COUNTIFS('RESUMEN TOTAL'!AO8:AO698,"=APAGADO",'RESUMEN TOTAL'!D8:D698,"=BONOMO")</f>
        <v>0</v>
      </c>
      <c r="AI3" s="46">
        <f>COUNTIFS('RESUMEN TOTAL'!AP8:AP698,"=APAGADO",'RESUMEN TOTAL'!E8:E698,"=BONOMO")</f>
        <v>0</v>
      </c>
      <c r="AJ3" s="46">
        <f>COUNTIFS('RESUMEN TOTAL'!AQ8:AQ698,"=APAGADO",'RESUMEN TOTAL'!F8:F698,"=BONOMO")</f>
        <v>0</v>
      </c>
    </row>
    <row r="4" spans="1:36" ht="16.5" thickTop="1" thickBot="1" x14ac:dyDescent="0.3">
      <c r="A4" s="48" t="s">
        <v>1060</v>
      </c>
      <c r="B4" s="41">
        <f>COUNTIFS('RESUMEN TOTAL'!C8:C621,"=COSEIDI")</f>
        <v>276</v>
      </c>
      <c r="C4" s="46">
        <v>0</v>
      </c>
      <c r="D4" s="39"/>
      <c r="E4" s="37" t="s">
        <v>1070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1060</v>
      </c>
      <c r="E5" s="47" t="s">
        <v>1069</v>
      </c>
      <c r="F5" s="46">
        <v>0</v>
      </c>
      <c r="G5" s="46">
        <v>41</v>
      </c>
      <c r="H5" s="46">
        <v>52</v>
      </c>
      <c r="I5" s="46">
        <v>0</v>
      </c>
      <c r="J5" s="46">
        <f>COUNTIFS('RESUMEN TOTAL'!Q10:Q700,"=APAGADO",'RESUMEN TOTAL'!C10:C700,"=COSEIDI")</f>
        <v>0</v>
      </c>
      <c r="K5" s="46">
        <f>COUNTIFS('RESUMEN TOTAL'!R10:R700,"=APAGADO",'RESUMEN TOTAL'!C10:C700,"=COSEIDI")</f>
        <v>0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0</v>
      </c>
      <c r="O5" s="46">
        <f>COUNTIFS('RESUMEN TOTAL'!V10:V700,"=APAGADO",'RESUMEN TOTAL'!C10:C700,"=COSEIDI")</f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f>COUNTIFS('RESUMEN TOTAL'!AM10:AM700,"=APAGADO",'RESUMEN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1071</v>
      </c>
      <c r="F6" s="50">
        <v>0</v>
      </c>
      <c r="G6" s="50">
        <f>G5/COSEIDIcam</f>
        <v>0.14855072463768115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</v>
      </c>
      <c r="L6" s="50">
        <f t="shared" si="3"/>
        <v>0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3" zoomScaleNormal="100" workbookViewId="0">
      <selection activeCell="B23" sqref="B23:F3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909</v>
      </c>
      <c r="D1" s="107" t="s">
        <v>1459</v>
      </c>
      <c r="E1" s="108" t="s">
        <v>910</v>
      </c>
    </row>
    <row r="2" spans="1:6" ht="15.6" customHeight="1" thickTop="1" x14ac:dyDescent="0.25">
      <c r="A2" s="75"/>
      <c r="B2" s="52" t="s">
        <v>1239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1471</v>
      </c>
      <c r="B3" s="53" t="s">
        <v>6</v>
      </c>
      <c r="C3" s="66">
        <f>'RESUMEN TOTAL'!M3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1240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1241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1471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909</v>
      </c>
      <c r="D8" s="95" t="s">
        <v>1459</v>
      </c>
      <c r="E8" s="101" t="s">
        <v>910</v>
      </c>
      <c r="F8" s="156"/>
    </row>
    <row r="9" spans="1:6" ht="15" customHeight="1" thickTop="1" thickBot="1" x14ac:dyDescent="0.3">
      <c r="A9" s="35" t="s">
        <v>1473</v>
      </c>
      <c r="B9" s="97" t="s">
        <v>1059</v>
      </c>
      <c r="C9" s="98">
        <v>307</v>
      </c>
      <c r="D9" s="114"/>
      <c r="E9" s="104"/>
      <c r="F9" s="156"/>
    </row>
    <row r="10" spans="1:6" ht="15.75" thickBot="1" x14ac:dyDescent="0.3">
      <c r="A10" t="s">
        <v>1473</v>
      </c>
      <c r="B10" s="111" t="s">
        <v>1060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909</v>
      </c>
      <c r="D12" s="107" t="s">
        <v>1459</v>
      </c>
      <c r="E12" s="108" t="s">
        <v>910</v>
      </c>
    </row>
    <row r="13" spans="1:6" ht="15" customHeight="1" thickTop="1" x14ac:dyDescent="0.25">
      <c r="B13" s="52" t="s">
        <v>1239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1472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1240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1241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1472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909</v>
      </c>
      <c r="D19" s="95" t="s">
        <v>1459</v>
      </c>
      <c r="E19" s="101" t="s">
        <v>910</v>
      </c>
      <c r="F19" s="156"/>
    </row>
    <row r="20" spans="1:6" ht="16.5" thickTop="1" thickBot="1" x14ac:dyDescent="0.3">
      <c r="A20" t="s">
        <v>1474</v>
      </c>
      <c r="B20" s="97" t="s">
        <v>1059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1474</v>
      </c>
      <c r="B21" s="111" t="s">
        <v>1060</v>
      </c>
      <c r="C21" s="112">
        <f>COSEIDIcam</f>
        <v>276</v>
      </c>
      <c r="D21" s="112">
        <v>55</v>
      </c>
      <c r="E21" s="113">
        <f>D21/C21</f>
        <v>0.19927536231884058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909</v>
      </c>
      <c r="D23" s="107" t="s">
        <v>1459</v>
      </c>
      <c r="E23" s="108" t="s">
        <v>910</v>
      </c>
    </row>
    <row r="24" spans="1:6" ht="15.75" thickTop="1" x14ac:dyDescent="0.25">
      <c r="B24" s="52" t="s">
        <v>1239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1465</v>
      </c>
      <c r="B25" s="53" t="s">
        <v>6</v>
      </c>
      <c r="C25" s="66">
        <f>'RESUMEN TOTAL'!O3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1240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1241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1465</v>
      </c>
      <c r="B28" s="53" t="s">
        <v>16</v>
      </c>
      <c r="C28" s="93">
        <f>'RESUMEN TOTAL'!O5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909</v>
      </c>
      <c r="D30" s="95" t="s">
        <v>1459</v>
      </c>
      <c r="E30" s="101" t="s">
        <v>910</v>
      </c>
      <c r="F30" s="156"/>
    </row>
    <row r="31" spans="1:6" ht="16.5" thickTop="1" thickBot="1" x14ac:dyDescent="0.3">
      <c r="B31" s="97" t="s">
        <v>1059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1060</v>
      </c>
      <c r="C32" s="112">
        <f>COSEIDIcam</f>
        <v>276</v>
      </c>
      <c r="D32" s="112">
        <v>52</v>
      </c>
      <c r="E32" s="113">
        <f>D32/C32</f>
        <v>0.18840579710144928</v>
      </c>
      <c r="F32" s="157"/>
    </row>
    <row r="33" spans="1:6" ht="16.5" thickTop="1" thickBot="1" x14ac:dyDescent="0.3"/>
    <row r="34" spans="1:6" ht="16.5" thickTop="1" thickBot="1" x14ac:dyDescent="0.3">
      <c r="C34" s="106" t="s">
        <v>909</v>
      </c>
      <c r="D34" s="107" t="s">
        <v>1459</v>
      </c>
      <c r="E34" s="108" t="s">
        <v>910</v>
      </c>
    </row>
    <row r="35" spans="1:6" ht="15.75" thickTop="1" x14ac:dyDescent="0.25">
      <c r="B35" s="52" t="s">
        <v>1239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1464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6"/>
    </row>
    <row r="37" spans="1:6" x14ac:dyDescent="0.25">
      <c r="B37" s="53" t="s">
        <v>1240</v>
      </c>
      <c r="C37" s="67">
        <v>0</v>
      </c>
      <c r="D37" s="102">
        <v>0</v>
      </c>
      <c r="E37" s="55">
        <f>D37/C35</f>
        <v>0</v>
      </c>
      <c r="F37" s="156"/>
    </row>
    <row r="38" spans="1:6" x14ac:dyDescent="0.25">
      <c r="B38" s="53" t="s">
        <v>1241</v>
      </c>
      <c r="C38" s="67">
        <v>0</v>
      </c>
      <c r="D38" s="102">
        <v>0</v>
      </c>
      <c r="E38" s="55">
        <f>D38/C35</f>
        <v>0</v>
      </c>
      <c r="F38" s="156"/>
    </row>
    <row r="39" spans="1:6" x14ac:dyDescent="0.25">
      <c r="A39" t="s">
        <v>1464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909</v>
      </c>
      <c r="D41" s="95" t="s">
        <v>1459</v>
      </c>
      <c r="E41" s="101" t="s">
        <v>910</v>
      </c>
      <c r="F41" s="156"/>
    </row>
    <row r="42" spans="1:6" ht="16.5" thickTop="1" thickBot="1" x14ac:dyDescent="0.3">
      <c r="B42" s="97" t="s">
        <v>1059</v>
      </c>
      <c r="C42" s="98">
        <v>307</v>
      </c>
      <c r="D42" s="114">
        <v>0</v>
      </c>
      <c r="E42" s="104">
        <f>D42/C42</f>
        <v>0</v>
      </c>
      <c r="F42" s="156"/>
    </row>
    <row r="43" spans="1:6" ht="15.75" thickBot="1" x14ac:dyDescent="0.3">
      <c r="B43" s="111" t="s">
        <v>1060</v>
      </c>
      <c r="C43" s="112">
        <f>COSEIDIcam</f>
        <v>276</v>
      </c>
      <c r="D43" s="112">
        <f>Hoja1!I5</f>
        <v>0</v>
      </c>
      <c r="E43" s="113">
        <v>0.24</v>
      </c>
      <c r="F43" s="157"/>
    </row>
    <row r="44" spans="1:6" ht="16.5" thickTop="1" thickBot="1" x14ac:dyDescent="0.3"/>
    <row r="45" spans="1:6" ht="16.5" thickTop="1" thickBot="1" x14ac:dyDescent="0.3">
      <c r="C45" s="106" t="s">
        <v>909</v>
      </c>
      <c r="D45" s="107" t="s">
        <v>1459</v>
      </c>
      <c r="E45" s="108" t="s">
        <v>910</v>
      </c>
    </row>
    <row r="46" spans="1:6" ht="15.75" thickTop="1" x14ac:dyDescent="0.25">
      <c r="B46" s="52" t="s">
        <v>1239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1466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6"/>
    </row>
    <row r="48" spans="1:6" x14ac:dyDescent="0.25">
      <c r="B48" s="53" t="s">
        <v>1240</v>
      </c>
      <c r="C48" s="67">
        <v>0</v>
      </c>
      <c r="D48" s="102">
        <v>0</v>
      </c>
      <c r="E48" s="55">
        <f>D48/C46</f>
        <v>0</v>
      </c>
      <c r="F48" s="156"/>
    </row>
    <row r="49" spans="1:6" x14ac:dyDescent="0.25">
      <c r="B49" s="53" t="s">
        <v>1241</v>
      </c>
      <c r="C49" s="67">
        <v>0</v>
      </c>
      <c r="D49" s="102">
        <v>0</v>
      </c>
      <c r="E49" s="55">
        <f>D49/C46</f>
        <v>0</v>
      </c>
      <c r="F49" s="156"/>
    </row>
    <row r="50" spans="1:6" x14ac:dyDescent="0.25">
      <c r="A50" t="s">
        <v>1466</v>
      </c>
      <c r="B50" s="53" t="s">
        <v>16</v>
      </c>
      <c r="C50" s="93">
        <f>'RESUMEN TOTAL'!Q5</f>
        <v>0</v>
      </c>
      <c r="D50" s="102">
        <v>0</v>
      </c>
      <c r="E50" s="55">
        <f>D50/C46</f>
        <v>0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909</v>
      </c>
      <c r="D52" s="95" t="s">
        <v>1459</v>
      </c>
      <c r="E52" s="101" t="s">
        <v>910</v>
      </c>
      <c r="F52" s="156"/>
    </row>
    <row r="53" spans="1:6" ht="16.5" thickTop="1" thickBot="1" x14ac:dyDescent="0.3">
      <c r="B53" s="97" t="s">
        <v>1059</v>
      </c>
      <c r="C53" s="98">
        <v>307</v>
      </c>
      <c r="D53" s="114">
        <v>0</v>
      </c>
      <c r="E53" s="104">
        <v>0</v>
      </c>
      <c r="F53" s="156"/>
    </row>
    <row r="54" spans="1:6" ht="15.75" thickBot="1" x14ac:dyDescent="0.3">
      <c r="B54" s="111" t="s">
        <v>1060</v>
      </c>
      <c r="C54" s="112">
        <f>COSEIDIcam</f>
        <v>276</v>
      </c>
      <c r="D54" s="112">
        <f>Hoja1!J5</f>
        <v>0</v>
      </c>
      <c r="E54" s="113">
        <v>0</v>
      </c>
      <c r="F54" s="157"/>
    </row>
    <row r="55" spans="1:6" ht="16.5" thickTop="1" thickBot="1" x14ac:dyDescent="0.3"/>
    <row r="56" spans="1:6" ht="16.5" thickTop="1" thickBot="1" x14ac:dyDescent="0.3">
      <c r="C56" s="106" t="s">
        <v>909</v>
      </c>
      <c r="D56" s="107" t="s">
        <v>1459</v>
      </c>
      <c r="E56" s="108" t="s">
        <v>910</v>
      </c>
    </row>
    <row r="57" spans="1:6" ht="15.75" thickTop="1" x14ac:dyDescent="0.25">
      <c r="B57" s="52" t="s">
        <v>1239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1467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6"/>
    </row>
    <row r="59" spans="1:6" x14ac:dyDescent="0.25">
      <c r="B59" s="53" t="s">
        <v>1240</v>
      </c>
      <c r="C59" s="67">
        <v>0</v>
      </c>
      <c r="D59" s="102">
        <v>0</v>
      </c>
      <c r="E59" s="55">
        <f>D59/C57</f>
        <v>0</v>
      </c>
      <c r="F59" s="156"/>
    </row>
    <row r="60" spans="1:6" x14ac:dyDescent="0.25">
      <c r="B60" s="53" t="s">
        <v>1241</v>
      </c>
      <c r="C60" s="67">
        <v>0</v>
      </c>
      <c r="D60" s="102">
        <v>0</v>
      </c>
      <c r="E60" s="55">
        <f>D60/C57</f>
        <v>0</v>
      </c>
      <c r="F60" s="156"/>
    </row>
    <row r="61" spans="1:6" x14ac:dyDescent="0.25">
      <c r="A61" t="s">
        <v>1467</v>
      </c>
      <c r="B61" s="53" t="s">
        <v>16</v>
      </c>
      <c r="C61" s="93">
        <f>'RESUMEN TOTAL'!R5</f>
        <v>0</v>
      </c>
      <c r="D61" s="102">
        <v>0</v>
      </c>
      <c r="E61" s="55">
        <f>D61/C57</f>
        <v>0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909</v>
      </c>
      <c r="D63" s="95" t="s">
        <v>1459</v>
      </c>
      <c r="E63" s="101" t="s">
        <v>910</v>
      </c>
      <c r="F63" s="156"/>
    </row>
    <row r="64" spans="1:6" ht="16.5" thickTop="1" thickBot="1" x14ac:dyDescent="0.3">
      <c r="B64" s="97" t="s">
        <v>1059</v>
      </c>
      <c r="C64" s="98">
        <v>307</v>
      </c>
      <c r="D64" s="114">
        <f>Hoja1!K3</f>
        <v>0</v>
      </c>
      <c r="E64" s="104">
        <f>D64/C64</f>
        <v>0</v>
      </c>
      <c r="F64" s="156"/>
    </row>
    <row r="65" spans="1:6" ht="15.75" thickBot="1" x14ac:dyDescent="0.3">
      <c r="B65" s="111" t="s">
        <v>1060</v>
      </c>
      <c r="C65" s="112">
        <f>COSEIDIcam</f>
        <v>276</v>
      </c>
      <c r="D65" s="112">
        <f>Hoja1!K5</f>
        <v>0</v>
      </c>
      <c r="E65" s="113">
        <f>D65/C65</f>
        <v>0</v>
      </c>
      <c r="F65" s="157"/>
    </row>
    <row r="66" spans="1:6" ht="16.5" thickTop="1" thickBot="1" x14ac:dyDescent="0.3"/>
    <row r="67" spans="1:6" ht="16.5" thickTop="1" thickBot="1" x14ac:dyDescent="0.3">
      <c r="C67" s="106" t="s">
        <v>909</v>
      </c>
      <c r="D67" s="107" t="s">
        <v>1459</v>
      </c>
      <c r="E67" s="108" t="s">
        <v>910</v>
      </c>
    </row>
    <row r="68" spans="1:6" ht="15.75" thickTop="1" x14ac:dyDescent="0.25">
      <c r="B68" s="52" t="s">
        <v>1239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1468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6"/>
    </row>
    <row r="70" spans="1:6" x14ac:dyDescent="0.25">
      <c r="B70" s="53" t="s">
        <v>1240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1241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1468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909</v>
      </c>
      <c r="D74" s="95" t="s">
        <v>1459</v>
      </c>
      <c r="E74" s="101" t="s">
        <v>910</v>
      </c>
      <c r="F74" s="156"/>
    </row>
    <row r="75" spans="1:6" ht="16.5" thickTop="1" thickBot="1" x14ac:dyDescent="0.3">
      <c r="B75" s="97" t="s">
        <v>1059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1060</v>
      </c>
      <c r="C76" s="112">
        <f>COSEIDIcam</f>
        <v>276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909</v>
      </c>
      <c r="D78" s="107" t="s">
        <v>1459</v>
      </c>
      <c r="E78" s="108" t="s">
        <v>910</v>
      </c>
    </row>
    <row r="79" spans="1:6" ht="15.75" thickTop="1" x14ac:dyDescent="0.25">
      <c r="B79" s="52" t="s">
        <v>1239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1463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1240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1241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1463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909</v>
      </c>
      <c r="D85" s="95" t="s">
        <v>1459</v>
      </c>
      <c r="E85" s="101" t="s">
        <v>910</v>
      </c>
      <c r="F85" s="156"/>
    </row>
    <row r="86" spans="1:6" ht="16.5" thickTop="1" thickBot="1" x14ac:dyDescent="0.3">
      <c r="B86" s="97" t="s">
        <v>1059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1060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909</v>
      </c>
      <c r="D89" s="107" t="s">
        <v>1459</v>
      </c>
      <c r="E89" s="108" t="s">
        <v>910</v>
      </c>
    </row>
    <row r="90" spans="1:6" ht="15.75" thickTop="1" x14ac:dyDescent="0.25">
      <c r="B90" s="52" t="s">
        <v>1239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1469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6"/>
    </row>
    <row r="92" spans="1:6" x14ac:dyDescent="0.25">
      <c r="B92" s="53" t="s">
        <v>1240</v>
      </c>
      <c r="C92" s="67">
        <v>0</v>
      </c>
      <c r="D92" s="102">
        <v>0</v>
      </c>
      <c r="E92" s="55">
        <f>D92/C90</f>
        <v>0</v>
      </c>
      <c r="F92" s="156"/>
    </row>
    <row r="93" spans="1:6" x14ac:dyDescent="0.25">
      <c r="B93" s="53" t="s">
        <v>1241</v>
      </c>
      <c r="C93" s="67">
        <v>0</v>
      </c>
      <c r="D93" s="102">
        <v>0</v>
      </c>
      <c r="E93" s="55">
        <f>D93/C90</f>
        <v>0</v>
      </c>
      <c r="F93" s="156"/>
    </row>
    <row r="94" spans="1:6" x14ac:dyDescent="0.25">
      <c r="A94" t="s">
        <v>1469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909</v>
      </c>
      <c r="D96" s="95" t="s">
        <v>1459</v>
      </c>
      <c r="E96" s="101" t="s">
        <v>910</v>
      </c>
      <c r="F96" s="156"/>
    </row>
    <row r="97" spans="1:6" ht="16.5" thickTop="1" thickBot="1" x14ac:dyDescent="0.3">
      <c r="B97" s="97" t="s">
        <v>1059</v>
      </c>
      <c r="C97" s="98">
        <v>307</v>
      </c>
      <c r="D97" s="114">
        <f>Hoja1!N3</f>
        <v>0</v>
      </c>
      <c r="E97" s="104">
        <f>D97/C97</f>
        <v>0</v>
      </c>
      <c r="F97" s="156"/>
    </row>
    <row r="98" spans="1:6" ht="15.75" thickBot="1" x14ac:dyDescent="0.3">
      <c r="B98" s="111" t="s">
        <v>1060</v>
      </c>
      <c r="C98" s="112">
        <f>COSEIDIcam</f>
        <v>276</v>
      </c>
      <c r="D98" s="112">
        <f>Hoja1!N5</f>
        <v>0</v>
      </c>
      <c r="E98" s="113"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909</v>
      </c>
      <c r="D100" s="107" t="s">
        <v>1459</v>
      </c>
      <c r="E100" s="108" t="s">
        <v>910</v>
      </c>
    </row>
    <row r="101" spans="1:6" ht="15.75" thickTop="1" x14ac:dyDescent="0.25">
      <c r="B101" s="52" t="s">
        <v>1239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1470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6"/>
    </row>
    <row r="103" spans="1:6" x14ac:dyDescent="0.25">
      <c r="B103" s="53" t="s">
        <v>1240</v>
      </c>
      <c r="C103" s="67">
        <v>0</v>
      </c>
      <c r="D103" s="102">
        <f>C102-C103</f>
        <v>0</v>
      </c>
      <c r="E103" s="55">
        <f>D103/C101</f>
        <v>0</v>
      </c>
      <c r="F103" s="156"/>
    </row>
    <row r="104" spans="1:6" x14ac:dyDescent="0.25">
      <c r="B104" s="53" t="s">
        <v>1241</v>
      </c>
      <c r="C104" s="67">
        <v>0</v>
      </c>
      <c r="D104" s="102">
        <f>D103-C104</f>
        <v>0</v>
      </c>
      <c r="E104" s="55">
        <f>D104/C101</f>
        <v>0</v>
      </c>
      <c r="F104" s="156"/>
    </row>
    <row r="105" spans="1:6" x14ac:dyDescent="0.25">
      <c r="A105" t="s">
        <v>1470</v>
      </c>
      <c r="B105" s="53" t="s">
        <v>16</v>
      </c>
      <c r="C105" s="93">
        <v>0</v>
      </c>
      <c r="D105" s="102">
        <f>D104-C105</f>
        <v>0</v>
      </c>
      <c r="E105" s="55">
        <f>D105/C101</f>
        <v>0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909</v>
      </c>
      <c r="D107" s="95" t="s">
        <v>1459</v>
      </c>
      <c r="E107" s="101" t="s">
        <v>910</v>
      </c>
      <c r="F107" s="156"/>
    </row>
    <row r="108" spans="1:6" ht="16.5" thickTop="1" thickBot="1" x14ac:dyDescent="0.3">
      <c r="B108" s="97" t="s">
        <v>1059</v>
      </c>
      <c r="C108" s="98">
        <v>307</v>
      </c>
      <c r="D108" s="114">
        <f>Hoja1!O3</f>
        <v>0</v>
      </c>
      <c r="E108" s="104">
        <f>D108/C108</f>
        <v>0</v>
      </c>
      <c r="F108" s="156"/>
    </row>
    <row r="109" spans="1:6" ht="15.75" thickBot="1" x14ac:dyDescent="0.3">
      <c r="B109" s="111" t="s">
        <v>1060</v>
      </c>
      <c r="C109" s="112">
        <f>COSEIDIcam</f>
        <v>276</v>
      </c>
      <c r="D109" s="112">
        <f>Hoja1!O5</f>
        <v>0</v>
      </c>
      <c r="E109" s="113">
        <f>D109/C109</f>
        <v>0</v>
      </c>
      <c r="F109" s="157"/>
    </row>
    <row r="110" spans="1:6" ht="16.5" thickTop="1" thickBot="1" x14ac:dyDescent="0.3"/>
    <row r="111" spans="1:6" ht="16.5" thickTop="1" thickBot="1" x14ac:dyDescent="0.3">
      <c r="C111" s="106" t="s">
        <v>909</v>
      </c>
      <c r="D111" s="107" t="s">
        <v>1459</v>
      </c>
      <c r="E111" s="108" t="s">
        <v>910</v>
      </c>
    </row>
    <row r="112" spans="1:6" ht="15.75" thickTop="1" x14ac:dyDescent="0.25">
      <c r="B112" s="52" t="s">
        <v>1239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6"/>
    </row>
    <row r="114" spans="2:6" x14ac:dyDescent="0.25">
      <c r="B114" s="53" t="s">
        <v>1240</v>
      </c>
      <c r="C114" s="67">
        <v>0</v>
      </c>
      <c r="D114" s="102">
        <f>C113-C114</f>
        <v>0</v>
      </c>
      <c r="E114" s="55">
        <f>D114/C112</f>
        <v>0</v>
      </c>
      <c r="F114" s="156"/>
    </row>
    <row r="115" spans="2:6" x14ac:dyDescent="0.25">
      <c r="B115" s="53" t="s">
        <v>1241</v>
      </c>
      <c r="C115" s="67">
        <v>0</v>
      </c>
      <c r="D115" s="102">
        <f>D114-C115</f>
        <v>0</v>
      </c>
      <c r="E115" s="55">
        <f>D115/C112</f>
        <v>0</v>
      </c>
      <c r="F115" s="156"/>
    </row>
    <row r="116" spans="2:6" x14ac:dyDescent="0.25">
      <c r="B116" s="53" t="s">
        <v>16</v>
      </c>
      <c r="C116" s="93">
        <v>0</v>
      </c>
      <c r="D116" s="102">
        <f>D115-C116</f>
        <v>0</v>
      </c>
      <c r="E116" s="55">
        <f>D116/C112</f>
        <v>0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909</v>
      </c>
      <c r="D118" s="95" t="s">
        <v>1459</v>
      </c>
      <c r="E118" s="101" t="s">
        <v>910</v>
      </c>
      <c r="F118" s="156"/>
    </row>
    <row r="119" spans="2:6" ht="16.5" thickTop="1" thickBot="1" x14ac:dyDescent="0.3">
      <c r="B119" s="97" t="s">
        <v>1059</v>
      </c>
      <c r="C119" s="98">
        <v>307</v>
      </c>
      <c r="D119" s="114">
        <f>Hoja1!P3</f>
        <v>0</v>
      </c>
      <c r="E119" s="104">
        <f>D119/C119</f>
        <v>0</v>
      </c>
      <c r="F119" s="156"/>
    </row>
    <row r="120" spans="2:6" ht="15.75" thickBot="1" x14ac:dyDescent="0.3">
      <c r="B120" s="111" t="s">
        <v>1060</v>
      </c>
      <c r="C120" s="112">
        <f>COSEIDIcam</f>
        <v>276</v>
      </c>
      <c r="D120" s="112">
        <f>Hoja1!P5</f>
        <v>0</v>
      </c>
      <c r="E120" s="113">
        <f>D120/C120</f>
        <v>0</v>
      </c>
      <c r="F120" s="157"/>
    </row>
    <row r="121" spans="2:6" ht="16.5" thickTop="1" thickBot="1" x14ac:dyDescent="0.3"/>
    <row r="122" spans="2:6" ht="16.5" thickTop="1" thickBot="1" x14ac:dyDescent="0.3">
      <c r="C122" s="106" t="s">
        <v>909</v>
      </c>
      <c r="D122" s="107" t="s">
        <v>1459</v>
      </c>
      <c r="E122" s="108" t="s">
        <v>910</v>
      </c>
    </row>
    <row r="123" spans="2:6" ht="15.75" thickTop="1" x14ac:dyDescent="0.25">
      <c r="B123" s="52" t="s">
        <v>1239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6"/>
    </row>
    <row r="125" spans="2:6" x14ac:dyDescent="0.25">
      <c r="B125" s="53" t="s">
        <v>1240</v>
      </c>
      <c r="C125" s="67">
        <v>0</v>
      </c>
      <c r="D125" s="102">
        <f>C124-C125</f>
        <v>0</v>
      </c>
      <c r="E125" s="55">
        <f>D125/C123</f>
        <v>0</v>
      </c>
      <c r="F125" s="156"/>
    </row>
    <row r="126" spans="2:6" x14ac:dyDescent="0.25">
      <c r="B126" s="53" t="s">
        <v>1241</v>
      </c>
      <c r="C126" s="67">
        <v>0</v>
      </c>
      <c r="D126" s="102">
        <f>D125-C126</f>
        <v>0</v>
      </c>
      <c r="E126" s="55">
        <f>D126/C123</f>
        <v>0</v>
      </c>
      <c r="F126" s="156"/>
    </row>
    <row r="127" spans="2:6" x14ac:dyDescent="0.25">
      <c r="B127" s="53" t="s">
        <v>16</v>
      </c>
      <c r="C127" s="93">
        <v>0</v>
      </c>
      <c r="D127" s="102">
        <f>D126-C127</f>
        <v>0</v>
      </c>
      <c r="E127" s="55">
        <f>D127/C123</f>
        <v>0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909</v>
      </c>
      <c r="D129" s="95" t="s">
        <v>1459</v>
      </c>
      <c r="E129" s="101" t="s">
        <v>910</v>
      </c>
      <c r="F129" s="156"/>
    </row>
    <row r="130" spans="2:6" ht="16.5" thickTop="1" thickBot="1" x14ac:dyDescent="0.3">
      <c r="B130" s="97" t="s">
        <v>1059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1060</v>
      </c>
      <c r="C131" s="112">
        <f>COSEIDIcam</f>
        <v>276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909</v>
      </c>
      <c r="D133" s="107" t="s">
        <v>1459</v>
      </c>
      <c r="E133" s="108" t="s">
        <v>910</v>
      </c>
    </row>
    <row r="134" spans="2:6" ht="15.75" thickTop="1" x14ac:dyDescent="0.25">
      <c r="B134" s="52" t="s">
        <v>1239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6"/>
    </row>
    <row r="136" spans="2:6" x14ac:dyDescent="0.25">
      <c r="B136" s="53" t="s">
        <v>1240</v>
      </c>
      <c r="C136" s="67">
        <v>0</v>
      </c>
      <c r="D136" s="102">
        <f>C135-C136</f>
        <v>0</v>
      </c>
      <c r="E136" s="55">
        <f>D136/C134</f>
        <v>0</v>
      </c>
      <c r="F136" s="156"/>
    </row>
    <row r="137" spans="2:6" x14ac:dyDescent="0.25">
      <c r="B137" s="53" t="s">
        <v>1241</v>
      </c>
      <c r="C137" s="67">
        <v>0</v>
      </c>
      <c r="D137" s="102">
        <f>D136-C137</f>
        <v>0</v>
      </c>
      <c r="E137" s="55">
        <f>D137/C134</f>
        <v>0</v>
      </c>
      <c r="F137" s="156"/>
    </row>
    <row r="138" spans="2:6" x14ac:dyDescent="0.25">
      <c r="B138" s="53" t="s">
        <v>16</v>
      </c>
      <c r="C138" s="93">
        <v>0</v>
      </c>
      <c r="D138" s="102">
        <f>D137-C138</f>
        <v>0</v>
      </c>
      <c r="E138" s="55">
        <f>D138/C134</f>
        <v>0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909</v>
      </c>
      <c r="D140" s="95" t="s">
        <v>1459</v>
      </c>
      <c r="E140" s="101" t="s">
        <v>910</v>
      </c>
      <c r="F140" s="156"/>
    </row>
    <row r="141" spans="2:6" ht="16.5" thickTop="1" thickBot="1" x14ac:dyDescent="0.3">
      <c r="B141" s="97" t="s">
        <v>1059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1060</v>
      </c>
      <c r="C142" s="112">
        <f>COSEIDIcam</f>
        <v>276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909</v>
      </c>
      <c r="D144" s="107" t="s">
        <v>1459</v>
      </c>
      <c r="E144" s="108" t="s">
        <v>910</v>
      </c>
    </row>
    <row r="145" spans="2:6" ht="15.75" thickTop="1" x14ac:dyDescent="0.25">
      <c r="B145" s="52" t="s">
        <v>1239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1240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1241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909</v>
      </c>
      <c r="D151" s="95" t="s">
        <v>1459</v>
      </c>
      <c r="E151" s="101" t="s">
        <v>910</v>
      </c>
      <c r="F151" s="156"/>
    </row>
    <row r="152" spans="2:6" ht="16.5" thickTop="1" thickBot="1" x14ac:dyDescent="0.3">
      <c r="B152" s="97" t="s">
        <v>1059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1060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909</v>
      </c>
      <c r="D155" s="107" t="s">
        <v>1459</v>
      </c>
      <c r="E155" s="108" t="s">
        <v>910</v>
      </c>
    </row>
    <row r="156" spans="2:6" ht="15.75" thickTop="1" x14ac:dyDescent="0.25">
      <c r="B156" s="52" t="s">
        <v>1239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1240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1241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909</v>
      </c>
      <c r="D162" s="95" t="s">
        <v>1459</v>
      </c>
      <c r="E162" s="101" t="s">
        <v>910</v>
      </c>
      <c r="F162" s="156"/>
    </row>
    <row r="163" spans="2:6" ht="16.5" thickTop="1" thickBot="1" x14ac:dyDescent="0.3">
      <c r="B163" s="97" t="s">
        <v>1059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1060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909</v>
      </c>
      <c r="D166" s="107" t="s">
        <v>1459</v>
      </c>
      <c r="E166" s="108" t="s">
        <v>910</v>
      </c>
    </row>
    <row r="167" spans="2:6" ht="15.75" thickTop="1" x14ac:dyDescent="0.25">
      <c r="B167" s="52" t="s">
        <v>1239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1240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1241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909</v>
      </c>
      <c r="D173" s="95" t="s">
        <v>1459</v>
      </c>
      <c r="E173" s="101" t="s">
        <v>910</v>
      </c>
      <c r="F173" s="156"/>
    </row>
    <row r="174" spans="2:6" ht="16.5" thickTop="1" thickBot="1" x14ac:dyDescent="0.3">
      <c r="B174" s="97" t="s">
        <v>1059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1060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909</v>
      </c>
      <c r="D177" s="107" t="s">
        <v>1459</v>
      </c>
      <c r="E177" s="108" t="s">
        <v>910</v>
      </c>
    </row>
    <row r="178" spans="2:6" ht="15.75" thickTop="1" x14ac:dyDescent="0.25">
      <c r="B178" s="52" t="s">
        <v>1239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1240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1241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909</v>
      </c>
      <c r="D184" s="95" t="s">
        <v>1459</v>
      </c>
      <c r="E184" s="101" t="s">
        <v>910</v>
      </c>
      <c r="F184" s="156"/>
    </row>
    <row r="185" spans="2:6" ht="16.5" thickTop="1" thickBot="1" x14ac:dyDescent="0.3">
      <c r="B185" s="97" t="s">
        <v>1059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1060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909</v>
      </c>
      <c r="D188" s="107" t="s">
        <v>1459</v>
      </c>
      <c r="E188" s="108" t="s">
        <v>910</v>
      </c>
    </row>
    <row r="189" spans="2:6" ht="15.75" thickTop="1" x14ac:dyDescent="0.25">
      <c r="B189" s="52" t="s">
        <v>1239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TOTAL'!AD3</f>
        <v>0</v>
      </c>
      <c r="D190" s="54"/>
      <c r="E190" s="55">
        <f>C190/C189</f>
        <v>0</v>
      </c>
      <c r="F190" s="156"/>
    </row>
    <row r="191" spans="2:6" x14ac:dyDescent="0.25">
      <c r="B191" s="53" t="s">
        <v>1240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1241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909</v>
      </c>
      <c r="D195" s="95" t="s">
        <v>1459</v>
      </c>
      <c r="E195" s="101" t="s">
        <v>910</v>
      </c>
      <c r="F195" s="156"/>
    </row>
    <row r="196" spans="2:6" ht="16.5" thickTop="1" thickBot="1" x14ac:dyDescent="0.3">
      <c r="B196" s="97" t="s">
        <v>1059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1060</v>
      </c>
      <c r="C197" s="112">
        <f>COSEIDIcam</f>
        <v>276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909</v>
      </c>
      <c r="D199" s="107" t="s">
        <v>1459</v>
      </c>
      <c r="E199" s="108" t="s">
        <v>910</v>
      </c>
    </row>
    <row r="200" spans="2:6" ht="15.75" thickTop="1" x14ac:dyDescent="0.25">
      <c r="B200" s="52" t="s">
        <v>1239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6"/>
    </row>
    <row r="202" spans="2:6" x14ac:dyDescent="0.25">
      <c r="B202" s="53" t="s">
        <v>1240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1241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909</v>
      </c>
      <c r="D206" s="95" t="s">
        <v>1459</v>
      </c>
      <c r="E206" s="101" t="s">
        <v>910</v>
      </c>
      <c r="F206" s="156"/>
    </row>
    <row r="207" spans="2:6" ht="16.5" thickTop="1" thickBot="1" x14ac:dyDescent="0.3">
      <c r="B207" s="97" t="s">
        <v>1059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1060</v>
      </c>
      <c r="C208" s="112">
        <f>COSEIDIcam</f>
        <v>276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909</v>
      </c>
      <c r="D210" s="107" t="s">
        <v>1459</v>
      </c>
      <c r="E210" s="108" t="s">
        <v>910</v>
      </c>
    </row>
    <row r="211" spans="2:6" ht="15.75" thickTop="1" x14ac:dyDescent="0.25">
      <c r="B211" s="52" t="s">
        <v>1239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TOTAL'!AF3</f>
        <v>0</v>
      </c>
      <c r="D212" s="54"/>
      <c r="E212" s="55">
        <f>C212/C211</f>
        <v>0</v>
      </c>
      <c r="F212" s="156"/>
    </row>
    <row r="213" spans="2:6" x14ac:dyDescent="0.25">
      <c r="B213" s="53" t="s">
        <v>1240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1241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909</v>
      </c>
      <c r="D217" s="95" t="s">
        <v>1459</v>
      </c>
      <c r="E217" s="101" t="s">
        <v>910</v>
      </c>
      <c r="F217" s="156"/>
    </row>
    <row r="218" spans="2:6" ht="16.5" thickTop="1" thickBot="1" x14ac:dyDescent="0.3">
      <c r="B218" s="97" t="s">
        <v>1059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1060</v>
      </c>
      <c r="C219" s="112">
        <f>COSEIDIcam</f>
        <v>276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909</v>
      </c>
      <c r="D222" s="107" t="s">
        <v>1459</v>
      </c>
      <c r="E222" s="108" t="s">
        <v>910</v>
      </c>
    </row>
    <row r="223" spans="2:6" ht="15.75" thickTop="1" x14ac:dyDescent="0.25">
      <c r="B223" s="52" t="s">
        <v>1239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1240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1241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909</v>
      </c>
      <c r="D229" s="95" t="s">
        <v>1459</v>
      </c>
      <c r="E229" s="101" t="s">
        <v>910</v>
      </c>
      <c r="F229" s="156"/>
    </row>
    <row r="230" spans="2:6" ht="16.5" thickTop="1" thickBot="1" x14ac:dyDescent="0.3">
      <c r="B230" s="97" t="s">
        <v>1059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1060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909</v>
      </c>
      <c r="D234" s="107" t="s">
        <v>1459</v>
      </c>
      <c r="E234" s="108" t="s">
        <v>910</v>
      </c>
    </row>
    <row r="235" spans="2:6" ht="15.75" thickTop="1" x14ac:dyDescent="0.25">
      <c r="B235" s="52" t="s">
        <v>1239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1240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1241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909</v>
      </c>
      <c r="D241" s="95" t="s">
        <v>1459</v>
      </c>
      <c r="E241" s="101" t="s">
        <v>910</v>
      </c>
      <c r="F241" s="156"/>
    </row>
    <row r="242" spans="2:6" ht="16.5" thickTop="1" thickBot="1" x14ac:dyDescent="0.3">
      <c r="B242" s="97" t="s">
        <v>1059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1060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909</v>
      </c>
      <c r="D246" s="107" t="s">
        <v>1459</v>
      </c>
      <c r="E246" s="108" t="s">
        <v>910</v>
      </c>
    </row>
    <row r="247" spans="2:6" ht="15.75" thickTop="1" x14ac:dyDescent="0.25">
      <c r="B247" s="52" t="s">
        <v>1239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TOTAL'!AI3</f>
        <v>0</v>
      </c>
      <c r="D248" s="54"/>
      <c r="E248" s="55">
        <f>C248/C247</f>
        <v>0</v>
      </c>
      <c r="F248" s="156"/>
    </row>
    <row r="249" spans="2:6" x14ac:dyDescent="0.25">
      <c r="B249" s="53" t="s">
        <v>1240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1241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909</v>
      </c>
      <c r="D253" s="95">
        <v>0</v>
      </c>
      <c r="E253" s="101" t="s">
        <v>910</v>
      </c>
      <c r="F253" s="156"/>
    </row>
    <row r="254" spans="2:6" ht="16.5" thickTop="1" thickBot="1" x14ac:dyDescent="0.3">
      <c r="B254" s="97" t="s">
        <v>1059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1060</v>
      </c>
      <c r="C255" s="112">
        <f>COSEIDIcam</f>
        <v>276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909</v>
      </c>
      <c r="D258" s="107" t="s">
        <v>1459</v>
      </c>
      <c r="E258" s="108" t="s">
        <v>910</v>
      </c>
    </row>
    <row r="259" spans="2:6" ht="15.75" thickTop="1" x14ac:dyDescent="0.25">
      <c r="B259" s="52" t="s">
        <v>1239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TOTAL'!AJ3</f>
        <v>0</v>
      </c>
      <c r="D260" s="54"/>
      <c r="E260" s="55">
        <f>C260/C259</f>
        <v>0</v>
      </c>
      <c r="F260" s="156"/>
    </row>
    <row r="261" spans="2:6" x14ac:dyDescent="0.25">
      <c r="B261" s="53" t="s">
        <v>1240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1241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909</v>
      </c>
      <c r="D265" s="95" t="s">
        <v>1459</v>
      </c>
      <c r="E265" s="101" t="s">
        <v>910</v>
      </c>
      <c r="F265" s="156"/>
    </row>
    <row r="266" spans="2:6" ht="16.5" thickTop="1" thickBot="1" x14ac:dyDescent="0.3">
      <c r="B266" s="97" t="s">
        <v>1059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1060</v>
      </c>
      <c r="C267" s="112">
        <f>COSEIDIcam</f>
        <v>276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909</v>
      </c>
      <c r="D269" s="107" t="s">
        <v>1459</v>
      </c>
      <c r="E269" s="108" t="s">
        <v>910</v>
      </c>
    </row>
    <row r="270" spans="2:6" ht="15.75" thickTop="1" x14ac:dyDescent="0.25">
      <c r="B270" s="52" t="s">
        <v>1239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TOTAL'!AK3</f>
        <v>0</v>
      </c>
      <c r="D271" s="54"/>
      <c r="E271" s="55">
        <f>C271/C270</f>
        <v>0</v>
      </c>
      <c r="F271" s="156"/>
    </row>
    <row r="272" spans="2:6" x14ac:dyDescent="0.25">
      <c r="B272" s="53" t="s">
        <v>1240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1241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909</v>
      </c>
      <c r="D276" s="95" t="s">
        <v>1459</v>
      </c>
      <c r="E276" s="101" t="s">
        <v>910</v>
      </c>
      <c r="F276" s="156"/>
    </row>
    <row r="277" spans="2:6" ht="16.5" thickTop="1" thickBot="1" x14ac:dyDescent="0.3">
      <c r="B277" s="97" t="s">
        <v>1059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1060</v>
      </c>
      <c r="C278" s="112">
        <f>COSEIDIcam</f>
        <v>276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909</v>
      </c>
      <c r="D280" s="107" t="s">
        <v>1459</v>
      </c>
      <c r="E280" s="108" t="s">
        <v>910</v>
      </c>
    </row>
    <row r="281" spans="2:6" ht="15.75" thickTop="1" x14ac:dyDescent="0.25">
      <c r="B281" s="52" t="s">
        <v>1239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TOTAL'!AL3</f>
        <v>0</v>
      </c>
      <c r="D282" s="54"/>
      <c r="E282" s="55">
        <f>C282/C281</f>
        <v>0</v>
      </c>
      <c r="F282" s="156"/>
    </row>
    <row r="283" spans="2:6" x14ac:dyDescent="0.25">
      <c r="B283" s="53" t="s">
        <v>1240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1241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909</v>
      </c>
      <c r="D287" s="95" t="s">
        <v>1459</v>
      </c>
      <c r="E287" s="101" t="s">
        <v>910</v>
      </c>
      <c r="F287" s="156"/>
    </row>
    <row r="288" spans="2:6" ht="16.5" thickTop="1" thickBot="1" x14ac:dyDescent="0.3">
      <c r="B288" s="97" t="s">
        <v>1059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1060</v>
      </c>
      <c r="C289" s="112">
        <f>COSEIDIcam</f>
        <v>276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909</v>
      </c>
      <c r="D291" s="107" t="s">
        <v>1459</v>
      </c>
      <c r="E291" s="108" t="s">
        <v>910</v>
      </c>
    </row>
    <row r="292" spans="2:6" ht="15.75" thickTop="1" x14ac:dyDescent="0.25">
      <c r="B292" s="52" t="s">
        <v>1239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TOTAL'!AM3</f>
        <v>0</v>
      </c>
      <c r="D293" s="54"/>
      <c r="E293" s="55">
        <f>C293/C292</f>
        <v>0</v>
      </c>
      <c r="F293" s="156"/>
    </row>
    <row r="294" spans="2:6" x14ac:dyDescent="0.25">
      <c r="B294" s="53" t="s">
        <v>1240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1241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909</v>
      </c>
      <c r="D298" s="95" t="s">
        <v>1459</v>
      </c>
      <c r="E298" s="101" t="s">
        <v>910</v>
      </c>
      <c r="F298" s="156"/>
    </row>
    <row r="299" spans="2:6" ht="16.5" thickTop="1" thickBot="1" x14ac:dyDescent="0.3">
      <c r="B299" s="97" t="s">
        <v>1059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1060</v>
      </c>
      <c r="C300" s="112">
        <f>COSEIDIcam</f>
        <v>276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909</v>
      </c>
      <c r="D302" s="107" t="s">
        <v>1459</v>
      </c>
      <c r="E302" s="108" t="s">
        <v>910</v>
      </c>
    </row>
    <row r="303" spans="2:6" ht="15.75" thickTop="1" x14ac:dyDescent="0.25">
      <c r="B303" s="52" t="s">
        <v>1239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1240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1241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909</v>
      </c>
      <c r="D309" s="95" t="s">
        <v>1459</v>
      </c>
      <c r="E309" s="101" t="s">
        <v>910</v>
      </c>
      <c r="F309" s="156"/>
    </row>
    <row r="310" spans="2:6" ht="16.5" thickTop="1" thickBot="1" x14ac:dyDescent="0.3">
      <c r="B310" s="97" t="s">
        <v>1059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1060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909</v>
      </c>
      <c r="D313" s="107" t="s">
        <v>1459</v>
      </c>
      <c r="E313" s="108" t="s">
        <v>910</v>
      </c>
    </row>
    <row r="314" spans="2:6" ht="15.75" thickTop="1" x14ac:dyDescent="0.25">
      <c r="B314" s="52" t="s">
        <v>1239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1240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1241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909</v>
      </c>
      <c r="D320" s="95" t="s">
        <v>1459</v>
      </c>
      <c r="E320" s="101" t="s">
        <v>910</v>
      </c>
      <c r="F320" s="156"/>
    </row>
    <row r="321" spans="2:6" ht="16.5" thickTop="1" thickBot="1" x14ac:dyDescent="0.3">
      <c r="B321" s="97" t="s">
        <v>1059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1060</v>
      </c>
      <c r="C322" s="112">
        <f>COSEIDIcam</f>
        <v>276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909</v>
      </c>
      <c r="D324" s="107" t="s">
        <v>1459</v>
      </c>
      <c r="E324" s="108" t="s">
        <v>910</v>
      </c>
    </row>
    <row r="325" spans="2:6" ht="15.75" thickTop="1" x14ac:dyDescent="0.25">
      <c r="B325" s="52" t="s">
        <v>1239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1240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1241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909</v>
      </c>
      <c r="D331" s="95" t="s">
        <v>1459</v>
      </c>
      <c r="E331" s="101" t="s">
        <v>910</v>
      </c>
      <c r="F331" s="156"/>
    </row>
    <row r="332" spans="2:6" ht="16.5" thickTop="1" thickBot="1" x14ac:dyDescent="0.3">
      <c r="B332" s="97" t="s">
        <v>1059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1060</v>
      </c>
      <c r="C333" s="112">
        <f>COSEIDIcam</f>
        <v>276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909</v>
      </c>
      <c r="D336" s="107" t="s">
        <v>1459</v>
      </c>
      <c r="E336" s="108" t="s">
        <v>910</v>
      </c>
    </row>
    <row r="337" spans="2:6" ht="15.75" thickTop="1" x14ac:dyDescent="0.25">
      <c r="B337" s="52" t="s">
        <v>1239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1240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1241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909</v>
      </c>
      <c r="D343" s="95" t="s">
        <v>1459</v>
      </c>
      <c r="E343" s="101" t="s">
        <v>910</v>
      </c>
      <c r="F343" s="156"/>
    </row>
    <row r="344" spans="2:6" ht="16.5" thickTop="1" thickBot="1" x14ac:dyDescent="0.3">
      <c r="B344" s="97" t="s">
        <v>1059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1060</v>
      </c>
      <c r="C345" s="112">
        <f>COSEIDIcam</f>
        <v>276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2026-03-03T10:57:00Z</dcterms:modified>
</cp:coreProperties>
</file>