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F8E54450-98B3-4661-AD1F-9D3C5F7E58C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<sst xmlns="http://schemas.openxmlformats.org/spreadsheetml/2006/main" count="5758" uniqueCount="2218">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</sst>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C8" activePane="bottomRight" state="frozen"/>
      <selection pane="topRight" activeCell="M1" sqref="M1"/>
      <selection pane="bottomLeft" activeCell="A5" sqref="A5"/>
      <selection pane="bottomRight" activeCell="C295" sqref="C29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1469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1470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1471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1251</v>
      </c>
      <c r="H7" s="117"/>
      <c r="I7" s="19" t="s">
        <v>2</v>
      </c>
      <c r="J7" s="19" t="s">
        <v>1671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1672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2125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1254</v>
      </c>
      <c r="H9" s="30" t="s">
        <v>611</v>
      </c>
      <c r="I9" s="31">
        <f t="shared" si="5"/>
        <v>27</v>
      </c>
      <c r="J9" s="147" t="s">
        <v>1673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2125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1304</v>
      </c>
      <c r="G10" s="85"/>
      <c r="H10" s="85" t="s">
        <v>612</v>
      </c>
      <c r="I10" s="142">
        <f t="shared" si="5"/>
        <v>28</v>
      </c>
      <c r="J10" s="147" t="s">
        <v>1674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1304</v>
      </c>
      <c r="G11" s="85"/>
      <c r="H11" s="85" t="s">
        <v>613</v>
      </c>
      <c r="I11" s="142">
        <f t="shared" si="5"/>
        <v>28</v>
      </c>
      <c r="J11" s="147" t="s">
        <v>1675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1304</v>
      </c>
      <c r="G12" s="85" t="s">
        <v>1253</v>
      </c>
      <c r="H12" s="85" t="s">
        <v>614</v>
      </c>
      <c r="I12" s="142">
        <f t="shared" si="5"/>
        <v>28</v>
      </c>
      <c r="J12" s="149" t="s">
        <v>1676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1304</v>
      </c>
      <c r="G13" s="85" t="s">
        <v>1253</v>
      </c>
      <c r="H13" s="85" t="s">
        <v>615</v>
      </c>
      <c r="I13" s="142">
        <f t="shared" si="5"/>
        <v>28</v>
      </c>
      <c r="J13" s="147" t="s">
        <v>1677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1254</v>
      </c>
      <c r="H14" s="30" t="s">
        <v>617</v>
      </c>
      <c r="I14" s="31">
        <f t="shared" si="5"/>
        <v>27</v>
      </c>
      <c r="J14" s="147" t="s">
        <v>1678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2125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1679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1680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1304</v>
      </c>
      <c r="G17" s="85"/>
      <c r="H17" s="85" t="s">
        <v>1215</v>
      </c>
      <c r="I17" s="142">
        <f t="shared" si="5"/>
        <v>28</v>
      </c>
      <c r="J17" s="150" t="s">
        <v>1681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1533</v>
      </c>
      <c r="C18" t="s">
        <v>1064</v>
      </c>
      <c r="D18" s="68" t="s">
        <v>1534</v>
      </c>
      <c r="E18" s="30" t="s">
        <v>73</v>
      </c>
      <c r="F18" s="85" t="s">
        <v>1304</v>
      </c>
      <c r="G18" s="30"/>
      <c r="H18" s="30" t="s">
        <v>1535</v>
      </c>
      <c r="I18" s="31">
        <f t="shared" si="5"/>
        <v>28</v>
      </c>
      <c r="J18" s="87" t="s">
        <v>2165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1682</v>
      </c>
      <c r="K19" s="31">
        <f t="shared" si="6"/>
        <v>7</v>
      </c>
      <c r="L19" s="32">
        <f t="shared" si="7"/>
        <v>0.75</v>
      </c>
      <c r="M19" s="70"/>
      <c r="N19" s="70" t="s">
        <v>2125</v>
      </c>
      <c r="O19" s="70" t="s">
        <v>2125</v>
      </c>
      <c r="P19" s="70" t="s">
        <v>2125</v>
      </c>
      <c r="Q19" s="70" t="s">
        <v>2125</v>
      </c>
      <c r="R19" s="70" t="s">
        <v>2125</v>
      </c>
      <c r="S19" s="70" t="s">
        <v>2125</v>
      </c>
      <c r="T19" s="70" t="s">
        <v>2125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1548</v>
      </c>
      <c r="C20" s="73" t="s">
        <v>1064</v>
      </c>
      <c r="D20" s="73" t="s">
        <v>1549</v>
      </c>
      <c r="E20" s="85" t="s">
        <v>73</v>
      </c>
      <c r="F20" s="85" t="s">
        <v>1304</v>
      </c>
      <c r="G20" s="85"/>
      <c r="H20" s="85" t="s">
        <v>1550</v>
      </c>
      <c r="I20" s="31">
        <f t="shared" si="5"/>
        <v>21</v>
      </c>
      <c r="J20" s="147" t="s">
        <v>1683</v>
      </c>
      <c r="K20" s="31">
        <f t="shared" si="6"/>
        <v>7</v>
      </c>
      <c r="L20" s="32">
        <f t="shared" si="7"/>
        <v>0.75</v>
      </c>
      <c r="M20" s="70"/>
      <c r="N20" s="70" t="s">
        <v>2125</v>
      </c>
      <c r="O20" s="70" t="s">
        <v>2125</v>
      </c>
      <c r="P20" s="70" t="s">
        <v>2125</v>
      </c>
      <c r="Q20" s="70" t="s">
        <v>2125</v>
      </c>
      <c r="R20" s="70" t="s">
        <v>2125</v>
      </c>
      <c r="S20" s="70" t="s">
        <v>2125</v>
      </c>
      <c r="T20" s="70" t="s">
        <v>2125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1577</v>
      </c>
      <c r="C21" s="73" t="s">
        <v>1064</v>
      </c>
      <c r="D21" s="73" t="s">
        <v>1578</v>
      </c>
      <c r="E21" s="85" t="s">
        <v>73</v>
      </c>
      <c r="F21" s="85" t="s">
        <v>1304</v>
      </c>
      <c r="G21" s="85"/>
      <c r="H21" s="85" t="s">
        <v>1579</v>
      </c>
      <c r="I21" s="31">
        <f t="shared" si="5"/>
        <v>28</v>
      </c>
      <c r="J21" s="147" t="s">
        <v>1684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1685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1271</v>
      </c>
      <c r="C23" t="s">
        <v>1064</v>
      </c>
      <c r="D23" t="s">
        <v>1272</v>
      </c>
      <c r="E23" s="30" t="s">
        <v>15</v>
      </c>
      <c r="F23" s="30" t="s">
        <v>28</v>
      </c>
      <c r="G23" s="30"/>
      <c r="H23" s="30" t="s">
        <v>1360</v>
      </c>
      <c r="I23" s="31">
        <f t="shared" si="5"/>
        <v>28</v>
      </c>
      <c r="J23" s="147" t="s">
        <v>1686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1687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1688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1689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1690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1691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1692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1350</v>
      </c>
      <c r="C30" s="73" t="s">
        <v>1064</v>
      </c>
      <c r="D30" s="73" t="s">
        <v>1351</v>
      </c>
      <c r="E30" s="85" t="s">
        <v>19</v>
      </c>
      <c r="F30" s="85" t="s">
        <v>1304</v>
      </c>
      <c r="G30" s="85"/>
      <c r="H30" s="85" t="s">
        <v>1358</v>
      </c>
      <c r="I30" s="142">
        <f t="shared" si="5"/>
        <v>28</v>
      </c>
      <c r="J30" s="147" t="s">
        <v>1693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1602</v>
      </c>
      <c r="C31" s="85" t="s">
        <v>1065</v>
      </c>
      <c r="D31" s="73" t="s">
        <v>1605</v>
      </c>
      <c r="E31" s="85" t="s">
        <v>19</v>
      </c>
      <c r="F31" s="85" t="s">
        <v>1304</v>
      </c>
      <c r="G31" s="85"/>
      <c r="H31" s="85" t="s">
        <v>1606</v>
      </c>
      <c r="I31" s="142">
        <f t="shared" si="5"/>
        <v>28</v>
      </c>
      <c r="J31" s="87" t="s">
        <v>2166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1603</v>
      </c>
      <c r="C32" s="85" t="s">
        <v>1065</v>
      </c>
      <c r="D32" s="73" t="s">
        <v>1609</v>
      </c>
      <c r="E32" s="85" t="s">
        <v>73</v>
      </c>
      <c r="F32" s="85" t="s">
        <v>1304</v>
      </c>
      <c r="G32" s="85"/>
      <c r="H32" s="85" t="s">
        <v>1607</v>
      </c>
      <c r="I32" s="142">
        <f t="shared" si="5"/>
        <v>28</v>
      </c>
      <c r="J32" s="87" t="s">
        <v>2167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1604</v>
      </c>
      <c r="C33" s="85" t="s">
        <v>1065</v>
      </c>
      <c r="D33" s="73" t="s">
        <v>1609</v>
      </c>
      <c r="E33" s="85" t="s">
        <v>73</v>
      </c>
      <c r="F33" s="85" t="s">
        <v>1304</v>
      </c>
      <c r="G33" s="85"/>
      <c r="H33" s="85" t="s">
        <v>1608</v>
      </c>
      <c r="I33" s="142">
        <f t="shared" si="5"/>
        <v>28</v>
      </c>
      <c r="J33" s="87" t="s">
        <v>2168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2164</v>
      </c>
      <c r="B34" s="133" t="s">
        <v>1352</v>
      </c>
      <c r="C34" s="132" t="s">
        <v>1065</v>
      </c>
      <c r="D34" s="132" t="s">
        <v>1353</v>
      </c>
      <c r="E34" s="133" t="s">
        <v>19</v>
      </c>
      <c r="F34" s="133" t="s">
        <v>28</v>
      </c>
      <c r="G34" s="133"/>
      <c r="H34" s="133" t="s">
        <v>1449</v>
      </c>
      <c r="I34" s="134">
        <f t="shared" si="5"/>
        <v>13</v>
      </c>
      <c r="J34" s="147" t="s">
        <v>1694</v>
      </c>
      <c r="K34" s="134">
        <f t="shared" si="6"/>
        <v>15</v>
      </c>
      <c r="L34" s="135">
        <f t="shared" si="7"/>
        <v>0.4642857142857143</v>
      </c>
      <c r="M34" s="136" t="s">
        <v>2125</v>
      </c>
      <c r="N34" s="136"/>
      <c r="O34" s="136" t="s">
        <v>2125</v>
      </c>
      <c r="P34" s="136" t="s">
        <v>2125</v>
      </c>
      <c r="Q34" s="136" t="s">
        <v>2125</v>
      </c>
      <c r="R34" s="136"/>
      <c r="S34" s="136" t="s">
        <v>2125</v>
      </c>
      <c r="T34" s="136" t="s">
        <v>2125</v>
      </c>
      <c r="U34" s="136" t="s">
        <v>2125</v>
      </c>
      <c r="V34" s="136" t="s">
        <v>2125</v>
      </c>
      <c r="W34" s="136" t="s">
        <v>2125</v>
      </c>
      <c r="X34" s="136" t="s">
        <v>2125</v>
      </c>
      <c r="Y34" s="136" t="s">
        <v>2125</v>
      </c>
      <c r="Z34" s="136" t="s">
        <v>2125</v>
      </c>
      <c r="AA34" s="136" t="s">
        <v>2125</v>
      </c>
      <c r="AB34" s="136" t="s">
        <v>2125</v>
      </c>
      <c r="AC34" s="136" t="s">
        <v>2125</v>
      </c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2164</v>
      </c>
      <c r="B35" s="85" t="s">
        <v>1403</v>
      </c>
      <c r="C35" s="73" t="s">
        <v>1065</v>
      </c>
      <c r="D35" s="73" t="s">
        <v>1404</v>
      </c>
      <c r="E35" s="85" t="s">
        <v>19</v>
      </c>
      <c r="F35" s="85" t="s">
        <v>1304</v>
      </c>
      <c r="G35" s="85"/>
      <c r="H35" s="85" t="s">
        <v>1405</v>
      </c>
      <c r="I35" s="142">
        <f t="shared" si="5"/>
        <v>20</v>
      </c>
      <c r="J35" s="87" t="s">
        <v>2169</v>
      </c>
      <c r="K35" s="142">
        <f t="shared" si="6"/>
        <v>8</v>
      </c>
      <c r="L35" s="143">
        <f t="shared" si="7"/>
        <v>0.7142857142857143</v>
      </c>
      <c r="M35" s="70" t="s">
        <v>2125</v>
      </c>
      <c r="N35" s="70" t="s">
        <v>2125</v>
      </c>
      <c r="O35" s="70" t="s">
        <v>2125</v>
      </c>
      <c r="P35" s="70" t="s">
        <v>2125</v>
      </c>
      <c r="Q35" s="70" t="s">
        <v>2125</v>
      </c>
      <c r="R35" s="70"/>
      <c r="S35" s="70" t="s">
        <v>2125</v>
      </c>
      <c r="T35" s="70" t="s">
        <v>2125</v>
      </c>
      <c r="U35" s="70" t="s">
        <v>2125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2164</v>
      </c>
      <c r="B36" s="85" t="s">
        <v>2160</v>
      </c>
      <c r="C36" s="73" t="s">
        <v>1065</v>
      </c>
      <c r="D36" s="73" t="s">
        <v>2161</v>
      </c>
      <c r="E36" s="85" t="s">
        <v>19</v>
      </c>
      <c r="F36" s="85" t="s">
        <v>1304</v>
      </c>
      <c r="G36" s="85"/>
      <c r="H36" s="85" t="s">
        <v>2162</v>
      </c>
      <c r="I36" s="142">
        <f t="shared" si="5"/>
        <v>28</v>
      </c>
      <c r="J36" s="87" t="s">
        <v>2163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1515</v>
      </c>
      <c r="C37" s="73" t="s">
        <v>1065</v>
      </c>
      <c r="D37" s="73" t="s">
        <v>1516</v>
      </c>
      <c r="E37" s="85" t="s">
        <v>19</v>
      </c>
      <c r="F37" s="85" t="s">
        <v>1304</v>
      </c>
      <c r="G37" s="85"/>
      <c r="H37" s="85" t="s">
        <v>1517</v>
      </c>
      <c r="I37" s="142">
        <f t="shared" si="5"/>
        <v>28</v>
      </c>
      <c r="J37" s="87" t="s">
        <v>2170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1461</v>
      </c>
      <c r="B38" s="30" t="s">
        <v>1460</v>
      </c>
      <c r="C38" t="s">
        <v>1065</v>
      </c>
      <c r="D38" t="s">
        <v>1459</v>
      </c>
      <c r="E38" s="30" t="s">
        <v>73</v>
      </c>
      <c r="F38" s="30" t="s">
        <v>28</v>
      </c>
      <c r="G38" s="30"/>
      <c r="H38" s="85" t="s">
        <v>1463</v>
      </c>
      <c r="I38" s="31">
        <f t="shared" si="5"/>
        <v>24</v>
      </c>
      <c r="J38" s="147" t="s">
        <v>1695</v>
      </c>
      <c r="K38" s="31">
        <f t="shared" si="6"/>
        <v>4</v>
      </c>
      <c r="L38" s="32">
        <f t="shared" si="7"/>
        <v>0.8571428571428571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2125</v>
      </c>
      <c r="AA38" s="70" t="s">
        <v>2125</v>
      </c>
      <c r="AB38" s="70" t="s">
        <v>2125</v>
      </c>
      <c r="AC38" s="70" t="s">
        <v>2125</v>
      </c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1461</v>
      </c>
      <c r="B39" s="30" t="s">
        <v>1462</v>
      </c>
      <c r="C39" t="s">
        <v>1065</v>
      </c>
      <c r="D39" t="s">
        <v>1459</v>
      </c>
      <c r="E39" s="30" t="s">
        <v>73</v>
      </c>
      <c r="F39" s="30" t="s">
        <v>28</v>
      </c>
      <c r="G39" s="30"/>
      <c r="H39" s="85" t="s">
        <v>1464</v>
      </c>
      <c r="I39" s="31">
        <f t="shared" si="5"/>
        <v>24</v>
      </c>
      <c r="J39" s="147" t="s">
        <v>1696</v>
      </c>
      <c r="K39" s="31">
        <f t="shared" si="6"/>
        <v>4</v>
      </c>
      <c r="L39" s="32">
        <f t="shared" si="7"/>
        <v>0.8571428571428571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2125</v>
      </c>
      <c r="AA39" s="70" t="s">
        <v>2125</v>
      </c>
      <c r="AB39" s="70" t="s">
        <v>2125</v>
      </c>
      <c r="AC39" s="70" t="s">
        <v>2125</v>
      </c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1461</v>
      </c>
      <c r="B40" s="30" t="s">
        <v>1644</v>
      </c>
      <c r="C40" t="s">
        <v>1065</v>
      </c>
      <c r="D40" t="s">
        <v>1646</v>
      </c>
      <c r="E40" s="30" t="s">
        <v>73</v>
      </c>
      <c r="F40" s="30" t="s">
        <v>28</v>
      </c>
      <c r="G40" s="30"/>
      <c r="H40" s="85" t="s">
        <v>1647</v>
      </c>
      <c r="I40" s="31">
        <f t="shared" si="5"/>
        <v>28</v>
      </c>
      <c r="J40" s="87" t="s">
        <v>2171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1461</v>
      </c>
      <c r="B41" s="30" t="s">
        <v>1645</v>
      </c>
      <c r="C41" t="s">
        <v>1065</v>
      </c>
      <c r="D41" t="s">
        <v>1646</v>
      </c>
      <c r="E41" s="30" t="s">
        <v>73</v>
      </c>
      <c r="F41" s="30" t="s">
        <v>28</v>
      </c>
      <c r="G41" s="30"/>
      <c r="H41" s="85" t="s">
        <v>1648</v>
      </c>
      <c r="I41" s="31">
        <f t="shared" si="5"/>
        <v>28</v>
      </c>
      <c r="J41" s="87" t="s">
        <v>2196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1461</v>
      </c>
      <c r="B42" s="30" t="s">
        <v>1652</v>
      </c>
      <c r="C42" t="s">
        <v>1065</v>
      </c>
      <c r="D42" t="s">
        <v>1646</v>
      </c>
      <c r="E42" s="30" t="s">
        <v>19</v>
      </c>
      <c r="F42" s="30" t="s">
        <v>28</v>
      </c>
      <c r="G42" s="30"/>
      <c r="H42" s="85" t="s">
        <v>1650</v>
      </c>
      <c r="I42" s="31">
        <f t="shared" si="5"/>
        <v>28</v>
      </c>
      <c r="J42" s="87" t="s">
        <v>2197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1461</v>
      </c>
      <c r="B43" s="30" t="s">
        <v>1653</v>
      </c>
      <c r="C43" t="s">
        <v>1065</v>
      </c>
      <c r="D43" t="s">
        <v>1654</v>
      </c>
      <c r="E43" s="30" t="s">
        <v>19</v>
      </c>
      <c r="F43" s="30" t="s">
        <v>28</v>
      </c>
      <c r="G43" s="30"/>
      <c r="H43" s="85" t="s">
        <v>1655</v>
      </c>
      <c r="I43" s="31">
        <f t="shared" si="5"/>
        <v>24</v>
      </c>
      <c r="J43" s="87" t="s">
        <v>2198</v>
      </c>
      <c r="K43" s="31">
        <f t="shared" si="6"/>
        <v>4</v>
      </c>
      <c r="L43" s="32">
        <f t="shared" si="7"/>
        <v>0.8571428571428571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2125</v>
      </c>
      <c r="AA43" s="70" t="s">
        <v>2125</v>
      </c>
      <c r="AB43" s="70" t="s">
        <v>2125</v>
      </c>
      <c r="AC43" s="70" t="s">
        <v>2125</v>
      </c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1698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1699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1700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1701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1702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1703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1704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1705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1706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1304</v>
      </c>
      <c r="G56" s="85"/>
      <c r="H56" s="85" t="s">
        <v>633</v>
      </c>
      <c r="I56" s="142">
        <f t="shared" si="5"/>
        <v>28</v>
      </c>
      <c r="J56" s="147" t="s">
        <v>1708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1304</v>
      </c>
      <c r="G58" s="85"/>
      <c r="H58" s="85" t="s">
        <v>635</v>
      </c>
      <c r="I58" s="142">
        <f t="shared" si="5"/>
        <v>28</v>
      </c>
      <c r="J58" s="147" t="s">
        <v>1710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1711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1255</v>
      </c>
      <c r="H60" s="30" t="s">
        <v>637</v>
      </c>
      <c r="I60" s="31">
        <f t="shared" si="5"/>
        <v>28</v>
      </c>
      <c r="J60" s="147" t="s">
        <v>1712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1713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1304</v>
      </c>
      <c r="G63" s="85"/>
      <c r="H63" s="85" t="s">
        <v>640</v>
      </c>
      <c r="I63" s="142">
        <f t="shared" si="5"/>
        <v>27</v>
      </c>
      <c r="J63" s="147" t="s">
        <v>1715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2125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1304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1304</v>
      </c>
      <c r="G65" s="85"/>
      <c r="H65" s="85" t="s">
        <v>1380</v>
      </c>
      <c r="I65" s="142">
        <f t="shared" si="5"/>
        <v>28</v>
      </c>
      <c r="J65" s="147" t="s">
        <v>1716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1717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1445</v>
      </c>
      <c r="I67" s="31">
        <f t="shared" si="5"/>
        <v>28</v>
      </c>
      <c r="J67" s="147" t="s">
        <v>1718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1719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1720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1484</v>
      </c>
      <c r="I70" s="31">
        <f t="shared" si="5"/>
        <v>28</v>
      </c>
      <c r="J70" s="147" t="s">
        <v>1721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1722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1726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1730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1731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1732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1733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1734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1735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1526</v>
      </c>
      <c r="E85" s="85" t="s">
        <v>19</v>
      </c>
      <c r="F85" s="85" t="s">
        <v>1304</v>
      </c>
      <c r="G85" s="85"/>
      <c r="H85" s="85" t="s">
        <v>658</v>
      </c>
      <c r="I85" s="142">
        <f t="shared" si="8"/>
        <v>28</v>
      </c>
      <c r="J85" s="147" t="s">
        <v>1736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1737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2125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1738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1485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1739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1486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1740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1741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1304</v>
      </c>
      <c r="G91" s="85"/>
      <c r="H91" s="85" t="s">
        <v>1428</v>
      </c>
      <c r="I91" s="142">
        <f t="shared" si="8"/>
        <v>28</v>
      </c>
      <c r="J91" s="147" t="s">
        <v>1742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1465</v>
      </c>
      <c r="I92" s="31">
        <f t="shared" si="8"/>
        <v>28</v>
      </c>
      <c r="J92" s="150" t="s">
        <v>1743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1304</v>
      </c>
      <c r="G93" s="85"/>
      <c r="H93" s="85" t="s">
        <v>1365</v>
      </c>
      <c r="I93" s="142">
        <f t="shared" si="8"/>
        <v>28</v>
      </c>
      <c r="J93" s="147" t="s">
        <v>1744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1304</v>
      </c>
      <c r="G94" s="85"/>
      <c r="H94" s="85" t="s">
        <v>664</v>
      </c>
      <c r="I94" s="142">
        <f t="shared" si="8"/>
        <v>27</v>
      </c>
      <c r="J94" s="147" t="s">
        <v>1745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2125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1304</v>
      </c>
      <c r="G95" s="85"/>
      <c r="H95" s="85" t="s">
        <v>1436</v>
      </c>
      <c r="I95" s="142">
        <f t="shared" si="8"/>
        <v>28</v>
      </c>
      <c r="J95" s="147" t="s">
        <v>1746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1304</v>
      </c>
      <c r="G96" s="85"/>
      <c r="H96" s="85" t="s">
        <v>1372</v>
      </c>
      <c r="I96" s="142">
        <f t="shared" si="8"/>
        <v>28</v>
      </c>
      <c r="J96" s="147" t="s">
        <v>1747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1304</v>
      </c>
      <c r="G97" s="85"/>
      <c r="H97" s="85" t="s">
        <v>1359</v>
      </c>
      <c r="I97" s="142">
        <f t="shared" si="8"/>
        <v>25</v>
      </c>
      <c r="J97" s="147" t="s">
        <v>1748</v>
      </c>
      <c r="K97" s="142">
        <f t="shared" si="9"/>
        <v>3</v>
      </c>
      <c r="L97" s="143">
        <f t="shared" si="10"/>
        <v>0.8928571428571429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2125</v>
      </c>
      <c r="AB97" s="70" t="s">
        <v>2125</v>
      </c>
      <c r="AC97" s="70" t="s">
        <v>2125</v>
      </c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1304</v>
      </c>
      <c r="G98" s="85"/>
      <c r="H98" s="85" t="s">
        <v>1413</v>
      </c>
      <c r="I98" s="142">
        <f t="shared" si="8"/>
        <v>28</v>
      </c>
      <c r="J98" s="147" t="s">
        <v>1749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1304</v>
      </c>
      <c r="G99" s="85"/>
      <c r="H99" s="85" t="s">
        <v>1429</v>
      </c>
      <c r="I99" s="142">
        <f t="shared" si="8"/>
        <v>28</v>
      </c>
      <c r="J99" s="147" t="s">
        <v>1750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1304</v>
      </c>
      <c r="G100" s="85"/>
      <c r="H100" s="85" t="s">
        <v>1368</v>
      </c>
      <c r="I100" s="142">
        <f t="shared" si="8"/>
        <v>28</v>
      </c>
      <c r="J100" s="147" t="s">
        <v>1751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1752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1304</v>
      </c>
      <c r="G102" s="85"/>
      <c r="H102" s="85" t="s">
        <v>1379</v>
      </c>
      <c r="I102" s="142">
        <f t="shared" si="8"/>
        <v>23</v>
      </c>
      <c r="J102" s="147" t="s">
        <v>1753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2125</v>
      </c>
      <c r="R102" s="70" t="s">
        <v>2125</v>
      </c>
      <c r="S102" s="70" t="s">
        <v>2125</v>
      </c>
      <c r="T102" s="70" t="s">
        <v>2125</v>
      </c>
      <c r="U102" s="70" t="s">
        <v>2125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1754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1304</v>
      </c>
      <c r="G104" s="85"/>
      <c r="H104" s="85" t="s">
        <v>1369</v>
      </c>
      <c r="I104" s="142">
        <f t="shared" si="8"/>
        <v>28</v>
      </c>
      <c r="J104" s="147" t="s">
        <v>1755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1256</v>
      </c>
      <c r="H105" s="30" t="s">
        <v>667</v>
      </c>
      <c r="I105" s="31">
        <f t="shared" si="8"/>
        <v>28</v>
      </c>
      <c r="J105" s="147" t="s">
        <v>1756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1757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1758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1304</v>
      </c>
      <c r="G108" s="85"/>
      <c r="H108" s="85" t="s">
        <v>1061</v>
      </c>
      <c r="I108" s="142">
        <f t="shared" si="8"/>
        <v>28</v>
      </c>
      <c r="J108" s="147" t="s">
        <v>1759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1304</v>
      </c>
      <c r="G109" s="85"/>
      <c r="H109" s="85" t="s">
        <v>670</v>
      </c>
      <c r="I109" s="142">
        <f t="shared" si="8"/>
        <v>28</v>
      </c>
      <c r="J109" s="147" t="s">
        <v>1759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1304</v>
      </c>
      <c r="G110" s="85"/>
      <c r="H110" s="85" t="s">
        <v>674</v>
      </c>
      <c r="I110" s="142">
        <f t="shared" si="8"/>
        <v>28</v>
      </c>
      <c r="J110" s="147" t="s">
        <v>1761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1304</v>
      </c>
      <c r="G111" s="85"/>
      <c r="H111" s="85" t="s">
        <v>675</v>
      </c>
      <c r="I111" s="142">
        <f t="shared" si="8"/>
        <v>28</v>
      </c>
      <c r="J111" s="147" t="s">
        <v>1760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1762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1763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1304</v>
      </c>
      <c r="G114" s="85"/>
      <c r="H114" s="85" t="s">
        <v>678</v>
      </c>
      <c r="I114" s="142">
        <f t="shared" si="8"/>
        <v>28</v>
      </c>
      <c r="J114" s="147" t="s">
        <v>1764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1765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2125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1767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1304</v>
      </c>
      <c r="G118" s="85"/>
      <c r="H118" s="85" t="s">
        <v>1216</v>
      </c>
      <c r="I118" s="142">
        <f t="shared" si="8"/>
        <v>24</v>
      </c>
      <c r="J118" s="147" t="s">
        <v>1768</v>
      </c>
      <c r="K118" s="142">
        <f t="shared" si="9"/>
        <v>4</v>
      </c>
      <c r="L118" s="143">
        <f t="shared" si="10"/>
        <v>0.8571428571428571</v>
      </c>
      <c r="M118" s="70"/>
      <c r="N118" s="70" t="s">
        <v>2125</v>
      </c>
      <c r="O118" s="70" t="s">
        <v>2125</v>
      </c>
      <c r="P118" s="70"/>
      <c r="Q118" s="70"/>
      <c r="R118" s="70"/>
      <c r="S118" s="70"/>
      <c r="T118" s="70" t="s">
        <v>2125</v>
      </c>
      <c r="U118" s="70" t="s">
        <v>2125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1501</v>
      </c>
      <c r="I119" s="31">
        <f t="shared" si="8"/>
        <v>28</v>
      </c>
      <c r="J119" s="147" t="s">
        <v>1769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1770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1771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1304</v>
      </c>
      <c r="G125" s="85"/>
      <c r="H125" s="85" t="s">
        <v>1202</v>
      </c>
      <c r="I125" s="142">
        <f t="shared" si="8"/>
        <v>26</v>
      </c>
      <c r="J125" s="148" t="s">
        <v>1775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2125</v>
      </c>
      <c r="U125" s="70" t="s">
        <v>2125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1304</v>
      </c>
      <c r="G126" s="85"/>
      <c r="H126" s="85" t="s">
        <v>1199</v>
      </c>
      <c r="I126" s="142">
        <f t="shared" si="8"/>
        <v>28</v>
      </c>
      <c r="J126" s="147" t="s">
        <v>1776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1226</v>
      </c>
      <c r="C127" s="85" t="s">
        <v>1064</v>
      </c>
      <c r="D127" s="73" t="s">
        <v>1227</v>
      </c>
      <c r="E127" s="73" t="s">
        <v>73</v>
      </c>
      <c r="F127" s="73" t="s">
        <v>1304</v>
      </c>
      <c r="H127" s="85" t="s">
        <v>1314</v>
      </c>
      <c r="I127" s="142">
        <f t="shared" si="8"/>
        <v>28</v>
      </c>
      <c r="J127" s="147" t="s">
        <v>1777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1228</v>
      </c>
      <c r="C128" s="30" t="s">
        <v>1064</v>
      </c>
      <c r="D128" t="s">
        <v>1229</v>
      </c>
      <c r="E128" t="s">
        <v>73</v>
      </c>
      <c r="F128" t="s">
        <v>28</v>
      </c>
      <c r="G128"/>
      <c r="H128" s="30" t="s">
        <v>1325</v>
      </c>
      <c r="I128" s="31">
        <f t="shared" si="8"/>
        <v>20</v>
      </c>
      <c r="J128" s="147" t="s">
        <v>1778</v>
      </c>
      <c r="K128" s="31">
        <f t="shared" si="9"/>
        <v>8</v>
      </c>
      <c r="L128" s="32">
        <f t="shared" si="10"/>
        <v>0.7142857142857143</v>
      </c>
      <c r="M128" s="70"/>
      <c r="N128" s="70" t="s">
        <v>2125</v>
      </c>
      <c r="O128" s="70" t="s">
        <v>2125</v>
      </c>
      <c r="P128" s="70" t="s">
        <v>2125</v>
      </c>
      <c r="Q128" s="70"/>
      <c r="R128" s="70"/>
      <c r="S128" s="70"/>
      <c r="T128" s="70"/>
      <c r="U128" s="70"/>
      <c r="V128" s="70"/>
      <c r="W128" s="70" t="s">
        <v>2125</v>
      </c>
      <c r="X128" s="70"/>
      <c r="Y128" s="70" t="s">
        <v>2125</v>
      </c>
      <c r="Z128" s="70"/>
      <c r="AA128" s="70" t="s">
        <v>2125</v>
      </c>
      <c r="AB128" s="70" t="s">
        <v>2125</v>
      </c>
      <c r="AC128" s="70" t="s">
        <v>2125</v>
      </c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1302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1301</v>
      </c>
      <c r="I129" s="31">
        <f t="shared" si="8"/>
        <v>28</v>
      </c>
      <c r="J129" s="147" t="s">
        <v>1779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1327</v>
      </c>
      <c r="C130" s="85" t="s">
        <v>1064</v>
      </c>
      <c r="D130" s="73" t="s">
        <v>1328</v>
      </c>
      <c r="E130" s="85" t="s">
        <v>19</v>
      </c>
      <c r="F130" s="85" t="s">
        <v>1304</v>
      </c>
      <c r="G130" s="85"/>
      <c r="H130" s="85" t="s">
        <v>1329</v>
      </c>
      <c r="I130" s="142">
        <f t="shared" si="8"/>
        <v>28</v>
      </c>
      <c r="J130" s="147" t="s">
        <v>1780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1420</v>
      </c>
      <c r="C131" s="85" t="s">
        <v>1064</v>
      </c>
      <c r="D131" s="73" t="s">
        <v>1536</v>
      </c>
      <c r="E131" s="85" t="s">
        <v>19</v>
      </c>
      <c r="F131" s="85" t="s">
        <v>1304</v>
      </c>
      <c r="G131" s="85"/>
      <c r="H131" s="85" t="s">
        <v>1421</v>
      </c>
      <c r="I131" s="142">
        <f t="shared" si="8"/>
        <v>28</v>
      </c>
      <c r="J131" s="147" t="s">
        <v>1781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1513</v>
      </c>
      <c r="C132" s="85" t="s">
        <v>1064</v>
      </c>
      <c r="D132" s="73" t="s">
        <v>1514</v>
      </c>
      <c r="E132" s="85" t="s">
        <v>19</v>
      </c>
      <c r="F132" s="85" t="s">
        <v>1304</v>
      </c>
      <c r="G132" s="85"/>
      <c r="H132" s="85" t="s">
        <v>1518</v>
      </c>
      <c r="I132" s="142">
        <f t="shared" si="8"/>
        <v>28</v>
      </c>
      <c r="J132" s="147" t="s">
        <v>1782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1492</v>
      </c>
      <c r="C133" s="30" t="s">
        <v>1064</v>
      </c>
      <c r="D133" t="s">
        <v>1491</v>
      </c>
      <c r="E133" s="85" t="s">
        <v>73</v>
      </c>
      <c r="F133" s="85" t="s">
        <v>28</v>
      </c>
      <c r="G133" s="85"/>
      <c r="H133" s="85" t="s">
        <v>1493</v>
      </c>
      <c r="I133" s="142">
        <f t="shared" si="8"/>
        <v>28</v>
      </c>
      <c r="J133" s="147" t="s">
        <v>1783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1495</v>
      </c>
      <c r="C134" s="30" t="s">
        <v>1064</v>
      </c>
      <c r="D134" t="s">
        <v>1494</v>
      </c>
      <c r="E134" s="85" t="s">
        <v>19</v>
      </c>
      <c r="F134" s="85" t="s">
        <v>28</v>
      </c>
      <c r="G134" s="85"/>
      <c r="H134" s="85" t="s">
        <v>1496</v>
      </c>
      <c r="I134" s="142">
        <f t="shared" si="8"/>
        <v>28</v>
      </c>
      <c r="J134" s="147" t="s">
        <v>1784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1527</v>
      </c>
      <c r="C135" s="85" t="s">
        <v>1064</v>
      </c>
      <c r="D135" s="73" t="s">
        <v>1528</v>
      </c>
      <c r="E135" s="85" t="s">
        <v>19</v>
      </c>
      <c r="F135" s="85" t="s">
        <v>1304</v>
      </c>
      <c r="G135" s="85"/>
      <c r="H135" s="85" t="s">
        <v>1529</v>
      </c>
      <c r="I135" s="142">
        <f t="shared" si="8"/>
        <v>28</v>
      </c>
      <c r="J135" s="147" t="s">
        <v>1785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1530</v>
      </c>
      <c r="C136" s="30" t="s">
        <v>1064</v>
      </c>
      <c r="D136" t="s">
        <v>1531</v>
      </c>
      <c r="E136" s="85" t="s">
        <v>19</v>
      </c>
      <c r="F136" s="85" t="s">
        <v>28</v>
      </c>
      <c r="G136" s="85"/>
      <c r="H136" s="85" t="s">
        <v>1532</v>
      </c>
      <c r="I136" s="142">
        <f t="shared" si="8"/>
        <v>28</v>
      </c>
      <c r="J136" s="147" t="s">
        <v>1786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1657</v>
      </c>
      <c r="C137" s="30" t="s">
        <v>1064</v>
      </c>
      <c r="D137" t="s">
        <v>1658</v>
      </c>
      <c r="E137" s="85" t="s">
        <v>19</v>
      </c>
      <c r="F137" s="85" t="s">
        <v>28</v>
      </c>
      <c r="G137" s="85"/>
      <c r="H137" s="85" t="s">
        <v>2131</v>
      </c>
      <c r="I137" s="142">
        <f t="shared" si="8"/>
        <v>28</v>
      </c>
      <c r="J137" s="87" t="s">
        <v>2199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1571</v>
      </c>
      <c r="C138" s="85" t="s">
        <v>1064</v>
      </c>
      <c r="D138" s="73" t="s">
        <v>1573</v>
      </c>
      <c r="E138" s="85" t="s">
        <v>19</v>
      </c>
      <c r="F138" s="85" t="s">
        <v>1304</v>
      </c>
      <c r="G138" s="85"/>
      <c r="H138" s="85" t="s">
        <v>1575</v>
      </c>
      <c r="I138" s="142">
        <f t="shared" si="8"/>
        <v>28</v>
      </c>
      <c r="J138" s="147" t="s">
        <v>1787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1572</v>
      </c>
      <c r="C139" s="85" t="s">
        <v>1064</v>
      </c>
      <c r="D139" s="73" t="s">
        <v>1574</v>
      </c>
      <c r="E139" s="85" t="s">
        <v>19</v>
      </c>
      <c r="F139" s="85" t="s">
        <v>1304</v>
      </c>
      <c r="G139" s="85"/>
      <c r="H139" s="85" t="s">
        <v>1576</v>
      </c>
      <c r="I139" s="142">
        <f t="shared" si="8"/>
        <v>28</v>
      </c>
      <c r="J139" s="147" t="s">
        <v>1788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2138</v>
      </c>
      <c r="C140" s="85" t="s">
        <v>1064</v>
      </c>
      <c r="D140" s="73" t="s">
        <v>2139</v>
      </c>
      <c r="E140" s="85" t="s">
        <v>19</v>
      </c>
      <c r="F140" s="85" t="s">
        <v>1304</v>
      </c>
      <c r="G140" s="85"/>
      <c r="H140" s="85" t="s">
        <v>2200</v>
      </c>
      <c r="I140" s="142">
        <f t="shared" si="8"/>
        <v>28</v>
      </c>
      <c r="J140" s="147" t="s">
        <v>2201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1411</v>
      </c>
      <c r="I141" s="31">
        <f t="shared" si="8"/>
        <v>28</v>
      </c>
      <c r="J141" s="147" t="s">
        <v>1789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2125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1790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1791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2125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2217</v>
      </c>
      <c r="I145" s="31">
        <f t="shared" si="8"/>
        <v>28</v>
      </c>
      <c r="J145" s="147" t="s">
        <v>1792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1312</v>
      </c>
      <c r="I146" s="31">
        <f t="shared" si="8"/>
        <v>28</v>
      </c>
      <c r="J146" s="147" t="s">
        <v>1793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1230</v>
      </c>
      <c r="C148" t="s">
        <v>1065</v>
      </c>
      <c r="D148" t="s">
        <v>1231</v>
      </c>
      <c r="E148" t="s">
        <v>19</v>
      </c>
      <c r="F148" t="s">
        <v>28</v>
      </c>
      <c r="G148"/>
      <c r="H148" s="30" t="s">
        <v>1241</v>
      </c>
      <c r="I148" s="31">
        <f t="shared" si="8"/>
        <v>28</v>
      </c>
      <c r="J148" s="147" t="s">
        <v>1794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1304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2125</v>
      </c>
      <c r="N149" s="93" t="s">
        <v>2125</v>
      </c>
      <c r="O149" s="93" t="s">
        <v>2125</v>
      </c>
      <c r="P149" s="93" t="s">
        <v>2125</v>
      </c>
      <c r="Q149" s="93" t="s">
        <v>2125</v>
      </c>
      <c r="R149" s="93" t="s">
        <v>2125</v>
      </c>
      <c r="S149" s="93" t="s">
        <v>2125</v>
      </c>
      <c r="T149" s="93" t="s">
        <v>2125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1252</v>
      </c>
      <c r="H150" s="30" t="s">
        <v>687</v>
      </c>
      <c r="I150" s="31">
        <f t="shared" si="8"/>
        <v>28</v>
      </c>
      <c r="J150" s="147" t="s">
        <v>1795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1252</v>
      </c>
      <c r="H151" s="30" t="s">
        <v>688</v>
      </c>
      <c r="I151" s="31">
        <f t="shared" si="8"/>
        <v>28</v>
      </c>
      <c r="J151" s="147" t="s">
        <v>1796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1304</v>
      </c>
      <c r="G152" s="85" t="s">
        <v>1252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2125</v>
      </c>
      <c r="N152" s="70" t="s">
        <v>2125</v>
      </c>
      <c r="O152" s="70" t="s">
        <v>2125</v>
      </c>
      <c r="P152" s="70" t="s">
        <v>2125</v>
      </c>
      <c r="Q152" s="70" t="s">
        <v>2125</v>
      </c>
      <c r="R152" s="70" t="s">
        <v>2125</v>
      </c>
      <c r="S152" s="70" t="s">
        <v>2125</v>
      </c>
      <c r="T152" s="70" t="s">
        <v>2125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1304</v>
      </c>
      <c r="G153" s="85" t="s">
        <v>1252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2125</v>
      </c>
      <c r="N153" s="70" t="s">
        <v>2125</v>
      </c>
      <c r="O153" s="70" t="s">
        <v>2125</v>
      </c>
      <c r="P153" s="70" t="s">
        <v>2125</v>
      </c>
      <c r="Q153" s="70" t="s">
        <v>2125</v>
      </c>
      <c r="R153" s="70" t="s">
        <v>2125</v>
      </c>
      <c r="S153" s="70" t="s">
        <v>2125</v>
      </c>
      <c r="T153" s="70" t="s">
        <v>2125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1252</v>
      </c>
      <c r="H154" s="30" t="s">
        <v>1144</v>
      </c>
      <c r="I154" s="31">
        <f t="shared" si="8"/>
        <v>28</v>
      </c>
      <c r="J154" s="147" t="s">
        <v>1797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1252</v>
      </c>
      <c r="H155" s="30" t="s">
        <v>1145</v>
      </c>
      <c r="I155" s="31">
        <f t="shared" si="8"/>
        <v>28</v>
      </c>
      <c r="J155" s="147" t="s">
        <v>1798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1562</v>
      </c>
      <c r="C156" s="73" t="s">
        <v>1064</v>
      </c>
      <c r="D156" s="73" t="s">
        <v>1563</v>
      </c>
      <c r="E156" s="85" t="s">
        <v>46</v>
      </c>
      <c r="F156" s="85" t="s">
        <v>1304</v>
      </c>
      <c r="G156" s="85"/>
      <c r="H156" s="85" t="s">
        <v>1564</v>
      </c>
      <c r="I156" s="31">
        <f t="shared" si="8"/>
        <v>28</v>
      </c>
      <c r="J156" s="147" t="s">
        <v>1799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2132</v>
      </c>
      <c r="C157" s="73" t="s">
        <v>1064</v>
      </c>
      <c r="D157" s="73" t="s">
        <v>2133</v>
      </c>
      <c r="E157" s="85" t="s">
        <v>46</v>
      </c>
      <c r="F157" s="85" t="s">
        <v>1304</v>
      </c>
      <c r="G157" s="85"/>
      <c r="H157" s="85" t="s">
        <v>2136</v>
      </c>
      <c r="I157" s="31">
        <f t="shared" si="8"/>
        <v>19</v>
      </c>
      <c r="J157" s="147"/>
      <c r="K157" s="31">
        <f t="shared" si="9"/>
        <v>9</v>
      </c>
      <c r="L157" s="32">
        <f t="shared" si="10"/>
        <v>0.6785714285714286</v>
      </c>
      <c r="M157" s="70"/>
      <c r="N157" s="70"/>
      <c r="O157" s="70"/>
      <c r="P157" s="70"/>
      <c r="Q157" s="70"/>
      <c r="R157" s="70"/>
      <c r="S157" s="70"/>
      <c r="T157" s="70"/>
      <c r="U157" s="70" t="s">
        <v>2125</v>
      </c>
      <c r="V157" s="70" t="s">
        <v>2125</v>
      </c>
      <c r="W157" s="70" t="s">
        <v>2125</v>
      </c>
      <c r="X157" s="70" t="s">
        <v>2125</v>
      </c>
      <c r="Y157" s="70" t="s">
        <v>2125</v>
      </c>
      <c r="Z157" s="70" t="s">
        <v>2125</v>
      </c>
      <c r="AA157" s="70" t="s">
        <v>2125</v>
      </c>
      <c r="AB157" s="70" t="s">
        <v>2125</v>
      </c>
      <c r="AC157" s="70" t="s">
        <v>2125</v>
      </c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1332</v>
      </c>
      <c r="B158" s="73" t="s">
        <v>1320</v>
      </c>
      <c r="C158" s="73" t="s">
        <v>1065</v>
      </c>
      <c r="D158" s="73" t="s">
        <v>1321</v>
      </c>
      <c r="E158" s="85" t="s">
        <v>19</v>
      </c>
      <c r="F158" s="85" t="s">
        <v>1304</v>
      </c>
      <c r="G158" s="85"/>
      <c r="H158" s="85" t="s">
        <v>1335</v>
      </c>
      <c r="I158" s="142">
        <f t="shared" si="8"/>
        <v>28</v>
      </c>
      <c r="J158" s="147" t="s">
        <v>1800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1332</v>
      </c>
      <c r="B159" s="73" t="s">
        <v>1336</v>
      </c>
      <c r="C159" s="73" t="s">
        <v>1065</v>
      </c>
      <c r="D159" s="73" t="s">
        <v>1337</v>
      </c>
      <c r="E159" s="85" t="s">
        <v>15</v>
      </c>
      <c r="F159" s="85" t="s">
        <v>1304</v>
      </c>
      <c r="G159" s="85"/>
      <c r="H159" s="85" t="s">
        <v>1502</v>
      </c>
      <c r="I159" s="142">
        <f t="shared" ref="I159:I232" si="11">COUNTIF(M159:AN159,"")</f>
        <v>28</v>
      </c>
      <c r="J159" s="147" t="s">
        <v>1801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1802</v>
      </c>
      <c r="K160" s="31">
        <f t="shared" si="12"/>
        <v>6</v>
      </c>
      <c r="L160" s="32">
        <f t="shared" si="13"/>
        <v>0.7857142857142857</v>
      </c>
      <c r="M160" s="70" t="s">
        <v>2125</v>
      </c>
      <c r="N160" s="70" t="s">
        <v>2125</v>
      </c>
      <c r="O160" s="70" t="s">
        <v>2125</v>
      </c>
      <c r="P160" s="70" t="s">
        <v>2125</v>
      </c>
      <c r="Q160" s="70" t="s">
        <v>2125</v>
      </c>
      <c r="R160" s="70" t="s">
        <v>2125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1803</v>
      </c>
      <c r="K161" s="31">
        <f t="shared" si="12"/>
        <v>6</v>
      </c>
      <c r="L161" s="32">
        <f t="shared" si="13"/>
        <v>0.7857142857142857</v>
      </c>
      <c r="M161" s="70" t="s">
        <v>2125</v>
      </c>
      <c r="N161" s="70" t="s">
        <v>2125</v>
      </c>
      <c r="O161" s="70" t="s">
        <v>2125</v>
      </c>
      <c r="P161" s="70" t="s">
        <v>2125</v>
      </c>
      <c r="Q161" s="70" t="s">
        <v>2125</v>
      </c>
      <c r="R161" s="70" t="s">
        <v>2125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1313</v>
      </c>
      <c r="I162" s="31">
        <f t="shared" si="11"/>
        <v>26</v>
      </c>
      <c r="J162" s="147" t="s">
        <v>1804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2125</v>
      </c>
      <c r="R162" s="70" t="s">
        <v>2125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1805</v>
      </c>
      <c r="K163" s="31">
        <f t="shared" si="12"/>
        <v>6</v>
      </c>
      <c r="L163" s="32">
        <f t="shared" si="13"/>
        <v>0.7857142857142857</v>
      </c>
      <c r="M163" s="70" t="s">
        <v>2125</v>
      </c>
      <c r="N163" s="70" t="s">
        <v>2125</v>
      </c>
      <c r="O163" s="70" t="s">
        <v>2125</v>
      </c>
      <c r="P163" s="70" t="s">
        <v>2125</v>
      </c>
      <c r="Q163" s="70" t="s">
        <v>2125</v>
      </c>
      <c r="R163" s="70" t="s">
        <v>2125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1554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1557</v>
      </c>
      <c r="I164" s="31">
        <f t="shared" si="11"/>
        <v>27</v>
      </c>
      <c r="J164" s="147" t="s">
        <v>1806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2125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1555</v>
      </c>
      <c r="C165" t="s">
        <v>1065</v>
      </c>
      <c r="D165" t="s">
        <v>1556</v>
      </c>
      <c r="E165" s="30" t="s">
        <v>15</v>
      </c>
      <c r="F165" s="30" t="s">
        <v>28</v>
      </c>
      <c r="G165" s="30"/>
      <c r="H165" s="30" t="s">
        <v>1558</v>
      </c>
      <c r="I165" s="31">
        <f t="shared" si="11"/>
        <v>26</v>
      </c>
      <c r="J165" s="147" t="s">
        <v>1807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2125</v>
      </c>
      <c r="R165" s="70" t="s">
        <v>2125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1447</v>
      </c>
      <c r="I166" s="31">
        <f t="shared" si="11"/>
        <v>28</v>
      </c>
      <c r="J166" s="147" t="s">
        <v>1808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1809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1810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28</v>
      </c>
      <c r="J169" s="147" t="s">
        <v>1811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1304</v>
      </c>
      <c r="G171" s="85"/>
      <c r="H171" s="85" t="s">
        <v>1433</v>
      </c>
      <c r="I171" s="142">
        <f t="shared" si="11"/>
        <v>28</v>
      </c>
      <c r="J171" s="147" t="s">
        <v>1813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1815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1816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1818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1820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1821</v>
      </c>
      <c r="K180" s="31">
        <f t="shared" si="12"/>
        <v>9</v>
      </c>
      <c r="L180" s="32">
        <f t="shared" si="13"/>
        <v>0.6785714285714286</v>
      </c>
      <c r="M180" s="70" t="s">
        <v>2125</v>
      </c>
      <c r="N180" s="70" t="s">
        <v>2125</v>
      </c>
      <c r="O180" s="70" t="s">
        <v>2125</v>
      </c>
      <c r="P180" s="70" t="s">
        <v>2125</v>
      </c>
      <c r="Q180" s="70" t="s">
        <v>2125</v>
      </c>
      <c r="R180" s="70" t="s">
        <v>2125</v>
      </c>
      <c r="S180" s="70" t="s">
        <v>2125</v>
      </c>
      <c r="T180" s="70" t="s">
        <v>2125</v>
      </c>
      <c r="U180" s="70" t="s">
        <v>2125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1822</v>
      </c>
      <c r="K181" s="31">
        <f t="shared" si="12"/>
        <v>9</v>
      </c>
      <c r="L181" s="32">
        <f t="shared" si="13"/>
        <v>0.6785714285714286</v>
      </c>
      <c r="M181" s="70" t="s">
        <v>2125</v>
      </c>
      <c r="N181" s="70" t="s">
        <v>2125</v>
      </c>
      <c r="O181" s="70" t="s">
        <v>2125</v>
      </c>
      <c r="P181" s="70" t="s">
        <v>2125</v>
      </c>
      <c r="Q181" s="70" t="s">
        <v>2125</v>
      </c>
      <c r="R181" s="70" t="s">
        <v>2125</v>
      </c>
      <c r="S181" s="70" t="s">
        <v>2125</v>
      </c>
      <c r="T181" s="70" t="s">
        <v>2125</v>
      </c>
      <c r="U181" s="70" t="s">
        <v>2125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1519</v>
      </c>
      <c r="C182" s="30" t="s">
        <v>1065</v>
      </c>
      <c r="D182" t="s">
        <v>1520</v>
      </c>
      <c r="E182" s="30" t="s">
        <v>19</v>
      </c>
      <c r="F182" s="30" t="s">
        <v>28</v>
      </c>
      <c r="G182" s="30"/>
      <c r="H182" s="30" t="s">
        <v>1521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1559</v>
      </c>
      <c r="C183" s="85" t="s">
        <v>1065</v>
      </c>
      <c r="D183" s="73" t="s">
        <v>1560</v>
      </c>
      <c r="E183" s="85" t="s">
        <v>19</v>
      </c>
      <c r="F183" s="85" t="s">
        <v>1304</v>
      </c>
      <c r="G183" s="85"/>
      <c r="H183" s="85" t="s">
        <v>1561</v>
      </c>
      <c r="I183" s="31">
        <f t="shared" si="11"/>
        <v>28</v>
      </c>
      <c r="J183" s="147" t="s">
        <v>1823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2176</v>
      </c>
      <c r="C184" s="85" t="s">
        <v>1065</v>
      </c>
      <c r="D184" s="73" t="s">
        <v>2177</v>
      </c>
      <c r="E184" s="85" t="s">
        <v>19</v>
      </c>
      <c r="F184" s="85" t="s">
        <v>1304</v>
      </c>
      <c r="G184" s="85"/>
      <c r="H184" s="85" t="s">
        <v>2178</v>
      </c>
      <c r="I184" s="31">
        <f t="shared" si="11"/>
        <v>28</v>
      </c>
      <c r="J184" s="147" t="s">
        <v>2179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1540</v>
      </c>
      <c r="C185" s="85" t="s">
        <v>1065</v>
      </c>
      <c r="D185" s="73" t="s">
        <v>1541</v>
      </c>
      <c r="E185" s="85" t="s">
        <v>1116</v>
      </c>
      <c r="F185" s="85" t="s">
        <v>1542</v>
      </c>
      <c r="G185" s="85"/>
      <c r="H185" s="85" t="s">
        <v>1543</v>
      </c>
      <c r="I185" s="31">
        <f t="shared" si="11"/>
        <v>28</v>
      </c>
      <c r="J185" s="147" t="s">
        <v>1824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1825</v>
      </c>
      <c r="K186" s="31">
        <f t="shared" si="12"/>
        <v>4</v>
      </c>
      <c r="L186" s="32">
        <f t="shared" si="13"/>
        <v>0.8571428571428571</v>
      </c>
      <c r="M186" s="70"/>
      <c r="N186" s="70" t="s">
        <v>2125</v>
      </c>
      <c r="O186" s="70" t="s">
        <v>2125</v>
      </c>
      <c r="P186" s="70"/>
      <c r="Q186" s="70" t="s">
        <v>2125</v>
      </c>
      <c r="R186" s="70" t="s">
        <v>2125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1826</v>
      </c>
      <c r="K187" s="31">
        <f t="shared" si="12"/>
        <v>4</v>
      </c>
      <c r="L187" s="32">
        <f t="shared" si="13"/>
        <v>0.8571428571428571</v>
      </c>
      <c r="M187" s="70"/>
      <c r="N187" s="70" t="s">
        <v>2125</v>
      </c>
      <c r="O187" s="70" t="s">
        <v>2125</v>
      </c>
      <c r="P187" s="70"/>
      <c r="Q187" s="70" t="s">
        <v>2125</v>
      </c>
      <c r="R187" s="70" t="s">
        <v>2125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11</v>
      </c>
      <c r="J188" s="87"/>
      <c r="K188" s="138">
        <f t="shared" si="12"/>
        <v>17</v>
      </c>
      <c r="L188" s="139">
        <f t="shared" si="13"/>
        <v>0.39285714285714285</v>
      </c>
      <c r="M188" s="140" t="s">
        <v>2125</v>
      </c>
      <c r="N188" s="140" t="s">
        <v>2125</v>
      </c>
      <c r="O188" s="140" t="s">
        <v>2125</v>
      </c>
      <c r="P188" s="140" t="s">
        <v>2125</v>
      </c>
      <c r="Q188" s="140" t="s">
        <v>2125</v>
      </c>
      <c r="R188" s="140" t="s">
        <v>2125</v>
      </c>
      <c r="S188" s="140" t="s">
        <v>2125</v>
      </c>
      <c r="T188" s="140" t="s">
        <v>2125</v>
      </c>
      <c r="U188" s="140" t="s">
        <v>2125</v>
      </c>
      <c r="V188" s="140" t="s">
        <v>2125</v>
      </c>
      <c r="W188" s="140" t="s">
        <v>2125</v>
      </c>
      <c r="X188" s="140" t="s">
        <v>2125</v>
      </c>
      <c r="Y188" s="140" t="s">
        <v>2125</v>
      </c>
      <c r="Z188" s="140" t="s">
        <v>2125</v>
      </c>
      <c r="AA188" s="140" t="s">
        <v>2125</v>
      </c>
      <c r="AB188" s="140" t="s">
        <v>2125</v>
      </c>
      <c r="AC188" s="140" t="s">
        <v>2125</v>
      </c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1304</v>
      </c>
      <c r="G189" s="85"/>
      <c r="H189" s="85" t="s">
        <v>1395</v>
      </c>
      <c r="I189" s="142">
        <f t="shared" si="11"/>
        <v>28</v>
      </c>
      <c r="J189" s="147" t="s">
        <v>1827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1304</v>
      </c>
      <c r="G190" s="85"/>
      <c r="H190" s="85" t="s">
        <v>1430</v>
      </c>
      <c r="I190" s="142">
        <f t="shared" si="11"/>
        <v>28</v>
      </c>
      <c r="J190" s="147" t="s">
        <v>1828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1412</v>
      </c>
      <c r="I191" s="31">
        <f t="shared" si="11"/>
        <v>28</v>
      </c>
      <c r="J191" s="147" t="s">
        <v>1829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1438</v>
      </c>
      <c r="I192" s="31">
        <f t="shared" si="11"/>
        <v>27</v>
      </c>
      <c r="J192" s="147" t="s">
        <v>1830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2125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1439</v>
      </c>
      <c r="I193" s="31">
        <f t="shared" si="11"/>
        <v>25</v>
      </c>
      <c r="J193" s="147" t="s">
        <v>1831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2125</v>
      </c>
      <c r="R193" s="70" t="s">
        <v>2125</v>
      </c>
      <c r="S193" s="70"/>
      <c r="T193" s="70"/>
      <c r="U193" s="70"/>
      <c r="V193" s="70"/>
      <c r="W193" s="70"/>
      <c r="X193" s="70"/>
      <c r="Y193" s="70" t="s">
        <v>2125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11</v>
      </c>
      <c r="J194" s="87"/>
      <c r="K194" s="31">
        <f t="shared" si="12"/>
        <v>17</v>
      </c>
      <c r="L194" s="32">
        <f t="shared" si="13"/>
        <v>0.39285714285714285</v>
      </c>
      <c r="M194" s="70" t="s">
        <v>2125</v>
      </c>
      <c r="N194" s="70" t="s">
        <v>2125</v>
      </c>
      <c r="O194" s="70" t="s">
        <v>2125</v>
      </c>
      <c r="P194" s="70" t="s">
        <v>2125</v>
      </c>
      <c r="Q194" s="70" t="s">
        <v>2125</v>
      </c>
      <c r="R194" s="70" t="s">
        <v>2125</v>
      </c>
      <c r="S194" s="70" t="s">
        <v>2125</v>
      </c>
      <c r="T194" s="70" t="s">
        <v>2125</v>
      </c>
      <c r="U194" s="70" t="s">
        <v>2125</v>
      </c>
      <c r="V194" s="70" t="s">
        <v>2125</v>
      </c>
      <c r="W194" s="70" t="s">
        <v>2125</v>
      </c>
      <c r="X194" s="70" t="s">
        <v>2125</v>
      </c>
      <c r="Y194" s="70" t="s">
        <v>2125</v>
      </c>
      <c r="Z194" s="70" t="s">
        <v>2125</v>
      </c>
      <c r="AA194" s="70" t="s">
        <v>2125</v>
      </c>
      <c r="AB194" s="70" t="s">
        <v>2125</v>
      </c>
      <c r="AC194" s="70" t="s">
        <v>2125</v>
      </c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1304</v>
      </c>
      <c r="G195" s="85"/>
      <c r="H195" s="85" t="s">
        <v>1598</v>
      </c>
      <c r="I195" s="142">
        <f t="shared" si="11"/>
        <v>19</v>
      </c>
      <c r="J195" s="147" t="s">
        <v>1832</v>
      </c>
      <c r="K195" s="142">
        <f t="shared" si="12"/>
        <v>9</v>
      </c>
      <c r="L195" s="143">
        <f t="shared" si="13"/>
        <v>0.6785714285714286</v>
      </c>
      <c r="M195" s="70" t="s">
        <v>2125</v>
      </c>
      <c r="N195" s="70" t="s">
        <v>2125</v>
      </c>
      <c r="O195" s="70" t="s">
        <v>2125</v>
      </c>
      <c r="P195" s="70"/>
      <c r="Q195" s="70"/>
      <c r="R195" s="70"/>
      <c r="S195" s="70"/>
      <c r="T195" s="70"/>
      <c r="U195" s="70"/>
      <c r="V195" s="70"/>
      <c r="W195" s="70" t="s">
        <v>2125</v>
      </c>
      <c r="X195" s="70"/>
      <c r="Y195" s="70" t="s">
        <v>2125</v>
      </c>
      <c r="Z195" s="70" t="s">
        <v>2125</v>
      </c>
      <c r="AA195" s="70" t="s">
        <v>2125</v>
      </c>
      <c r="AB195" s="70" t="s">
        <v>2125</v>
      </c>
      <c r="AC195" s="70" t="s">
        <v>2125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1304</v>
      </c>
      <c r="G196" s="30"/>
      <c r="H196" s="30" t="s">
        <v>1410</v>
      </c>
      <c r="I196" s="31">
        <f t="shared" si="11"/>
        <v>13</v>
      </c>
      <c r="J196" s="147" t="s">
        <v>1833</v>
      </c>
      <c r="K196" s="31">
        <f t="shared" si="12"/>
        <v>15</v>
      </c>
      <c r="L196" s="32">
        <f t="shared" si="13"/>
        <v>0.4642857142857143</v>
      </c>
      <c r="M196" s="70" t="s">
        <v>2125</v>
      </c>
      <c r="N196" s="70" t="s">
        <v>2125</v>
      </c>
      <c r="O196" s="70" t="s">
        <v>2125</v>
      </c>
      <c r="P196" s="70" t="s">
        <v>2125</v>
      </c>
      <c r="Q196" s="70" t="s">
        <v>2125</v>
      </c>
      <c r="R196" s="70" t="s">
        <v>2125</v>
      </c>
      <c r="S196" s="70" t="s">
        <v>2125</v>
      </c>
      <c r="T196" s="70" t="s">
        <v>2125</v>
      </c>
      <c r="U196" s="70" t="s">
        <v>2125</v>
      </c>
      <c r="V196" s="70" t="s">
        <v>2125</v>
      </c>
      <c r="W196" s="70" t="s">
        <v>2125</v>
      </c>
      <c r="X196" s="70" t="s">
        <v>2125</v>
      </c>
      <c r="Y196" s="70" t="s">
        <v>2125</v>
      </c>
      <c r="Z196" s="70"/>
      <c r="AA196" s="70"/>
      <c r="AB196" s="70" t="s">
        <v>2125</v>
      </c>
      <c r="AC196" s="70" t="s">
        <v>2125</v>
      </c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1834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1304</v>
      </c>
      <c r="G198" s="85"/>
      <c r="H198" s="85" t="s">
        <v>1409</v>
      </c>
      <c r="I198" s="142">
        <f t="shared" si="11"/>
        <v>28</v>
      </c>
      <c r="J198" s="147" t="s">
        <v>1835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1836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1252</v>
      </c>
      <c r="H200" s="30" t="s">
        <v>706</v>
      </c>
      <c r="I200" s="31">
        <f t="shared" si="11"/>
        <v>28</v>
      </c>
      <c r="J200" s="147" t="s">
        <v>1837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1252</v>
      </c>
      <c r="H201" s="30" t="s">
        <v>707</v>
      </c>
      <c r="I201" s="31">
        <f t="shared" si="11"/>
        <v>28</v>
      </c>
      <c r="J201" s="147" t="s">
        <v>1838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1252</v>
      </c>
      <c r="H202" s="30" t="s">
        <v>708</v>
      </c>
      <c r="I202" s="31">
        <f t="shared" si="11"/>
        <v>28</v>
      </c>
      <c r="J202" s="147" t="s">
        <v>1839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1252</v>
      </c>
      <c r="H203" s="30" t="s">
        <v>709</v>
      </c>
      <c r="I203" s="31">
        <f t="shared" si="11"/>
        <v>28</v>
      </c>
      <c r="J203" s="147" t="s">
        <v>1840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1252</v>
      </c>
      <c r="H204" s="30" t="s">
        <v>710</v>
      </c>
      <c r="I204" s="31">
        <f t="shared" si="11"/>
        <v>28</v>
      </c>
      <c r="J204" s="147" t="s">
        <v>1841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1252</v>
      </c>
      <c r="H205" s="30" t="s">
        <v>711</v>
      </c>
      <c r="I205" s="31">
        <f t="shared" si="11"/>
        <v>28</v>
      </c>
      <c r="J205" s="147" t="s">
        <v>1698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1233</v>
      </c>
      <c r="C206" s="73" t="s">
        <v>1064</v>
      </c>
      <c r="D206" s="73" t="s">
        <v>1232</v>
      </c>
      <c r="E206" s="73" t="s">
        <v>19</v>
      </c>
      <c r="F206" s="73" t="s">
        <v>1304</v>
      </c>
      <c r="H206" s="85" t="s">
        <v>1242</v>
      </c>
      <c r="I206" s="142">
        <f t="shared" si="11"/>
        <v>23</v>
      </c>
      <c r="J206" s="147" t="s">
        <v>1842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2125</v>
      </c>
      <c r="O206" s="70" t="s">
        <v>2125</v>
      </c>
      <c r="P206" s="70" t="s">
        <v>2125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2125</v>
      </c>
      <c r="AB206" s="70" t="s">
        <v>2125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1595</v>
      </c>
      <c r="C207" s="73" t="s">
        <v>1064</v>
      </c>
      <c r="D207" s="73" t="s">
        <v>1596</v>
      </c>
      <c r="E207" s="85" t="s">
        <v>73</v>
      </c>
      <c r="F207" s="85" t="s">
        <v>1304</v>
      </c>
      <c r="H207" s="85" t="s">
        <v>1597</v>
      </c>
      <c r="I207" s="142">
        <f t="shared" si="11"/>
        <v>26</v>
      </c>
      <c r="J207" s="147" t="s">
        <v>1843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2125</v>
      </c>
      <c r="Z207" s="70" t="s">
        <v>2125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2213</v>
      </c>
      <c r="C208" s="73" t="s">
        <v>1064</v>
      </c>
      <c r="D208" s="73" t="s">
        <v>2214</v>
      </c>
      <c r="E208" s="85" t="s">
        <v>73</v>
      </c>
      <c r="F208" s="85" t="s">
        <v>1304</v>
      </c>
      <c r="H208" s="85" t="s">
        <v>2215</v>
      </c>
      <c r="I208" s="142">
        <f t="shared" si="11"/>
        <v>28</v>
      </c>
      <c r="J208" s="147" t="s">
        <v>2216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1844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2125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1304</v>
      </c>
      <c r="G210" s="85" t="s">
        <v>45</v>
      </c>
      <c r="H210" s="85" t="s">
        <v>713</v>
      </c>
      <c r="I210" s="142">
        <f t="shared" si="11"/>
        <v>28</v>
      </c>
      <c r="J210" s="147" t="s">
        <v>1845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1304</v>
      </c>
      <c r="G211" s="85" t="s">
        <v>45</v>
      </c>
      <c r="H211" s="85" t="s">
        <v>714</v>
      </c>
      <c r="I211" s="142">
        <f t="shared" si="11"/>
        <v>28</v>
      </c>
      <c r="J211" s="147" t="s">
        <v>1846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1523</v>
      </c>
      <c r="C212" t="s">
        <v>1064</v>
      </c>
      <c r="D212" t="s">
        <v>1524</v>
      </c>
      <c r="E212" s="30" t="s">
        <v>15</v>
      </c>
      <c r="F212" s="30" t="s">
        <v>28</v>
      </c>
      <c r="G212" s="30"/>
      <c r="H212" s="30" t="s">
        <v>1525</v>
      </c>
      <c r="I212" s="142">
        <f t="shared" si="11"/>
        <v>28</v>
      </c>
      <c r="J212" s="147" t="s">
        <v>1847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1273</v>
      </c>
      <c r="I213" s="31">
        <f t="shared" si="11"/>
        <v>22</v>
      </c>
      <c r="J213" s="87"/>
      <c r="K213" s="31">
        <f t="shared" si="12"/>
        <v>6</v>
      </c>
      <c r="L213" s="32">
        <f t="shared" si="13"/>
        <v>0.7857142857142857</v>
      </c>
      <c r="M213" s="70" t="s">
        <v>2125</v>
      </c>
      <c r="N213" s="70"/>
      <c r="O213" s="70"/>
      <c r="P213" s="70" t="s">
        <v>2125</v>
      </c>
      <c r="Q213" s="70" t="s">
        <v>2125</v>
      </c>
      <c r="R213" s="70" t="s">
        <v>2125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2125</v>
      </c>
      <c r="AC213" s="70" t="s">
        <v>2125</v>
      </c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1274</v>
      </c>
      <c r="I214" s="31">
        <f t="shared" si="11"/>
        <v>22</v>
      </c>
      <c r="J214" s="87"/>
      <c r="K214" s="31">
        <f t="shared" si="12"/>
        <v>6</v>
      </c>
      <c r="L214" s="32">
        <f t="shared" si="13"/>
        <v>0.7857142857142857</v>
      </c>
      <c r="M214" s="70" t="s">
        <v>2125</v>
      </c>
      <c r="N214" s="70"/>
      <c r="O214" s="70"/>
      <c r="P214" s="70" t="s">
        <v>2125</v>
      </c>
      <c r="Q214" s="70" t="s">
        <v>2125</v>
      </c>
      <c r="R214" s="70" t="s">
        <v>2125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2125</v>
      </c>
      <c r="AC214" s="70" t="s">
        <v>2125</v>
      </c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1448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1437</v>
      </c>
      <c r="I215" s="31">
        <f t="shared" si="11"/>
        <v>27</v>
      </c>
      <c r="J215" s="147" t="s">
        <v>1848</v>
      </c>
      <c r="K215" s="31">
        <f t="shared" si="12"/>
        <v>1</v>
      </c>
      <c r="L215" s="32">
        <f t="shared" si="13"/>
        <v>0.9642857142857143</v>
      </c>
      <c r="M215" s="70" t="s">
        <v>2125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1304</v>
      </c>
      <c r="G216" s="85"/>
      <c r="H216" s="85" t="s">
        <v>1419</v>
      </c>
      <c r="I216" s="142">
        <f t="shared" si="11"/>
        <v>28</v>
      </c>
      <c r="J216" s="147" t="s">
        <v>1849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1850</v>
      </c>
      <c r="K217" s="31">
        <f t="shared" si="12"/>
        <v>1</v>
      </c>
      <c r="L217" s="32">
        <f t="shared" si="13"/>
        <v>0.9642857142857143</v>
      </c>
      <c r="M217" s="70" t="s">
        <v>2125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1851</v>
      </c>
      <c r="K218" s="31">
        <f t="shared" si="12"/>
        <v>1</v>
      </c>
      <c r="L218" s="32">
        <f t="shared" si="13"/>
        <v>0.9642857142857143</v>
      </c>
      <c r="M218" s="70" t="s">
        <v>2125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1326</v>
      </c>
      <c r="C219" s="73" t="s">
        <v>1064</v>
      </c>
      <c r="D219" s="73" t="s">
        <v>1330</v>
      </c>
      <c r="E219" s="85" t="s">
        <v>15</v>
      </c>
      <c r="F219" s="85" t="s">
        <v>1304</v>
      </c>
      <c r="G219" s="85"/>
      <c r="H219" s="85" t="s">
        <v>1331</v>
      </c>
      <c r="I219" s="142">
        <f t="shared" si="11"/>
        <v>28</v>
      </c>
      <c r="J219" s="147" t="s">
        <v>1852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1422</v>
      </c>
      <c r="C220" s="73" t="s">
        <v>1064</v>
      </c>
      <c r="D220" s="73" t="s">
        <v>1423</v>
      </c>
      <c r="E220" s="85" t="s">
        <v>15</v>
      </c>
      <c r="F220" s="85" t="s">
        <v>1304</v>
      </c>
      <c r="G220" s="85"/>
      <c r="H220" s="85" t="s">
        <v>1424</v>
      </c>
      <c r="I220" s="142">
        <f t="shared" si="11"/>
        <v>28</v>
      </c>
      <c r="J220" s="147" t="s">
        <v>1853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1599</v>
      </c>
      <c r="C221" s="73" t="s">
        <v>1064</v>
      </c>
      <c r="D221" s="73" t="s">
        <v>1600</v>
      </c>
      <c r="E221" s="85" t="s">
        <v>15</v>
      </c>
      <c r="F221" s="85" t="s">
        <v>1304</v>
      </c>
      <c r="G221" s="85"/>
      <c r="H221" s="85" t="s">
        <v>1601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1304</v>
      </c>
      <c r="G222" s="85"/>
      <c r="H222" s="85" t="s">
        <v>716</v>
      </c>
      <c r="I222" s="142">
        <f t="shared" si="11"/>
        <v>28</v>
      </c>
      <c r="J222" s="147" t="s">
        <v>1854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1304</v>
      </c>
      <c r="G223" s="85"/>
      <c r="H223" s="85" t="s">
        <v>717</v>
      </c>
      <c r="I223" s="142">
        <f t="shared" si="11"/>
        <v>28</v>
      </c>
      <c r="J223" s="147" t="s">
        <v>1855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1304</v>
      </c>
      <c r="G224" s="85"/>
      <c r="H224" s="85" t="s">
        <v>718</v>
      </c>
      <c r="I224" s="142">
        <f t="shared" si="11"/>
        <v>28</v>
      </c>
      <c r="J224" s="147" t="s">
        <v>1856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1857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1858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2125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1487</v>
      </c>
      <c r="I227" s="31">
        <f t="shared" si="11"/>
        <v>27</v>
      </c>
      <c r="J227" s="147" t="s">
        <v>1859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2125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1860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2125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1861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2125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1862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2125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1863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2125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1864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2125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1865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2125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1866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2125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1867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2125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1446</v>
      </c>
      <c r="I236" s="31">
        <f t="shared" si="14"/>
        <v>26</v>
      </c>
      <c r="J236" s="147" t="s">
        <v>1868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2125</v>
      </c>
      <c r="X236" s="70"/>
      <c r="Y236" s="70"/>
      <c r="Z236" s="70"/>
      <c r="AA236" s="70" t="s">
        <v>2125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1869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2125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1870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2125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1871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2125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11</v>
      </c>
      <c r="J240" s="87"/>
      <c r="K240" s="31">
        <f t="shared" si="15"/>
        <v>17</v>
      </c>
      <c r="L240" s="32">
        <f t="shared" si="16"/>
        <v>0.39285714285714285</v>
      </c>
      <c r="M240" s="70" t="s">
        <v>2125</v>
      </c>
      <c r="N240" s="70" t="s">
        <v>2125</v>
      </c>
      <c r="O240" s="70" t="s">
        <v>2125</v>
      </c>
      <c r="P240" s="70" t="s">
        <v>2125</v>
      </c>
      <c r="Q240" s="70" t="s">
        <v>2125</v>
      </c>
      <c r="R240" s="70" t="s">
        <v>2125</v>
      </c>
      <c r="S240" s="70" t="s">
        <v>2125</v>
      </c>
      <c r="T240" s="70" t="s">
        <v>2125</v>
      </c>
      <c r="U240" s="70" t="s">
        <v>2125</v>
      </c>
      <c r="V240" s="70" t="s">
        <v>2125</v>
      </c>
      <c r="W240" s="70" t="s">
        <v>2125</v>
      </c>
      <c r="X240" s="70" t="s">
        <v>2125</v>
      </c>
      <c r="Y240" s="70" t="s">
        <v>2125</v>
      </c>
      <c r="Z240" s="70" t="s">
        <v>2125</v>
      </c>
      <c r="AA240" s="70" t="s">
        <v>2125</v>
      </c>
      <c r="AB240" s="70" t="s">
        <v>2125</v>
      </c>
      <c r="AC240" s="70" t="s">
        <v>2125</v>
      </c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1827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2125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2125</v>
      </c>
      <c r="T242" s="70" t="s">
        <v>2125</v>
      </c>
      <c r="U242" s="70"/>
      <c r="V242" s="70"/>
      <c r="W242" s="70"/>
      <c r="X242" s="70"/>
      <c r="Y242" s="70"/>
      <c r="Z242" s="70"/>
      <c r="AA242" s="70" t="s">
        <v>2125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2125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1873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1874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1304</v>
      </c>
      <c r="G246" s="85"/>
      <c r="H246" s="85" t="s">
        <v>1381</v>
      </c>
      <c r="I246" s="142">
        <f t="shared" si="14"/>
        <v>28</v>
      </c>
      <c r="J246" s="147" t="s">
        <v>1875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1304</v>
      </c>
      <c r="G247" s="85"/>
      <c r="H247" s="85" t="s">
        <v>1382</v>
      </c>
      <c r="I247" s="142">
        <f t="shared" si="14"/>
        <v>28</v>
      </c>
      <c r="J247" s="147" t="s">
        <v>1876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1257</v>
      </c>
      <c r="H248" s="30" t="s">
        <v>733</v>
      </c>
      <c r="I248" s="31">
        <f t="shared" si="14"/>
        <v>23</v>
      </c>
      <c r="J248" s="147" t="s">
        <v>1877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2125</v>
      </c>
      <c r="X248" s="70" t="s">
        <v>2125</v>
      </c>
      <c r="Y248" s="70" t="s">
        <v>2125</v>
      </c>
      <c r="Z248" s="70" t="s">
        <v>2125</v>
      </c>
      <c r="AA248" s="70" t="s">
        <v>2125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1234</v>
      </c>
      <c r="C250" t="s">
        <v>1064</v>
      </c>
      <c r="D250" t="s">
        <v>1235</v>
      </c>
      <c r="E250" t="s">
        <v>19</v>
      </c>
      <c r="F250" t="s">
        <v>28</v>
      </c>
      <c r="G250"/>
      <c r="H250" s="30" t="s">
        <v>1275</v>
      </c>
      <c r="I250" s="31">
        <f t="shared" si="14"/>
        <v>27</v>
      </c>
      <c r="J250" s="147" t="s">
        <v>1878</v>
      </c>
      <c r="K250" s="31">
        <f t="shared" si="15"/>
        <v>1</v>
      </c>
      <c r="L250" s="32">
        <f t="shared" si="16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2125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1319</v>
      </c>
      <c r="C251" t="s">
        <v>1064</v>
      </c>
      <c r="D251" t="s">
        <v>1322</v>
      </c>
      <c r="E251" s="30" t="s">
        <v>15</v>
      </c>
      <c r="F251" s="30" t="s">
        <v>28</v>
      </c>
      <c r="G251"/>
      <c r="H251" s="30" t="s">
        <v>1334</v>
      </c>
      <c r="I251" s="31">
        <f t="shared" si="14"/>
        <v>28</v>
      </c>
      <c r="J251" s="147" t="s">
        <v>1879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1304</v>
      </c>
      <c r="G252" s="85"/>
      <c r="H252" s="85" t="s">
        <v>735</v>
      </c>
      <c r="I252" s="142">
        <f t="shared" si="14"/>
        <v>28</v>
      </c>
      <c r="J252" s="147" t="s">
        <v>1880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1881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2125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1869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2125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1883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1884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1248</v>
      </c>
      <c r="C258" s="73" t="s">
        <v>1064</v>
      </c>
      <c r="D258" s="73" t="s">
        <v>1249</v>
      </c>
      <c r="E258" s="85" t="s">
        <v>19</v>
      </c>
      <c r="F258" s="85" t="s">
        <v>1304</v>
      </c>
      <c r="G258" s="85"/>
      <c r="H258" s="85" t="s">
        <v>1250</v>
      </c>
      <c r="I258" s="142">
        <f t="shared" si="14"/>
        <v>27</v>
      </c>
      <c r="J258" s="147" t="s">
        <v>1885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2125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1287</v>
      </c>
      <c r="C259" t="s">
        <v>1064</v>
      </c>
      <c r="D259" t="s">
        <v>1288</v>
      </c>
      <c r="E259" s="30" t="s">
        <v>19</v>
      </c>
      <c r="F259" s="30" t="s">
        <v>1058</v>
      </c>
      <c r="G259" s="30"/>
      <c r="H259" s="30" t="s">
        <v>1363</v>
      </c>
      <c r="I259" s="31">
        <f t="shared" si="14"/>
        <v>27</v>
      </c>
      <c r="J259" s="147" t="s">
        <v>1886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2125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1888</v>
      </c>
      <c r="K261" s="31">
        <f t="shared" si="15"/>
        <v>1</v>
      </c>
      <c r="L261" s="32">
        <f t="shared" si="16"/>
        <v>0.9642857142857143</v>
      </c>
      <c r="M261" s="70"/>
      <c r="N261" s="70" t="s">
        <v>2125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1503</v>
      </c>
      <c r="I262" s="31">
        <f t="shared" si="14"/>
        <v>28</v>
      </c>
      <c r="J262" s="147" t="s">
        <v>1889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1304</v>
      </c>
      <c r="G263" s="85"/>
      <c r="H263" s="85" t="s">
        <v>1504</v>
      </c>
      <c r="I263" s="142">
        <f t="shared" si="14"/>
        <v>28</v>
      </c>
      <c r="J263" s="147" t="s">
        <v>1890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1498</v>
      </c>
      <c r="C264" t="s">
        <v>1064</v>
      </c>
      <c r="D264" t="s">
        <v>1497</v>
      </c>
      <c r="E264" s="30" t="s">
        <v>73</v>
      </c>
      <c r="F264" s="30" t="s">
        <v>28</v>
      </c>
      <c r="G264" s="30"/>
      <c r="H264" s="30" t="s">
        <v>1499</v>
      </c>
      <c r="I264" s="142">
        <f t="shared" si="14"/>
        <v>28</v>
      </c>
      <c r="J264" s="147" t="s">
        <v>1891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1500</v>
      </c>
      <c r="C265" t="s">
        <v>1064</v>
      </c>
      <c r="D265" t="s">
        <v>1497</v>
      </c>
      <c r="E265" s="30" t="s">
        <v>73</v>
      </c>
      <c r="F265" s="30" t="s">
        <v>28</v>
      </c>
      <c r="G265" s="30"/>
      <c r="H265" s="30" t="s">
        <v>1505</v>
      </c>
      <c r="I265" s="142">
        <f t="shared" si="14"/>
        <v>28</v>
      </c>
      <c r="J265" s="147" t="s">
        <v>1892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1893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1304</v>
      </c>
      <c r="G267" s="85"/>
      <c r="H267" s="85" t="s">
        <v>1376</v>
      </c>
      <c r="I267" s="142">
        <f t="shared" si="14"/>
        <v>28</v>
      </c>
      <c r="J267" s="147" t="s">
        <v>1894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1258</v>
      </c>
      <c r="H268" s="30" t="s">
        <v>743</v>
      </c>
      <c r="I268" s="31">
        <f t="shared" si="14"/>
        <v>11</v>
      </c>
      <c r="J268" s="147" t="s">
        <v>1895</v>
      </c>
      <c r="K268" s="31">
        <f t="shared" si="15"/>
        <v>17</v>
      </c>
      <c r="L268" s="32">
        <f t="shared" si="16"/>
        <v>0.39285714285714285</v>
      </c>
      <c r="M268" s="70" t="s">
        <v>2125</v>
      </c>
      <c r="N268" s="70" t="s">
        <v>2125</v>
      </c>
      <c r="O268" s="70" t="s">
        <v>2125</v>
      </c>
      <c r="P268" s="70" t="s">
        <v>2125</v>
      </c>
      <c r="Q268" s="70" t="s">
        <v>2125</v>
      </c>
      <c r="R268" s="70" t="s">
        <v>2125</v>
      </c>
      <c r="S268" s="70" t="s">
        <v>2125</v>
      </c>
      <c r="T268" s="70" t="s">
        <v>2125</v>
      </c>
      <c r="U268" s="70" t="s">
        <v>2125</v>
      </c>
      <c r="V268" s="70" t="s">
        <v>2125</v>
      </c>
      <c r="W268" s="70" t="s">
        <v>2125</v>
      </c>
      <c r="X268" s="70" t="s">
        <v>2125</v>
      </c>
      <c r="Y268" s="70" t="s">
        <v>2125</v>
      </c>
      <c r="Z268" s="70" t="s">
        <v>2125</v>
      </c>
      <c r="AA268" s="70" t="s">
        <v>2125</v>
      </c>
      <c r="AB268" s="70" t="s">
        <v>2125</v>
      </c>
      <c r="AC268" s="70" t="s">
        <v>2125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1304</v>
      </c>
      <c r="G269" s="85"/>
      <c r="H269" s="85" t="s">
        <v>1366</v>
      </c>
      <c r="I269" s="142">
        <f t="shared" si="14"/>
        <v>23</v>
      </c>
      <c r="J269" s="147" t="s">
        <v>1896</v>
      </c>
      <c r="K269" s="142">
        <f t="shared" si="15"/>
        <v>5</v>
      </c>
      <c r="L269" s="143">
        <f t="shared" si="16"/>
        <v>0.8214285714285714</v>
      </c>
      <c r="M269" s="70" t="s">
        <v>2125</v>
      </c>
      <c r="N269" s="70" t="s">
        <v>2125</v>
      </c>
      <c r="O269" s="70" t="s">
        <v>2125</v>
      </c>
      <c r="P269" s="70" t="s">
        <v>2125</v>
      </c>
      <c r="Q269" s="70" t="s">
        <v>2125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1304</v>
      </c>
      <c r="G270" s="85"/>
      <c r="H270" s="145" t="s">
        <v>1367</v>
      </c>
      <c r="I270" s="142">
        <f t="shared" si="14"/>
        <v>28</v>
      </c>
      <c r="J270" s="147" t="s">
        <v>1897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1699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17</v>
      </c>
      <c r="J272" s="147" t="s">
        <v>1898</v>
      </c>
      <c r="K272" s="31">
        <f t="shared" si="15"/>
        <v>11</v>
      </c>
      <c r="L272" s="32">
        <f t="shared" si="16"/>
        <v>0.6071428571428571</v>
      </c>
      <c r="M272" s="70"/>
      <c r="N272" s="70"/>
      <c r="O272" s="70"/>
      <c r="P272" s="70"/>
      <c r="Q272" s="70" t="s">
        <v>2125</v>
      </c>
      <c r="R272" s="70"/>
      <c r="S272" s="70" t="s">
        <v>2125</v>
      </c>
      <c r="T272" s="70" t="s">
        <v>2125</v>
      </c>
      <c r="U272" s="70" t="s">
        <v>2125</v>
      </c>
      <c r="V272" s="70" t="s">
        <v>2125</v>
      </c>
      <c r="W272" s="70"/>
      <c r="X272" s="70" t="s">
        <v>2125</v>
      </c>
      <c r="Y272" s="70" t="s">
        <v>2125</v>
      </c>
      <c r="Z272" s="70" t="s">
        <v>2125</v>
      </c>
      <c r="AA272" s="70" t="s">
        <v>2125</v>
      </c>
      <c r="AB272" s="70" t="s">
        <v>2125</v>
      </c>
      <c r="AC272" s="70" t="s">
        <v>2125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1304</v>
      </c>
      <c r="G273" s="85"/>
      <c r="H273" s="85" t="s">
        <v>1375</v>
      </c>
      <c r="I273" s="142">
        <f t="shared" si="14"/>
        <v>17</v>
      </c>
      <c r="J273" s="147" t="s">
        <v>1899</v>
      </c>
      <c r="K273" s="142">
        <f t="shared" si="15"/>
        <v>11</v>
      </c>
      <c r="L273" s="143">
        <f t="shared" si="16"/>
        <v>0.6071428571428571</v>
      </c>
      <c r="M273" s="70"/>
      <c r="N273" s="70"/>
      <c r="O273" s="70"/>
      <c r="P273" s="70"/>
      <c r="Q273" s="70"/>
      <c r="R273" s="70"/>
      <c r="S273" s="70" t="s">
        <v>2125</v>
      </c>
      <c r="T273" s="70" t="s">
        <v>2125</v>
      </c>
      <c r="U273" s="70" t="s">
        <v>2125</v>
      </c>
      <c r="V273" s="70" t="s">
        <v>2125</v>
      </c>
      <c r="W273" s="70" t="s">
        <v>2125</v>
      </c>
      <c r="X273" s="70" t="s">
        <v>2125</v>
      </c>
      <c r="Y273" s="70" t="s">
        <v>2125</v>
      </c>
      <c r="Z273" s="70" t="s">
        <v>2125</v>
      </c>
      <c r="AA273" s="70" t="s">
        <v>2125</v>
      </c>
      <c r="AB273" s="70" t="s">
        <v>2125</v>
      </c>
      <c r="AC273" s="70" t="s">
        <v>2125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1304</v>
      </c>
      <c r="G274" s="85"/>
      <c r="H274" s="85" t="s">
        <v>746</v>
      </c>
      <c r="I274" s="142">
        <f t="shared" si="14"/>
        <v>28</v>
      </c>
      <c r="J274" s="147" t="s">
        <v>1900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1345</v>
      </c>
      <c r="C275" s="73" t="s">
        <v>1064</v>
      </c>
      <c r="D275" s="73" t="s">
        <v>1346</v>
      </c>
      <c r="E275" s="85" t="s">
        <v>15</v>
      </c>
      <c r="F275" s="85" t="s">
        <v>1304</v>
      </c>
      <c r="G275" s="85"/>
      <c r="H275" s="85" t="s">
        <v>1361</v>
      </c>
      <c r="I275" s="142">
        <f t="shared" si="14"/>
        <v>17</v>
      </c>
      <c r="J275" s="147" t="s">
        <v>1901</v>
      </c>
      <c r="K275" s="142">
        <f t="shared" si="15"/>
        <v>11</v>
      </c>
      <c r="L275" s="143">
        <f t="shared" si="16"/>
        <v>0.6071428571428571</v>
      </c>
      <c r="M275" s="70"/>
      <c r="N275" s="70"/>
      <c r="O275" s="70"/>
      <c r="P275" s="70"/>
      <c r="Q275" s="70" t="s">
        <v>2125</v>
      </c>
      <c r="R275" s="70"/>
      <c r="S275" s="70" t="s">
        <v>2125</v>
      </c>
      <c r="T275" s="70" t="s">
        <v>2125</v>
      </c>
      <c r="U275" s="70" t="s">
        <v>2125</v>
      </c>
      <c r="V275" s="70" t="s">
        <v>2125</v>
      </c>
      <c r="W275" s="70"/>
      <c r="X275" s="70" t="s">
        <v>2125</v>
      </c>
      <c r="Y275" s="70" t="s">
        <v>2125</v>
      </c>
      <c r="Z275" s="70" t="s">
        <v>2125</v>
      </c>
      <c r="AA275" s="70" t="s">
        <v>2125</v>
      </c>
      <c r="AB275" s="70" t="s">
        <v>2125</v>
      </c>
      <c r="AC275" s="70" t="s">
        <v>2125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1545</v>
      </c>
      <c r="B276" s="73" t="s">
        <v>1544</v>
      </c>
      <c r="C276" s="73" t="s">
        <v>1064</v>
      </c>
      <c r="D276" s="73" t="s">
        <v>1546</v>
      </c>
      <c r="E276" s="85" t="s">
        <v>19</v>
      </c>
      <c r="F276" s="85" t="s">
        <v>1304</v>
      </c>
      <c r="G276" s="85"/>
      <c r="H276" s="85" t="s">
        <v>1547</v>
      </c>
      <c r="I276" s="142">
        <f t="shared" si="14"/>
        <v>28</v>
      </c>
      <c r="J276" s="147" t="s">
        <v>1902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1545</v>
      </c>
      <c r="B277" s="73" t="s">
        <v>1659</v>
      </c>
      <c r="C277" s="73" t="s">
        <v>1064</v>
      </c>
      <c r="D277" s="73" t="s">
        <v>1660</v>
      </c>
      <c r="E277" s="85" t="s">
        <v>19</v>
      </c>
      <c r="F277" s="85" t="s">
        <v>28</v>
      </c>
      <c r="G277" s="85"/>
      <c r="H277" s="85" t="s">
        <v>1661</v>
      </c>
      <c r="I277" s="142">
        <f t="shared" si="14"/>
        <v>28</v>
      </c>
      <c r="J277" s="87" t="s">
        <v>2202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1903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1905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1906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1907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1909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1276</v>
      </c>
      <c r="I285" s="31">
        <f t="shared" si="14"/>
        <v>28</v>
      </c>
      <c r="J285" s="147" t="s">
        <v>1910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1911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2125</v>
      </c>
      <c r="Q286" s="70" t="s">
        <v>2125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11</v>
      </c>
      <c r="J287" s="147" t="s">
        <v>1912</v>
      </c>
      <c r="K287" s="31">
        <f t="shared" si="15"/>
        <v>17</v>
      </c>
      <c r="L287" s="32">
        <f t="shared" si="16"/>
        <v>0.39285714285714285</v>
      </c>
      <c r="M287" s="70" t="s">
        <v>2125</v>
      </c>
      <c r="N287" s="70" t="s">
        <v>2125</v>
      </c>
      <c r="O287" s="70" t="s">
        <v>2125</v>
      </c>
      <c r="P287" s="70" t="s">
        <v>2125</v>
      </c>
      <c r="Q287" s="70" t="s">
        <v>2125</v>
      </c>
      <c r="R287" s="70" t="s">
        <v>2125</v>
      </c>
      <c r="S287" s="70" t="s">
        <v>2125</v>
      </c>
      <c r="T287" s="70" t="s">
        <v>2125</v>
      </c>
      <c r="U287" s="70" t="s">
        <v>2125</v>
      </c>
      <c r="V287" s="70" t="s">
        <v>2125</v>
      </c>
      <c r="W287" s="70" t="s">
        <v>2125</v>
      </c>
      <c r="X287" s="70" t="s">
        <v>2125</v>
      </c>
      <c r="Y287" s="70" t="s">
        <v>2125</v>
      </c>
      <c r="Z287" s="70" t="s">
        <v>2125</v>
      </c>
      <c r="AA287" s="70" t="s">
        <v>2125</v>
      </c>
      <c r="AB287" s="70" t="s">
        <v>2125</v>
      </c>
      <c r="AC287" s="70" t="s">
        <v>2125</v>
      </c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1298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1277</v>
      </c>
      <c r="I288" s="31">
        <f t="shared" si="14"/>
        <v>11</v>
      </c>
      <c r="J288" s="147" t="s">
        <v>1913</v>
      </c>
      <c r="K288" s="31">
        <f t="shared" si="15"/>
        <v>17</v>
      </c>
      <c r="L288" s="32">
        <f t="shared" si="16"/>
        <v>0.39285714285714285</v>
      </c>
      <c r="M288" s="70" t="s">
        <v>2125</v>
      </c>
      <c r="N288" s="70" t="s">
        <v>2125</v>
      </c>
      <c r="O288" s="70" t="s">
        <v>2125</v>
      </c>
      <c r="P288" s="70" t="s">
        <v>2125</v>
      </c>
      <c r="Q288" s="70" t="s">
        <v>2125</v>
      </c>
      <c r="R288" s="70" t="s">
        <v>2125</v>
      </c>
      <c r="S288" s="70" t="s">
        <v>2125</v>
      </c>
      <c r="T288" s="70" t="s">
        <v>2125</v>
      </c>
      <c r="U288" s="70" t="s">
        <v>2125</v>
      </c>
      <c r="V288" s="70" t="s">
        <v>2125</v>
      </c>
      <c r="W288" s="70" t="s">
        <v>2125</v>
      </c>
      <c r="X288" s="70" t="s">
        <v>2125</v>
      </c>
      <c r="Y288" s="70" t="s">
        <v>2125</v>
      </c>
      <c r="Z288" s="70" t="s">
        <v>2125</v>
      </c>
      <c r="AA288" s="70" t="s">
        <v>2125</v>
      </c>
      <c r="AB288" s="70" t="s">
        <v>2125</v>
      </c>
      <c r="AC288" s="70" t="s">
        <v>2125</v>
      </c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1914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2125</v>
      </c>
      <c r="Q289" s="70" t="s">
        <v>2125</v>
      </c>
      <c r="R289" s="70" t="s">
        <v>2125</v>
      </c>
      <c r="S289" s="70" t="s">
        <v>2125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1915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2125</v>
      </c>
      <c r="Q290" s="70" t="s">
        <v>2125</v>
      </c>
      <c r="R290" s="70" t="s">
        <v>2125</v>
      </c>
      <c r="S290" s="70" t="s">
        <v>2125</v>
      </c>
      <c r="T290" s="70" t="s">
        <v>2125</v>
      </c>
      <c r="U290" s="70" t="s">
        <v>2125</v>
      </c>
      <c r="V290" s="70" t="s">
        <v>2125</v>
      </c>
      <c r="W290" s="70"/>
      <c r="X290" s="70" t="s">
        <v>2125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1297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1278</v>
      </c>
      <c r="I291" s="31">
        <f t="shared" si="14"/>
        <v>27</v>
      </c>
      <c r="J291" s="147" t="s">
        <v>1916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2125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1917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1918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1279</v>
      </c>
      <c r="I294" s="31">
        <f t="shared" si="14"/>
        <v>28</v>
      </c>
      <c r="J294" s="147" t="s">
        <v>1919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1920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1921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1280</v>
      </c>
      <c r="I297" s="31">
        <f t="shared" si="14"/>
        <v>28</v>
      </c>
      <c r="J297" s="147" t="s">
        <v>1922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1304</v>
      </c>
      <c r="G299" s="85"/>
      <c r="H299" s="85" t="s">
        <v>765</v>
      </c>
      <c r="I299" s="142">
        <f t="shared" si="14"/>
        <v>12</v>
      </c>
      <c r="J299" s="147" t="s">
        <v>1923</v>
      </c>
      <c r="K299" s="142">
        <f t="shared" si="15"/>
        <v>16</v>
      </c>
      <c r="L299" s="143">
        <f t="shared" si="16"/>
        <v>0.42857142857142855</v>
      </c>
      <c r="M299" s="70" t="s">
        <v>2125</v>
      </c>
      <c r="N299" s="70" t="s">
        <v>2125</v>
      </c>
      <c r="O299" s="70" t="s">
        <v>2125</v>
      </c>
      <c r="P299" s="70" t="s">
        <v>2125</v>
      </c>
      <c r="Q299" s="70" t="s">
        <v>2125</v>
      </c>
      <c r="R299" s="70" t="s">
        <v>2125</v>
      </c>
      <c r="S299" s="70"/>
      <c r="T299" s="70" t="s">
        <v>2125</v>
      </c>
      <c r="U299" s="70" t="s">
        <v>2125</v>
      </c>
      <c r="V299" s="70" t="s">
        <v>2125</v>
      </c>
      <c r="W299" s="70" t="s">
        <v>2125</v>
      </c>
      <c r="X299" s="70" t="s">
        <v>2125</v>
      </c>
      <c r="Y299" s="70" t="s">
        <v>2125</v>
      </c>
      <c r="Z299" s="70" t="s">
        <v>2125</v>
      </c>
      <c r="AA299" s="70" t="s">
        <v>2125</v>
      </c>
      <c r="AB299" s="70" t="s">
        <v>2125</v>
      </c>
      <c r="AC299" s="70" t="s">
        <v>2125</v>
      </c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1304</v>
      </c>
      <c r="G300" s="85"/>
      <c r="H300" s="85" t="s">
        <v>1637</v>
      </c>
      <c r="I300" s="142">
        <f t="shared" si="14"/>
        <v>28</v>
      </c>
      <c r="J300" s="147" t="s">
        <v>2159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1304</v>
      </c>
      <c r="G301" s="85"/>
      <c r="H301" s="85" t="s">
        <v>1281</v>
      </c>
      <c r="I301" s="31">
        <f t="shared" ref="I301:I369" si="17">COUNTIF(M301:AN301,"")</f>
        <v>12</v>
      </c>
      <c r="J301" s="147" t="s">
        <v>1924</v>
      </c>
      <c r="K301" s="31">
        <f t="shared" ref="K301:K369" si="18">COUNTIF(M301:AN301,"APAGADO")</f>
        <v>16</v>
      </c>
      <c r="L301" s="32">
        <f t="shared" ref="L301:L369" si="19">(I301)/(K301+I301)</f>
        <v>0.42857142857142855</v>
      </c>
      <c r="M301" s="70" t="s">
        <v>2125</v>
      </c>
      <c r="N301" s="70" t="s">
        <v>2125</v>
      </c>
      <c r="O301" s="70" t="s">
        <v>2125</v>
      </c>
      <c r="P301" s="70" t="s">
        <v>2125</v>
      </c>
      <c r="Q301" s="70" t="s">
        <v>2125</v>
      </c>
      <c r="R301" s="70" t="s">
        <v>2125</v>
      </c>
      <c r="S301" s="70" t="s">
        <v>2125</v>
      </c>
      <c r="T301" s="70" t="s">
        <v>2125</v>
      </c>
      <c r="U301" s="70" t="s">
        <v>2125</v>
      </c>
      <c r="V301" s="70" t="s">
        <v>2125</v>
      </c>
      <c r="W301" s="70" t="s">
        <v>2125</v>
      </c>
      <c r="X301" s="70" t="s">
        <v>2125</v>
      </c>
      <c r="Y301" s="70" t="s">
        <v>2125</v>
      </c>
      <c r="Z301" s="70" t="s">
        <v>2125</v>
      </c>
      <c r="AA301" s="70" t="s">
        <v>2125</v>
      </c>
      <c r="AB301" s="70"/>
      <c r="AC301" s="70" t="s">
        <v>2125</v>
      </c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1304</v>
      </c>
      <c r="G302" s="85"/>
      <c r="H302" s="85" t="s">
        <v>770</v>
      </c>
      <c r="I302" s="142">
        <f t="shared" si="17"/>
        <v>28</v>
      </c>
      <c r="J302" s="147" t="s">
        <v>1925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1304</v>
      </c>
      <c r="G303" s="85"/>
      <c r="H303" s="85" t="s">
        <v>771</v>
      </c>
      <c r="I303" s="142">
        <f t="shared" si="17"/>
        <v>28</v>
      </c>
      <c r="J303" s="87" t="s">
        <v>2203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1304</v>
      </c>
      <c r="G304" s="85"/>
      <c r="H304" s="85" t="s">
        <v>1282</v>
      </c>
      <c r="I304" s="142">
        <f t="shared" si="17"/>
        <v>28</v>
      </c>
      <c r="J304" s="147" t="s">
        <v>1926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13</v>
      </c>
      <c r="J305" s="147" t="s">
        <v>1927</v>
      </c>
      <c r="K305" s="31">
        <f t="shared" si="18"/>
        <v>15</v>
      </c>
      <c r="L305" s="32">
        <f t="shared" si="19"/>
        <v>0.4642857142857143</v>
      </c>
      <c r="M305" s="70"/>
      <c r="N305" s="70" t="s">
        <v>2125</v>
      </c>
      <c r="O305" s="70"/>
      <c r="P305" s="70" t="s">
        <v>2125</v>
      </c>
      <c r="Q305" s="70" t="s">
        <v>2125</v>
      </c>
      <c r="R305" s="70" t="s">
        <v>2125</v>
      </c>
      <c r="S305" s="70" t="s">
        <v>2125</v>
      </c>
      <c r="T305" s="70" t="s">
        <v>2125</v>
      </c>
      <c r="U305" s="70" t="s">
        <v>2125</v>
      </c>
      <c r="V305" s="70" t="s">
        <v>2125</v>
      </c>
      <c r="W305" s="70" t="s">
        <v>2125</v>
      </c>
      <c r="X305" s="70" t="s">
        <v>2125</v>
      </c>
      <c r="Y305" s="70" t="s">
        <v>2125</v>
      </c>
      <c r="Z305" s="70" t="s">
        <v>2125</v>
      </c>
      <c r="AA305" s="70" t="s">
        <v>2125</v>
      </c>
      <c r="AB305" s="70" t="s">
        <v>2125</v>
      </c>
      <c r="AC305" s="70" t="s">
        <v>2125</v>
      </c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1928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1283</v>
      </c>
      <c r="I307" s="31">
        <f t="shared" si="17"/>
        <v>28</v>
      </c>
      <c r="J307" s="147" t="s">
        <v>1929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1294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1930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2125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1295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1931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2125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1296</v>
      </c>
      <c r="I310" s="31">
        <f t="shared" si="17"/>
        <v>27</v>
      </c>
      <c r="J310" s="147" t="s">
        <v>1932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2125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1933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1934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1935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1936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1937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1938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1338</v>
      </c>
      <c r="C317" t="s">
        <v>1064</v>
      </c>
      <c r="D317" t="s">
        <v>1339</v>
      </c>
      <c r="E317" s="30"/>
      <c r="F317" s="30" t="s">
        <v>28</v>
      </c>
      <c r="G317" s="30"/>
      <c r="H317" s="30" t="s">
        <v>1349</v>
      </c>
      <c r="I317" s="31">
        <f t="shared" si="17"/>
        <v>22</v>
      </c>
      <c r="J317" s="147" t="s">
        <v>1939</v>
      </c>
      <c r="K317" s="31">
        <f t="shared" si="18"/>
        <v>6</v>
      </c>
      <c r="L317" s="32">
        <f t="shared" si="19"/>
        <v>0.7857142857142857</v>
      </c>
      <c r="M317" s="70"/>
      <c r="N317" s="70" t="s">
        <v>2125</v>
      </c>
      <c r="O317" s="70" t="s">
        <v>2125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2125</v>
      </c>
      <c r="AA317" s="70" t="s">
        <v>2125</v>
      </c>
      <c r="AB317" s="70" t="s">
        <v>2125</v>
      </c>
      <c r="AC317" s="70" t="s">
        <v>2125</v>
      </c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1383</v>
      </c>
      <c r="C318" t="s">
        <v>1065</v>
      </c>
      <c r="D318" s="68" t="s">
        <v>1386</v>
      </c>
      <c r="E318" s="30" t="s">
        <v>19</v>
      </c>
      <c r="F318" s="30" t="s">
        <v>28</v>
      </c>
      <c r="G318" s="30"/>
      <c r="H318" s="30" t="s">
        <v>1398</v>
      </c>
      <c r="I318" s="31">
        <f t="shared" si="17"/>
        <v>24</v>
      </c>
      <c r="J318" s="147" t="s">
        <v>1940</v>
      </c>
      <c r="K318" s="31">
        <f t="shared" si="18"/>
        <v>4</v>
      </c>
      <c r="L318" s="32">
        <f t="shared" si="19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2125</v>
      </c>
      <c r="AA318" s="70" t="s">
        <v>2125</v>
      </c>
      <c r="AB318" s="70" t="s">
        <v>2125</v>
      </c>
      <c r="AC318" s="70" t="s">
        <v>2125</v>
      </c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1384</v>
      </c>
      <c r="C319" t="s">
        <v>1065</v>
      </c>
      <c r="D319" s="68" t="s">
        <v>1387</v>
      </c>
      <c r="E319" s="30" t="s">
        <v>73</v>
      </c>
      <c r="F319" s="30" t="s">
        <v>28</v>
      </c>
      <c r="G319" s="30"/>
      <c r="H319" s="30" t="s">
        <v>1399</v>
      </c>
      <c r="I319" s="31">
        <f t="shared" si="17"/>
        <v>15</v>
      </c>
      <c r="J319" s="147" t="s">
        <v>1941</v>
      </c>
      <c r="K319" s="31">
        <f t="shared" si="18"/>
        <v>13</v>
      </c>
      <c r="L319" s="32">
        <f t="shared" si="19"/>
        <v>0.5357142857142857</v>
      </c>
      <c r="M319" s="70"/>
      <c r="N319" s="70"/>
      <c r="O319" s="70"/>
      <c r="P319" s="70"/>
      <c r="Q319" s="70" t="s">
        <v>2125</v>
      </c>
      <c r="R319" s="70" t="s">
        <v>2125</v>
      </c>
      <c r="S319" s="70" t="s">
        <v>2125</v>
      </c>
      <c r="T319" s="70" t="s">
        <v>2125</v>
      </c>
      <c r="U319" s="70" t="s">
        <v>2125</v>
      </c>
      <c r="V319" s="70" t="s">
        <v>2125</v>
      </c>
      <c r="W319" s="70" t="s">
        <v>2125</v>
      </c>
      <c r="X319" s="70" t="s">
        <v>2125</v>
      </c>
      <c r="Y319" s="70" t="s">
        <v>2125</v>
      </c>
      <c r="Z319" s="70" t="s">
        <v>2125</v>
      </c>
      <c r="AA319" s="70" t="s">
        <v>2125</v>
      </c>
      <c r="AB319" s="70" t="s">
        <v>2125</v>
      </c>
      <c r="AC319" s="70" t="s">
        <v>2125</v>
      </c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1385</v>
      </c>
      <c r="C320" t="s">
        <v>1065</v>
      </c>
      <c r="D320" s="68" t="s">
        <v>1388</v>
      </c>
      <c r="E320" s="30" t="s">
        <v>73</v>
      </c>
      <c r="F320" s="30" t="s">
        <v>28</v>
      </c>
      <c r="G320" s="30"/>
      <c r="H320" s="30" t="s">
        <v>1400</v>
      </c>
      <c r="I320" s="31">
        <f t="shared" si="17"/>
        <v>23</v>
      </c>
      <c r="J320" s="147" t="s">
        <v>1942</v>
      </c>
      <c r="K320" s="31">
        <f t="shared" si="18"/>
        <v>5</v>
      </c>
      <c r="L320" s="32">
        <f t="shared" si="19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2125</v>
      </c>
      <c r="Z320" s="70" t="s">
        <v>2125</v>
      </c>
      <c r="AA320" s="70" t="s">
        <v>2125</v>
      </c>
      <c r="AB320" s="70" t="s">
        <v>2125</v>
      </c>
      <c r="AC320" s="70" t="s">
        <v>2125</v>
      </c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1943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1944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1945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1946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1947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1948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1949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1950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1952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1953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1954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1299</v>
      </c>
      <c r="C333" t="s">
        <v>1065</v>
      </c>
      <c r="D333" t="s">
        <v>1300</v>
      </c>
      <c r="E333" s="30" t="s">
        <v>73</v>
      </c>
      <c r="F333" s="30" t="s">
        <v>28</v>
      </c>
      <c r="G333" s="30"/>
      <c r="H333" s="30" t="s">
        <v>1490</v>
      </c>
      <c r="I333" s="31">
        <f t="shared" si="17"/>
        <v>28</v>
      </c>
      <c r="J333" s="147" t="s">
        <v>1955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1389</v>
      </c>
      <c r="C334" t="s">
        <v>1065</v>
      </c>
      <c r="D334" s="68" t="s">
        <v>1392</v>
      </c>
      <c r="E334" s="30" t="s">
        <v>15</v>
      </c>
      <c r="F334" s="30" t="s">
        <v>1058</v>
      </c>
      <c r="G334" s="30"/>
      <c r="H334" s="30" t="s">
        <v>1396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2125</v>
      </c>
      <c r="S334" s="70" t="s">
        <v>2125</v>
      </c>
      <c r="T334" s="70" t="s">
        <v>2125</v>
      </c>
      <c r="U334" s="70" t="s">
        <v>2125</v>
      </c>
      <c r="V334" s="70"/>
      <c r="W334" s="70"/>
      <c r="X334" s="70" t="s">
        <v>2125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1390</v>
      </c>
      <c r="C335" t="s">
        <v>1065</v>
      </c>
      <c r="D335" s="68" t="s">
        <v>1393</v>
      </c>
      <c r="E335" s="30" t="s">
        <v>73</v>
      </c>
      <c r="F335" s="30" t="s">
        <v>1058</v>
      </c>
      <c r="G335" s="30"/>
      <c r="H335" s="30" t="s">
        <v>1397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2125</v>
      </c>
      <c r="S335" s="70" t="s">
        <v>2125</v>
      </c>
      <c r="T335" s="70" t="s">
        <v>2125</v>
      </c>
      <c r="U335" s="70" t="s">
        <v>2125</v>
      </c>
      <c r="V335" s="70"/>
      <c r="W335" s="70"/>
      <c r="X335" s="70" t="s">
        <v>2125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1391</v>
      </c>
      <c r="C336" t="s">
        <v>1065</v>
      </c>
      <c r="D336" s="68" t="s">
        <v>1394</v>
      </c>
      <c r="E336" s="30" t="s">
        <v>15</v>
      </c>
      <c r="F336" s="30" t="s">
        <v>28</v>
      </c>
      <c r="G336" s="30"/>
      <c r="H336" s="30" t="s">
        <v>1507</v>
      </c>
      <c r="I336" s="31">
        <f t="shared" si="17"/>
        <v>26</v>
      </c>
      <c r="J336" s="147" t="s">
        <v>1956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2125</v>
      </c>
      <c r="U336" s="70"/>
      <c r="V336" s="70"/>
      <c r="W336" s="70"/>
      <c r="X336" s="70" t="s">
        <v>2125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1304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1304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1957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2125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1304</v>
      </c>
      <c r="G340" s="85"/>
      <c r="H340" s="85" t="s">
        <v>752</v>
      </c>
      <c r="I340" s="142">
        <f t="shared" si="17"/>
        <v>25</v>
      </c>
      <c r="J340" s="147" t="s">
        <v>1958</v>
      </c>
      <c r="K340" s="142">
        <f t="shared" si="18"/>
        <v>3</v>
      </c>
      <c r="L340" s="143">
        <f t="shared" si="19"/>
        <v>0.8928571428571429</v>
      </c>
      <c r="M340" s="70"/>
      <c r="N340" s="70" t="s">
        <v>2125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2125</v>
      </c>
      <c r="Y340" s="70"/>
      <c r="Z340" s="70"/>
      <c r="AA340" s="70" t="s">
        <v>2125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1304</v>
      </c>
      <c r="G341" s="85"/>
      <c r="H341" s="85" t="s">
        <v>753</v>
      </c>
      <c r="I341" s="142">
        <f t="shared" si="17"/>
        <v>26</v>
      </c>
      <c r="J341" s="147" t="s">
        <v>1959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2125</v>
      </c>
      <c r="Y341" s="70"/>
      <c r="Z341" s="70"/>
      <c r="AA341" s="70" t="s">
        <v>2125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1488</v>
      </c>
      <c r="I342" s="31">
        <f t="shared" si="17"/>
        <v>27</v>
      </c>
      <c r="J342" s="147" t="s">
        <v>1960</v>
      </c>
      <c r="K342" s="31">
        <f t="shared" si="18"/>
        <v>1</v>
      </c>
      <c r="L342" s="32">
        <f t="shared" si="19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2125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 t="s">
        <v>1221</v>
      </c>
      <c r="I343" s="31">
        <f t="shared" si="17"/>
        <v>20</v>
      </c>
      <c r="J343" s="147" t="s">
        <v>1961</v>
      </c>
      <c r="K343" s="31">
        <f t="shared" si="18"/>
        <v>8</v>
      </c>
      <c r="L343" s="32">
        <f t="shared" si="19"/>
        <v>0.7142857142857143</v>
      </c>
      <c r="M343" s="70"/>
      <c r="N343" s="70"/>
      <c r="O343" s="70"/>
      <c r="P343" s="70" t="s">
        <v>2125</v>
      </c>
      <c r="Q343" s="70"/>
      <c r="R343" s="70"/>
      <c r="S343" s="70"/>
      <c r="T343" s="70"/>
      <c r="U343" s="70" t="s">
        <v>2125</v>
      </c>
      <c r="V343" s="70" t="s">
        <v>2125</v>
      </c>
      <c r="W343" s="70"/>
      <c r="X343" s="70" t="s">
        <v>2125</v>
      </c>
      <c r="Y343" s="70" t="s">
        <v>2125</v>
      </c>
      <c r="Z343" s="70" t="s">
        <v>2125</v>
      </c>
      <c r="AA343" s="70" t="s">
        <v>2125</v>
      </c>
      <c r="AB343" s="70"/>
      <c r="AC343" s="70" t="s">
        <v>2125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1962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2125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1963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2125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1964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2125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1965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2125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1323</v>
      </c>
      <c r="B348" t="s">
        <v>1236</v>
      </c>
      <c r="C348" t="s">
        <v>1064</v>
      </c>
      <c r="D348" t="s">
        <v>1237</v>
      </c>
      <c r="E348" t="s">
        <v>19</v>
      </c>
      <c r="F348" t="s">
        <v>28</v>
      </c>
      <c r="G348"/>
      <c r="H348" s="30" t="s">
        <v>1243</v>
      </c>
      <c r="I348" s="31">
        <f t="shared" si="17"/>
        <v>28</v>
      </c>
      <c r="J348" s="147" t="s">
        <v>1966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1323</v>
      </c>
      <c r="B349" t="s">
        <v>1238</v>
      </c>
      <c r="C349" t="s">
        <v>1064</v>
      </c>
      <c r="D349" t="s">
        <v>1239</v>
      </c>
      <c r="E349" t="s">
        <v>19</v>
      </c>
      <c r="F349" t="s">
        <v>28</v>
      </c>
      <c r="G349"/>
      <c r="H349" s="30" t="s">
        <v>1244</v>
      </c>
      <c r="I349" s="31">
        <f t="shared" si="17"/>
        <v>28</v>
      </c>
      <c r="J349" s="147" t="s">
        <v>1967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1323</v>
      </c>
      <c r="B350" s="73" t="s">
        <v>1580</v>
      </c>
      <c r="C350" s="73" t="s">
        <v>1064</v>
      </c>
      <c r="D350" s="73" t="s">
        <v>1583</v>
      </c>
      <c r="E350" s="85" t="s">
        <v>73</v>
      </c>
      <c r="F350" s="85" t="s">
        <v>1304</v>
      </c>
      <c r="H350" s="85" t="s">
        <v>1584</v>
      </c>
      <c r="I350" s="31">
        <f t="shared" si="17"/>
        <v>28</v>
      </c>
      <c r="J350" s="147" t="s">
        <v>1968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1323</v>
      </c>
      <c r="B351" s="73" t="s">
        <v>1581</v>
      </c>
      <c r="C351" s="73" t="s">
        <v>1064</v>
      </c>
      <c r="D351" s="73" t="s">
        <v>1585</v>
      </c>
      <c r="E351" s="73" t="s">
        <v>73</v>
      </c>
      <c r="F351" s="85" t="s">
        <v>1304</v>
      </c>
      <c r="H351" s="85" t="s">
        <v>1586</v>
      </c>
      <c r="I351" s="31">
        <f t="shared" si="17"/>
        <v>28</v>
      </c>
      <c r="J351" s="147" t="s">
        <v>1969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1323</v>
      </c>
      <c r="B352" s="73" t="s">
        <v>1582</v>
      </c>
      <c r="C352" s="73" t="s">
        <v>1064</v>
      </c>
      <c r="D352" s="73" t="s">
        <v>1587</v>
      </c>
      <c r="E352" s="73" t="s">
        <v>73</v>
      </c>
      <c r="F352" s="85" t="s">
        <v>1304</v>
      </c>
      <c r="H352" s="85" t="s">
        <v>1588</v>
      </c>
      <c r="I352" s="31">
        <f t="shared" si="17"/>
        <v>28</v>
      </c>
      <c r="J352" s="147" t="s">
        <v>1970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1323</v>
      </c>
      <c r="B353" s="73" t="s">
        <v>1641</v>
      </c>
      <c r="C353" s="73" t="s">
        <v>1064</v>
      </c>
      <c r="D353" s="73" t="s">
        <v>1642</v>
      </c>
      <c r="E353" s="73" t="s">
        <v>19</v>
      </c>
      <c r="F353" s="85" t="s">
        <v>1304</v>
      </c>
      <c r="H353" s="85" t="s">
        <v>1643</v>
      </c>
      <c r="I353" s="31">
        <f t="shared" si="17"/>
        <v>28</v>
      </c>
      <c r="J353" s="147" t="s">
        <v>2153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1971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1972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1304</v>
      </c>
      <c r="G356" s="85"/>
      <c r="H356" s="85" t="s">
        <v>1489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2183</v>
      </c>
      <c r="C357" s="73" t="s">
        <v>1064</v>
      </c>
      <c r="D357" s="73" t="s">
        <v>2184</v>
      </c>
      <c r="E357" s="85" t="s">
        <v>73</v>
      </c>
      <c r="F357" s="30" t="s">
        <v>28</v>
      </c>
      <c r="G357" s="85"/>
      <c r="H357" s="85" t="s">
        <v>2185</v>
      </c>
      <c r="I357" s="142">
        <f t="shared" si="17"/>
        <v>28</v>
      </c>
      <c r="J357" s="153" t="s">
        <v>2186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1974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1267</v>
      </c>
      <c r="C362" t="s">
        <v>1064</v>
      </c>
      <c r="D362" t="s">
        <v>1268</v>
      </c>
      <c r="E362" s="30" t="s">
        <v>15</v>
      </c>
      <c r="F362" s="30" t="s">
        <v>1058</v>
      </c>
      <c r="G362" s="30" t="s">
        <v>1270</v>
      </c>
      <c r="H362" s="30" t="s">
        <v>1269</v>
      </c>
      <c r="I362" s="31">
        <f t="shared" si="17"/>
        <v>28</v>
      </c>
      <c r="J362" s="147" t="s">
        <v>1976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1316</v>
      </c>
      <c r="C363" s="73" t="s">
        <v>1065</v>
      </c>
      <c r="D363" s="73" t="s">
        <v>1317</v>
      </c>
      <c r="E363" s="85" t="s">
        <v>15</v>
      </c>
      <c r="F363" s="85" t="s">
        <v>1304</v>
      </c>
      <c r="G363" s="85"/>
      <c r="H363" s="85" t="s">
        <v>1318</v>
      </c>
      <c r="I363" s="31">
        <f t="shared" si="17"/>
        <v>23</v>
      </c>
      <c r="J363" s="147" t="s">
        <v>1977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2125</v>
      </c>
      <c r="T363" s="70" t="s">
        <v>2125</v>
      </c>
      <c r="U363" s="70" t="s">
        <v>2125</v>
      </c>
      <c r="V363" s="70" t="s">
        <v>2125</v>
      </c>
      <c r="W363" s="70"/>
      <c r="X363" s="70" t="s">
        <v>2125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12</v>
      </c>
      <c r="J364" s="73"/>
      <c r="K364" s="31">
        <f t="shared" si="18"/>
        <v>16</v>
      </c>
      <c r="L364" s="32">
        <f t="shared" si="19"/>
        <v>0.42857142857142855</v>
      </c>
      <c r="M364" s="70" t="s">
        <v>2125</v>
      </c>
      <c r="N364" s="70" t="s">
        <v>2125</v>
      </c>
      <c r="O364" s="70" t="s">
        <v>2125</v>
      </c>
      <c r="P364" s="70" t="s">
        <v>2125</v>
      </c>
      <c r="Q364" s="70" t="s">
        <v>2125</v>
      </c>
      <c r="R364" s="70" t="s">
        <v>2125</v>
      </c>
      <c r="S364" s="70"/>
      <c r="T364" s="70" t="s">
        <v>2125</v>
      </c>
      <c r="U364" s="70" t="s">
        <v>2125</v>
      </c>
      <c r="V364" s="70" t="s">
        <v>2125</v>
      </c>
      <c r="W364" s="70" t="s">
        <v>2125</v>
      </c>
      <c r="X364" s="70" t="s">
        <v>2125</v>
      </c>
      <c r="Y364" s="70" t="s">
        <v>2125</v>
      </c>
      <c r="Z364" s="70" t="s">
        <v>2125</v>
      </c>
      <c r="AA364" s="70" t="s">
        <v>2125</v>
      </c>
      <c r="AB364" s="70" t="s">
        <v>2125</v>
      </c>
      <c r="AC364" s="70" t="s">
        <v>2125</v>
      </c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1304</v>
      </c>
      <c r="G365" s="85"/>
      <c r="H365" s="85" t="s">
        <v>2130</v>
      </c>
      <c r="I365" s="142">
        <f t="shared" si="17"/>
        <v>26</v>
      </c>
      <c r="J365" s="147" t="s">
        <v>1978</v>
      </c>
      <c r="K365" s="142">
        <f t="shared" si="18"/>
        <v>2</v>
      </c>
      <c r="L365" s="143">
        <f t="shared" si="19"/>
        <v>0.9285714285714286</v>
      </c>
      <c r="M365" s="70" t="s">
        <v>2125</v>
      </c>
      <c r="N365" s="70" t="s">
        <v>2125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1522</v>
      </c>
      <c r="I366" s="87">
        <f t="shared" si="17"/>
        <v>28</v>
      </c>
      <c r="J366" s="147" t="s">
        <v>1979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1980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1981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1982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1983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1985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1986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1989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25</v>
      </c>
      <c r="J377" s="147" t="s">
        <v>1990</v>
      </c>
      <c r="K377" s="31">
        <f t="shared" si="21"/>
        <v>3</v>
      </c>
      <c r="L377" s="32">
        <f t="shared" si="22"/>
        <v>0.8928571428571429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2125</v>
      </c>
      <c r="AB377" s="70" t="s">
        <v>2125</v>
      </c>
      <c r="AC377" s="70" t="s">
        <v>2125</v>
      </c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1222</v>
      </c>
      <c r="I378" s="31">
        <f t="shared" si="20"/>
        <v>27</v>
      </c>
      <c r="J378" s="147" t="s">
        <v>1991</v>
      </c>
      <c r="K378" s="31">
        <f t="shared" si="21"/>
        <v>1</v>
      </c>
      <c r="L378" s="32">
        <f t="shared" si="22"/>
        <v>0.9642857142857143</v>
      </c>
      <c r="M378" s="70" t="s">
        <v>2125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1440</v>
      </c>
      <c r="C379" s="73" t="s">
        <v>1064</v>
      </c>
      <c r="D379" s="73" t="s">
        <v>1443</v>
      </c>
      <c r="E379" s="30" t="s">
        <v>19</v>
      </c>
      <c r="F379" s="85" t="s">
        <v>1304</v>
      </c>
      <c r="G379" s="85"/>
      <c r="H379" s="85" t="s">
        <v>1444</v>
      </c>
      <c r="I379" s="142">
        <f t="shared" si="20"/>
        <v>28</v>
      </c>
      <c r="J379" s="147" t="s">
        <v>1992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1441</v>
      </c>
      <c r="C380" t="s">
        <v>1064</v>
      </c>
      <c r="D380" t="s">
        <v>1443</v>
      </c>
      <c r="E380" s="30" t="s">
        <v>73</v>
      </c>
      <c r="F380" s="30" t="s">
        <v>28</v>
      </c>
      <c r="G380" s="30"/>
      <c r="H380" s="85" t="s">
        <v>1508</v>
      </c>
      <c r="I380" s="31">
        <f t="shared" si="20"/>
        <v>28</v>
      </c>
      <c r="J380" s="147" t="s">
        <v>1993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1442</v>
      </c>
      <c r="C381" t="s">
        <v>1064</v>
      </c>
      <c r="D381" t="s">
        <v>1443</v>
      </c>
      <c r="E381" s="30" t="s">
        <v>73</v>
      </c>
      <c r="F381" s="30" t="s">
        <v>28</v>
      </c>
      <c r="G381" s="30"/>
      <c r="H381" s="85" t="s">
        <v>1506</v>
      </c>
      <c r="I381" s="31">
        <f t="shared" si="20"/>
        <v>28</v>
      </c>
      <c r="J381" s="147" t="s">
        <v>1994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1638</v>
      </c>
      <c r="C382" t="s">
        <v>1064</v>
      </c>
      <c r="D382" t="s">
        <v>1639</v>
      </c>
      <c r="E382" s="30" t="s">
        <v>19</v>
      </c>
      <c r="F382" s="30" t="s">
        <v>28</v>
      </c>
      <c r="G382" s="30"/>
      <c r="H382" s="85" t="s">
        <v>1640</v>
      </c>
      <c r="I382" s="31">
        <f t="shared" si="20"/>
        <v>25</v>
      </c>
      <c r="J382" s="87"/>
      <c r="K382" s="31">
        <f t="shared" si="21"/>
        <v>3</v>
      </c>
      <c r="L382" s="32">
        <f t="shared" si="22"/>
        <v>0.8928571428571429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2125</v>
      </c>
      <c r="AB382" s="84" t="s">
        <v>2125</v>
      </c>
      <c r="AC382" s="84" t="s">
        <v>2125</v>
      </c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22</v>
      </c>
      <c r="J383" s="87"/>
      <c r="K383" s="31">
        <f t="shared" si="21"/>
        <v>6</v>
      </c>
      <c r="L383" s="32">
        <f t="shared" si="22"/>
        <v>0.7857142857142857</v>
      </c>
      <c r="M383" s="70" t="s">
        <v>2125</v>
      </c>
      <c r="N383" s="70"/>
      <c r="O383" s="70"/>
      <c r="P383" s="70" t="s">
        <v>2125</v>
      </c>
      <c r="Q383" s="70" t="s">
        <v>2125</v>
      </c>
      <c r="R383" s="70" t="s">
        <v>2125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2125</v>
      </c>
      <c r="AC383" s="70" t="s">
        <v>2125</v>
      </c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1304</v>
      </c>
      <c r="G384" s="85"/>
      <c r="H384" s="85" t="s">
        <v>1434</v>
      </c>
      <c r="I384" s="142">
        <f t="shared" si="20"/>
        <v>28</v>
      </c>
      <c r="J384" s="147" t="s">
        <v>1995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1284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1402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1435</v>
      </c>
      <c r="I387" s="87">
        <f t="shared" si="20"/>
        <v>28</v>
      </c>
      <c r="J387" s="147" t="s">
        <v>1996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11</v>
      </c>
      <c r="J389" s="147" t="s">
        <v>1997</v>
      </c>
      <c r="K389" s="31">
        <f t="shared" si="21"/>
        <v>17</v>
      </c>
      <c r="L389" s="32">
        <f t="shared" si="22"/>
        <v>0.39285714285714285</v>
      </c>
      <c r="M389" s="70" t="s">
        <v>2125</v>
      </c>
      <c r="N389" s="70" t="s">
        <v>2125</v>
      </c>
      <c r="O389" s="70" t="s">
        <v>2125</v>
      </c>
      <c r="P389" s="70" t="s">
        <v>2125</v>
      </c>
      <c r="Q389" s="70" t="s">
        <v>2125</v>
      </c>
      <c r="R389" s="70" t="s">
        <v>2125</v>
      </c>
      <c r="S389" s="70" t="s">
        <v>2125</v>
      </c>
      <c r="T389" s="70" t="s">
        <v>2125</v>
      </c>
      <c r="U389" s="70" t="s">
        <v>2125</v>
      </c>
      <c r="V389" s="70" t="s">
        <v>2125</v>
      </c>
      <c r="W389" s="70" t="s">
        <v>2125</v>
      </c>
      <c r="X389" s="70" t="s">
        <v>2125</v>
      </c>
      <c r="Y389" s="70" t="s">
        <v>2125</v>
      </c>
      <c r="Z389" s="70" t="s">
        <v>2125</v>
      </c>
      <c r="AA389" s="70" t="s">
        <v>2125</v>
      </c>
      <c r="AB389" s="70" t="s">
        <v>2125</v>
      </c>
      <c r="AC389" s="70" t="s">
        <v>2125</v>
      </c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11</v>
      </c>
      <c r="J390" s="147" t="s">
        <v>1998</v>
      </c>
      <c r="K390" s="31">
        <f t="shared" si="21"/>
        <v>17</v>
      </c>
      <c r="L390" s="32">
        <f t="shared" si="22"/>
        <v>0.39285714285714285</v>
      </c>
      <c r="M390" s="70" t="s">
        <v>2125</v>
      </c>
      <c r="N390" s="70" t="s">
        <v>2125</v>
      </c>
      <c r="O390" s="70" t="s">
        <v>2125</v>
      </c>
      <c r="P390" s="70" t="s">
        <v>2125</v>
      </c>
      <c r="Q390" s="70" t="s">
        <v>2125</v>
      </c>
      <c r="R390" s="70" t="s">
        <v>2125</v>
      </c>
      <c r="S390" s="70" t="s">
        <v>2125</v>
      </c>
      <c r="T390" s="70" t="s">
        <v>2125</v>
      </c>
      <c r="U390" s="70" t="s">
        <v>2125</v>
      </c>
      <c r="V390" s="70" t="s">
        <v>2125</v>
      </c>
      <c r="W390" s="70" t="s">
        <v>2125</v>
      </c>
      <c r="X390" s="70" t="s">
        <v>2125</v>
      </c>
      <c r="Y390" s="70" t="s">
        <v>2125</v>
      </c>
      <c r="Z390" s="70" t="s">
        <v>2125</v>
      </c>
      <c r="AA390" s="70" t="s">
        <v>2125</v>
      </c>
      <c r="AB390" s="70" t="s">
        <v>2125</v>
      </c>
      <c r="AC390" s="70" t="s">
        <v>2125</v>
      </c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1304</v>
      </c>
      <c r="G391" s="85"/>
      <c r="H391" s="85" t="s">
        <v>805</v>
      </c>
      <c r="I391" s="142">
        <f t="shared" si="20"/>
        <v>28</v>
      </c>
      <c r="J391" s="147" t="s">
        <v>1999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1304</v>
      </c>
      <c r="G392" s="85"/>
      <c r="H392" s="85" t="s">
        <v>806</v>
      </c>
      <c r="I392" s="142">
        <f t="shared" si="20"/>
        <v>28</v>
      </c>
      <c r="J392" s="147" t="s">
        <v>2000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1551</v>
      </c>
      <c r="C393" s="73" t="s">
        <v>1065</v>
      </c>
      <c r="D393" s="73" t="s">
        <v>1552</v>
      </c>
      <c r="E393" s="85" t="s">
        <v>73</v>
      </c>
      <c r="F393" s="85" t="s">
        <v>1304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1553</v>
      </c>
      <c r="C394" s="73" t="s">
        <v>1065</v>
      </c>
      <c r="D394" s="73" t="s">
        <v>1552</v>
      </c>
      <c r="E394" s="85" t="s">
        <v>73</v>
      </c>
      <c r="F394" s="85" t="s">
        <v>1304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1634</v>
      </c>
      <c r="C395" s="73" t="s">
        <v>1065</v>
      </c>
      <c r="D395" s="73" t="s">
        <v>1635</v>
      </c>
      <c r="E395" s="85" t="s">
        <v>73</v>
      </c>
      <c r="F395" s="85" t="s">
        <v>1304</v>
      </c>
      <c r="G395" s="85"/>
      <c r="H395" s="85" t="s">
        <v>1636</v>
      </c>
      <c r="I395" s="142">
        <f t="shared" si="20"/>
        <v>28</v>
      </c>
      <c r="J395" s="87" t="s">
        <v>2158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2154</v>
      </c>
      <c r="C396" s="73" t="s">
        <v>1065</v>
      </c>
      <c r="D396" s="73" t="s">
        <v>2155</v>
      </c>
      <c r="E396" s="92" t="s">
        <v>19</v>
      </c>
      <c r="F396" s="85" t="s">
        <v>1304</v>
      </c>
      <c r="G396" s="85"/>
      <c r="H396" s="85" t="s">
        <v>2156</v>
      </c>
      <c r="I396" s="142">
        <f t="shared" si="20"/>
        <v>28</v>
      </c>
      <c r="J396" s="87" t="s">
        <v>2157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1304</v>
      </c>
      <c r="G397" s="85"/>
      <c r="H397" s="85" t="s">
        <v>2207</v>
      </c>
      <c r="I397" s="31">
        <f t="shared" si="20"/>
        <v>22</v>
      </c>
      <c r="J397" s="87" t="s">
        <v>2208</v>
      </c>
      <c r="K397" s="31">
        <f t="shared" si="21"/>
        <v>6</v>
      </c>
      <c r="L397" s="32">
        <f t="shared" si="22"/>
        <v>0.7857142857142857</v>
      </c>
      <c r="M397" s="70" t="s">
        <v>2125</v>
      </c>
      <c r="N397" s="70" t="s">
        <v>2125</v>
      </c>
      <c r="O397" s="70" t="s">
        <v>2125</v>
      </c>
      <c r="P397" s="70" t="s">
        <v>2125</v>
      </c>
      <c r="Q397" s="70" t="s">
        <v>2125</v>
      </c>
      <c r="R397" s="70" t="s">
        <v>2125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1356</v>
      </c>
      <c r="C398" s="73" t="s">
        <v>1065</v>
      </c>
      <c r="D398" s="73" t="s">
        <v>1357</v>
      </c>
      <c r="E398" s="92" t="s">
        <v>19</v>
      </c>
      <c r="F398" s="85" t="s">
        <v>1304</v>
      </c>
      <c r="G398" s="85"/>
      <c r="H398" s="85" t="s">
        <v>1418</v>
      </c>
      <c r="I398" s="142">
        <f t="shared" si="20"/>
        <v>28</v>
      </c>
      <c r="J398" s="147" t="s">
        <v>2001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1406</v>
      </c>
      <c r="C399" s="73" t="s">
        <v>1065</v>
      </c>
      <c r="D399" s="73" t="s">
        <v>1407</v>
      </c>
      <c r="E399" s="92" t="s">
        <v>19</v>
      </c>
      <c r="F399" s="85" t="s">
        <v>1304</v>
      </c>
      <c r="G399" s="85"/>
      <c r="H399" s="85" t="s">
        <v>1408</v>
      </c>
      <c r="I399" s="142">
        <f t="shared" si="20"/>
        <v>28</v>
      </c>
      <c r="J399" s="147" t="s">
        <v>2002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1304</v>
      </c>
      <c r="G400" s="85"/>
      <c r="H400" s="85" t="s">
        <v>1377</v>
      </c>
      <c r="I400" s="142">
        <f t="shared" si="20"/>
        <v>23</v>
      </c>
      <c r="J400" s="147" t="s">
        <v>2003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2125</v>
      </c>
      <c r="V400" s="70" t="s">
        <v>2125</v>
      </c>
      <c r="W400" s="70" t="s">
        <v>2125</v>
      </c>
      <c r="X400" s="70" t="s">
        <v>2125</v>
      </c>
      <c r="Y400" s="70" t="s">
        <v>2125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1304</v>
      </c>
      <c r="G401" s="85"/>
      <c r="H401" s="85" t="s">
        <v>1427</v>
      </c>
      <c r="I401" s="142">
        <f t="shared" si="20"/>
        <v>27</v>
      </c>
      <c r="J401" s="147" t="s">
        <v>2004</v>
      </c>
      <c r="K401" s="142">
        <f t="shared" si="21"/>
        <v>1</v>
      </c>
      <c r="L401" s="143">
        <f t="shared" si="22"/>
        <v>0.9642857142857143</v>
      </c>
      <c r="M401" s="70" t="s">
        <v>2125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11</v>
      </c>
      <c r="J402" s="87"/>
      <c r="K402" s="31">
        <f t="shared" si="21"/>
        <v>17</v>
      </c>
      <c r="L402" s="32">
        <f t="shared" si="22"/>
        <v>0.39285714285714285</v>
      </c>
      <c r="M402" s="70" t="s">
        <v>2125</v>
      </c>
      <c r="N402" s="70" t="s">
        <v>2125</v>
      </c>
      <c r="O402" s="70" t="s">
        <v>2125</v>
      </c>
      <c r="P402" s="70" t="s">
        <v>2125</v>
      </c>
      <c r="Q402" s="70" t="s">
        <v>2125</v>
      </c>
      <c r="R402" s="70" t="s">
        <v>2125</v>
      </c>
      <c r="S402" s="70" t="s">
        <v>2125</v>
      </c>
      <c r="T402" s="70" t="s">
        <v>2125</v>
      </c>
      <c r="U402" s="70" t="s">
        <v>2125</v>
      </c>
      <c r="V402" s="70" t="s">
        <v>2125</v>
      </c>
      <c r="W402" s="70" t="s">
        <v>2125</v>
      </c>
      <c r="X402" s="70" t="s">
        <v>2125</v>
      </c>
      <c r="Y402" s="70" t="s">
        <v>2125</v>
      </c>
      <c r="Z402" s="70" t="s">
        <v>2125</v>
      </c>
      <c r="AA402" s="70" t="s">
        <v>2125</v>
      </c>
      <c r="AB402" s="70" t="s">
        <v>2125</v>
      </c>
      <c r="AC402" s="70" t="s">
        <v>2125</v>
      </c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1304</v>
      </c>
      <c r="G403" s="85"/>
      <c r="H403" s="85" t="s">
        <v>1378</v>
      </c>
      <c r="I403" s="142">
        <f t="shared" si="20"/>
        <v>24</v>
      </c>
      <c r="J403" s="147" t="s">
        <v>2005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2125</v>
      </c>
      <c r="V403" s="70" t="s">
        <v>2125</v>
      </c>
      <c r="W403" s="70" t="s">
        <v>2125</v>
      </c>
      <c r="X403" s="70" t="s">
        <v>2125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1259</v>
      </c>
      <c r="H404" s="30" t="s">
        <v>808</v>
      </c>
      <c r="I404" s="31">
        <f t="shared" si="20"/>
        <v>28</v>
      </c>
      <c r="J404" s="147" t="s">
        <v>2006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1304</v>
      </c>
      <c r="G406" s="85"/>
      <c r="H406" s="85" t="s">
        <v>810</v>
      </c>
      <c r="I406" s="142">
        <f t="shared" si="20"/>
        <v>28</v>
      </c>
      <c r="J406" s="73" t="s">
        <v>2007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2008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2009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1566</v>
      </c>
      <c r="C409" s="73" t="s">
        <v>1065</v>
      </c>
      <c r="D409" s="73" t="s">
        <v>1567</v>
      </c>
      <c r="E409" s="85" t="s">
        <v>1116</v>
      </c>
      <c r="F409" s="85" t="s">
        <v>1304</v>
      </c>
      <c r="G409" s="85"/>
      <c r="H409" s="85" t="s">
        <v>1569</v>
      </c>
      <c r="I409" s="31">
        <f t="shared" si="20"/>
        <v>28</v>
      </c>
      <c r="J409" s="147" t="s">
        <v>2010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1565</v>
      </c>
      <c r="C410" s="73" t="s">
        <v>1065</v>
      </c>
      <c r="D410" s="73" t="s">
        <v>1568</v>
      </c>
      <c r="E410" s="85" t="s">
        <v>1116</v>
      </c>
      <c r="F410" s="85" t="s">
        <v>1304</v>
      </c>
      <c r="G410" s="85"/>
      <c r="H410" s="85" t="s">
        <v>1570</v>
      </c>
      <c r="I410" s="31">
        <f t="shared" si="20"/>
        <v>28</v>
      </c>
      <c r="J410" s="147" t="s">
        <v>2011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2012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2125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2013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2125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20</v>
      </c>
      <c r="J413" s="147" t="s">
        <v>2014</v>
      </c>
      <c r="K413" s="31">
        <f t="shared" si="21"/>
        <v>8</v>
      </c>
      <c r="L413" s="32">
        <f t="shared" si="22"/>
        <v>0.7142857142857143</v>
      </c>
      <c r="M413" s="70"/>
      <c r="N413" s="70"/>
      <c r="O413" s="70"/>
      <c r="P413" s="70"/>
      <c r="Q413" s="70"/>
      <c r="R413" s="70" t="s">
        <v>2125</v>
      </c>
      <c r="S413" s="70"/>
      <c r="T413" s="70"/>
      <c r="U413" s="70"/>
      <c r="V413" s="70"/>
      <c r="W413" s="70" t="s">
        <v>2125</v>
      </c>
      <c r="X413" s="70" t="s">
        <v>2125</v>
      </c>
      <c r="Y413" s="70" t="s">
        <v>2125</v>
      </c>
      <c r="Z413" s="70" t="s">
        <v>2125</v>
      </c>
      <c r="AA413" s="70" t="s">
        <v>2125</v>
      </c>
      <c r="AB413" s="70" t="s">
        <v>2125</v>
      </c>
      <c r="AC413" s="70" t="s">
        <v>2125</v>
      </c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20</v>
      </c>
      <c r="J414" s="147" t="s">
        <v>2015</v>
      </c>
      <c r="K414" s="31">
        <f t="shared" si="21"/>
        <v>8</v>
      </c>
      <c r="L414" s="32">
        <f t="shared" si="22"/>
        <v>0.7142857142857143</v>
      </c>
      <c r="M414" s="70"/>
      <c r="N414" s="70"/>
      <c r="O414" s="70"/>
      <c r="P414" s="70"/>
      <c r="Q414" s="70"/>
      <c r="R414" s="70" t="s">
        <v>2125</v>
      </c>
      <c r="S414" s="70"/>
      <c r="T414" s="70"/>
      <c r="U414" s="70"/>
      <c r="V414" s="70"/>
      <c r="W414" s="70" t="s">
        <v>2125</v>
      </c>
      <c r="X414" s="70" t="s">
        <v>2125</v>
      </c>
      <c r="Y414" s="70" t="s">
        <v>2125</v>
      </c>
      <c r="Z414" s="70" t="s">
        <v>2125</v>
      </c>
      <c r="AA414" s="70" t="s">
        <v>2125</v>
      </c>
      <c r="AB414" s="70" t="s">
        <v>2125</v>
      </c>
      <c r="AC414" s="70" t="s">
        <v>2125</v>
      </c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1414</v>
      </c>
      <c r="I415" s="31">
        <f t="shared" si="20"/>
        <v>28</v>
      </c>
      <c r="J415" s="147" t="s">
        <v>2016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1324</v>
      </c>
      <c r="E416" s="30" t="s">
        <v>19</v>
      </c>
      <c r="F416" s="30" t="s">
        <v>1058</v>
      </c>
      <c r="G416" s="30"/>
      <c r="H416" s="30" t="s">
        <v>1415</v>
      </c>
      <c r="I416" s="31">
        <f t="shared" si="20"/>
        <v>28</v>
      </c>
      <c r="J416" s="147" t="s">
        <v>2017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1304</v>
      </c>
      <c r="G417" s="85"/>
      <c r="H417" s="85" t="s">
        <v>1426</v>
      </c>
      <c r="I417" s="142">
        <f t="shared" si="20"/>
        <v>27</v>
      </c>
      <c r="J417" s="147" t="s">
        <v>2018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2125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1304</v>
      </c>
      <c r="G418" s="85"/>
      <c r="H418" s="85" t="s">
        <v>1331</v>
      </c>
      <c r="I418" s="142">
        <f t="shared" si="20"/>
        <v>28</v>
      </c>
      <c r="J418" s="147" t="s">
        <v>2019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2020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2021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2022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11</v>
      </c>
      <c r="J423" s="87"/>
      <c r="K423" s="31">
        <f t="shared" si="21"/>
        <v>17</v>
      </c>
      <c r="L423" s="32">
        <f t="shared" si="22"/>
        <v>0.39285714285714285</v>
      </c>
      <c r="M423" s="70" t="s">
        <v>2125</v>
      </c>
      <c r="N423" s="70" t="s">
        <v>2125</v>
      </c>
      <c r="O423" s="70" t="s">
        <v>2125</v>
      </c>
      <c r="P423" s="70" t="s">
        <v>2125</v>
      </c>
      <c r="Q423" s="70" t="s">
        <v>2125</v>
      </c>
      <c r="R423" s="70" t="s">
        <v>2125</v>
      </c>
      <c r="S423" s="70" t="s">
        <v>2125</v>
      </c>
      <c r="T423" s="70" t="s">
        <v>2125</v>
      </c>
      <c r="U423" s="70" t="s">
        <v>2125</v>
      </c>
      <c r="V423" s="70" t="s">
        <v>2125</v>
      </c>
      <c r="W423" s="70" t="s">
        <v>2125</v>
      </c>
      <c r="X423" s="70" t="s">
        <v>2125</v>
      </c>
      <c r="Y423" s="70" t="s">
        <v>2125</v>
      </c>
      <c r="Z423" s="70" t="s">
        <v>2125</v>
      </c>
      <c r="AA423" s="70" t="s">
        <v>2125</v>
      </c>
      <c r="AB423" s="70" t="s">
        <v>2125</v>
      </c>
      <c r="AC423" s="70" t="s">
        <v>2125</v>
      </c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1416</v>
      </c>
      <c r="I427" s="31">
        <f t="shared" si="20"/>
        <v>28</v>
      </c>
      <c r="J427" s="147" t="s">
        <v>2023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1417</v>
      </c>
      <c r="I428" s="31">
        <f t="shared" si="20"/>
        <v>18</v>
      </c>
      <c r="J428" s="147" t="s">
        <v>2024</v>
      </c>
      <c r="K428" s="31">
        <f t="shared" si="21"/>
        <v>10</v>
      </c>
      <c r="L428" s="32">
        <f t="shared" si="22"/>
        <v>0.6428571428571429</v>
      </c>
      <c r="M428" s="70"/>
      <c r="N428" s="70" t="s">
        <v>2125</v>
      </c>
      <c r="O428" s="70" t="s">
        <v>2125</v>
      </c>
      <c r="P428" s="70"/>
      <c r="Q428" s="70"/>
      <c r="R428" s="70"/>
      <c r="S428" s="70" t="s">
        <v>2125</v>
      </c>
      <c r="T428" s="70" t="s">
        <v>2125</v>
      </c>
      <c r="U428" s="70"/>
      <c r="V428" s="70"/>
      <c r="W428" s="70" t="s">
        <v>2125</v>
      </c>
      <c r="X428" s="70" t="s">
        <v>2125</v>
      </c>
      <c r="Y428" s="70" t="s">
        <v>2125</v>
      </c>
      <c r="Z428" s="70" t="s">
        <v>2125</v>
      </c>
      <c r="AA428" s="70"/>
      <c r="AB428" s="70" t="s">
        <v>2125</v>
      </c>
      <c r="AC428" s="70" t="s">
        <v>2125</v>
      </c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1304</v>
      </c>
      <c r="G429" s="85"/>
      <c r="H429" s="85" t="s">
        <v>822</v>
      </c>
      <c r="I429" s="142">
        <f t="shared" si="20"/>
        <v>28</v>
      </c>
      <c r="J429" s="147" t="s">
        <v>2025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1304</v>
      </c>
      <c r="G430" s="85"/>
      <c r="H430" s="85" t="s">
        <v>823</v>
      </c>
      <c r="I430" s="142">
        <f t="shared" si="20"/>
        <v>28</v>
      </c>
      <c r="J430" s="147" t="s">
        <v>2026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1304</v>
      </c>
      <c r="G431" s="85"/>
      <c r="H431" s="85" t="s">
        <v>824</v>
      </c>
      <c r="I431" s="142">
        <f t="shared" si="20"/>
        <v>28</v>
      </c>
      <c r="J431" s="147" t="s">
        <v>2027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2028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2029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1291</v>
      </c>
      <c r="C434" t="s">
        <v>1065</v>
      </c>
      <c r="D434" s="68" t="s">
        <v>1290</v>
      </c>
      <c r="E434" s="30" t="s">
        <v>73</v>
      </c>
      <c r="F434" s="30" t="s">
        <v>28</v>
      </c>
      <c r="G434" s="30"/>
      <c r="H434" s="30" t="s">
        <v>1292</v>
      </c>
      <c r="I434" s="31">
        <f t="shared" si="20"/>
        <v>28</v>
      </c>
      <c r="J434" s="147" t="s">
        <v>2030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1289</v>
      </c>
      <c r="C435" t="s">
        <v>1065</v>
      </c>
      <c r="D435" s="68" t="s">
        <v>1290</v>
      </c>
      <c r="E435" s="30" t="s">
        <v>73</v>
      </c>
      <c r="F435" s="30" t="s">
        <v>28</v>
      </c>
      <c r="G435" s="30"/>
      <c r="H435" s="30" t="s">
        <v>1293</v>
      </c>
      <c r="I435" s="31">
        <f t="shared" si="20"/>
        <v>11</v>
      </c>
      <c r="J435" s="147" t="s">
        <v>2031</v>
      </c>
      <c r="K435" s="31">
        <f t="shared" si="21"/>
        <v>17</v>
      </c>
      <c r="L435" s="32">
        <f t="shared" si="22"/>
        <v>0.39285714285714285</v>
      </c>
      <c r="M435" s="70" t="s">
        <v>2125</v>
      </c>
      <c r="N435" s="70" t="s">
        <v>2125</v>
      </c>
      <c r="O435" s="70" t="s">
        <v>2125</v>
      </c>
      <c r="P435" s="70" t="s">
        <v>2125</v>
      </c>
      <c r="Q435" s="70" t="s">
        <v>2125</v>
      </c>
      <c r="R435" s="70" t="s">
        <v>2125</v>
      </c>
      <c r="S435" s="70" t="s">
        <v>2125</v>
      </c>
      <c r="T435" s="70" t="s">
        <v>2125</v>
      </c>
      <c r="U435" s="70" t="s">
        <v>2125</v>
      </c>
      <c r="V435" s="70" t="s">
        <v>2125</v>
      </c>
      <c r="W435" s="70" t="s">
        <v>2125</v>
      </c>
      <c r="X435" s="70" t="s">
        <v>2125</v>
      </c>
      <c r="Y435" s="70" t="s">
        <v>2125</v>
      </c>
      <c r="Z435" s="70" t="s">
        <v>2125</v>
      </c>
      <c r="AA435" s="70" t="s">
        <v>2125</v>
      </c>
      <c r="AB435" s="70" t="s">
        <v>2125</v>
      </c>
      <c r="AC435" s="70" t="s">
        <v>2125</v>
      </c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1610</v>
      </c>
      <c r="B436" s="73" t="s">
        <v>1611</v>
      </c>
      <c r="C436" s="73" t="s">
        <v>1065</v>
      </c>
      <c r="D436" s="146" t="s">
        <v>1612</v>
      </c>
      <c r="E436" s="85" t="s">
        <v>15</v>
      </c>
      <c r="F436" s="85" t="s">
        <v>1304</v>
      </c>
      <c r="G436" s="85"/>
      <c r="H436" s="85" t="s">
        <v>1613</v>
      </c>
      <c r="I436" s="31">
        <f t="shared" si="20"/>
        <v>25</v>
      </c>
      <c r="J436" s="87"/>
      <c r="K436" s="31">
        <f t="shared" si="21"/>
        <v>3</v>
      </c>
      <c r="L436" s="32">
        <f t="shared" si="22"/>
        <v>0.8928571428571429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2125</v>
      </c>
      <c r="AB436" s="70" t="s">
        <v>2125</v>
      </c>
      <c r="AC436" s="70" t="s">
        <v>2125</v>
      </c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1610</v>
      </c>
      <c r="B437" s="73" t="s">
        <v>1622</v>
      </c>
      <c r="C437" s="73" t="s">
        <v>1065</v>
      </c>
      <c r="D437" s="146" t="s">
        <v>1623</v>
      </c>
      <c r="E437" s="85" t="s">
        <v>19</v>
      </c>
      <c r="F437" s="85" t="s">
        <v>1304</v>
      </c>
      <c r="G437" s="85"/>
      <c r="H437" s="85" t="s">
        <v>1624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1616</v>
      </c>
      <c r="B438" s="73" t="s">
        <v>1615</v>
      </c>
      <c r="C438" s="73" t="s">
        <v>1065</v>
      </c>
      <c r="D438" s="146" t="s">
        <v>1617</v>
      </c>
      <c r="E438" s="85" t="s">
        <v>73</v>
      </c>
      <c r="F438" s="85" t="s">
        <v>1304</v>
      </c>
      <c r="G438" s="85"/>
      <c r="H438" s="85" t="s">
        <v>1618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1610</v>
      </c>
      <c r="B439" s="73" t="s">
        <v>1667</v>
      </c>
      <c r="C439" s="73" t="s">
        <v>1065</v>
      </c>
      <c r="D439" s="146" t="s">
        <v>1665</v>
      </c>
      <c r="E439" s="85" t="s">
        <v>73</v>
      </c>
      <c r="F439" s="85" t="s">
        <v>1304</v>
      </c>
      <c r="G439" s="85"/>
      <c r="H439" s="85" t="s">
        <v>1669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1610</v>
      </c>
      <c r="B440" s="73" t="s">
        <v>1668</v>
      </c>
      <c r="C440" s="73" t="s">
        <v>1065</v>
      </c>
      <c r="D440" s="146" t="s">
        <v>1666</v>
      </c>
      <c r="E440" s="85" t="s">
        <v>73</v>
      </c>
      <c r="F440" s="85" t="s">
        <v>1304</v>
      </c>
      <c r="G440" s="85"/>
      <c r="H440" s="85" t="s">
        <v>1670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1610</v>
      </c>
      <c r="B441" s="73" t="s">
        <v>2180</v>
      </c>
      <c r="C441" s="73" t="s">
        <v>1065</v>
      </c>
      <c r="D441" s="146" t="s">
        <v>2181</v>
      </c>
      <c r="E441" s="85"/>
      <c r="F441" s="85" t="s">
        <v>1304</v>
      </c>
      <c r="G441" s="85"/>
      <c r="H441" s="85" t="s">
        <v>2182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1304</v>
      </c>
      <c r="G442" s="85"/>
      <c r="H442" s="85" t="s">
        <v>827</v>
      </c>
      <c r="I442" s="142">
        <f t="shared" si="20"/>
        <v>28</v>
      </c>
      <c r="J442" s="147" t="s">
        <v>2032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1304</v>
      </c>
      <c r="G443" s="85"/>
      <c r="H443" s="85" t="s">
        <v>828</v>
      </c>
      <c r="I443" s="142">
        <f t="shared" si="20"/>
        <v>28</v>
      </c>
      <c r="J443" s="147" t="s">
        <v>2033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1304</v>
      </c>
      <c r="G444" s="85"/>
      <c r="H444" s="85" t="s">
        <v>1108</v>
      </c>
      <c r="I444" s="142">
        <f t="shared" si="20"/>
        <v>13</v>
      </c>
      <c r="J444" s="87"/>
      <c r="K444" s="142">
        <f t="shared" si="21"/>
        <v>15</v>
      </c>
      <c r="L444" s="143">
        <f t="shared" si="22"/>
        <v>0.4642857142857143</v>
      </c>
      <c r="M444" s="70" t="s">
        <v>2125</v>
      </c>
      <c r="N444" s="70" t="s">
        <v>2125</v>
      </c>
      <c r="O444" s="70" t="s">
        <v>2125</v>
      </c>
      <c r="P444" s="70" t="s">
        <v>2125</v>
      </c>
      <c r="Q444" s="70" t="s">
        <v>2125</v>
      </c>
      <c r="R444" s="70"/>
      <c r="S444" s="70" t="s">
        <v>2125</v>
      </c>
      <c r="T444" s="70" t="s">
        <v>2125</v>
      </c>
      <c r="U444" s="70" t="s">
        <v>2125</v>
      </c>
      <c r="V444" s="70" t="s">
        <v>2125</v>
      </c>
      <c r="W444" s="70"/>
      <c r="X444" s="70" t="s">
        <v>2125</v>
      </c>
      <c r="Y444" s="70" t="s">
        <v>2125</v>
      </c>
      <c r="Z444" s="70" t="s">
        <v>2125</v>
      </c>
      <c r="AA444" s="70" t="s">
        <v>2125</v>
      </c>
      <c r="AB444" s="70" t="s">
        <v>2125</v>
      </c>
      <c r="AC444" s="70" t="s">
        <v>2125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2149</v>
      </c>
      <c r="C445" t="s">
        <v>1064</v>
      </c>
      <c r="D445" s="73" t="s">
        <v>2150</v>
      </c>
      <c r="E445" s="85" t="s">
        <v>15</v>
      </c>
      <c r="F445" s="85" t="s">
        <v>1304</v>
      </c>
      <c r="G445" s="85"/>
      <c r="H445" s="85" t="s">
        <v>2151</v>
      </c>
      <c r="I445" s="142">
        <f t="shared" si="20"/>
        <v>28</v>
      </c>
      <c r="J445" s="153" t="s">
        <v>2152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1260</v>
      </c>
      <c r="H446" s="30" t="s">
        <v>837</v>
      </c>
      <c r="I446" s="31">
        <f t="shared" si="20"/>
        <v>22</v>
      </c>
      <c r="J446" s="147" t="s">
        <v>2034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2125</v>
      </c>
      <c r="R446" s="70" t="s">
        <v>2125</v>
      </c>
      <c r="S446" s="70" t="s">
        <v>2125</v>
      </c>
      <c r="T446" s="70" t="s">
        <v>2125</v>
      </c>
      <c r="U446" s="70" t="s">
        <v>2125</v>
      </c>
      <c r="V446" s="70"/>
      <c r="W446" s="70"/>
      <c r="X446" s="70"/>
      <c r="Y446" s="70"/>
      <c r="Z446" s="70"/>
      <c r="AA446" s="70" t="s">
        <v>2125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1620</v>
      </c>
      <c r="E447" s="30" t="s">
        <v>19</v>
      </c>
      <c r="F447" s="30" t="s">
        <v>1058</v>
      </c>
      <c r="G447" s="30" t="s">
        <v>1260</v>
      </c>
      <c r="H447" s="30" t="s">
        <v>829</v>
      </c>
      <c r="I447" s="31">
        <f t="shared" si="20"/>
        <v>22</v>
      </c>
      <c r="J447" s="147" t="s">
        <v>2035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2125</v>
      </c>
      <c r="R447" s="70" t="s">
        <v>2125</v>
      </c>
      <c r="S447" s="70" t="s">
        <v>2125</v>
      </c>
      <c r="T447" s="70" t="s">
        <v>2125</v>
      </c>
      <c r="U447" s="70" t="s">
        <v>2125</v>
      </c>
      <c r="V447" s="70"/>
      <c r="W447" s="70"/>
      <c r="X447" s="70"/>
      <c r="Y447" s="70"/>
      <c r="Z447" s="70"/>
      <c r="AA447" s="70" t="s">
        <v>2125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2036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2037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2038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2039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1304</v>
      </c>
      <c r="G452" s="85"/>
      <c r="H452" s="85" t="s">
        <v>834</v>
      </c>
      <c r="I452" s="142">
        <f t="shared" si="23"/>
        <v>28</v>
      </c>
      <c r="J452" s="147" t="s">
        <v>2040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1304</v>
      </c>
      <c r="G453" s="85"/>
      <c r="H453" s="85" t="s">
        <v>835</v>
      </c>
      <c r="I453" s="31">
        <f t="shared" si="23"/>
        <v>28</v>
      </c>
      <c r="J453" s="147" t="s">
        <v>2041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1261</v>
      </c>
      <c r="H454" s="30" t="s">
        <v>836</v>
      </c>
      <c r="I454" s="31">
        <f t="shared" si="23"/>
        <v>28</v>
      </c>
      <c r="J454" s="147" t="s">
        <v>2042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1304</v>
      </c>
      <c r="G455" s="85"/>
      <c r="H455" s="85" t="s">
        <v>1192</v>
      </c>
      <c r="I455" s="142">
        <f t="shared" si="23"/>
        <v>28</v>
      </c>
      <c r="J455" s="147" t="s">
        <v>2043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2044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1224</v>
      </c>
      <c r="C457" t="s">
        <v>1064</v>
      </c>
      <c r="D457" t="s">
        <v>1240</v>
      </c>
      <c r="E457" t="s">
        <v>73</v>
      </c>
      <c r="F457" t="s">
        <v>28</v>
      </c>
      <c r="G457"/>
      <c r="H457" s="30" t="s">
        <v>1285</v>
      </c>
      <c r="I457" s="31">
        <f t="shared" si="23"/>
        <v>28</v>
      </c>
      <c r="J457" s="147" t="s">
        <v>2045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1225</v>
      </c>
      <c r="C458" t="s">
        <v>1064</v>
      </c>
      <c r="D458" t="s">
        <v>1240</v>
      </c>
      <c r="E458" t="s">
        <v>73</v>
      </c>
      <c r="F458" t="s">
        <v>28</v>
      </c>
      <c r="G458"/>
      <c r="H458" s="30" t="s">
        <v>1286</v>
      </c>
      <c r="I458" s="31">
        <f t="shared" si="23"/>
        <v>28</v>
      </c>
      <c r="J458" s="147" t="s">
        <v>2046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1343</v>
      </c>
      <c r="C459" t="s">
        <v>1064</v>
      </c>
      <c r="D459" s="68" t="s">
        <v>1344</v>
      </c>
      <c r="E459" t="s">
        <v>73</v>
      </c>
      <c r="F459"/>
      <c r="G459"/>
      <c r="H459" s="30" t="s">
        <v>1333</v>
      </c>
      <c r="I459" s="31">
        <f t="shared" si="23"/>
        <v>28</v>
      </c>
      <c r="J459" s="147" t="s">
        <v>2047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1355</v>
      </c>
      <c r="C460" s="73" t="s">
        <v>1064</v>
      </c>
      <c r="D460" s="146" t="s">
        <v>1362</v>
      </c>
      <c r="E460" s="73" t="s">
        <v>15</v>
      </c>
      <c r="F460" s="73" t="s">
        <v>1304</v>
      </c>
      <c r="H460" s="85" t="s">
        <v>1425</v>
      </c>
      <c r="I460" s="87">
        <f t="shared" si="23"/>
        <v>28</v>
      </c>
      <c r="J460" s="147" t="s">
        <v>2048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1614</v>
      </c>
      <c r="C461" s="73" t="s">
        <v>1064</v>
      </c>
      <c r="D461" s="146" t="s">
        <v>1619</v>
      </c>
      <c r="E461" s="73" t="s">
        <v>15</v>
      </c>
      <c r="F461" s="73" t="s">
        <v>1304</v>
      </c>
      <c r="H461" s="85" t="s">
        <v>1621</v>
      </c>
      <c r="I461" s="87">
        <f t="shared" si="23"/>
        <v>28</v>
      </c>
      <c r="J461" s="87" t="s">
        <v>2172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1632</v>
      </c>
      <c r="C462" s="73" t="s">
        <v>1064</v>
      </c>
      <c r="D462" s="146" t="s">
        <v>1625</v>
      </c>
      <c r="E462" s="73" t="s">
        <v>19</v>
      </c>
      <c r="F462" s="73" t="s">
        <v>1304</v>
      </c>
      <c r="H462" s="85" t="s">
        <v>1633</v>
      </c>
      <c r="I462" s="87">
        <f t="shared" si="23"/>
        <v>28</v>
      </c>
      <c r="J462" s="87" t="s">
        <v>2173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1627</v>
      </c>
      <c r="C463" s="73" t="s">
        <v>1064</v>
      </c>
      <c r="D463" s="146" t="s">
        <v>1626</v>
      </c>
      <c r="E463" s="73" t="s">
        <v>1116</v>
      </c>
      <c r="F463" s="73" t="s">
        <v>1304</v>
      </c>
      <c r="H463" s="85" t="s">
        <v>1631</v>
      </c>
      <c r="I463" s="87">
        <f t="shared" si="23"/>
        <v>28</v>
      </c>
      <c r="J463" s="87" t="s">
        <v>2174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1628</v>
      </c>
      <c r="C464" s="73" t="s">
        <v>1064</v>
      </c>
      <c r="D464" s="146" t="s">
        <v>1629</v>
      </c>
      <c r="E464" s="73" t="s">
        <v>1116</v>
      </c>
      <c r="F464" s="73" t="s">
        <v>1304</v>
      </c>
      <c r="H464" s="85" t="s">
        <v>1630</v>
      </c>
      <c r="I464" s="87">
        <f t="shared" si="23"/>
        <v>28</v>
      </c>
      <c r="J464" s="87" t="s">
        <v>2175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1304</v>
      </c>
      <c r="G465" s="85"/>
      <c r="H465" s="85" t="s">
        <v>838</v>
      </c>
      <c r="I465" s="142">
        <f t="shared" si="23"/>
        <v>28</v>
      </c>
      <c r="J465" s="147" t="s">
        <v>2049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27</v>
      </c>
      <c r="J470" s="87"/>
      <c r="K470" s="31">
        <f t="shared" si="24"/>
        <v>1</v>
      </c>
      <c r="L470" s="32">
        <f t="shared" si="25"/>
        <v>0.9642857142857143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2125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2050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2125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2053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2054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2055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2056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2057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2125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2058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2125</v>
      </c>
      <c r="W479" s="70" t="s">
        <v>2125</v>
      </c>
      <c r="X479" s="70" t="s">
        <v>2125</v>
      </c>
      <c r="Y479" s="70" t="s">
        <v>2125</v>
      </c>
      <c r="Z479" s="70" t="s">
        <v>2125</v>
      </c>
      <c r="AA479" s="70" t="s">
        <v>2125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2059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2060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2061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1304</v>
      </c>
      <c r="G483" s="85"/>
      <c r="H483" s="85" t="s">
        <v>1509</v>
      </c>
      <c r="I483" s="142">
        <f t="shared" si="23"/>
        <v>28</v>
      </c>
      <c r="J483" s="147" t="s">
        <v>2062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2063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2064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1304</v>
      </c>
      <c r="G486" s="85"/>
      <c r="H486" s="85" t="s">
        <v>855</v>
      </c>
      <c r="I486" s="142">
        <f t="shared" si="23"/>
        <v>28</v>
      </c>
      <c r="J486" s="147" t="s">
        <v>2065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1304</v>
      </c>
      <c r="G489" s="30"/>
      <c r="H489" s="30" t="s">
        <v>858</v>
      </c>
      <c r="I489" s="31">
        <f t="shared" si="23"/>
        <v>22</v>
      </c>
      <c r="J489" s="147" t="s">
        <v>2068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2125</v>
      </c>
      <c r="W489" s="70" t="s">
        <v>2125</v>
      </c>
      <c r="X489" s="70" t="s">
        <v>2125</v>
      </c>
      <c r="Y489" s="70" t="s">
        <v>2125</v>
      </c>
      <c r="Z489" s="70" t="s">
        <v>2125</v>
      </c>
      <c r="AA489" s="70" t="s">
        <v>2125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1262</v>
      </c>
      <c r="H490" s="30" t="s">
        <v>859</v>
      </c>
      <c r="I490" s="31">
        <f t="shared" si="23"/>
        <v>15</v>
      </c>
      <c r="J490" s="147" t="s">
        <v>2069</v>
      </c>
      <c r="K490" s="31">
        <f t="shared" si="24"/>
        <v>13</v>
      </c>
      <c r="L490" s="32">
        <f t="shared" si="25"/>
        <v>0.5357142857142857</v>
      </c>
      <c r="M490" s="70"/>
      <c r="N490" s="70"/>
      <c r="O490" s="70"/>
      <c r="P490" s="70"/>
      <c r="Q490" s="70" t="s">
        <v>2125</v>
      </c>
      <c r="R490" s="70" t="s">
        <v>2125</v>
      </c>
      <c r="S490" s="70" t="s">
        <v>2125</v>
      </c>
      <c r="T490" s="70" t="s">
        <v>2125</v>
      </c>
      <c r="U490" s="70" t="s">
        <v>2125</v>
      </c>
      <c r="V490" s="70" t="s">
        <v>2125</v>
      </c>
      <c r="W490" s="70" t="s">
        <v>2125</v>
      </c>
      <c r="X490" s="70" t="s">
        <v>2125</v>
      </c>
      <c r="Y490" s="70" t="s">
        <v>2125</v>
      </c>
      <c r="Z490" s="70" t="s">
        <v>2125</v>
      </c>
      <c r="AA490" s="70" t="s">
        <v>2125</v>
      </c>
      <c r="AB490" s="70" t="s">
        <v>2125</v>
      </c>
      <c r="AC490" s="70" t="s">
        <v>2125</v>
      </c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20</v>
      </c>
      <c r="J491" s="147" t="s">
        <v>2070</v>
      </c>
      <c r="K491" s="31">
        <f t="shared" si="24"/>
        <v>8</v>
      </c>
      <c r="L491" s="32">
        <f t="shared" si="25"/>
        <v>0.7142857142857143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2125</v>
      </c>
      <c r="W491" s="70" t="s">
        <v>2125</v>
      </c>
      <c r="X491" s="70" t="s">
        <v>2125</v>
      </c>
      <c r="Y491" s="70" t="s">
        <v>2125</v>
      </c>
      <c r="Z491" s="70" t="s">
        <v>2125</v>
      </c>
      <c r="AA491" s="70" t="s">
        <v>2125</v>
      </c>
      <c r="AB491" s="70" t="s">
        <v>2125</v>
      </c>
      <c r="AC491" s="70" t="s">
        <v>2125</v>
      </c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2071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2125</v>
      </c>
      <c r="W492" s="70" t="s">
        <v>2125</v>
      </c>
      <c r="X492" s="70" t="s">
        <v>2125</v>
      </c>
      <c r="Y492" s="70" t="s">
        <v>2125</v>
      </c>
      <c r="Z492" s="70" t="s">
        <v>2125</v>
      </c>
      <c r="AA492" s="70" t="s">
        <v>2125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1263</v>
      </c>
      <c r="H493" s="30" t="s">
        <v>862</v>
      </c>
      <c r="I493" s="31">
        <f t="shared" si="23"/>
        <v>28</v>
      </c>
      <c r="J493" s="147" t="s">
        <v>2072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1259</v>
      </c>
      <c r="H494" s="30" t="s">
        <v>863</v>
      </c>
      <c r="I494" s="31">
        <f t="shared" si="23"/>
        <v>28</v>
      </c>
      <c r="J494" s="147" t="s">
        <v>2073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1264</v>
      </c>
      <c r="H495" s="30" t="s">
        <v>864</v>
      </c>
      <c r="I495" s="31">
        <f t="shared" si="23"/>
        <v>22</v>
      </c>
      <c r="J495" s="147" t="s">
        <v>2074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2125</v>
      </c>
      <c r="W495" s="70" t="s">
        <v>2125</v>
      </c>
      <c r="X495" s="70" t="s">
        <v>2125</v>
      </c>
      <c r="Y495" s="70" t="s">
        <v>2125</v>
      </c>
      <c r="Z495" s="70" t="s">
        <v>2125</v>
      </c>
      <c r="AA495" s="70" t="s">
        <v>2125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1265</v>
      </c>
      <c r="H496" s="30" t="s">
        <v>865</v>
      </c>
      <c r="I496" s="31">
        <f t="shared" si="23"/>
        <v>28</v>
      </c>
      <c r="J496" s="147" t="s">
        <v>2075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2125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1304</v>
      </c>
      <c r="G498" s="85"/>
      <c r="H498" s="85" t="s">
        <v>1370</v>
      </c>
      <c r="I498" s="142">
        <f t="shared" si="23"/>
        <v>28</v>
      </c>
      <c r="J498" s="147" t="s">
        <v>2076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2079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2080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2081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2125</v>
      </c>
      <c r="W503" s="70" t="s">
        <v>2125</v>
      </c>
      <c r="X503" s="70" t="s">
        <v>2125</v>
      </c>
      <c r="Y503" s="70" t="s">
        <v>2125</v>
      </c>
      <c r="Z503" s="70" t="s">
        <v>2125</v>
      </c>
      <c r="AA503" s="70" t="s">
        <v>2125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2082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2125</v>
      </c>
      <c r="W504" s="70" t="s">
        <v>2125</v>
      </c>
      <c r="X504" s="70" t="s">
        <v>2125</v>
      </c>
      <c r="Y504" s="70" t="s">
        <v>2125</v>
      </c>
      <c r="Z504" s="70" t="s">
        <v>2125</v>
      </c>
      <c r="AA504" s="70" t="s">
        <v>2125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1304</v>
      </c>
      <c r="G505" s="85"/>
      <c r="H505" s="85" t="s">
        <v>1207</v>
      </c>
      <c r="I505" s="142">
        <f t="shared" si="23"/>
        <v>28</v>
      </c>
      <c r="J505" s="147" t="s">
        <v>2083</v>
      </c>
      <c r="K505" s="142">
        <f t="shared" si="24"/>
        <v>0</v>
      </c>
      <c r="L505" s="143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1537</v>
      </c>
      <c r="C506" s="30" t="s">
        <v>1065</v>
      </c>
      <c r="D506" t="s">
        <v>1538</v>
      </c>
      <c r="E506" s="30" t="s">
        <v>1116</v>
      </c>
      <c r="F506" s="30" t="s">
        <v>28</v>
      </c>
      <c r="G506" s="30"/>
      <c r="H506" s="30" t="s">
        <v>1539</v>
      </c>
      <c r="I506" s="142">
        <f t="shared" si="23"/>
        <v>23</v>
      </c>
      <c r="J506" s="147" t="s">
        <v>2084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2125</v>
      </c>
      <c r="X506" s="70" t="s">
        <v>2125</v>
      </c>
      <c r="Y506" s="70" t="s">
        <v>2125</v>
      </c>
      <c r="Z506" s="70" t="s">
        <v>2125</v>
      </c>
      <c r="AA506" s="70" t="s">
        <v>2125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1589</v>
      </c>
      <c r="C507" s="85" t="s">
        <v>1065</v>
      </c>
      <c r="D507" s="73" t="s">
        <v>1590</v>
      </c>
      <c r="E507" s="85" t="s">
        <v>15</v>
      </c>
      <c r="F507" s="85" t="s">
        <v>1304</v>
      </c>
      <c r="G507" s="85"/>
      <c r="H507" s="85" t="s">
        <v>1591</v>
      </c>
      <c r="I507" s="142">
        <f t="shared" si="23"/>
        <v>28</v>
      </c>
      <c r="J507" s="147" t="s">
        <v>2085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1592</v>
      </c>
      <c r="C508" s="85" t="s">
        <v>1065</v>
      </c>
      <c r="D508" s="73" t="s">
        <v>1593</v>
      </c>
      <c r="E508" s="85" t="s">
        <v>15</v>
      </c>
      <c r="F508" s="85" t="s">
        <v>1304</v>
      </c>
      <c r="G508" s="85"/>
      <c r="H508" s="85" t="s">
        <v>1594</v>
      </c>
      <c r="I508" s="142">
        <f t="shared" si="23"/>
        <v>28</v>
      </c>
      <c r="J508" s="147" t="s">
        <v>2086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2088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2089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2090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2091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2092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2125</v>
      </c>
      <c r="N515" s="70" t="s">
        <v>2125</v>
      </c>
      <c r="O515" s="70" t="s">
        <v>2125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1511</v>
      </c>
      <c r="I516" s="31">
        <f t="shared" si="23"/>
        <v>28</v>
      </c>
      <c r="J516" s="147" t="s">
        <v>2093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1347</v>
      </c>
      <c r="C517" s="85" t="s">
        <v>1064</v>
      </c>
      <c r="D517" s="73" t="s">
        <v>1348</v>
      </c>
      <c r="E517" s="92" t="s">
        <v>15</v>
      </c>
      <c r="F517" s="85" t="s">
        <v>1304</v>
      </c>
      <c r="G517" s="85"/>
      <c r="H517" s="85" t="s">
        <v>1354</v>
      </c>
      <c r="I517" s="142">
        <f t="shared" si="23"/>
        <v>28</v>
      </c>
      <c r="J517" s="147" t="s">
        <v>2094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1304</v>
      </c>
      <c r="G519" s="85"/>
      <c r="H519" s="85" t="s">
        <v>1373</v>
      </c>
      <c r="I519" s="142">
        <f t="shared" ref="I519:I562" si="26">COUNTIF(M519:AN519,"")</f>
        <v>28</v>
      </c>
      <c r="J519" s="147" t="s">
        <v>2096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1304</v>
      </c>
      <c r="G520" s="85"/>
      <c r="H520" s="85" t="s">
        <v>1431</v>
      </c>
      <c r="I520" s="142">
        <f t="shared" si="26"/>
        <v>25</v>
      </c>
      <c r="J520" s="147" t="s">
        <v>2097</v>
      </c>
      <c r="K520" s="142">
        <f t="shared" si="27"/>
        <v>3</v>
      </c>
      <c r="L520" s="143">
        <f t="shared" si="28"/>
        <v>0.8928571428571429</v>
      </c>
      <c r="M520" s="70" t="s">
        <v>2125</v>
      </c>
      <c r="N520" s="70" t="s">
        <v>2125</v>
      </c>
      <c r="O520" s="70" t="s">
        <v>2125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1266</v>
      </c>
      <c r="H521" s="30" t="s">
        <v>878</v>
      </c>
      <c r="I521" s="31">
        <f t="shared" si="26"/>
        <v>27</v>
      </c>
      <c r="J521" s="147" t="s">
        <v>2098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1364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1304</v>
      </c>
      <c r="G522" s="85"/>
      <c r="H522" s="85" t="s">
        <v>1510</v>
      </c>
      <c r="I522" s="142">
        <f t="shared" si="26"/>
        <v>28</v>
      </c>
      <c r="J522" s="147" t="s">
        <v>2099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1315</v>
      </c>
      <c r="C523" t="s">
        <v>1064</v>
      </c>
      <c r="D523" t="s">
        <v>2204</v>
      </c>
      <c r="E523" s="85" t="s">
        <v>15</v>
      </c>
      <c r="F523" s="85" t="s">
        <v>1304</v>
      </c>
      <c r="G523" s="30"/>
      <c r="H523" s="30" t="s">
        <v>2205</v>
      </c>
      <c r="I523" s="31">
        <f t="shared" si="26"/>
        <v>28</v>
      </c>
      <c r="J523" s="147" t="s">
        <v>2206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2140</v>
      </c>
      <c r="C524" t="s">
        <v>1064</v>
      </c>
      <c r="D524" s="73" t="s">
        <v>2141</v>
      </c>
      <c r="E524" s="85" t="s">
        <v>15</v>
      </c>
      <c r="F524" s="85" t="s">
        <v>1304</v>
      </c>
      <c r="G524" s="30"/>
      <c r="H524" s="30" t="s">
        <v>2142</v>
      </c>
      <c r="I524" s="31">
        <f t="shared" si="26"/>
        <v>28</v>
      </c>
      <c r="J524" s="147" t="s">
        <v>2143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1304</v>
      </c>
      <c r="G525" s="85"/>
      <c r="H525" s="85" t="s">
        <v>879</v>
      </c>
      <c r="I525" s="142">
        <f t="shared" si="26"/>
        <v>28</v>
      </c>
      <c r="J525" s="147" t="s">
        <v>2100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1466</v>
      </c>
      <c r="C526" s="73" t="s">
        <v>1065</v>
      </c>
      <c r="D526" s="73" t="s">
        <v>573</v>
      </c>
      <c r="E526" s="85" t="s">
        <v>15</v>
      </c>
      <c r="F526" s="85" t="s">
        <v>1304</v>
      </c>
      <c r="G526" s="85"/>
      <c r="H526" s="85" t="s">
        <v>880</v>
      </c>
      <c r="I526" s="142">
        <f t="shared" si="26"/>
        <v>24</v>
      </c>
      <c r="J526" s="147" t="s">
        <v>2101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2125</v>
      </c>
      <c r="S526" s="70" t="s">
        <v>2125</v>
      </c>
      <c r="T526" s="70" t="s">
        <v>2125</v>
      </c>
      <c r="U526" s="70"/>
      <c r="V526" s="70"/>
      <c r="W526" s="70"/>
      <c r="X526" s="70" t="s">
        <v>2125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1304</v>
      </c>
      <c r="G527" s="85"/>
      <c r="H527" s="85" t="s">
        <v>881</v>
      </c>
      <c r="I527" s="142">
        <f t="shared" si="26"/>
        <v>28</v>
      </c>
      <c r="J527" s="147" t="s">
        <v>2102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1304</v>
      </c>
      <c r="G528" s="85"/>
      <c r="H528" s="85" t="s">
        <v>882</v>
      </c>
      <c r="I528" s="142">
        <f t="shared" si="26"/>
        <v>28</v>
      </c>
      <c r="J528" s="147" t="s">
        <v>2103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1649</v>
      </c>
      <c r="C529" s="73" t="s">
        <v>1065</v>
      </c>
      <c r="D529" s="73" t="s">
        <v>1656</v>
      </c>
      <c r="E529" s="85" t="s">
        <v>1116</v>
      </c>
      <c r="F529" s="85" t="s">
        <v>28</v>
      </c>
      <c r="G529" s="85"/>
      <c r="H529" s="85" t="s">
        <v>1651</v>
      </c>
      <c r="I529" s="142">
        <f t="shared" si="26"/>
        <v>28</v>
      </c>
      <c r="J529" s="87" t="s">
        <v>2194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2134</v>
      </c>
      <c r="C530" s="73" t="s">
        <v>1065</v>
      </c>
      <c r="D530" s="73" t="s">
        <v>2135</v>
      </c>
      <c r="E530" s="30" t="s">
        <v>15</v>
      </c>
      <c r="F530" s="85" t="s">
        <v>1304</v>
      </c>
      <c r="G530" s="85"/>
      <c r="H530" s="85" t="s">
        <v>2137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2125</v>
      </c>
      <c r="V530" s="70" t="s">
        <v>2125</v>
      </c>
      <c r="W530" s="70" t="s">
        <v>2125</v>
      </c>
      <c r="X530" s="70" t="s">
        <v>2125</v>
      </c>
      <c r="Y530" s="70" t="s">
        <v>2125</v>
      </c>
      <c r="Z530" s="70" t="s">
        <v>2125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1662</v>
      </c>
      <c r="C531" s="73" t="s">
        <v>1065</v>
      </c>
      <c r="D531" s="73" t="s">
        <v>1663</v>
      </c>
      <c r="E531" s="85" t="s">
        <v>15</v>
      </c>
      <c r="F531" s="85" t="s">
        <v>1304</v>
      </c>
      <c r="G531" s="85"/>
      <c r="H531" s="85" t="s">
        <v>1664</v>
      </c>
      <c r="I531" s="142">
        <f t="shared" si="26"/>
        <v>28</v>
      </c>
      <c r="J531" s="87" t="s">
        <v>2195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1304</v>
      </c>
      <c r="G532" s="30"/>
      <c r="H532" s="30" t="s">
        <v>883</v>
      </c>
      <c r="I532" s="31">
        <f t="shared" si="26"/>
        <v>18</v>
      </c>
      <c r="J532" s="87" t="s">
        <v>2191</v>
      </c>
      <c r="K532" s="31">
        <f t="shared" si="27"/>
        <v>10</v>
      </c>
      <c r="L532" s="32">
        <f t="shared" si="28"/>
        <v>0.6428571428571429</v>
      </c>
      <c r="M532" s="70" t="s">
        <v>2125</v>
      </c>
      <c r="N532" s="70" t="s">
        <v>2125</v>
      </c>
      <c r="O532" s="70" t="s">
        <v>2125</v>
      </c>
      <c r="P532" s="70" t="s">
        <v>2125</v>
      </c>
      <c r="Q532" s="70" t="s">
        <v>2125</v>
      </c>
      <c r="R532" s="70" t="s">
        <v>2125</v>
      </c>
      <c r="S532" s="70" t="s">
        <v>2125</v>
      </c>
      <c r="T532" s="70" t="s">
        <v>2125</v>
      </c>
      <c r="U532" s="70" t="s">
        <v>2125</v>
      </c>
      <c r="V532" s="70" t="s">
        <v>2125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2104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1304</v>
      </c>
      <c r="G534" s="30"/>
      <c r="H534" s="30" t="s">
        <v>885</v>
      </c>
      <c r="I534" s="31">
        <f t="shared" si="26"/>
        <v>18</v>
      </c>
      <c r="J534" s="87" t="s">
        <v>2192</v>
      </c>
      <c r="K534" s="31">
        <f t="shared" si="27"/>
        <v>10</v>
      </c>
      <c r="L534" s="32">
        <f t="shared" si="28"/>
        <v>0.6428571428571429</v>
      </c>
      <c r="M534" s="70" t="s">
        <v>2125</v>
      </c>
      <c r="N534" s="70" t="s">
        <v>2125</v>
      </c>
      <c r="O534" s="70" t="s">
        <v>2125</v>
      </c>
      <c r="P534" s="70" t="s">
        <v>2125</v>
      </c>
      <c r="Q534" s="70" t="s">
        <v>2125</v>
      </c>
      <c r="R534" s="70" t="s">
        <v>2125</v>
      </c>
      <c r="S534" s="70" t="s">
        <v>2125</v>
      </c>
      <c r="T534" s="70" t="s">
        <v>2125</v>
      </c>
      <c r="U534" s="70" t="s">
        <v>2125</v>
      </c>
      <c r="V534" s="70" t="s">
        <v>2125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2105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1304</v>
      </c>
      <c r="G536" s="85"/>
      <c r="H536" s="85" t="s">
        <v>887</v>
      </c>
      <c r="I536" s="142">
        <f t="shared" si="26"/>
        <v>28</v>
      </c>
      <c r="J536" s="147" t="s">
        <v>2106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2146</v>
      </c>
      <c r="B537" s="73" t="s">
        <v>2144</v>
      </c>
      <c r="C537" t="s">
        <v>1064</v>
      </c>
      <c r="D537" s="73" t="s">
        <v>2145</v>
      </c>
      <c r="E537" s="85" t="s">
        <v>15</v>
      </c>
      <c r="F537" s="85" t="s">
        <v>1304</v>
      </c>
      <c r="G537" s="85"/>
      <c r="H537" s="85" t="s">
        <v>2147</v>
      </c>
      <c r="I537" s="142">
        <f t="shared" si="26"/>
        <v>28</v>
      </c>
      <c r="J537" s="151" t="s">
        <v>2148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1401</v>
      </c>
      <c r="I538" s="31">
        <f t="shared" si="26"/>
        <v>28</v>
      </c>
      <c r="J538" s="87" t="s">
        <v>2193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2107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28</v>
      </c>
      <c r="J540" s="147" t="s">
        <v>2108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2109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1223</v>
      </c>
      <c r="I542" s="31">
        <f t="shared" si="26"/>
        <v>12</v>
      </c>
      <c r="J542" s="147" t="s">
        <v>2110</v>
      </c>
      <c r="K542" s="31">
        <f t="shared" si="27"/>
        <v>16</v>
      </c>
      <c r="L542" s="32">
        <f t="shared" si="28"/>
        <v>0.42857142857142855</v>
      </c>
      <c r="M542" s="70" t="s">
        <v>2125</v>
      </c>
      <c r="N542" s="70" t="s">
        <v>2125</v>
      </c>
      <c r="O542" s="70" t="s">
        <v>2125</v>
      </c>
      <c r="P542" s="70" t="s">
        <v>2125</v>
      </c>
      <c r="Q542" s="70" t="s">
        <v>2125</v>
      </c>
      <c r="R542" s="70" t="s">
        <v>2125</v>
      </c>
      <c r="S542" s="70"/>
      <c r="T542" s="70" t="s">
        <v>2125</v>
      </c>
      <c r="U542" s="70" t="s">
        <v>2125</v>
      </c>
      <c r="V542" s="70" t="s">
        <v>2125</v>
      </c>
      <c r="W542" s="70" t="s">
        <v>2125</v>
      </c>
      <c r="X542" s="70" t="s">
        <v>2125</v>
      </c>
      <c r="Y542" s="70" t="s">
        <v>2125</v>
      </c>
      <c r="Z542" s="70" t="s">
        <v>2125</v>
      </c>
      <c r="AA542" s="70" t="s">
        <v>2125</v>
      </c>
      <c r="AB542" s="70" t="s">
        <v>2125</v>
      </c>
      <c r="AC542" s="70" t="s">
        <v>2125</v>
      </c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2111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2112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2113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2114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1304</v>
      </c>
      <c r="G547" s="85"/>
      <c r="H547" s="85" t="s">
        <v>895</v>
      </c>
      <c r="I547" s="142">
        <f t="shared" si="26"/>
        <v>23</v>
      </c>
      <c r="J547" s="87" t="s">
        <v>2209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2125</v>
      </c>
      <c r="T547" s="70" t="s">
        <v>2125</v>
      </c>
      <c r="U547" s="70" t="s">
        <v>2125</v>
      </c>
      <c r="V547" s="70" t="s">
        <v>2125</v>
      </c>
      <c r="W547" s="70"/>
      <c r="X547" s="70" t="s">
        <v>2125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2210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2211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2116</v>
      </c>
      <c r="K551" s="31">
        <f t="shared" si="27"/>
        <v>7</v>
      </c>
      <c r="L551" s="32">
        <f t="shared" si="28"/>
        <v>0.75</v>
      </c>
      <c r="M551" s="70" t="s">
        <v>2125</v>
      </c>
      <c r="N551" s="70" t="s">
        <v>2125</v>
      </c>
      <c r="O551" s="70" t="s">
        <v>2125</v>
      </c>
      <c r="P551" s="70" t="s">
        <v>2125</v>
      </c>
      <c r="Q551" s="70" t="s">
        <v>2125</v>
      </c>
      <c r="R551" s="70" t="s">
        <v>2125</v>
      </c>
      <c r="S551" s="70" t="s">
        <v>2125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2115</v>
      </c>
      <c r="K552" s="31">
        <f t="shared" si="27"/>
        <v>7</v>
      </c>
      <c r="L552" s="32">
        <f t="shared" si="28"/>
        <v>0.75</v>
      </c>
      <c r="M552" s="70" t="s">
        <v>2125</v>
      </c>
      <c r="N552" s="70" t="s">
        <v>2125</v>
      </c>
      <c r="O552" s="70" t="s">
        <v>2125</v>
      </c>
      <c r="P552" s="70" t="s">
        <v>2125</v>
      </c>
      <c r="Q552" s="70" t="s">
        <v>2125</v>
      </c>
      <c r="R552" s="70" t="s">
        <v>2125</v>
      </c>
      <c r="S552" s="70" t="s">
        <v>2125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2117</v>
      </c>
      <c r="K553" s="31">
        <f t="shared" si="27"/>
        <v>7</v>
      </c>
      <c r="L553" s="32">
        <f t="shared" si="28"/>
        <v>0.75</v>
      </c>
      <c r="M553" s="70" t="s">
        <v>2125</v>
      </c>
      <c r="N553" s="70" t="s">
        <v>2125</v>
      </c>
      <c r="O553" s="70" t="s">
        <v>2125</v>
      </c>
      <c r="P553" s="70" t="s">
        <v>2125</v>
      </c>
      <c r="Q553" s="70" t="s">
        <v>2125</v>
      </c>
      <c r="R553" s="70" t="s">
        <v>2125</v>
      </c>
      <c r="S553" s="70" t="s">
        <v>2125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2187</v>
      </c>
      <c r="C554" s="73" t="s">
        <v>1064</v>
      </c>
      <c r="D554" t="s">
        <v>2188</v>
      </c>
      <c r="E554" s="85" t="s">
        <v>46</v>
      </c>
      <c r="F554" s="30" t="s">
        <v>28</v>
      </c>
      <c r="G554" s="30"/>
      <c r="H554" s="30" t="s">
        <v>2189</v>
      </c>
      <c r="I554" s="31">
        <f t="shared" si="26"/>
        <v>28</v>
      </c>
      <c r="J554" s="147" t="s">
        <v>2190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1304</v>
      </c>
      <c r="G555" s="85"/>
      <c r="H555" s="85" t="s">
        <v>1374</v>
      </c>
      <c r="I555" s="142">
        <f t="shared" si="26"/>
        <v>28</v>
      </c>
      <c r="J555" s="147" t="s">
        <v>2118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1304</v>
      </c>
      <c r="G556" s="85"/>
      <c r="H556" s="85" t="s">
        <v>1371</v>
      </c>
      <c r="I556" s="142">
        <f t="shared" si="26"/>
        <v>28</v>
      </c>
      <c r="J556" s="147" t="s">
        <v>2119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1304</v>
      </c>
      <c r="G557" s="85"/>
      <c r="H557" s="85" t="s">
        <v>1512</v>
      </c>
      <c r="I557" s="142">
        <f t="shared" si="26"/>
        <v>28</v>
      </c>
      <c r="J557" s="147" t="s">
        <v>2120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1304</v>
      </c>
      <c r="G558" s="85"/>
      <c r="H558" s="85" t="s">
        <v>1432</v>
      </c>
      <c r="I558" s="142">
        <f t="shared" si="26"/>
        <v>16</v>
      </c>
      <c r="J558" s="147" t="s">
        <v>2121</v>
      </c>
      <c r="K558" s="142">
        <f t="shared" si="27"/>
        <v>12</v>
      </c>
      <c r="L558" s="143">
        <f t="shared" si="28"/>
        <v>0.5714285714285714</v>
      </c>
      <c r="M558" s="70"/>
      <c r="N558" s="70"/>
      <c r="O558" s="70"/>
      <c r="P558" s="70"/>
      <c r="Q558" s="70"/>
      <c r="R558" s="70" t="s">
        <v>2125</v>
      </c>
      <c r="S558" s="70" t="s">
        <v>2125</v>
      </c>
      <c r="T558" s="70" t="s">
        <v>2125</v>
      </c>
      <c r="U558" s="70" t="s">
        <v>2125</v>
      </c>
      <c r="V558" s="70" t="s">
        <v>2125</v>
      </c>
      <c r="W558" s="70" t="s">
        <v>2125</v>
      </c>
      <c r="X558" s="70" t="s">
        <v>2125</v>
      </c>
      <c r="Y558" s="70" t="s">
        <v>2125</v>
      </c>
      <c r="Z558" s="70" t="s">
        <v>2125</v>
      </c>
      <c r="AA558" s="70" t="s">
        <v>2125</v>
      </c>
      <c r="AB558" s="70" t="s">
        <v>2125</v>
      </c>
      <c r="AC558" s="70" t="s">
        <v>2125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1450</v>
      </c>
      <c r="C559" s="73" t="s">
        <v>1064</v>
      </c>
      <c r="D559" s="73" t="s">
        <v>1451</v>
      </c>
      <c r="E559" s="85" t="s">
        <v>46</v>
      </c>
      <c r="F559" s="85" t="s">
        <v>1304</v>
      </c>
      <c r="G559" s="85"/>
      <c r="H559" s="85" t="s">
        <v>1456</v>
      </c>
      <c r="I559" s="142">
        <f t="shared" si="26"/>
        <v>28</v>
      </c>
      <c r="J559" s="147" t="s">
        <v>2122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1453</v>
      </c>
      <c r="C560" s="73" t="s">
        <v>1064</v>
      </c>
      <c r="D560" s="73" t="s">
        <v>1452</v>
      </c>
      <c r="E560" s="85" t="s">
        <v>73</v>
      </c>
      <c r="F560" s="85" t="s">
        <v>1304</v>
      </c>
      <c r="G560" s="85"/>
      <c r="H560" s="85" t="s">
        <v>1457</v>
      </c>
      <c r="I560" s="142">
        <f t="shared" si="26"/>
        <v>28</v>
      </c>
      <c r="J560" s="147" t="s">
        <v>2123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1454</v>
      </c>
      <c r="C561" s="73" t="s">
        <v>1064</v>
      </c>
      <c r="D561" s="73" t="s">
        <v>1455</v>
      </c>
      <c r="E561" s="85" t="s">
        <v>73</v>
      </c>
      <c r="F561" s="85" t="s">
        <v>1304</v>
      </c>
      <c r="G561" s="85"/>
      <c r="H561" s="85" t="s">
        <v>1458</v>
      </c>
      <c r="I561" s="142">
        <f t="shared" si="26"/>
        <v>28</v>
      </c>
      <c r="J561" s="147" t="s">
        <v>2124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2126</v>
      </c>
      <c r="C562" s="73" t="s">
        <v>1064</v>
      </c>
      <c r="D562" s="73" t="s">
        <v>2127</v>
      </c>
      <c r="E562" s="85" t="s">
        <v>15</v>
      </c>
      <c r="F562" s="85" t="s">
        <v>1304</v>
      </c>
      <c r="G562" s="85"/>
      <c r="H562" s="85" t="s">
        <v>2128</v>
      </c>
      <c r="I562" s="142">
        <f t="shared" si="26"/>
        <v>28</v>
      </c>
      <c r="J562" s="151" t="s">
        <v>2129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69" zoomScale="90" zoomScaleNormal="90" workbookViewId="0">
      <selection activeCell="B177" sqref="B177:F18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1468</v>
      </c>
      <c r="E1" s="109" t="s">
        <v>914</v>
      </c>
    </row>
    <row r="2" spans="1:6" ht="15.6" customHeight="1" thickTop="1" x14ac:dyDescent="0.25">
      <c r="A2" s="75"/>
      <c r="B2" s="52" t="s">
        <v>1245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1480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1246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1247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1480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1467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1468</v>
      </c>
      <c r="E8" s="102" t="s">
        <v>914</v>
      </c>
      <c r="F8" s="155"/>
    </row>
    <row r="9" spans="1:6" ht="15" customHeight="1" thickTop="1" thickBot="1" x14ac:dyDescent="0.3">
      <c r="A9" s="35" t="s">
        <v>1482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1482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1468</v>
      </c>
      <c r="E12" s="109" t="s">
        <v>914</v>
      </c>
    </row>
    <row r="13" spans="1:6" ht="15" customHeight="1" thickTop="1" x14ac:dyDescent="0.25">
      <c r="B13" s="52" t="s">
        <v>1245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1481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1246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1247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1481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1467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1468</v>
      </c>
      <c r="E19" s="102" t="s">
        <v>914</v>
      </c>
      <c r="F19" s="155"/>
    </row>
    <row r="20" spans="1:6" ht="16.5" thickTop="1" thickBot="1" x14ac:dyDescent="0.3">
      <c r="A20" t="s">
        <v>1483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1483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1468</v>
      </c>
      <c r="E23" s="109" t="s">
        <v>914</v>
      </c>
    </row>
    <row r="24" spans="1:6" ht="15.75" thickTop="1" x14ac:dyDescent="0.25">
      <c r="B24" s="52" t="s">
        <v>1245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1474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1246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1247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1474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1467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1468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1468</v>
      </c>
      <c r="E34" s="109" t="s">
        <v>914</v>
      </c>
    </row>
    <row r="35" spans="1:6" ht="15.75" thickTop="1" x14ac:dyDescent="0.25">
      <c r="B35" s="52" t="s">
        <v>1245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1473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1246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1247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1473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1467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1468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1468</v>
      </c>
      <c r="E45" s="109" t="s">
        <v>914</v>
      </c>
    </row>
    <row r="46" spans="1:6" ht="15.75" thickTop="1" x14ac:dyDescent="0.25">
      <c r="B46" s="52" t="s">
        <v>1245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1475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1246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1247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1475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1467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1468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1468</v>
      </c>
      <c r="E56" s="109" t="s">
        <v>914</v>
      </c>
    </row>
    <row r="57" spans="1:6" ht="15.75" thickTop="1" x14ac:dyDescent="0.25">
      <c r="B57" s="52" t="s">
        <v>1245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1476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1246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1247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1476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1467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1468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1468</v>
      </c>
      <c r="E67" s="109" t="s">
        <v>914</v>
      </c>
    </row>
    <row r="68" spans="1:6" ht="15.75" thickTop="1" x14ac:dyDescent="0.25">
      <c r="B68" s="52" t="s">
        <v>1245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1477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1246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1247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1477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1467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1468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1468</v>
      </c>
      <c r="E78" s="109" t="s">
        <v>914</v>
      </c>
    </row>
    <row r="79" spans="1:6" ht="15.75" thickTop="1" x14ac:dyDescent="0.25">
      <c r="B79" s="52" t="s">
        <v>1245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1472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1246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1247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1472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1467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1468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1468</v>
      </c>
      <c r="E89" s="109" t="s">
        <v>914</v>
      </c>
    </row>
    <row r="90" spans="1:6" ht="15.75" thickTop="1" x14ac:dyDescent="0.25">
      <c r="B90" s="52" t="s">
        <v>1245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1478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1246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1247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1478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1467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1468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1468</v>
      </c>
      <c r="E100" s="109" t="s">
        <v>914</v>
      </c>
    </row>
    <row r="101" spans="1:6" ht="15.75" thickTop="1" x14ac:dyDescent="0.25">
      <c r="B101" s="52" t="s">
        <v>1245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1479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1246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1247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1479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1467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1468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1468</v>
      </c>
      <c r="E111" s="109" t="s">
        <v>914</v>
      </c>
    </row>
    <row r="112" spans="1:6" ht="15.75" thickTop="1" x14ac:dyDescent="0.25">
      <c r="B112" s="52" t="s">
        <v>1245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1246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1247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1467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1468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1468</v>
      </c>
      <c r="E122" s="109" t="s">
        <v>914</v>
      </c>
    </row>
    <row r="123" spans="2:6" ht="15.75" thickTop="1" x14ac:dyDescent="0.25">
      <c r="B123" s="52" t="s">
        <v>1245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1246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1247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1467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1468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1468</v>
      </c>
      <c r="E133" s="109" t="s">
        <v>914</v>
      </c>
    </row>
    <row r="134" spans="2:6" ht="15.75" thickTop="1" x14ac:dyDescent="0.25">
      <c r="B134" s="52" t="s">
        <v>1245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1246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1247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1468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1468</v>
      </c>
      <c r="E144" s="109" t="s">
        <v>914</v>
      </c>
    </row>
    <row r="145" spans="2:6" ht="15.75" thickTop="1" x14ac:dyDescent="0.25">
      <c r="B145" s="52" t="s">
        <v>1245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1246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1247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1468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1468</v>
      </c>
      <c r="E155" s="109" t="s">
        <v>914</v>
      </c>
    </row>
    <row r="156" spans="2:6" ht="15.75" thickTop="1" x14ac:dyDescent="0.25">
      <c r="B156" s="52" t="s">
        <v>1245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1246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1247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1468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1468</v>
      </c>
      <c r="E166" s="109" t="s">
        <v>914</v>
      </c>
    </row>
    <row r="167" spans="2:6" ht="15.75" thickTop="1" x14ac:dyDescent="0.25">
      <c r="B167" s="52" t="s">
        <v>1245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1246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1247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1468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1468</v>
      </c>
      <c r="E177" s="109" t="s">
        <v>914</v>
      </c>
    </row>
    <row r="178" spans="2:6" ht="15.75" thickTop="1" x14ac:dyDescent="0.25">
      <c r="B178" s="52" t="s">
        <v>1245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1246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1247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1468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1468</v>
      </c>
      <c r="E188" s="109" t="s">
        <v>914</v>
      </c>
    </row>
    <row r="189" spans="2:6" ht="15.75" thickTop="1" x14ac:dyDescent="0.25">
      <c r="B189" s="52" t="s">
        <v>1245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1246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1247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1468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1468</v>
      </c>
      <c r="E199" s="109" t="s">
        <v>914</v>
      </c>
    </row>
    <row r="200" spans="2:6" ht="15.75" thickTop="1" x14ac:dyDescent="0.25">
      <c r="B200" s="52" t="s">
        <v>1245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1246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1247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1468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1468</v>
      </c>
      <c r="E210" s="109" t="s">
        <v>914</v>
      </c>
    </row>
    <row r="211" spans="2:6" ht="15.75" thickTop="1" x14ac:dyDescent="0.25">
      <c r="B211" s="52" t="s">
        <v>1245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1246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1247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1468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1468</v>
      </c>
      <c r="E222" s="109" t="s">
        <v>914</v>
      </c>
    </row>
    <row r="223" spans="2:6" ht="15.75" thickTop="1" x14ac:dyDescent="0.25">
      <c r="B223" s="52" t="s">
        <v>1245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1246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1247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1468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1468</v>
      </c>
      <c r="E234" s="109" t="s">
        <v>914</v>
      </c>
    </row>
    <row r="235" spans="2:6" ht="15.75" thickTop="1" x14ac:dyDescent="0.25">
      <c r="B235" s="52" t="s">
        <v>1245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1246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1247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1468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1468</v>
      </c>
      <c r="E246" s="109" t="s">
        <v>914</v>
      </c>
    </row>
    <row r="247" spans="2:6" ht="15.75" thickTop="1" x14ac:dyDescent="0.25">
      <c r="B247" s="52" t="s">
        <v>1245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1246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1247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1468</v>
      </c>
      <c r="E258" s="109" t="s">
        <v>914</v>
      </c>
    </row>
    <row r="259" spans="2:6" ht="15.75" thickTop="1" x14ac:dyDescent="0.25">
      <c r="B259" s="52" t="s">
        <v>1245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1246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1247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1468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1468</v>
      </c>
      <c r="E269" s="109" t="s">
        <v>914</v>
      </c>
    </row>
    <row r="270" spans="2:6" ht="15.75" thickTop="1" x14ac:dyDescent="0.25">
      <c r="B270" s="52" t="s">
        <v>1245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1246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1247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1468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1468</v>
      </c>
      <c r="E280" s="109" t="s">
        <v>914</v>
      </c>
    </row>
    <row r="281" spans="2:6" ht="15.75" thickTop="1" x14ac:dyDescent="0.25">
      <c r="B281" s="52" t="s">
        <v>1245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1246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1247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1468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1468</v>
      </c>
      <c r="E291" s="109" t="s">
        <v>914</v>
      </c>
    </row>
    <row r="292" spans="2:6" ht="15.75" thickTop="1" x14ac:dyDescent="0.25">
      <c r="B292" s="52" t="s">
        <v>1245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1246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1247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1468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1468</v>
      </c>
      <c r="E302" s="109" t="s">
        <v>914</v>
      </c>
    </row>
    <row r="303" spans="2:6" ht="15.75" thickTop="1" x14ac:dyDescent="0.25">
      <c r="B303" s="52" t="s">
        <v>1245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1246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1247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1468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1468</v>
      </c>
      <c r="E313" s="109" t="s">
        <v>914</v>
      </c>
    </row>
    <row r="314" spans="2:6" ht="15.75" thickTop="1" x14ac:dyDescent="0.25">
      <c r="B314" s="52" t="s">
        <v>1245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1246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1247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1468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1468</v>
      </c>
      <c r="E324" s="109" t="s">
        <v>914</v>
      </c>
    </row>
    <row r="325" spans="2:6" ht="15.75" thickTop="1" x14ac:dyDescent="0.25">
      <c r="B325" s="52" t="s">
        <v>1245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1246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1247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1468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1468</v>
      </c>
      <c r="E336" s="109" t="s">
        <v>914</v>
      </c>
    </row>
    <row r="337" spans="2:6" ht="15.75" thickTop="1" x14ac:dyDescent="0.25">
      <c r="B337" s="52" t="s">
        <v>1245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1246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1247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1468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1306</v>
      </c>
      <c r="D1" s="29">
        <f>COUNTIFS(A5:A602,"=paradas seguras")/2</f>
        <v>0</v>
      </c>
      <c r="E1" s="77" t="s">
        <v>1307</v>
      </c>
      <c r="F1" s="77"/>
      <c r="G1" s="77"/>
      <c r="H1" s="78">
        <f>COUNTIFS(A5:A602,"=paradas seguras")</f>
        <v>0</v>
      </c>
      <c r="I1" s="79" t="s">
        <v>1308</v>
      </c>
      <c r="J1" s="79"/>
      <c r="K1" s="80">
        <f>COUNTIFS(D5:D602,"=GFIJA")</f>
        <v>0</v>
      </c>
      <c r="L1" s="81" t="s">
        <v>1309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1305</v>
      </c>
      <c r="B642" t="s">
        <v>1341</v>
      </c>
      <c r="C642" t="s">
        <v>1340</v>
      </c>
      <c r="D642" s="30" t="s">
        <v>1310</v>
      </c>
      <c r="E642" s="30" t="s">
        <v>1304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1305</v>
      </c>
      <c r="B643" t="s">
        <v>1342</v>
      </c>
      <c r="C643" t="s">
        <v>1340</v>
      </c>
      <c r="D643" t="s">
        <v>1303</v>
      </c>
      <c r="E643" s="30" t="s">
        <v>1304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2025-10-17T11:10:49Z</dcterms:modified>
</cp:coreProperties>
</file>