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B65EDAFD-5E66-4212-9D3A-114864CEF842}" xr6:coauthVersionLast="47" xr6:coauthVersionMax="47" xr10:uidLastSave="{00000000-0000-0000-0000-000000000000}"/>
  <bookViews>
    <workbookView xWindow="-120" yWindow="-120" windowWidth="20730" windowHeight="11160" tabRatio="602" firstSheet="1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<sst xmlns="http://schemas.openxmlformats.org/spreadsheetml/2006/main" count="6376" uniqueCount="2219">
  <si>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</si>
  <si>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</si>
  <si>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</si>
  <si>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</si>
  <si>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</si>
  <si>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</si>
  <si>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</si>
  <si>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</si>
  <si>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</si>
  <si>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</si>
  <si>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</si>
  <si>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</si>
  <si>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</si>
  <si>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</si>
  <si>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</si>
  <si>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</si>
  <si>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</si>
  <si>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</si>
  <si>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</si>
  <si>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</si>
  <si>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</si>
  <si>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</si>
  <si>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</si>
  <si>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</si>
  <si>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</si>
  <si>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</si>
  <si>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</si>
  <si>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</si>
  <si>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</si>
  <si>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</si>
  <si>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</si>
  <si>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</si>
  <si>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</si>
  <si>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</si>
  <si>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</si>
  <si>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</si>
  <si>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</si>
  <si>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</si>
  <si>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</si>
  <si>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</si>
  <si>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</si>
  <si>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</si>
  <si>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</si>
  <si>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</si>
  <si>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</si>
  <si>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</si>
  <si>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</si>
  <si>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</si>
  <si>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</si>
  <si>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</si>
  <si>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</si>
  <si>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</si>
  <si>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</si>
  <si>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</si>
  <si>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</si>
  <si>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</si>
  <si>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</si>
  <si>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</si>
  <si>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</si>
  <si>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</si>
  <si>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</si>
  <si>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</si>
  <si>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</si>
  <si>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</si>
  <si>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</si>
  <si>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</si>
  <si>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</si>
  <si>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</si>
  <si>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</si>
  <si>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</si>
  <si>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</si>
  <si>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</si>
  <si>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</si>
  <si>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</si>
  <si>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</si>
  <si>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</si>
  <si>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</si>
  <si>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</si>
  <si>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</si>
  <si>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</si>
  <si>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</si>
  <si>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</si>
  <si>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</si>
  <si>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</si>
  <si>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</si>
  <si>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</si>
  <si>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</si>
  <si>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</si>
  <si>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</si>
  <si>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</si>
  <si>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</si>
  <si>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</si>
  <si>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</si>
  <si>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</si>
  <si>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</si>
  <si>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</si>
  <si>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</si>
  <si>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</si>
  <si>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</si>
  <si>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</si>
  <si>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</si>
  <si>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</si>
  <si>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</si>
  <si>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</si>
  <si>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</si>
  <si>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</si>
  <si>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</si>
  <si>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</si>
  <si>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</si>
  <si>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</si>
  <si>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</si>
  <si>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</si>
  <si>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</si>
  <si>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</si>
  <si>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</si>
  <si>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</si>
  <si>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</si>
  <si>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</si>
  <si>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</si>
  <si>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</si>
  <si>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</si>
  <si>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</si>
  <si>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</si>
  <si>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</si>
  <si>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</si>
  <si>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</si>
  <si>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</si>
  <si>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</si>
  <si>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</si>
  <si>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</si>
  <si>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</si>
  <si>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</si>
  <si>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</si>
  <si>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</si>
  <si>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</si>
  <si>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</si>
  <si>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</si>
  <si>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</si>
  <si>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</si>
  <si>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</si>
  <si>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</si>
  <si>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</si>
  <si>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</si>
  <si>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</si>
  <si>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</si>
  <si>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</si>
  <si>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</si>
  <si>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</si>
  <si>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</si>
  <si>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</si>
  <si>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</si>
  <si>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</si>
  <si>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</si>
  <si>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</si>
  <si>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</si>
  <si>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</si>
  <si>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</si>
  <si>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</si>
  <si>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</si>
  <si>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</si>
  <si>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</si>
  <si>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</si>
  <si>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</si>
  <si>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</si>
  <si>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</si>
  <si>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</si>
  <si>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</si>
  <si>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</si>
  <si>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</si>
  <si>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</si>
  <si>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</si>
  <si>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</si>
  <si>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</si>
  <si>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</si>
  <si>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</si>
  <si>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</si>
  <si>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</si>
  <si>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</si>
  <si>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</si>
  <si>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</si>
  <si>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</si>
  <si>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</si>
  <si>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</si>
  <si>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</si>
  <si>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</si>
  <si>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</si>
  <si>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</si>
  <si>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</si>
  <si>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</si>
  <si>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</si>
  <si>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</si>
  <si>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</si>
  <si>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</si>
  <si>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</si>
  <si>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</si>
  <si>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</si>
  <si>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</si>
  <si>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</si>
  <si>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</si>
  <si>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</si>
  <si>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</si>
  <si>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</si>
  <si>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</si>
  <si>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</si>
  <si>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</si>
  <si>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</si>
  <si>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</si>
  <si>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</si>
  <si>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</si>
  <si>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</si>
  <si>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</si>
  <si>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</si>
  <si>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</si>
  <si>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</si>
  <si>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</si>
  <si>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</si>
  <si>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</si>
  <si>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</si>
  <si>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</si>
  <si>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</si>
  <si>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</si>
  <si>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</si>
  <si>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</si>
  <si>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</si>
  <si>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</si>
  <si>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</si>
  <si>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</si>
  <si>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</si>
  <si>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</si>
  <si>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</si>
  <si>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</si>
  <si>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</si>
  <si>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</si>
  <si>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</si>
  <si>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</si>
  <si>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</si>
  <si>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</si>
  <si>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</si>
  <si>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</si>
  <si>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</si>
  <si>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</si>
  <si>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</si>
  <si>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</si>
  <si>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</si>
  <si>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</si>
  <si>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</si>
  <si>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</si>
  <si>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</si>
  <si>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</si>
  <si>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</si>
  <si>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</si>
  <si>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</si>
  <si>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</si>
  <si>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</si>
  <si>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</si>
  <si>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</si>
  <si>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</si>
  <si>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</si>
  <si>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</si>
  <si>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</si>
  <si>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</si>
  <si>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</si>
  <si>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</si>
  <si>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</si>
  <si>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</si>
  <si>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</si>
  <si>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</si>
  <si>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</si>
  <si>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</si>
  <si>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</si>
  <si>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</si>
  <si>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</si>
  <si>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</si>
  <si>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</si>
  <si>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</si>
  <si>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</si>
  <si>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</si>
  <si>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</si>
  <si>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</si>
  <si>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</si>
  <si>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</si>
  <si>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</si>
  <si>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</si>
  <si>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</si>
  <si>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</si>
  <si>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</si>
  <si>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</si>
  <si>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</si>
  <si>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</si>
  <si>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</si>
  <si>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</si>
  <si>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</si>
  <si>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</si>
  <si>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</si>
  <si>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</si>
  <si>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</si>
  <si>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</si>
  <si>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</si>
  <si>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</si>
  <si>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</si>
  <si>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</si>
  <si>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</si>
  <si>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</si>
  <si>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</si>
  <si>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</si>
  <si>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</si>
  <si>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</si>
  <si>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</si>
  <si>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</si>
  <si>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</si>
  <si>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</si>
  <si>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</si>
  <si>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</si>
  <si>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</si>
  <si>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</si>
  <si>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</si>
  <si>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</si>
  <si>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</si>
  <si>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</si>
  <si>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</si>
  <si>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</si>
  <si>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</si>
  <si>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</si>
  <si>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</si>
  <si>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</si>
  <si>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</si>
  <si>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</si>
  <si>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</si>
  <si>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</si>
  <si>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</si>
  <si>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</si>
  <si>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</si>
  <si>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</si>
  <si>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</si>
  <si>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</si>
  <si>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</si>
  <si>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</si>
  <si>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</si>
  <si>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</si>
  <si>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</si>
  <si>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</si>
  <si>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</si>
  <si>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</si>
  <si>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</si>
  <si>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</si>
  <si>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</si>
  <si>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</si>
  <si>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</si>
  <si>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</si>
  <si>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</si>
  <si>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</si>
  <si>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</si>
  <si>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</si>
  <si>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</si>
  <si>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</si>
  <si>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</si>
  <si>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</si>
  <si>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</si>
  <si>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</si>
  <si>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</si>
  <si>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</si>
  <si>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</si>
  <si>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</si>
  <si>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</si>
  <si>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</si>
  <si>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</si>
  <si>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</si>
  <si>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</si>
  <si>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</si>
  <si>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</si>
  <si>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</si>
  <si>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</si>
  <si>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</si>
  <si>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</si>
  <si>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</si>
  <si>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</si>
  <si>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</si>
  <si>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</si>
  <si>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</si>
  <si>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</si>
  <si>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</si>
  <si>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</si>
  <si>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</si>
  <si>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</si>
  <si>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</si>
  <si>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</si>
  <si>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</si>
  <si>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</si>
  <si>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</si>
  <si>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</si>
  <si>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</si>
  <si>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</si>
  <si>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</si>
  <si>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</si>
  <si>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</si>
  <si>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</si>
  <si>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</si>
  <si>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</si>
  <si>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</si>
  <si>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</si>
  <si>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</si>
  <si>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</si>
  <si>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</si>
  <si>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</si>
  <si>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</si>
  <si>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</si>
  <si>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</si>
  <si>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</si>
  <si>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</si>
  <si>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</si>
  <si>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</si>
  <si>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</si>
  <si>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</si>
  <si>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</si>
  <si>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</si>
  <si>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</si>
  <si>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</si>
  <si>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</si>
  <si>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</si>
  <si>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</si>
  <si>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</si>
  <si>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</si>
  <si>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</si>
  <si>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</si>
  <si>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</si>
  <si>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</si>
  <si>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</si>
  <si>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</si>
  <si>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</si>
  <si>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</si>
  <si>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</si>
  <si>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</si>
  <si>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</si>
  <si>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</si>
  <si>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</si>
  <si>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</si>
  <si>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</si>
  <si>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</si>
  <si>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</si>
  <si>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</si>
  <si>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</si>
  <si>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</si>
  <si>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</si>
  <si>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</si>
  <si>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</si>
  <si>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</si>
  <si>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</si>
  <si>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</si>
  <si>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</si>
  <si>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</si>
  <si>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</si>
  <si>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</si>
  <si>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</si>
  <si>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</si>
  <si>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</si>
  <si>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</si>
  <si>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</si>
  <si>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</si>
  <si>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</si>
  <si>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</si>
  <si>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</si>
  <si>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</si>
  <si>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</si>
  <si>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</si>
  <si>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</si>
  <si>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</si>
  <si>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</si>
  <si>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</si>
  <si>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</si>
  <si>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</si>
  <si>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</si>
  <si>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</si>
  <si>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</si>
  <si>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</si>
  <si>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</si>
  <si>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</si>
  <si>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</si>
  <si>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</si>
  <si>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</si>
  <si>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</si>
  <si>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</si>
  <si>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</si>
  <si>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</si>
  <si>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</si>
  <si>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</si>
  <si>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</si>
  <si>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</si>
  <si>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</si>
  <si>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</si>
  <si>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</si>
  <si>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</si>
  <si>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</si>
  <si>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</si>
  <si>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</si>
  <si>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</si>
  <si>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</si>
  <si>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</si>
  <si>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</si>
  <si>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</si>
  <si>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</si>
  <si>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</si>
  <si>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</si>
  <si>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</si>
  <si>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</si>
  <si>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</si>
  <si>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</si>
  <si>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</si>
  <si>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</si>
  <si>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</si>
  <si>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</si>
  <si>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</si>
  <si>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</si>
  <si>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</si>
  <si>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</si>
  <si>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</si>
  <si>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</si>
  <si>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</si>
  <si>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</si>
  <si>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</si>
  <si>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</si>
  <si>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</si>
  <si>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</si>
  <si>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</si>
  <si>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</si>
  <si>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</si>
  <si>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</si>
  <si>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</si>
  <si>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</si>
  <si>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</si>
  <si>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</si>
  <si>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</si>
  <si>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</si>
  <si>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</si>
  <si>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</si>
  <si>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</si>
  <si>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</si>
  <si>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</si>
  <si>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</si>
  <si>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</si>
  <si>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</si>
  <si>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</si>
  <si>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</si>
  <si>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</si>
  <si>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</si>
  <si>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</si>
  <si>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</si>
  <si>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</si>
  <si>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</si>
  <si>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</si>
  <si>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</si>
  <si>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</si>
  <si>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</si>
  <si>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</si>
  <si>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</si>
  <si>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</si>
  <si>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</si>
  <si>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</si>
  <si>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</si>
  <si>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</si>
  <si>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</si>
  <si>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</si>
  <si>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</si>
  <si>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</si>
  <si>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</si>
  <si>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</si>
  <si>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</si>
  <si>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</si>
  <si>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</si>
  <si>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</si>
  <si>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</si>
  <si>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</si>
  <si>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</si>
  <si>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</si>
  <si>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</si>
  <si>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</si>
  <si>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</si>
  <si>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</si>
  <si>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</si>
  <si>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</si>
  <si>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</si>
  <si>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</si>
  <si>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</si>
  <si>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</si>
  <si>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</si>
  <si>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</si>
  <si>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</si>
  <si>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</si>
  <si>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</si>
  <si>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</si>
  <si>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</si>
  <si>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</si>
  <si>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</si>
  <si>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</si>
  <si>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</si>
  <si>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</si>
  <si>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</si>
  <si>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</si>
  <si>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</si>
  <si>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</si>
  <si>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</si>
  <si>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</si>
  <si>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</si>
  <si>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</si>
  <si>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</si>
  <si>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</si>
  <si>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</si>
  <si>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</si>
  <si>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</si>
  <si>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</si>
  <si>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</si>
  <si>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</si>
  <si>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</si>
  <si>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</si>
  <si>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</si>
  <si>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</si>
  <si>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</si>
  <si>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</si>
  <si>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</si>
  <si>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</si>
  <si>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</si>
  <si>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</si>
  <si>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</si>
  <si>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</si>
  <si>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</si>
  <si>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</si>
  <si>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</si>
  <si>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</si>
  <si>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</si>
  <si>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</si>
  <si>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</si>
  <si>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</si>
  <si>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</si>
  <si>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</si>
  <si>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</si>
  <si>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</si>
  <si>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</si>
  <si>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</si>
  <si>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</si>
  <si>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</si>
  <si>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</si>
  <si>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</si>
  <si>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</si>
  <si>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</si>
  <si>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</si>
  <si>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</si>
  <si>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</si>
  <si>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</si>
  <si>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</si>
  <si>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</si>
  <si>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</si>
  <si>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</si>
  <si>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</si>
  <si>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</si>
  <si>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</si>
  <si>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</si>
  <si>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</si>
  <si>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</si>
  <si>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</si>
  <si>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</si>
  <si>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</si>
  <si>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</si>
  <si>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</si>
  <si>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</si>
  <si>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</si>
  <si>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</si>
  <si>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</si>
  <si>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</si>
  <si>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</si>
  <si>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</si>
  <si>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</si>
  <si>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</si>
  <si>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</si>
  <si>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</si>
  <si>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</si>
  <si>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</si>
  <si>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</si>
  <si>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</si>
  <si>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</si>
  <si>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</si>
  <si>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</si>
  <si>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</si>
  <si>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</si>
  <si>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</si>
  <si>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</si>
  <si>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</si>
  <si>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</si>
  <si>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</si>
  <si>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</si>
  <si>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</si>
  <si>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</si>
  <si>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</si>
  <si>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</si>
  <si>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</si>
  <si>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</si>
  <si>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</si>
  <si>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</si>
  <si>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</si>
  <si>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</si>
  <si>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</si>
  <si>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</si>
  <si>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</si>
  <si>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</si>
  <si>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</si>
  <si>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</si>
  <si>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</si>
  <si>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</si>
  <si>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</si>
  <si>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</si>
  <si>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</si>
  <si>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</si>
  <si>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</si>
  <si>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</si>
  <si>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</si>
  <si>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</si>
  <si>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</si>
  <si>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</si>
  <si>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</si>
  <si>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</si>
  <si>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</si>
  <si>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</si>
  <si>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</si>
  <si>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</si>
  <si>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</si>
  <si>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</si>
  <si>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</si>
  <si>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</si>
  <si>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</si>
  <si>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</si>
  <si>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</si>
  <si>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</si>
  <si>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</si>
  <si>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</si>
  <si>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</si>
  <si>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</si>
  <si>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</si>
  <si>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</si>
  <si>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</si>
  <si>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</si>
  <si>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</si>
  <si>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</si>
  <si>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</si>
  <si>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</si>
  <si>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</si>
  <si>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</si>
  <si>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</si>
  <si>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</si>
  <si>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</si>
  <si>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</si>
  <si>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</si>
  <si>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</si>
  <si>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</si>
  <si>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</si>
  <si>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</si>
  <si>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</si>
  <si>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</si>
  <si>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</si>
  <si>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</si>
  <si>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</si>
  <si>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</si>
  <si>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</si>
  <si>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</si>
  <si>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</si>
  <si>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</si>
  <si>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</si>
  <si>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</si>
  <si>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</si>
  <si>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</si>
  <si>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</si>
  <si>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</si>
  <si>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</si>
  <si>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</si>
  <si>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</si>
  <si>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</si>
  <si>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</si>
  <si>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</si>
  <si>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</si>
  <si>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</si>
  <si>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</si>
  <si>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</si>
  <si>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</si>
  <si>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</si>
  <si>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</si>
  <si>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</si>
  <si>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</si>
  <si>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</si>
  <si>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</si>
  <si>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</si>
  <si>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</si>
  <si>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</si>
  <si>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</si>
  <si>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</si>
  <si>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</si>
  <si>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</si>
  <si>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</si>
  <si>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</si>
  <si>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</si>
  <si>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</si>
  <si>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</si>
  <si>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</si>
  <si>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</si>
  <si>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</si>
  <si>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</si>
  <si>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</si>
  <si>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</si>
  <si>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</si>
  <si>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</si>
  <si>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</si>
  <si>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</si>
  <si>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</si>
  <si>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</si>
  <si>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</si>
  <si>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</si>
  <si>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</si>
  <si>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</si>
  <si>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</si>
  <si>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</si>
  <si>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</si>
  <si>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</si>
  <si>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</si>
  <si>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</si>
  <si>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</si>
  <si>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</si>
  <si>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</si>
  <si>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</si>
  <si>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</si>
  <si>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</si>
  <si>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</si>
  <si>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</si>
  <si>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</si>
  <si>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</si>
  <si>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</si>
  <si>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</si>
  <si>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</si>
  <si>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</si>
  <si>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</si>
  <si>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</si>
  <si>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</si>
  <si>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</si>
  <si>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</si>
  <si>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</si>
  <si>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</si>
  <si>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</si>
  <si>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</si>
  <si>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</si>
  <si>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</si>
  <si>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</si>
  <si>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</si>
  <si>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</si>
  <si>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</si>
  <si>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</si>
  <si>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</si>
  <si>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</si>
  <si>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</si>
  <si>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</si>
  <si>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</si>
  <si>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</si>
  <si>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</si>
  <si>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</si>
  <si>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</si>
  <si>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</si>
  <si>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</si>
  <si>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</si>
  <si>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</si>
  <si>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</si>
  <si>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</si>
  <si>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</si>
  <si>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</si>
  <si>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</si>
  <si>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</si>
  <si>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</si>
  <si>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</si>
  <si>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</si>
  <si>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</si>
  <si>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</si>
  <si>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</si>
  <si>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</si>
  <si>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</si>
  <si>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</si>
  <si>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</si>
  <si>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</si>
  <si>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</si>
  <si>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</si>
  <si>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</si>
  <si>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</si>
  <si>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</si>
  <si>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</si>
  <si>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</si>
  <si>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</si>
  <si>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</si>
  <si>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</si>
  <si>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</si>
  <si>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</si>
  <si>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</si>
  <si>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</si>
  <si>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</si>
  <si>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</si>
  <si>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</si>
  <si>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</si>
  <si>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</si>
  <si>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</si>
  <si>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</si>
  <si>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</si>
  <si>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</si>
  <si>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</si>
  <si>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</si>
  <si>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</si>
  <si>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</si>
  <si>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</si>
  <si>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</si>
  <si>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</si>
  <si>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</si>
  <si>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</si>
  <si>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</si>
  <si>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</si>
  <si>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</si>
  <si>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</si>
  <si>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</si>
  <si>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</si>
  <si>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</si>
  <si>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</si>
  <si>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</si>
  <si>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</si>
  <si>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</si>
  <si>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</si>
  <si>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</si>
  <si>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</si>
  <si>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</si>
  <si>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</si>
  <si>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</si>
  <si>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</si>
  <si>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</si>
  <si>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</si>
  <si>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</si>
  <si>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</si>
  <si>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</si>
  <si>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</si>
  <si>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</si>
  <si>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</si>
  <si>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</si>
  <si>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</si>
  <si>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</si>
  <si>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</si>
  <si>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</si>
  <si>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</si>
  <si>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</si>
  <si>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</si>
  <si>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</si>
  <si>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</si>
  <si>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</si>
  <si>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</si>
  <si>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</si>
  <si>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</si>
  <si>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</si>
  <si>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</si>
  <si>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</si>
  <si>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</si>
  <si>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</si>
  <si>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</si>
  <si>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</si>
  <si>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</si>
  <si>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</si>
  <si>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</si>
  <si>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</si>
  <si>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</si>
  <si>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</si>
  <si>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</si>
  <si>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</si>
  <si>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</si>
  <si>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</si>
  <si>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</si>
  <si>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</si>
  <si>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</si>
  <si>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</si>
  <si>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</si>
  <si>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</si>
  <si>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</si>
  <si>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</si>
  <si>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</si>
  <si>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</si>
  <si>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</si>
  <si>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</si>
  <si>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</si>
  <si>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</si>
  <si>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</si>
  <si>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</si>
  <si>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</si>
  <si>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</si>
  <si>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</si>
  <si>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</si>
  <si>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</si>
  <si>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</si>
  <si>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</si>
  <si>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</si>
  <si>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</si>
  <si>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</si>
  <si>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</si>
  <si>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</si>
  <si>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</si>
  <si>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</si>
  <si>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</si>
  <si>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</si>
  <si>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</si>
  <si>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</si>
  <si>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</si>
  <si>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</si>
  <si>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</si>
  <si>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</si>
  <si>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</si>
  <si>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</si>
  <si>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</si>
  <si>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</si>
  <si>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</si>
  <si>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</si>
  <si>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</si>
  <si>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</si>
  <si>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</si>
  <si>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</si>
  <si>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</si>
  <si>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</si>
  <si>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</si>
  <si>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</si>
  <si>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</si>
  <si>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</si>
  <si>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</si>
  <si>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</si>
  <si>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</si>
  <si>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</si>
  <si>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</si>
  <si>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</si>
  <si>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</si>
  <si>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</si>
  <si>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</si>
  <si>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</si>
  <si>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</si>
  <si>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</si>
  <si>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</si>
  <si>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</si>
  <si>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</si>
  <si>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</si>
  <si>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</si>
  <si>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</si>
  <si>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</si>
  <si>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</si>
  <si>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</si>
  <si>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</si>
  <si>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</si>
  <si>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</si>
  <si>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</si>
  <si>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</si>
  <si>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</si>
  <si>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</si>
  <si>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</si>
  <si>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</si>
  <si>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</si>
  <si>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</si>
  <si>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</si>
  <si>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</si>
  <si>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</si>
  <si>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</si>
  <si>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</si>
  <si>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</si>
  <si>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</si>
  <si>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</si>
  <si>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</si>
  <si>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</si>
  <si>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</si>
  <si>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</si>
  <si>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</si>
  <si>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</si>
  <si>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</si>
  <si>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</si>
  <si>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</si>
  <si>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</si>
  <si>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</si>
  <si>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</si>
  <si>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</si>
  <si>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</si>
  <si>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</si>
  <si>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</si>
  <si>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</si>
  <si>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</si>
  <si>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</si>
  <si>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</si>
  <si>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</si>
  <si>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</si>
  <si>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</si>
  <si>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</si>
  <si>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</si>
  <si>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</si>
  <si>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</si>
  <si>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</si>
  <si>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</si>
  <si>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</si>
  <si>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</si>
  <si>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</si>
  <si>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</si>
  <si>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</si>
  <si>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</si>
  <si>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</si>
  <si>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</si>
  <si>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</si>
  <si>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</si>
  <si>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</si>
  <si>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</si>
  <si>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</si>
  <si>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</si>
  <si>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</si>
  <si>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</si>
  <si>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</si>
  <si>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</si>
  <si>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</si>
  <si>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</si>
  <si>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</si>
  <si>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</si>
  <si>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</si>
  <si>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</si>
  <si>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</si>
  <si>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</si>
  <si>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</si>
  <si>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</si>
  <si>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</si>
  <si>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</si>
  <si>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</si>
  <si>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</si>
  <si>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</si>
  <si>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</si>
  <si>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</si>
  <si>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</si>
  <si>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</si>
  <si>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</si>
  <si>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</si>
  <si>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</si>
  <si>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</si>
  <si>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</si>
  <si>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</si>
  <si>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</si>
  <si>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</si>
  <si>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</si>
  <si>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</si>
  <si>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</si>
  <si>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</si>
  <si>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</si>
  <si>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</si>
  <si>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</si>
  <si>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</si>
  <si>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</si>
  <si>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</si>
  <si>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</si>
  <si>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</si>
  <si>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</si>
  <si>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</si>
  <si>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</si>
  <si>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</si>
  <si>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</si>
  <si>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</si>
  <si>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</si>
  <si>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</si>
  <si>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</si>
  <si>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</si>
  <si>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</si>
  <si>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</si>
  <si>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</si>
  <si>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</si>
  <si>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</si>
  <si>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</si>
  <si>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</si>
  <si>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</si>
  <si>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</si>
  <si>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</si>
  <si>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</si>
  <si>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</si>
  <si>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</si>
  <si>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</si>
  <si>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</si>
  <si>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</si>
  <si>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</si>
  <si>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</si>
  <si>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</si>
  <si>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</si>
  <si>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</si>
  <si>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</si>
  <si>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</si>
  <si>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</si>
  <si>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</si>
  <si>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</si>
  <si>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</si>
  <si>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</si>
  <si>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</si>
  <si>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</si>
  <si>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</si>
  <si>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</si>
  <si>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</si>
  <si>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</si>
  <si>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</si>
  <si>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</si>
  <si>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</si>
  <si>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</si>
  <si>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</si>
  <si>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</si>
  <si>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</si>
  <si>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</si>
  <si>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</si>
  <si>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</si>
  <si>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</si>
  <si>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</si>
  <si>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</si>
  <si>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</si>
  <si>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</si>
  <si>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</si>
  <si>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</si>
  <si>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</si>
  <si>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</si>
  <si>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</si>
  <si>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</si>
  <si>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</si>
  <si>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</si>
  <si>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</si>
  <si>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</si>
  <si>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</si>
  <si>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</si>
  <si>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</si>
  <si>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</si>
  <si>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</si>
  <si>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</si>
  <si>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</si>
  <si>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</si>
  <si>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</si>
  <si>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</si>
  <si>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</si>
  <si>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</si>
  <si>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</si>
  <si>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</si>
  <si>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</si>
  <si>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</si>
  <si>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</si>
  <si>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</si>
  <si>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</si>
  <si>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</si>
  <si>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</si>
  <si>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</si>
  <si>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</si>
  <si>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</si>
  <si>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</si>
  <si>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</si>
  <si>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</si>
  <si>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</si>
  <si>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</si>
  <si>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</si>
  <si>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</si>
  <si>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</si>
  <si>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</si>
  <si>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</si>
  <si>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</si>
  <si>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</si>
  <si>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</si>
  <si>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</si>
  <si>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</si>
  <si>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</si>
  <si>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</si>
  <si>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</si>
  <si>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</si>
  <si>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</si>
  <si>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</si>
  <si>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</si>
  <si>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</si>
  <si>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</si>
  <si>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</si>
  <si>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</si>
  <si>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</si>
  <si>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</si>
  <si>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</si>
  <si>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</si>
  <si>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</si>
  <si>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</si>
  <si>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</si>
  <si>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</si>
  <si>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</si>
  <si>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</si>
  <si>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</si>
  <si>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</si>
  <si>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</si>
  <si>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</si>
  <si>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</si>
  <si>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</si>
  <si>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</si>
  <si>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</si>
  <si>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</si>
  <si>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</si>
  <si>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</si>
  <si>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</si>
  <si>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</si>
  <si>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</si>
  <si>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</si>
  <si>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</si>
  <si>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</si>
  <si>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</si>
  <si>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</si>
  <si>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</si>
  <si>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</si>
  <si>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</si>
  <si>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</si>
  <si>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</si>
  <si>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</si>
  <si>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</si>
  <si>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</si>
  <si>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</si>
  <si>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</si>
  <si>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</si>
  <si>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</si>
  <si>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</si>
  <si>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</si>
  <si>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</si>
  <si>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</si>
  <si>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</si>
  <si>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</si>
  <si>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</si>
  <si>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</si>
  <si>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</si>
  <si>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</si>
  <si>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</si>
  <si>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</si>
  <si>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</si>
  <si>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</si>
  <si>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</si>
  <si>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</si>
  <si>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</si>
  <si>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</si>
  <si>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</si>
  <si>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</si>
  <si>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</si>
  <si>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</si>
  <si>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</si>
  <si>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</si>
  <si>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</si>
  <si>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</si>
  <si>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</si>
  <si>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</si>
  <si>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</si>
  <si>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</si>
  <si>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</si>
  <si>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</si>
  <si>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</si>
  <si>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</si>
  <si>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</si>
  <si>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</si>
  <si>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</si>
  <si>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</si>
  <si>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</si>
  <si>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</si>
  <si>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</si>
  <si>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</si>
  <si>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</si>
  <si>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</si>
  <si>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</si>
  <si>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</si>
  <si>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</si>
  <si>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</si>
  <si>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</si>
  <si>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</si>
  <si>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</si>
  <si>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</si>
  <si>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</si>
  <si>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</si>
  <si>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</si>
  <si>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</si>
  <si>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</si>
  <si>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</si>
  <si>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</si>
  <si>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</si>
  <si>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</si>
  <si>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</si>
  <si>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</si>
  <si>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</si>
  <si>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</si>
  <si>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</si>
  <si>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</si>
  <si>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</si>
  <si>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</si>
  <si>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</si>
  <si>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</si>
  <si>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</si>
  <si>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</si>
  <si>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</si>
  <si>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</si>
  <si>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</si>
  <si>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</si>
  <si>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</si>
  <si>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</si>
  <si>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</si>
  <si>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</si>
  <si>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</si>
  <si>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</si>
  <si>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</si>
  <si>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</si>
  <si>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</si>
  <si>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</si>
  <si>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</si>
  <si>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</si>
  <si>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</si>
  <si>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</si>
  <si>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</si>
  <si>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</si>
  <si>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</si>
  <si>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</si>
  <si>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</si>
  <si>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</si>
  <si>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</si>
  <si>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</si>
  <si>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</si>
  <si>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</si>
  <si>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</si>
  <si>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</si>
  <si>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</si>
  <si>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</si>
  <si>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</si>
  <si>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</si>
  <si>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</si>
  <si>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</si>
  <si>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</si>
  <si>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</si>
  <si>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</si>
  <si>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</si>
  <si>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</si>
  <si>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</si>
  <si>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</si>
  <si>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</si>
  <si>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</si>
  <si>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</si>
  <si>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</si>
  <si>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</si>
  <si>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</si>
  <si>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</si>
  <si>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</si>
  <si>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</si>
  <si>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</si>
  <si>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</si>
  <si>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</si>
  <si>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</si>
  <si>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</si>
  <si>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</si>
  <si>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</si>
  <si>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</si>
  <si>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</si>
  <si>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</si>
  <si>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</si>
  <si>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</si>
  <si>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</si>
  <si>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</si>
  <si>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</si>
  <si>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</si>
  <si>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</si>
  <si>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</si>
  <si>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</si>
  <si>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</si>
  <si>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</si>
  <si>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</si>
  <si>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</si>
  <si>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</si>
  <si>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</si>
  <si>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</si>
  <si>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</si>
  <si>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</si>
  <si>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</si>
  <si>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</si>
  <si>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</si>
  <si>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</si>
  <si>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</si>
  <si>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</si>
  <si>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</si>
  <si>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</si>
  <si>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</si>
  <si>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</si>
  <si>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</si>
  <si>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</si>
  <si>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</si>
  <si>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</si>
  <si>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</si>
  <si>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</si>
  <si>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</si>
  <si>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</si>
  <si>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</si>
  <si>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</si>
  <si>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</si>
  <si>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</si>
  <si>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</si>
  <si>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</si>
  <si>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</si>
  <si>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</si>
  <si>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</si>
  <si>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</si>
  <si>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</si>
  <si>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</si>
  <si>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</si>
  <si>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</si>
  <si>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</si>
  <si>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</si>
  <si>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</si>
  <si>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</si>
  <si>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</si>
  <si>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</si>
  <si>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</si>
  <si>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</si>
  <si>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</si>
  <si>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</si>
  <si>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</si>
  <si>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</si>
  <si>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</si>
  <si>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</si>
  <si>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</si>
  <si>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</si>
  <si>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</si>
  <si>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</si>
  <si>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</si>
  <si>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</si>
  <si>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</si>
  <si>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</si>
  <si>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</si>
  <si>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</si>
  <si>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</si>
  <si>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</si>
  <si>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</si>
  <si>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</si>
  <si>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</si>
  <si>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</si>
  <si>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</si>
  <si>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</si>
  <si>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</si>
  <si>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</si>
  <si>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</si>
  <si>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</si>
  <si>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</si>
  <si>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</si>
  <si>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</si>
  <si>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</si>
  <si>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</si>
  <si>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</si>
  <si>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</si>
  <si>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</si>
  <si>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</si>
  <si>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</si>
  <si>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</si>
  <si>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</si>
  <si>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</si>
  <si>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</si>
  <si>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</si>
  <si>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</si>
  <si>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</si>
  <si>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</si>
  <si>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</si>
  <si>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</si>
  <si>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</si>
  <si>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</si>
  <si>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</si>
  <si>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</si>
  <si>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</si>
  <si>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</si>
  <si>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</si>
  <si>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</si>
  <si>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</si>
  <si>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</si>
  <si>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</si>
  <si>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</si>
  <si>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</si>
  <si>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</si>
  <si>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</si>
  <si>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</si>
  <si>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</si>
  <si>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</si>
  <si>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</si>
  <si>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</si>
  <si>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</si>
  <si>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</si>
  <si>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</si>
  <si>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</si>
  <si>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</si>
  <si>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</si>
  <si>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</si>
  <si>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</si>
  <si>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</si>
  <si>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</si>
  <si>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</si>
  <si>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</si>
  <si>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</si>
  <si>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</si>
  <si>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</si>
  <si>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</si>
  <si>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</si>
  <si>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</si>
  <si>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</si>
  <si>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</si>
  <si>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</si>
  <si>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</si>
  <si>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</si>
  <si>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</si>
  <si>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</si>
  <si>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</si>
  <si>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</si>
  <si>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</si>
  <si>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</si>
  <si>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</si>
  <si>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</si>
  <si>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</si>
  <si>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</si>
  <si>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</si>
  <si>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</si>
  <si>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</si>
  <si>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</si>
  <si>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</si>
  <si>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</si>
  <si>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</si>
  <si>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</si>
  <si>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</si>
  <si>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</si>
  <si>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</si>
  <si>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</si>
  <si>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</si>
  <si>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</si>
  <si>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</si>
  <si>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</si>
  <si>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</si>
  <si>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</si>
  <si>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</si>
  <si>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</si>
  <si>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</si>
  <si>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</si>
  <si>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</si>
  <si>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</si>
  <si>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</si>
  <si>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</si>
  <si>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</si>
  <si>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</si>
  <si>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</si>
  <si>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</si>
  <si>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</si>
  <si>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</si>
  <si>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</si>
  <si>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</si>
  <si>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</si>
  <si>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</si>
  <si>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</si>
  <si>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</si>
  <si>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</si>
  <si>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</si>
  <si>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</si>
  <si>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</si>
  <si>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</si>
  <si>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</si>
  <si>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</si>
  <si>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</si>
  <si>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</si>
  <si>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</si>
  <si>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</si>
  <si>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</si>
  <si>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</si>
  <si>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</si>
  <si>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</si>
  <si>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</si>
  <si>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</si>
  <si>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</si>
  <si>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</si>
  <si>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</si>
  <si>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</si>
  <si>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</si>
  <si>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</si>
  <si>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</si>
  <si>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</si>
  <si>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</si>
  <si>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</si>
  <si>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</si>
  <si>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</si>
  <si>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</si>
  <si>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</si>
  <si>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</si>
  <si>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</si>
  <si>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</si>
  <si>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</si>
  <si>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</si>
  <si>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</si>
  <si>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</si>
  <si>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</si>
  <si>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</si>
  <si>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</si>
  <si>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</si>
  <si>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</si>
  <si>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</si>
  <si>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</si>
  <si>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</si>
  <si>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</si>
  <si>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</si>
  <si>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</si>
  <si>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</si>
  <si>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</si>
  <si>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</si>
  <si>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</si>
  <si>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</si>
  <si>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</si>
  <si>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</si>
  <si>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</si>
  <si>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</si>
  <si>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</si>
  <si>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</si>
  <si>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</si>
  <si>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</si>
  <si>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</si>
  <si>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</si>
  <si>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</si>
  <si>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</si>
  <si>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</si>
  <si>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</si>
  <si>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</si>
  <si>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</si>
  <si>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</si>
  <si>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</si>
  <si>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</si>
  <si>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</si>
  <si>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</si>
  <si>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</si>
  <si>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</si>
  <si>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</si>
  <si>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</si>
  <si>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</si>
  <si>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</si>
  <si>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</si>
  <si>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</si>
  <si>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</si>
  <si>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</si>
  <si>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</si>
  <si>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</si>
  <si>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</si>
  <si>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</si>
  <si>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</si>
  <si>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</si>
  <si>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</si>
  <si>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</si>
  <si>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</si>
  <si>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</si>
  <si>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</si>
  <si>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</si>
  <si>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</si>
  <si>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</si>
  <si>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</si>
  <si>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</si>
  <si>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</si>
  <si>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</si>
  <si>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</si>
  <si>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</si>
  <si>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</si>
  <si>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</si>
  <si>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</si>
  <si>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</si>
  <si>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</si>
  <si>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</si>
  <si>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</si>
  <si>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</si>
  <si>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</si>
  <si>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</si>
  <si>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</si>
  <si>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</si>
  <si>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</si>
  <si>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</si>
  <si>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</si>
  <si>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</si>
  <si>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</si>
  <si>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</si>
  <si>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</si>
  <si>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</si>
  <si>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</si>
  <si>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</si>
  <si>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</si>
  <si>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</si>
  <si>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</si>
  <si>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</si>
  <si>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</si>
  <si>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</si>
  <si>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</si>
  <si>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</si>
  <si>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</si>
  <si>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</si>
  <si>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</si>
  <si>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</si>
  <si>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</si>
  <si>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</si>
  <si>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</si>
  <si>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</si>
  <si>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</si>
  <si>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</si>
  <si>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</si>
  <si>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</si>
  <si>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</si>
  <si>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</si>
  <si>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</si>
  <si>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</si>
  <si>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</si>
  <si>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</si>
  <si>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</si>
  <si>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</si>
  <si>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</si>
  <si>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</si>
  <si>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</si>
  <si>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</si>
  <si>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</si>
  <si>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</si>
  <si>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</si>
  <si>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</si>
  <si>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</si>
  <si>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</si>
  <si>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</si>
  <si>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</si>
  <si>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</si>
  <si>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</si>
  <si>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</si>
  <si>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</si>
  <si>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</si>
  <si>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</si>
  <si>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</si>
  <si>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</si>
  <si>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</si>
  <si>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</si>
  <si>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</si>
  <si>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</si>
  <si>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</si>
  <si>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</si>
  <si>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</si>
  <si>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</si>
  <si>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</si>
  <si>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</si>
  <si>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</si>
  <si>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</si>
  <si>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</si>
  <si>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</si>
  <si>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</si>
  <si>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</si>
  <si>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</si>
  <si>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</si>
  <si>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</si>
  <si>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</si>
  <si>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</si>
  <si>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</si>
  <si>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</si>
  <si>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</si>
  <si>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</si>
  <si>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</si>
  <si>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</si>
  <si>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</si>
  <si>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</si>
  <si>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</si>
  <si>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</si>
  <si>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</si>
  <si>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</si>
  <si>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</si>
  <si>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</si>
  <si>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</si>
  <si>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</si>
  <si>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</si>
  <si>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</si>
  <si>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</si>
  <si>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</si>
  <si>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</si>
  <si>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</si>
  <si>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</si>
  <si>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</si>
  <si>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</si>
  <si>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</si>
  <si>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</si>
  <si>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</si>
  <si>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</si>
  <si>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</si>
  <si>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</si>
  <si>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</si>
  <si>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</si>
  <si>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</si>
  <si>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</si>
  <si>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</si>
  <si>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</si>
  <si>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</si>
  <si>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</si>
  <si>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</si>
  <si>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</si>
  <si>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</si>
  <si>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</si>
  <si>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</si>
  <si>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</si>
  <si>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</si>
  <si>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</si>
  <si>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</si>
  <si>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</si>
  <si>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</si>
  <si>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</si>
  <si>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</si>
  <si>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</si>
  <si>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</si>
  <si>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</si>
  <si>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</si>
  <si>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</si>
  <si>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</si>
  <si>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</si>
  <si>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</si>
  <si>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</si>
  <si>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</si>
  <si>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</si>
  <si>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</si>
  <si>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</si>
  <si>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</si>
  <si>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</si>
  <si>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</si>
  <si>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</si>
  <si>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</si>
  <si>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</si>
  <si>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</si>
  <si>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</si>
  <si>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</si>
  <si>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</si>
  <si>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</si>
  <si>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</si>
  <si>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</si>
  <si>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</si>
  <si>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</si>
  <si>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</si>
  <si>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</si>
  <si>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</si>
  <si>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</si>
  <si>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</si>
  <si>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</si>
  <si>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</si>
  <si>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</si>
  <si>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</si>
  <si>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</si>
  <si>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</si>
  <si>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</si>
  <si>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</si>
  <si>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</si>
  <si>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</si>
  <si>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</si>
  <si>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</si>
  <si>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</si>
  <si>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</si>
  <si>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</si>
  <si>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</si>
  <si>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</si>
  <si>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</si>
  <si>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</si>
  <si>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</si>
  <si>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</si>
  <si>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</si>
  <si>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</si>
  <si>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</si>
  <si>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</si>
  <si>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</si>
  <si>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</si>
  <si>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</si>
  <si>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</si>
  <si>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</si>
  <si>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</si>
  <si>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</si>
  <si>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</si>
  <si>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</si>
  <si>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</si>
  <si>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</si>
  <si>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</si>
  <si>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</si>
  <si>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</si>
  <si>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</si>
  <si>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</si>
  <si>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</si>
  <si>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</si>
  <si>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</si>
  <si>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</si>
  <si>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</si>
  <si>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</si>
  <si>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</si>
  <si>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</si>
  <si>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</si>
  <si>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</si>
  <si>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</si>
  <si>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</si>
  <si>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</si>
  <si>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</si>
  <si>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</si>
  <si>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</si>
  <si>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</si>
  <si>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</si>
  <si>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</si>
  <si>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</si>
  <si>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</si>
  <si>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</si>
  <si>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</si>
  <si>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</si>
  <si>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</si>
  <si>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</si>
  <si>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</si>
  <si>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</si>
  <si>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</si>
  <si>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</si>
  <si>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</si>
  <si>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</si>
  <si>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</si>
  <si>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</si>
  <si>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</si>
  <si>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</si>
  <si>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</si>
  <si>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</si>
  <si>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</si>
  <si>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</si>
  <si>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</si>
  <si>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</si>
  <si>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</si>
  <si>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</si>
  <si>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</si>
  <si>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</si>
  <si>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</si>
  <si>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</si>
  <si>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</si>
  <si>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</si>
  <si>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</si>
  <si>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</si>
  <si>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</si>
  <si>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</si>
  <si>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</si>
  <si>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</si>
  <si>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</si>
  <si>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</si>
  <si>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</si>
  <si>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</si>
  <si>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</si>
  <si>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</si>
  <si>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</si>
  <si>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</si>
  <si>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</si>
  <si>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</si>
  <si>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</si>
  <si>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</si>
  <si>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</si>
  <si>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</si>
  <si>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</si>
  <si>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</si>
  <si>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</si>
  <si>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</si>
  <si>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</si>
  <si>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</si>
  <si>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</si>
  <si>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</si>
  <si>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</si>
  <si>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</si>
  <si>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</si>
  <si>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</si>
  <si>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</si>
  <si>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</si>
  <si>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</si>
  <si>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</si>
  <si>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</si>
  <si>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</si>
  <si>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</si>
  <si>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</si>
  <si>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</si>
  <si>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</si>
  <si>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</si>
  <si>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</si>
  <si>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</si>
  <si>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</si>
  <si>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</si>
  <si>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</si>
  <si>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</si>
  <si>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</si>
  <si>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</si>
  <si>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</si>
  <si>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</si>
  <si>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</si>
  <si>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</si>
  <si>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</si>
  <si>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</si>
  <si>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</si>
  <si>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</si>
  <si>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</si>
  <si>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</si>
  <si>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</si>
  <si>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</si>
  <si>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</si>
  <si>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</si>
  <si>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</si>
  <si>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</si>
  <si>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</si>
  <si>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</si>
  <si>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</si>
  <si>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</si>
  <si>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</si>
  <si>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</si>
  <si>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</si>
  <si>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</si>
  <si>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</si>
  <si>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</si>
  <si>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</si>
  <si>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</si>
  <si>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</si>
  <si>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</si>
  <si>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</si>
  <si>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</si>
  <si>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</si>
  <si>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</si>
  <si>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</si>
  <si>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</si>
  <si>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</si>
  <si>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</si>
  <si>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</si>
  <si>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</si>
  <si>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</si>
  <si>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</si>
  <si>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</si>
  <si>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</si>
  <si>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</si>
  <si>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</si>
  <si>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</si>
  <si>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</si>
  <si>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</si>
  <si>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</si>
  <si>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</si>
  <si>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</si>
  <si>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</si>
  <si>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</si>
  <si>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</si>
  <si>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</si>
  <si>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</si>
  <si>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</si>
  <si>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</si>
  <si>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</si>
  <si>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</si>
  <si>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</si>
  <si>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</si>
  <si>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</si>
  <si>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</si>
  <si>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</si>
  <si>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</si>
  <si>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</si>
  <si>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</si>
  <si>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</si>
  <si>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</si>
  <si>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</si>
  <si>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</si>
  <si>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</si>
  <si>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</si>
  <si>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</si>
  <si>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</si>
  <si>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</si>
  <si>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</si>
  <si>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</si>
  <si>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</si>
  <si>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</si>
  <si>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</si>
  <si>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</si>
  <si>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</si>
  <si>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</si>
  <si>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</si>
  <si>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</si>
  <si>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</si>
  <si>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</si>
  <si>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</si>
  <si>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</si>
  <si>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</si>
  <si>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</si>
  <si>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</si>
  <si>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</si>
  <si>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</si>
  <si>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</si>
  <si>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</si>
  <si>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</si>
  <si>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</si>
  <si>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</si>
  <si>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</si>
  <si>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</si>
  <si>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</si>
  <si>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</si>
  <si>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</si>
  <si>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</si>
  <si>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</si>
  <si>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</si>
  <si>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</si>
  <si>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</si>
  <si>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</si>
  <si>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</si>
  <si>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</si>
  <si>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</si>
  <si>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</si>
  <si>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</si>
  <si>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</si>
  <si>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</si>
  <si>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</si>
  <si>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</si>
  <si>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</si>
  <si>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</si>
  <si>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</si>
  <si>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</si>
  <si>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</si>
  <si>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</si>
  <si>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</si>
  <si>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</si>
  <si>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</si>
  <si>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</si>
  <si>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</si>
  <si>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</si>
  <si>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</si>
  <si>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</si>
  <si>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</si>
  <si>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</si>
  <si>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</si>
  <si>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</si>
  <si>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</si>
  <si>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</si>
  <si>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</si>
  <si>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</si>
  <si>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</si>
  <si>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</si>
  <si>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</si>
  <si>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</si>
  <si>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</si>
  <si>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</si>
  <si>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</si>
  <si>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</si>
  <si>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</si>
  <si>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11.35%</t>
  </si>
  <si>
    <t>172.20.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</si>
</sst>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16</c:v>
                </c:pt>
                <c:pt idx="27">
                  <c:v>19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27</c:v>
                </c:pt>
                <c:pt idx="27">
                  <c:v>24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5.3691275167785234E-2</c:v>
                      </c:pt>
                      <c:pt idx="27">
                        <c:v>6.3758389261744972E-2</c:v>
                      </c:pt>
                      <c:pt idx="28">
                        <c:v>6.7114093959731544E-2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0.10546875</c:v>
                      </c:pt>
                      <c:pt idx="27">
                        <c:v>9.375E-2</c:v>
                      </c:pt>
                      <c:pt idx="28">
                        <c:v>9.375E-2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5.3691275167785234E-2</c:v>
                </c:pt>
                <c:pt idx="27">
                  <c:v>6.3758389261744972E-2</c:v>
                </c:pt>
                <c:pt idx="28">
                  <c:v>6.7114093959731544E-2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0.10546875</c:v>
                </c:pt>
                <c:pt idx="27">
                  <c:v>9.375E-2</c:v>
                </c:pt>
                <c:pt idx="28">
                  <c:v>9.375E-2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16</c:v>
                      </c:pt>
                      <c:pt idx="27">
                        <c:v>19</c:v>
                      </c:pt>
                      <c:pt idx="28">
                        <c:v>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27</c:v>
                      </c:pt>
                      <c:pt idx="27">
                        <c:v>24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16</c:v>
                </c:pt>
                <c:pt idx="27">
                  <c:v>19</c:v>
                </c:pt>
                <c:pt idx="2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27</c:v>
                </c:pt>
                <c:pt idx="27">
                  <c:v>24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5.3691275167785234E-2</c:v>
                      </c:pt>
                      <c:pt idx="27">
                        <c:v>6.3758389261744972E-2</c:v>
                      </c:pt>
                      <c:pt idx="28">
                        <c:v>6.7114093959731544E-2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0.10546875</c:v>
                      </c:pt>
                      <c:pt idx="27">
                        <c:v>9.375E-2</c:v>
                      </c:pt>
                      <c:pt idx="28">
                        <c:v>9.375E-2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5.3691275167785234E-2</c:v>
                </c:pt>
                <c:pt idx="27">
                  <c:v>6.3758389261744972E-2</c:v>
                </c:pt>
                <c:pt idx="28">
                  <c:v>6.7114093959731544E-2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0.10546875</c:v>
                </c:pt>
                <c:pt idx="27">
                  <c:v>9.375E-2</c:v>
                </c:pt>
                <c:pt idx="28">
                  <c:v>9.375E-2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16</c:v>
                      </c:pt>
                      <c:pt idx="27">
                        <c:v>19</c:v>
                      </c:pt>
                      <c:pt idx="28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27</c:v>
                      </c:pt>
                      <c:pt idx="27">
                        <c:v>24</c:v>
                      </c:pt>
                      <c:pt idx="28">
                        <c:v>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zoomScale="55" zoomScaleNormal="55" workbookViewId="0">
      <pane xSplit="12" ySplit="7" topLeftCell="AP8" activePane="bottomRight" state="frozen"/>
      <selection pane="topRight" activeCell="M1" sqref="M1"/>
      <selection pane="bottomLeft" activeCell="A5" sqref="A5"/>
      <selection pane="bottomRight" activeCell="C7" sqref="C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7.3455759599332218E-2</v>
      </c>
      <c r="AI1" s="3">
        <f t="shared" si="1"/>
        <v>7.6539101497504161E-2</v>
      </c>
      <c r="AJ1" s="3">
        <f t="shared" si="1"/>
        <v>0.11764705882352941</v>
      </c>
      <c r="AK1" s="3">
        <f t="shared" si="1"/>
        <v>6.879194630872483E-2</v>
      </c>
      <c r="AL1" s="3">
        <f t="shared" si="1"/>
        <v>9.3137254901960786E-2</v>
      </c>
      <c r="AM1" s="3">
        <f t="shared" si="1"/>
        <v>7.1906354515050161E-2</v>
      </c>
      <c r="AN1" s="3">
        <f t="shared" si="1"/>
        <v>8.1125827814569534E-2</v>
      </c>
      <c r="AO1" s="3">
        <f t="shared" si="1"/>
        <v>7.3455759599332218E-2</v>
      </c>
      <c r="AP1" s="3">
        <f t="shared" si="1"/>
        <v>7.3455759599332218E-2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44</v>
      </c>
      <c r="AI3" s="126">
        <f t="shared" si="4"/>
        <v>46</v>
      </c>
      <c r="AJ3" s="126">
        <f t="shared" si="4"/>
        <v>74</v>
      </c>
      <c r="AK3" s="126">
        <f t="shared" si="4"/>
        <v>41</v>
      </c>
      <c r="AL3" s="126">
        <f t="shared" si="4"/>
        <v>57</v>
      </c>
      <c r="AM3" s="126">
        <f t="shared" si="4"/>
        <v>43</v>
      </c>
      <c r="AN3" s="126">
        <f t="shared" si="4"/>
        <v>49</v>
      </c>
      <c r="AO3" s="126">
        <f t="shared" si="4"/>
        <v>44</v>
      </c>
      <c r="AP3" s="126">
        <f t="shared" si="4"/>
        <v>44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21</v>
      </c>
      <c r="AI4" s="10">
        <f>COUNTIFS(AI8:AI670, "=APAGADO",F8:F670,"=Fibra Optica")</f>
        <v>20</v>
      </c>
      <c r="AJ4" s="10">
        <f>COUNTIFS(AJ8:AJ670, "=APAGADO",F8:F670,"=Fibra Optica")</f>
        <v>36</v>
      </c>
      <c r="AK4" s="10">
        <f>COUNTIFS(AK8:AK670, "=APAGADO",F8:F670,"=Fibra Optica")</f>
        <v>17</v>
      </c>
      <c r="AL4" s="10">
        <f>COUNTIFS(AL8:AL670, "=APAGADO",F8:F670,"=Fibra Optica")</f>
        <v>24</v>
      </c>
      <c r="AM4" s="10">
        <f>COUNTIFS(AM8:AM670, "=APAGADO",F8:F670,"=Fibra Optica")</f>
        <v>16</v>
      </c>
      <c r="AN4" s="10">
        <f>COUNTIFS(AN8:AN670, "=APAGADO",F8:F670,"=Fibra Optica")</f>
        <v>18</v>
      </c>
      <c r="AO4" s="10">
        <f>COUNTIFS(AO8:AO670, "=APAGADO",F8:F670,"=Fibra Optica")</f>
        <v>17</v>
      </c>
      <c r="AP4" s="10">
        <f>COUNTIFS(AP8:AP670, "=APAGADO",F8:F670,"=Fibra Optica")</f>
        <v>18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7</v>
      </c>
      <c r="AI5" s="130">
        <f>COUNTIFS(AI8:AI670, "=APAGADO",F8:F670,"=RADIO")</f>
        <v>7</v>
      </c>
      <c r="AJ5" s="130">
        <f>COUNTIFS(AJ8:AJ670, "=APAGADO",F8:F670,"=RADIO")</f>
        <v>6</v>
      </c>
      <c r="AK5" s="130">
        <f>COUNTIFS(AK8:AK670, "=APAGADO",F8:F670,"=RADIO")</f>
        <v>4</v>
      </c>
      <c r="AL5" s="130">
        <f>COUNTIFS(AL8:AL670, "=APAGADO",F8:F670,"=RADIO")</f>
        <v>5</v>
      </c>
      <c r="AM5" s="130">
        <f>COUNTIFS(AM8:AM670, "=APAGADO",F8:F670,"=RADIO")</f>
        <v>4</v>
      </c>
      <c r="AN5" s="130">
        <f>COUNTIFS(AN8:AN670, "=APAGADO",F8:F670,"=RADIO")</f>
        <v>4</v>
      </c>
      <c r="AO5" s="130">
        <f>COUNTIFS(AO8:AO670, "=APAGADO",F8:F670,"=RADIO")</f>
        <v>4</v>
      </c>
      <c r="AP5" s="130">
        <f>COUNTIFS(AP8:AP670, "=APAGADO",F8:F670,"=RADIO")</f>
        <v>4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2</v>
      </c>
      <c r="AI6" s="10">
        <f>COUNTIFS(AI8:AI670, "=APAGADO",F8:F670,"=PTO A FO")</f>
        <v>2</v>
      </c>
      <c r="AJ6" s="10">
        <f>COUNTIFS(AJ8:AJ670, "=APAGADO",F8:F670,"=PTO A FO")</f>
        <v>12</v>
      </c>
      <c r="AK6" s="10">
        <f>COUNTIFS(AK8:AK670, "=APAGADO",F8:F670,"=PTO A FO")</f>
        <v>3</v>
      </c>
      <c r="AL6" s="10">
        <f>COUNTIFS(AL8:AL670, "=APAGADO",F8:F670,"=PTO A FO")</f>
        <v>5</v>
      </c>
      <c r="AM6" s="10">
        <f>COUNTIFS(AM8:AM670, "=APAGADO",F8:F670,"=PTO A FO")</f>
        <v>4</v>
      </c>
      <c r="AN6" s="10">
        <f>COUNTIFS(AN8:AN670, "=APAGADO",F8:F670,"=PTO A FO")</f>
        <v>3</v>
      </c>
      <c r="AO6" s="10">
        <f>COUNTIFS(AO8:AO670, "=APAGADO",F8:F670,"=PTO A FO")</f>
        <v>4</v>
      </c>
      <c r="AP6" s="10">
        <f>COUNTIFS(AP8:AP670, "=APAGADO",F8:F670,"=PTO A FO")</f>
        <v>5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 t="s">
        <v>2124</v>
      </c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27</v>
      </c>
      <c r="J24" s="147" t="s">
        <v>1686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2124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27</v>
      </c>
      <c r="J25" s="147" t="s">
        <v>1687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2124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27</v>
      </c>
      <c r="J26" s="147" t="s">
        <v>1688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2124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27</v>
      </c>
      <c r="J27" s="147" t="s">
        <v>1689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2124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27</v>
      </c>
      <c r="J28" s="147" t="s">
        <v>1690</v>
      </c>
      <c r="K28" s="31">
        <f t="shared" si="6"/>
        <v>1</v>
      </c>
      <c r="L28" s="32">
        <f t="shared" si="7"/>
        <v>0.9642857142857143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 t="s">
        <v>2124</v>
      </c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27</v>
      </c>
      <c r="J29" s="147" t="s">
        <v>1691</v>
      </c>
      <c r="K29" s="31">
        <f t="shared" si="6"/>
        <v>1</v>
      </c>
      <c r="L29" s="32">
        <f t="shared" si="7"/>
        <v>0.9642857142857143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 t="s">
        <v>2124</v>
      </c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2</v>
      </c>
      <c r="J34" s="147" t="s">
        <v>1693</v>
      </c>
      <c r="K34" s="134">
        <f t="shared" si="6"/>
        <v>26</v>
      </c>
      <c r="L34" s="135">
        <f t="shared" si="7"/>
        <v>7.1428571428571425E-2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 t="s">
        <v>2124</v>
      </c>
      <c r="AI34" s="136" t="s">
        <v>2124</v>
      </c>
      <c r="AJ34" s="136" t="s">
        <v>2124</v>
      </c>
      <c r="AK34" s="136" t="s">
        <v>2124</v>
      </c>
      <c r="AL34" s="136" t="s">
        <v>2124</v>
      </c>
      <c r="AM34" s="136" t="s">
        <v>2124</v>
      </c>
      <c r="AN34" s="136" t="s">
        <v>2124</v>
      </c>
      <c r="AO34" s="136" t="s">
        <v>2124</v>
      </c>
      <c r="AP34" s="136" t="s">
        <v>2124</v>
      </c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23</v>
      </c>
      <c r="J36" s="87" t="s">
        <v>2162</v>
      </c>
      <c r="K36" s="142">
        <f t="shared" si="6"/>
        <v>5</v>
      </c>
      <c r="L36" s="143">
        <f t="shared" si="7"/>
        <v>0.8214285714285714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 t="s">
        <v>2124</v>
      </c>
      <c r="AK36" s="70" t="s">
        <v>2124</v>
      </c>
      <c r="AL36" s="70" t="s">
        <v>2124</v>
      </c>
      <c r="AM36" s="70" t="s">
        <v>2124</v>
      </c>
      <c r="AN36" s="70" t="s">
        <v>2124</v>
      </c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19</v>
      </c>
      <c r="J38" s="147" t="s">
        <v>1694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 t="s">
        <v>2124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19</v>
      </c>
      <c r="J39" s="147" t="s">
        <v>1695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 t="s">
        <v>2124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19</v>
      </c>
      <c r="J43" s="87" t="s">
        <v>2197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 t="s">
        <v>2124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25</v>
      </c>
      <c r="J87" s="147" t="s">
        <v>1737</v>
      </c>
      <c r="K87" s="31">
        <f t="shared" si="9"/>
        <v>3</v>
      </c>
      <c r="L87" s="32">
        <f t="shared" si="10"/>
        <v>0.8928571428571429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 t="s">
        <v>2124</v>
      </c>
      <c r="AL87" s="70" t="s">
        <v>2124</v>
      </c>
      <c r="AM87" s="70" t="s">
        <v>2124</v>
      </c>
      <c r="AN87" s="70"/>
      <c r="AO87" s="70" t="s">
        <v>2124</v>
      </c>
      <c r="AP87" s="70" t="s">
        <v>2124</v>
      </c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21</v>
      </c>
      <c r="J95" s="147" t="s">
        <v>1745</v>
      </c>
      <c r="K95" s="142">
        <f t="shared" si="9"/>
        <v>7</v>
      </c>
      <c r="L95" s="143">
        <f t="shared" si="10"/>
        <v>0.75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 t="s">
        <v>2124</v>
      </c>
      <c r="AI95" s="70" t="s">
        <v>2124</v>
      </c>
      <c r="AJ95" s="70" t="s">
        <v>2124</v>
      </c>
      <c r="AK95" s="70" t="s">
        <v>2124</v>
      </c>
      <c r="AL95" s="70" t="s">
        <v>2124</v>
      </c>
      <c r="AM95" s="70" t="s">
        <v>2124</v>
      </c>
      <c r="AN95" s="70" t="s">
        <v>2124</v>
      </c>
      <c r="AO95" s="70" t="s">
        <v>2124</v>
      </c>
      <c r="AP95" s="89" t="s">
        <v>2124</v>
      </c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15</v>
      </c>
      <c r="J97" s="147" t="s">
        <v>1747</v>
      </c>
      <c r="K97" s="142">
        <f t="shared" si="9"/>
        <v>13</v>
      </c>
      <c r="L97" s="143">
        <f t="shared" si="10"/>
        <v>0.5357142857142857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 t="s">
        <v>2124</v>
      </c>
      <c r="AJ97" s="70" t="s">
        <v>2124</v>
      </c>
      <c r="AK97" s="70" t="s">
        <v>2124</v>
      </c>
      <c r="AL97" s="70" t="s">
        <v>2124</v>
      </c>
      <c r="AM97" s="70" t="s">
        <v>2124</v>
      </c>
      <c r="AN97" s="70" t="s">
        <v>2124</v>
      </c>
      <c r="AO97" s="70" t="s">
        <v>2124</v>
      </c>
      <c r="AP97" s="89" t="s">
        <v>2124</v>
      </c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24</v>
      </c>
      <c r="J116" s="147" t="s">
        <v>1765</v>
      </c>
      <c r="K116" s="31">
        <f t="shared" si="9"/>
        <v>4</v>
      </c>
      <c r="L116" s="32">
        <f t="shared" si="10"/>
        <v>0.8571428571428571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 t="s">
        <v>2124</v>
      </c>
      <c r="AM116" s="70" t="s">
        <v>2124</v>
      </c>
      <c r="AN116" s="70" t="s">
        <v>2124</v>
      </c>
      <c r="AO116" s="70" t="s">
        <v>2124</v>
      </c>
      <c r="AP116" s="70" t="s">
        <v>2124</v>
      </c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21</v>
      </c>
      <c r="J118" s="147" t="s">
        <v>1767</v>
      </c>
      <c r="K118" s="142">
        <f t="shared" si="9"/>
        <v>7</v>
      </c>
      <c r="L118" s="143">
        <f t="shared" si="10"/>
        <v>0.75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 t="s">
        <v>2124</v>
      </c>
      <c r="AM118" s="70" t="s">
        <v>2124</v>
      </c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25</v>
      </c>
      <c r="J125" s="148" t="s">
        <v>1774</v>
      </c>
      <c r="K125" s="142">
        <f t="shared" si="9"/>
        <v>3</v>
      </c>
      <c r="L125" s="143">
        <f t="shared" si="10"/>
        <v>0.8928571428571429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 t="s">
        <v>2124</v>
      </c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 t="s">
        <v>2124</v>
      </c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2218</v>
      </c>
      <c r="I158" s="142">
        <f t="shared" si="8"/>
        <v>25</v>
      </c>
      <c r="J158" s="147" t="s">
        <v>1799</v>
      </c>
      <c r="K158" s="142">
        <f t="shared" si="9"/>
        <v>3</v>
      </c>
      <c r="L158" s="143">
        <f t="shared" si="10"/>
        <v>0.8928571428571429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 t="s">
        <v>2124</v>
      </c>
      <c r="AM158" s="70" t="s">
        <v>2124</v>
      </c>
      <c r="AN158" s="70" t="s">
        <v>2124</v>
      </c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27</v>
      </c>
      <c r="J183" s="147" t="s">
        <v>1822</v>
      </c>
      <c r="K183" s="31">
        <f t="shared" si="12"/>
        <v>1</v>
      </c>
      <c r="L183" s="32">
        <f t="shared" si="13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 t="s">
        <v>2124</v>
      </c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0</v>
      </c>
      <c r="J188" s="87"/>
      <c r="K188" s="138">
        <f t="shared" si="12"/>
        <v>28</v>
      </c>
      <c r="L188" s="139">
        <f t="shared" si="13"/>
        <v>0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 t="s">
        <v>2124</v>
      </c>
      <c r="AI188" s="140" t="s">
        <v>2124</v>
      </c>
      <c r="AJ188" s="140" t="s">
        <v>2124</v>
      </c>
      <c r="AK188" s="140" t="s">
        <v>2124</v>
      </c>
      <c r="AL188" s="140" t="s">
        <v>2124</v>
      </c>
      <c r="AM188" s="140" t="s">
        <v>2124</v>
      </c>
      <c r="AN188" s="140" t="s">
        <v>2124</v>
      </c>
      <c r="AO188" s="140" t="s">
        <v>2124</v>
      </c>
      <c r="AP188" s="140" t="s">
        <v>2124</v>
      </c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25</v>
      </c>
      <c r="J190" s="147" t="s">
        <v>1827</v>
      </c>
      <c r="K190" s="142">
        <f t="shared" si="12"/>
        <v>3</v>
      </c>
      <c r="L190" s="143">
        <f t="shared" si="13"/>
        <v>0.8928571428571429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 t="s">
        <v>2124</v>
      </c>
      <c r="AK190" s="70" t="s">
        <v>2124</v>
      </c>
      <c r="AL190" s="70"/>
      <c r="AM190" s="70"/>
      <c r="AN190" s="70" t="s">
        <v>2124</v>
      </c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0</v>
      </c>
      <c r="J194" s="87"/>
      <c r="K194" s="31">
        <f t="shared" si="12"/>
        <v>28</v>
      </c>
      <c r="L194" s="32">
        <f t="shared" si="13"/>
        <v>0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 t="s">
        <v>2124</v>
      </c>
      <c r="AI194" s="93" t="s">
        <v>2124</v>
      </c>
      <c r="AJ194" s="93" t="s">
        <v>2124</v>
      </c>
      <c r="AK194" s="93" t="s">
        <v>2124</v>
      </c>
      <c r="AL194" s="93" t="s">
        <v>2124</v>
      </c>
      <c r="AM194" s="93" t="s">
        <v>2124</v>
      </c>
      <c r="AN194" s="93" t="s">
        <v>2124</v>
      </c>
      <c r="AO194" s="93" t="s">
        <v>2124</v>
      </c>
      <c r="AP194" s="93" t="s">
        <v>2124</v>
      </c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13</v>
      </c>
      <c r="J195" s="147" t="s">
        <v>1831</v>
      </c>
      <c r="K195" s="142">
        <f t="shared" si="12"/>
        <v>15</v>
      </c>
      <c r="L195" s="143">
        <f t="shared" si="13"/>
        <v>0.4642857142857143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 t="s">
        <v>2124</v>
      </c>
      <c r="AI195" s="70" t="s">
        <v>2124</v>
      </c>
      <c r="AJ195" s="70" t="s">
        <v>2124</v>
      </c>
      <c r="AK195" s="70" t="s">
        <v>2124</v>
      </c>
      <c r="AL195" s="70"/>
      <c r="AM195" s="70"/>
      <c r="AN195" s="70"/>
      <c r="AO195" s="70" t="s">
        <v>2124</v>
      </c>
      <c r="AP195" s="89" t="s">
        <v>2124</v>
      </c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8</v>
      </c>
      <c r="J196" s="147" t="s">
        <v>1832</v>
      </c>
      <c r="K196" s="31">
        <f t="shared" si="12"/>
        <v>20</v>
      </c>
      <c r="L196" s="32">
        <f t="shared" si="13"/>
        <v>0.2857142857142857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 t="s">
        <v>2124</v>
      </c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22</v>
      </c>
      <c r="J206" s="147" t="s">
        <v>1841</v>
      </c>
      <c r="K206" s="142">
        <f t="shared" si="12"/>
        <v>6</v>
      </c>
      <c r="L206" s="143">
        <f t="shared" si="13"/>
        <v>0.7857142857142857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 t="s">
        <v>2124</v>
      </c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16</v>
      </c>
      <c r="J213" s="87"/>
      <c r="K213" s="31">
        <f t="shared" si="12"/>
        <v>12</v>
      </c>
      <c r="L213" s="32">
        <f t="shared" si="13"/>
        <v>0.5714285714285714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 t="s">
        <v>2124</v>
      </c>
      <c r="AI213" s="70" t="s">
        <v>2124</v>
      </c>
      <c r="AJ213" s="70" t="s">
        <v>2124</v>
      </c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16</v>
      </c>
      <c r="J214" s="87"/>
      <c r="K214" s="31">
        <f t="shared" si="12"/>
        <v>12</v>
      </c>
      <c r="L214" s="32">
        <f t="shared" si="13"/>
        <v>0.5714285714285714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 t="s">
        <v>2124</v>
      </c>
      <c r="AI214" s="70" t="s">
        <v>2124</v>
      </c>
      <c r="AJ214" s="70" t="s">
        <v>2124</v>
      </c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26</v>
      </c>
      <c r="J215" s="147" t="s">
        <v>1847</v>
      </c>
      <c r="K215" s="31">
        <f t="shared" si="12"/>
        <v>2</v>
      </c>
      <c r="L215" s="32">
        <f t="shared" si="13"/>
        <v>0.9285714285714286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 t="s">
        <v>2124</v>
      </c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26</v>
      </c>
      <c r="J217" s="147" t="s">
        <v>1849</v>
      </c>
      <c r="K217" s="31">
        <f t="shared" si="12"/>
        <v>2</v>
      </c>
      <c r="L217" s="32">
        <f t="shared" si="13"/>
        <v>0.9285714285714286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 t="s">
        <v>2124</v>
      </c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26</v>
      </c>
      <c r="J218" s="147" t="s">
        <v>1850</v>
      </c>
      <c r="K218" s="31">
        <f t="shared" si="12"/>
        <v>2</v>
      </c>
      <c r="L218" s="32">
        <f t="shared" si="13"/>
        <v>0.9285714285714286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 t="s">
        <v>2124</v>
      </c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1334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0</v>
      </c>
      <c r="J240" s="87"/>
      <c r="K240" s="31">
        <f t="shared" si="15"/>
        <v>28</v>
      </c>
      <c r="L240" s="32">
        <f t="shared" si="16"/>
        <v>0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 t="s">
        <v>2124</v>
      </c>
      <c r="AI240" s="93" t="s">
        <v>2124</v>
      </c>
      <c r="AJ240" s="93" t="s">
        <v>2124</v>
      </c>
      <c r="AK240" s="93" t="s">
        <v>2124</v>
      </c>
      <c r="AL240" s="93" t="s">
        <v>2124</v>
      </c>
      <c r="AM240" s="93" t="s">
        <v>2124</v>
      </c>
      <c r="AN240" s="93" t="s">
        <v>2124</v>
      </c>
      <c r="AO240" s="93" t="s">
        <v>2124</v>
      </c>
      <c r="AP240" s="93" t="s">
        <v>2124</v>
      </c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26</v>
      </c>
      <c r="J243" s="87"/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2124</v>
      </c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27</v>
      </c>
      <c r="J244" s="147" t="s">
        <v>1872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 t="s">
        <v>2124</v>
      </c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27</v>
      </c>
      <c r="J245" s="147" t="s">
        <v>1873</v>
      </c>
      <c r="K245" s="31">
        <f t="shared" si="15"/>
        <v>1</v>
      </c>
      <c r="L245" s="32">
        <f t="shared" si="16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 t="s">
        <v>2124</v>
      </c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27</v>
      </c>
      <c r="J246" s="147" t="s">
        <v>1874</v>
      </c>
      <c r="K246" s="142">
        <f t="shared" si="15"/>
        <v>1</v>
      </c>
      <c r="L246" s="143">
        <f t="shared" si="16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 t="s">
        <v>2124</v>
      </c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27</v>
      </c>
      <c r="J247" s="147" t="s">
        <v>1875</v>
      </c>
      <c r="K247" s="142">
        <f t="shared" si="15"/>
        <v>1</v>
      </c>
      <c r="L247" s="143">
        <f t="shared" si="16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 t="s">
        <v>2124</v>
      </c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26</v>
      </c>
      <c r="J250" s="147" t="s">
        <v>1877</v>
      </c>
      <c r="K250" s="31">
        <f t="shared" si="15"/>
        <v>2</v>
      </c>
      <c r="L250" s="32">
        <f t="shared" si="16"/>
        <v>0.9285714285714286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 t="s">
        <v>2124</v>
      </c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0</v>
      </c>
      <c r="J268" s="147" t="s">
        <v>1894</v>
      </c>
      <c r="K268" s="31">
        <f t="shared" si="15"/>
        <v>28</v>
      </c>
      <c r="L268" s="32">
        <f t="shared" si="16"/>
        <v>0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 t="s">
        <v>2124</v>
      </c>
      <c r="AI268" s="70" t="s">
        <v>2124</v>
      </c>
      <c r="AJ268" s="70" t="s">
        <v>2124</v>
      </c>
      <c r="AK268" s="70" t="s">
        <v>2124</v>
      </c>
      <c r="AL268" s="70" t="s">
        <v>2124</v>
      </c>
      <c r="AM268" s="70" t="s">
        <v>2124</v>
      </c>
      <c r="AN268" s="70" t="s">
        <v>2124</v>
      </c>
      <c r="AO268" s="70" t="s">
        <v>2124</v>
      </c>
      <c r="AP268" s="70" t="s">
        <v>2124</v>
      </c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6</v>
      </c>
      <c r="J272" s="147" t="s">
        <v>1897</v>
      </c>
      <c r="K272" s="31">
        <f t="shared" si="15"/>
        <v>22</v>
      </c>
      <c r="L272" s="32">
        <f t="shared" si="16"/>
        <v>0.21428571428571427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 t="s">
        <v>2124</v>
      </c>
      <c r="AI272" s="70" t="s">
        <v>2124</v>
      </c>
      <c r="AJ272" s="70" t="s">
        <v>2124</v>
      </c>
      <c r="AK272" s="70" t="s">
        <v>2124</v>
      </c>
      <c r="AL272" s="70" t="s">
        <v>2124</v>
      </c>
      <c r="AM272" s="70" t="s">
        <v>2124</v>
      </c>
      <c r="AN272" s="70" t="s">
        <v>2124</v>
      </c>
      <c r="AO272" s="70" t="s">
        <v>2124</v>
      </c>
      <c r="AP272" s="70" t="s">
        <v>2124</v>
      </c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6</v>
      </c>
      <c r="J273" s="147" t="s">
        <v>1898</v>
      </c>
      <c r="K273" s="142">
        <f t="shared" si="15"/>
        <v>22</v>
      </c>
      <c r="L273" s="143">
        <f t="shared" si="16"/>
        <v>0.21428571428571427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 t="s">
        <v>2124</v>
      </c>
      <c r="AI273" s="70" t="s">
        <v>2124</v>
      </c>
      <c r="AJ273" s="70" t="s">
        <v>2124</v>
      </c>
      <c r="AK273" s="70" t="s">
        <v>2124</v>
      </c>
      <c r="AL273" s="70" t="s">
        <v>2124</v>
      </c>
      <c r="AM273" s="70" t="s">
        <v>2124</v>
      </c>
      <c r="AN273" s="70" t="s">
        <v>2124</v>
      </c>
      <c r="AO273" s="70" t="s">
        <v>2124</v>
      </c>
      <c r="AP273" s="89" t="s">
        <v>2124</v>
      </c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15</v>
      </c>
      <c r="J275" s="147" t="s">
        <v>1900</v>
      </c>
      <c r="K275" s="142">
        <f t="shared" si="15"/>
        <v>13</v>
      </c>
      <c r="L275" s="143">
        <f t="shared" si="16"/>
        <v>0.5357142857142857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 t="s">
        <v>2124</v>
      </c>
      <c r="AM275" s="70" t="s">
        <v>2124</v>
      </c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0</v>
      </c>
      <c r="J287" s="147" t="s">
        <v>1911</v>
      </c>
      <c r="K287" s="31">
        <f t="shared" si="15"/>
        <v>28</v>
      </c>
      <c r="L287" s="32">
        <f t="shared" si="16"/>
        <v>0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 t="s">
        <v>2124</v>
      </c>
      <c r="AI287" s="70" t="s">
        <v>2124</v>
      </c>
      <c r="AJ287" s="70" t="s">
        <v>2124</v>
      </c>
      <c r="AK287" s="70" t="s">
        <v>2124</v>
      </c>
      <c r="AL287" s="70" t="s">
        <v>2124</v>
      </c>
      <c r="AM287" s="70" t="s">
        <v>2124</v>
      </c>
      <c r="AN287" s="70" t="s">
        <v>2124</v>
      </c>
      <c r="AO287" s="70" t="s">
        <v>2124</v>
      </c>
      <c r="AP287" s="70" t="s">
        <v>2124</v>
      </c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1</v>
      </c>
      <c r="J288" s="147" t="s">
        <v>1912</v>
      </c>
      <c r="K288" s="31">
        <f t="shared" si="15"/>
        <v>27</v>
      </c>
      <c r="L288" s="32">
        <f t="shared" si="16"/>
        <v>3.5714285714285712E-2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 t="s">
        <v>2124</v>
      </c>
      <c r="AI288" s="70" t="s">
        <v>2124</v>
      </c>
      <c r="AJ288" s="70" t="s">
        <v>2124</v>
      </c>
      <c r="AK288" s="70" t="s">
        <v>2124</v>
      </c>
      <c r="AL288" s="70" t="s">
        <v>2124</v>
      </c>
      <c r="AM288" s="70" t="s">
        <v>2124</v>
      </c>
      <c r="AN288" s="70" t="s">
        <v>2124</v>
      </c>
      <c r="AO288" s="70" t="s">
        <v>2124</v>
      </c>
      <c r="AP288" s="70" t="s">
        <v>2124</v>
      </c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19</v>
      </c>
      <c r="J290" s="147" t="s">
        <v>1914</v>
      </c>
      <c r="K290" s="31">
        <f t="shared" si="15"/>
        <v>9</v>
      </c>
      <c r="L290" s="32">
        <f t="shared" si="16"/>
        <v>0.6785714285714286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 t="s">
        <v>2124</v>
      </c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1</v>
      </c>
      <c r="J299" s="147" t="s">
        <v>1922</v>
      </c>
      <c r="K299" s="142">
        <f t="shared" si="15"/>
        <v>27</v>
      </c>
      <c r="L299" s="143">
        <f t="shared" si="16"/>
        <v>3.5714285714285712E-2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 t="s">
        <v>2124</v>
      </c>
      <c r="AI299" s="70" t="s">
        <v>2124</v>
      </c>
      <c r="AJ299" s="70" t="s">
        <v>2124</v>
      </c>
      <c r="AK299" s="70" t="s">
        <v>2124</v>
      </c>
      <c r="AL299" s="70" t="s">
        <v>2124</v>
      </c>
      <c r="AM299" s="70" t="s">
        <v>2124</v>
      </c>
      <c r="AN299" s="70" t="s">
        <v>2124</v>
      </c>
      <c r="AO299" s="70"/>
      <c r="AP299" s="89" t="s">
        <v>2124</v>
      </c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2</v>
      </c>
      <c r="J301" s="147" t="s">
        <v>1923</v>
      </c>
      <c r="K301" s="31">
        <f t="shared" ref="K301:K369" si="18">COUNTIF(M301:AN301,"APAGADO")</f>
        <v>26</v>
      </c>
      <c r="L301" s="32">
        <f t="shared" ref="L301:L369" si="19">(I301)/(K301+I301)</f>
        <v>7.1428571428571425E-2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 t="s">
        <v>2124</v>
      </c>
      <c r="AI301" s="70" t="s">
        <v>2124</v>
      </c>
      <c r="AJ301" s="70"/>
      <c r="AK301" s="70" t="s">
        <v>2124</v>
      </c>
      <c r="AL301" s="70" t="s">
        <v>2124</v>
      </c>
      <c r="AM301" s="70" t="s">
        <v>2124</v>
      </c>
      <c r="AN301" s="70" t="s">
        <v>2124</v>
      </c>
      <c r="AO301" s="70" t="s">
        <v>2124</v>
      </c>
      <c r="AP301" s="89" t="s">
        <v>2124</v>
      </c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4</v>
      </c>
      <c r="J305" s="147" t="s">
        <v>1926</v>
      </c>
      <c r="K305" s="31">
        <f t="shared" si="18"/>
        <v>24</v>
      </c>
      <c r="L305" s="32">
        <f t="shared" si="19"/>
        <v>0.14285714285714285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 t="s">
        <v>2124</v>
      </c>
      <c r="AI305" s="70" t="s">
        <v>2124</v>
      </c>
      <c r="AJ305" s="70" t="s">
        <v>2124</v>
      </c>
      <c r="AK305" s="70" t="s">
        <v>2124</v>
      </c>
      <c r="AL305" s="70" t="s">
        <v>2124</v>
      </c>
      <c r="AM305" s="70" t="s">
        <v>2124</v>
      </c>
      <c r="AN305" s="70" t="s">
        <v>2124</v>
      </c>
      <c r="AO305" s="70" t="s">
        <v>2124</v>
      </c>
      <c r="AP305" s="70" t="s">
        <v>2124</v>
      </c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27</v>
      </c>
      <c r="J311" s="147" t="s">
        <v>1932</v>
      </c>
      <c r="K311" s="31">
        <f t="shared" si="18"/>
        <v>1</v>
      </c>
      <c r="L311" s="32">
        <f t="shared" si="19"/>
        <v>0.9642857142857143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 t="s">
        <v>2124</v>
      </c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27</v>
      </c>
      <c r="J312" s="147" t="s">
        <v>1933</v>
      </c>
      <c r="K312" s="31">
        <f t="shared" si="18"/>
        <v>1</v>
      </c>
      <c r="L312" s="32">
        <f t="shared" si="19"/>
        <v>0.9642857142857143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 t="s">
        <v>2124</v>
      </c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27</v>
      </c>
      <c r="J313" s="147" t="s">
        <v>1934</v>
      </c>
      <c r="K313" s="31">
        <f t="shared" si="18"/>
        <v>1</v>
      </c>
      <c r="L313" s="32">
        <f t="shared" si="19"/>
        <v>0.9642857142857143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 t="s">
        <v>2124</v>
      </c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27</v>
      </c>
      <c r="J314" s="147" t="s">
        <v>1935</v>
      </c>
      <c r="K314" s="31">
        <f t="shared" si="18"/>
        <v>1</v>
      </c>
      <c r="L314" s="32">
        <f t="shared" si="19"/>
        <v>0.9642857142857143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 t="s">
        <v>2124</v>
      </c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27</v>
      </c>
      <c r="J315" s="147" t="s">
        <v>1936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 t="s">
        <v>2124</v>
      </c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27</v>
      </c>
      <c r="J316" s="147" t="s">
        <v>1937</v>
      </c>
      <c r="K316" s="31">
        <f t="shared" si="18"/>
        <v>1</v>
      </c>
      <c r="L316" s="32">
        <f t="shared" si="19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 t="s">
        <v>2124</v>
      </c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16</v>
      </c>
      <c r="J317" s="147" t="s">
        <v>1938</v>
      </c>
      <c r="K317" s="31">
        <f t="shared" si="18"/>
        <v>12</v>
      </c>
      <c r="L317" s="32">
        <f t="shared" si="19"/>
        <v>0.5714285714285714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 t="s">
        <v>2124</v>
      </c>
      <c r="AI317" s="70"/>
      <c r="AJ317" s="70"/>
      <c r="AK317" s="70"/>
      <c r="AL317" s="70" t="s">
        <v>2124</v>
      </c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18</v>
      </c>
      <c r="J318" s="147" t="s">
        <v>1939</v>
      </c>
      <c r="K318" s="31">
        <f t="shared" si="18"/>
        <v>10</v>
      </c>
      <c r="L318" s="32">
        <f t="shared" si="19"/>
        <v>0.6428571428571429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 t="s">
        <v>2124</v>
      </c>
      <c r="AI318" s="70"/>
      <c r="AJ318" s="70"/>
      <c r="AK318" s="70"/>
      <c r="AL318" s="70" t="s">
        <v>2124</v>
      </c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8</v>
      </c>
      <c r="J319" s="147" t="s">
        <v>1940</v>
      </c>
      <c r="K319" s="31">
        <f t="shared" si="18"/>
        <v>20</v>
      </c>
      <c r="L319" s="32">
        <f t="shared" si="19"/>
        <v>0.2857142857142857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 t="s">
        <v>2124</v>
      </c>
      <c r="AI319" s="70" t="s">
        <v>2124</v>
      </c>
      <c r="AJ319" s="70"/>
      <c r="AK319" s="70"/>
      <c r="AL319" s="70" t="s">
        <v>2124</v>
      </c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16</v>
      </c>
      <c r="J320" s="147" t="s">
        <v>1941</v>
      </c>
      <c r="K320" s="31">
        <f t="shared" si="18"/>
        <v>12</v>
      </c>
      <c r="L320" s="32">
        <f t="shared" si="19"/>
        <v>0.5714285714285714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 t="s">
        <v>2124</v>
      </c>
      <c r="AI320" s="70" t="s">
        <v>2124</v>
      </c>
      <c r="AJ320" s="70"/>
      <c r="AK320" s="70"/>
      <c r="AL320" s="70" t="s">
        <v>2124</v>
      </c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27</v>
      </c>
      <c r="J321" s="147" t="s">
        <v>1942</v>
      </c>
      <c r="K321" s="87">
        <f t="shared" si="18"/>
        <v>1</v>
      </c>
      <c r="L321" s="88">
        <f t="shared" si="19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2124</v>
      </c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27</v>
      </c>
      <c r="J322" s="147" t="s">
        <v>1943</v>
      </c>
      <c r="K322" s="31">
        <f t="shared" si="18"/>
        <v>1</v>
      </c>
      <c r="L322" s="32">
        <f t="shared" si="19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 t="s">
        <v>2124</v>
      </c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27</v>
      </c>
      <c r="J323" s="147" t="s">
        <v>1944</v>
      </c>
      <c r="K323" s="31">
        <f t="shared" si="18"/>
        <v>1</v>
      </c>
      <c r="L323" s="32">
        <f t="shared" si="19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 t="s">
        <v>2124</v>
      </c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27</v>
      </c>
      <c r="J324" s="147" t="s">
        <v>1945</v>
      </c>
      <c r="K324" s="31">
        <f t="shared" si="18"/>
        <v>1</v>
      </c>
      <c r="L324" s="32">
        <f t="shared" si="19"/>
        <v>0.9642857142857143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 t="s">
        <v>2124</v>
      </c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27</v>
      </c>
      <c r="J325" s="147" t="s">
        <v>1946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 t="s">
        <v>2124</v>
      </c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27</v>
      </c>
      <c r="J326" s="147" t="s">
        <v>1947</v>
      </c>
      <c r="K326" s="31">
        <f t="shared" si="18"/>
        <v>1</v>
      </c>
      <c r="L326" s="32">
        <f t="shared" si="19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 t="s">
        <v>2124</v>
      </c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27</v>
      </c>
      <c r="J327" s="147" t="s">
        <v>1948</v>
      </c>
      <c r="K327" s="31">
        <f t="shared" si="18"/>
        <v>1</v>
      </c>
      <c r="L327" s="32">
        <f t="shared" si="19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 t="s">
        <v>2124</v>
      </c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27</v>
      </c>
      <c r="J328" s="147" t="s">
        <v>1949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 t="s">
        <v>2124</v>
      </c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27</v>
      </c>
      <c r="J329" s="147" t="s">
        <v>1950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2124</v>
      </c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27</v>
      </c>
      <c r="J330" s="147" t="s">
        <v>1951</v>
      </c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 t="s">
        <v>2124</v>
      </c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27</v>
      </c>
      <c r="J331" s="147" t="s">
        <v>1952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 t="s">
        <v>2124</v>
      </c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27</v>
      </c>
      <c r="J332" s="147" t="s">
        <v>1953</v>
      </c>
      <c r="K332" s="31">
        <f t="shared" si="18"/>
        <v>1</v>
      </c>
      <c r="L332" s="32">
        <f t="shared" si="19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 t="s">
        <v>2124</v>
      </c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27</v>
      </c>
      <c r="J333" s="147" t="s">
        <v>1954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 t="s">
        <v>2124</v>
      </c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22</v>
      </c>
      <c r="J334" s="87"/>
      <c r="K334" s="31">
        <f t="shared" si="18"/>
        <v>6</v>
      </c>
      <c r="L334" s="32">
        <f t="shared" si="19"/>
        <v>0.7857142857142857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 t="s">
        <v>2124</v>
      </c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22</v>
      </c>
      <c r="J335" s="87"/>
      <c r="K335" s="31">
        <f t="shared" si="18"/>
        <v>6</v>
      </c>
      <c r="L335" s="32">
        <f t="shared" si="19"/>
        <v>0.7857142857142857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 t="s">
        <v>2124</v>
      </c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25</v>
      </c>
      <c r="J336" s="147" t="s">
        <v>1955</v>
      </c>
      <c r="K336" s="31">
        <f t="shared" si="18"/>
        <v>3</v>
      </c>
      <c r="L336" s="32">
        <f t="shared" si="19"/>
        <v>0.8928571428571429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 t="s">
        <v>2124</v>
      </c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18</v>
      </c>
      <c r="J340" s="147" t="s">
        <v>1957</v>
      </c>
      <c r="K340" s="142">
        <f t="shared" si="18"/>
        <v>10</v>
      </c>
      <c r="L340" s="143">
        <f t="shared" si="19"/>
        <v>0.6428571428571429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 t="s">
        <v>2124</v>
      </c>
      <c r="AI340" s="70" t="s">
        <v>2124</v>
      </c>
      <c r="AJ340" s="70" t="s">
        <v>2124</v>
      </c>
      <c r="AK340" s="70" t="s">
        <v>2124</v>
      </c>
      <c r="AL340" s="70" t="s">
        <v>2124</v>
      </c>
      <c r="AM340" s="70"/>
      <c r="AN340" s="70" t="s">
        <v>2124</v>
      </c>
      <c r="AO340" s="70" t="s">
        <v>2124</v>
      </c>
      <c r="AP340" s="89" t="s">
        <v>2124</v>
      </c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20</v>
      </c>
      <c r="J341" s="147" t="s">
        <v>1958</v>
      </c>
      <c r="K341" s="142">
        <f t="shared" si="18"/>
        <v>8</v>
      </c>
      <c r="L341" s="143">
        <f t="shared" si="19"/>
        <v>0.7142857142857143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 t="s">
        <v>2124</v>
      </c>
      <c r="AI341" s="70" t="s">
        <v>2124</v>
      </c>
      <c r="AJ341" s="70" t="s">
        <v>2124</v>
      </c>
      <c r="AK341" s="70" t="s">
        <v>2124</v>
      </c>
      <c r="AL341" s="70" t="s">
        <v>2124</v>
      </c>
      <c r="AM341" s="70"/>
      <c r="AN341" s="70" t="s">
        <v>2124</v>
      </c>
      <c r="AO341" s="70" t="s">
        <v>2124</v>
      </c>
      <c r="AP341" s="89" t="s">
        <v>2124</v>
      </c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14</v>
      </c>
      <c r="J343" s="147" t="s">
        <v>1960</v>
      </c>
      <c r="K343" s="31">
        <f t="shared" si="18"/>
        <v>14</v>
      </c>
      <c r="L343" s="32">
        <f t="shared" si="19"/>
        <v>0.5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 t="s">
        <v>2124</v>
      </c>
      <c r="AJ343" s="70" t="s">
        <v>2124</v>
      </c>
      <c r="AK343" s="70" t="s">
        <v>2124</v>
      </c>
      <c r="AL343" s="70" t="s">
        <v>2124</v>
      </c>
      <c r="AM343" s="70"/>
      <c r="AN343" s="70" t="s">
        <v>2124</v>
      </c>
      <c r="AO343" s="70" t="s">
        <v>2124</v>
      </c>
      <c r="AP343" s="70" t="s">
        <v>2124</v>
      </c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20</v>
      </c>
      <c r="J363" s="147" t="s">
        <v>1976</v>
      </c>
      <c r="K363" s="31">
        <f t="shared" si="18"/>
        <v>8</v>
      </c>
      <c r="L363" s="32">
        <f t="shared" si="19"/>
        <v>0.7142857142857143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 t="s">
        <v>2124</v>
      </c>
      <c r="AM363" s="70" t="s">
        <v>2124</v>
      </c>
      <c r="AN363" s="70" t="s">
        <v>2124</v>
      </c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2</v>
      </c>
      <c r="J364" s="73"/>
      <c r="K364" s="31">
        <f t="shared" si="18"/>
        <v>26</v>
      </c>
      <c r="L364" s="32">
        <f t="shared" si="19"/>
        <v>7.1428571428571425E-2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 t="s">
        <v>2124</v>
      </c>
      <c r="AI364" s="93" t="s">
        <v>2124</v>
      </c>
      <c r="AJ364" s="93" t="s">
        <v>2124</v>
      </c>
      <c r="AK364" s="93" t="s">
        <v>2124</v>
      </c>
      <c r="AL364" s="93" t="s">
        <v>2124</v>
      </c>
      <c r="AM364" s="93" t="s">
        <v>2124</v>
      </c>
      <c r="AN364" s="93" t="s">
        <v>2124</v>
      </c>
      <c r="AO364" s="93" t="s">
        <v>2124</v>
      </c>
      <c r="AP364" s="93" t="s">
        <v>2124</v>
      </c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14</v>
      </c>
      <c r="J377" s="147" t="s">
        <v>1989</v>
      </c>
      <c r="K377" s="31">
        <f t="shared" si="21"/>
        <v>14</v>
      </c>
      <c r="L377" s="32">
        <f t="shared" si="22"/>
        <v>0.5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 t="s">
        <v>2124</v>
      </c>
      <c r="AI377" s="70" t="s">
        <v>2124</v>
      </c>
      <c r="AJ377" s="70" t="s">
        <v>2124</v>
      </c>
      <c r="AK377" s="70" t="s">
        <v>2124</v>
      </c>
      <c r="AL377" s="70" t="s">
        <v>2124</v>
      </c>
      <c r="AM377" s="70" t="s">
        <v>2124</v>
      </c>
      <c r="AN377" s="70" t="s">
        <v>2124</v>
      </c>
      <c r="AO377" s="70" t="s">
        <v>2124</v>
      </c>
      <c r="AP377" s="70" t="s">
        <v>2124</v>
      </c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26</v>
      </c>
      <c r="J378" s="147" t="s">
        <v>1990</v>
      </c>
      <c r="K378" s="31">
        <f t="shared" si="21"/>
        <v>2</v>
      </c>
      <c r="L378" s="32">
        <f t="shared" si="22"/>
        <v>0.9285714285714286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 t="s">
        <v>2124</v>
      </c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14</v>
      </c>
      <c r="J382" s="87"/>
      <c r="K382" s="31">
        <f t="shared" si="21"/>
        <v>14</v>
      </c>
      <c r="L382" s="32">
        <f t="shared" si="22"/>
        <v>0.5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 t="s">
        <v>2124</v>
      </c>
      <c r="AI382" s="84" t="s">
        <v>2124</v>
      </c>
      <c r="AJ382" s="84" t="s">
        <v>2124</v>
      </c>
      <c r="AK382" s="84" t="s">
        <v>2124</v>
      </c>
      <c r="AL382" s="84" t="s">
        <v>2124</v>
      </c>
      <c r="AM382" s="84" t="s">
        <v>2124</v>
      </c>
      <c r="AN382" s="84" t="s">
        <v>2124</v>
      </c>
      <c r="AO382" s="84" t="s">
        <v>2124</v>
      </c>
      <c r="AP382" s="90" t="s">
        <v>2124</v>
      </c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15</v>
      </c>
      <c r="J383" s="87"/>
      <c r="K383" s="31">
        <f t="shared" si="21"/>
        <v>13</v>
      </c>
      <c r="L383" s="32">
        <f t="shared" si="22"/>
        <v>0.5357142857142857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 t="s">
        <v>2124</v>
      </c>
      <c r="AI383" s="70" t="s">
        <v>2124</v>
      </c>
      <c r="AJ383" s="70" t="s">
        <v>2124</v>
      </c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25</v>
      </c>
      <c r="J387" s="147" t="s">
        <v>1995</v>
      </c>
      <c r="K387" s="87">
        <f t="shared" si="21"/>
        <v>3</v>
      </c>
      <c r="L387" s="88">
        <f t="shared" si="22"/>
        <v>0.8928571428571429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 t="s">
        <v>2124</v>
      </c>
      <c r="AM387" s="89" t="s">
        <v>2124</v>
      </c>
      <c r="AN387" s="89" t="s">
        <v>2124</v>
      </c>
      <c r="AO387" s="89" t="s">
        <v>2124</v>
      </c>
      <c r="AP387" s="89" t="s">
        <v>2124</v>
      </c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0</v>
      </c>
      <c r="J389" s="147" t="s">
        <v>1996</v>
      </c>
      <c r="K389" s="31">
        <f t="shared" si="21"/>
        <v>28</v>
      </c>
      <c r="L389" s="32">
        <f t="shared" si="22"/>
        <v>0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 t="s">
        <v>2124</v>
      </c>
      <c r="AI389" s="70" t="s">
        <v>2124</v>
      </c>
      <c r="AJ389" s="70" t="s">
        <v>2124</v>
      </c>
      <c r="AK389" s="70" t="s">
        <v>2124</v>
      </c>
      <c r="AL389" s="70" t="s">
        <v>2124</v>
      </c>
      <c r="AM389" s="70" t="s">
        <v>2124</v>
      </c>
      <c r="AN389" s="70" t="s">
        <v>2124</v>
      </c>
      <c r="AO389" s="70" t="s">
        <v>2124</v>
      </c>
      <c r="AP389" s="70" t="s">
        <v>2124</v>
      </c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0</v>
      </c>
      <c r="J390" s="147" t="s">
        <v>1997</v>
      </c>
      <c r="K390" s="31">
        <f t="shared" si="21"/>
        <v>28</v>
      </c>
      <c r="L390" s="32">
        <f t="shared" si="22"/>
        <v>0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 t="s">
        <v>2124</v>
      </c>
      <c r="AI390" s="70" t="s">
        <v>2124</v>
      </c>
      <c r="AJ390" s="70" t="s">
        <v>2124</v>
      </c>
      <c r="AK390" s="70" t="s">
        <v>2124</v>
      </c>
      <c r="AL390" s="70" t="s">
        <v>2124</v>
      </c>
      <c r="AM390" s="70" t="s">
        <v>2124</v>
      </c>
      <c r="AN390" s="70" t="s">
        <v>2124</v>
      </c>
      <c r="AO390" s="70" t="s">
        <v>2124</v>
      </c>
      <c r="AP390" s="70" t="s">
        <v>2124</v>
      </c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19</v>
      </c>
      <c r="J396" s="87" t="s">
        <v>2156</v>
      </c>
      <c r="K396" s="142">
        <f t="shared" si="21"/>
        <v>9</v>
      </c>
      <c r="L396" s="143">
        <f t="shared" si="22"/>
        <v>0.6785714285714286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 t="s">
        <v>2124</v>
      </c>
      <c r="AI396" s="70" t="s">
        <v>2124</v>
      </c>
      <c r="AJ396" s="70"/>
      <c r="AK396" s="70" t="s">
        <v>2124</v>
      </c>
      <c r="AL396" s="70" t="s">
        <v>2124</v>
      </c>
      <c r="AM396" s="70" t="s">
        <v>2124</v>
      </c>
      <c r="AN396" s="70" t="s">
        <v>2124</v>
      </c>
      <c r="AO396" s="70" t="s">
        <v>2124</v>
      </c>
      <c r="AP396" s="89" t="s">
        <v>2124</v>
      </c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1</v>
      </c>
      <c r="J402" s="87"/>
      <c r="K402" s="31">
        <f t="shared" si="21"/>
        <v>27</v>
      </c>
      <c r="L402" s="32">
        <f t="shared" si="22"/>
        <v>3.5714285714285712E-2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 t="s">
        <v>2124</v>
      </c>
      <c r="AI402" s="93" t="s">
        <v>2124</v>
      </c>
      <c r="AJ402" s="93"/>
      <c r="AK402" s="93" t="s">
        <v>2124</v>
      </c>
      <c r="AL402" s="93" t="s">
        <v>2124</v>
      </c>
      <c r="AM402" s="93" t="s">
        <v>2124</v>
      </c>
      <c r="AN402" s="93" t="s">
        <v>2124</v>
      </c>
      <c r="AO402" s="93" t="s">
        <v>2124</v>
      </c>
      <c r="AP402" s="93" t="s">
        <v>2124</v>
      </c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27</v>
      </c>
      <c r="J420" s="147" t="s">
        <v>2019</v>
      </c>
      <c r="K420" s="31">
        <f t="shared" si="21"/>
        <v>1</v>
      </c>
      <c r="L420" s="32">
        <f t="shared" si="22"/>
        <v>0.9642857142857143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 t="s">
        <v>2124</v>
      </c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27</v>
      </c>
      <c r="J422" s="147" t="s">
        <v>2021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 t="s">
        <v>2124</v>
      </c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6</v>
      </c>
      <c r="J423" s="87"/>
      <c r="K423" s="31">
        <f t="shared" si="21"/>
        <v>22</v>
      </c>
      <c r="L423" s="32">
        <f t="shared" si="22"/>
        <v>0.21428571428571427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 t="s">
        <v>2124</v>
      </c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13</v>
      </c>
      <c r="J428" s="147" t="s">
        <v>2023</v>
      </c>
      <c r="K428" s="31">
        <f t="shared" si="21"/>
        <v>15</v>
      </c>
      <c r="L428" s="32">
        <f t="shared" si="22"/>
        <v>0.4642857142857143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 t="s">
        <v>2124</v>
      </c>
      <c r="AN428" s="70"/>
      <c r="AO428" s="70" t="s">
        <v>2124</v>
      </c>
      <c r="AP428" s="70" t="s">
        <v>2124</v>
      </c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22</v>
      </c>
      <c r="J429" s="147" t="s">
        <v>2024</v>
      </c>
      <c r="K429" s="142">
        <f t="shared" si="21"/>
        <v>6</v>
      </c>
      <c r="L429" s="143">
        <f t="shared" si="22"/>
        <v>0.7857142857142857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2124</v>
      </c>
      <c r="AJ429" s="70" t="s">
        <v>2124</v>
      </c>
      <c r="AK429" s="70" t="s">
        <v>2124</v>
      </c>
      <c r="AL429" s="70" t="s">
        <v>2124</v>
      </c>
      <c r="AM429" s="70" t="s">
        <v>2124</v>
      </c>
      <c r="AN429" s="70" t="s">
        <v>2124</v>
      </c>
      <c r="AO429" s="70" t="s">
        <v>2124</v>
      </c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27</v>
      </c>
      <c r="J434" s="147" t="s">
        <v>2029</v>
      </c>
      <c r="K434" s="31">
        <f t="shared" si="21"/>
        <v>1</v>
      </c>
      <c r="L434" s="32">
        <f t="shared" si="22"/>
        <v>0.9642857142857143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 t="s">
        <v>2124</v>
      </c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0</v>
      </c>
      <c r="J435" s="147" t="s">
        <v>2030</v>
      </c>
      <c r="K435" s="31">
        <f t="shared" si="21"/>
        <v>28</v>
      </c>
      <c r="L435" s="32">
        <f t="shared" si="22"/>
        <v>0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 t="s">
        <v>2124</v>
      </c>
      <c r="AI435" s="70" t="s">
        <v>2124</v>
      </c>
      <c r="AJ435" s="70" t="s">
        <v>2124</v>
      </c>
      <c r="AK435" s="70" t="s">
        <v>2124</v>
      </c>
      <c r="AL435" s="70" t="s">
        <v>2124</v>
      </c>
      <c r="AM435" s="70" t="s">
        <v>2124</v>
      </c>
      <c r="AN435" s="70" t="s">
        <v>2124</v>
      </c>
      <c r="AO435" s="70" t="s">
        <v>2124</v>
      </c>
      <c r="AP435" s="70" t="s">
        <v>2124</v>
      </c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21</v>
      </c>
      <c r="J437" s="87"/>
      <c r="K437" s="31">
        <f t="shared" si="21"/>
        <v>7</v>
      </c>
      <c r="L437" s="32">
        <f t="shared" si="22"/>
        <v>0.75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 t="s">
        <v>2124</v>
      </c>
      <c r="AI437" s="70" t="s">
        <v>2124</v>
      </c>
      <c r="AJ437" s="70" t="s">
        <v>2124</v>
      </c>
      <c r="AK437" s="70" t="s">
        <v>2124</v>
      </c>
      <c r="AL437" s="70" t="s">
        <v>2124</v>
      </c>
      <c r="AM437" s="70" t="s">
        <v>2124</v>
      </c>
      <c r="AN437" s="70" t="s">
        <v>2124</v>
      </c>
      <c r="AO437" s="70" t="s">
        <v>2124</v>
      </c>
      <c r="AP437" s="89" t="s">
        <v>2124</v>
      </c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21</v>
      </c>
      <c r="J438" s="87"/>
      <c r="K438" s="31">
        <f t="shared" si="21"/>
        <v>7</v>
      </c>
      <c r="L438" s="32">
        <f t="shared" si="22"/>
        <v>0.75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 t="s">
        <v>2124</v>
      </c>
      <c r="AI438" s="70" t="s">
        <v>2124</v>
      </c>
      <c r="AJ438" s="70" t="s">
        <v>2124</v>
      </c>
      <c r="AK438" s="70" t="s">
        <v>2124</v>
      </c>
      <c r="AL438" s="70" t="s">
        <v>2124</v>
      </c>
      <c r="AM438" s="70" t="s">
        <v>2124</v>
      </c>
      <c r="AN438" s="70" t="s">
        <v>2124</v>
      </c>
      <c r="AO438" s="70" t="s">
        <v>2124</v>
      </c>
      <c r="AP438" s="89" t="s">
        <v>2124</v>
      </c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27</v>
      </c>
      <c r="J441" s="153"/>
      <c r="K441" s="31">
        <f t="shared" si="21"/>
        <v>1</v>
      </c>
      <c r="L441" s="32">
        <f t="shared" si="22"/>
        <v>0.9642857142857143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 t="s">
        <v>2124</v>
      </c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11</v>
      </c>
      <c r="J444" s="87"/>
      <c r="K444" s="142">
        <f t="shared" si="21"/>
        <v>17</v>
      </c>
      <c r="L444" s="143">
        <f t="shared" si="22"/>
        <v>0.39285714285714285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 t="s">
        <v>2124</v>
      </c>
      <c r="AJ444" s="70"/>
      <c r="AK444" s="70"/>
      <c r="AL444" s="70"/>
      <c r="AM444" s="70"/>
      <c r="AN444" s="70" t="s">
        <v>2124</v>
      </c>
      <c r="AO444" s="70" t="s">
        <v>2124</v>
      </c>
      <c r="AP444" s="89" t="s">
        <v>2124</v>
      </c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27</v>
      </c>
      <c r="J448" s="147" t="s">
        <v>2035</v>
      </c>
      <c r="K448" s="31">
        <f t="shared" ref="K448:K518" si="24">COUNTIF(M448:AN448,"APAGADO")</f>
        <v>1</v>
      </c>
      <c r="L448" s="32">
        <f t="shared" ref="L448:L518" si="25">(I448)/(K448+I448)</f>
        <v>0.9642857142857143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 t="s">
        <v>2124</v>
      </c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27</v>
      </c>
      <c r="J449" s="147" t="s">
        <v>2036</v>
      </c>
      <c r="K449" s="31">
        <f t="shared" si="24"/>
        <v>1</v>
      </c>
      <c r="L449" s="32">
        <f t="shared" si="25"/>
        <v>0.9642857142857143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 t="s">
        <v>2124</v>
      </c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25</v>
      </c>
      <c r="J450" s="147" t="s">
        <v>2037</v>
      </c>
      <c r="K450" s="31">
        <f t="shared" si="24"/>
        <v>3</v>
      </c>
      <c r="L450" s="32">
        <f t="shared" si="25"/>
        <v>0.8928571428571429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 t="s">
        <v>2124</v>
      </c>
      <c r="AM450" s="70" t="s">
        <v>2124</v>
      </c>
      <c r="AN450" s="70" t="s">
        <v>2124</v>
      </c>
      <c r="AO450" s="70" t="s">
        <v>2124</v>
      </c>
      <c r="AP450" s="70" t="s">
        <v>2124</v>
      </c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27</v>
      </c>
      <c r="J453" s="147" t="s">
        <v>2040</v>
      </c>
      <c r="K453" s="31">
        <f t="shared" si="24"/>
        <v>1</v>
      </c>
      <c r="L453" s="32">
        <f t="shared" si="25"/>
        <v>0.9642857142857143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 t="s">
        <v>2124</v>
      </c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27</v>
      </c>
      <c r="J454" s="147" t="s">
        <v>2041</v>
      </c>
      <c r="K454" s="31">
        <f t="shared" si="24"/>
        <v>1</v>
      </c>
      <c r="L454" s="32">
        <f t="shared" si="25"/>
        <v>0.9642857142857143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 t="s">
        <v>2124</v>
      </c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25</v>
      </c>
      <c r="J459" s="147" t="s">
        <v>2046</v>
      </c>
      <c r="K459" s="31">
        <f t="shared" si="24"/>
        <v>3</v>
      </c>
      <c r="L459" s="32">
        <f t="shared" si="25"/>
        <v>0.8928571428571429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 t="s">
        <v>2124</v>
      </c>
      <c r="AM459" s="70" t="s">
        <v>2124</v>
      </c>
      <c r="AN459" s="70" t="s">
        <v>2124</v>
      </c>
      <c r="AO459" s="70" t="s">
        <v>2124</v>
      </c>
      <c r="AP459" s="70" t="s">
        <v>2124</v>
      </c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27</v>
      </c>
      <c r="J462" s="87" t="s">
        <v>2172</v>
      </c>
      <c r="K462" s="87">
        <f t="shared" si="24"/>
        <v>1</v>
      </c>
      <c r="L462" s="88">
        <f t="shared" si="25"/>
        <v>0.9642857142857143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 t="s">
        <v>2124</v>
      </c>
      <c r="AO462" s="89" t="s">
        <v>2124</v>
      </c>
      <c r="AP462" s="89" t="s">
        <v>2124</v>
      </c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27</v>
      </c>
      <c r="J480" s="147" t="s">
        <v>2058</v>
      </c>
      <c r="K480" s="31">
        <f t="shared" si="24"/>
        <v>1</v>
      </c>
      <c r="L480" s="32">
        <f t="shared" si="25"/>
        <v>0.9642857142857143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 t="s">
        <v>2124</v>
      </c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4</v>
      </c>
      <c r="J490" s="147" t="s">
        <v>2068</v>
      </c>
      <c r="K490" s="31">
        <f t="shared" si="24"/>
        <v>24</v>
      </c>
      <c r="L490" s="32">
        <f t="shared" si="25"/>
        <v>0.14285714285714285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 t="s">
        <v>2124</v>
      </c>
      <c r="AI490" s="70" t="s">
        <v>2124</v>
      </c>
      <c r="AJ490" s="70" t="s">
        <v>2124</v>
      </c>
      <c r="AK490" s="70" t="s">
        <v>2124</v>
      </c>
      <c r="AL490" s="70" t="s">
        <v>2124</v>
      </c>
      <c r="AM490" s="70" t="s">
        <v>2124</v>
      </c>
      <c r="AN490" s="70" t="s">
        <v>2124</v>
      </c>
      <c r="AO490" s="70" t="s">
        <v>2124</v>
      </c>
      <c r="AP490" s="70" t="s">
        <v>2124</v>
      </c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9</v>
      </c>
      <c r="J491" s="147" t="s">
        <v>2069</v>
      </c>
      <c r="K491" s="31">
        <f t="shared" si="24"/>
        <v>19</v>
      </c>
      <c r="L491" s="32">
        <f t="shared" si="25"/>
        <v>0.32142857142857145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 t="s">
        <v>2124</v>
      </c>
      <c r="AI491" s="70" t="s">
        <v>2124</v>
      </c>
      <c r="AJ491" s="70" t="s">
        <v>2124</v>
      </c>
      <c r="AK491" s="70" t="s">
        <v>2124</v>
      </c>
      <c r="AL491" s="70" t="s">
        <v>2124</v>
      </c>
      <c r="AM491" s="70" t="s">
        <v>2124</v>
      </c>
      <c r="AN491" s="70" t="s">
        <v>2124</v>
      </c>
      <c r="AO491" s="70" t="s">
        <v>2124</v>
      </c>
      <c r="AP491" s="70" t="s">
        <v>2124</v>
      </c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21</v>
      </c>
      <c r="J495" s="147" t="s">
        <v>2073</v>
      </c>
      <c r="K495" s="31">
        <f t="shared" si="24"/>
        <v>7</v>
      </c>
      <c r="L495" s="32">
        <f t="shared" si="25"/>
        <v>0.75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 t="s">
        <v>2124</v>
      </c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27</v>
      </c>
      <c r="J498" s="147" t="s">
        <v>2075</v>
      </c>
      <c r="K498" s="142">
        <f t="shared" si="24"/>
        <v>1</v>
      </c>
      <c r="L498" s="143">
        <f t="shared" si="25"/>
        <v>0.9642857142857143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 t="s">
        <v>2124</v>
      </c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18</v>
      </c>
      <c r="J505" s="147" t="s">
        <v>2082</v>
      </c>
      <c r="K505" s="142">
        <f t="shared" si="24"/>
        <v>10</v>
      </c>
      <c r="L505" s="143">
        <f t="shared" si="25"/>
        <v>0.6428571428571429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 t="s">
        <v>2124</v>
      </c>
      <c r="AI505" s="70" t="s">
        <v>2124</v>
      </c>
      <c r="AJ505" s="70" t="s">
        <v>2124</v>
      </c>
      <c r="AK505" s="70" t="s">
        <v>2124</v>
      </c>
      <c r="AL505" s="70" t="s">
        <v>2124</v>
      </c>
      <c r="AM505" s="70" t="s">
        <v>2124</v>
      </c>
      <c r="AN505" s="70" t="s">
        <v>2124</v>
      </c>
      <c r="AO505" s="70" t="s">
        <v>2124</v>
      </c>
      <c r="AP505" s="89" t="s">
        <v>2124</v>
      </c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27</v>
      </c>
      <c r="J518" s="147" t="s">
        <v>2094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 t="s">
        <v>2124</v>
      </c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 t="s">
        <v>2124</v>
      </c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26</v>
      </c>
      <c r="J521" s="147" t="s">
        <v>2097</v>
      </c>
      <c r="K521" s="31">
        <f t="shared" si="27"/>
        <v>1</v>
      </c>
      <c r="L521" s="32">
        <f t="shared" si="28"/>
        <v>0.96296296296296291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 t="s">
        <v>2124</v>
      </c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27</v>
      </c>
      <c r="J523" s="147" t="s">
        <v>2205</v>
      </c>
      <c r="K523" s="31">
        <f t="shared" si="27"/>
        <v>1</v>
      </c>
      <c r="L523" s="32">
        <f t="shared" si="28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 t="s">
        <v>2124</v>
      </c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15</v>
      </c>
      <c r="J530" s="87"/>
      <c r="K530" s="142">
        <f t="shared" si="27"/>
        <v>13</v>
      </c>
      <c r="L530" s="143">
        <f t="shared" si="28"/>
        <v>0.5357142857142857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 t="s">
        <v>2124</v>
      </c>
      <c r="AI530" s="70" t="s">
        <v>2124</v>
      </c>
      <c r="AJ530" s="70" t="s">
        <v>2124</v>
      </c>
      <c r="AK530" s="70" t="s">
        <v>2124</v>
      </c>
      <c r="AL530" s="70" t="s">
        <v>2124</v>
      </c>
      <c r="AM530" s="70" t="s">
        <v>2124</v>
      </c>
      <c r="AN530" s="70" t="s">
        <v>2124</v>
      </c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17</v>
      </c>
      <c r="J532" s="87" t="s">
        <v>2190</v>
      </c>
      <c r="K532" s="31">
        <f t="shared" si="27"/>
        <v>11</v>
      </c>
      <c r="L532" s="32">
        <f t="shared" si="28"/>
        <v>0.6071428571428571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 t="s">
        <v>2124</v>
      </c>
      <c r="AO532" s="70" t="s">
        <v>2124</v>
      </c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16</v>
      </c>
      <c r="J534" s="87" t="s">
        <v>2191</v>
      </c>
      <c r="K534" s="31">
        <f t="shared" si="27"/>
        <v>12</v>
      </c>
      <c r="L534" s="32">
        <f t="shared" si="28"/>
        <v>0.5714285714285714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 t="s">
        <v>2124</v>
      </c>
      <c r="AN534" s="70" t="s">
        <v>2124</v>
      </c>
      <c r="AO534" s="70" t="s">
        <v>2124</v>
      </c>
      <c r="AP534" s="70" t="s">
        <v>2124</v>
      </c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1</v>
      </c>
      <c r="J542" s="147" t="s">
        <v>2109</v>
      </c>
      <c r="K542" s="31">
        <f t="shared" si="27"/>
        <v>27</v>
      </c>
      <c r="L542" s="32">
        <f t="shared" si="28"/>
        <v>3.5714285714285712E-2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 t="s">
        <v>2124</v>
      </c>
      <c r="AI542" s="70" t="s">
        <v>2124</v>
      </c>
      <c r="AJ542" s="70" t="s">
        <v>2124</v>
      </c>
      <c r="AK542" s="70" t="s">
        <v>2124</v>
      </c>
      <c r="AL542" s="70" t="s">
        <v>2124</v>
      </c>
      <c r="AM542" s="70" t="s">
        <v>2124</v>
      </c>
      <c r="AN542" s="70" t="s">
        <v>2124</v>
      </c>
      <c r="AO542" s="70" t="s">
        <v>2124</v>
      </c>
      <c r="AP542" s="70" t="s">
        <v>2124</v>
      </c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27</v>
      </c>
      <c r="J555" s="147" t="s">
        <v>2117</v>
      </c>
      <c r="K555" s="142">
        <f t="shared" si="27"/>
        <v>1</v>
      </c>
      <c r="L555" s="143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 t="s">
        <v>2124</v>
      </c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9</v>
      </c>
      <c r="J558" s="147" t="s">
        <v>2120</v>
      </c>
      <c r="K558" s="142">
        <f t="shared" si="27"/>
        <v>19</v>
      </c>
      <c r="L558" s="143">
        <f t="shared" si="28"/>
        <v>0.32142857142857145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 t="s">
        <v>2124</v>
      </c>
      <c r="AI558" s="70" t="s">
        <v>2124</v>
      </c>
      <c r="AJ558" s="70" t="s">
        <v>2124</v>
      </c>
      <c r="AK558" s="70" t="s">
        <v>2124</v>
      </c>
      <c r="AL558" s="70" t="s">
        <v>2124</v>
      </c>
      <c r="AM558" s="70" t="s">
        <v>2124</v>
      </c>
      <c r="AN558" s="70" t="s">
        <v>2124</v>
      </c>
      <c r="AO558" s="70" t="s">
        <v>2124</v>
      </c>
      <c r="AP558" s="89" t="s">
        <v>2124</v>
      </c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313" zoomScale="90" zoomScaleNormal="90" workbookViewId="0">
      <selection activeCell="H323" sqref="H32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44</v>
      </c>
      <c r="D236" s="54"/>
      <c r="E236" s="55">
        <f>C236/C235</f>
        <v>7.9279279279279274E-2</v>
      </c>
      <c r="F236" s="155"/>
    </row>
    <row r="237" spans="2:6" x14ac:dyDescent="0.25">
      <c r="B237" s="53" t="s">
        <v>1245</v>
      </c>
      <c r="C237" s="67">
        <v>2</v>
      </c>
      <c r="D237" s="103">
        <v>42</v>
      </c>
      <c r="E237" s="55">
        <f>D237/C235</f>
        <v>7.567567567567568E-2</v>
      </c>
      <c r="F237" s="155"/>
    </row>
    <row r="238" spans="2:6" x14ac:dyDescent="0.25">
      <c r="B238" s="53" t="s">
        <v>1246</v>
      </c>
      <c r="C238" s="67">
        <v>2</v>
      </c>
      <c r="D238" s="103">
        <v>40</v>
      </c>
      <c r="E238" s="55">
        <f>D238/C235</f>
        <v>7.2072072072072071E-2</v>
      </c>
      <c r="F238" s="155"/>
    </row>
    <row r="239" spans="2:6" x14ac:dyDescent="0.25">
      <c r="B239" s="53" t="s">
        <v>16</v>
      </c>
      <c r="C239" s="94">
        <v>7</v>
      </c>
      <c r="D239" s="103">
        <v>33</v>
      </c>
      <c r="E239" s="55">
        <f>D239/C235</f>
        <v>5.9459459459459463E-2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15</v>
      </c>
      <c r="E242" s="105">
        <f>D242/C242</f>
        <v>5.0335570469798654E-2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29</v>
      </c>
      <c r="E243" s="114">
        <v>0.11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46</v>
      </c>
      <c r="D248" s="54"/>
      <c r="E248" s="55">
        <f>C248/C247</f>
        <v>8.2882882882882883E-2</v>
      </c>
      <c r="F248" s="155"/>
    </row>
    <row r="249" spans="2:6" x14ac:dyDescent="0.25">
      <c r="B249" s="53" t="s">
        <v>1245</v>
      </c>
      <c r="C249" s="67">
        <v>0</v>
      </c>
      <c r="D249" s="103">
        <v>46</v>
      </c>
      <c r="E249" s="55">
        <f>D249/C247</f>
        <v>8.2882882882882883E-2</v>
      </c>
      <c r="F249" s="155"/>
    </row>
    <row r="250" spans="2:6" x14ac:dyDescent="0.25">
      <c r="B250" s="53" t="s">
        <v>1246</v>
      </c>
      <c r="C250" s="67">
        <v>2</v>
      </c>
      <c r="D250" s="103">
        <v>44</v>
      </c>
      <c r="E250" s="55">
        <f>D250/C247</f>
        <v>7.9279279279279274E-2</v>
      </c>
      <c r="F250" s="155"/>
    </row>
    <row r="251" spans="2:6" x14ac:dyDescent="0.25">
      <c r="B251" s="53" t="s">
        <v>16</v>
      </c>
      <c r="C251" s="94">
        <v>7</v>
      </c>
      <c r="D251" s="103">
        <v>37</v>
      </c>
      <c r="E251" s="55">
        <f>D251/C247</f>
        <v>6.6666666666666666E-2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15</v>
      </c>
      <c r="E254" s="105">
        <f>D254/C254</f>
        <v>5.0335570469798654E-2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31</v>
      </c>
      <c r="E255" s="114">
        <f>D255/C255</f>
        <v>0.12109375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74</v>
      </c>
      <c r="D260" s="54"/>
      <c r="E260" s="55">
        <f>C260/C259</f>
        <v>0.13333333333333333</v>
      </c>
      <c r="F260" s="155"/>
    </row>
    <row r="261" spans="2:6" x14ac:dyDescent="0.25">
      <c r="B261" s="53" t="s">
        <v>1245</v>
      </c>
      <c r="C261" s="67">
        <v>2</v>
      </c>
      <c r="D261" s="103">
        <v>72</v>
      </c>
      <c r="E261" s="55">
        <f>D261/C259</f>
        <v>0.12972972972972974</v>
      </c>
      <c r="F261" s="155"/>
    </row>
    <row r="262" spans="2:6" x14ac:dyDescent="0.25">
      <c r="B262" s="53" t="s">
        <v>1246</v>
      </c>
      <c r="C262" s="67">
        <v>3</v>
      </c>
      <c r="D262" s="103">
        <v>69</v>
      </c>
      <c r="E262" s="55">
        <f>D262/C259</f>
        <v>0.12432432432432433</v>
      </c>
      <c r="F262" s="155"/>
    </row>
    <row r="263" spans="2:6" x14ac:dyDescent="0.25">
      <c r="B263" s="53" t="s">
        <v>16</v>
      </c>
      <c r="C263" s="94">
        <v>6</v>
      </c>
      <c r="D263" s="103">
        <v>63</v>
      </c>
      <c r="E263" s="55">
        <f>D263/C259</f>
        <v>0.11351351351351352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 t="s">
        <v>2217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16</v>
      </c>
      <c r="E266" s="105">
        <v>0.05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58</v>
      </c>
      <c r="E267" s="114">
        <v>0.23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43</v>
      </c>
      <c r="D293" s="54"/>
      <c r="E293" s="55">
        <f>C293/C292</f>
        <v>7.7477477477477477E-2</v>
      </c>
      <c r="F293" s="155"/>
    </row>
    <row r="294" spans="2:6" x14ac:dyDescent="0.25">
      <c r="B294" s="53" t="s">
        <v>1245</v>
      </c>
      <c r="C294" s="67">
        <v>2</v>
      </c>
      <c r="D294" s="103">
        <v>41</v>
      </c>
      <c r="E294" s="55">
        <f>D294/C292</f>
        <v>7.3873873873873869E-2</v>
      </c>
      <c r="F294" s="155"/>
    </row>
    <row r="295" spans="2:6" x14ac:dyDescent="0.25">
      <c r="B295" s="53" t="s">
        <v>1246</v>
      </c>
      <c r="C295" s="67">
        <v>3</v>
      </c>
      <c r="D295" s="103">
        <v>38</v>
      </c>
      <c r="E295" s="55">
        <f>D295/C292</f>
        <v>6.8468468468468463E-2</v>
      </c>
      <c r="F295" s="155"/>
    </row>
    <row r="296" spans="2:6" x14ac:dyDescent="0.25">
      <c r="B296" s="53" t="s">
        <v>16</v>
      </c>
      <c r="C296" s="94">
        <v>4</v>
      </c>
      <c r="D296" s="103">
        <v>34</v>
      </c>
      <c r="E296" s="55">
        <f>D296/C292</f>
        <v>6.126126126126126E-2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16</v>
      </c>
      <c r="E299" s="105">
        <f>D299/C299</f>
        <v>5.3691275167785234E-2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27</v>
      </c>
      <c r="E300" s="114">
        <f>D300/C300</f>
        <v>0.10546875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49</v>
      </c>
      <c r="D304" s="54"/>
      <c r="E304" s="55">
        <f>C304/C303</f>
        <v>8.8288288288288289E-2</v>
      </c>
      <c r="F304" s="155"/>
    </row>
    <row r="305" spans="2:6" x14ac:dyDescent="0.25">
      <c r="B305" s="53" t="s">
        <v>1245</v>
      </c>
      <c r="C305" s="67">
        <v>4</v>
      </c>
      <c r="D305" s="103">
        <v>45</v>
      </c>
      <c r="E305" s="55">
        <f>D305/C303</f>
        <v>8.1081081081081086E-2</v>
      </c>
      <c r="F305" s="155"/>
    </row>
    <row r="306" spans="2:6" x14ac:dyDescent="0.25">
      <c r="B306" s="53" t="s">
        <v>1246</v>
      </c>
      <c r="C306" s="67">
        <v>3</v>
      </c>
      <c r="D306" s="103">
        <v>42</v>
      </c>
      <c r="E306" s="55">
        <f>D306/C303</f>
        <v>7.567567567567568E-2</v>
      </c>
      <c r="F306" s="155"/>
    </row>
    <row r="307" spans="2:6" x14ac:dyDescent="0.25">
      <c r="B307" s="53" t="s">
        <v>16</v>
      </c>
      <c r="C307" s="94">
        <v>4</v>
      </c>
      <c r="D307" s="103">
        <v>38</v>
      </c>
      <c r="E307" s="55">
        <f>D307/C303</f>
        <v>6.8468468468468463E-2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19</v>
      </c>
      <c r="E310" s="105">
        <v>0.06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24</v>
      </c>
      <c r="E311" s="114">
        <v>0.09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44</v>
      </c>
      <c r="D315" s="54"/>
      <c r="E315" s="55">
        <f>C315/C314</f>
        <v>7.9279279279279274E-2</v>
      </c>
      <c r="F315" s="155"/>
    </row>
    <row r="316" spans="2:6" x14ac:dyDescent="0.25">
      <c r="B316" s="53" t="s">
        <v>1245</v>
      </c>
      <c r="C316" s="67">
        <v>1</v>
      </c>
      <c r="D316" s="103">
        <v>43</v>
      </c>
      <c r="E316" s="55">
        <f>D316/C314</f>
        <v>7.7477477477477477E-2</v>
      </c>
      <c r="F316" s="155"/>
    </row>
    <row r="317" spans="2:6" x14ac:dyDescent="0.25">
      <c r="B317" s="53" t="s">
        <v>1246</v>
      </c>
      <c r="C317" s="67">
        <v>3</v>
      </c>
      <c r="D317" s="103">
        <v>40</v>
      </c>
      <c r="E317" s="55">
        <f>D317/C314</f>
        <v>7.2072072072072071E-2</v>
      </c>
      <c r="F317" s="155"/>
    </row>
    <row r="318" spans="2:6" x14ac:dyDescent="0.25">
      <c r="B318" s="53" t="s">
        <v>16</v>
      </c>
      <c r="C318" s="94">
        <v>4</v>
      </c>
      <c r="D318" s="103">
        <v>36</v>
      </c>
      <c r="E318" s="55">
        <f>D318/C314</f>
        <v>6.4864864864864868E-2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20</v>
      </c>
      <c r="E321" s="105">
        <v>7.0000000000000007E-2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24</v>
      </c>
      <c r="E322" s="114">
        <f>D322/C322</f>
        <v>9.375E-2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44</v>
      </c>
      <c r="D326" s="54"/>
      <c r="E326" s="55">
        <f>C326/C325</f>
        <v>7.9279279279279274E-2</v>
      </c>
      <c r="F326" s="155"/>
    </row>
    <row r="327" spans="2:6" x14ac:dyDescent="0.25">
      <c r="B327" s="53" t="s">
        <v>1245</v>
      </c>
      <c r="C327" s="67">
        <v>0</v>
      </c>
      <c r="D327" s="103">
        <v>44</v>
      </c>
      <c r="E327" s="55">
        <f>D327/C325</f>
        <v>7.9279279279279274E-2</v>
      </c>
      <c r="F327" s="155"/>
    </row>
    <row r="328" spans="2:6" x14ac:dyDescent="0.25">
      <c r="B328" s="53" t="s">
        <v>1246</v>
      </c>
      <c r="C328" s="67">
        <v>3</v>
      </c>
      <c r="D328" s="103">
        <v>41</v>
      </c>
      <c r="E328" s="55">
        <f>D328/C325</f>
        <v>7.3873873873873869E-2</v>
      </c>
      <c r="F328" s="155"/>
    </row>
    <row r="329" spans="2:6" x14ac:dyDescent="0.25">
      <c r="B329" s="53" t="s">
        <v>16</v>
      </c>
      <c r="C329" s="94">
        <v>4</v>
      </c>
      <c r="D329" s="103">
        <v>37</v>
      </c>
      <c r="E329" s="55">
        <f>D329/C325</f>
        <v>6.6666666666666666E-2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21</v>
      </c>
      <c r="E332" s="105">
        <v>7.0000000000000007E-2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23</v>
      </c>
      <c r="E333" s="114">
        <v>0.09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 t="str">
        <f>'RESUMEN TOTAL'!AP19</f>
        <v>APAGADO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 t="str">
        <f>'RESUMEN TOTAL'!AJ28</f>
        <v>APAGADO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 t="str">
        <f>'RESUMEN TOTAL'!AJ29</f>
        <v>APAGADO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 t="str">
        <f>'RESUMEN TOTAL'!AK87</f>
        <v>APAGADO</v>
      </c>
      <c r="AE68" s="70" t="str">
        <f>'RESUMEN TOTAL'!AL87</f>
        <v>APAGADO</v>
      </c>
      <c r="AF68" s="70" t="str">
        <f>'RESUMEN TOTAL'!AM87</f>
        <v>APAGADO</v>
      </c>
      <c r="AG68" s="70">
        <f>'RESUMEN TOTAL'!AN87</f>
        <v>0</v>
      </c>
      <c r="AH68" s="70" t="str">
        <f>'RESUMEN TOTAL'!AO87</f>
        <v>APAGADO</v>
      </c>
      <c r="AI68" s="70" t="str">
        <f>'RESUMEN TOTAL'!AP87</f>
        <v>APAGADO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 t="str">
        <f>'RESUMEN TOTAL'!AH95</f>
        <v>APAGADO</v>
      </c>
      <c r="AB76" s="70" t="str">
        <f>'RESUMEN TOTAL'!AI95</f>
        <v>APAGADO</v>
      </c>
      <c r="AC76" s="70" t="str">
        <f>'RESUMEN TOTAL'!AJ95</f>
        <v>APAGADO</v>
      </c>
      <c r="AD76" s="70" t="str">
        <f>'RESUMEN TOTAL'!AK95</f>
        <v>APAGADO</v>
      </c>
      <c r="AE76" s="70" t="str">
        <f>'RESUMEN TOTAL'!AL95</f>
        <v>APAGADO</v>
      </c>
      <c r="AF76" s="70" t="str">
        <f>'RESUMEN TOTAL'!AM95</f>
        <v>APAGADO</v>
      </c>
      <c r="AG76" s="70" t="str">
        <f>'RESUMEN TOTAL'!AN95</f>
        <v>APAGADO</v>
      </c>
      <c r="AH76" s="70" t="str">
        <f>'RESUMEN TOTAL'!AO95</f>
        <v>APAGADO</v>
      </c>
      <c r="AI76" s="70" t="str">
        <f>'RESUMEN TOTAL'!AP95</f>
        <v>APAGADO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 t="str">
        <f>'RESUMEN TOTAL'!AI97</f>
        <v>APAGADO</v>
      </c>
      <c r="AC78" s="70" t="str">
        <f>'RESUMEN TOTAL'!AJ97</f>
        <v>APAGADO</v>
      </c>
      <c r="AD78" s="70" t="str">
        <f>'RESUMEN TOTAL'!AK97</f>
        <v>APAGADO</v>
      </c>
      <c r="AE78" s="70" t="str">
        <f>'RESUMEN TOTAL'!AL97</f>
        <v>APAGADO</v>
      </c>
      <c r="AF78" s="70" t="str">
        <f>'RESUMEN TOTAL'!AM97</f>
        <v>APAGADO</v>
      </c>
      <c r="AG78" s="70" t="str">
        <f>'RESUMEN TOTAL'!AN97</f>
        <v>APAGADO</v>
      </c>
      <c r="AH78" s="70" t="str">
        <f>'RESUMEN TOTAL'!AO97</f>
        <v>APAGADO</v>
      </c>
      <c r="AI78" s="70" t="str">
        <f>'RESUMEN TOTAL'!AP97</f>
        <v>APAGADO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 t="str">
        <f>'RESUMEN TOTAL'!AL116</f>
        <v>APAGADO</v>
      </c>
      <c r="AF97" s="70" t="str">
        <f>'RESUMEN TOTAL'!AM116</f>
        <v>APAGADO</v>
      </c>
      <c r="AG97" s="70" t="str">
        <f>'RESUMEN TOTAL'!AN116</f>
        <v>APAGADO</v>
      </c>
      <c r="AH97" s="70" t="str">
        <f>'RESUMEN TOTAL'!AO116</f>
        <v>APAGADO</v>
      </c>
      <c r="AI97" s="70" t="str">
        <f>'RESUMEN TOTAL'!AP116</f>
        <v>APAGADO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 t="str">
        <f>'RESUMEN TOTAL'!AL118</f>
        <v>APAGADO</v>
      </c>
      <c r="AF99" s="70" t="str">
        <f>'RESUMEN TOTAL'!AM118</f>
        <v>APAGADO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 t="str">
        <f>'RESUMEN TOTAL'!AN125</f>
        <v>APAGADO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 t="str">
        <f>'RESUMEN TOTAL'!AP142</f>
        <v>APAGADO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 t="str">
        <f>'RESUMEN TOTAL'!AH188</f>
        <v>APAGADO</v>
      </c>
      <c r="AB148" s="70" t="str">
        <f>'RESUMEN TOTAL'!AI188</f>
        <v>APAGADO</v>
      </c>
      <c r="AC148" s="70" t="str">
        <f>'RESUMEN TOTAL'!AJ188</f>
        <v>APAGADO</v>
      </c>
      <c r="AD148" s="70" t="str">
        <f>'RESUMEN TOTAL'!AK188</f>
        <v>APAGADO</v>
      </c>
      <c r="AE148" s="70" t="str">
        <f>'RESUMEN TOTAL'!AL188</f>
        <v>APAGADO</v>
      </c>
      <c r="AF148" s="70" t="str">
        <f>'RESUMEN TOTAL'!AM188</f>
        <v>APAGADO</v>
      </c>
      <c r="AG148" s="70" t="str">
        <f>'RESUMEN TOTAL'!AN188</f>
        <v>APAGADO</v>
      </c>
      <c r="AH148" s="70" t="str">
        <f>'RESUMEN TOTAL'!AO188</f>
        <v>APAGADO</v>
      </c>
      <c r="AI148" s="70" t="str">
        <f>'RESUMEN TOTAL'!AP188</f>
        <v>APAGADO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 t="str">
        <f>'RESUMEN TOTAL'!AJ190</f>
        <v>APAGADO</v>
      </c>
      <c r="AD150" s="70" t="str">
        <f>'RESUMEN TOTAL'!AK190</f>
        <v>APAGADO</v>
      </c>
      <c r="AE150" s="70">
        <f>'RESUMEN TOTAL'!AL190</f>
        <v>0</v>
      </c>
      <c r="AF150" s="70">
        <f>'RESUMEN TOTAL'!AM190</f>
        <v>0</v>
      </c>
      <c r="AG150" s="70" t="str">
        <f>'RESUMEN TOTAL'!AN190</f>
        <v>APAGADO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 t="str">
        <f>'RESUMEN TOTAL'!AH194</f>
        <v>APAGADO</v>
      </c>
      <c r="AB154" s="70" t="str">
        <f>'RESUMEN TOTAL'!AI194</f>
        <v>APAGADO</v>
      </c>
      <c r="AC154" s="70" t="str">
        <f>'RESUMEN TOTAL'!AJ194</f>
        <v>APAGADO</v>
      </c>
      <c r="AD154" s="70" t="str">
        <f>'RESUMEN TOTAL'!AK194</f>
        <v>APAGADO</v>
      </c>
      <c r="AE154" s="70" t="str">
        <f>'RESUMEN TOTAL'!AL194</f>
        <v>APAGADO</v>
      </c>
      <c r="AF154" s="70" t="str">
        <f>'RESUMEN TOTAL'!AM194</f>
        <v>APAGADO</v>
      </c>
      <c r="AG154" s="70" t="str">
        <f>'RESUMEN TOTAL'!AN194</f>
        <v>APAGADO</v>
      </c>
      <c r="AH154" s="70" t="str">
        <f>'RESUMEN TOTAL'!AO194</f>
        <v>APAGADO</v>
      </c>
      <c r="AI154" s="70" t="str">
        <f>'RESUMEN TOTAL'!AP194</f>
        <v>APAGADO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 t="str">
        <f>'RESUMEN TOTAL'!AH195</f>
        <v>APAGADO</v>
      </c>
      <c r="AB155" s="70" t="str">
        <f>'RESUMEN TOTAL'!AI195</f>
        <v>APAGADO</v>
      </c>
      <c r="AC155" s="70" t="str">
        <f>'RESUMEN TOTAL'!AJ195</f>
        <v>APAGADO</v>
      </c>
      <c r="AD155" s="70" t="str">
        <f>'RESUMEN TOTAL'!AK195</f>
        <v>APAGADO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 t="str">
        <f>'RESUMEN TOTAL'!AO195</f>
        <v>APAGADO</v>
      </c>
      <c r="AI155" s="70" t="str">
        <f>'RESUMEN TOTAL'!AP195</f>
        <v>APAGADO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 t="str">
        <f>'RESUMEN TOTAL'!AL196</f>
        <v>APAGADO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 t="str">
        <f>'RESUMEN TOTAL'!AH206</f>
        <v>APAGADO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 t="str">
        <f>'RESUMEN TOTAL'!AH213</f>
        <v>APAGADO</v>
      </c>
      <c r="AB170" s="70" t="str">
        <f>'RESUMEN TOTAL'!AI213</f>
        <v>APAGADO</v>
      </c>
      <c r="AC170" s="70" t="str">
        <f>'RESUMEN TOTAL'!AJ213</f>
        <v>APAGADO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 t="str">
        <f>'RESUMEN TOTAL'!AH214</f>
        <v>APAGADO</v>
      </c>
      <c r="AB171" s="70" t="str">
        <f>'RESUMEN TOTAL'!AI214</f>
        <v>APAGADO</v>
      </c>
      <c r="AC171" s="70" t="str">
        <f>'RESUMEN TOTAL'!AJ214</f>
        <v>APAGADO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 t="str">
        <f>'RESUMEN TOTAL'!AK215</f>
        <v>APAGADO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 t="str">
        <f>'RESUMEN TOTAL'!AK217</f>
        <v>APAGADO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 t="str">
        <f>'RESUMEN TOTAL'!AK218</f>
        <v>APAGADO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 t="str">
        <f>'RESUMEN TOTAL'!AH240</f>
        <v>APAGADO</v>
      </c>
      <c r="AB194" s="70" t="str">
        <f>'RESUMEN TOTAL'!AI240</f>
        <v>APAGADO</v>
      </c>
      <c r="AC194" s="70" t="str">
        <f>'RESUMEN TOTAL'!AJ240</f>
        <v>APAGADO</v>
      </c>
      <c r="AD194" s="70" t="str">
        <f>'RESUMEN TOTAL'!AK240</f>
        <v>APAGADO</v>
      </c>
      <c r="AE194" s="70" t="str">
        <f>'RESUMEN TOTAL'!AL240</f>
        <v>APAGADO</v>
      </c>
      <c r="AF194" s="70" t="str">
        <f>'RESUMEN TOTAL'!AM240</f>
        <v>APAGADO</v>
      </c>
      <c r="AG194" s="70" t="str">
        <f>'RESUMEN TOTAL'!AN240</f>
        <v>APAGADO</v>
      </c>
      <c r="AH194" s="70" t="str">
        <f>'RESUMEN TOTAL'!AO240</f>
        <v>APAGADO</v>
      </c>
      <c r="AI194" s="70" t="str">
        <f>'RESUMEN TOTAL'!AP240</f>
        <v>APAGADO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 t="str">
        <f>'RESUMEN TOTAL'!AJ243</f>
        <v>APAGADO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 t="str">
        <f>'RESUMEN TOTAL'!AJ244</f>
        <v>APAGADO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 t="str">
        <f>'RESUMEN TOTAL'!AJ245</f>
        <v>APAGADO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 t="str">
        <f>'RESUMEN TOTAL'!AJ246</f>
        <v>APAGADO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 t="str">
        <f>'RESUMEN TOTAL'!AJ247</f>
        <v>APAGADO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 t="str">
        <f>'RESUMEN TOTAL'!AI250</f>
        <v>APAGADO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 t="str">
        <f>'RESUMEN TOTAL'!AH268</f>
        <v>APAGADO</v>
      </c>
      <c r="AB220" s="70" t="str">
        <f>'RESUMEN TOTAL'!AI268</f>
        <v>APAGADO</v>
      </c>
      <c r="AC220" s="70" t="str">
        <f>'RESUMEN TOTAL'!AJ268</f>
        <v>APAGADO</v>
      </c>
      <c r="AD220" s="70" t="str">
        <f>'RESUMEN TOTAL'!AK268</f>
        <v>APAGADO</v>
      </c>
      <c r="AE220" s="70" t="str">
        <f>'RESUMEN TOTAL'!AL268</f>
        <v>APAGADO</v>
      </c>
      <c r="AF220" s="70" t="str">
        <f>'RESUMEN TOTAL'!AM268</f>
        <v>APAGADO</v>
      </c>
      <c r="AG220" s="70" t="str">
        <f>'RESUMEN TOTAL'!AN268</f>
        <v>APAGADO</v>
      </c>
      <c r="AH220" s="70" t="str">
        <f>'RESUMEN TOTAL'!AO268</f>
        <v>APAGADO</v>
      </c>
      <c r="AI220" s="70" t="str">
        <f>'RESUMEN TOTAL'!AP268</f>
        <v>APAGADO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 t="str">
        <f>'RESUMEN TOTAL'!AH272</f>
        <v>APAGADO</v>
      </c>
      <c r="AB224" s="70" t="str">
        <f>'RESUMEN TOTAL'!AI272</f>
        <v>APAGADO</v>
      </c>
      <c r="AC224" s="70" t="str">
        <f>'RESUMEN TOTAL'!AJ272</f>
        <v>APAGADO</v>
      </c>
      <c r="AD224" s="70" t="str">
        <f>'RESUMEN TOTAL'!AK272</f>
        <v>APAGADO</v>
      </c>
      <c r="AE224" s="70" t="str">
        <f>'RESUMEN TOTAL'!AL272</f>
        <v>APAGADO</v>
      </c>
      <c r="AF224" s="70" t="str">
        <f>'RESUMEN TOTAL'!AM272</f>
        <v>APAGADO</v>
      </c>
      <c r="AG224" s="70" t="str">
        <f>'RESUMEN TOTAL'!AN272</f>
        <v>APAGADO</v>
      </c>
      <c r="AH224" s="70" t="str">
        <f>'RESUMEN TOTAL'!AO272</f>
        <v>APAGADO</v>
      </c>
      <c r="AI224" s="70" t="str">
        <f>'RESUMEN TOTAL'!AP272</f>
        <v>APAGADO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 t="str">
        <f>'RESUMEN TOTAL'!AH273</f>
        <v>APAGADO</v>
      </c>
      <c r="AB225" s="70" t="str">
        <f>'RESUMEN TOTAL'!AI273</f>
        <v>APAGADO</v>
      </c>
      <c r="AC225" s="70" t="str">
        <f>'RESUMEN TOTAL'!AJ273</f>
        <v>APAGADO</v>
      </c>
      <c r="AD225" s="70" t="str">
        <f>'RESUMEN TOTAL'!AK273</f>
        <v>APAGADO</v>
      </c>
      <c r="AE225" s="70" t="str">
        <f>'RESUMEN TOTAL'!AL273</f>
        <v>APAGADO</v>
      </c>
      <c r="AF225" s="70" t="str">
        <f>'RESUMEN TOTAL'!AM273</f>
        <v>APAGADO</v>
      </c>
      <c r="AG225" s="70" t="str">
        <f>'RESUMEN TOTAL'!AN273</f>
        <v>APAGADO</v>
      </c>
      <c r="AH225" s="70" t="str">
        <f>'RESUMEN TOTAL'!AO273</f>
        <v>APAGADO</v>
      </c>
      <c r="AI225" s="70" t="str">
        <f>'RESUMEN TOTAL'!AP273</f>
        <v>APAGADO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 t="str">
        <f>'RESUMEN TOTAL'!AH287</f>
        <v>APAGADO</v>
      </c>
      <c r="AB236" s="70" t="str">
        <f>'RESUMEN TOTAL'!AI287</f>
        <v>APAGADO</v>
      </c>
      <c r="AC236" s="70" t="str">
        <f>'RESUMEN TOTAL'!AJ287</f>
        <v>APAGADO</v>
      </c>
      <c r="AD236" s="70" t="str">
        <f>'RESUMEN TOTAL'!AK287</f>
        <v>APAGADO</v>
      </c>
      <c r="AE236" s="70" t="str">
        <f>'RESUMEN TOTAL'!AL287</f>
        <v>APAGADO</v>
      </c>
      <c r="AF236" s="70" t="str">
        <f>'RESUMEN TOTAL'!AM287</f>
        <v>APAGADO</v>
      </c>
      <c r="AG236" s="70" t="str">
        <f>'RESUMEN TOTAL'!AN287</f>
        <v>APAGADO</v>
      </c>
      <c r="AH236" s="70" t="str">
        <f>'RESUMEN TOTAL'!AO287</f>
        <v>APAGADO</v>
      </c>
      <c r="AI236" s="70" t="str">
        <f>'RESUMEN TOTAL'!AP287</f>
        <v>APAGADO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 t="str">
        <f>'RESUMEN TOTAL'!AH288</f>
        <v>APAGADO</v>
      </c>
      <c r="AB237" s="70" t="str">
        <f>'RESUMEN TOTAL'!AI288</f>
        <v>APAGADO</v>
      </c>
      <c r="AC237" s="70" t="str">
        <f>'RESUMEN TOTAL'!AJ288</f>
        <v>APAGADO</v>
      </c>
      <c r="AD237" s="70" t="str">
        <f>'RESUMEN TOTAL'!AK288</f>
        <v>APAGADO</v>
      </c>
      <c r="AE237" s="70" t="str">
        <f>'RESUMEN TOTAL'!AL288</f>
        <v>APAGADO</v>
      </c>
      <c r="AF237" s="70" t="str">
        <f>'RESUMEN TOTAL'!AM288</f>
        <v>APAGADO</v>
      </c>
      <c r="AG237" s="70" t="str">
        <f>'RESUMEN TOTAL'!AN288</f>
        <v>APAGADO</v>
      </c>
      <c r="AH237" s="70" t="str">
        <f>'RESUMEN TOTAL'!AO288</f>
        <v>APAGADO</v>
      </c>
      <c r="AI237" s="70" t="str">
        <f>'RESUMEN TOTAL'!AP288</f>
        <v>APAGADO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 t="str">
        <f>'RESUMEN TOTAL'!AN290</f>
        <v>APAGADO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 t="str">
        <f>'RESUMEN TOTAL'!AH299</f>
        <v>APAGADO</v>
      </c>
      <c r="AB248" s="70" t="str">
        <f>'RESUMEN TOTAL'!AI299</f>
        <v>APAGADO</v>
      </c>
      <c r="AC248" s="70" t="str">
        <f>'RESUMEN TOTAL'!AJ299</f>
        <v>APAGADO</v>
      </c>
      <c r="AD248" s="70" t="str">
        <f>'RESUMEN TOTAL'!AK299</f>
        <v>APAGADO</v>
      </c>
      <c r="AE248" s="70" t="str">
        <f>'RESUMEN TOTAL'!AL299</f>
        <v>APAGADO</v>
      </c>
      <c r="AF248" s="70" t="str">
        <f>'RESUMEN TOTAL'!AM299</f>
        <v>APAGADO</v>
      </c>
      <c r="AG248" s="70" t="str">
        <f>'RESUMEN TOTAL'!AN299</f>
        <v>APAGADO</v>
      </c>
      <c r="AH248" s="70">
        <f>'RESUMEN TOTAL'!AO299</f>
        <v>0</v>
      </c>
      <c r="AI248" s="70" t="str">
        <f>'RESUMEN TOTAL'!AP299</f>
        <v>APAGADO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 t="str">
        <f>'RESUMEN TOTAL'!AH301</f>
        <v>APAGADO</v>
      </c>
      <c r="AB250" s="70" t="str">
        <f>'RESUMEN TOTAL'!AI301</f>
        <v>APAGADO</v>
      </c>
      <c r="AC250" s="70">
        <f>'RESUMEN TOTAL'!AJ301</f>
        <v>0</v>
      </c>
      <c r="AD250" s="70" t="str">
        <f>'RESUMEN TOTAL'!AK301</f>
        <v>APAGADO</v>
      </c>
      <c r="AE250" s="70" t="str">
        <f>'RESUMEN TOTAL'!AL301</f>
        <v>APAGADO</v>
      </c>
      <c r="AF250" s="70" t="str">
        <f>'RESUMEN TOTAL'!AM301</f>
        <v>APAGADO</v>
      </c>
      <c r="AG250" s="70" t="str">
        <f>'RESUMEN TOTAL'!AN301</f>
        <v>APAGADO</v>
      </c>
      <c r="AH250" s="70" t="str">
        <f>'RESUMEN TOTAL'!AO301</f>
        <v>APAGADO</v>
      </c>
      <c r="AI250" s="70" t="str">
        <f>'RESUMEN TOTAL'!AP301</f>
        <v>APAGADO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 t="str">
        <f>'RESUMEN TOTAL'!AH305</f>
        <v>APAGADO</v>
      </c>
      <c r="AB254" s="70" t="str">
        <f>'RESUMEN TOTAL'!AI305</f>
        <v>APAGADO</v>
      </c>
      <c r="AC254" s="70" t="str">
        <f>'RESUMEN TOTAL'!AJ305</f>
        <v>APAGADO</v>
      </c>
      <c r="AD254" s="70" t="str">
        <f>'RESUMEN TOTAL'!AK305</f>
        <v>APAGADO</v>
      </c>
      <c r="AE254" s="70" t="str">
        <f>'RESUMEN TOTAL'!AL305</f>
        <v>APAGADO</v>
      </c>
      <c r="AF254" s="70" t="str">
        <f>'RESUMEN TOTAL'!AM305</f>
        <v>APAGADO</v>
      </c>
      <c r="AG254" s="70" t="str">
        <f>'RESUMEN TOTAL'!AN305</f>
        <v>APAGADO</v>
      </c>
      <c r="AH254" s="70" t="str">
        <f>'RESUMEN TOTAL'!AO305</f>
        <v>APAGADO</v>
      </c>
      <c r="AI254" s="70" t="str">
        <f>'RESUMEN TOTAL'!AP305</f>
        <v>APAGADO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 t="str">
        <f>'RESUMEN TOTAL'!AJ311</f>
        <v>APAGADO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 t="str">
        <f>'RESUMEN TOTAL'!AJ312</f>
        <v>APAGADO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 t="str">
        <f>'RESUMEN TOTAL'!AJ313</f>
        <v>APAGADO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 t="str">
        <f>'RESUMEN TOTAL'!AJ314</f>
        <v>APAGADO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 t="str">
        <f>'RESUMEN TOTAL'!AJ315</f>
        <v>APAGADO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 t="str">
        <f>'RESUMEN TOTAL'!AJ316</f>
        <v>APAGADO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 t="str">
        <f>'RESUMEN TOTAL'!AJ321</f>
        <v>APAGADO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 t="str">
        <f>'RESUMEN TOTAL'!AJ322</f>
        <v>APAGADO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 t="str">
        <f>'RESUMEN TOTAL'!AJ323</f>
        <v>APAGADO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 t="str">
        <f>'RESUMEN TOTAL'!AJ324</f>
        <v>APAGADO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 t="str">
        <f>'RESUMEN TOTAL'!AJ325</f>
        <v>APAGADO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 t="str">
        <f>'RESUMEN TOTAL'!AJ326</f>
        <v>APAGADO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 t="str">
        <f>'RESUMEN TOTAL'!AJ327</f>
        <v>APAGADO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 t="str">
        <f>'RESUMEN TOTAL'!AJ328</f>
        <v>APAGADO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 t="str">
        <f>'RESUMEN TOTAL'!AJ329</f>
        <v>APAGADO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 t="str">
        <f>'RESUMEN TOTAL'!AJ330</f>
        <v>APAGADO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 t="str">
        <f>'RESUMEN TOTAL'!AJ331</f>
        <v>APAGADO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 t="str">
        <f>'RESUMEN TOTAL'!AJ332</f>
        <v>APAGADO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 t="str">
        <f>'RESUMEN TOTAL'!AJ333</f>
        <v>APAGADO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 t="str">
        <f>'RESUMEN TOTAL'!AH340</f>
        <v>APAGADO</v>
      </c>
      <c r="AB282" s="70" t="str">
        <f>'RESUMEN TOTAL'!AI340</f>
        <v>APAGADO</v>
      </c>
      <c r="AC282" s="70" t="str">
        <f>'RESUMEN TOTAL'!AJ340</f>
        <v>APAGADO</v>
      </c>
      <c r="AD282" s="70" t="str">
        <f>'RESUMEN TOTAL'!AK340</f>
        <v>APAGADO</v>
      </c>
      <c r="AE282" s="70" t="str">
        <f>'RESUMEN TOTAL'!AL340</f>
        <v>APAGADO</v>
      </c>
      <c r="AF282" s="70">
        <f>'RESUMEN TOTAL'!AM340</f>
        <v>0</v>
      </c>
      <c r="AG282" s="70" t="str">
        <f>'RESUMEN TOTAL'!AN340</f>
        <v>APAGADO</v>
      </c>
      <c r="AH282" s="70" t="str">
        <f>'RESUMEN TOTAL'!AO340</f>
        <v>APAGADO</v>
      </c>
      <c r="AI282" s="70" t="str">
        <f>'RESUMEN TOTAL'!AP340</f>
        <v>APAGADO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 t="str">
        <f>'RESUMEN TOTAL'!AH341</f>
        <v>APAGADO</v>
      </c>
      <c r="AB283" s="70" t="str">
        <f>'RESUMEN TOTAL'!AI341</f>
        <v>APAGADO</v>
      </c>
      <c r="AC283" s="70" t="str">
        <f>'RESUMEN TOTAL'!AJ341</f>
        <v>APAGADO</v>
      </c>
      <c r="AD283" s="70" t="str">
        <f>'RESUMEN TOTAL'!AK341</f>
        <v>APAGADO</v>
      </c>
      <c r="AE283" s="70" t="str">
        <f>'RESUMEN TOTAL'!AL341</f>
        <v>APAGADO</v>
      </c>
      <c r="AF283" s="70">
        <f>'RESUMEN TOTAL'!AM341</f>
        <v>0</v>
      </c>
      <c r="AG283" s="70" t="str">
        <f>'RESUMEN TOTAL'!AN341</f>
        <v>APAGADO</v>
      </c>
      <c r="AH283" s="70" t="str">
        <f>'RESUMEN TOTAL'!AO341</f>
        <v>APAGADO</v>
      </c>
      <c r="AI283" s="70" t="str">
        <f>'RESUMEN TOTAL'!AP341</f>
        <v>APAGADO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 t="str">
        <f>'RESUMEN TOTAL'!AI343</f>
        <v>APAGADO</v>
      </c>
      <c r="AC285" s="70" t="str">
        <f>'RESUMEN TOTAL'!AJ343</f>
        <v>APAGADO</v>
      </c>
      <c r="AD285" s="70" t="str">
        <f>'RESUMEN TOTAL'!AK343</f>
        <v>APAGADO</v>
      </c>
      <c r="AE285" s="70" t="str">
        <f>'RESUMEN TOTAL'!AL343</f>
        <v>APAGADO</v>
      </c>
      <c r="AF285" s="70">
        <f>'RESUMEN TOTAL'!AM343</f>
        <v>0</v>
      </c>
      <c r="AG285" s="70" t="str">
        <f>'RESUMEN TOTAL'!AN343</f>
        <v>APAGADO</v>
      </c>
      <c r="AH285" s="70" t="str">
        <f>'RESUMEN TOTAL'!AO343</f>
        <v>APAGADO</v>
      </c>
      <c r="AI285" s="70" t="str">
        <f>'RESUMEN TOTAL'!AP343</f>
        <v>APAGADO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 t="str">
        <f>'RESUMEN TOTAL'!AL363</f>
        <v>APAGADO</v>
      </c>
      <c r="AF300" s="70" t="str">
        <f>'RESUMEN TOTAL'!AM363</f>
        <v>APAGADO</v>
      </c>
      <c r="AG300" s="70" t="str">
        <f>'RESUMEN TOTAL'!AN363</f>
        <v>APAGADO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 t="str">
        <f>'RESUMEN TOTAL'!AH364</f>
        <v>APAGADO</v>
      </c>
      <c r="AB301" s="70" t="str">
        <f>'RESUMEN TOTAL'!AI364</f>
        <v>APAGADO</v>
      </c>
      <c r="AC301" s="70" t="str">
        <f>'RESUMEN TOTAL'!AJ364</f>
        <v>APAGADO</v>
      </c>
      <c r="AD301" s="70" t="str">
        <f>'RESUMEN TOTAL'!AK364</f>
        <v>APAGADO</v>
      </c>
      <c r="AE301" s="70" t="str">
        <f>'RESUMEN TOTAL'!AL364</f>
        <v>APAGADO</v>
      </c>
      <c r="AF301" s="70" t="str">
        <f>'RESUMEN TOTAL'!AM364</f>
        <v>APAGADO</v>
      </c>
      <c r="AG301" s="70" t="str">
        <f>'RESUMEN TOTAL'!AN364</f>
        <v>APAGADO</v>
      </c>
      <c r="AH301" s="70" t="str">
        <f>'RESUMEN TOTAL'!AO364</f>
        <v>APAGADO</v>
      </c>
      <c r="AI301" s="70" t="str">
        <f>'RESUMEN TOTAL'!AP364</f>
        <v>APAGADO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 t="str">
        <f>'RESUMEN TOTAL'!AH377</f>
        <v>APAGADO</v>
      </c>
      <c r="AB314" s="70" t="str">
        <f>'RESUMEN TOTAL'!AI377</f>
        <v>APAGADO</v>
      </c>
      <c r="AC314" s="70" t="str">
        <f>'RESUMEN TOTAL'!AJ377</f>
        <v>APAGADO</v>
      </c>
      <c r="AD314" s="70" t="str">
        <f>'RESUMEN TOTAL'!AK377</f>
        <v>APAGADO</v>
      </c>
      <c r="AE314" s="70" t="str">
        <f>'RESUMEN TOTAL'!AL377</f>
        <v>APAGADO</v>
      </c>
      <c r="AF314" s="70" t="str">
        <f>'RESUMEN TOTAL'!AM377</f>
        <v>APAGADO</v>
      </c>
      <c r="AG314" s="70" t="str">
        <f>'RESUMEN TOTAL'!AN377</f>
        <v>APAGADO</v>
      </c>
      <c r="AH314" s="70" t="str">
        <f>'RESUMEN TOTAL'!AO377</f>
        <v>APAGADO</v>
      </c>
      <c r="AI314" s="70" t="str">
        <f>'RESUMEN TOTAL'!AP377</f>
        <v>APAGADO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 t="str">
        <f>'RESUMEN TOTAL'!AH378</f>
        <v>APAGADO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 t="str">
        <f>'RESUMEN TOTAL'!AH383</f>
        <v>APAGADO</v>
      </c>
      <c r="AB316" s="70" t="str">
        <f>'RESUMEN TOTAL'!AI383</f>
        <v>APAGADO</v>
      </c>
      <c r="AC316" s="70" t="str">
        <f>'RESUMEN TOTAL'!AJ383</f>
        <v>APAGADO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 t="str">
        <f>'RESUMEN TOTAL'!AL387</f>
        <v>APAGADO</v>
      </c>
      <c r="AF320" s="70" t="str">
        <f>'RESUMEN TOTAL'!AM387</f>
        <v>APAGADO</v>
      </c>
      <c r="AG320" s="70" t="str">
        <f>'RESUMEN TOTAL'!AN387</f>
        <v>APAGADO</v>
      </c>
      <c r="AH320" s="70" t="str">
        <f>'RESUMEN TOTAL'!AO387</f>
        <v>APAGADO</v>
      </c>
      <c r="AI320" s="70" t="str">
        <f>'RESUMEN TOTAL'!AP387</f>
        <v>APAGADO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 t="str">
        <f>'RESUMEN TOTAL'!AH389</f>
        <v>APAGADO</v>
      </c>
      <c r="AB322" s="70" t="str">
        <f>'RESUMEN TOTAL'!AI389</f>
        <v>APAGADO</v>
      </c>
      <c r="AC322" s="70" t="str">
        <f>'RESUMEN TOTAL'!AJ389</f>
        <v>APAGADO</v>
      </c>
      <c r="AD322" s="70" t="str">
        <f>'RESUMEN TOTAL'!AK389</f>
        <v>APAGADO</v>
      </c>
      <c r="AE322" s="70" t="str">
        <f>'RESUMEN TOTAL'!AL389</f>
        <v>APAGADO</v>
      </c>
      <c r="AF322" s="70" t="str">
        <f>'RESUMEN TOTAL'!AM389</f>
        <v>APAGADO</v>
      </c>
      <c r="AG322" s="70" t="str">
        <f>'RESUMEN TOTAL'!AN389</f>
        <v>APAGADO</v>
      </c>
      <c r="AH322" s="70" t="str">
        <f>'RESUMEN TOTAL'!AO389</f>
        <v>APAGADO</v>
      </c>
      <c r="AI322" s="70" t="str">
        <f>'RESUMEN TOTAL'!AP389</f>
        <v>APAGADO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 t="str">
        <f>'RESUMEN TOTAL'!AH390</f>
        <v>APAGADO</v>
      </c>
      <c r="AB323" s="70" t="str">
        <f>'RESUMEN TOTAL'!AI390</f>
        <v>APAGADO</v>
      </c>
      <c r="AC323" s="70" t="str">
        <f>'RESUMEN TOTAL'!AJ390</f>
        <v>APAGADO</v>
      </c>
      <c r="AD323" s="70" t="str">
        <f>'RESUMEN TOTAL'!AK390</f>
        <v>APAGADO</v>
      </c>
      <c r="AE323" s="70" t="str">
        <f>'RESUMEN TOTAL'!AL390</f>
        <v>APAGADO</v>
      </c>
      <c r="AF323" s="70" t="str">
        <f>'RESUMEN TOTAL'!AM390</f>
        <v>APAGADO</v>
      </c>
      <c r="AG323" s="70" t="str">
        <f>'RESUMEN TOTAL'!AN390</f>
        <v>APAGADO</v>
      </c>
      <c r="AH323" s="70" t="str">
        <f>'RESUMEN TOTAL'!AO390</f>
        <v>APAGADO</v>
      </c>
      <c r="AI323" s="70" t="str">
        <f>'RESUMEN TOTAL'!AP390</f>
        <v>APAGADO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 t="str">
        <f>'RESUMEN TOTAL'!AH402</f>
        <v>APAGADO</v>
      </c>
      <c r="AB329" s="70" t="str">
        <f>'RESUMEN TOTAL'!AI402</f>
        <v>APAGADO</v>
      </c>
      <c r="AC329" s="70">
        <f>'RESUMEN TOTAL'!AJ402</f>
        <v>0</v>
      </c>
      <c r="AD329" s="70" t="str">
        <f>'RESUMEN TOTAL'!AK402</f>
        <v>APAGADO</v>
      </c>
      <c r="AE329" s="70" t="str">
        <f>'RESUMEN TOTAL'!AL402</f>
        <v>APAGADO</v>
      </c>
      <c r="AF329" s="70" t="str">
        <f>'RESUMEN TOTAL'!AM402</f>
        <v>APAGADO</v>
      </c>
      <c r="AG329" s="70" t="str">
        <f>'RESUMEN TOTAL'!AN402</f>
        <v>APAGADO</v>
      </c>
      <c r="AH329" s="70" t="str">
        <f>'RESUMEN TOTAL'!AO402</f>
        <v>APAGADO</v>
      </c>
      <c r="AI329" s="70" t="str">
        <f>'RESUMEN TOTAL'!AP402</f>
        <v>APAGADO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 t="str">
        <f>'RESUMEN TOTAL'!AI420</f>
        <v>APAGADO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 t="str">
        <f>'RESUMEN TOTAL'!AI422</f>
        <v>APAGADO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 t="str">
        <f>'RESUMEN TOTAL'!AL423</f>
        <v>APAGADO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 t="str">
        <f>'RESUMEN TOTAL'!AM428</f>
        <v>APAGADO</v>
      </c>
      <c r="AG353" s="70">
        <f>'RESUMEN TOTAL'!AN428</f>
        <v>0</v>
      </c>
      <c r="AH353" s="70" t="str">
        <f>'RESUMEN TOTAL'!AO428</f>
        <v>APAGADO</v>
      </c>
      <c r="AI353" s="70" t="str">
        <f>'RESUMEN TOTAL'!AP428</f>
        <v>APAGADO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 t="str">
        <f>'RESUMEN TOTAL'!AI429</f>
        <v>APAGADO</v>
      </c>
      <c r="AC354" s="70" t="str">
        <f>'RESUMEN TOTAL'!AJ429</f>
        <v>APAGADO</v>
      </c>
      <c r="AD354" s="70" t="str">
        <f>'RESUMEN TOTAL'!AK429</f>
        <v>APAGADO</v>
      </c>
      <c r="AE354" s="70" t="str">
        <f>'RESUMEN TOTAL'!AL429</f>
        <v>APAGADO</v>
      </c>
      <c r="AF354" s="70" t="str">
        <f>'RESUMEN TOTAL'!AM429</f>
        <v>APAGADO</v>
      </c>
      <c r="AG354" s="70" t="str">
        <f>'RESUMEN TOTAL'!AN429</f>
        <v>APAGADO</v>
      </c>
      <c r="AH354" s="70" t="str">
        <f>'RESUMEN TOTAL'!AO429</f>
        <v>APAGADO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 t="str">
        <f>'RESUMEN TOTAL'!AI434</f>
        <v>APAGADO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 t="str">
        <f>'RESUMEN TOTAL'!AH435</f>
        <v>APAGADO</v>
      </c>
      <c r="AB360" s="70" t="str">
        <f>'RESUMEN TOTAL'!AI435</f>
        <v>APAGADO</v>
      </c>
      <c r="AC360" s="70" t="str">
        <f>'RESUMEN TOTAL'!AJ435</f>
        <v>APAGADO</v>
      </c>
      <c r="AD360" s="70" t="str">
        <f>'RESUMEN TOTAL'!AK435</f>
        <v>APAGADO</v>
      </c>
      <c r="AE360" s="70" t="str">
        <f>'RESUMEN TOTAL'!AL435</f>
        <v>APAGADO</v>
      </c>
      <c r="AF360" s="70" t="str">
        <f>'RESUMEN TOTAL'!AM435</f>
        <v>APAGADO</v>
      </c>
      <c r="AG360" s="70" t="str">
        <f>'RESUMEN TOTAL'!AN435</f>
        <v>APAGADO</v>
      </c>
      <c r="AH360" s="70" t="str">
        <f>'RESUMEN TOTAL'!AO435</f>
        <v>APAGADO</v>
      </c>
      <c r="AI360" s="70" t="str">
        <f>'RESUMEN TOTAL'!AP435</f>
        <v>APAGADO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 t="str">
        <f>'RESUMEN TOTAL'!AI444</f>
        <v>APAGADO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 t="str">
        <f>'RESUMEN TOTAL'!AN444</f>
        <v>APAGADO</v>
      </c>
      <c r="AH363" s="70" t="str">
        <f>'RESUMEN TOTAL'!AO444</f>
        <v>APAGADO</v>
      </c>
      <c r="AI363" s="70" t="str">
        <f>'RESUMEN TOTAL'!AP444</f>
        <v>APAGADO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 t="str">
        <f>'RESUMEN TOTAL'!AL448</f>
        <v>APAGADO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 t="str">
        <f>'RESUMEN TOTAL'!AL449</f>
        <v>APAGADO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 t="str">
        <f>'RESUMEN TOTAL'!AL450</f>
        <v>APAGADO</v>
      </c>
      <c r="AF368" s="70" t="str">
        <f>'RESUMEN TOTAL'!AM450</f>
        <v>APAGADO</v>
      </c>
      <c r="AG368" s="70" t="str">
        <f>'RESUMEN TOTAL'!AN450</f>
        <v>APAGADO</v>
      </c>
      <c r="AH368" s="70" t="str">
        <f>'RESUMEN TOTAL'!AO450</f>
        <v>APAGADO</v>
      </c>
      <c r="AI368" s="70" t="str">
        <f>'RESUMEN TOTAL'!AP450</f>
        <v>APAGADO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 t="str">
        <f>'RESUMEN TOTAL'!AL453</f>
        <v>APAGADO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 t="str">
        <f>'RESUMEN TOTAL'!AL454</f>
        <v>APAGADO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 t="str">
        <f>'RESUMEN TOTAL'!AN480</f>
        <v>APAGADO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 t="str">
        <f>'RESUMEN TOTAL'!AH490</f>
        <v>APAGADO</v>
      </c>
      <c r="AB402" s="70" t="str">
        <f>'RESUMEN TOTAL'!AI490</f>
        <v>APAGADO</v>
      </c>
      <c r="AC402" s="70" t="str">
        <f>'RESUMEN TOTAL'!AJ490</f>
        <v>APAGADO</v>
      </c>
      <c r="AD402" s="70" t="str">
        <f>'RESUMEN TOTAL'!AK490</f>
        <v>APAGADO</v>
      </c>
      <c r="AE402" s="70" t="str">
        <f>'RESUMEN TOTAL'!AL490</f>
        <v>APAGADO</v>
      </c>
      <c r="AF402" s="70" t="str">
        <f>'RESUMEN TOTAL'!AM490</f>
        <v>APAGADO</v>
      </c>
      <c r="AG402" s="70" t="str">
        <f>'RESUMEN TOTAL'!AN490</f>
        <v>APAGADO</v>
      </c>
      <c r="AH402" s="70" t="str">
        <f>'RESUMEN TOTAL'!AO490</f>
        <v>APAGADO</v>
      </c>
      <c r="AI402" s="70" t="str">
        <f>'RESUMEN TOTAL'!AP490</f>
        <v>APAGADO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 t="str">
        <f>'RESUMEN TOTAL'!AH491</f>
        <v>APAGADO</v>
      </c>
      <c r="AB403" s="70" t="str">
        <f>'RESUMEN TOTAL'!AI491</f>
        <v>APAGADO</v>
      </c>
      <c r="AC403" s="70" t="str">
        <f>'RESUMEN TOTAL'!AJ491</f>
        <v>APAGADO</v>
      </c>
      <c r="AD403" s="70" t="str">
        <f>'RESUMEN TOTAL'!AK491</f>
        <v>APAGADO</v>
      </c>
      <c r="AE403" s="70" t="str">
        <f>'RESUMEN TOTAL'!AL491</f>
        <v>APAGADO</v>
      </c>
      <c r="AF403" s="70" t="str">
        <f>'RESUMEN TOTAL'!AM491</f>
        <v>APAGADO</v>
      </c>
      <c r="AG403" s="70" t="str">
        <f>'RESUMEN TOTAL'!AN491</f>
        <v>APAGADO</v>
      </c>
      <c r="AH403" s="70" t="str">
        <f>'RESUMEN TOTAL'!AO491</f>
        <v>APAGADO</v>
      </c>
      <c r="AI403" s="70" t="str">
        <f>'RESUMEN TOTAL'!AP491</f>
        <v>APAGADO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 t="str">
        <f>'RESUMEN TOTAL'!AJ495</f>
        <v>APAGADO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 t="str">
        <f>'RESUMEN TOTAL'!AJ498</f>
        <v>APAGADO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 t="str">
        <f>'RESUMEN TOTAL'!AH505</f>
        <v>APAGADO</v>
      </c>
      <c r="AB417" s="70" t="str">
        <f>'RESUMEN TOTAL'!AI505</f>
        <v>APAGADO</v>
      </c>
      <c r="AC417" s="70" t="str">
        <f>'RESUMEN TOTAL'!AJ505</f>
        <v>APAGADO</v>
      </c>
      <c r="AD417" s="70" t="str">
        <f>'RESUMEN TOTAL'!AK505</f>
        <v>APAGADO</v>
      </c>
      <c r="AE417" s="70" t="str">
        <f>'RESUMEN TOTAL'!AL505</f>
        <v>APAGADO</v>
      </c>
      <c r="AF417" s="70" t="str">
        <f>'RESUMEN TOTAL'!AM505</f>
        <v>APAGADO</v>
      </c>
      <c r="AG417" s="70" t="str">
        <f>'RESUMEN TOTAL'!AN505</f>
        <v>APAGADO</v>
      </c>
      <c r="AH417" s="70" t="str">
        <f>'RESUMEN TOTAL'!AO505</f>
        <v>APAGADO</v>
      </c>
      <c r="AI417" s="70" t="str">
        <f>'RESUMEN TOTAL'!AP505</f>
        <v>APAGADO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 t="str">
        <f>'RESUMEN TOTAL'!AL518</f>
        <v>APAGADO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 t="str">
        <f>'RESUMEN TOTAL'!AO519</f>
        <v>APAGADO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 t="str">
        <f>'RESUMEN TOTAL'!AL521</f>
        <v>APAGADO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 t="str">
        <f>'RESUMEN TOTAL'!AJ523</f>
        <v>APAGADO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 t="str">
        <f>'RESUMEN TOTAL'!AN532</f>
        <v>APAGADO</v>
      </c>
      <c r="AH436" s="70" t="str">
        <f>'RESUMEN TOTAL'!AO532</f>
        <v>APAGADO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 t="str">
        <f>'RESUMEN TOTAL'!AM534</f>
        <v>APAGADO</v>
      </c>
      <c r="AG438" s="70" t="str">
        <f>'RESUMEN TOTAL'!AN534</f>
        <v>APAGADO</v>
      </c>
      <c r="AH438" s="70" t="str">
        <f>'RESUMEN TOTAL'!AO534</f>
        <v>APAGADO</v>
      </c>
      <c r="AI438" s="70" t="str">
        <f>'RESUMEN TOTAL'!AP534</f>
        <v>APAGADO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 t="str">
        <f>'RESUMEN TOTAL'!AH542</f>
        <v>APAGADO</v>
      </c>
      <c r="AB445" s="70" t="str">
        <f>'RESUMEN TOTAL'!AI542</f>
        <v>APAGADO</v>
      </c>
      <c r="AC445" s="70" t="str">
        <f>'RESUMEN TOTAL'!AJ542</f>
        <v>APAGADO</v>
      </c>
      <c r="AD445" s="70" t="str">
        <f>'RESUMEN TOTAL'!AK542</f>
        <v>APAGADO</v>
      </c>
      <c r="AE445" s="70" t="str">
        <f>'RESUMEN TOTAL'!AL542</f>
        <v>APAGADO</v>
      </c>
      <c r="AF445" s="70" t="str">
        <f>'RESUMEN TOTAL'!AM542</f>
        <v>APAGADO</v>
      </c>
      <c r="AG445" s="70" t="str">
        <f>'RESUMEN TOTAL'!AN542</f>
        <v>APAGADO</v>
      </c>
      <c r="AH445" s="70" t="str">
        <f>'RESUMEN TOTAL'!AO542</f>
        <v>APAGADO</v>
      </c>
      <c r="AI445" s="70" t="str">
        <f>'RESUMEN TOTAL'!AP542</f>
        <v>APAGADO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 t="str">
        <f>'RESUMEN TOTAL'!AL555</f>
        <v>APAGADO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 t="str">
        <f>'RESUMEN TOTAL'!AH558</f>
        <v>APAGADO</v>
      </c>
      <c r="AB460" s="70" t="str">
        <f>'RESUMEN TOTAL'!AI558</f>
        <v>APAGADO</v>
      </c>
      <c r="AC460" s="70" t="str">
        <f>'RESUMEN TOTAL'!AJ558</f>
        <v>APAGADO</v>
      </c>
      <c r="AD460" s="70" t="str">
        <f>'RESUMEN TOTAL'!AK558</f>
        <v>APAGADO</v>
      </c>
      <c r="AE460" s="70" t="str">
        <f>'RESUMEN TOTAL'!AL558</f>
        <v>APAGADO</v>
      </c>
      <c r="AF460" s="70" t="str">
        <f>'RESUMEN TOTAL'!AM558</f>
        <v>APAGADO</v>
      </c>
      <c r="AG460" s="70" t="str">
        <f>'RESUMEN TOTAL'!AN558</f>
        <v>APAGADO</v>
      </c>
      <c r="AH460" s="70" t="str">
        <f>'RESUMEN TOTAL'!AO558</f>
        <v>APAGADO</v>
      </c>
      <c r="AI460" s="70" t="str">
        <f>'RESUMEN TOTAL'!AP558</f>
        <v>APAGADO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N1" zoomScale="90" zoomScaleNormal="90" workbookViewId="0">
      <selection activeCell="AI10" sqref="AI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15</v>
      </c>
      <c r="AB3" s="46">
        <f>COUNTIFS('RESUMEN TOTAL'!AI8:AI670,"=APAGADO",'RESUMEN TOTAL'!C8:C670,"=BONOMO")</f>
        <v>15</v>
      </c>
      <c r="AC3" s="46">
        <f>COUNTIFS('RESUMEN TOTAL'!AJ8:AJ670,"=APAGADO",'RESUMEN TOTAL'!C8:C670,"=BONOMO")</f>
        <v>16</v>
      </c>
      <c r="AD3" s="46">
        <f>COUNTIFS('RESUMEN TOTAL'!AK8:AK670,"=APAGADO",'RESUMEN TOTAL'!C8:C670,"=BONOMO")</f>
        <v>19</v>
      </c>
      <c r="AE3" s="46"/>
      <c r="AF3" s="46">
        <f>COUNTIFS('RESUMEN TOTAL'!AM8:AM670,"=APAGADO",'RESUMEN TOTAL'!C8:C670,"=BONOMO")</f>
        <v>16</v>
      </c>
      <c r="AG3" s="46">
        <f>COUNTIFS('RESUMEN TOTAL'!AN8:AN670,"=APAGADO",'RESUMEN TOTAL'!C8:C670,"=BONOMO")</f>
        <v>19</v>
      </c>
      <c r="AH3" s="46">
        <f>COUNTIFS('RESUMEN TOTAL'!AO8:AO670,"=APAGADO",'RESUMEN TOTAL'!C8:C670,"=BONOMO")</f>
        <v>20</v>
      </c>
      <c r="AI3" s="46">
        <v>21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5.0335570469798654E-2</v>
      </c>
      <c r="AB4" s="50">
        <f t="shared" si="0"/>
        <v>5.0335570469798654E-2</v>
      </c>
      <c r="AC4" s="50">
        <v>0.05</v>
      </c>
      <c r="AD4" s="50">
        <f t="shared" si="0"/>
        <v>6.3758389261744972E-2</v>
      </c>
      <c r="AE4" s="50">
        <f t="shared" si="0"/>
        <v>0</v>
      </c>
      <c r="AF4" s="50">
        <f t="shared" si="0"/>
        <v>5.3691275167785234E-2</v>
      </c>
      <c r="AG4" s="50">
        <f t="shared" si="0"/>
        <v>6.3758389261744972E-2</v>
      </c>
      <c r="AH4" s="50">
        <f t="shared" si="0"/>
        <v>6.7114093959731544E-2</v>
      </c>
      <c r="AI4" s="50">
        <v>7.0000000000000007E-2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29</v>
      </c>
      <c r="AB5" s="46">
        <f>COUNTIFS('RESUMEN TOTAL'!AI10:AI672,"=APAGADO",'RESUMEN TOTAL'!C10:C672,"=COSEIDI")</f>
        <v>31</v>
      </c>
      <c r="AC5" s="46">
        <f>COUNTIFS('RESUMEN TOTAL'!AJ10:AJ672,"=APAGADO",'RESUMEN TOTAL'!C10:C672,"=COSEIDI")</f>
        <v>58</v>
      </c>
      <c r="AD5" s="46">
        <f>COUNTIFS('RESUMEN TOTAL'!AK10:AK672,"=APAGADO",'RESUMEN TOTAL'!C10:C672,"=COSEIDI")</f>
        <v>22</v>
      </c>
      <c r="AE5" s="46">
        <f>COUNTIFS('RESUMEN TOTAL'!AL10:AL672,"=APAGADO",'RESUMEN TOTAL'!C10:C672,"=COSEIDI")</f>
        <v>30</v>
      </c>
      <c r="AF5" s="46">
        <f>COUNTIFS('RESUMEN TOTAL'!AM10:AM672,"=APAGADO",'RESUMEN TOTAL'!C10:C672,"=COSEIDI")</f>
        <v>27</v>
      </c>
      <c r="AG5" s="46">
        <v>24</v>
      </c>
      <c r="AH5" s="46">
        <f>COUNTIFS('RESUMEN TOTAL'!AO10:AO672,"=APAGADO",'RESUMEN TOTAL'!C10:C672,"=COSEIDI")</f>
        <v>24</v>
      </c>
      <c r="AI5" s="46">
        <f>COUNTIFS('RESUMEN TOTAL'!AP10:AP672,"=APAGADO",'RESUMEN TOTAL'!C10:C672,"=COSEIDI")</f>
        <v>23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0.11328125</v>
      </c>
      <c r="AB6" s="50">
        <f t="shared" si="1"/>
        <v>0.12109375</v>
      </c>
      <c r="AC6" s="50">
        <v>0.23</v>
      </c>
      <c r="AD6" s="50">
        <f t="shared" si="1"/>
        <v>8.59375E-2</v>
      </c>
      <c r="AE6" s="50">
        <f t="shared" si="1"/>
        <v>0.1171875</v>
      </c>
      <c r="AF6" s="50">
        <f t="shared" si="1"/>
        <v>0.10546875</v>
      </c>
      <c r="AG6" s="50">
        <f t="shared" si="1"/>
        <v>9.375E-2</v>
      </c>
      <c r="AH6" s="50">
        <f t="shared" si="1"/>
        <v>9.375E-2</v>
      </c>
      <c r="AI6" s="50">
        <v>0.09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2025-10-30T11:35:50Z</dcterms:modified>
</cp:coreProperties>
</file>