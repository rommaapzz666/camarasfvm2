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9E8311C2-2E21-4110-9A49-98AD726970A0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7" i="2" l="1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<sst xmlns="http://schemas.openxmlformats.org/spreadsheetml/2006/main" count="4784" uniqueCount="1567">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</sst>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zoomScale="53" zoomScaleNormal="53" workbookViewId="0">
      <pane xSplit="11" ySplit="7" topLeftCell="V279" activePane="bottomRight" state="frozen"/>
      <selection pane="topRight" activeCell="M1" sqref="M1"/>
      <selection pane="bottomLeft" activeCell="A5" sqref="A5"/>
      <selection pane="bottomRight" activeCell="C384" sqref="C384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0.12041884816753927</v>
      </c>
      <c r="V1" s="3">
        <f t="shared" si="0"/>
        <v>0.12347826086956522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0</v>
      </c>
      <c r="X3" s="130">
        <f t="shared" si="3"/>
        <v>0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42</v>
      </c>
      <c r="V4" s="10">
        <f>COUNTIFS(V8:V619, "=APAGADO",F8:F619,"=Fibra Optica")</f>
        <v>43</v>
      </c>
      <c r="W4" s="10">
        <f>COUNTIFS(W8:W619, "=APAGADO",F8:F619,"=Fibra Optica")</f>
        <v>0</v>
      </c>
      <c r="X4" s="10">
        <f>COUNTIFS(X8:X619, "=APAGADO",F8:F619,"=Fibra Optica")</f>
        <v>0</v>
      </c>
      <c r="Y4" s="10">
        <f>COUNTIFS(Y8:Y619, "=APAGADO",F8:F619,"=Fibra Optica")</f>
        <v>0</v>
      </c>
      <c r="Z4" s="10">
        <f>COUNTIFS(Z8:Z619, "=APAGADO",F8:F619,"=Fibra Optica")</f>
        <v>0</v>
      </c>
      <c r="AA4" s="10">
        <f>COUNTIFS(AA8:AA619, "=APAGADO",F8:F619,"=Fibra Optica")</f>
        <v>0</v>
      </c>
      <c r="AB4" s="10">
        <f>COUNTIFS(AB8:AB619, "=APAGADO",F8:F619,"=Fibra Optica")</f>
        <v>0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18</v>
      </c>
      <c r="V5" s="134">
        <f>COUNTIFS(V8:V619, "=APAGADO",F8:F619,"=RADIO")</f>
        <v>20</v>
      </c>
      <c r="W5" s="134">
        <f>COUNTIFS(W8:W619, "=APAGADO",F8:F619,"=RADIO")</f>
        <v>0</v>
      </c>
      <c r="X5" s="134">
        <f>COUNTIFS(X8:X619, "=APAGADO",F8:F619,"=RADIO")</f>
        <v>0</v>
      </c>
      <c r="Y5" s="134">
        <f>COUNTIFS(Y8:Y619, "=APAGADO",F8:F619,"=RADIO")</f>
        <v>0</v>
      </c>
      <c r="Z5" s="134">
        <f>COUNTIFS(Z8:Z619, "=APAGADO",F8:F619,"=RADIO")</f>
        <v>0</v>
      </c>
      <c r="AA5" s="134">
        <f>COUNTIFS(AA8:AA619, "=APAGADO",F8:F619,"=RADIO")</f>
        <v>0</v>
      </c>
      <c r="AB5" s="134">
        <f>COUNTIFS(AB8:AB619, "=APAGADO",F8:F619,"=RADIO")</f>
        <v>0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7</v>
      </c>
      <c r="V6" s="10">
        <f>COUNTIFS(V8:V619, "=APAGADO",F8:F619,"=PTO A FO")</f>
        <v>6</v>
      </c>
      <c r="W6" s="10">
        <f>COUNTIFS(W8:W619, "=APAGADO",F8:F619,"=PTO A FO")</f>
        <v>0</v>
      </c>
      <c r="X6" s="10">
        <f>COUNTIFS(X8:X619, "=APAGADO",F8:F619,"=PTO A FO")</f>
        <v>0</v>
      </c>
      <c r="Y6" s="10">
        <f>COUNTIFS(Y8:Y619, "=APAGADO",F8:F619,"=PTO A FO")</f>
        <v>0</v>
      </c>
      <c r="Z6" s="10">
        <f>COUNTIFS(Z8:Z619, "=APAGADO",F8:F619,"=PTO A FO")</f>
        <v>0</v>
      </c>
      <c r="AA6" s="10">
        <f>COUNTIFS(AA8:AA619, "=APAGADO",F8:F619,"=PTO A FO")</f>
        <v>0</v>
      </c>
      <c r="AB6" s="10">
        <f>COUNTIFS(AB8:AB619, "=APAGADO",F8:F619,"=PTO A FO")</f>
        <v>0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25</v>
      </c>
      <c r="J11" s="31">
        <f t="shared" si="5"/>
        <v>3</v>
      </c>
      <c r="K11" s="32">
        <f t="shared" si="6"/>
        <v>0.8928571428571429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19</v>
      </c>
      <c r="J12" s="31">
        <f t="shared" si="5"/>
        <v>9</v>
      </c>
      <c r="K12" s="32">
        <f t="shared" si="6"/>
        <v>0.6785714285714286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18</v>
      </c>
      <c r="J17" s="31">
        <f t="shared" si="5"/>
        <v>10</v>
      </c>
      <c r="K17" s="32">
        <f t="shared" si="6"/>
        <v>0.6428571428571429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18</v>
      </c>
      <c r="J18" s="31">
        <f t="shared" si="5"/>
        <v>10</v>
      </c>
      <c r="K18" s="32">
        <f t="shared" si="6"/>
        <v>0.6428571428571429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26</v>
      </c>
      <c r="J23" s="31">
        <f t="shared" si="5"/>
        <v>2</v>
      </c>
      <c r="K23" s="32">
        <f t="shared" si="6"/>
        <v>0.9285714285714286</v>
      </c>
      <c r="L23" s="70"/>
      <c r="M23" s="70"/>
      <c r="N23" s="70"/>
      <c r="O23" s="70"/>
      <c r="P23" s="70"/>
      <c r="Q23" s="70"/>
      <c r="R23" s="70"/>
      <c r="S23" s="70"/>
      <c r="T23" s="70"/>
      <c r="U23" s="70" t="s">
        <v>1530</v>
      </c>
      <c r="V23" s="70" t="s">
        <v>1530</v>
      </c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26</v>
      </c>
      <c r="J24" s="31">
        <f t="shared" si="5"/>
        <v>2</v>
      </c>
      <c r="K24" s="32">
        <f t="shared" si="6"/>
        <v>0.9285714285714286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26</v>
      </c>
      <c r="J25" s="31">
        <f t="shared" si="5"/>
        <v>2</v>
      </c>
      <c r="K25" s="32">
        <f t="shared" si="6"/>
        <v>0.9285714285714286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26</v>
      </c>
      <c r="J26" s="31">
        <f t="shared" si="5"/>
        <v>2</v>
      </c>
      <c r="K26" s="32">
        <f t="shared" si="6"/>
        <v>0.9285714285714286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18</v>
      </c>
      <c r="J30" s="138">
        <f t="shared" si="5"/>
        <v>10</v>
      </c>
      <c r="K30" s="139">
        <f t="shared" si="6"/>
        <v>0.6428571428571429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 t="s">
        <v>1530</v>
      </c>
      <c r="V30" s="140" t="s">
        <v>1530</v>
      </c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18</v>
      </c>
      <c r="J39" s="31">
        <f t="shared" si="5"/>
        <v>10</v>
      </c>
      <c r="K39" s="32">
        <f t="shared" si="6"/>
        <v>0.6428571428571429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 t="s">
        <v>1530</v>
      </c>
      <c r="V39" s="70" t="s">
        <v>1530</v>
      </c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18</v>
      </c>
      <c r="J40" s="31">
        <f t="shared" si="5"/>
        <v>10</v>
      </c>
      <c r="K40" s="32">
        <f t="shared" si="6"/>
        <v>0.6428571428571429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18</v>
      </c>
      <c r="J55" s="31">
        <f t="shared" si="5"/>
        <v>10</v>
      </c>
      <c r="K55" s="32">
        <f t="shared" si="6"/>
        <v>0.6428571428571429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 t="s">
        <v>1530</v>
      </c>
      <c r="V55" s="70" t="s">
        <v>1530</v>
      </c>
      <c r="W55" s="70"/>
      <c r="X55" s="70"/>
      <c r="Y55" s="70"/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23</v>
      </c>
      <c r="J56" s="31">
        <f t="shared" si="5"/>
        <v>5</v>
      </c>
      <c r="K56" s="32">
        <f t="shared" si="6"/>
        <v>0.8214285714285714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18</v>
      </c>
      <c r="J58" s="31">
        <f t="shared" si="5"/>
        <v>10</v>
      </c>
      <c r="K58" s="32">
        <f t="shared" si="6"/>
        <v>0.6428571428571429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 t="s">
        <v>1530</v>
      </c>
      <c r="V58" s="70" t="s">
        <v>1530</v>
      </c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26</v>
      </c>
      <c r="J77" s="31">
        <f t="shared" si="8"/>
        <v>2</v>
      </c>
      <c r="K77" s="32">
        <f t="shared" si="9"/>
        <v>0.9285714285714286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27</v>
      </c>
      <c r="J85" s="31">
        <f t="shared" si="8"/>
        <v>1</v>
      </c>
      <c r="K85" s="32">
        <f t="shared" si="9"/>
        <v>0.9642857142857143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27</v>
      </c>
      <c r="J94" s="31">
        <f t="shared" si="8"/>
        <v>1</v>
      </c>
      <c r="K94" s="32">
        <f t="shared" si="9"/>
        <v>0.9642857142857143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20</v>
      </c>
      <c r="J95" s="31">
        <f t="shared" si="8"/>
        <v>8</v>
      </c>
      <c r="K95" s="32">
        <f t="shared" si="9"/>
        <v>0.7142857142857143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 t="s">
        <v>1530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25</v>
      </c>
      <c r="J105" s="31">
        <f t="shared" si="8"/>
        <v>3</v>
      </c>
      <c r="K105" s="32">
        <f t="shared" si="9"/>
        <v>0.8928571428571429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25</v>
      </c>
      <c r="J106" s="31">
        <f t="shared" si="8"/>
        <v>3</v>
      </c>
      <c r="K106" s="32">
        <f t="shared" si="9"/>
        <v>0.8928571428571429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27</v>
      </c>
      <c r="J107" s="31">
        <f t="shared" si="8"/>
        <v>1</v>
      </c>
      <c r="K107" s="32">
        <f t="shared" si="9"/>
        <v>0.9642857142857143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18</v>
      </c>
      <c r="J108" s="31">
        <f t="shared" si="8"/>
        <v>10</v>
      </c>
      <c r="K108" s="32">
        <f t="shared" si="9"/>
        <v>0.6428571428571429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 t="s">
        <v>1530</v>
      </c>
      <c r="V108" s="70" t="s">
        <v>1530</v>
      </c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28</v>
      </c>
      <c r="J109" s="31">
        <f t="shared" si="8"/>
        <v>0</v>
      </c>
      <c r="K109" s="32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 t="s">
        <v>1530</v>
      </c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18</v>
      </c>
      <c r="J129" s="31">
        <f t="shared" si="8"/>
        <v>10</v>
      </c>
      <c r="K129" s="32">
        <f t="shared" si="9"/>
        <v>0.6428571428571429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 t="s">
        <v>1530</v>
      </c>
      <c r="V129" s="70" t="s">
        <v>1530</v>
      </c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27</v>
      </c>
      <c r="J131" s="31">
        <f t="shared" si="8"/>
        <v>1</v>
      </c>
      <c r="K131" s="32">
        <f t="shared" si="9"/>
        <v>0.9642857142857143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 t="s">
        <v>1530</v>
      </c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18</v>
      </c>
      <c r="J136" s="145">
        <f t="shared" si="8"/>
        <v>10</v>
      </c>
      <c r="K136" s="146">
        <f t="shared" si="9"/>
        <v>0.6428571428571429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 t="s">
        <v>1530</v>
      </c>
      <c r="V136" s="97" t="s">
        <v>1530</v>
      </c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18</v>
      </c>
      <c r="J139" s="31">
        <f t="shared" si="8"/>
        <v>10</v>
      </c>
      <c r="K139" s="32">
        <f t="shared" si="9"/>
        <v>0.6428571428571429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 t="s">
        <v>1530</v>
      </c>
      <c r="V139" s="70" t="s">
        <v>1530</v>
      </c>
      <c r="W139" s="70"/>
      <c r="X139" s="70"/>
      <c r="Y139" s="70"/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18</v>
      </c>
      <c r="J140" s="31">
        <f t="shared" si="8"/>
        <v>10</v>
      </c>
      <c r="K140" s="32">
        <f t="shared" si="9"/>
        <v>0.6428571428571429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 t="s">
        <v>1530</v>
      </c>
      <c r="V140" s="70" t="s">
        <v>1530</v>
      </c>
      <c r="W140" s="70"/>
      <c r="X140" s="70"/>
      <c r="Y140" s="70"/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24</v>
      </c>
      <c r="J145" s="31">
        <f t="shared" si="11"/>
        <v>4</v>
      </c>
      <c r="K145" s="32">
        <f t="shared" si="12"/>
        <v>0.8571428571428571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 t="s">
        <v>1530</v>
      </c>
      <c r="V145" s="70" t="s">
        <v>1530</v>
      </c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24</v>
      </c>
      <c r="J146" s="31">
        <f t="shared" si="11"/>
        <v>4</v>
      </c>
      <c r="K146" s="32">
        <f t="shared" si="12"/>
        <v>0.8571428571428571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 t="s">
        <v>1530</v>
      </c>
      <c r="V146" s="70" t="s">
        <v>1530</v>
      </c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24</v>
      </c>
      <c r="J148" s="31">
        <f t="shared" si="11"/>
        <v>4</v>
      </c>
      <c r="K148" s="32">
        <f t="shared" si="12"/>
        <v>0.8571428571428571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 t="s">
        <v>1530</v>
      </c>
      <c r="V148" s="70" t="s">
        <v>1530</v>
      </c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/>
      <c r="J150" s="31"/>
      <c r="K150" s="3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27</v>
      </c>
      <c r="J152" s="31">
        <f t="shared" si="11"/>
        <v>1</v>
      </c>
      <c r="K152" s="32">
        <f t="shared" si="12"/>
        <v>0.9642857142857143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 t="s">
        <v>1530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18</v>
      </c>
      <c r="J171" s="142">
        <f t="shared" si="11"/>
        <v>10</v>
      </c>
      <c r="K171" s="143">
        <f t="shared" si="12"/>
        <v>0.6428571428571429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 t="s">
        <v>1530</v>
      </c>
      <c r="V171" s="144" t="s">
        <v>1530</v>
      </c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26</v>
      </c>
      <c r="J175" s="31">
        <f t="shared" si="11"/>
        <v>2</v>
      </c>
      <c r="K175" s="32">
        <f t="shared" si="12"/>
        <v>0.9285714285714286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26</v>
      </c>
      <c r="J176" s="31">
        <f t="shared" si="11"/>
        <v>2</v>
      </c>
      <c r="K176" s="32">
        <f t="shared" si="12"/>
        <v>0.9285714285714286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21</v>
      </c>
      <c r="J177" s="31">
        <f t="shared" si="11"/>
        <v>7</v>
      </c>
      <c r="K177" s="32">
        <f t="shared" si="12"/>
        <v>0.75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 t="s">
        <v>1530</v>
      </c>
      <c r="V177" s="70" t="s">
        <v>1530</v>
      </c>
      <c r="W177" s="70"/>
      <c r="X177" s="70"/>
      <c r="Y177" s="70"/>
      <c r="Z177" s="70"/>
      <c r="AA177" s="70"/>
      <c r="AB177" s="70"/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18</v>
      </c>
      <c r="J178" s="31">
        <f t="shared" si="11"/>
        <v>10</v>
      </c>
      <c r="K178" s="32">
        <f t="shared" si="12"/>
        <v>0.6428571428571429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 t="s">
        <v>1530</v>
      </c>
      <c r="V178" s="70" t="s">
        <v>1530</v>
      </c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27</v>
      </c>
      <c r="J190" s="31">
        <f t="shared" si="11"/>
        <v>1</v>
      </c>
      <c r="K190" s="32">
        <f t="shared" si="12"/>
        <v>0.9642857142857143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18</v>
      </c>
      <c r="J220" s="31">
        <f t="shared" si="14"/>
        <v>10</v>
      </c>
      <c r="K220" s="32">
        <f t="shared" si="15"/>
        <v>0.6428571428571429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 t="s">
        <v>1530</v>
      </c>
      <c r="V220" s="70" t="s">
        <v>1530</v>
      </c>
      <c r="W220" s="70"/>
      <c r="X220" s="70"/>
      <c r="Y220" s="70"/>
      <c r="Z220" s="70"/>
      <c r="AA220" s="70"/>
      <c r="AB220" s="70"/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27</v>
      </c>
      <c r="J221" s="31">
        <f t="shared" si="14"/>
        <v>1</v>
      </c>
      <c r="K221" s="32">
        <f t="shared" si="15"/>
        <v>0.9642857142857143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27</v>
      </c>
      <c r="J222" s="31">
        <f t="shared" si="14"/>
        <v>1</v>
      </c>
      <c r="K222" s="32">
        <f t="shared" si="15"/>
        <v>0.9642857142857143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18</v>
      </c>
      <c r="J228" s="31">
        <f t="shared" si="14"/>
        <v>10</v>
      </c>
      <c r="K228" s="32">
        <f t="shared" si="15"/>
        <v>0.6428571428571429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 t="s">
        <v>1530</v>
      </c>
      <c r="V228" s="70" t="s">
        <v>1530</v>
      </c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19</v>
      </c>
      <c r="J231" s="31">
        <f t="shared" si="14"/>
        <v>9</v>
      </c>
      <c r="K231" s="32">
        <f t="shared" si="15"/>
        <v>0.6785714285714286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 t="s">
        <v>1530</v>
      </c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18</v>
      </c>
      <c r="J232" s="31">
        <f t="shared" si="14"/>
        <v>10</v>
      </c>
      <c r="K232" s="32">
        <f t="shared" si="15"/>
        <v>0.6428571428571429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 t="s">
        <v>1530</v>
      </c>
      <c r="V232" s="70" t="s">
        <v>1530</v>
      </c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25</v>
      </c>
      <c r="J246" s="31">
        <f t="shared" si="14"/>
        <v>3</v>
      </c>
      <c r="K246" s="32">
        <f t="shared" si="15"/>
        <v>0.8928571428571429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20</v>
      </c>
      <c r="J249" s="31">
        <f t="shared" si="14"/>
        <v>8</v>
      </c>
      <c r="K249" s="32">
        <f t="shared" si="15"/>
        <v>0.7142857142857143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 t="s">
        <v>1530</v>
      </c>
      <c r="V249" s="70" t="s">
        <v>1530</v>
      </c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22</v>
      </c>
      <c r="J265" s="31">
        <f t="shared" si="14"/>
        <v>6</v>
      </c>
      <c r="K265" s="32">
        <f t="shared" si="15"/>
        <v>0.7857142857142857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19</v>
      </c>
      <c r="J267" s="31">
        <f t="shared" si="14"/>
        <v>9</v>
      </c>
      <c r="K267" s="32">
        <f t="shared" si="15"/>
        <v>0.6785714285714286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 t="s">
        <v>1530</v>
      </c>
      <c r="V267" s="70" t="s">
        <v>1530</v>
      </c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18</v>
      </c>
      <c r="J268" s="31">
        <f t="shared" si="14"/>
        <v>10</v>
      </c>
      <c r="K268" s="32">
        <f t="shared" si="15"/>
        <v>0.6428571428571429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 t="s">
        <v>1530</v>
      </c>
      <c r="V268" s="70" t="s">
        <v>1530</v>
      </c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27</v>
      </c>
      <c r="J271" s="31">
        <f t="shared" si="14"/>
        <v>1</v>
      </c>
      <c r="K271" s="32">
        <f t="shared" si="15"/>
        <v>0.9642857142857143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27</v>
      </c>
      <c r="J272" s="31">
        <f t="shared" si="14"/>
        <v>1</v>
      </c>
      <c r="K272" s="32">
        <f t="shared" si="15"/>
        <v>0.9642857142857143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27</v>
      </c>
      <c r="J278" s="31">
        <f t="shared" si="14"/>
        <v>1</v>
      </c>
      <c r="K278" s="32">
        <f t="shared" si="15"/>
        <v>0.9642857142857143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18</v>
      </c>
      <c r="J279" s="142">
        <f t="shared" si="14"/>
        <v>10</v>
      </c>
      <c r="K279" s="143">
        <f t="shared" si="15"/>
        <v>0.6428571428571429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 t="s">
        <v>1530</v>
      </c>
      <c r="V279" s="144" t="s">
        <v>1530</v>
      </c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27</v>
      </c>
      <c r="J280" s="31">
        <f t="shared" ref="J280:J343" si="17">COUNTIF(L280:AM280,"APAGADO")</f>
        <v>1</v>
      </c>
      <c r="K280" s="32">
        <f t="shared" ref="K280:K343" si="18">(I280)/(J280+I280)</f>
        <v>0.9642857142857143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27</v>
      </c>
      <c r="J282" s="31">
        <f t="shared" si="17"/>
        <v>1</v>
      </c>
      <c r="K282" s="32">
        <f t="shared" si="18"/>
        <v>0.9642857142857143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18</v>
      </c>
      <c r="J284" s="31">
        <f t="shared" si="17"/>
        <v>10</v>
      </c>
      <c r="K284" s="32">
        <f t="shared" si="18"/>
        <v>0.6428571428571429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 t="s">
        <v>1530</v>
      </c>
      <c r="V284" s="70" t="s">
        <v>1530</v>
      </c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27</v>
      </c>
      <c r="J294" s="31">
        <f t="shared" si="17"/>
        <v>1</v>
      </c>
      <c r="K294" s="32">
        <f t="shared" si="18"/>
        <v>0.9642857142857143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27</v>
      </c>
      <c r="J295" s="31">
        <f t="shared" si="17"/>
        <v>1</v>
      </c>
      <c r="K295" s="32">
        <f t="shared" si="18"/>
        <v>0.9642857142857143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28</v>
      </c>
      <c r="J300" s="91">
        <f t="shared" si="17"/>
        <v>0</v>
      </c>
      <c r="K300" s="92">
        <f t="shared" si="18"/>
        <v>1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18</v>
      </c>
      <c r="J301" s="31">
        <f t="shared" si="17"/>
        <v>10</v>
      </c>
      <c r="K301" s="32">
        <f t="shared" si="18"/>
        <v>0.6428571428571429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 t="s">
        <v>1530</v>
      </c>
      <c r="V301" s="70" t="s">
        <v>1530</v>
      </c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18</v>
      </c>
      <c r="J307" s="31">
        <f t="shared" si="17"/>
        <v>10</v>
      </c>
      <c r="K307" s="32">
        <f t="shared" si="18"/>
        <v>0.6428571428571429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/>
      <c r="X307" s="70"/>
      <c r="Y307" s="70"/>
      <c r="Z307" s="70"/>
      <c r="AA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18</v>
      </c>
      <c r="J313" s="31">
        <f t="shared" si="17"/>
        <v>10</v>
      </c>
      <c r="K313" s="32">
        <f t="shared" si="18"/>
        <v>0.6428571428571429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18</v>
      </c>
      <c r="J314" s="31">
        <f t="shared" si="17"/>
        <v>10</v>
      </c>
      <c r="K314" s="32">
        <f t="shared" si="18"/>
        <v>0.6428571428571429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 t="s">
        <v>1530</v>
      </c>
      <c r="V314" s="70" t="s">
        <v>1530</v>
      </c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18</v>
      </c>
      <c r="J315" s="31">
        <f t="shared" si="17"/>
        <v>10</v>
      </c>
      <c r="K315" s="32">
        <f t="shared" si="18"/>
        <v>0.6428571428571429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 t="s">
        <v>1530</v>
      </c>
      <c r="V315" s="70" t="s">
        <v>1530</v>
      </c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26</v>
      </c>
      <c r="J319" s="31">
        <f t="shared" si="17"/>
        <v>2</v>
      </c>
      <c r="K319" s="32">
        <f t="shared" si="18"/>
        <v>0.9285714285714286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26</v>
      </c>
      <c r="J320" s="31">
        <f t="shared" si="17"/>
        <v>2</v>
      </c>
      <c r="K320" s="32">
        <f t="shared" si="18"/>
        <v>0.9285714285714286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22</v>
      </c>
      <c r="J322" s="31">
        <f t="shared" si="17"/>
        <v>6</v>
      </c>
      <c r="K322" s="32">
        <f t="shared" si="18"/>
        <v>0.7857142857142857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 t="s">
        <v>1530</v>
      </c>
      <c r="V322" s="70" t="s">
        <v>1530</v>
      </c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18</v>
      </c>
      <c r="J338" s="31">
        <f t="shared" si="17"/>
        <v>10</v>
      </c>
      <c r="K338" s="32">
        <f t="shared" si="18"/>
        <v>0.6428571428571429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 t="s">
        <v>1530</v>
      </c>
      <c r="V338" s="70" t="s">
        <v>1530</v>
      </c>
      <c r="W338" s="70"/>
      <c r="X338" s="70"/>
      <c r="Y338" s="70"/>
      <c r="Z338" s="70"/>
      <c r="AA338" s="70"/>
      <c r="AB338" s="70"/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18</v>
      </c>
      <c r="J339" s="142">
        <f t="shared" si="17"/>
        <v>10</v>
      </c>
      <c r="K339" s="143">
        <f t="shared" si="18"/>
        <v>0.6428571428571429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 t="s">
        <v>1530</v>
      </c>
      <c r="V339" s="144" t="s">
        <v>1530</v>
      </c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22</v>
      </c>
      <c r="J341" s="31">
        <f t="shared" si="17"/>
        <v>6</v>
      </c>
      <c r="K341" s="32">
        <f t="shared" si="18"/>
        <v>0.7857142857142857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 t="s">
        <v>1530</v>
      </c>
      <c r="V341" s="70" t="s">
        <v>1530</v>
      </c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22</v>
      </c>
      <c r="J342" s="31">
        <f t="shared" si="17"/>
        <v>6</v>
      </c>
      <c r="K342" s="32">
        <f t="shared" si="18"/>
        <v>0.7857142857142857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 t="s">
        <v>1530</v>
      </c>
      <c r="V342" s="70" t="s">
        <v>1530</v>
      </c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22</v>
      </c>
      <c r="J343" s="31">
        <f t="shared" si="17"/>
        <v>6</v>
      </c>
      <c r="K343" s="32">
        <f t="shared" si="18"/>
        <v>0.7857142857142857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 t="s">
        <v>1530</v>
      </c>
      <c r="V343" s="70" t="s">
        <v>1530</v>
      </c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22</v>
      </c>
      <c r="J346" s="31">
        <f t="shared" si="20"/>
        <v>6</v>
      </c>
      <c r="K346" s="32">
        <f t="shared" si="21"/>
        <v>0.7857142857142857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 t="s">
        <v>1530</v>
      </c>
      <c r="V346" s="70" t="s">
        <v>1530</v>
      </c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22</v>
      </c>
      <c r="J347" s="31">
        <f t="shared" si="20"/>
        <v>6</v>
      </c>
      <c r="K347" s="32">
        <f t="shared" si="21"/>
        <v>0.7857142857142857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22</v>
      </c>
      <c r="J348" s="31">
        <f t="shared" si="20"/>
        <v>6</v>
      </c>
      <c r="K348" s="32">
        <f t="shared" si="21"/>
        <v>0.7857142857142857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 t="s">
        <v>1530</v>
      </c>
      <c r="V348" s="70" t="s">
        <v>1530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22</v>
      </c>
      <c r="J349" s="31">
        <f t="shared" si="20"/>
        <v>6</v>
      </c>
      <c r="K349" s="32">
        <f t="shared" si="21"/>
        <v>0.7857142857142857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 t="s">
        <v>1530</v>
      </c>
      <c r="V349" s="70" t="s">
        <v>1530</v>
      </c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22</v>
      </c>
      <c r="J351" s="31">
        <f t="shared" si="20"/>
        <v>6</v>
      </c>
      <c r="K351" s="32">
        <f t="shared" si="21"/>
        <v>0.7857142857142857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20</v>
      </c>
      <c r="J356" s="31">
        <f t="shared" si="20"/>
        <v>8</v>
      </c>
      <c r="K356" s="32">
        <f t="shared" si="21"/>
        <v>0.7142857142857143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 t="s">
        <v>1530</v>
      </c>
      <c r="V356" s="70" t="s">
        <v>1530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27</v>
      </c>
      <c r="J362" s="31">
        <f t="shared" si="20"/>
        <v>1</v>
      </c>
      <c r="K362" s="32">
        <f t="shared" si="21"/>
        <v>0.9642857142857143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 t="s">
        <v>1530</v>
      </c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27</v>
      </c>
      <c r="J363" s="31">
        <f t="shared" si="20"/>
        <v>1</v>
      </c>
      <c r="K363" s="32">
        <f t="shared" si="21"/>
        <v>0.9642857142857143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 t="s">
        <v>1530</v>
      </c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18</v>
      </c>
      <c r="J368" s="31">
        <f t="shared" si="20"/>
        <v>10</v>
      </c>
      <c r="K368" s="32">
        <f t="shared" si="21"/>
        <v>0.6428571428571429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 t="s">
        <v>1530</v>
      </c>
      <c r="V368" s="70" t="s">
        <v>1530</v>
      </c>
      <c r="W368" s="70"/>
      <c r="X368" s="70"/>
      <c r="Y368" s="70"/>
      <c r="Z368" s="70"/>
      <c r="AA368" s="70"/>
      <c r="AB368" s="70"/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19</v>
      </c>
      <c r="J369" s="31">
        <f t="shared" si="20"/>
        <v>9</v>
      </c>
      <c r="K369" s="32">
        <f t="shared" si="21"/>
        <v>0.6785714285714286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 t="s">
        <v>1530</v>
      </c>
      <c r="V369" s="70" t="s">
        <v>1530</v>
      </c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18</v>
      </c>
      <c r="J373" s="31">
        <f t="shared" si="20"/>
        <v>10</v>
      </c>
      <c r="K373" s="32">
        <f t="shared" si="21"/>
        <v>0.6428571428571429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 t="s">
        <v>1530</v>
      </c>
      <c r="V373" s="70" t="s">
        <v>1530</v>
      </c>
      <c r="W373" s="70"/>
      <c r="X373" s="70"/>
      <c r="Y373" s="70"/>
      <c r="Z373" s="70"/>
      <c r="AA373" s="70"/>
      <c r="AB373" s="70"/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18</v>
      </c>
      <c r="J376" s="31">
        <f t="shared" si="20"/>
        <v>10</v>
      </c>
      <c r="K376" s="32">
        <f t="shared" si="21"/>
        <v>0.6428571428571429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 t="s">
        <v>1530</v>
      </c>
      <c r="V376" s="70" t="s">
        <v>1530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27</v>
      </c>
      <c r="J380" s="31">
        <f t="shared" si="20"/>
        <v>1</v>
      </c>
      <c r="K380" s="32">
        <f t="shared" si="21"/>
        <v>0.9642857142857143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27</v>
      </c>
      <c r="J381" s="31">
        <f t="shared" si="20"/>
        <v>1</v>
      </c>
      <c r="K381" s="32">
        <f t="shared" si="21"/>
        <v>0.9642857142857143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27</v>
      </c>
      <c r="J382" s="31">
        <f t="shared" si="20"/>
        <v>1</v>
      </c>
      <c r="K382" s="32">
        <f t="shared" si="21"/>
        <v>0.9642857142857143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27</v>
      </c>
      <c r="J383" s="31">
        <f t="shared" si="20"/>
        <v>1</v>
      </c>
      <c r="K383" s="32">
        <f t="shared" si="21"/>
        <v>0.9642857142857143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27</v>
      </c>
      <c r="J384" s="31">
        <f t="shared" si="20"/>
        <v>1</v>
      </c>
      <c r="K384" s="32">
        <f t="shared" si="21"/>
        <v>0.9642857142857143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 t="s">
        <v>1530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18</v>
      </c>
      <c r="J392" s="31">
        <f t="shared" si="20"/>
        <v>10</v>
      </c>
      <c r="K392" s="32">
        <f t="shared" si="21"/>
        <v>0.6428571428571429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 t="s">
        <v>1530</v>
      </c>
      <c r="V392" s="70" t="s">
        <v>1530</v>
      </c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19</v>
      </c>
      <c r="J393" s="31">
        <f t="shared" si="20"/>
        <v>9</v>
      </c>
      <c r="K393" s="32">
        <f t="shared" si="21"/>
        <v>0.6785714285714286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 t="s">
        <v>1530</v>
      </c>
      <c r="V393" s="70" t="s">
        <v>1530</v>
      </c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18</v>
      </c>
      <c r="J398" s="31">
        <f t="shared" si="20"/>
        <v>10</v>
      </c>
      <c r="K398" s="32">
        <f t="shared" si="21"/>
        <v>0.6428571428571429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 t="s">
        <v>1530</v>
      </c>
      <c r="V398" s="70" t="s">
        <v>1530</v>
      </c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19</v>
      </c>
      <c r="J404" s="31">
        <f t="shared" si="20"/>
        <v>9</v>
      </c>
      <c r="K404" s="32">
        <f t="shared" si="21"/>
        <v>0.6785714285714286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 t="s">
        <v>1530</v>
      </c>
      <c r="V404" s="70" t="s">
        <v>1530</v>
      </c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18</v>
      </c>
      <c r="J407" s="31">
        <f t="shared" si="20"/>
        <v>10</v>
      </c>
      <c r="K407" s="32">
        <f t="shared" si="21"/>
        <v>0.6428571428571429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 t="s">
        <v>1530</v>
      </c>
      <c r="V407" s="70" t="s">
        <v>1530</v>
      </c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18</v>
      </c>
      <c r="J417" s="31">
        <f t="shared" si="23"/>
        <v>10</v>
      </c>
      <c r="K417" s="32">
        <f t="shared" si="24"/>
        <v>0.6428571428571429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 t="s">
        <v>1530</v>
      </c>
      <c r="V417" s="70" t="s">
        <v>1530</v>
      </c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18</v>
      </c>
      <c r="J418" s="31">
        <f t="shared" si="23"/>
        <v>10</v>
      </c>
      <c r="K418" s="32">
        <f t="shared" si="24"/>
        <v>0.6428571428571429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26</v>
      </c>
      <c r="J429" s="31">
        <f t="shared" si="23"/>
        <v>2</v>
      </c>
      <c r="K429" s="32">
        <f t="shared" si="24"/>
        <v>0.9285714285714286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21</v>
      </c>
      <c r="J463" s="31">
        <f t="shared" si="23"/>
        <v>7</v>
      </c>
      <c r="K463" s="32">
        <f t="shared" si="24"/>
        <v>0.75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 t="s">
        <v>1530</v>
      </c>
      <c r="V463" s="70" t="s">
        <v>1530</v>
      </c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22</v>
      </c>
      <c r="J467" s="31">
        <f t="shared" si="23"/>
        <v>6</v>
      </c>
      <c r="K467" s="32">
        <f t="shared" si="24"/>
        <v>0.7857142857142857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 t="s">
        <v>1530</v>
      </c>
      <c r="V467" s="70" t="s">
        <v>1530</v>
      </c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22</v>
      </c>
      <c r="J468" s="31">
        <f t="shared" si="23"/>
        <v>6</v>
      </c>
      <c r="K468" s="32">
        <f t="shared" si="24"/>
        <v>0.7857142857142857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 t="s">
        <v>1530</v>
      </c>
      <c r="V468" s="70" t="s">
        <v>1530</v>
      </c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18</v>
      </c>
      <c r="J484" s="31">
        <f t="shared" si="26"/>
        <v>10</v>
      </c>
      <c r="K484" s="32">
        <f t="shared" si="27"/>
        <v>0.6428571428571429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 t="s">
        <v>1530</v>
      </c>
      <c r="V484" s="70" t="s">
        <v>1530</v>
      </c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18</v>
      </c>
      <c r="J486" s="31">
        <f t="shared" si="26"/>
        <v>10</v>
      </c>
      <c r="K486" s="32">
        <f t="shared" si="27"/>
        <v>0.6428571428571429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 t="s">
        <v>1530</v>
      </c>
      <c r="V486" s="70" t="s">
        <v>1530</v>
      </c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19</v>
      </c>
      <c r="J508" s="31">
        <f t="shared" si="26"/>
        <v>9</v>
      </c>
      <c r="K508" s="32">
        <f t="shared" si="27"/>
        <v>0.6785714285714286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 t="s">
        <v>1530</v>
      </c>
      <c r="V508" s="70" t="s">
        <v>1530</v>
      </c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100" zoomScale="90" zoomScaleNormal="90" workbookViewId="0">
      <selection activeCell="F112" sqref="F112:F12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0.13690476190476192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0.13690476190476192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0.13690476190476192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0.10119047619047619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0.10119047619047619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34</v>
      </c>
      <c r="E108" s="109">
        <f>D108/C108</f>
        <v>0.12546125461254612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35</v>
      </c>
      <c r="E109" s="118">
        <f>D109/C109</f>
        <v>0.15021459227467812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0.14087301587301587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0.12896825396825398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0.11706349206349206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7.7380952380952384E-2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5.9523809523809521E-2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33</v>
      </c>
      <c r="E119" s="109">
        <f>D119/C119</f>
        <v>0.12177121771217712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38</v>
      </c>
      <c r="E120" s="118">
        <f>D120/C120</f>
        <v>0.1630901287553648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0</v>
      </c>
      <c r="E125" s="55">
        <f>D125/C123</f>
        <v>0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0</v>
      </c>
      <c r="E126" s="55">
        <f>D126/C123</f>
        <v>0</v>
      </c>
      <c r="F126" s="148"/>
    </row>
    <row r="127" spans="2:6" x14ac:dyDescent="0.25">
      <c r="B127" s="53" t="s">
        <v>16</v>
      </c>
      <c r="C127" s="98">
        <f>'RESUMEN TOTAL'!W5</f>
        <v>0</v>
      </c>
      <c r="D127" s="107">
        <f>D126-C127</f>
        <v>0</v>
      </c>
      <c r="E127" s="55">
        <f>D127/C123</f>
        <v>0</v>
      </c>
      <c r="F127" s="148"/>
    </row>
    <row r="128" spans="2:6" ht="15.75" thickBot="1" x14ac:dyDescent="0.3">
      <c r="B128" s="56" t="s">
        <v>1473</v>
      </c>
      <c r="C128" s="135"/>
      <c r="D128" s="108">
        <f>D127-C128</f>
        <v>0</v>
      </c>
      <c r="E128" s="74">
        <f>D128/C123</f>
        <v>0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0</v>
      </c>
      <c r="E130" s="109">
        <f>D130/C130</f>
        <v>0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0</v>
      </c>
      <c r="E131" s="118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0</v>
      </c>
      <c r="E136" s="55">
        <f>D136/C134</f>
        <v>0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0</v>
      </c>
      <c r="E137" s="55">
        <f>D137/C134</f>
        <v>0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0</v>
      </c>
      <c r="E138" s="55">
        <f>D138/C134</f>
        <v>0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 t="str">
        <f>'RESUMEN TOTAL'!U39</f>
        <v>APAGADO</v>
      </c>
      <c r="P29" s="70" t="str">
        <f>'RESUMEN TOTAL'!V39</f>
        <v>APAGADO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>
        <f>'RESUMEN TOTAL'!W40</f>
        <v>0</v>
      </c>
      <c r="R30" s="70">
        <f>'RESUMEN TOTAL'!X40</f>
        <v>0</v>
      </c>
      <c r="S30" s="70">
        <f>'RESUMEN TOTAL'!Y40</f>
        <v>0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>
        <f>'RESUMEN TOTAL'!W55</f>
        <v>0</v>
      </c>
      <c r="R45" s="70">
        <f>'RESUMEN TOTAL'!X55</f>
        <v>0</v>
      </c>
      <c r="S45" s="70">
        <f>'RESUMEN TOTAL'!Y55</f>
        <v>0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 t="str">
        <f>'RESUMEN TOTAL'!U56</f>
        <v>APAGADO</v>
      </c>
      <c r="P46" s="70" t="str">
        <f>'RESUMEN TOTAL'!V56</f>
        <v>APAGADO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 t="str">
        <f>'RESUMEN TOTAL'!U58</f>
        <v>APAGADO</v>
      </c>
      <c r="P48" s="70" t="str">
        <f>'RESUMEN TOTAL'!V58</f>
        <v>APAGADO</v>
      </c>
      <c r="Q48" s="70">
        <f>'RESUMEN TOTAL'!W58</f>
        <v>0</v>
      </c>
      <c r="R48" s="70">
        <f>'RESUMEN TOTAL'!X58</f>
        <v>0</v>
      </c>
      <c r="S48" s="70">
        <f>'RESUMEN TOTAL'!Y58</f>
        <v>0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 t="str">
        <f>'RESUMEN TOTAL'!U95</f>
        <v>APAGADO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 t="str">
        <f>'RESUMEN TOTAL'!U108</f>
        <v>APAGADO</v>
      </c>
      <c r="P98" s="70" t="str">
        <f>'RESUMEN TOTAL'!V108</f>
        <v>APAGADO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>
        <f>'RESUMEN TOTAL'!X109</f>
        <v>0</v>
      </c>
      <c r="S99" s="70">
        <f>'RESUMEN TOTAL'!Y109</f>
        <v>0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 t="str">
        <f>'RESUMEN TOTAL'!U129</f>
        <v>APAGADO</v>
      </c>
      <c r="P112" s="70" t="str">
        <f>'RESUMEN TOTAL'!V129</f>
        <v>APAGADO</v>
      </c>
      <c r="Q112" s="70">
        <f>'RESUMEN TOTAL'!W129</f>
        <v>0</v>
      </c>
      <c r="R112" s="70">
        <f>'RESUMEN TOTAL'!X129</f>
        <v>0</v>
      </c>
      <c r="S112" s="70">
        <f>'RESUMEN TOTAL'!Y129</f>
        <v>0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 t="str">
        <f>'RESUMEN TOTAL'!V133</f>
        <v>APAGADO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>
        <f>'RESUMEN TOTAL'!W136</f>
        <v>0</v>
      </c>
      <c r="R119" s="70">
        <f>'RESUMEN TOTAL'!X136</f>
        <v>0</v>
      </c>
      <c r="S119" s="70">
        <f>'RESUMEN TOTAL'!Y136</f>
        <v>0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>
        <f>'RESUMEN TOTAL'!W139</f>
        <v>0</v>
      </c>
      <c r="R122" s="70">
        <f>'RESUMEN TOTAL'!X139</f>
        <v>0</v>
      </c>
      <c r="S122" s="70">
        <f>'RESUMEN TOTAL'!Y139</f>
        <v>0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>
        <f>'RESUMEN TOTAL'!W140</f>
        <v>0</v>
      </c>
      <c r="R123" s="70">
        <f>'RESUMEN TOTAL'!X140</f>
        <v>0</v>
      </c>
      <c r="S123" s="70">
        <f>'RESUMEN TOTAL'!Y140</f>
        <v>0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 t="str">
        <f>'RESUMEN TOTAL'!U145</f>
        <v>APAGADO</v>
      </c>
      <c r="P126" s="70" t="str">
        <f>'RESUMEN TOTAL'!V145</f>
        <v>APAGADO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 t="str">
        <f>'RESUMEN TOTAL'!U146</f>
        <v>APAGADO</v>
      </c>
      <c r="P127" s="70" t="str">
        <f>'RESUMEN TOTAL'!V146</f>
        <v>APAGADO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 t="str">
        <f>'RESUMEN TOTAL'!U148</f>
        <v>APAGADO</v>
      </c>
      <c r="P129" s="70" t="str">
        <f>'RESUMEN TOTAL'!V148</f>
        <v>APAGADO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 t="str">
        <f>'RESUMEN TOTAL'!U152</f>
        <v>APAGADO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 t="str">
        <f>'RESUMEN TOTAL'!U171</f>
        <v>APAGADO</v>
      </c>
      <c r="P148" s="70" t="str">
        <f>'RESUMEN TOTAL'!V171</f>
        <v>APAGADO</v>
      </c>
      <c r="Q148" s="70">
        <f>'RESUMEN TOTAL'!W171</f>
        <v>0</v>
      </c>
      <c r="R148" s="70">
        <f>'RESUMEN TOTAL'!X171</f>
        <v>0</v>
      </c>
      <c r="S148" s="70">
        <f>'RESUMEN TOTAL'!Y171</f>
        <v>0</v>
      </c>
      <c r="T148" s="70">
        <f>'RESUMEN TOTAL'!Z171</f>
        <v>0</v>
      </c>
      <c r="U148" s="70">
        <f>'RESUMEN TOTAL'!AA171</f>
        <v>0</v>
      </c>
      <c r="V148" s="70">
        <f>'RESUMEN TOTAL'!AB171</f>
        <v>0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>
        <f>'RESUMEN TOTAL'!AB175</f>
        <v>0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 t="str">
        <f>'RESUMEN TOTAL'!U177</f>
        <v>APAGADO</v>
      </c>
      <c r="P154" s="70" t="str">
        <f>'RESUMEN TOTAL'!V177</f>
        <v>APAGADO</v>
      </c>
      <c r="Q154" s="70">
        <f>'RESUMEN TOTAL'!W177</f>
        <v>0</v>
      </c>
      <c r="R154" s="70">
        <f>'RESUMEN TOTAL'!X177</f>
        <v>0</v>
      </c>
      <c r="S154" s="70">
        <f>'RESUMEN TOTAL'!Y177</f>
        <v>0</v>
      </c>
      <c r="T154" s="70">
        <f>'RESUMEN TOTAL'!Z177</f>
        <v>0</v>
      </c>
      <c r="U154" s="70">
        <f>'RESUMEN TOTAL'!AA177</f>
        <v>0</v>
      </c>
      <c r="V154" s="70">
        <f>'RESUMEN TOTAL'!AB177</f>
        <v>0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 t="str">
        <f>'RESUMEN TOTAL'!U178</f>
        <v>APAGADO</v>
      </c>
      <c r="P155" s="70" t="str">
        <f>'RESUMEN TOTAL'!V178</f>
        <v>APAGADO</v>
      </c>
      <c r="Q155" s="70">
        <f>'RESUMEN TOTAL'!W178</f>
        <v>0</v>
      </c>
      <c r="R155" s="70">
        <f>'RESUMEN TOTAL'!X178</f>
        <v>0</v>
      </c>
      <c r="S155" s="70">
        <f>'RESUMEN TOTAL'!Y178</f>
        <v>0</v>
      </c>
      <c r="T155" s="70">
        <f>'RESUMEN TOTAL'!Z178</f>
        <v>0</v>
      </c>
      <c r="U155" s="70">
        <f>'RESUMEN TOTAL'!AA178</f>
        <v>0</v>
      </c>
      <c r="V155" s="70">
        <f>'RESUMEN TOTAL'!AB178</f>
        <v>0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>
        <f>'RESUMEN TOTAL'!X190</f>
        <v>0</v>
      </c>
      <c r="S167" s="70">
        <f>'RESUMEN TOTAL'!Y190</f>
        <v>0</v>
      </c>
      <c r="T167" s="70">
        <f>'RESUMEN TOTAL'!Z190</f>
        <v>0</v>
      </c>
      <c r="U167" s="70">
        <f>'RESUMEN TOTAL'!AA190</f>
        <v>0</v>
      </c>
      <c r="V167" s="70">
        <f>'RESUMEN TOTAL'!AB190</f>
        <v>0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 t="str">
        <f>'RESUMEN TOTAL'!U220</f>
        <v>APAGADO</v>
      </c>
      <c r="P194" s="70" t="str">
        <f>'RESUMEN TOTAL'!V220</f>
        <v>APAGADO</v>
      </c>
      <c r="Q194" s="70">
        <f>'RESUMEN TOTAL'!W220</f>
        <v>0</v>
      </c>
      <c r="R194" s="70">
        <f>'RESUMEN TOTAL'!X220</f>
        <v>0</v>
      </c>
      <c r="S194" s="70">
        <f>'RESUMEN TOTAL'!Y220</f>
        <v>0</v>
      </c>
      <c r="T194" s="70">
        <f>'RESUMEN TOTAL'!Z220</f>
        <v>0</v>
      </c>
      <c r="U194" s="70">
        <f>'RESUMEN TOTAL'!AA220</f>
        <v>0</v>
      </c>
      <c r="V194" s="70">
        <f>'RESUMEN TOTAL'!AB220</f>
        <v>0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>
        <f>'RESUMEN TOTAL'!AB221</f>
        <v>0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>
        <f>'RESUMEN TOTAL'!AA222</f>
        <v>0</v>
      </c>
      <c r="V196" s="70">
        <f>'RESUMEN TOTAL'!AB222</f>
        <v>0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>
        <f>'RESUMEN TOTAL'!Y223</f>
        <v>0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>
        <f>'RESUMEN TOTAL'!Y224</f>
        <v>0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>
        <f>'RESUMEN TOTAL'!Y225</f>
        <v>0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 t="str">
        <f>'RESUMEN TOTAL'!U228</f>
        <v>APAGADO</v>
      </c>
      <c r="P202" s="70" t="str">
        <f>'RESUMEN TOTAL'!V228</f>
        <v>APAGADO</v>
      </c>
      <c r="Q202" s="70">
        <f>'RESUMEN TOTAL'!W228</f>
        <v>0</v>
      </c>
      <c r="R202" s="70">
        <f>'RESUMEN TOTAL'!X228</f>
        <v>0</v>
      </c>
      <c r="S202" s="70">
        <f>'RESUMEN TOTAL'!Y228</f>
        <v>0</v>
      </c>
      <c r="T202" s="70">
        <f>'RESUMEN TOTAL'!Z228</f>
        <v>0</v>
      </c>
      <c r="U202" s="70">
        <f>'RESUMEN TOTAL'!AA228</f>
        <v>0</v>
      </c>
      <c r="V202" s="70">
        <f>'RESUMEN TOTAL'!AB228</f>
        <v>0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 t="str">
        <f>'RESUMEN TOTAL'!U231</f>
        <v>APAGADO</v>
      </c>
      <c r="P205" s="70">
        <f>'RESUMEN TOTAL'!V231</f>
        <v>0</v>
      </c>
      <c r="Q205" s="70">
        <f>'RESUMEN TOTAL'!W231</f>
        <v>0</v>
      </c>
      <c r="R205" s="70">
        <f>'RESUMEN TOTAL'!X231</f>
        <v>0</v>
      </c>
      <c r="S205" s="70">
        <f>'RESUMEN TOTAL'!Y231</f>
        <v>0</v>
      </c>
      <c r="T205" s="70">
        <f>'RESUMEN TOTAL'!Z231</f>
        <v>0</v>
      </c>
      <c r="U205" s="70">
        <f>'RESUMEN TOTAL'!AA231</f>
        <v>0</v>
      </c>
      <c r="V205" s="70">
        <f>'RESUMEN TOTAL'!AB231</f>
        <v>0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 t="str">
        <f>'RESUMEN TOTAL'!U232</f>
        <v>APAGADO</v>
      </c>
      <c r="P206" s="70" t="str">
        <f>'RESUMEN TOTAL'!V232</f>
        <v>APAGADO</v>
      </c>
      <c r="Q206" s="70">
        <f>'RESUMEN TOTAL'!W232</f>
        <v>0</v>
      </c>
      <c r="R206" s="70">
        <f>'RESUMEN TOTAL'!X232</f>
        <v>0</v>
      </c>
      <c r="S206" s="70">
        <f>'RESUMEN TOTAL'!Y232</f>
        <v>0</v>
      </c>
      <c r="T206" s="70">
        <f>'RESUMEN TOTAL'!Z232</f>
        <v>0</v>
      </c>
      <c r="U206" s="70">
        <f>'RESUMEN TOTAL'!AA232</f>
        <v>0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 t="str">
        <f>'RESUMEN TOTAL'!U249</f>
        <v>APAGADO</v>
      </c>
      <c r="P221" s="70" t="str">
        <f>'RESUMEN TOTAL'!V249</f>
        <v>APAGADO</v>
      </c>
      <c r="Q221" s="70">
        <f>'RESUMEN TOTAL'!W249</f>
        <v>0</v>
      </c>
      <c r="R221" s="70">
        <f>'RESUMEN TOTAL'!X249</f>
        <v>0</v>
      </c>
      <c r="S221" s="70">
        <f>'RESUMEN TOTAL'!Y249</f>
        <v>0</v>
      </c>
      <c r="T221" s="70">
        <f>'RESUMEN TOTAL'!Z249</f>
        <v>0</v>
      </c>
      <c r="U221" s="70">
        <f>'RESUMEN TOTAL'!AA249</f>
        <v>0</v>
      </c>
      <c r="V221" s="70">
        <f>'RESUMEN TOTAL'!AB249</f>
        <v>0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>
        <f>'RESUMEN TOTAL'!AA254</f>
        <v>0</v>
      </c>
      <c r="V226" s="70">
        <f>'RESUMEN TOTAL'!AB254</f>
        <v>0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>
        <f>'RESUMEN TOTAL'!AA265</f>
        <v>0</v>
      </c>
      <c r="V235" s="70">
        <f>'RESUMEN TOTAL'!AB265</f>
        <v>0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 t="str">
        <f>'RESUMEN TOTAL'!U267</f>
        <v>APAGADO</v>
      </c>
      <c r="P237" s="70" t="str">
        <f>'RESUMEN TOTAL'!V267</f>
        <v>APAGADO</v>
      </c>
      <c r="Q237" s="70">
        <f>'RESUMEN TOTAL'!W267</f>
        <v>0</v>
      </c>
      <c r="R237" s="70">
        <f>'RESUMEN TOTAL'!X267</f>
        <v>0</v>
      </c>
      <c r="S237" s="70">
        <f>'RESUMEN TOTAL'!Y267</f>
        <v>0</v>
      </c>
      <c r="T237" s="70">
        <f>'RESUMEN TOTAL'!Z267</f>
        <v>0</v>
      </c>
      <c r="U237" s="70">
        <f>'RESUMEN TOTAL'!AA267</f>
        <v>0</v>
      </c>
      <c r="V237" s="70">
        <f>'RESUMEN TOTAL'!AB267</f>
        <v>0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 t="str">
        <f>'RESUMEN TOTAL'!U268</f>
        <v>APAGADO</v>
      </c>
      <c r="P238" s="70" t="str">
        <f>'RESUMEN TOTAL'!V268</f>
        <v>APAGADO</v>
      </c>
      <c r="Q238" s="70">
        <f>'RESUMEN TOTAL'!W268</f>
        <v>0</v>
      </c>
      <c r="R238" s="70">
        <f>'RESUMEN TOTAL'!X268</f>
        <v>0</v>
      </c>
      <c r="S238" s="70">
        <f>'RESUMEN TOTAL'!Y268</f>
        <v>0</v>
      </c>
      <c r="T238" s="70">
        <f>'RESUMEN TOTAL'!Z268</f>
        <v>0</v>
      </c>
      <c r="U238" s="70">
        <f>'RESUMEN TOTAL'!AA268</f>
        <v>0</v>
      </c>
      <c r="V238" s="70">
        <f>'RESUMEN TOTAL'!AB268</f>
        <v>0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>
        <f>'RESUMEN TOTAL'!AA269</f>
        <v>0</v>
      </c>
      <c r="V239" s="70">
        <f>'RESUMEN TOTAL'!AB269</f>
        <v>0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>
        <f>'RESUMEN TOTAL'!AA271</f>
        <v>0</v>
      </c>
      <c r="V241" s="70">
        <f>'RESUMEN TOTAL'!AB271</f>
        <v>0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>
        <f>'RESUMEN TOTAL'!AA272</f>
        <v>0</v>
      </c>
      <c r="V242" s="70">
        <f>'RESUMEN TOTAL'!AB272</f>
        <v>0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>
        <f>'RESUMEN TOTAL'!AA273</f>
        <v>0</v>
      </c>
      <c r="V243" s="70">
        <f>'RESUMEN TOTAL'!AB273</f>
        <v>0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>
        <f>'RESUMEN TOTAL'!Y278</f>
        <v>0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 t="str">
        <f>'RESUMEN TOTAL'!U279</f>
        <v>APAGADO</v>
      </c>
      <c r="P249" s="70" t="str">
        <f>'RESUMEN TOTAL'!V279</f>
        <v>APAGADO</v>
      </c>
      <c r="Q249" s="70">
        <f>'RESUMEN TOTAL'!W279</f>
        <v>0</v>
      </c>
      <c r="R249" s="70">
        <f>'RESUMEN TOTAL'!X279</f>
        <v>0</v>
      </c>
      <c r="S249" s="70">
        <f>'RESUMEN TOTAL'!Y279</f>
        <v>0</v>
      </c>
      <c r="T249" s="70">
        <f>'RESUMEN TOTAL'!Z279</f>
        <v>0</v>
      </c>
      <c r="U249" s="70">
        <f>'RESUMEN TOTAL'!AA279</f>
        <v>0</v>
      </c>
      <c r="V249" s="70">
        <f>'RESUMEN TOTAL'!AB279</f>
        <v>0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>
        <f>'RESUMEN TOTAL'!Y280</f>
        <v>0</v>
      </c>
      <c r="T250" s="70">
        <f>'RESUMEN TOTAL'!Z280</f>
        <v>0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>
        <f>'RESUMEN TOTAL'!AA281</f>
        <v>0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>
        <f>'RESUMEN TOTAL'!AA282</f>
        <v>0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>
        <f>'RESUMEN TOTAL'!AA283</f>
        <v>0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 t="str">
        <f>'RESUMEN TOTAL'!U284</f>
        <v>APAGADO</v>
      </c>
      <c r="P254" s="70" t="str">
        <f>'RESUMEN TOTAL'!V284</f>
        <v>APAGADO</v>
      </c>
      <c r="Q254" s="70">
        <f>'RESUMEN TOTAL'!W284</f>
        <v>0</v>
      </c>
      <c r="R254" s="70">
        <f>'RESUMEN TOTAL'!X284</f>
        <v>0</v>
      </c>
      <c r="S254" s="70">
        <f>'RESUMEN TOTAL'!Y284</f>
        <v>0</v>
      </c>
      <c r="T254" s="70">
        <f>'RESUMEN TOTAL'!Z284</f>
        <v>0</v>
      </c>
      <c r="U254" s="70">
        <f>'RESUMEN TOTAL'!AA284</f>
        <v>0</v>
      </c>
      <c r="V254" s="70">
        <f>'RESUMEN TOTAL'!AB284</f>
        <v>0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>
        <f>'RESUMEN TOTAL'!Y290</f>
        <v>0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>
        <f>'RESUMEN TOTAL'!Y291</f>
        <v>0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>
        <f>'RESUMEN TOTAL'!Y292</f>
        <v>0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>
        <f>'RESUMEN TOTAL'!Y293</f>
        <v>0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>
        <f>'RESUMEN TOTAL'!Y294</f>
        <v>0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>
        <f>'RESUMEN TOTAL'!Y295</f>
        <v>0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>
        <f>'RESUMEN TOTAL'!Y300</f>
        <v>0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 t="str">
        <f>'RESUMEN TOTAL'!U301</f>
        <v>APAGADO</v>
      </c>
      <c r="P267" s="70" t="str">
        <f>'RESUMEN TOTAL'!V301</f>
        <v>APAGADO</v>
      </c>
      <c r="Q267" s="70">
        <f>'RESUMEN TOTAL'!W301</f>
        <v>0</v>
      </c>
      <c r="R267" s="70">
        <f>'RESUMEN TOTAL'!X301</f>
        <v>0</v>
      </c>
      <c r="S267" s="70">
        <f>'RESUMEN TOTAL'!Y301</f>
        <v>0</v>
      </c>
      <c r="T267" s="70">
        <f>'RESUMEN TOTAL'!Z301</f>
        <v>0</v>
      </c>
      <c r="U267" s="70">
        <f>'RESUMEN TOTAL'!AA301</f>
        <v>0</v>
      </c>
      <c r="V267" s="70">
        <f>'RESUMEN TOTAL'!AB301</f>
        <v>0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>
        <f>'RESUMEN TOTAL'!Y302</f>
        <v>0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>
        <f>'RESUMEN TOTAL'!Y303</f>
        <v>0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>
        <f>'RESUMEN TOTAL'!Y304</f>
        <v>0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>
        <f>'RESUMEN TOTAL'!Y305</f>
        <v>0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>
        <f>'RESUMEN TOTAL'!Y306</f>
        <v>0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 t="str">
        <f>'RESUMEN TOTAL'!U307</f>
        <v>APAGADO</v>
      </c>
      <c r="P273" s="70" t="str">
        <f>'RESUMEN TOTAL'!V307</f>
        <v>APAGADO</v>
      </c>
      <c r="Q273" s="70">
        <f>'RESUMEN TOTAL'!W307</f>
        <v>0</v>
      </c>
      <c r="R273" s="70">
        <f>'RESUMEN TOTAL'!X307</f>
        <v>0</v>
      </c>
      <c r="S273" s="70">
        <f>'RESUMEN TOTAL'!Y307</f>
        <v>0</v>
      </c>
      <c r="T273" s="70">
        <f>'RESUMEN TOTAL'!Z307</f>
        <v>0</v>
      </c>
      <c r="U273" s="70">
        <f>'RESUMEN TOTAL'!AA307</f>
        <v>0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>
        <f>'RESUMEN TOTAL'!Y308</f>
        <v>0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>
        <f>'RESUMEN TOTAL'!Y309</f>
        <v>0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>
        <f>'RESUMEN TOTAL'!Y310</f>
        <v>0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>
        <f>'RESUMEN TOTAL'!Y311</f>
        <v>0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>
        <f>'RESUMEN TOTAL'!Y312</f>
        <v>0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>
        <f>'RESUMEN TOTAL'!X319</f>
        <v>0</v>
      </c>
      <c r="S282" s="70">
        <f>'RESUMEN TOTAL'!Y319</f>
        <v>0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>
        <f>'RESUMEN TOTAL'!X320</f>
        <v>0</v>
      </c>
      <c r="S283" s="70">
        <f>'RESUMEN TOTAL'!Y320</f>
        <v>0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 t="str">
        <f>'RESUMEN TOTAL'!U322</f>
        <v>APAGADO</v>
      </c>
      <c r="P285" s="70" t="str">
        <f>'RESUMEN TOTAL'!V322</f>
        <v>APAGADO</v>
      </c>
      <c r="Q285" s="70">
        <f>'RESUMEN TOTAL'!W322</f>
        <v>0</v>
      </c>
      <c r="R285" s="70">
        <f>'RESUMEN TOTAL'!X322</f>
        <v>0</v>
      </c>
      <c r="S285" s="70">
        <f>'RESUMEN TOTAL'!Y322</f>
        <v>0</v>
      </c>
      <c r="T285" s="70">
        <f>'RESUMEN TOTAL'!Z322</f>
        <v>0</v>
      </c>
      <c r="U285" s="70">
        <f>'RESUMEN TOTAL'!AA322</f>
        <v>0</v>
      </c>
      <c r="V285" s="70">
        <f>'RESUMEN TOTAL'!AB322</f>
        <v>0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 t="str">
        <f>'RESUMEN TOTAL'!U338</f>
        <v>APAGADO</v>
      </c>
      <c r="P301" s="70" t="str">
        <f>'RESUMEN TOTAL'!V338</f>
        <v>APAGADO</v>
      </c>
      <c r="Q301" s="70">
        <f>'RESUMEN TOTAL'!W338</f>
        <v>0</v>
      </c>
      <c r="R301" s="70">
        <f>'RESUMEN TOTAL'!X338</f>
        <v>0</v>
      </c>
      <c r="S301" s="70">
        <f>'RESUMEN TOTAL'!Y338</f>
        <v>0</v>
      </c>
      <c r="T301" s="70">
        <f>'RESUMEN TOTAL'!Z338</f>
        <v>0</v>
      </c>
      <c r="U301" s="70">
        <f>'RESUMEN TOTAL'!AA338</f>
        <v>0</v>
      </c>
      <c r="V301" s="70">
        <f>'RESUMEN TOTAL'!AB338</f>
        <v>0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 t="str">
        <f>'RESUMEN TOTAL'!U339</f>
        <v>APAGADO</v>
      </c>
      <c r="P302" s="70" t="str">
        <f>'RESUMEN TOTAL'!V339</f>
        <v>APAGADO</v>
      </c>
      <c r="Q302" s="70">
        <f>'RESUMEN TOTAL'!W339</f>
        <v>0</v>
      </c>
      <c r="R302" s="70">
        <f>'RESUMEN TOTAL'!X339</f>
        <v>0</v>
      </c>
      <c r="S302" s="70">
        <f>'RESUMEN TOTAL'!Y339</f>
        <v>0</v>
      </c>
      <c r="T302" s="70">
        <f>'RESUMEN TOTAL'!Z339</f>
        <v>0</v>
      </c>
      <c r="U302" s="70">
        <f>'RESUMEN TOTAL'!AA339</f>
        <v>0</v>
      </c>
      <c r="V302" s="70">
        <f>'RESUMEN TOTAL'!AB339</f>
        <v>0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 t="str">
        <f>'RESUMEN TOTAL'!U341</f>
        <v>APAGADO</v>
      </c>
      <c r="P304" s="70" t="str">
        <f>'RESUMEN TOTAL'!V341</f>
        <v>APAGADO</v>
      </c>
      <c r="Q304" s="70">
        <f>'RESUMEN TOTAL'!W341</f>
        <v>0</v>
      </c>
      <c r="R304" s="70">
        <f>'RESUMEN TOTAL'!X341</f>
        <v>0</v>
      </c>
      <c r="S304" s="70">
        <f>'RESUMEN TOTAL'!Y341</f>
        <v>0</v>
      </c>
      <c r="T304" s="70">
        <f>'RESUMEN TOTAL'!Z341</f>
        <v>0</v>
      </c>
      <c r="U304" s="70">
        <f>'RESUMEN TOTAL'!AA341</f>
        <v>0</v>
      </c>
      <c r="V304" s="70">
        <f>'RESUMEN TOTAL'!AB341</f>
        <v>0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 t="str">
        <f>'RESUMEN TOTAL'!U342</f>
        <v>APAGADO</v>
      </c>
      <c r="P305" s="70" t="str">
        <f>'RESUMEN TOTAL'!V342</f>
        <v>APAGADO</v>
      </c>
      <c r="Q305" s="70">
        <f>'RESUMEN TOTAL'!W342</f>
        <v>0</v>
      </c>
      <c r="R305" s="70">
        <f>'RESUMEN TOTAL'!X342</f>
        <v>0</v>
      </c>
      <c r="S305" s="70">
        <f>'RESUMEN TOTAL'!Y342</f>
        <v>0</v>
      </c>
      <c r="T305" s="70">
        <f>'RESUMEN TOTAL'!Z342</f>
        <v>0</v>
      </c>
      <c r="U305" s="70">
        <f>'RESUMEN TOTAL'!AA342</f>
        <v>0</v>
      </c>
      <c r="V305" s="70">
        <f>'RESUMEN TOTAL'!AB342</f>
        <v>0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 t="str">
        <f>'RESUMEN TOTAL'!U343</f>
        <v>APAGADO</v>
      </c>
      <c r="P306" s="70" t="str">
        <f>'RESUMEN TOTAL'!V343</f>
        <v>APAGADO</v>
      </c>
      <c r="Q306" s="70">
        <f>'RESUMEN TOTAL'!W343</f>
        <v>0</v>
      </c>
      <c r="R306" s="70">
        <f>'RESUMEN TOTAL'!X343</f>
        <v>0</v>
      </c>
      <c r="S306" s="70">
        <f>'RESUMEN TOTAL'!Y343</f>
        <v>0</v>
      </c>
      <c r="T306" s="70">
        <f>'RESUMEN TOTAL'!Z343</f>
        <v>0</v>
      </c>
      <c r="U306" s="70">
        <f>'RESUMEN TOTAL'!AA343</f>
        <v>0</v>
      </c>
      <c r="V306" s="70">
        <f>'RESUMEN TOTAL'!AB343</f>
        <v>0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 t="str">
        <f>'RESUMEN TOTAL'!U346</f>
        <v>APAGADO</v>
      </c>
      <c r="P309" s="70" t="str">
        <f>'RESUMEN TOTAL'!V346</f>
        <v>APAGADO</v>
      </c>
      <c r="Q309" s="70">
        <f>'RESUMEN TOTAL'!W346</f>
        <v>0</v>
      </c>
      <c r="R309" s="70">
        <f>'RESUMEN TOTAL'!X346</f>
        <v>0</v>
      </c>
      <c r="S309" s="70">
        <f>'RESUMEN TOTAL'!Y346</f>
        <v>0</v>
      </c>
      <c r="T309" s="70">
        <f>'RESUMEN TOTAL'!Z346</f>
        <v>0</v>
      </c>
      <c r="U309" s="70">
        <f>'RESUMEN TOTAL'!AA346</f>
        <v>0</v>
      </c>
      <c r="V309" s="70">
        <f>'RESUMEN TOTAL'!AB346</f>
        <v>0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 t="str">
        <f>'RESUMEN TOTAL'!U347</f>
        <v>APAGADO</v>
      </c>
      <c r="P310" s="70" t="str">
        <f>'RESUMEN TOTAL'!V347</f>
        <v>APAGADO</v>
      </c>
      <c r="Q310" s="70">
        <f>'RESUMEN TOTAL'!W347</f>
        <v>0</v>
      </c>
      <c r="R310" s="70">
        <f>'RESUMEN TOTAL'!X347</f>
        <v>0</v>
      </c>
      <c r="S310" s="70">
        <f>'RESUMEN TOTAL'!Y347</f>
        <v>0</v>
      </c>
      <c r="T310" s="70">
        <f>'RESUMEN TOTAL'!Z347</f>
        <v>0</v>
      </c>
      <c r="U310" s="70">
        <f>'RESUMEN TOTAL'!AA347</f>
        <v>0</v>
      </c>
      <c r="V310" s="70">
        <f>'RESUMEN TOTAL'!AB347</f>
        <v>0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 t="str">
        <f>'RESUMEN TOTAL'!U348</f>
        <v>APAGADO</v>
      </c>
      <c r="P311" s="70" t="str">
        <f>'RESUMEN TOTAL'!V348</f>
        <v>APAGADO</v>
      </c>
      <c r="Q311" s="70">
        <f>'RESUMEN TOTAL'!W348</f>
        <v>0</v>
      </c>
      <c r="R311" s="70">
        <f>'RESUMEN TOTAL'!X348</f>
        <v>0</v>
      </c>
      <c r="S311" s="70">
        <f>'RESUMEN TOTAL'!Y348</f>
        <v>0</v>
      </c>
      <c r="T311" s="70">
        <f>'RESUMEN TOTAL'!Z348</f>
        <v>0</v>
      </c>
      <c r="U311" s="70">
        <f>'RESUMEN TOTAL'!AA348</f>
        <v>0</v>
      </c>
      <c r="V311" s="70">
        <f>'RESUMEN TOTAL'!AB348</f>
        <v>0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 t="str">
        <f>'RESUMEN TOTAL'!U349</f>
        <v>APAGADO</v>
      </c>
      <c r="P312" s="70" t="str">
        <f>'RESUMEN TOTAL'!V349</f>
        <v>APAGADO</v>
      </c>
      <c r="Q312" s="70">
        <f>'RESUMEN TOTAL'!W349</f>
        <v>0</v>
      </c>
      <c r="R312" s="70">
        <f>'RESUMEN TOTAL'!X349</f>
        <v>0</v>
      </c>
      <c r="S312" s="70">
        <f>'RESUMEN TOTAL'!Y349</f>
        <v>0</v>
      </c>
      <c r="T312" s="70">
        <f>'RESUMEN TOTAL'!Z349</f>
        <v>0</v>
      </c>
      <c r="U312" s="70">
        <f>'RESUMEN TOTAL'!AA349</f>
        <v>0</v>
      </c>
      <c r="V312" s="70">
        <f>'RESUMEN TOTAL'!AB349</f>
        <v>0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 t="str">
        <f>'RESUMEN TOTAL'!U351</f>
        <v>APAGADO</v>
      </c>
      <c r="P314" s="70" t="str">
        <f>'RESUMEN TOTAL'!V351</f>
        <v>APAGADO</v>
      </c>
      <c r="Q314" s="70">
        <f>'RESUMEN TOTAL'!W351</f>
        <v>0</v>
      </c>
      <c r="R314" s="70">
        <f>'RESUMEN TOTAL'!X351</f>
        <v>0</v>
      </c>
      <c r="S314" s="70">
        <f>'RESUMEN TOTAL'!Y351</f>
        <v>0</v>
      </c>
      <c r="T314" s="70">
        <f>'RESUMEN TOTAL'!Z351</f>
        <v>0</v>
      </c>
      <c r="U314" s="70">
        <f>'RESUMEN TOTAL'!AA351</f>
        <v>0</v>
      </c>
      <c r="V314" s="70">
        <f>'RESUMEN TOTAL'!AB351</f>
        <v>0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 t="str">
        <f>'RESUMEN TOTAL'!U356</f>
        <v>APAGADO</v>
      </c>
      <c r="P316" s="70" t="str">
        <f>'RESUMEN TOTAL'!V356</f>
        <v>APAGADO</v>
      </c>
      <c r="Q316" s="70">
        <f>'RESUMEN TOTAL'!W356</f>
        <v>0</v>
      </c>
      <c r="R316" s="70">
        <f>'RESUMEN TOTAL'!X356</f>
        <v>0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 t="str">
        <f>'RESUMEN TOTAL'!V362</f>
        <v>APAGADO</v>
      </c>
      <c r="Q322" s="70">
        <f>'RESUMEN TOTAL'!W362</f>
        <v>0</v>
      </c>
      <c r="R322" s="70">
        <f>'RESUMEN TOTAL'!X362</f>
        <v>0</v>
      </c>
      <c r="S322" s="70">
        <f>'RESUMEN TOTAL'!Y362</f>
        <v>0</v>
      </c>
      <c r="T322" s="70">
        <f>'RESUMEN TOTAL'!Z362</f>
        <v>0</v>
      </c>
      <c r="U322" s="70">
        <f>'RESUMEN TOTAL'!AA362</f>
        <v>0</v>
      </c>
      <c r="V322" s="70">
        <f>'RESUMEN TOTAL'!AB362</f>
        <v>0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 t="str">
        <f>'RESUMEN TOTAL'!V363</f>
        <v>APAGADO</v>
      </c>
      <c r="Q323" s="70">
        <f>'RESUMEN TOTAL'!W363</f>
        <v>0</v>
      </c>
      <c r="R323" s="70">
        <f>'RESUMEN TOTAL'!X363</f>
        <v>0</v>
      </c>
      <c r="S323" s="70">
        <f>'RESUMEN TOTAL'!Y363</f>
        <v>0</v>
      </c>
      <c r="T323" s="70">
        <f>'RESUMEN TOTAL'!Z363</f>
        <v>0</v>
      </c>
      <c r="U323" s="70">
        <f>'RESUMEN TOTAL'!AA363</f>
        <v>0</v>
      </c>
      <c r="V323" s="70">
        <f>'RESUMEN TOTAL'!AB363</f>
        <v>0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 t="str">
        <f>'RESUMEN TOTAL'!U368</f>
        <v>APAGADO</v>
      </c>
      <c r="P326" s="70" t="str">
        <f>'RESUMEN TOTAL'!V368</f>
        <v>APAGADO</v>
      </c>
      <c r="Q326" s="70">
        <f>'RESUMEN TOTAL'!W368</f>
        <v>0</v>
      </c>
      <c r="R326" s="70">
        <f>'RESUMEN TOTAL'!X368</f>
        <v>0</v>
      </c>
      <c r="S326" s="70">
        <f>'RESUMEN TOTAL'!Y368</f>
        <v>0</v>
      </c>
      <c r="T326" s="70">
        <f>'RESUMEN TOTAL'!Z368</f>
        <v>0</v>
      </c>
      <c r="U326" s="70">
        <f>'RESUMEN TOTAL'!AA368</f>
        <v>0</v>
      </c>
      <c r="V326" s="70">
        <f>'RESUMEN TOTAL'!AB368</f>
        <v>0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 t="str">
        <f>'RESUMEN TOTAL'!U373</f>
        <v>APAGADO</v>
      </c>
      <c r="P329" s="70" t="str">
        <f>'RESUMEN TOTAL'!V373</f>
        <v>APAGADO</v>
      </c>
      <c r="Q329" s="70">
        <f>'RESUMEN TOTAL'!W373</f>
        <v>0</v>
      </c>
      <c r="R329" s="70">
        <f>'RESUMEN TOTAL'!X373</f>
        <v>0</v>
      </c>
      <c r="S329" s="70">
        <f>'RESUMEN TOTAL'!Y373</f>
        <v>0</v>
      </c>
      <c r="T329" s="70">
        <f>'RESUMEN TOTAL'!Z373</f>
        <v>0</v>
      </c>
      <c r="U329" s="70">
        <f>'RESUMEN TOTAL'!AA373</f>
        <v>0</v>
      </c>
      <c r="V329" s="70">
        <f>'RESUMEN TOTAL'!AB373</f>
        <v>0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 t="str">
        <f>'RESUMEN TOTAL'!U376</f>
        <v>APAGADO</v>
      </c>
      <c r="P332" s="70" t="str">
        <f>'RESUMEN TOTAL'!V376</f>
        <v>APAGADO</v>
      </c>
      <c r="Q332" s="70">
        <f>'RESUMEN TOTAL'!W376</f>
        <v>0</v>
      </c>
      <c r="R332" s="70">
        <f>'RESUMEN TOTAL'!X376</f>
        <v>0</v>
      </c>
      <c r="S332" s="70">
        <f>'RESUMEN TOTAL'!Y376</f>
        <v>0</v>
      </c>
      <c r="T332" s="70">
        <f>'RESUMEN TOTAL'!Z376</f>
        <v>0</v>
      </c>
      <c r="U332" s="70">
        <f>'RESUMEN TOTAL'!AA376</f>
        <v>0</v>
      </c>
      <c r="V332" s="70">
        <f>'RESUMEN TOTAL'!AB376</f>
        <v>0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>
        <f>'RESUMEN TOTAL'!X380</f>
        <v>0</v>
      </c>
      <c r="S336" s="70">
        <f>'RESUMEN TOTAL'!Y380</f>
        <v>0</v>
      </c>
      <c r="T336" s="70">
        <f>'RESUMEN TOTAL'!Z380</f>
        <v>0</v>
      </c>
      <c r="U336" s="70">
        <f>'RESUMEN TOTAL'!AA380</f>
        <v>0</v>
      </c>
      <c r="V336" s="70">
        <f>'RESUMEN TOTAL'!AB380</f>
        <v>0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>
        <f>'RESUMEN TOTAL'!X381</f>
        <v>0</v>
      </c>
      <c r="S337" s="70">
        <f>'RESUMEN TOTAL'!Y381</f>
        <v>0</v>
      </c>
      <c r="T337" s="70">
        <f>'RESUMEN TOTAL'!Z381</f>
        <v>0</v>
      </c>
      <c r="U337" s="70">
        <f>'RESUMEN TOTAL'!AA381</f>
        <v>0</v>
      </c>
      <c r="V337" s="70">
        <f>'RESUMEN TOTAL'!AB381</f>
        <v>0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>
        <f>'RESUMEN TOTAL'!X382</f>
        <v>0</v>
      </c>
      <c r="S338" s="70">
        <f>'RESUMEN TOTAL'!Y382</f>
        <v>0</v>
      </c>
      <c r="T338" s="70">
        <f>'RESUMEN TOTAL'!Z382</f>
        <v>0</v>
      </c>
      <c r="U338" s="70">
        <f>'RESUMEN TOTAL'!AA382</f>
        <v>0</v>
      </c>
      <c r="V338" s="70">
        <f>'RESUMEN TOTAL'!AB382</f>
        <v>0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>
        <f>'RESUMEN TOTAL'!X383</f>
        <v>0</v>
      </c>
      <c r="S339" s="70">
        <f>'RESUMEN TOTAL'!Y383</f>
        <v>0</v>
      </c>
      <c r="T339" s="70">
        <f>'RESUMEN TOTAL'!Z383</f>
        <v>0</v>
      </c>
      <c r="U339" s="70">
        <f>'RESUMEN TOTAL'!AA383</f>
        <v>0</v>
      </c>
      <c r="V339" s="70">
        <f>'RESUMEN TOTAL'!AB383</f>
        <v>0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 t="str">
        <f>'RESUMEN TOTAL'!V384</f>
        <v>APAGADO</v>
      </c>
      <c r="Q340" s="70">
        <f>'RESUMEN TOTAL'!W384</f>
        <v>0</v>
      </c>
      <c r="R340" s="70">
        <f>'RESUMEN TOTAL'!X384</f>
        <v>0</v>
      </c>
      <c r="S340" s="70">
        <f>'RESUMEN TOTAL'!Y384</f>
        <v>0</v>
      </c>
      <c r="T340" s="70">
        <f>'RESUMEN TOTAL'!Z384</f>
        <v>0</v>
      </c>
      <c r="U340" s="70">
        <f>'RESUMEN TOTAL'!AA384</f>
        <v>0</v>
      </c>
      <c r="V340" s="70">
        <f>'RESUMEN TOTAL'!AB384</f>
        <v>0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 t="str">
        <f>'RESUMEN TOTAL'!U392</f>
        <v>APAGADO</v>
      </c>
      <c r="P348" s="70" t="str">
        <f>'RESUMEN TOTAL'!V392</f>
        <v>APAGADO</v>
      </c>
      <c r="Q348" s="70">
        <f>'RESUMEN TOTAL'!W392</f>
        <v>0</v>
      </c>
      <c r="R348" s="70">
        <f>'RESUMEN TOTAL'!X392</f>
        <v>0</v>
      </c>
      <c r="S348" s="70">
        <f>'RESUMEN TOTAL'!Y392</f>
        <v>0</v>
      </c>
      <c r="T348" s="70">
        <f>'RESUMEN TOTAL'!Z392</f>
        <v>0</v>
      </c>
      <c r="U348" s="70">
        <f>'RESUMEN TOTAL'!AA392</f>
        <v>0</v>
      </c>
      <c r="V348" s="70">
        <f>'RESUMEN TOTAL'!AB392</f>
        <v>0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 t="str">
        <f>'RESUMEN TOTAL'!U393</f>
        <v>APAGADO</v>
      </c>
      <c r="P349" s="70" t="str">
        <f>'RESUMEN TOTAL'!V393</f>
        <v>APAGADO</v>
      </c>
      <c r="Q349" s="70">
        <f>'RESUMEN TOTAL'!W393</f>
        <v>0</v>
      </c>
      <c r="R349" s="70">
        <f>'RESUMEN TOTAL'!X393</f>
        <v>0</v>
      </c>
      <c r="S349" s="70">
        <f>'RESUMEN TOTAL'!Y393</f>
        <v>0</v>
      </c>
      <c r="T349" s="70">
        <f>'RESUMEN TOTAL'!Z393</f>
        <v>0</v>
      </c>
      <c r="U349" s="70">
        <f>'RESUMEN TOTAL'!AA393</f>
        <v>0</v>
      </c>
      <c r="V349" s="70">
        <f>'RESUMEN TOTAL'!AB393</f>
        <v>0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>
        <f>'RESUMEN TOTAL'!W397</f>
        <v>0</v>
      </c>
      <c r="R353" s="70">
        <f>'RESUMEN TOTAL'!X397</f>
        <v>0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 t="str">
        <f>'RESUMEN TOTAL'!U398</f>
        <v>APAGADO</v>
      </c>
      <c r="P354" s="70" t="str">
        <f>'RESUMEN TOTAL'!V398</f>
        <v>APAGADO</v>
      </c>
      <c r="Q354" s="70">
        <f>'RESUMEN TOTAL'!W398</f>
        <v>0</v>
      </c>
      <c r="R354" s="70">
        <f>'RESUMEN TOTAL'!X398</f>
        <v>0</v>
      </c>
      <c r="S354" s="70">
        <f>'RESUMEN TOTAL'!Y398</f>
        <v>0</v>
      </c>
      <c r="T354" s="70">
        <f>'RESUMEN TOTAL'!Z398</f>
        <v>0</v>
      </c>
      <c r="U354" s="70">
        <f>'RESUMEN TOTAL'!AA398</f>
        <v>0</v>
      </c>
      <c r="V354" s="70">
        <f>'RESUMEN TOTAL'!AB398</f>
        <v>0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 t="str">
        <f>'RESUMEN TOTAL'!U404</f>
        <v>APAGADO</v>
      </c>
      <c r="P360" s="70" t="str">
        <f>'RESUMEN TOTAL'!V404</f>
        <v>APAGADO</v>
      </c>
      <c r="Q360" s="70">
        <f>'RESUMEN TOTAL'!W404</f>
        <v>0</v>
      </c>
      <c r="R360" s="70">
        <f>'RESUMEN TOTAL'!X404</f>
        <v>0</v>
      </c>
      <c r="S360" s="70">
        <f>'RESUMEN TOTAL'!Y404</f>
        <v>0</v>
      </c>
      <c r="T360" s="70">
        <f>'RESUMEN TOTAL'!Z404</f>
        <v>0</v>
      </c>
      <c r="U360" s="70">
        <f>'RESUMEN TOTAL'!AA404</f>
        <v>0</v>
      </c>
      <c r="V360" s="70">
        <f>'RESUMEN TOTAL'!AB404</f>
        <v>0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 t="str">
        <f>'RESUMEN TOTAL'!U407</f>
        <v>APAGADO</v>
      </c>
      <c r="P363" s="70" t="str">
        <f>'RESUMEN TOTAL'!V407</f>
        <v>APAGADO</v>
      </c>
      <c r="Q363" s="70">
        <f>'RESUMEN TOTAL'!W407</f>
        <v>0</v>
      </c>
      <c r="R363" s="70">
        <f>'RESUMEN TOTAL'!X407</f>
        <v>0</v>
      </c>
      <c r="S363" s="70">
        <f>'RESUMEN TOTAL'!Y407</f>
        <v>0</v>
      </c>
      <c r="T363" s="70">
        <f>'RESUMEN TOTAL'!Z407</f>
        <v>0</v>
      </c>
      <c r="U363" s="70">
        <f>'RESUMEN TOTAL'!AA407</f>
        <v>0</v>
      </c>
      <c r="V363" s="70">
        <f>'RESUMEN TOTAL'!AB407</f>
        <v>0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 t="str">
        <f>'RESUMEN TOTAL'!U417</f>
        <v>APAGADO</v>
      </c>
      <c r="P373" s="70" t="str">
        <f>'RESUMEN TOTAL'!V417</f>
        <v>APAGADO</v>
      </c>
      <c r="Q373" s="70">
        <f>'RESUMEN TOTAL'!W417</f>
        <v>0</v>
      </c>
      <c r="R373" s="70">
        <f>'RESUMEN TOTAL'!X417</f>
        <v>0</v>
      </c>
      <c r="S373" s="70">
        <f>'RESUMEN TOTAL'!Y417</f>
        <v>0</v>
      </c>
      <c r="T373" s="70">
        <f>'RESUMEN TOTAL'!Z417</f>
        <v>0</v>
      </c>
      <c r="U373" s="70">
        <f>'RESUMEN TOTAL'!AA417</f>
        <v>0</v>
      </c>
      <c r="V373" s="70">
        <f>'RESUMEN TOTAL'!AB417</f>
        <v>0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 t="str">
        <f>'RESUMEN TOTAL'!U418</f>
        <v>APAGADO</v>
      </c>
      <c r="P374" s="70" t="str">
        <f>'RESUMEN TOTAL'!V418</f>
        <v>APAGADO</v>
      </c>
      <c r="Q374" s="70">
        <f>'RESUMEN TOTAL'!W418</f>
        <v>0</v>
      </c>
      <c r="R374" s="70">
        <f>'RESUMEN TOTAL'!X418</f>
        <v>0</v>
      </c>
      <c r="S374" s="70">
        <f>'RESUMEN TOTAL'!Y418</f>
        <v>0</v>
      </c>
      <c r="T374" s="70">
        <f>'RESUMEN TOTAL'!Z418</f>
        <v>0</v>
      </c>
      <c r="U374" s="70">
        <f>'RESUMEN TOTAL'!AA418</f>
        <v>0</v>
      </c>
      <c r="V374" s="70">
        <f>'RESUMEN TOTAL'!AB418</f>
        <v>0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>
        <f>'RESUMEN TOTAL'!AA429</f>
        <v>0</v>
      </c>
      <c r="V383" s="70">
        <f>'RESUMEN TOTAL'!AB429</f>
        <v>0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 t="str">
        <f>'RESUMEN TOTAL'!U463</f>
        <v>APAGADO</v>
      </c>
      <c r="P417" s="70" t="str">
        <f>'RESUMEN TOTAL'!V463</f>
        <v>APAGADO</v>
      </c>
      <c r="Q417" s="70">
        <f>'RESUMEN TOTAL'!W463</f>
        <v>0</v>
      </c>
      <c r="R417" s="70">
        <f>'RESUMEN TOTAL'!X463</f>
        <v>0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 t="str">
        <f>'RESUMEN TOTAL'!U467</f>
        <v>APAGADO</v>
      </c>
      <c r="P420" s="70" t="str">
        <f>'RESUMEN TOTAL'!V467</f>
        <v>APAGADO</v>
      </c>
      <c r="Q420" s="70">
        <f>'RESUMEN TOTAL'!W467</f>
        <v>0</v>
      </c>
      <c r="R420" s="70">
        <f>'RESUMEN TOTAL'!X467</f>
        <v>0</v>
      </c>
      <c r="S420" s="70">
        <f>'RESUMEN TOTAL'!Y467</f>
        <v>0</v>
      </c>
      <c r="T420" s="70">
        <f>'RESUMEN TOTAL'!Z467</f>
        <v>0</v>
      </c>
      <c r="U420" s="70">
        <f>'RESUMEN TOTAL'!AA467</f>
        <v>0</v>
      </c>
      <c r="V420" s="70">
        <f>'RESUMEN TOTAL'!AB467</f>
        <v>0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 t="str">
        <f>'RESUMEN TOTAL'!U468</f>
        <v>APAGADO</v>
      </c>
      <c r="P421" s="70" t="str">
        <f>'RESUMEN TOTAL'!V468</f>
        <v>APAGADO</v>
      </c>
      <c r="Q421" s="70">
        <f>'RESUMEN TOTAL'!W468</f>
        <v>0</v>
      </c>
      <c r="R421" s="70">
        <f>'RESUMEN TOTAL'!X468</f>
        <v>0</v>
      </c>
      <c r="S421" s="70">
        <f>'RESUMEN TOTAL'!Y468</f>
        <v>0</v>
      </c>
      <c r="T421" s="70">
        <f>'RESUMEN TOTAL'!Z468</f>
        <v>0</v>
      </c>
      <c r="U421" s="70">
        <f>'RESUMEN TOTAL'!AA468</f>
        <v>0</v>
      </c>
      <c r="V421" s="70">
        <f>'RESUMEN TOTAL'!AB468</f>
        <v>0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>
        <f>'RESUMEN TOTAL'!X476</f>
        <v>0</v>
      </c>
      <c r="S428" s="70">
        <f>'RESUMEN TOTAL'!Y476</f>
        <v>0</v>
      </c>
      <c r="T428" s="70">
        <f>'RESUMEN TOTAL'!Z476</f>
        <v>0</v>
      </c>
      <c r="U428" s="70">
        <f>'RESUMEN TOTAL'!AA476</f>
        <v>0</v>
      </c>
      <c r="V428" s="70">
        <f>'RESUMEN TOTAL'!AB476</f>
        <v>0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>
        <f>'RESUMEN TOTAL'!X478</f>
        <v>0</v>
      </c>
      <c r="S430" s="70">
        <f>'RESUMEN TOTAL'!Y478</f>
        <v>0</v>
      </c>
      <c r="T430" s="70">
        <f>'RESUMEN TOTAL'!Z478</f>
        <v>0</v>
      </c>
      <c r="U430" s="70">
        <f>'RESUMEN TOTAL'!AA478</f>
        <v>0</v>
      </c>
      <c r="V430" s="70">
        <f>'RESUMEN TOTAL'!AB478</f>
        <v>0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 t="str">
        <f>'RESUMEN TOTAL'!U484</f>
        <v>APAGADO</v>
      </c>
      <c r="P436" s="70" t="str">
        <f>'RESUMEN TOTAL'!V484</f>
        <v>APAGADO</v>
      </c>
      <c r="Q436" s="70">
        <f>'RESUMEN TOTAL'!W484</f>
        <v>0</v>
      </c>
      <c r="R436" s="70">
        <f>'RESUMEN TOTAL'!X484</f>
        <v>0</v>
      </c>
      <c r="S436" s="70">
        <f>'RESUMEN TOTAL'!Y484</f>
        <v>0</v>
      </c>
      <c r="T436" s="70">
        <f>'RESUMEN TOTAL'!Z484</f>
        <v>0</v>
      </c>
      <c r="U436" s="70">
        <f>'RESUMEN TOTAL'!AA484</f>
        <v>0</v>
      </c>
      <c r="V436" s="70">
        <f>'RESUMEN TOTAL'!AB484</f>
        <v>0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 t="str">
        <f>'RESUMEN TOTAL'!U486</f>
        <v>APAGADO</v>
      </c>
      <c r="P438" s="70" t="str">
        <f>'RESUMEN TOTAL'!V486</f>
        <v>APAGADO</v>
      </c>
      <c r="Q438" s="70">
        <f>'RESUMEN TOTAL'!W486</f>
        <v>0</v>
      </c>
      <c r="R438" s="70">
        <f>'RESUMEN TOTAL'!X486</f>
        <v>0</v>
      </c>
      <c r="S438" s="70">
        <f>'RESUMEN TOTAL'!Y486</f>
        <v>0</v>
      </c>
      <c r="T438" s="70">
        <f>'RESUMEN TOTAL'!Z486</f>
        <v>0</v>
      </c>
      <c r="U438" s="70">
        <f>'RESUMEN TOTAL'!AA486</f>
        <v>0</v>
      </c>
      <c r="V438" s="70">
        <f>'RESUMEN TOTAL'!AB486</f>
        <v>0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>
        <f>'RESUMEN TOTAL'!X507</f>
        <v>0</v>
      </c>
      <c r="S459" s="70">
        <f>'RESUMEN TOTAL'!Y507</f>
        <v>0</v>
      </c>
      <c r="T459" s="70">
        <f>'RESUMEN TOTAL'!Z507</f>
        <v>0</v>
      </c>
      <c r="U459" s="70">
        <f>'RESUMEN TOTAL'!AA507</f>
        <v>0</v>
      </c>
      <c r="V459" s="70">
        <f>'RESUMEN TOTAL'!AB507</f>
        <v>0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 t="str">
        <f>'RESUMEN TOTAL'!U508</f>
        <v>APAGADO</v>
      </c>
      <c r="P460" s="70" t="str">
        <f>'RESUMEN TOTAL'!V508</f>
        <v>APAGADO</v>
      </c>
      <c r="Q460" s="70">
        <f>'RESUMEN TOTAL'!W508</f>
        <v>0</v>
      </c>
      <c r="R460" s="70">
        <f>'RESUMEN TOTAL'!X508</f>
        <v>0</v>
      </c>
      <c r="S460" s="70">
        <f>'RESUMEN TOTAL'!Y508</f>
        <v>0</v>
      </c>
      <c r="T460" s="70">
        <f>'RESUMEN TOTAL'!Z508</f>
        <v>0</v>
      </c>
      <c r="U460" s="70">
        <f>'RESUMEN TOTAL'!AA508</f>
        <v>0</v>
      </c>
      <c r="V460" s="70">
        <f>'RESUMEN TOTAL'!AB508</f>
        <v>0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34</v>
      </c>
      <c r="P3" s="46">
        <f>COUNTIFS('RESUMEN TOTAL'!V8:V619,"=APAGADO",'RESUMEN TOTAL'!C8:C619,"=BONOMO")</f>
        <v>33</v>
      </c>
      <c r="Q3" s="46">
        <f>COUNTIFS('RESUMEN TOTAL'!W8:W619,"=APAGADO",'RESUMEN TOTAL'!C8:C619,"=BONOMO")</f>
        <v>0</v>
      </c>
      <c r="R3" s="46">
        <f>COUNTIFS('RESUMEN TOTAL'!X8:X619,"=APAGADO",'RESUMEN TOTAL'!C8:C619,"=BONOMO")</f>
        <v>0</v>
      </c>
      <c r="S3" s="46">
        <f>COUNTIFS('RESUMEN TOTAL'!Y8:Y619,"=APAGADO",'RESUMEN TOTAL'!C8:C619,"=BONOMO")</f>
        <v>0</v>
      </c>
      <c r="T3" s="46">
        <f>COUNTIFS('RESUMEN TOTAL'!Z8:Z619,"=APAGADO",'RESUMEN TOTAL'!C8:C619,"=BONOMO")</f>
        <v>0</v>
      </c>
      <c r="U3" s="46">
        <f>COUNTIFS('RESUMEN TOTAL'!AA8:AA619,"=APAGADO",'RESUMEN TOTAL'!C8:C619,"=BONOMO")</f>
        <v>0</v>
      </c>
      <c r="V3" s="46">
        <f>COUNTIFS('RESUMEN TOTAL'!AB8:AB619,"=APAGADO",'RESUMEN TOTAL'!C8:C619,"=BONOMO")</f>
        <v>0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0.12546125461254612</v>
      </c>
      <c r="P4" s="50">
        <f t="shared" si="0"/>
        <v>0.12177121771217712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35</v>
      </c>
      <c r="P5" s="46">
        <f>COUNTIFS('RESUMEN TOTAL'!V10:V621,"=APAGADO",'RESUMEN TOTAL'!C10:C621,"=COSEIDI")</f>
        <v>38</v>
      </c>
      <c r="Q5" s="46">
        <f>COUNTIFS('RESUMEN TOTAL'!W10:W621,"=APAGADO",'RESUMEN TOTAL'!C10:C621,"=COSEIDI")</f>
        <v>0</v>
      </c>
      <c r="R5" s="46">
        <f>COUNTIFS('RESUMEN TOTAL'!X10:X621,"=APAGADO",'RESUMEN TOTAL'!C10:C621,"=COSEIDI")</f>
        <v>0</v>
      </c>
      <c r="S5" s="46">
        <f>COUNTIFS('RESUMEN TOTAL'!Y10:Y621,"=APAGADO",'RESUMEN TOTAL'!C10:C621,"=COSEIDI")</f>
        <v>0</v>
      </c>
      <c r="T5" s="46">
        <f>COUNTIFS('RESUMEN TOTAL'!Z10:Z621,"=APAGADO",'RESUMEN TOTAL'!C10:C621,"=COSEIDI")</f>
        <v>0</v>
      </c>
      <c r="U5" s="46">
        <f>COUNTIFS('RESUMEN TOTAL'!AA10:AA621,"=APAGADO",'RESUMEN TOTAL'!C10:C621,"=COSEIDI")</f>
        <v>0</v>
      </c>
      <c r="V5" s="46">
        <f>COUNTIFS('RESUMEN TOTAL'!AB10:AB621,"=APAGADO",'RESUMEN TOTAL'!C10:C621,"=COSEIDI")</f>
        <v>0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0.15021459227467812</v>
      </c>
      <c r="P6" s="50">
        <f t="shared" si="1"/>
        <v>0.1630901287553648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2025-08-11T11:26:47Z</dcterms:modified>
</cp:coreProperties>
</file>